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盘货信息" sheetId="1" r:id="rId1"/>
    <sheet name="固定信息" sheetId="2" r:id="rId2"/>
    <sheet name="促销信息" sheetId="3" r:id="rId3"/>
    <sheet name="价格信息" sheetId="4" r:id="rId4"/>
    <sheet name="赠品" sheetId="5" r:id="rId5"/>
    <sheet name="天条" sheetId="6" r:id="rId6"/>
  </sheets>
  <definedNames>
    <definedName name="_xlnm._FilterDatabase" localSheetId="0" hidden="1">盘货信息!$A$1:$Z$342</definedName>
    <definedName name="_xlnm._FilterDatabase" localSheetId="2" hidden="1">促销信息!$A$1:$V$501</definedName>
    <definedName name="_xlnm._FilterDatabase" localSheetId="3" hidden="1">价格信息!$A$1:$M$501</definedName>
    <definedName name="_xlnm._FilterDatabase" localSheetId="4" hidden="1">赠品!$A$1:$N$501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<sst xmlns="http://schemas.openxmlformats.org/spreadsheetml/2006/main" count="100" uniqueCount="79">
  <si>
    <t>ID</t>
  </si>
  <si>
    <t>SKUID</t>
  </si>
  <si>
    <t>型号</t>
  </si>
  <si>
    <t>细分品类</t>
  </si>
  <si>
    <t>到手价</t>
  </si>
  <si>
    <t>最低保价到手价</t>
  </si>
  <si>
    <t>是否参加焕新补贴-真国补</t>
  </si>
  <si>
    <t>自补补全国-最新</t>
  </si>
  <si>
    <t>88vip立减</t>
  </si>
  <si>
    <t>优惠券-明券</t>
  </si>
  <si>
    <t>以旧换新</t>
  </si>
  <si>
    <t>限时补贴</t>
  </si>
  <si>
    <t>主图打标额度</t>
  </si>
  <si>
    <t>焕新补贴&amp;以旧换新到手价-客服话术
卡萨帝型号为88vip用户到手价</t>
  </si>
  <si>
    <t>客服权益-客服暗券
（首响话术透出，领券链接做进话术，与店铺任何优惠券不叠加，包括直播券、商品券、店铺券、淘客券，话术漏出金额大的券）</t>
  </si>
  <si>
    <t>客服端券链接</t>
  </si>
  <si>
    <t>会员红包</t>
  </si>
  <si>
    <t>优惠券（金额）</t>
  </si>
  <si>
    <t>赠品</t>
  </si>
  <si>
    <t>瓜分</t>
  </si>
  <si>
    <t>持续玩法-跨品类折扣</t>
  </si>
  <si>
    <t>分期免息（X期）</t>
  </si>
  <si>
    <t>价保</t>
  </si>
  <si>
    <t>持续玩法-领券</t>
  </si>
  <si>
    <t>淘客券</t>
  </si>
  <si>
    <t>优惠券短链</t>
  </si>
  <si>
    <t>分隔符</t>
  </si>
  <si>
    <t>—————————————</t>
  </si>
  <si>
    <t>活动氛围</t>
  </si>
  <si>
    <t>活动时间</t>
  </si>
  <si>
    <t>产业</t>
  </si>
  <si>
    <t>1元预约链接</t>
  </si>
  <si>
    <t>消费券链接</t>
  </si>
  <si>
    <t>瓜分信息</t>
  </si>
  <si>
    <t>促销信息</t>
  </si>
  <si>
    <t>型号+产业</t>
  </si>
  <si>
    <t>分割线</t>
  </si>
  <si>
    <t>1元预约</t>
  </si>
  <si>
    <t>价格</t>
  </si>
  <si>
    <t>客服暗券</t>
  </si>
  <si>
    <t>88vip95折</t>
  </si>
  <si>
    <t>跨品折扣</t>
  </si>
  <si>
    <t>会员全店红包</t>
  </si>
  <si>
    <t>服务</t>
  </si>
  <si>
    <t>焕新补贴预估价</t>
  </si>
  <si>
    <t>1--1</t>
  </si>
  <si>
    <t>1--2</t>
  </si>
  <si>
    <t>1--3</t>
  </si>
  <si>
    <t>1--4</t>
  </si>
  <si>
    <t>1--5</t>
  </si>
  <si>
    <t>双文</t>
  </si>
  <si>
    <t>岚歌</t>
  </si>
  <si>
    <t>话术标准模版（后面到品类未修改到手价）</t>
  </si>
  <si>
    <t>冰箱</t>
  </si>
  <si>
    <t>洗衣机</t>
  </si>
  <si>
    <t>空调</t>
  </si>
  <si>
    <t>热水器</t>
  </si>
  <si>
    <t>彩电</t>
  </si>
  <si>
    <t>厨电</t>
  </si>
  <si>
    <t>净水</t>
  </si>
  <si>
    <t>冷柜</t>
  </si>
  <si>
    <t>洗碗机</t>
  </si>
  <si>
    <t>小家电</t>
  </si>
  <si>
    <t>"1.活动氛围/型号/活动时间
—————————————
2.价格类：（限时价格需要拆分时间-热水器）
【焕新补贴预估价**元】=**元到手价-**元限时补贴-**元惊喜立减-**元以旧换新 -**元88VIP立减-**元消费券-***元优惠券/会员券-**元预估焕新补贴【全民可用、不限地址】
消费券链接：
优惠券链接：
（2）【全民可用**】不需要漏立减价，只露出焕新价就可以
非【全民可用】需要露出立减价+焕新价+88viP立减
—————————————
3.单品活动：
【优惠券】-领**元优惠券下单更优惠+链接（不包含预估到手价的卷）
【惊喜】咨询客服领**元专属权益
【以旧换新】-至高补贴**元（可无旧机换新）
【限时/拉通】-购机送红包/赠品；限时包含时间段
【晒单】-
【秀图】-
【种草】-站外带指定话题种草后返50元红包
【逛逛】-
【厨电套购】-
【老带新】-
【厨改】-
【延保】-秀图送压缩机包修至十年
—————————————
4.全店活动
【瓜分】-购机瓜分50万元红包（单ID上限100元）
【折扣】-指定型号满2类享96折，满3类享94折——主图漏/【参与折扣】——盘活不漏
【红包】-活动时间购机送240元
【卡萨帝送赠】活动时间购机送空气炸锅HA-JL30D
—————————————
5.服务：
【服务】-6期免息，保价618
【测量】-免费上门测量
【拆旧】-免拆旧费实际后返**元红包
【安装】-热水器全免安装/249安装/免定额安装费
【只换不修】-365天只换不修（下单自带0元购）"</t>
  </si>
  <si>
    <t>提前嗨购618，焕新补贴惠万家
【BCD-481WGHFDB9S9U1】冰箱
【活动时间：5月12日00:00-5月20日23:59】
—————————————
【1元预约锁好礼】https://s.tb.cn/C.cb8XVh
【焕新补贴预估价3178元】=**元到手价-**元限时补贴-**元惊喜立减-**元以旧换新 -**元88VIP立减-**元消费券-（焕新补贴）【民可用、不限地址】
消费券链接：
优惠券链接：
—————————————
【秀图】赠压缩机延保至十年
—————————————
【折扣】指定型号满2类享96折，满3类享94折
【瓜分】购机瓜分50万元红包（单ID上限100元）
—————————————
【服务】保价618，送货入户，退换免运费
第一个价格为：普惠立减到手价。包含消费券、88VIP优惠、优惠券
入户，退换免运费</t>
  </si>
  <si>
    <t>补充点</t>
  </si>
  <si>
    <t>自带保修 放在【服务】，延长保修时间放在【延保】</t>
  </si>
  <si>
    <t>有爆量价格【瓜分】不写，如果活动时间不是全周期需写明瓜分时间段；</t>
  </si>
  <si>
    <t>促销岗：：加一个单品的套装购话术</t>
  </si>
  <si>
    <t>共享排名——放在单品活动【共享排名】*型号（型号多就指定型号**）
促销岗：单品单独加一个共享排名话术</t>
  </si>
  <si>
    <t>延保说明</t>
  </si>
  <si>
    <t xml:space="preserve">【延保】秀图送压缩机延保至十年；
【服务】整机保修1年，主要零部件3年
</t>
  </si>
  <si>
    <t xml:space="preserve">【延保】晒单送电机延至10年包修
【服务】家用机整机包修3年，公用机整机包修3个月（主要零部件1年）
</t>
  </si>
  <si>
    <t xml:space="preserve">【延保】晒单送10年包修（自带6年+送4年共10年）
【服务】整机包修6年
</t>
  </si>
  <si>
    <t>/</t>
  </si>
  <si>
    <t xml:space="preserve">【延保】购机赠原厂延保1年(含碎屏）
【服务】整机保修1年，主要零部件3年
</t>
  </si>
  <si>
    <t>【延保】下单加赠质保至5年（加赠2年）
【服务】保修3年，商用保修3个月</t>
  </si>
  <si>
    <t>【延保】购机送压缩机延保至10年
【服务】冰吧，冷柜，酒柜整机保修1年，主要零部件保修3年</t>
  </si>
  <si>
    <t xml:space="preserve">三桶：
【延保】购机送电机延保至10年保修（洗衣机和干衣机都送）
【服务】购机享三年整机包修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</si>
</sst>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9">
    <font>
      <sz val="11"/>
      <color theme="1"/>
      <name val="宋体"/>
      <charset val="134"/>
      <scheme val="minor"/>
    </font>
    <font>
      <sz val="11"/>
      <color rgb="FFFF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sz val="10"/>
      <color rgb="FF000000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12" borderId="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17" fillId="0" borderId="5">
      <alignment vertical="center"/>
    </xf>
    <xf numFmtId="0" fontId="17" fillId="0" borderId="0">
      <alignment vertical="center"/>
    </xf>
    <xf numFmtId="0" fontId="18" fillId="13" borderId="6">
      <alignment vertical="center"/>
    </xf>
    <xf numFmtId="0" fontId="19" fillId="14" borderId="7">
      <alignment vertical="center"/>
    </xf>
    <xf numFmtId="0" fontId="20" fillId="14" borderId="6">
      <alignment vertical="center"/>
    </xf>
    <xf numFmtId="0" fontId="21" fillId="15" borderId="8">
      <alignment vertical="center"/>
    </xf>
    <xf numFmtId="0" fontId="22" fillId="0" borderId="9">
      <alignment vertical="center"/>
    </xf>
    <xf numFmtId="0" fontId="23" fillId="0" borderId="1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8" fillId="36" borderId="0">
      <alignment vertical="center"/>
    </xf>
    <xf numFmtId="0" fontId="28" fillId="37" borderId="0">
      <alignment vertical="center"/>
    </xf>
    <xf numFmtId="0" fontId="27" fillId="38" borderId="0">
      <alignment vertical="center"/>
    </xf>
    <xf numFmtId="0" fontId="27" fillId="10" borderId="0">
      <alignment vertical="center"/>
    </xf>
    <xf numFmtId="0" fontId="28" fillId="39" borderId="0">
      <alignment vertical="center"/>
    </xf>
    <xf numFmtId="0" fontId="28" fillId="40" borderId="0">
      <alignment vertical="center"/>
    </xf>
    <xf numFmtId="0" fontId="27" fillId="41" borderId="0">
      <alignment vertical="center"/>
    </xf>
  </cellStyleXfs>
  <cellXfs count="4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58" fontId="6" fillId="3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0" fontId="0" fillId="0" borderId="0" xfId="0" applyAlignment="1"/>
    <xf numFmtId="176" fontId="6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M501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8.88888888888889" defaultRowHeight="15" customHeight="1"/>
  <cols>
    <col min="1" max="1" width="23.1111111111111" style="12" customWidth="1"/>
    <col min="2" max="2" width="23.6296296296296" style="12" customWidth="1"/>
    <col min="3" max="3" width="34.0740740740741" style="13" customWidth="1"/>
    <col min="4" max="4" width="16.2222222222222" style="13" customWidth="1"/>
    <col min="5" max="5" width="7.22222222222222" style="36" customWidth="1"/>
    <col min="6" max="6" width="14" style="36" customWidth="1"/>
    <col min="7" max="7" width="22.3333333333333" style="36" customWidth="1"/>
    <col min="8" max="8" width="10.2222222222222" style="36" customWidth="1"/>
    <col min="9" max="9" width="9.77777777777778" style="36" customWidth="1"/>
    <col min="10" max="12" width="11" style="36" customWidth="1"/>
    <col min="13" max="13" width="15.4444444444444" style="36" customWidth="1"/>
    <col min="14" max="16" width="11" style="36" customWidth="1"/>
    <col min="17" max="17" width="15.6666666666667" style="36" customWidth="1"/>
    <col min="18" max="20" width="11" style="36" customWidth="1"/>
    <col min="21" max="21" width="20.1111111111111" style="36" customWidth="1"/>
    <col min="22" max="26" width="14" style="36" customWidth="1"/>
    <col min="27" max="39" width="8.88888888888889" style="36" customWidth="1"/>
    <col min="40" max="16384" width="8.88888888888889" style="37" customWidth="1"/>
  </cols>
  <sheetData>
    <row r="1" s="35" customFormat="1" customHeight="1" spans="1:39">
      <c r="A1" s="14" t="s">
        <v>0</v>
      </c>
      <c r="B1" s="14" t="s">
        <v>1</v>
      </c>
      <c r="C1" s="15" t="s">
        <v>2</v>
      </c>
      <c r="D1" s="15" t="s">
        <v>3</v>
      </c>
      <c r="E1" s="38" t="s">
        <v>4</v>
      </c>
      <c r="F1" s="38" t="s">
        <v>5</v>
      </c>
      <c r="G1" s="39" t="s">
        <v>6</v>
      </c>
      <c r="H1" s="39" t="s">
        <v>7</v>
      </c>
      <c r="I1" s="39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40" t="s">
        <v>13</v>
      </c>
      <c r="O1" s="41" t="s">
        <v>14</v>
      </c>
      <c r="P1" s="41" t="s">
        <v>15</v>
      </c>
      <c r="Q1" s="41" t="s">
        <v>16</v>
      </c>
      <c r="R1" s="41" t="s">
        <v>17</v>
      </c>
      <c r="S1" s="39" t="s">
        <v>18</v>
      </c>
      <c r="T1" s="39" t="s">
        <v>19</v>
      </c>
      <c r="U1" s="39" t="s">
        <v>20</v>
      </c>
      <c r="V1" s="42" t="s">
        <v>21</v>
      </c>
      <c r="W1" s="42" t="s">
        <v>22</v>
      </c>
      <c r="X1" s="39" t="s">
        <v>23</v>
      </c>
      <c r="Y1" s="39" t="s">
        <v>24</v>
      </c>
      <c r="Z1" s="39" t="s">
        <v>25</v>
      </c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</row>
    <row r="2" customHeight="1" spans="1:39">
      <c r="A2" s="17"/>
      <c r="B2" s="17"/>
      <c r="C2" s="18"/>
      <c r="D2" s="18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customHeight="1" spans="1:39">
      <c r="A3" s="17"/>
      <c r="B3" s="17"/>
      <c r="C3" s="18"/>
      <c r="D3" s="18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customHeight="1" spans="1:39">
      <c r="A4" s="17"/>
      <c r="B4" s="17"/>
      <c r="C4" s="18"/>
      <c r="D4" s="18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customHeight="1" spans="1:39">
      <c r="A5" s="17"/>
      <c r="B5" s="17"/>
      <c r="C5" s="18"/>
      <c r="D5" s="18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customHeight="1" spans="1:39">
      <c r="A6" s="17"/>
      <c r="B6" s="17"/>
      <c r="C6" s="18"/>
      <c r="D6" s="18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customHeight="1" spans="1:39">
      <c r="A7" s="17"/>
      <c r="B7" s="17"/>
      <c r="C7" s="18"/>
      <c r="D7" s="18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customHeight="1" spans="1:39">
      <c r="A8" s="17"/>
      <c r="B8" s="17"/>
      <c r="C8" s="18"/>
      <c r="D8" s="18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customHeight="1" spans="1:39">
      <c r="A9" s="17"/>
      <c r="B9" s="17"/>
      <c r="C9" s="18"/>
      <c r="D9" s="18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customHeight="1" spans="1:39">
      <c r="A10" s="17"/>
      <c r="B10" s="17"/>
      <c r="C10" s="18"/>
      <c r="D10" s="18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customHeight="1" spans="1:39">
      <c r="A11" s="17"/>
      <c r="B11" s="17"/>
      <c r="C11" s="18"/>
      <c r="D11" s="18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customHeight="1" spans="1:39">
      <c r="A12" s="17"/>
      <c r="B12" s="17"/>
      <c r="C12" s="18"/>
      <c r="D12" s="18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customHeight="1" spans="1:39">
      <c r="A13" s="17"/>
      <c r="B13" s="17"/>
      <c r="C13" s="18"/>
      <c r="D13" s="18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customHeight="1" spans="1:39">
      <c r="A14" s="17"/>
      <c r="B14" s="17"/>
      <c r="C14" s="18"/>
      <c r="D14" s="18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customHeight="1" spans="1:39">
      <c r="A15" s="17"/>
      <c r="B15" s="17"/>
      <c r="C15" s="18"/>
      <c r="D15" s="18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customHeight="1" spans="1:39">
      <c r="A16" s="17"/>
      <c r="B16" s="17"/>
      <c r="C16" s="18"/>
      <c r="D16" s="18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customHeight="1" spans="1:26">
      <c r="A17" s="17"/>
      <c r="B17" s="17"/>
      <c r="C17" s="18"/>
      <c r="D17" s="18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customHeight="1" spans="1:26">
      <c r="A18" s="17"/>
      <c r="B18" s="17"/>
      <c r="C18" s="18"/>
      <c r="D18" s="18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customHeight="1" spans="1:26">
      <c r="A19" s="17"/>
      <c r="B19" s="17"/>
      <c r="C19" s="18"/>
      <c r="D19" s="18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customHeight="1" spans="1:26">
      <c r="A20" s="17"/>
      <c r="B20" s="17"/>
      <c r="C20" s="18"/>
      <c r="D20" s="18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customHeight="1" spans="1:26">
      <c r="A21" s="17"/>
      <c r="B21" s="17"/>
      <c r="C21" s="18"/>
      <c r="D21" s="18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customHeight="1" spans="1:26">
      <c r="A22" s="17"/>
      <c r="B22" s="17"/>
      <c r="C22" s="18"/>
      <c r="D22" s="18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customHeight="1" spans="1:26">
      <c r="A23" s="17"/>
      <c r="B23" s="17"/>
      <c r="C23" s="18"/>
      <c r="D23" s="18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customHeight="1" spans="1:26">
      <c r="A24" s="17"/>
      <c r="B24" s="17"/>
      <c r="C24" s="18"/>
      <c r="D24" s="18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customHeight="1" spans="1:26">
      <c r="A25" s="17"/>
      <c r="B25" s="17"/>
      <c r="C25" s="18"/>
      <c r="D25" s="18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customHeight="1" spans="1:26">
      <c r="A26" s="17"/>
      <c r="B26" s="17"/>
      <c r="C26" s="18"/>
      <c r="D26" s="18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customHeight="1" spans="1:26">
      <c r="A27" s="17"/>
      <c r="B27" s="17"/>
      <c r="C27" s="18"/>
      <c r="D27" s="18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customHeight="1" spans="1:26">
      <c r="A28" s="17"/>
      <c r="B28" s="17"/>
      <c r="C28" s="18"/>
      <c r="D28" s="18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customHeight="1" spans="1:26">
      <c r="A29" s="17"/>
      <c r="B29" s="17"/>
      <c r="C29" s="18"/>
      <c r="D29" s="18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customHeight="1" spans="1:26">
      <c r="A30" s="17"/>
      <c r="B30" s="17"/>
      <c r="C30" s="18"/>
      <c r="D30" s="18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customHeight="1" spans="1:26">
      <c r="A31" s="17"/>
      <c r="B31" s="17"/>
      <c r="C31" s="18"/>
      <c r="D31" s="18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customHeight="1" spans="1:26">
      <c r="A32" s="17"/>
      <c r="B32" s="17"/>
      <c r="C32" s="18"/>
      <c r="D32" s="18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customHeight="1" spans="1:26">
      <c r="A33" s="17"/>
      <c r="B33" s="17"/>
      <c r="C33" s="18"/>
      <c r="D33" s="18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customHeight="1" spans="1:26">
      <c r="A34" s="17"/>
      <c r="B34" s="17"/>
      <c r="C34" s="18"/>
      <c r="D34" s="18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customHeight="1" spans="1:26">
      <c r="A35" s="17"/>
      <c r="B35" s="17"/>
      <c r="C35" s="18"/>
      <c r="D35" s="18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customHeight="1" spans="1:26">
      <c r="A36" s="17"/>
      <c r="B36" s="17"/>
      <c r="C36" s="18"/>
      <c r="D36" s="18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customHeight="1" spans="1:26">
      <c r="A37" s="17"/>
      <c r="B37" s="17"/>
      <c r="C37" s="18"/>
      <c r="D37" s="18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customHeight="1" spans="1:26">
      <c r="A38" s="17"/>
      <c r="B38" s="17"/>
      <c r="C38" s="18"/>
      <c r="D38" s="18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customHeight="1" spans="1:26">
      <c r="A39" s="17"/>
      <c r="B39" s="17"/>
      <c r="C39" s="18"/>
      <c r="D39" s="18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customHeight="1" spans="1:26">
      <c r="A40" s="17"/>
      <c r="B40" s="17"/>
      <c r="C40" s="18"/>
      <c r="D40" s="18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customHeight="1" spans="1:26">
      <c r="A41" s="17"/>
      <c r="B41" s="17"/>
      <c r="C41" s="18"/>
      <c r="D41" s="18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customHeight="1" spans="1:26">
      <c r="A42" s="17"/>
      <c r="B42" s="17"/>
      <c r="C42" s="18"/>
      <c r="D42" s="18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customHeight="1" spans="1:26">
      <c r="A43" s="17"/>
      <c r="B43" s="17"/>
      <c r="C43" s="18"/>
      <c r="D43" s="18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customHeight="1" spans="1:26">
      <c r="A44" s="17"/>
      <c r="B44" s="17"/>
      <c r="C44" s="18"/>
      <c r="D44" s="18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customHeight="1" spans="1:26">
      <c r="A45" s="17"/>
      <c r="B45" s="17"/>
      <c r="C45" s="18"/>
      <c r="D45" s="18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customHeight="1" spans="1:26">
      <c r="A46" s="17"/>
      <c r="B46" s="17"/>
      <c r="C46" s="18"/>
      <c r="D46" s="18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customHeight="1" spans="1:26">
      <c r="A47" s="17"/>
      <c r="B47" s="17"/>
      <c r="C47" s="18"/>
      <c r="D47" s="18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customHeight="1" spans="1:26">
      <c r="A48" s="17"/>
      <c r="B48" s="17"/>
      <c r="C48" s="18"/>
      <c r="D48" s="18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customHeight="1" spans="1:26">
      <c r="A49" s="17"/>
      <c r="B49" s="17"/>
      <c r="C49" s="18"/>
      <c r="D49" s="18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customHeight="1" spans="1:26">
      <c r="A50" s="17"/>
      <c r="B50" s="17"/>
      <c r="C50" s="18"/>
      <c r="D50" s="18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customHeight="1" spans="1:26">
      <c r="A51" s="17"/>
      <c r="B51" s="17"/>
      <c r="C51" s="18"/>
      <c r="D51" s="18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customHeight="1" spans="1:26">
      <c r="A52" s="17"/>
      <c r="B52" s="17"/>
      <c r="C52" s="18"/>
      <c r="D52" s="18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customHeight="1" spans="1:26">
      <c r="A53" s="17"/>
      <c r="B53" s="17"/>
      <c r="C53" s="18"/>
      <c r="D53" s="18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customHeight="1" spans="1:26">
      <c r="A54" s="17"/>
      <c r="B54" s="17"/>
      <c r="C54" s="18"/>
      <c r="D54" s="18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customHeight="1" spans="1:26">
      <c r="A55" s="17"/>
      <c r="B55" s="17"/>
      <c r="C55" s="18"/>
      <c r="D55" s="18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customHeight="1" spans="1:26">
      <c r="A56" s="17"/>
      <c r="B56" s="17"/>
      <c r="C56" s="18"/>
      <c r="D56" s="18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customHeight="1" spans="1:26">
      <c r="A57" s="17"/>
      <c r="B57" s="17"/>
      <c r="C57" s="18"/>
      <c r="D57" s="18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customHeight="1" spans="1:26">
      <c r="A58" s="17"/>
      <c r="B58" s="17"/>
      <c r="C58" s="18"/>
      <c r="D58" s="18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customHeight="1" spans="1:26">
      <c r="A59" s="17"/>
      <c r="B59" s="17"/>
      <c r="C59" s="18"/>
      <c r="D59" s="18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customHeight="1" spans="1:26">
      <c r="A60" s="17"/>
      <c r="B60" s="17"/>
      <c r="C60" s="18"/>
      <c r="D60" s="18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customHeight="1" spans="1:26">
      <c r="A61" s="17"/>
      <c r="B61" s="17"/>
      <c r="C61" s="18"/>
      <c r="D61" s="18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customHeight="1" spans="1:26">
      <c r="A62" s="17"/>
      <c r="B62" s="17"/>
      <c r="C62" s="18"/>
      <c r="D62" s="18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customHeight="1" spans="1:26">
      <c r="A63" s="17"/>
      <c r="B63" s="17"/>
      <c r="C63" s="18"/>
      <c r="D63" s="18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customHeight="1" spans="1:26">
      <c r="A64" s="17"/>
      <c r="B64" s="17"/>
      <c r="C64" s="18"/>
      <c r="D64" s="18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customHeight="1" spans="1:26">
      <c r="A65" s="17"/>
      <c r="B65" s="17"/>
      <c r="C65" s="18"/>
      <c r="D65" s="18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customHeight="1" spans="1:26">
      <c r="A66" s="17"/>
      <c r="B66" s="17"/>
      <c r="C66" s="18"/>
      <c r="D66" s="18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customHeight="1" spans="1:26">
      <c r="A67" s="17"/>
      <c r="B67" s="17"/>
      <c r="C67" s="18"/>
      <c r="D67" s="18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customHeight="1" spans="1:26">
      <c r="A68" s="17"/>
      <c r="B68" s="17"/>
      <c r="C68" s="18"/>
      <c r="D68" s="18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customHeight="1" spans="1:26">
      <c r="A69" s="17"/>
      <c r="B69" s="17"/>
      <c r="C69" s="18"/>
      <c r="D69" s="18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customHeight="1" spans="1:26">
      <c r="A70" s="17"/>
      <c r="B70" s="17"/>
      <c r="C70" s="18"/>
      <c r="D70" s="18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customHeight="1" spans="1:26">
      <c r="A71" s="17"/>
      <c r="B71" s="17"/>
      <c r="C71" s="18"/>
      <c r="D71" s="18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customHeight="1" spans="1:26">
      <c r="A72" s="17"/>
      <c r="B72" s="17"/>
      <c r="C72" s="18"/>
      <c r="D72" s="18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customHeight="1" spans="1:26">
      <c r="A73" s="17"/>
      <c r="B73" s="17"/>
      <c r="C73" s="18"/>
      <c r="D73" s="18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customHeight="1" spans="1:26">
      <c r="A74" s="17"/>
      <c r="B74" s="17"/>
      <c r="C74" s="18"/>
      <c r="D74" s="18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customHeight="1" spans="1:26">
      <c r="A75" s="17"/>
      <c r="B75" s="17"/>
      <c r="C75" s="18"/>
      <c r="D75" s="18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customHeight="1" spans="1:26">
      <c r="A76" s="17"/>
      <c r="B76" s="17"/>
      <c r="C76" s="18"/>
      <c r="D76" s="18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customHeight="1" spans="1:26">
      <c r="A77" s="17"/>
      <c r="B77" s="17"/>
      <c r="C77" s="18"/>
      <c r="D77" s="18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customHeight="1" spans="1:26">
      <c r="A78" s="17"/>
      <c r="B78" s="17"/>
      <c r="C78" s="18"/>
      <c r="D78" s="18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customHeight="1" spans="1:26">
      <c r="A79" s="19"/>
      <c r="B79" s="19"/>
      <c r="C79" s="18"/>
      <c r="D79" s="18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customHeight="1" spans="1:26">
      <c r="A80" s="17"/>
      <c r="B80" s="17"/>
      <c r="C80" s="18"/>
      <c r="D80" s="18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customHeight="1" spans="1:26">
      <c r="A81" s="17"/>
      <c r="B81" s="17"/>
      <c r="C81" s="18"/>
      <c r="D81" s="18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customHeight="1" spans="1:26">
      <c r="A82" s="17"/>
      <c r="B82" s="17"/>
      <c r="C82" s="18"/>
      <c r="D82" s="18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customHeight="1" spans="1:26">
      <c r="A83" s="17"/>
      <c r="B83" s="17"/>
      <c r="C83" s="18"/>
      <c r="D83" s="18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customHeight="1" spans="1:26">
      <c r="A84" s="17"/>
      <c r="B84" s="17"/>
      <c r="C84" s="18"/>
      <c r="D84" s="18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customHeight="1" spans="1:26">
      <c r="A85" s="17"/>
      <c r="B85" s="17"/>
      <c r="C85" s="18"/>
      <c r="D85" s="18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customHeight="1" spans="1:26">
      <c r="A86" s="17"/>
      <c r="B86" s="17"/>
      <c r="C86" s="18"/>
      <c r="D86" s="18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customHeight="1" spans="1:26">
      <c r="A87" s="17"/>
      <c r="B87" s="17"/>
      <c r="C87" s="18"/>
      <c r="D87" s="18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customHeight="1" spans="1:26">
      <c r="A88" s="17"/>
      <c r="B88" s="17"/>
      <c r="C88" s="18"/>
      <c r="D88" s="18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customHeight="1" spans="1:26">
      <c r="A89" s="17"/>
      <c r="B89" s="17"/>
      <c r="C89" s="18"/>
      <c r="D89" s="18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customHeight="1" spans="1:26">
      <c r="A90" s="17"/>
      <c r="B90" s="17"/>
      <c r="C90" s="18"/>
      <c r="D90" s="18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customHeight="1" spans="1:26">
      <c r="A91" s="17"/>
      <c r="B91" s="17"/>
      <c r="C91" s="18"/>
      <c r="D91" s="18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customHeight="1" spans="1:26">
      <c r="A92" s="17"/>
      <c r="B92" s="17"/>
      <c r="C92" s="18"/>
      <c r="D92" s="18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customHeight="1" spans="1:26">
      <c r="A93" s="17"/>
      <c r="B93" s="17"/>
      <c r="C93" s="18"/>
      <c r="D93" s="18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customHeight="1" spans="1:26">
      <c r="A94" s="17"/>
      <c r="B94" s="17"/>
      <c r="C94" s="20"/>
      <c r="D94" s="20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customHeight="1" spans="1:26">
      <c r="A95" s="17"/>
      <c r="B95" s="17"/>
      <c r="C95" s="18"/>
      <c r="D95" s="18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customHeight="1" spans="1:26">
      <c r="A96" s="17"/>
      <c r="B96" s="17"/>
      <c r="C96" s="18"/>
      <c r="D96" s="18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customHeight="1" spans="1:26">
      <c r="A97" s="17"/>
      <c r="B97" s="17"/>
      <c r="C97" s="18"/>
      <c r="D97" s="18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customHeight="1" spans="1:26">
      <c r="A98" s="17"/>
      <c r="B98" s="17"/>
      <c r="C98" s="18"/>
      <c r="D98" s="18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customHeight="1" spans="1:26">
      <c r="A99" s="17"/>
      <c r="B99" s="17"/>
      <c r="C99" s="18"/>
      <c r="D99" s="18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customHeight="1" spans="1:26">
      <c r="A100" s="17"/>
      <c r="B100" s="17"/>
      <c r="C100" s="18"/>
      <c r="D100" s="18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customHeight="1" spans="1:26">
      <c r="A101" s="17"/>
      <c r="B101" s="17"/>
      <c r="C101" s="18"/>
      <c r="D101" s="18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customHeight="1" spans="1:26">
      <c r="A102" s="17"/>
      <c r="B102" s="17"/>
      <c r="C102" s="18"/>
      <c r="D102" s="18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customHeight="1" spans="1:26">
      <c r="A103" s="17"/>
      <c r="B103" s="17"/>
      <c r="C103" s="18"/>
      <c r="D103" s="18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customHeight="1" spans="1:26">
      <c r="A104" s="17"/>
      <c r="B104" s="17"/>
      <c r="C104" s="18"/>
      <c r="D104" s="18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customHeight="1" spans="1:26">
      <c r="A105" s="17"/>
      <c r="B105" s="17"/>
      <c r="C105" s="18"/>
      <c r="D105" s="18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customHeight="1" spans="1:26">
      <c r="A106" s="17"/>
      <c r="B106" s="17"/>
      <c r="C106" s="20"/>
      <c r="D106" s="20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customHeight="1" spans="1:26">
      <c r="A107" s="17"/>
      <c r="B107" s="17"/>
      <c r="C107" s="20"/>
      <c r="D107" s="20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customHeight="1" spans="1:26">
      <c r="A108" s="17"/>
      <c r="B108" s="17"/>
      <c r="C108" s="18"/>
      <c r="D108" s="18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customHeight="1" spans="1:26">
      <c r="A109" s="17"/>
      <c r="B109" s="17"/>
      <c r="C109" s="20"/>
      <c r="D109" s="20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customHeight="1" spans="1:26">
      <c r="A110" s="17"/>
      <c r="B110" s="17"/>
      <c r="C110" s="20"/>
      <c r="D110" s="20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customHeight="1" spans="1:26">
      <c r="A111" s="17"/>
      <c r="B111" s="17"/>
      <c r="C111" s="18"/>
      <c r="D111" s="18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customHeight="1" spans="1:26">
      <c r="A112" s="17"/>
      <c r="B112" s="17"/>
      <c r="C112" s="18"/>
      <c r="D112" s="18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customHeight="1" spans="1:26">
      <c r="A113" s="17"/>
      <c r="B113" s="17"/>
      <c r="C113" s="18"/>
      <c r="D113" s="18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customHeight="1" spans="1:26">
      <c r="A114" s="17"/>
      <c r="B114" s="17"/>
      <c r="C114" s="20"/>
      <c r="D114" s="20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customHeight="1" spans="1:26">
      <c r="A115" s="17"/>
      <c r="B115" s="17"/>
      <c r="C115" s="20"/>
      <c r="D115" s="20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customHeight="1" spans="1:26">
      <c r="A116" s="17"/>
      <c r="B116" s="17"/>
      <c r="C116" s="20"/>
      <c r="D116" s="20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customHeight="1" spans="1:26">
      <c r="A117" s="17"/>
      <c r="B117" s="17"/>
      <c r="C117" s="21"/>
      <c r="D117" s="21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customHeight="1" spans="1:26">
      <c r="A118" s="17"/>
      <c r="B118" s="17"/>
      <c r="C118" s="20"/>
      <c r="D118" s="20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customHeight="1" spans="1:26">
      <c r="A119" s="17"/>
      <c r="B119" s="17"/>
      <c r="C119" s="20"/>
      <c r="D119" s="20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customHeight="1" spans="1:26">
      <c r="A120" s="17"/>
      <c r="B120" s="17"/>
      <c r="C120" s="18"/>
      <c r="D120" s="18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customHeight="1" spans="1:26">
      <c r="A121" s="17"/>
      <c r="B121" s="17"/>
      <c r="C121" s="18"/>
      <c r="D121" s="18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customHeight="1" spans="1:26">
      <c r="A122" s="17"/>
      <c r="B122" s="17"/>
      <c r="C122" s="18"/>
      <c r="D122" s="18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customHeight="1" spans="1:26">
      <c r="A123" s="17"/>
      <c r="B123" s="17"/>
      <c r="C123" s="18"/>
      <c r="D123" s="18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customHeight="1" spans="1:26">
      <c r="A124" s="17"/>
      <c r="B124" s="17"/>
      <c r="C124" s="20"/>
      <c r="D124" s="20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customHeight="1" spans="1:26">
      <c r="A125" s="17"/>
      <c r="B125" s="17"/>
      <c r="C125" s="20"/>
      <c r="D125" s="20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customHeight="1" spans="1:26">
      <c r="A126" s="17"/>
      <c r="B126" s="17"/>
      <c r="C126" s="20"/>
      <c r="D126" s="20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customHeight="1" spans="1:26">
      <c r="A127" s="17"/>
      <c r="B127" s="17"/>
      <c r="C127" s="20"/>
      <c r="D127" s="20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customHeight="1" spans="1:26">
      <c r="A128" s="17"/>
      <c r="B128" s="17"/>
      <c r="C128" s="20"/>
      <c r="D128" s="20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customHeight="1" spans="1:26">
      <c r="A129" s="17"/>
      <c r="B129" s="17"/>
      <c r="C129" s="20"/>
      <c r="D129" s="20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customHeight="1" spans="1:26">
      <c r="A130" s="17"/>
      <c r="B130" s="17"/>
      <c r="C130" s="20"/>
      <c r="D130" s="20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customHeight="1" spans="1:26">
      <c r="A131" s="17"/>
      <c r="B131" s="17"/>
      <c r="C131" s="20"/>
      <c r="D131" s="20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customHeight="1" spans="1:26">
      <c r="A132" s="17"/>
      <c r="B132" s="17"/>
      <c r="C132" s="20"/>
      <c r="D132" s="20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customHeight="1" spans="1:26">
      <c r="A133" s="17"/>
      <c r="B133" s="17"/>
      <c r="C133" s="20"/>
      <c r="D133" s="20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customHeight="1" spans="1:26">
      <c r="A134" s="17"/>
      <c r="B134" s="17"/>
      <c r="C134" s="20"/>
      <c r="D134" s="20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customHeight="1" spans="1:26">
      <c r="A135" s="17"/>
      <c r="B135" s="17"/>
      <c r="C135" s="20"/>
      <c r="D135" s="20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customHeight="1" spans="1:26">
      <c r="A136" s="17"/>
      <c r="B136" s="17"/>
      <c r="C136" s="20"/>
      <c r="D136" s="20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customHeight="1" spans="1:26">
      <c r="A137" s="17"/>
      <c r="B137" s="17"/>
      <c r="C137" s="18"/>
      <c r="D137" s="18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customHeight="1" spans="1:26">
      <c r="A138" s="17"/>
      <c r="B138" s="17"/>
      <c r="C138" s="20"/>
      <c r="D138" s="20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customHeight="1" spans="1:26">
      <c r="A139" s="17"/>
      <c r="B139" s="17"/>
      <c r="C139" s="18"/>
      <c r="D139" s="18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customHeight="1" spans="1:26">
      <c r="A140" s="17"/>
      <c r="B140" s="17"/>
      <c r="C140" s="18"/>
      <c r="D140" s="18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customHeight="1" spans="1:26">
      <c r="A141" s="17"/>
      <c r="B141" s="17"/>
      <c r="C141" s="18"/>
      <c r="D141" s="18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customHeight="1" spans="1:26">
      <c r="A142" s="17"/>
      <c r="B142" s="17"/>
      <c r="C142" s="18"/>
      <c r="D142" s="18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customHeight="1" spans="1:26">
      <c r="A143" s="17"/>
      <c r="B143" s="17"/>
      <c r="C143" s="21"/>
      <c r="D143" s="21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customHeight="1" spans="1:26">
      <c r="A144" s="17"/>
      <c r="B144" s="17"/>
      <c r="C144" s="18"/>
      <c r="D144" s="18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customHeight="1" spans="1:26">
      <c r="A145" s="17"/>
      <c r="B145" s="17"/>
      <c r="C145" s="18"/>
      <c r="D145" s="18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customHeight="1" spans="1:26">
      <c r="A146" s="17"/>
      <c r="B146" s="17"/>
      <c r="C146" s="18"/>
      <c r="D146" s="18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customHeight="1" spans="1:26">
      <c r="A147" s="17"/>
      <c r="B147" s="17"/>
      <c r="C147" s="18"/>
      <c r="D147" s="18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customHeight="1" spans="1:26">
      <c r="A148" s="17"/>
      <c r="B148" s="17"/>
      <c r="C148" s="18"/>
      <c r="D148" s="18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customHeight="1" spans="1:26">
      <c r="A149" s="17"/>
      <c r="B149" s="17"/>
      <c r="C149" s="18"/>
      <c r="D149" s="18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customHeight="1" spans="1:26">
      <c r="A150" s="17"/>
      <c r="B150" s="17"/>
      <c r="C150" s="18"/>
      <c r="D150" s="18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customHeight="1" spans="1:26">
      <c r="A151" s="17"/>
      <c r="B151" s="17"/>
      <c r="C151" s="18"/>
      <c r="D151" s="18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customHeight="1" spans="1:26">
      <c r="A152" s="17"/>
      <c r="B152" s="17"/>
      <c r="C152" s="18"/>
      <c r="D152" s="18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customHeight="1" spans="1:26">
      <c r="A153" s="17"/>
      <c r="B153" s="17"/>
      <c r="C153" s="18"/>
      <c r="D153" s="18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customHeight="1" spans="1:26">
      <c r="A154" s="17"/>
      <c r="B154" s="17"/>
      <c r="C154" s="18"/>
      <c r="D154" s="18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customHeight="1" spans="1:26">
      <c r="A155" s="17"/>
      <c r="B155" s="17"/>
      <c r="C155" s="18"/>
      <c r="D155" s="18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customHeight="1" spans="1:26">
      <c r="A156" s="17"/>
      <c r="B156" s="17"/>
      <c r="C156" s="18"/>
      <c r="D156" s="18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customHeight="1" spans="1:26">
      <c r="A157" s="17"/>
      <c r="B157" s="17"/>
      <c r="C157" s="18"/>
      <c r="D157" s="18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customHeight="1" spans="1:26">
      <c r="A158" s="17"/>
      <c r="B158" s="17"/>
      <c r="C158" s="18"/>
      <c r="D158" s="18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customHeight="1" spans="1:26">
      <c r="A159" s="17"/>
      <c r="B159" s="17"/>
      <c r="C159" s="18"/>
      <c r="D159" s="18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customHeight="1" spans="1:26">
      <c r="A160" s="17"/>
      <c r="B160" s="17"/>
      <c r="C160" s="18"/>
      <c r="D160" s="18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customHeight="1" spans="1:26">
      <c r="A161" s="17"/>
      <c r="B161" s="17"/>
      <c r="C161" s="18"/>
      <c r="D161" s="18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customHeight="1" spans="1:26">
      <c r="A162" s="17"/>
      <c r="B162" s="17"/>
      <c r="C162" s="18"/>
      <c r="D162" s="18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customHeight="1" spans="1:26">
      <c r="A163" s="17"/>
      <c r="B163" s="17"/>
      <c r="C163" s="18"/>
      <c r="D163" s="18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customHeight="1" spans="1:26">
      <c r="A164" s="17"/>
      <c r="B164" s="17"/>
      <c r="C164" s="18"/>
      <c r="D164" s="18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customHeight="1" spans="1:26">
      <c r="A165" s="17"/>
      <c r="B165" s="17"/>
      <c r="C165" s="18"/>
      <c r="D165" s="18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customHeight="1" spans="1:26">
      <c r="A166" s="17"/>
      <c r="B166" s="17"/>
      <c r="C166" s="18"/>
      <c r="D166" s="18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customHeight="1" spans="1:26">
      <c r="A167" s="17"/>
      <c r="B167" s="17"/>
      <c r="C167" s="18"/>
      <c r="D167" s="18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customHeight="1" spans="1:26">
      <c r="A168" s="17"/>
      <c r="B168" s="17"/>
      <c r="C168" s="18"/>
      <c r="D168" s="18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customHeight="1" spans="1:26">
      <c r="A169" s="17"/>
      <c r="B169" s="17"/>
      <c r="C169" s="18"/>
      <c r="D169" s="18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customHeight="1" spans="1:26">
      <c r="A170" s="17"/>
      <c r="B170" s="17"/>
      <c r="C170" s="18"/>
      <c r="D170" s="18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customHeight="1" spans="1:26">
      <c r="A171" s="17"/>
      <c r="B171" s="17"/>
      <c r="C171" s="18"/>
      <c r="D171" s="18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customHeight="1" spans="1:26">
      <c r="A172" s="17"/>
      <c r="B172" s="17"/>
      <c r="C172" s="18"/>
      <c r="D172" s="18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customHeight="1" spans="1:26">
      <c r="A173" s="17"/>
      <c r="B173" s="17"/>
      <c r="C173" s="18"/>
      <c r="D173" s="18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customHeight="1" spans="1:26">
      <c r="A174" s="17"/>
      <c r="B174" s="17"/>
      <c r="C174" s="18"/>
      <c r="D174" s="18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customHeight="1" spans="1:26">
      <c r="A175" s="17"/>
      <c r="B175" s="17"/>
      <c r="C175" s="18"/>
      <c r="D175" s="18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customHeight="1" spans="1:26">
      <c r="A176" s="17"/>
      <c r="B176" s="17"/>
      <c r="C176" s="18"/>
      <c r="D176" s="18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customHeight="1" spans="1:26">
      <c r="A177" s="17"/>
      <c r="B177" s="17"/>
      <c r="C177" s="18"/>
      <c r="D177" s="18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customHeight="1" spans="1:26">
      <c r="A178" s="17"/>
      <c r="B178" s="17"/>
      <c r="C178" s="18"/>
      <c r="D178" s="18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customHeight="1" spans="1:26">
      <c r="A179" s="17"/>
      <c r="B179" s="17"/>
      <c r="C179" s="18"/>
      <c r="D179" s="18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customHeight="1" spans="1:26">
      <c r="A180" s="17"/>
      <c r="B180" s="17"/>
      <c r="C180" s="18"/>
      <c r="D180" s="18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customHeight="1" spans="1:26">
      <c r="A181" s="17"/>
      <c r="B181" s="17"/>
      <c r="C181" s="18"/>
      <c r="D181" s="18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customHeight="1" spans="1:26">
      <c r="A182" s="17"/>
      <c r="B182" s="17"/>
      <c r="C182" s="18"/>
      <c r="D182" s="18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customHeight="1" spans="1:26">
      <c r="A183" s="17"/>
      <c r="B183" s="17"/>
      <c r="C183" s="18"/>
      <c r="D183" s="18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customHeight="1" spans="1:26">
      <c r="A184" s="17"/>
      <c r="B184" s="17"/>
      <c r="C184" s="18"/>
      <c r="D184" s="18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customHeight="1" spans="1:26">
      <c r="A185" s="17"/>
      <c r="B185" s="17"/>
      <c r="C185" s="18"/>
      <c r="D185" s="18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customHeight="1" spans="1:26">
      <c r="A186" s="17"/>
      <c r="B186" s="17"/>
      <c r="C186" s="18"/>
      <c r="D186" s="18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customHeight="1" spans="1:26">
      <c r="A187" s="17"/>
      <c r="B187" s="17"/>
      <c r="C187" s="18"/>
      <c r="D187" s="18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customHeight="1" spans="1:26">
      <c r="A188" s="17"/>
      <c r="B188" s="17"/>
      <c r="C188" s="18"/>
      <c r="D188" s="18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customHeight="1" spans="1:26">
      <c r="A189" s="17"/>
      <c r="B189" s="17"/>
      <c r="C189" s="18"/>
      <c r="D189" s="18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customHeight="1" spans="1:26">
      <c r="A190" s="17"/>
      <c r="B190" s="17"/>
      <c r="C190" s="18"/>
      <c r="D190" s="18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customHeight="1" spans="1:26">
      <c r="A191" s="17"/>
      <c r="B191" s="17"/>
      <c r="C191" s="18"/>
      <c r="D191" s="18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customHeight="1" spans="1:26">
      <c r="A192" s="17"/>
      <c r="B192" s="17"/>
      <c r="C192" s="18"/>
      <c r="D192" s="18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customHeight="1" spans="1:26">
      <c r="A193" s="17"/>
      <c r="B193" s="17"/>
      <c r="C193" s="18"/>
      <c r="D193" s="18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customHeight="1" spans="1:26">
      <c r="A194" s="17"/>
      <c r="B194" s="17"/>
      <c r="C194" s="18"/>
      <c r="D194" s="18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customHeight="1" spans="1:26">
      <c r="A195" s="17"/>
      <c r="B195" s="17"/>
      <c r="C195" s="18"/>
      <c r="D195" s="18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customHeight="1" spans="1:26">
      <c r="A196" s="17"/>
      <c r="B196" s="17"/>
      <c r="C196" s="18"/>
      <c r="D196" s="18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customHeight="1" spans="1:26">
      <c r="A197" s="17"/>
      <c r="B197" s="17"/>
      <c r="C197" s="18"/>
      <c r="D197" s="18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customHeight="1" spans="1:26">
      <c r="A198" s="17"/>
      <c r="B198" s="17"/>
      <c r="C198" s="18"/>
      <c r="D198" s="18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customHeight="1" spans="1:26">
      <c r="A199" s="17"/>
      <c r="B199" s="17"/>
      <c r="C199" s="18"/>
      <c r="D199" s="18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customHeight="1" spans="1:26">
      <c r="A200" s="17"/>
      <c r="B200" s="17"/>
      <c r="C200" s="18"/>
      <c r="D200" s="18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customHeight="1" spans="1:26">
      <c r="A201" s="17"/>
      <c r="B201" s="17"/>
      <c r="C201" s="18"/>
      <c r="D201" s="18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customHeight="1" spans="1:26">
      <c r="A202" s="17"/>
      <c r="B202" s="17"/>
      <c r="C202" s="18"/>
      <c r="D202" s="18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customHeight="1" spans="1:26">
      <c r="A203" s="17"/>
      <c r="B203" s="17"/>
      <c r="C203" s="18"/>
      <c r="D203" s="18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customHeight="1" spans="1:26">
      <c r="A204" s="17"/>
      <c r="B204" s="17"/>
      <c r="C204" s="18"/>
      <c r="D204" s="18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customHeight="1" spans="1:26">
      <c r="A205" s="17"/>
      <c r="B205" s="17"/>
      <c r="C205" s="18"/>
      <c r="D205" s="18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customHeight="1" spans="1:26">
      <c r="A206" s="17"/>
      <c r="B206" s="17"/>
      <c r="C206" s="18"/>
      <c r="D206" s="18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customHeight="1" spans="1:26">
      <c r="A207" s="17"/>
      <c r="B207" s="17"/>
      <c r="C207" s="18"/>
      <c r="D207" s="18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customHeight="1" spans="1:26">
      <c r="A208" s="17"/>
      <c r="B208" s="17"/>
      <c r="C208" s="18"/>
      <c r="D208" s="18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customHeight="1" spans="1:26">
      <c r="A209" s="17"/>
      <c r="B209" s="17"/>
      <c r="C209" s="18"/>
      <c r="D209" s="18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customHeight="1" spans="1:26">
      <c r="A210" s="17"/>
      <c r="B210" s="17"/>
      <c r="C210" s="18"/>
      <c r="D210" s="18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customHeight="1" spans="1:26">
      <c r="A211" s="17"/>
      <c r="B211" s="17"/>
      <c r="C211" s="18"/>
      <c r="D211" s="18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customHeight="1" spans="1:26">
      <c r="A212" s="17"/>
      <c r="B212" s="17"/>
      <c r="C212" s="18"/>
      <c r="D212" s="18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customHeight="1" spans="1:26">
      <c r="A213" s="17"/>
      <c r="B213" s="17"/>
      <c r="C213" s="18"/>
      <c r="D213" s="18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customHeight="1" spans="1:26">
      <c r="A214" s="17"/>
      <c r="B214" s="17"/>
      <c r="C214" s="18"/>
      <c r="D214" s="18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customHeight="1" spans="1:26">
      <c r="A215" s="17"/>
      <c r="B215" s="17"/>
      <c r="C215" s="18"/>
      <c r="D215" s="18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customHeight="1" spans="1:26">
      <c r="A216" s="17"/>
      <c r="B216" s="17"/>
      <c r="C216" s="18"/>
      <c r="D216" s="18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customHeight="1" spans="1:26">
      <c r="A217" s="17"/>
      <c r="B217" s="17"/>
      <c r="C217" s="18"/>
      <c r="D217" s="18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customHeight="1" spans="1:26">
      <c r="A218" s="17"/>
      <c r="B218" s="17"/>
      <c r="C218" s="18"/>
      <c r="D218" s="18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customHeight="1" spans="1:26">
      <c r="A219" s="17"/>
      <c r="B219" s="17"/>
      <c r="C219" s="18"/>
      <c r="D219" s="18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customHeight="1" spans="1:26">
      <c r="A220" s="17"/>
      <c r="B220" s="17"/>
      <c r="C220" s="18"/>
      <c r="D220" s="18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customHeight="1" spans="1:26">
      <c r="A221" s="17"/>
      <c r="B221" s="17"/>
      <c r="C221" s="18"/>
      <c r="D221" s="18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customHeight="1" spans="1:26">
      <c r="A222" s="17"/>
      <c r="B222" s="17"/>
      <c r="C222" s="18"/>
      <c r="D222" s="18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customHeight="1" spans="1:26">
      <c r="A223" s="17"/>
      <c r="B223" s="17"/>
      <c r="C223" s="18"/>
      <c r="D223" s="18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customHeight="1" spans="1:26">
      <c r="A224" s="17"/>
      <c r="B224" s="17"/>
      <c r="C224" s="18"/>
      <c r="D224" s="18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customHeight="1" spans="1:26">
      <c r="A225" s="17"/>
      <c r="B225" s="17"/>
      <c r="C225" s="18"/>
      <c r="D225" s="18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customHeight="1" spans="1:26">
      <c r="A226" s="17"/>
      <c r="B226" s="17"/>
      <c r="C226" s="18"/>
      <c r="D226" s="18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customHeight="1" spans="1:26">
      <c r="A227" s="17"/>
      <c r="B227" s="17"/>
      <c r="C227" s="18"/>
      <c r="D227" s="18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customHeight="1" spans="1:26">
      <c r="A228" s="17"/>
      <c r="B228" s="17"/>
      <c r="C228" s="18"/>
      <c r="D228" s="18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customHeight="1" spans="1:26">
      <c r="A229" s="17"/>
      <c r="B229" s="17"/>
      <c r="C229" s="18"/>
      <c r="D229" s="18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customHeight="1" spans="1:26">
      <c r="A230" s="17"/>
      <c r="B230" s="17"/>
      <c r="C230" s="18"/>
      <c r="D230" s="18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customHeight="1" spans="1:26">
      <c r="A231" s="17"/>
      <c r="B231" s="17"/>
      <c r="C231" s="18"/>
      <c r="D231" s="18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customHeight="1" spans="1:26">
      <c r="A232" s="17"/>
      <c r="B232" s="17"/>
      <c r="C232" s="18"/>
      <c r="D232" s="18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customHeight="1" spans="1:26">
      <c r="A233" s="17"/>
      <c r="B233" s="17"/>
      <c r="C233" s="18"/>
      <c r="D233" s="18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customHeight="1" spans="1:26">
      <c r="A234" s="17"/>
      <c r="B234" s="17"/>
      <c r="C234" s="18"/>
      <c r="D234" s="18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customHeight="1" spans="1:26">
      <c r="A235" s="17"/>
      <c r="B235" s="17"/>
      <c r="C235" s="18"/>
      <c r="D235" s="18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customHeight="1" spans="1:26">
      <c r="A236" s="17"/>
      <c r="B236" s="17"/>
      <c r="C236" s="18"/>
      <c r="D236" s="18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customHeight="1" spans="1:26">
      <c r="A237" s="17"/>
      <c r="B237" s="17"/>
      <c r="C237" s="18"/>
      <c r="D237" s="18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customHeight="1" spans="1:26">
      <c r="A238" s="17"/>
      <c r="B238" s="17"/>
      <c r="C238" s="18"/>
      <c r="D238" s="18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customHeight="1" spans="1:26">
      <c r="A239" s="17"/>
      <c r="B239" s="17"/>
      <c r="C239" s="18"/>
      <c r="D239" s="18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customHeight="1" spans="1:26">
      <c r="A240" s="17"/>
      <c r="B240" s="17"/>
      <c r="C240" s="18"/>
      <c r="D240" s="18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customHeight="1" spans="1:26">
      <c r="A241" s="17"/>
      <c r="B241" s="17"/>
      <c r="C241" s="18"/>
      <c r="D241" s="18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customHeight="1" spans="1:26">
      <c r="A242" s="17"/>
      <c r="B242" s="17"/>
      <c r="C242" s="18"/>
      <c r="D242" s="18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customHeight="1" spans="1:26">
      <c r="A243" s="17"/>
      <c r="B243" s="17"/>
      <c r="C243" s="18"/>
      <c r="D243" s="18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customHeight="1" spans="1:26">
      <c r="A244" s="17"/>
      <c r="B244" s="17"/>
      <c r="C244" s="18"/>
      <c r="D244" s="18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customHeight="1" spans="1:26">
      <c r="A245" s="17"/>
      <c r="B245" s="17"/>
      <c r="C245" s="18"/>
      <c r="D245" s="18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customHeight="1" spans="1:26">
      <c r="A246" s="17"/>
      <c r="B246" s="17"/>
      <c r="C246" s="18"/>
      <c r="D246" s="18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customHeight="1" spans="1:26">
      <c r="A247" s="17"/>
      <c r="B247" s="17"/>
      <c r="C247" s="18"/>
      <c r="D247" s="18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customHeight="1" spans="1:26">
      <c r="A248" s="17"/>
      <c r="B248" s="17"/>
      <c r="C248" s="18"/>
      <c r="D248" s="18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customHeight="1" spans="1:26">
      <c r="A249" s="17"/>
      <c r="B249" s="17"/>
      <c r="C249" s="18"/>
      <c r="D249" s="18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customHeight="1" spans="1:26">
      <c r="A250" s="17"/>
      <c r="B250" s="17"/>
      <c r="C250" s="18"/>
      <c r="D250" s="18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customHeight="1" spans="1:26">
      <c r="A251" s="17"/>
      <c r="B251" s="17"/>
      <c r="C251" s="18"/>
      <c r="D251" s="18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customHeight="1" spans="1:26">
      <c r="A252" s="17"/>
      <c r="B252" s="17"/>
      <c r="C252" s="18"/>
      <c r="D252" s="18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customHeight="1" spans="1:26">
      <c r="A253" s="17"/>
      <c r="B253" s="17"/>
      <c r="C253" s="18"/>
      <c r="D253" s="18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customHeight="1" spans="1:26">
      <c r="A254" s="17"/>
      <c r="B254" s="17"/>
      <c r="C254" s="18"/>
      <c r="D254" s="18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customHeight="1" spans="1:26">
      <c r="A255" s="17"/>
      <c r="B255" s="17"/>
      <c r="C255" s="18"/>
      <c r="D255" s="18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customHeight="1" spans="1:26">
      <c r="A256" s="17"/>
      <c r="B256" s="17"/>
      <c r="C256" s="18"/>
      <c r="D256" s="18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customHeight="1" spans="1:26">
      <c r="A257" s="17"/>
      <c r="B257" s="17"/>
      <c r="C257" s="18"/>
      <c r="D257" s="18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customHeight="1" spans="1:26">
      <c r="A258" s="17"/>
      <c r="B258" s="17"/>
      <c r="C258" s="18"/>
      <c r="D258" s="18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customHeight="1" spans="1:26">
      <c r="A259" s="17"/>
      <c r="B259" s="17"/>
      <c r="C259" s="18"/>
      <c r="D259" s="18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customHeight="1" spans="1:26">
      <c r="A260" s="17"/>
      <c r="B260" s="17"/>
      <c r="C260" s="18"/>
      <c r="D260" s="18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customHeight="1" spans="1:26">
      <c r="A261" s="17"/>
      <c r="B261" s="17"/>
      <c r="C261" s="18"/>
      <c r="D261" s="18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customHeight="1" spans="1:26">
      <c r="A262" s="17"/>
      <c r="B262" s="17"/>
      <c r="C262" s="18"/>
      <c r="D262" s="18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customHeight="1" spans="1:26">
      <c r="A263" s="17"/>
      <c r="B263" s="17"/>
      <c r="C263" s="18"/>
      <c r="D263" s="18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customHeight="1" spans="1:26">
      <c r="A264" s="17"/>
      <c r="B264" s="17"/>
      <c r="C264" s="18"/>
      <c r="D264" s="18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customHeight="1" spans="1:26">
      <c r="A265" s="17"/>
      <c r="B265" s="17"/>
      <c r="C265" s="18"/>
      <c r="D265" s="18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customHeight="1" spans="1:26">
      <c r="A266" s="17"/>
      <c r="B266" s="17"/>
      <c r="C266" s="18"/>
      <c r="D266" s="18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customHeight="1" spans="1:26">
      <c r="A267" s="17"/>
      <c r="B267" s="17"/>
      <c r="C267" s="18"/>
      <c r="D267" s="18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customHeight="1" spans="1:26">
      <c r="A268" s="17"/>
      <c r="B268" s="17"/>
      <c r="C268" s="18"/>
      <c r="D268" s="18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customHeight="1" spans="1:26">
      <c r="A269" s="17"/>
      <c r="B269" s="17"/>
      <c r="C269" s="18"/>
      <c r="D269" s="18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customHeight="1" spans="1:26">
      <c r="A270" s="17"/>
      <c r="B270" s="17"/>
      <c r="C270" s="18"/>
      <c r="D270" s="18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customHeight="1" spans="1:26">
      <c r="A271" s="17"/>
      <c r="B271" s="17"/>
      <c r="C271" s="18"/>
      <c r="D271" s="18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customHeight="1" spans="1:26">
      <c r="A272" s="17"/>
      <c r="B272" s="17"/>
      <c r="C272" s="18"/>
      <c r="D272" s="18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customHeight="1" spans="1:26">
      <c r="A273" s="17"/>
      <c r="B273" s="17"/>
      <c r="C273" s="18"/>
      <c r="D273" s="18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customHeight="1" spans="1:26">
      <c r="A274" s="17"/>
      <c r="B274" s="17"/>
      <c r="C274" s="18"/>
      <c r="D274" s="18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customHeight="1" spans="1:26">
      <c r="A275" s="17"/>
      <c r="B275" s="17"/>
      <c r="C275" s="18"/>
      <c r="D275" s="18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customHeight="1" spans="1:26">
      <c r="A276" s="17"/>
      <c r="B276" s="17"/>
      <c r="C276" s="18"/>
      <c r="D276" s="18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customHeight="1" spans="1:26">
      <c r="A277" s="17"/>
      <c r="B277" s="17"/>
      <c r="C277" s="18"/>
      <c r="D277" s="18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customHeight="1" spans="1:26">
      <c r="A278" s="17"/>
      <c r="B278" s="17"/>
      <c r="C278" s="18"/>
      <c r="D278" s="18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customHeight="1" spans="1:26">
      <c r="A279" s="17"/>
      <c r="B279" s="17"/>
      <c r="C279" s="18"/>
      <c r="D279" s="18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customHeight="1" spans="1:26">
      <c r="A280" s="17"/>
      <c r="B280" s="17"/>
      <c r="C280" s="18"/>
      <c r="D280" s="18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customHeight="1" spans="1:26">
      <c r="A281" s="17"/>
      <c r="B281" s="17"/>
      <c r="C281" s="18"/>
      <c r="D281" s="18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customHeight="1" spans="1:26">
      <c r="A282" s="17"/>
      <c r="B282" s="17"/>
      <c r="C282" s="18"/>
      <c r="D282" s="18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customHeight="1" spans="1:26">
      <c r="A283" s="17"/>
      <c r="B283" s="17"/>
      <c r="C283" s="18"/>
      <c r="D283" s="18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customHeight="1" spans="1:26">
      <c r="A284" s="17"/>
      <c r="B284" s="17"/>
      <c r="C284" s="18"/>
      <c r="D284" s="18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customHeight="1" spans="1:26">
      <c r="A285" s="17"/>
      <c r="B285" s="17"/>
      <c r="C285" s="18"/>
      <c r="D285" s="18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customHeight="1" spans="1:26">
      <c r="A286" s="17"/>
      <c r="B286" s="17"/>
      <c r="C286" s="18"/>
      <c r="D286" s="18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customHeight="1" spans="1:26">
      <c r="A287" s="17"/>
      <c r="B287" s="17"/>
      <c r="C287" s="18"/>
      <c r="D287" s="18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customHeight="1" spans="1:26">
      <c r="A288" s="17"/>
      <c r="B288" s="17"/>
      <c r="C288" s="18"/>
      <c r="D288" s="18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customHeight="1" spans="1:26">
      <c r="A289" s="17"/>
      <c r="B289" s="17"/>
      <c r="C289" s="18"/>
      <c r="D289" s="18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customHeight="1" spans="1:26">
      <c r="A290" s="17"/>
      <c r="B290" s="17"/>
      <c r="C290" s="18"/>
      <c r="D290" s="18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customHeight="1" spans="1:26">
      <c r="A291" s="17"/>
      <c r="B291" s="17"/>
      <c r="C291" s="18"/>
      <c r="D291" s="18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customHeight="1" spans="1:26">
      <c r="A292" s="17"/>
      <c r="B292" s="17"/>
      <c r="C292" s="18"/>
      <c r="D292" s="18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customHeight="1" spans="1:26">
      <c r="A293" s="17"/>
      <c r="B293" s="17"/>
      <c r="C293" s="18"/>
      <c r="D293" s="18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customHeight="1" spans="1:26">
      <c r="A294" s="17"/>
      <c r="B294" s="17"/>
      <c r="C294" s="18"/>
      <c r="D294" s="18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customHeight="1" spans="1:26">
      <c r="A295" s="17"/>
      <c r="B295" s="17"/>
      <c r="C295" s="18"/>
      <c r="D295" s="18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customHeight="1" spans="1:26">
      <c r="A296" s="17"/>
      <c r="B296" s="17"/>
      <c r="C296" s="18"/>
      <c r="D296" s="18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customHeight="1" spans="1:26">
      <c r="A297" s="17"/>
      <c r="B297" s="17"/>
      <c r="C297" s="18"/>
      <c r="D297" s="18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customHeight="1" spans="1:26">
      <c r="A298" s="17"/>
      <c r="B298" s="17"/>
      <c r="C298" s="18"/>
      <c r="D298" s="18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customHeight="1" spans="1:26">
      <c r="A299" s="17"/>
      <c r="B299" s="17"/>
      <c r="C299" s="18"/>
      <c r="D299" s="18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customHeight="1" spans="1:26">
      <c r="A300" s="17"/>
      <c r="B300" s="17"/>
      <c r="C300" s="18"/>
      <c r="D300" s="18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customHeight="1" spans="1:26">
      <c r="A301" s="17"/>
      <c r="B301" s="17"/>
      <c r="C301" s="18"/>
      <c r="D301" s="18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customHeight="1" spans="1:26">
      <c r="A302" s="17"/>
      <c r="B302" s="17"/>
      <c r="C302" s="18"/>
      <c r="D302" s="18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customHeight="1" spans="1:26">
      <c r="A303" s="17"/>
      <c r="B303" s="17"/>
      <c r="C303" s="18"/>
      <c r="D303" s="18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customHeight="1" spans="1:26">
      <c r="A304" s="17"/>
      <c r="B304" s="17"/>
      <c r="C304" s="18"/>
      <c r="D304" s="18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customHeight="1" spans="1:26">
      <c r="A305" s="17"/>
      <c r="B305" s="17"/>
      <c r="C305" s="18"/>
      <c r="D305" s="18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customHeight="1" spans="1:26">
      <c r="A306" s="17"/>
      <c r="B306" s="17"/>
      <c r="C306" s="18"/>
      <c r="D306" s="18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customHeight="1" spans="1:26">
      <c r="A307" s="17"/>
      <c r="B307" s="17"/>
      <c r="C307" s="18"/>
      <c r="D307" s="18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customHeight="1" spans="1:26">
      <c r="A308" s="17"/>
      <c r="B308" s="17"/>
      <c r="C308" s="18"/>
      <c r="D308" s="18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customHeight="1" spans="1:26">
      <c r="A309" s="17"/>
      <c r="B309" s="17"/>
      <c r="C309" s="18"/>
      <c r="D309" s="18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customHeight="1" spans="1:26">
      <c r="A310" s="17"/>
      <c r="B310" s="17"/>
      <c r="C310" s="18"/>
      <c r="D310" s="18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customHeight="1" spans="1:26">
      <c r="A311" s="17"/>
      <c r="B311" s="17"/>
      <c r="C311" s="18"/>
      <c r="D311" s="18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customHeight="1" spans="1:26">
      <c r="A312" s="17"/>
      <c r="B312" s="17"/>
      <c r="C312" s="18"/>
      <c r="D312" s="18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customHeight="1" spans="1:26">
      <c r="A313" s="17"/>
      <c r="B313" s="17"/>
      <c r="C313" s="18"/>
      <c r="D313" s="18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customHeight="1" spans="1:26">
      <c r="A314" s="17"/>
      <c r="B314" s="17"/>
      <c r="C314" s="18"/>
      <c r="D314" s="18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customHeight="1" spans="1:26">
      <c r="A315" s="17"/>
      <c r="B315" s="17"/>
      <c r="C315" s="18"/>
      <c r="D315" s="18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customHeight="1" spans="1:26">
      <c r="A316" s="17"/>
      <c r="B316" s="17"/>
      <c r="C316" s="18"/>
      <c r="D316" s="18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customHeight="1" spans="1:26">
      <c r="A317" s="17"/>
      <c r="B317" s="17"/>
      <c r="C317" s="18"/>
      <c r="D317" s="18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customHeight="1" spans="1:26">
      <c r="A318" s="17"/>
      <c r="B318" s="17"/>
      <c r="C318" s="18"/>
      <c r="D318" s="18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customHeight="1" spans="1:26">
      <c r="A319" s="17"/>
      <c r="B319" s="17"/>
      <c r="C319" s="18"/>
      <c r="D319" s="18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customHeight="1" spans="1:26">
      <c r="A320" s="17"/>
      <c r="B320" s="17"/>
      <c r="C320" s="18"/>
      <c r="D320" s="18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customHeight="1" spans="1:26">
      <c r="A321" s="17"/>
      <c r="B321" s="17"/>
      <c r="C321" s="18"/>
      <c r="D321" s="18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customHeight="1" spans="1:26">
      <c r="A322" s="17"/>
      <c r="B322" s="17"/>
      <c r="C322" s="18"/>
      <c r="D322" s="18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customHeight="1" spans="1:26">
      <c r="A323" s="17"/>
      <c r="B323" s="17"/>
      <c r="C323" s="18"/>
      <c r="D323" s="18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customHeight="1" spans="1:26">
      <c r="A324" s="17"/>
      <c r="B324" s="17"/>
      <c r="C324" s="18"/>
      <c r="D324" s="18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customHeight="1" spans="1:26">
      <c r="A325" s="17"/>
      <c r="B325" s="17"/>
      <c r="C325" s="18"/>
      <c r="D325" s="18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customHeight="1" spans="1:26">
      <c r="A326" s="17"/>
      <c r="B326" s="17"/>
      <c r="C326" s="18"/>
      <c r="D326" s="18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customHeight="1" spans="1:26">
      <c r="A327" s="17"/>
      <c r="B327" s="17"/>
      <c r="C327" s="18"/>
      <c r="D327" s="18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customHeight="1" spans="1:26">
      <c r="A328" s="17"/>
      <c r="B328" s="17"/>
      <c r="C328" s="18"/>
      <c r="D328" s="18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customHeight="1" spans="1:26">
      <c r="A329" s="17"/>
      <c r="B329" s="17"/>
      <c r="C329" s="18"/>
      <c r="D329" s="18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customHeight="1" spans="1:26">
      <c r="A330" s="17"/>
      <c r="B330" s="17"/>
      <c r="C330" s="18"/>
      <c r="D330" s="18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customHeight="1" spans="1:26">
      <c r="A331" s="17"/>
      <c r="B331" s="17"/>
      <c r="C331" s="18"/>
      <c r="D331" s="18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customHeight="1" spans="1:26">
      <c r="A332" s="17"/>
      <c r="B332" s="17"/>
      <c r="C332" s="18"/>
      <c r="D332" s="18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customHeight="1" spans="1:26">
      <c r="A333" s="17"/>
      <c r="B333" s="17"/>
      <c r="C333" s="18"/>
      <c r="D333" s="18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customHeight="1" spans="1:26">
      <c r="A334" s="17"/>
      <c r="B334" s="17"/>
      <c r="C334" s="18"/>
      <c r="D334" s="18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customHeight="1" spans="1:26">
      <c r="A335" s="17"/>
      <c r="B335" s="17"/>
      <c r="C335" s="18"/>
      <c r="D335" s="18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customHeight="1" spans="1:26">
      <c r="A336" s="17"/>
      <c r="B336" s="17"/>
      <c r="C336" s="18"/>
      <c r="D336" s="18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customHeight="1" spans="1:26">
      <c r="A337" s="17"/>
      <c r="B337" s="17"/>
      <c r="C337" s="18"/>
      <c r="D337" s="18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customHeight="1" spans="1:26">
      <c r="A338" s="17"/>
      <c r="B338" s="17"/>
      <c r="C338" s="18"/>
      <c r="D338" s="18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customHeight="1" spans="1:26">
      <c r="A339" s="17"/>
      <c r="B339" s="17"/>
      <c r="C339" s="18"/>
      <c r="D339" s="18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customHeight="1" spans="1:26">
      <c r="A340" s="17"/>
      <c r="B340" s="17"/>
      <c r="C340" s="18"/>
      <c r="D340" s="18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customHeight="1" spans="1:26">
      <c r="A341" s="17"/>
      <c r="B341" s="17"/>
      <c r="C341" s="18"/>
      <c r="D341" s="18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customHeight="1" spans="1:26">
      <c r="A342" s="17"/>
      <c r="B342" s="17"/>
      <c r="C342" s="18"/>
      <c r="D342" s="18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customHeight="1" spans="1:26">
      <c r="A343" s="17"/>
      <c r="B343" s="17"/>
      <c r="C343" s="18"/>
      <c r="D343" s="18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customHeight="1" spans="1:26">
      <c r="A344" s="17"/>
      <c r="B344" s="17"/>
      <c r="C344" s="18"/>
      <c r="D344" s="18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customHeight="1" spans="1:26">
      <c r="A345" s="17"/>
      <c r="B345" s="17"/>
      <c r="C345" s="18"/>
      <c r="D345" s="18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customHeight="1" spans="1:26">
      <c r="A346" s="17"/>
      <c r="B346" s="17"/>
      <c r="C346" s="18"/>
      <c r="D346" s="18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customHeight="1" spans="1:26">
      <c r="A347" s="17"/>
      <c r="B347" s="17"/>
      <c r="C347" s="18"/>
      <c r="D347" s="18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customHeight="1" spans="1:26">
      <c r="A348" s="17"/>
      <c r="B348" s="17"/>
      <c r="C348" s="18"/>
      <c r="D348" s="18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customHeight="1" spans="1:26">
      <c r="A349" s="17"/>
      <c r="B349" s="17"/>
      <c r="C349" s="18"/>
      <c r="D349" s="18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customHeight="1" spans="1:26">
      <c r="A350" s="17"/>
      <c r="B350" s="17"/>
      <c r="C350" s="18"/>
      <c r="D350" s="18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customHeight="1" spans="1:26">
      <c r="A351" s="17"/>
      <c r="B351" s="17"/>
      <c r="C351" s="18"/>
      <c r="D351" s="18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customHeight="1" spans="1:26">
      <c r="A352" s="17"/>
      <c r="B352" s="17"/>
      <c r="C352" s="18"/>
      <c r="D352" s="18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customHeight="1" spans="1:26">
      <c r="A353" s="17"/>
      <c r="B353" s="17"/>
      <c r="C353" s="18"/>
      <c r="D353" s="18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customHeight="1" spans="1:26">
      <c r="A354" s="17"/>
      <c r="B354" s="17"/>
      <c r="C354" s="18"/>
      <c r="D354" s="18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customHeight="1" spans="1:26">
      <c r="A355" s="17"/>
      <c r="B355" s="17"/>
      <c r="C355" s="18"/>
      <c r="D355" s="18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customHeight="1" spans="1:26">
      <c r="A356" s="17"/>
      <c r="B356" s="17"/>
      <c r="C356" s="18"/>
      <c r="D356" s="18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customHeight="1" spans="1:26">
      <c r="A357" s="17"/>
      <c r="B357" s="17"/>
      <c r="C357" s="18"/>
      <c r="D357" s="18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customHeight="1" spans="1:26">
      <c r="A358" s="17"/>
      <c r="B358" s="17"/>
      <c r="C358" s="18"/>
      <c r="D358" s="18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customHeight="1" spans="1:26">
      <c r="A359" s="17"/>
      <c r="B359" s="17"/>
      <c r="C359" s="18"/>
      <c r="D359" s="18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customHeight="1" spans="1:26">
      <c r="A360" s="17"/>
      <c r="B360" s="17"/>
      <c r="C360" s="18"/>
      <c r="D360" s="18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customHeight="1" spans="1:26">
      <c r="A361" s="17"/>
      <c r="B361" s="17"/>
      <c r="C361" s="18"/>
      <c r="D361" s="18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customHeight="1" spans="1:26">
      <c r="A362" s="17"/>
      <c r="B362" s="17"/>
      <c r="C362" s="18"/>
      <c r="D362" s="18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customHeight="1" spans="1:26">
      <c r="A363" s="17"/>
      <c r="B363" s="17"/>
      <c r="C363" s="18"/>
      <c r="D363" s="18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customHeight="1" spans="1:26">
      <c r="A364" s="17"/>
      <c r="B364" s="17"/>
      <c r="C364" s="18"/>
      <c r="D364" s="18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customHeight="1" spans="1:26">
      <c r="A365" s="17"/>
      <c r="B365" s="17"/>
      <c r="C365" s="18"/>
      <c r="D365" s="18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customHeight="1" spans="1:26">
      <c r="A366" s="17"/>
      <c r="B366" s="17"/>
      <c r="C366" s="18"/>
      <c r="D366" s="18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customHeight="1" spans="1:26">
      <c r="A367" s="17"/>
      <c r="B367" s="17"/>
      <c r="C367" s="18"/>
      <c r="D367" s="18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customHeight="1" spans="1:26">
      <c r="A368" s="17"/>
      <c r="B368" s="17"/>
      <c r="C368" s="18"/>
      <c r="D368" s="18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customHeight="1" spans="1:26">
      <c r="A369" s="17"/>
      <c r="B369" s="17"/>
      <c r="C369" s="18"/>
      <c r="D369" s="18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customHeight="1" spans="1:26">
      <c r="A370" s="17"/>
      <c r="B370" s="17"/>
      <c r="C370" s="18"/>
      <c r="D370" s="18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customHeight="1" spans="1:26">
      <c r="A371" s="17"/>
      <c r="B371" s="17"/>
      <c r="C371" s="18"/>
      <c r="D371" s="18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customHeight="1" spans="1:26">
      <c r="A372" s="17"/>
      <c r="B372" s="17"/>
      <c r="C372" s="18"/>
      <c r="D372" s="18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customHeight="1" spans="1:26">
      <c r="A373" s="17"/>
      <c r="B373" s="17"/>
      <c r="C373" s="18"/>
      <c r="D373" s="18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customHeight="1" spans="1:26">
      <c r="A374" s="17"/>
      <c r="B374" s="17"/>
      <c r="C374" s="18"/>
      <c r="D374" s="18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customHeight="1" spans="1:26">
      <c r="A375" s="17"/>
      <c r="B375" s="17"/>
      <c r="C375" s="18"/>
      <c r="D375" s="18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customHeight="1" spans="1:26">
      <c r="A376" s="17"/>
      <c r="B376" s="17"/>
      <c r="C376" s="18"/>
      <c r="D376" s="18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customHeight="1" spans="1:26">
      <c r="A377" s="17"/>
      <c r="B377" s="17"/>
      <c r="C377" s="18"/>
      <c r="D377" s="18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customHeight="1" spans="1:26">
      <c r="A378" s="17"/>
      <c r="B378" s="17"/>
      <c r="C378" s="18"/>
      <c r="D378" s="18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customHeight="1" spans="1:26">
      <c r="A379" s="17"/>
      <c r="B379" s="17"/>
      <c r="C379" s="18"/>
      <c r="D379" s="18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customHeight="1" spans="1:26">
      <c r="A380" s="17"/>
      <c r="B380" s="17"/>
      <c r="C380" s="18"/>
      <c r="D380" s="18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customHeight="1" spans="1:26">
      <c r="A381" s="17"/>
      <c r="B381" s="17"/>
      <c r="C381" s="18"/>
      <c r="D381" s="18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customHeight="1" spans="1:26">
      <c r="A382" s="17"/>
      <c r="B382" s="17"/>
      <c r="C382" s="18"/>
      <c r="D382" s="18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customHeight="1" spans="1:26">
      <c r="A383" s="17"/>
      <c r="B383" s="17"/>
      <c r="C383" s="18"/>
      <c r="D383" s="18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customHeight="1" spans="1:26">
      <c r="A384" s="17"/>
      <c r="B384" s="17"/>
      <c r="C384" s="18"/>
      <c r="D384" s="18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customHeight="1" spans="1:26">
      <c r="A385" s="17"/>
      <c r="B385" s="17"/>
      <c r="C385" s="18"/>
      <c r="D385" s="18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customHeight="1" spans="1:26">
      <c r="A386" s="17"/>
      <c r="B386" s="17"/>
      <c r="C386" s="18"/>
      <c r="D386" s="18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customHeight="1" spans="1:26">
      <c r="A387" s="17"/>
      <c r="B387" s="17"/>
      <c r="C387" s="18"/>
      <c r="D387" s="18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customHeight="1" spans="1:26">
      <c r="A388" s="17"/>
      <c r="B388" s="17"/>
      <c r="C388" s="18"/>
      <c r="D388" s="18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customHeight="1" spans="1:26">
      <c r="A389" s="17"/>
      <c r="B389" s="17"/>
      <c r="C389" s="18"/>
      <c r="D389" s="18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customHeight="1" spans="1:26">
      <c r="A390" s="17"/>
      <c r="B390" s="17"/>
      <c r="C390" s="18"/>
      <c r="D390" s="18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customHeight="1" spans="1:26">
      <c r="A391" s="17"/>
      <c r="B391" s="17"/>
      <c r="C391" s="18"/>
      <c r="D391" s="18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customHeight="1" spans="1:26">
      <c r="A392" s="17"/>
      <c r="B392" s="17"/>
      <c r="C392" s="18"/>
      <c r="D392" s="18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customHeight="1" spans="1:26">
      <c r="A393" s="17"/>
      <c r="B393" s="17"/>
      <c r="C393" s="18"/>
      <c r="D393" s="18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customHeight="1" spans="1:26">
      <c r="A394" s="17"/>
      <c r="B394" s="17"/>
      <c r="C394" s="18"/>
      <c r="D394" s="18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customHeight="1" spans="1:26">
      <c r="A395" s="17"/>
      <c r="B395" s="17"/>
      <c r="C395" s="18"/>
      <c r="D395" s="18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customHeight="1" spans="1:26">
      <c r="A396" s="17"/>
      <c r="B396" s="17"/>
      <c r="C396" s="18"/>
      <c r="D396" s="18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customHeight="1" spans="1:26">
      <c r="A397" s="17"/>
      <c r="B397" s="17"/>
      <c r="C397" s="18"/>
      <c r="D397" s="18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customHeight="1" spans="1:26">
      <c r="A398" s="17"/>
      <c r="B398" s="17"/>
      <c r="C398" s="18"/>
      <c r="D398" s="18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customHeight="1" spans="1:26">
      <c r="A399" s="17"/>
      <c r="B399" s="17"/>
      <c r="C399" s="18"/>
      <c r="D399" s="18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customHeight="1" spans="1:26">
      <c r="A400" s="17"/>
      <c r="B400" s="17"/>
      <c r="C400" s="18"/>
      <c r="D400" s="18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customHeight="1" spans="1:26">
      <c r="A401" s="17"/>
      <c r="B401" s="17"/>
      <c r="C401" s="18"/>
      <c r="D401" s="18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customHeight="1" spans="1:26">
      <c r="A402" s="17"/>
      <c r="B402" s="17"/>
      <c r="C402" s="18"/>
      <c r="D402" s="18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customHeight="1" spans="1:26">
      <c r="A403" s="17"/>
      <c r="B403" s="17"/>
      <c r="C403" s="18"/>
      <c r="D403" s="18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customHeight="1" spans="1:26">
      <c r="A404" s="17"/>
      <c r="B404" s="17"/>
      <c r="C404" s="18"/>
      <c r="D404" s="18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customHeight="1" spans="1:26">
      <c r="A405" s="17"/>
      <c r="B405" s="17"/>
      <c r="C405" s="18"/>
      <c r="D405" s="18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customHeight="1" spans="1:26">
      <c r="A406" s="17"/>
      <c r="B406" s="17"/>
      <c r="C406" s="18"/>
      <c r="D406" s="18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customHeight="1" spans="1:26">
      <c r="A407" s="17"/>
      <c r="B407" s="17"/>
      <c r="C407" s="18"/>
      <c r="D407" s="18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customHeight="1" spans="1:26">
      <c r="A408" s="17"/>
      <c r="B408" s="17"/>
      <c r="C408" s="18"/>
      <c r="D408" s="18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customHeight="1" spans="1:26">
      <c r="A409" s="17"/>
      <c r="B409" s="17"/>
      <c r="C409" s="18"/>
      <c r="D409" s="18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customHeight="1" spans="1:26">
      <c r="A410" s="17"/>
      <c r="B410" s="17"/>
      <c r="C410" s="18"/>
      <c r="D410" s="18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customHeight="1" spans="1:26">
      <c r="A411" s="17"/>
      <c r="B411" s="17"/>
      <c r="C411" s="18"/>
      <c r="D411" s="18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customHeight="1" spans="1:26">
      <c r="A412" s="17"/>
      <c r="B412" s="17"/>
      <c r="C412" s="18"/>
      <c r="D412" s="18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customHeight="1" spans="1:26">
      <c r="A413" s="17"/>
      <c r="B413" s="17"/>
      <c r="C413" s="18"/>
      <c r="D413" s="18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customHeight="1" spans="1:26">
      <c r="A414" s="17"/>
      <c r="B414" s="17"/>
      <c r="C414" s="18"/>
      <c r="D414" s="18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customHeight="1" spans="1:26">
      <c r="A415" s="17"/>
      <c r="B415" s="17"/>
      <c r="C415" s="18"/>
      <c r="D415" s="18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customHeight="1" spans="1:26">
      <c r="A416" s="17"/>
      <c r="B416" s="17"/>
      <c r="C416" s="18"/>
      <c r="D416" s="18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customHeight="1" spans="1:26">
      <c r="A417" s="17"/>
      <c r="B417" s="17"/>
      <c r="C417" s="18"/>
      <c r="D417" s="18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customHeight="1" spans="1:26">
      <c r="A418" s="17"/>
      <c r="B418" s="17"/>
      <c r="C418" s="18"/>
      <c r="D418" s="18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customHeight="1" spans="1:26">
      <c r="A419" s="17"/>
      <c r="B419" s="17"/>
      <c r="C419" s="18"/>
      <c r="D419" s="18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customHeight="1" spans="1:26">
      <c r="A420" s="17"/>
      <c r="B420" s="17"/>
      <c r="C420" s="18"/>
      <c r="D420" s="18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customHeight="1" spans="1:26">
      <c r="A421" s="17"/>
      <c r="B421" s="17"/>
      <c r="C421" s="18"/>
      <c r="D421" s="18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customHeight="1" spans="1:26">
      <c r="A422" s="17"/>
      <c r="B422" s="17"/>
      <c r="C422" s="18"/>
      <c r="D422" s="18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customHeight="1" spans="1:26">
      <c r="A423" s="17"/>
      <c r="B423" s="17"/>
      <c r="C423" s="18"/>
      <c r="D423" s="18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customHeight="1" spans="1:26">
      <c r="A424" s="17"/>
      <c r="B424" s="17"/>
      <c r="C424" s="18"/>
      <c r="D424" s="18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customHeight="1" spans="1:26">
      <c r="A425" s="17"/>
      <c r="B425" s="17"/>
      <c r="C425" s="18"/>
      <c r="D425" s="18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customHeight="1" spans="1:26">
      <c r="A426" s="17"/>
      <c r="B426" s="17"/>
      <c r="C426" s="18"/>
      <c r="D426" s="18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customHeight="1" spans="1:26">
      <c r="A427" s="17"/>
      <c r="B427" s="17"/>
      <c r="C427" s="18"/>
      <c r="D427" s="18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customHeight="1" spans="1:26">
      <c r="A428" s="17"/>
      <c r="B428" s="17"/>
      <c r="C428" s="18"/>
      <c r="D428" s="18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customHeight="1" spans="1:26">
      <c r="A429" s="17"/>
      <c r="B429" s="17"/>
      <c r="C429" s="18"/>
      <c r="D429" s="18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customHeight="1" spans="1:26">
      <c r="A430" s="17"/>
      <c r="B430" s="17"/>
      <c r="C430" s="18"/>
      <c r="D430" s="18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customHeight="1" spans="1:26">
      <c r="A431" s="17"/>
      <c r="B431" s="17"/>
      <c r="C431" s="18"/>
      <c r="D431" s="18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customHeight="1" spans="1:26">
      <c r="A432" s="17"/>
      <c r="B432" s="17"/>
      <c r="C432" s="18"/>
      <c r="D432" s="18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customHeight="1" spans="1:26">
      <c r="A433" s="17"/>
      <c r="B433" s="17"/>
      <c r="C433" s="18"/>
      <c r="D433" s="18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customHeight="1" spans="1:26">
      <c r="A434" s="17"/>
      <c r="B434" s="17"/>
      <c r="C434" s="18"/>
      <c r="D434" s="18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customHeight="1" spans="1:26">
      <c r="A435" s="17"/>
      <c r="B435" s="17"/>
      <c r="C435" s="18"/>
      <c r="D435" s="18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customHeight="1" spans="1:26">
      <c r="A436" s="17"/>
      <c r="B436" s="17"/>
      <c r="C436" s="18"/>
      <c r="D436" s="18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customHeight="1" spans="1:26">
      <c r="A437" s="17"/>
      <c r="B437" s="17"/>
      <c r="C437" s="18"/>
      <c r="D437" s="18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customHeight="1" spans="1:26">
      <c r="A438" s="17"/>
      <c r="B438" s="17"/>
      <c r="C438" s="18"/>
      <c r="D438" s="18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customHeight="1" spans="1:26">
      <c r="A439" s="17"/>
      <c r="B439" s="17"/>
      <c r="C439" s="18"/>
      <c r="D439" s="18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customHeight="1" spans="1:26">
      <c r="A440" s="17"/>
      <c r="B440" s="17"/>
      <c r="C440" s="18"/>
      <c r="D440" s="18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customHeight="1" spans="1:26">
      <c r="A441" s="17"/>
      <c r="B441" s="17"/>
      <c r="C441" s="18"/>
      <c r="D441" s="18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customHeight="1" spans="1:26">
      <c r="A442" s="17"/>
      <c r="B442" s="17"/>
      <c r="C442" s="18"/>
      <c r="D442" s="18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customHeight="1" spans="1:26">
      <c r="A443" s="17"/>
      <c r="B443" s="17"/>
      <c r="C443" s="18"/>
      <c r="D443" s="18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customHeight="1" spans="1:26">
      <c r="A444" s="17"/>
      <c r="B444" s="17"/>
      <c r="C444" s="18"/>
      <c r="D444" s="18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customHeight="1" spans="1:26">
      <c r="A445" s="17"/>
      <c r="B445" s="17"/>
      <c r="C445" s="18"/>
      <c r="D445" s="18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customHeight="1" spans="1:26">
      <c r="A446" s="17"/>
      <c r="B446" s="17"/>
      <c r="C446" s="18"/>
      <c r="D446" s="18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customHeight="1" spans="1:26">
      <c r="A447" s="17"/>
      <c r="B447" s="17"/>
      <c r="C447" s="18"/>
      <c r="D447" s="18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customHeight="1" spans="1:26">
      <c r="A448" s="17"/>
      <c r="B448" s="17"/>
      <c r="C448" s="18"/>
      <c r="D448" s="18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customHeight="1" spans="1:26">
      <c r="A449" s="17"/>
      <c r="B449" s="17"/>
      <c r="C449" s="18"/>
      <c r="D449" s="18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customHeight="1" spans="1:26">
      <c r="A450" s="17"/>
      <c r="B450" s="17"/>
      <c r="C450" s="18"/>
      <c r="D450" s="18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customHeight="1" spans="1:26">
      <c r="A451" s="17"/>
      <c r="B451" s="17"/>
      <c r="C451" s="18"/>
      <c r="D451" s="18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customHeight="1" spans="1:26">
      <c r="A452" s="17"/>
      <c r="B452" s="17"/>
      <c r="C452" s="18"/>
      <c r="D452" s="18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customHeight="1" spans="1:26">
      <c r="A453" s="17"/>
      <c r="B453" s="17"/>
      <c r="C453" s="18"/>
      <c r="D453" s="18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customHeight="1" spans="1:26">
      <c r="A454" s="17"/>
      <c r="B454" s="17"/>
      <c r="C454" s="18"/>
      <c r="D454" s="18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customHeight="1" spans="1:26">
      <c r="A455" s="17"/>
      <c r="B455" s="17"/>
      <c r="C455" s="18"/>
      <c r="D455" s="18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customHeight="1" spans="1:26">
      <c r="A456" s="17"/>
      <c r="B456" s="17"/>
      <c r="C456" s="18"/>
      <c r="D456" s="18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customHeight="1" spans="1:26">
      <c r="A457" s="17"/>
      <c r="B457" s="17"/>
      <c r="C457" s="18"/>
      <c r="D457" s="18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customHeight="1" spans="1:26">
      <c r="A458" s="17"/>
      <c r="B458" s="17"/>
      <c r="C458" s="18"/>
      <c r="D458" s="18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customHeight="1" spans="1:26">
      <c r="A459" s="17"/>
      <c r="B459" s="17"/>
      <c r="C459" s="18"/>
      <c r="D459" s="18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customHeight="1" spans="1:26">
      <c r="A460" s="17"/>
      <c r="B460" s="17"/>
      <c r="C460" s="18"/>
      <c r="D460" s="18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customHeight="1" spans="1:26">
      <c r="A461" s="17"/>
      <c r="B461" s="17"/>
      <c r="C461" s="18"/>
      <c r="D461" s="18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customHeight="1" spans="1:26">
      <c r="A462" s="17"/>
      <c r="B462" s="17"/>
      <c r="C462" s="18"/>
      <c r="D462" s="18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customHeight="1" spans="1:26">
      <c r="A463" s="17"/>
      <c r="B463" s="17"/>
      <c r="C463" s="18"/>
      <c r="D463" s="18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customHeight="1" spans="1:26">
      <c r="A464" s="17"/>
      <c r="B464" s="17"/>
      <c r="C464" s="18"/>
      <c r="D464" s="18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customHeight="1" spans="1:26">
      <c r="A465" s="17"/>
      <c r="B465" s="17"/>
      <c r="C465" s="18"/>
      <c r="D465" s="18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customHeight="1" spans="1:26">
      <c r="A466" s="17"/>
      <c r="B466" s="17"/>
      <c r="C466" s="18"/>
      <c r="D466" s="18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customHeight="1" spans="1:26">
      <c r="A467" s="17"/>
      <c r="B467" s="17"/>
      <c r="C467" s="18"/>
      <c r="D467" s="18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customHeight="1" spans="1:26">
      <c r="A468" s="17"/>
      <c r="B468" s="17"/>
      <c r="C468" s="18"/>
      <c r="D468" s="18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customHeight="1" spans="1:26">
      <c r="A469" s="17"/>
      <c r="B469" s="17"/>
      <c r="C469" s="18"/>
      <c r="D469" s="18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customHeight="1" spans="1:26">
      <c r="A470" s="17"/>
      <c r="B470" s="17"/>
      <c r="C470" s="18"/>
      <c r="D470" s="18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customHeight="1" spans="1:26">
      <c r="A471" s="17"/>
      <c r="B471" s="17"/>
      <c r="C471" s="18"/>
      <c r="D471" s="18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customHeight="1" spans="1:26">
      <c r="A472" s="17"/>
      <c r="B472" s="17"/>
      <c r="C472" s="18"/>
      <c r="D472" s="18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customHeight="1" spans="1:26">
      <c r="A473" s="17"/>
      <c r="B473" s="17"/>
      <c r="C473" s="18"/>
      <c r="D473" s="18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customHeight="1" spans="1:26">
      <c r="A474" s="17"/>
      <c r="B474" s="17"/>
      <c r="C474" s="18"/>
      <c r="D474" s="18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customHeight="1" spans="1:26">
      <c r="A475" s="17"/>
      <c r="B475" s="17"/>
      <c r="C475" s="18"/>
      <c r="D475" s="18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customHeight="1" spans="1:26">
      <c r="A476" s="17"/>
      <c r="B476" s="17"/>
      <c r="C476" s="18"/>
      <c r="D476" s="18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customHeight="1" spans="1:26">
      <c r="A477" s="17"/>
      <c r="B477" s="17"/>
      <c r="C477" s="18"/>
      <c r="D477" s="18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customHeight="1" spans="1:26">
      <c r="A478" s="17"/>
      <c r="B478" s="17"/>
      <c r="C478" s="18"/>
      <c r="D478" s="18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customHeight="1" spans="1:26">
      <c r="A479" s="17"/>
      <c r="B479" s="17"/>
      <c r="C479" s="18"/>
      <c r="D479" s="18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customHeight="1" spans="1:26">
      <c r="A480" s="17"/>
      <c r="B480" s="17"/>
      <c r="C480" s="18"/>
      <c r="D480" s="18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customHeight="1" spans="1:26">
      <c r="A481" s="17"/>
      <c r="B481" s="17"/>
      <c r="C481" s="18"/>
      <c r="D481" s="18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customHeight="1" spans="1:26">
      <c r="A482" s="17"/>
      <c r="B482" s="17"/>
      <c r="C482" s="18"/>
      <c r="D482" s="18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customHeight="1" spans="1:26">
      <c r="A483" s="17"/>
      <c r="B483" s="17"/>
      <c r="C483" s="18"/>
      <c r="D483" s="18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customHeight="1" spans="1:26">
      <c r="A484" s="17"/>
      <c r="B484" s="17"/>
      <c r="C484" s="18"/>
      <c r="D484" s="18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customHeight="1" spans="1:26">
      <c r="A485" s="17"/>
      <c r="B485" s="17"/>
      <c r="C485" s="18"/>
      <c r="D485" s="18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customHeight="1" spans="1:26">
      <c r="A486" s="17"/>
      <c r="B486" s="17"/>
      <c r="C486" s="18"/>
      <c r="D486" s="18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customHeight="1" spans="1:26">
      <c r="A487" s="17"/>
      <c r="B487" s="17"/>
      <c r="C487" s="18"/>
      <c r="D487" s="18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customHeight="1" spans="1:26">
      <c r="A488" s="17"/>
      <c r="B488" s="17"/>
      <c r="C488" s="18"/>
      <c r="D488" s="18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customHeight="1" spans="1:26">
      <c r="A489" s="17"/>
      <c r="B489" s="17"/>
      <c r="C489" s="18"/>
      <c r="D489" s="18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customHeight="1" spans="1:26">
      <c r="A490" s="17"/>
      <c r="B490" s="17"/>
      <c r="C490" s="18"/>
      <c r="D490" s="18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customHeight="1" spans="1:26">
      <c r="A491" s="17"/>
      <c r="B491" s="17"/>
      <c r="C491" s="18"/>
      <c r="D491" s="18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customHeight="1" spans="1:26">
      <c r="A492" s="17"/>
      <c r="B492" s="17"/>
      <c r="C492" s="18"/>
      <c r="D492" s="18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customHeight="1" spans="1:26">
      <c r="A493" s="17"/>
      <c r="B493" s="17"/>
      <c r="C493" s="18"/>
      <c r="D493" s="18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customHeight="1" spans="1:26">
      <c r="A494" s="17"/>
      <c r="B494" s="17"/>
      <c r="C494" s="18"/>
      <c r="D494" s="18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customHeight="1" spans="1:26">
      <c r="A495" s="17"/>
      <c r="B495" s="17"/>
      <c r="C495" s="18"/>
      <c r="D495" s="18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customHeight="1" spans="1:26">
      <c r="A496" s="17"/>
      <c r="B496" s="17"/>
      <c r="C496" s="18"/>
      <c r="D496" s="18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customHeight="1" spans="1:26">
      <c r="A497" s="17"/>
      <c r="B497" s="17"/>
      <c r="C497" s="18"/>
      <c r="D497" s="18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customHeight="1" spans="1:26">
      <c r="A498" s="17"/>
      <c r="B498" s="17"/>
      <c r="C498" s="18"/>
      <c r="D498" s="18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customHeight="1" spans="1:26">
      <c r="A499" s="17"/>
      <c r="B499" s="17"/>
      <c r="C499" s="18"/>
      <c r="D499" s="18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customHeight="1" spans="1:26">
      <c r="A500" s="17"/>
      <c r="B500" s="17"/>
      <c r="C500" s="18"/>
      <c r="D500" s="18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customHeight="1" spans="1:26">
      <c r="A501" s="17"/>
      <c r="B501" s="17"/>
      <c r="C501" s="18"/>
      <c r="D501" s="18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</sheetData>
  <autoFilter xmlns:etc="http://www.wps.cn/officeDocument/2017/etCustomData" ref="A1:Z342" etc:filterBottomFollowUsedRange="0">
    <extLst/>
  </autoFilter>
  <conditionalFormatting sqref="N$1:N$1048576">
    <cfRule type="expression" dxfId="0" priority="10">
      <formula>#REF!="×"</formula>
    </cfRule>
  </conditionalFormatting>
  <conditionalFormatting sqref="O$1:O$1048576">
    <cfRule type="expression" dxfId="0" priority="9">
      <formula>#REF!="×"</formula>
    </cfRule>
  </conditionalFormatting>
  <conditionalFormatting sqref="U$1:U$1048576">
    <cfRule type="expression" dxfId="0" priority="5">
      <formula>#REF!="×"</formula>
    </cfRule>
  </conditionalFormatting>
  <conditionalFormatting sqref="A$1:H$1048576">
    <cfRule type="expression" dxfId="0" priority="16">
      <formula>#REF!="×"</formula>
    </cfRule>
  </conditionalFormatting>
  <conditionalFormatting sqref="I$1:K$1048576">
    <cfRule type="expression" dxfId="0" priority="12">
      <formula>#REF!="×"</formula>
    </cfRule>
  </conditionalFormatting>
  <conditionalFormatting sqref="L$1:M$1048576">
    <cfRule type="expression" dxfId="0" priority="11">
      <formula>#REF!="×"</formula>
    </cfRule>
  </conditionalFormatting>
  <conditionalFormatting sqref="P$1:R$1048576">
    <cfRule type="expression" dxfId="0" priority="8">
      <formula>#REF!="×"</formula>
    </cfRule>
  </conditionalFormatting>
  <conditionalFormatting sqref="S$1:T$1048576">
    <cfRule type="expression" dxfId="0" priority="6">
      <formula>#REF!="×"</formula>
    </cfRule>
  </conditionalFormatting>
  <conditionalFormatting sqref="V$1:W$1048576">
    <cfRule type="expression" dxfId="0" priority="4">
      <formula>#REF!="×"</formula>
    </cfRule>
  </conditionalFormatting>
  <conditionalFormatting sqref="X$1:Z$1048576">
    <cfRule type="expression" dxfId="0" priority="3">
      <formula>#REF!="×"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"/>
  <sheetViews>
    <sheetView workbookViewId="0">
      <selection activeCell="B2" sqref="B2:B7"/>
    </sheetView>
  </sheetViews>
  <sheetFormatPr defaultColWidth="8.88888888888889" defaultRowHeight="15.6" outlineLevelRow="6" outlineLevelCol="1"/>
  <cols>
    <col min="1" max="1" width="19.7777777777778" style="33" customWidth="1"/>
    <col min="2" max="2" width="57.6666666666667" style="34" customWidth="1"/>
    <col min="3" max="16384" width="8.88888888888889" style="34" customWidth="1"/>
  </cols>
  <sheetData>
    <row r="1" spans="1:2">
      <c r="A1" s="33" t="s">
        <v>26</v>
      </c>
      <c r="B1" s="34" t="s">
        <v>27</v>
      </c>
    </row>
    <row r="2" spans="1:2">
      <c r="A2" s="33" t="s">
        <v>28</v>
      </c>
      <c r="B2"/>
    </row>
    <row r="3" spans="1:2">
      <c r="A3" s="33" t="s">
        <v>29</v>
      </c>
      <c r="B3"/>
    </row>
    <row r="4" spans="1:2">
      <c r="A4" s="33" t="s">
        <v>30</v>
      </c>
      <c r="B4"/>
    </row>
    <row r="5" spans="1:2">
      <c r="A5" s="33" t="s">
        <v>31</v>
      </c>
      <c r="B5"/>
    </row>
    <row r="6" spans="1:2">
      <c r="A6" s="33" t="s">
        <v>32</v>
      </c>
      <c r="B6"/>
    </row>
    <row r="7" spans="1:2">
      <c r="A7" s="33" t="s">
        <v>33</v>
      </c>
      <c r="B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V50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8.88888888888889" defaultRowHeight="15" customHeight="1"/>
  <cols>
    <col min="1" max="1" width="23.1111111111111" style="12" customWidth="1"/>
    <col min="2" max="2" width="23.6296296296296" style="22" customWidth="1"/>
    <col min="3" max="3" width="34.0740740740741" style="13" customWidth="1"/>
    <col min="4" max="4" width="30.7777777777778" style="13" customWidth="1"/>
    <col min="5" max="5" width="10.7777777777778" style="13" customWidth="1"/>
    <col min="6" max="6" width="12.6666666666667" style="13" customWidth="1"/>
    <col min="7" max="22" width="10.7777777777778" style="13" customWidth="1"/>
    <col min="23" max="16384" width="8.88888888888889" style="23" customWidth="1"/>
  </cols>
  <sheetData>
    <row r="1" customHeight="1" spans="1:22">
      <c r="A1" s="14" t="str">
        <f>IF(盘货信息!A1="","",盘货信息!A1)</f>
        <v>ID</v>
      </c>
      <c r="B1" s="24" t="str">
        <f>IF(盘货信息!B1="","",盘货信息!B1)</f>
        <v>SKUID</v>
      </c>
      <c r="C1" s="15" t="str">
        <f>IF(盘货信息!C1="","",盘货信息!C1)</f>
        <v>型号</v>
      </c>
      <c r="D1" s="25" t="s">
        <v>34</v>
      </c>
      <c r="E1" s="26" t="s">
        <v>28</v>
      </c>
      <c r="F1" s="26" t="s">
        <v>35</v>
      </c>
      <c r="G1" s="26" t="s">
        <v>29</v>
      </c>
      <c r="H1" s="26" t="s">
        <v>36</v>
      </c>
      <c r="I1" s="27" t="s">
        <v>37</v>
      </c>
      <c r="J1" s="27" t="s">
        <v>38</v>
      </c>
      <c r="K1" s="28" t="s">
        <v>17</v>
      </c>
      <c r="L1" s="28" t="s">
        <v>36</v>
      </c>
      <c r="M1" s="29" t="s">
        <v>39</v>
      </c>
      <c r="N1" s="29" t="s">
        <v>40</v>
      </c>
      <c r="O1" s="29" t="s">
        <v>10</v>
      </c>
      <c r="P1" s="29" t="s">
        <v>18</v>
      </c>
      <c r="Q1" s="29" t="s">
        <v>36</v>
      </c>
      <c r="R1" s="30" t="s">
        <v>41</v>
      </c>
      <c r="S1" s="30" t="s">
        <v>42</v>
      </c>
      <c r="T1" s="30" t="s">
        <v>19</v>
      </c>
      <c r="U1" s="30" t="s">
        <v>36</v>
      </c>
      <c r="V1" s="26" t="s">
        <v>43</v>
      </c>
    </row>
    <row r="2" customHeight="1" spans="1:22">
      <c r="A2" s="17" t="str">
        <f>IF(盘货信息!A2="","",盘货信息!A2)</f>
        <v/>
      </c>
      <c r="B2" s="20" t="str">
        <f>IF(盘货信息!B2="","",盘货信息!B2)</f>
        <v/>
      </c>
      <c r="C2" s="18" t="str">
        <f>IF(盘货信息!C2="","",盘货信息!C2)</f>
        <v/>
      </c>
      <c r="D2" s="18" t="str">
        <f ca="1" t="shared" ref="D2:D65" si="0">_xlfn.TEXTJOIN(CHAR(10),TRUE,OFFSET(INDIRECT("RC",FALSE),0,1,1,30))</f>
        <v/>
      </c>
      <c r="E2" s="18" t="str">
        <f>IF(C2="","",固定信息!$B$2)</f>
        <v/>
      </c>
      <c r="F2" s="18" t="str">
        <f t="array" ref="F2">IF(C2="","","【"&amp;C2&amp;"】"&amp;_xlfn.XLOOKUP(A2&amp;B2&amp;C2,盘货信息!$A:$A&amp;盘货信息!$B:$B&amp;盘货信息!$C:$C,盘货信息!$D:$D))</f>
        <v/>
      </c>
      <c r="G2" s="18" t="str">
        <f>IF(C2="","","【"&amp;"活动时间："&amp;固定信息!$B$3&amp;"】")</f>
        <v/>
      </c>
      <c r="H2" s="18" t="str">
        <f>IF($C2="","",固定信息!$B$1)</f>
        <v/>
      </c>
      <c r="I2" s="18"/>
      <c r="J2" s="18" t="str">
        <f t="array" ref="J2">_xlfn.XLOOKUP(A2&amp;B2&amp;C2,价格信息!$A:$A&amp;价格信息!$B:$B&amp;价格信息!$C:$C,价格信息!$D:$D)</f>
        <v/>
      </c>
      <c r="K2" s="31" t="str">
        <f t="array" ref="K2">IF(_xlfn.XLOOKUP(A2&amp;B2&amp;C2,价格信息!$A:$A&amp;价格信息!$B:$B&amp;价格信息!$C:$C,价格信息!$I:$I)="","","【优惠券链接】"&amp;固定信息!$B$6)</f>
        <v/>
      </c>
      <c r="L2" s="31" t="str">
        <f>IF($C2="","",固定信息!$B$1)</f>
        <v/>
      </c>
      <c r="M2" s="18" t="str">
        <f t="array" ref="M2">IF(_xlfn.XLOOKUP(A2&amp;B2&amp;C2,盘货信息!$A:$A&amp;盘货信息!$B:$B&amp;盘货信息!$C:$C,盘货信息!$O:$O)="","","【优惠券】领"&amp;INDEX(_wpsfn.REGEXP(_xlfn.XLOOKUP(A2&amp;B2&amp;C2,盘货信息!$A:$A&amp;盘货信息!$B:$B&amp;盘货信息!$C:$C,盘货信息!$O:$O),"\d+"),1,1)&amp;"元优惠券下单更优惠，优惠卷："&amp;_xlfn.XLOOKUP(A2&amp;B2&amp;C2,盘货信息!$A:$A&amp;盘货信息!$B:$B&amp;盘货信息!$C:$C,盘货信息!$P:$P))</f>
        <v/>
      </c>
      <c r="N2" s="18" t="str">
        <f t="array" ref="N2">IF(AND(ISNUMBER(_xlfn.XLOOKUP(A2&amp;B2&amp;C2,盘货信息!$A:$A&amp;盘货信息!$B:$B&amp;盘货信息!$C:$C,盘货信息!$I:$I)),_xlfn.XLOOKUP(A2&amp;B2&amp;C2,盘货信息!$A:$A&amp;盘货信息!$B:$B&amp;盘货信息!$C:$C,盘货信息!$I:$I)&gt;1),"【88VIP】立减"&amp;_xlfn.XLOOKUP(A2&amp;B2&amp;C2,盘货信息!$A:$A&amp;盘货信息!$B:$B&amp;盘货信息!$C:$C,盘货信息!$I:$I)&amp;"元","")</f>
        <v/>
      </c>
      <c r="O2" s="18" t="str">
        <f t="array" ref="O2">IF(_xlfn.XLOOKUP(A2&amp;B2&amp;C2,盘货信息!$A:$A&amp;盘货信息!$B:$B&amp;盘货信息!$C:$C,盘货信息!$K:$K)="","",IF(AND(_xlfn.XLOOKUP(A2&amp;B2&amp;C2,盘货信息!$A:$A&amp;盘货信息!$B:$B&amp;盘货信息!$C:$C,盘货信息!$G:$G)="不参加",_xlfn.XLOOKUP(A2&amp;B2&amp;C2,盘货信息!$A:$A&amp;盘货信息!$B:$B&amp;盘货信息!$C:$C,盘货信息!$H:$H)=""),"【以旧换新】"&amp;_xlfn.XLOOKUP(A2&amp;B2&amp;C2,盘货信息!$A:$A&amp;盘货信息!$B:$B&amp;盘货信息!$C:$C,盘货信息!$K:$K)&amp;"元以旧换新补贴（可无旧机换新）",""))</f>
        <v/>
      </c>
      <c r="P2" s="18" t="str">
        <f t="array" ref="P2">_xlfn.XLOOKUP(A2&amp;B2&amp;C2,赠品!$A:$A&amp;赠品!$B:$B&amp;赠品!$C:$C,赠品!$D:$D)</f>
        <v/>
      </c>
      <c r="Q2" s="18" t="str">
        <f>IF($C2="","",IF(AND(M2="",N2="",P2=""),"",固定信息!$B$1))</f>
        <v/>
      </c>
      <c r="R2" s="18" t="str">
        <f t="array" ref="R2">IF(ISNUMBER(SEARCH("是",_xlfn.XLOOKUP(A2&amp;B2&amp;C2,盘货信息!$A:$A&amp;盘货信息!$B:$B&amp;盘货信息!$C:$C,盘货信息!$U:$U))),"【折扣】指定型号满2类享96折，满3类享94折","")</f>
        <v/>
      </c>
      <c r="S2" s="18" t="str">
        <f t="array" ref="S2">IF(_xlfn.XLOOKUP(A2&amp;B2&amp;C2,盘货信息!$A:$A&amp;盘货信息!$B:$B&amp;盘货信息!$C:$C,盘货信息!$Q:$Q)&lt;1,"","【红包】活动时间购机送"&amp;_xlfn.TEXTJOIN("",,IF(ISNUMBER(--MID(_xlfn.XLOOKUP(A2&amp;B2&amp;C2,盘货信息!$A:$A&amp;盘货信息!$B:$B&amp;盘货信息!$C:$C,盘货信息!$Q:$Q),_xlfn.SEQUENCE(LEN(_xlfn.XLOOKUP(A2&amp;B2&amp;C2,盘货信息!$A:$A&amp;盘货信息!$B:$B&amp;盘货信息!$C:$C,盘货信息!$Q:$Q))),1)),MID(_xlfn.XLOOKUP(A2&amp;B2&amp;C2,盘货信息!$A:$A&amp;盘货信息!$B:$B&amp;盘货信息!$C:$C,盘货信息!$Q:$Q),_xlfn.SEQUENCE(LEN(_xlfn.XLOOKUP(A2&amp;B2&amp;C2,盘货信息!$A:$A&amp;盘货信息!$B:$B&amp;盘货信息!$C:$C,盘货信息!$Q:$Q))),1),""))&amp;"元")</f>
        <v/>
      </c>
      <c r="T2" s="18" t="str">
        <f t="array" ref="T2">IF(ISNUMBER(SEARCH("是",_xlfn.XLOOKUP(A2&amp;B2&amp;C2,盘货信息!$A:$A&amp;盘货信息!$B:$B&amp;盘货信息!$C:$C,盘货信息!$T:$T))),"【瓜分】"&amp;固定信息!$B$7,"")</f>
        <v/>
      </c>
      <c r="U2" s="18" t="str">
        <f>IF($C2="","",IF(AND(R2="",S2="",T2=""),"",固定信息!$B$1))</f>
        <v/>
      </c>
      <c r="V2" s="18" t="str">
        <f t="array" ref="V2">IF(C2="","","【服务】"&amp;IF(_xlfn.XLOOKUP(A2&amp;B2&amp;C2,盘货信息!$A:$A&amp;盘货信息!$B:$B&amp;盘货信息!$C:$C,盘货信息!$V:$V)="","",_xlfn.XLOOKUP(A2&amp;B2&amp;C2,盘货信息!$A:$A&amp;盘货信息!$B:$B&amp;盘货信息!$C:$C,盘货信息!$V:$V)&amp;"免息,")&amp;IF(_xlfn.XLOOKUP(A2&amp;B2&amp;C2,盘货信息!$A:$A&amp;盘货信息!$B:$B&amp;盘货信息!$C:$C,盘货信息!$W:$W)="","",_xlfn.XLOOKUP(A2&amp;B2&amp;C2,盘货信息!$A:$A&amp;盘货信息!$B:$B&amp;盘货信息!$C:$C,盘货信息!$W:$W)&amp;"，")&amp;"送货入户，退换免运费")</f>
        <v/>
      </c>
    </row>
    <row r="3" customHeight="1" spans="1:22">
      <c r="A3" s="17" t="str">
        <f>IF(盘货信息!A3="","",盘货信息!A3)</f>
        <v/>
      </c>
      <c r="B3" s="20" t="str">
        <f>IF(盘货信息!B3="","",盘货信息!B3)</f>
        <v/>
      </c>
      <c r="C3" s="18" t="str">
        <f>IF(盘货信息!C3="","",盘货信息!C3)</f>
        <v/>
      </c>
      <c r="D3" s="18" t="str">
        <f ca="1" t="shared" si="0"/>
        <v/>
      </c>
      <c r="E3" s="18" t="str">
        <f>IF(C3="","",固定信息!$B$2)</f>
        <v/>
      </c>
      <c r="F3" s="18" t="str">
        <f t="array" ref="F3">IF(C3="","","【"&amp;C3&amp;"】"&amp;_xlfn.XLOOKUP(A3&amp;B3&amp;C3,盘货信息!$A:$A&amp;盘货信息!$B:$B&amp;盘货信息!$C:$C,盘货信息!$D:$D))</f>
        <v/>
      </c>
      <c r="G3" s="18" t="str">
        <f>IF(C3="","","【"&amp;"活动时间："&amp;固定信息!$B$3&amp;"】")</f>
        <v/>
      </c>
      <c r="H3" s="18" t="str">
        <f>IF($C3="","",固定信息!$B$1)</f>
        <v/>
      </c>
      <c r="I3" s="18"/>
      <c r="J3" s="18" t="str">
        <f t="array" ref="J3">_xlfn.XLOOKUP(A3&amp;B3&amp;C3,价格信息!$A:$A&amp;价格信息!$B:$B&amp;价格信息!$C:$C,价格信息!$D:$D)</f>
        <v/>
      </c>
      <c r="K3" s="31" t="str">
        <f t="array" ref="K3">IF(_xlfn.XLOOKUP(A3&amp;B3&amp;C3,价格信息!$A:$A&amp;价格信息!$B:$B&amp;价格信息!$C:$C,价格信息!$I:$I)="","","【优惠券链接】"&amp;固定信息!$B$6)</f>
        <v/>
      </c>
      <c r="L3" s="31" t="str">
        <f>IF($C3="","",固定信息!$B$1)</f>
        <v/>
      </c>
      <c r="M3" s="18" t="str">
        <f t="array" ref="M3">IF(_xlfn.XLOOKUP(A3&amp;B3&amp;C3,盘货信息!$A:$A&amp;盘货信息!$B:$B&amp;盘货信息!$C:$C,盘货信息!$O:$O)="","","【优惠券】领"&amp;INDEX(_wpsfn.REGEXP(_xlfn.XLOOKUP(A3&amp;B3&amp;C3,盘货信息!$A:$A&amp;盘货信息!$B:$B&amp;盘货信息!$C:$C,盘货信息!$O:$O),"\d+"),1,1)&amp;"元优惠券下单更优惠，优惠卷："&amp;_xlfn.XLOOKUP(A3&amp;B3&amp;C3,盘货信息!$A:$A&amp;盘货信息!$B:$B&amp;盘货信息!$C:$C,盘货信息!$P:$P))</f>
        <v/>
      </c>
      <c r="N3" s="18" t="str">
        <f t="array" ref="N3">IF(AND(ISNUMBER(_xlfn.XLOOKUP(A3&amp;B3&amp;C3,盘货信息!$A:$A&amp;盘货信息!$B:$B&amp;盘货信息!$C:$C,盘货信息!$I:$I)),_xlfn.XLOOKUP(A3&amp;B3&amp;C3,盘货信息!$A:$A&amp;盘货信息!$B:$B&amp;盘货信息!$C:$C,盘货信息!$I:$I)&gt;1),"【88VIP】立减"&amp;_xlfn.XLOOKUP(A3&amp;B3&amp;C3,盘货信息!$A:$A&amp;盘货信息!$B:$B&amp;盘货信息!$C:$C,盘货信息!$I:$I)&amp;"元","")</f>
        <v/>
      </c>
      <c r="O3" s="18" t="str">
        <f t="array" ref="O3">IF(_xlfn.XLOOKUP(A3&amp;B3&amp;C3,盘货信息!$A:$A&amp;盘货信息!$B:$B&amp;盘货信息!$C:$C,盘货信息!$K:$K)="","",IF(AND(_xlfn.XLOOKUP(A3&amp;B3&amp;C3,盘货信息!$A:$A&amp;盘货信息!$B:$B&amp;盘货信息!$C:$C,盘货信息!$G:$G)="不参加",_xlfn.XLOOKUP(A3&amp;B3&amp;C3,盘货信息!$A:$A&amp;盘货信息!$B:$B&amp;盘货信息!$C:$C,盘货信息!$H:$H)=""),"【以旧换新】"&amp;_xlfn.XLOOKUP(A3&amp;B3&amp;C3,盘货信息!$A:$A&amp;盘货信息!$B:$B&amp;盘货信息!$C:$C,盘货信息!$K:$K)&amp;"元以旧换新补贴（可无旧机换新）",""))</f>
        <v/>
      </c>
      <c r="P3" s="18" t="str">
        <f t="array" ref="P3">_xlfn.XLOOKUP(A3&amp;B3&amp;C3,赠品!$A:$A&amp;赠品!$B:$B&amp;赠品!$C:$C,赠品!$D:$D)</f>
        <v/>
      </c>
      <c r="Q3" s="18" t="str">
        <f>IF($C3="","",IF(AND(M3="",N3="",P3=""),"",固定信息!$B$1))</f>
        <v/>
      </c>
      <c r="R3" s="18" t="str">
        <f t="array" ref="R3">IF(ISNUMBER(SEARCH("是",_xlfn.XLOOKUP(A3&amp;B3&amp;C3,盘货信息!$A:$A&amp;盘货信息!$B:$B&amp;盘货信息!$C:$C,盘货信息!$U:$U))),"【折扣】指定型号满2类享96折，满3类享94折","")</f>
        <v/>
      </c>
      <c r="S3" s="18" t="str">
        <f t="array" ref="S3">IF(_xlfn.XLOOKUP(A3&amp;B3&amp;C3,盘货信息!$A:$A&amp;盘货信息!$B:$B&amp;盘货信息!$C:$C,盘货信息!$Q:$Q)&lt;1,"","【红包】活动时间购机送"&amp;_xlfn.TEXTJOIN("",,IF(ISNUMBER(--MID(_xlfn.XLOOKUP(A3&amp;B3&amp;C3,盘货信息!$A:$A&amp;盘货信息!$B:$B&amp;盘货信息!$C:$C,盘货信息!$Q:$Q),_xlfn.SEQUENCE(LEN(_xlfn.XLOOKUP(A3&amp;B3&amp;C3,盘货信息!$A:$A&amp;盘货信息!$B:$B&amp;盘货信息!$C:$C,盘货信息!$Q:$Q))),1)),MID(_xlfn.XLOOKUP(A3&amp;B3&amp;C3,盘货信息!$A:$A&amp;盘货信息!$B:$B&amp;盘货信息!$C:$C,盘货信息!$Q:$Q),_xlfn.SEQUENCE(LEN(_xlfn.XLOOKUP(A3&amp;B3&amp;C3,盘货信息!$A:$A&amp;盘货信息!$B:$B&amp;盘货信息!$C:$C,盘货信息!$Q:$Q))),1),""))&amp;"元")</f>
        <v/>
      </c>
      <c r="T3" s="18" t="str">
        <f t="array" ref="T3">IF(ISNUMBER(SEARCH("是",_xlfn.XLOOKUP(A3&amp;B3&amp;C3,盘货信息!$A:$A&amp;盘货信息!$B:$B&amp;盘货信息!$C:$C,盘货信息!$T:$T))),"【瓜分】"&amp;固定信息!$B$7,"")</f>
        <v/>
      </c>
      <c r="U3" s="18" t="str">
        <f>IF($C3="","",IF(AND(R3="",S3="",T3=""),"",固定信息!$B$1))</f>
        <v/>
      </c>
      <c r="V3" s="18" t="str">
        <f t="array" ref="V3">IF(C3="","","【服务】"&amp;IF(_xlfn.XLOOKUP(A3&amp;B3&amp;C3,盘货信息!$A:$A&amp;盘货信息!$B:$B&amp;盘货信息!$C:$C,盘货信息!$V:$V)="","",_xlfn.XLOOKUP(A3&amp;B3&amp;C3,盘货信息!$A:$A&amp;盘货信息!$B:$B&amp;盘货信息!$C:$C,盘货信息!$V:$V)&amp;"免息,")&amp;IF(_xlfn.XLOOKUP(A3&amp;B3&amp;C3,盘货信息!$A:$A&amp;盘货信息!$B:$B&amp;盘货信息!$C:$C,盘货信息!$W:$W)="","",_xlfn.XLOOKUP(A3&amp;B3&amp;C3,盘货信息!$A:$A&amp;盘货信息!$B:$B&amp;盘货信息!$C:$C,盘货信息!$W:$W)&amp;"，")&amp;"送货入户，退换免运费")</f>
        <v/>
      </c>
    </row>
    <row r="4" customHeight="1" spans="1:22">
      <c r="A4" s="17" t="str">
        <f>IF(盘货信息!A4="","",盘货信息!A4)</f>
        <v/>
      </c>
      <c r="B4" s="20" t="str">
        <f>IF(盘货信息!B4="","",盘货信息!B4)</f>
        <v/>
      </c>
      <c r="C4" s="18" t="str">
        <f>IF(盘货信息!C4="","",盘货信息!C4)</f>
        <v/>
      </c>
      <c r="D4" s="18" t="str">
        <f ca="1" t="shared" si="0"/>
        <v/>
      </c>
      <c r="E4" s="18" t="str">
        <f>IF(C4="","",固定信息!$B$2)</f>
        <v/>
      </c>
      <c r="F4" s="18" t="str">
        <f t="array" ref="F4">IF(C4="","","【"&amp;C4&amp;"】"&amp;_xlfn.XLOOKUP(A4&amp;B4&amp;C4,盘货信息!$A:$A&amp;盘货信息!$B:$B&amp;盘货信息!$C:$C,盘货信息!$D:$D))</f>
        <v/>
      </c>
      <c r="G4" s="18" t="str">
        <f>IF(C4="","","【"&amp;"活动时间："&amp;固定信息!$B$3&amp;"】")</f>
        <v/>
      </c>
      <c r="H4" s="18" t="str">
        <f>IF($C4="","",固定信息!$B$1)</f>
        <v/>
      </c>
      <c r="I4" s="18"/>
      <c r="J4" s="18" t="str">
        <f t="array" ref="J4">_xlfn.XLOOKUP(A4&amp;B4&amp;C4,价格信息!$A:$A&amp;价格信息!$B:$B&amp;价格信息!$C:$C,价格信息!$D:$D)</f>
        <v/>
      </c>
      <c r="K4" s="31" t="str">
        <f t="array" ref="K4">IF(_xlfn.XLOOKUP(A4&amp;B4&amp;C4,价格信息!$A:$A&amp;价格信息!$B:$B&amp;价格信息!$C:$C,价格信息!$I:$I)="","","【优惠券链接】"&amp;固定信息!$B$6)</f>
        <v/>
      </c>
      <c r="L4" s="31" t="str">
        <f>IF($C4="","",固定信息!$B$1)</f>
        <v/>
      </c>
      <c r="M4" s="18" t="str">
        <f t="array" ref="M4">IF(_xlfn.XLOOKUP(A4&amp;B4&amp;C4,盘货信息!$A:$A&amp;盘货信息!$B:$B&amp;盘货信息!$C:$C,盘货信息!$O:$O)="","","【优惠券】领"&amp;INDEX(_wpsfn.REGEXP(_xlfn.XLOOKUP(A4&amp;B4&amp;C4,盘货信息!$A:$A&amp;盘货信息!$B:$B&amp;盘货信息!$C:$C,盘货信息!$O:$O),"\d+"),1,1)&amp;"元优惠券下单更优惠，优惠卷："&amp;_xlfn.XLOOKUP(A4&amp;B4&amp;C4,盘货信息!$A:$A&amp;盘货信息!$B:$B&amp;盘货信息!$C:$C,盘货信息!$P:$P))</f>
        <v/>
      </c>
      <c r="N4" s="18" t="str">
        <f t="array" ref="N4">IF(AND(ISNUMBER(_xlfn.XLOOKUP(A4&amp;B4&amp;C4,盘货信息!$A:$A&amp;盘货信息!$B:$B&amp;盘货信息!$C:$C,盘货信息!$I:$I)),_xlfn.XLOOKUP(A4&amp;B4&amp;C4,盘货信息!$A:$A&amp;盘货信息!$B:$B&amp;盘货信息!$C:$C,盘货信息!$I:$I)&gt;1),"【88VIP】立减"&amp;_xlfn.XLOOKUP(A4&amp;B4&amp;C4,盘货信息!$A:$A&amp;盘货信息!$B:$B&amp;盘货信息!$C:$C,盘货信息!$I:$I)&amp;"元","")</f>
        <v/>
      </c>
      <c r="O4" s="18" t="str">
        <f t="array" ref="O4">IF(_xlfn.XLOOKUP(A4&amp;B4&amp;C4,盘货信息!$A:$A&amp;盘货信息!$B:$B&amp;盘货信息!$C:$C,盘货信息!$K:$K)="","",IF(AND(_xlfn.XLOOKUP(A4&amp;B4&amp;C4,盘货信息!$A:$A&amp;盘货信息!$B:$B&amp;盘货信息!$C:$C,盘货信息!$G:$G)="不参加",_xlfn.XLOOKUP(A4&amp;B4&amp;C4,盘货信息!$A:$A&amp;盘货信息!$B:$B&amp;盘货信息!$C:$C,盘货信息!$H:$H)=""),"【以旧换新】"&amp;_xlfn.XLOOKUP(A4&amp;B4&amp;C4,盘货信息!$A:$A&amp;盘货信息!$B:$B&amp;盘货信息!$C:$C,盘货信息!$K:$K)&amp;"元以旧换新补贴（可无旧机换新）",""))</f>
        <v/>
      </c>
      <c r="P4" s="18" t="str">
        <f t="array" ref="P4">_xlfn.XLOOKUP(A4&amp;B4&amp;C4,赠品!$A:$A&amp;赠品!$B:$B&amp;赠品!$C:$C,赠品!$D:$D)</f>
        <v/>
      </c>
      <c r="Q4" s="18" t="str">
        <f>IF($C4="","",IF(AND(M4="",N4="",P4=""),"",固定信息!$B$1))</f>
        <v/>
      </c>
      <c r="R4" s="18" t="str">
        <f t="array" ref="R4">IF(ISNUMBER(SEARCH("是",_xlfn.XLOOKUP(A4&amp;B4&amp;C4,盘货信息!$A:$A&amp;盘货信息!$B:$B&amp;盘货信息!$C:$C,盘货信息!$U:$U))),"【折扣】指定型号满2类享96折，满3类享94折","")</f>
        <v/>
      </c>
      <c r="S4" s="18" t="str">
        <f t="array" ref="S4">IF(_xlfn.XLOOKUP(A4&amp;B4&amp;C4,盘货信息!$A:$A&amp;盘货信息!$B:$B&amp;盘货信息!$C:$C,盘货信息!$Q:$Q)&lt;1,"","【红包】活动时间购机送"&amp;_xlfn.TEXTJOIN("",,IF(ISNUMBER(--MID(_xlfn.XLOOKUP(A4&amp;B4&amp;C4,盘货信息!$A:$A&amp;盘货信息!$B:$B&amp;盘货信息!$C:$C,盘货信息!$Q:$Q),_xlfn.SEQUENCE(LEN(_xlfn.XLOOKUP(A4&amp;B4&amp;C4,盘货信息!$A:$A&amp;盘货信息!$B:$B&amp;盘货信息!$C:$C,盘货信息!$Q:$Q))),1)),MID(_xlfn.XLOOKUP(A4&amp;B4&amp;C4,盘货信息!$A:$A&amp;盘货信息!$B:$B&amp;盘货信息!$C:$C,盘货信息!$Q:$Q),_xlfn.SEQUENCE(LEN(_xlfn.XLOOKUP(A4&amp;B4&amp;C4,盘货信息!$A:$A&amp;盘货信息!$B:$B&amp;盘货信息!$C:$C,盘货信息!$Q:$Q))),1),""))&amp;"元")</f>
        <v/>
      </c>
      <c r="T4" s="18" t="str">
        <f t="array" ref="T4">IF(ISNUMBER(SEARCH("是",_xlfn.XLOOKUP(A4&amp;B4&amp;C4,盘货信息!$A:$A&amp;盘货信息!$B:$B&amp;盘货信息!$C:$C,盘货信息!$T:$T))),"【瓜分】"&amp;固定信息!$B$7,"")</f>
        <v/>
      </c>
      <c r="U4" s="18" t="str">
        <f>IF($C4="","",IF(AND(R4="",S4="",T4=""),"",固定信息!$B$1))</f>
        <v/>
      </c>
      <c r="V4" s="18" t="str">
        <f t="array" ref="V4">IF(C4="","","【服务】"&amp;IF(_xlfn.XLOOKUP(A4&amp;B4&amp;C4,盘货信息!$A:$A&amp;盘货信息!$B:$B&amp;盘货信息!$C:$C,盘货信息!$V:$V)="","",_xlfn.XLOOKUP(A4&amp;B4&amp;C4,盘货信息!$A:$A&amp;盘货信息!$B:$B&amp;盘货信息!$C:$C,盘货信息!$V:$V)&amp;"免息,")&amp;IF(_xlfn.XLOOKUP(A4&amp;B4&amp;C4,盘货信息!$A:$A&amp;盘货信息!$B:$B&amp;盘货信息!$C:$C,盘货信息!$W:$W)="","",_xlfn.XLOOKUP(A4&amp;B4&amp;C4,盘货信息!$A:$A&amp;盘货信息!$B:$B&amp;盘货信息!$C:$C,盘货信息!$W:$W)&amp;"，")&amp;"送货入户，退换免运费")</f>
        <v/>
      </c>
    </row>
    <row r="5" customHeight="1" spans="1:22">
      <c r="A5" s="17" t="str">
        <f>IF(盘货信息!A5="","",盘货信息!A5)</f>
        <v/>
      </c>
      <c r="B5" s="20" t="str">
        <f>IF(盘货信息!B5="","",盘货信息!B5)</f>
        <v/>
      </c>
      <c r="C5" s="18" t="str">
        <f>IF(盘货信息!C5="","",盘货信息!C5)</f>
        <v/>
      </c>
      <c r="D5" s="18" t="str">
        <f ca="1" t="shared" si="0"/>
        <v/>
      </c>
      <c r="E5" s="18" t="str">
        <f>IF(C5="","",固定信息!$B$2)</f>
        <v/>
      </c>
      <c r="F5" s="18" t="str">
        <f t="array" ref="F5">IF(C5="","","【"&amp;C5&amp;"】"&amp;_xlfn.XLOOKUP(A5&amp;B5&amp;C5,盘货信息!$A:$A&amp;盘货信息!$B:$B&amp;盘货信息!$C:$C,盘货信息!$D:$D))</f>
        <v/>
      </c>
      <c r="G5" s="18" t="str">
        <f>IF(C5="","","【"&amp;"活动时间："&amp;固定信息!$B$3&amp;"】")</f>
        <v/>
      </c>
      <c r="H5" s="18" t="str">
        <f>IF($C5="","",固定信息!$B$1)</f>
        <v/>
      </c>
      <c r="I5" s="18"/>
      <c r="J5" s="18" t="str">
        <f t="array" ref="J5">_xlfn.XLOOKUP(A5&amp;B5&amp;C5,价格信息!$A:$A&amp;价格信息!$B:$B&amp;价格信息!$C:$C,价格信息!$D:$D)</f>
        <v/>
      </c>
      <c r="K5" s="31" t="str">
        <f t="array" ref="K5">IF(_xlfn.XLOOKUP(A5&amp;B5&amp;C5,价格信息!$A:$A&amp;价格信息!$B:$B&amp;价格信息!$C:$C,价格信息!$I:$I)="","","【优惠券链接】"&amp;固定信息!$B$6)</f>
        <v/>
      </c>
      <c r="L5" s="31" t="str">
        <f>IF($C5="","",固定信息!$B$1)</f>
        <v/>
      </c>
      <c r="M5" s="18" t="str">
        <f t="array" ref="M5">IF(_xlfn.XLOOKUP(A5&amp;B5&amp;C5,盘货信息!$A:$A&amp;盘货信息!$B:$B&amp;盘货信息!$C:$C,盘货信息!$O:$O)="","","【优惠券】领"&amp;INDEX(_wpsfn.REGEXP(_xlfn.XLOOKUP(A5&amp;B5&amp;C5,盘货信息!$A:$A&amp;盘货信息!$B:$B&amp;盘货信息!$C:$C,盘货信息!$O:$O),"\d+"),1,1)&amp;"元优惠券下单更优惠，优惠卷："&amp;_xlfn.XLOOKUP(A5&amp;B5&amp;C5,盘货信息!$A:$A&amp;盘货信息!$B:$B&amp;盘货信息!$C:$C,盘货信息!$P:$P))</f>
        <v/>
      </c>
      <c r="N5" s="18" t="str">
        <f t="array" ref="N5">IF(AND(ISNUMBER(_xlfn.XLOOKUP(A5&amp;B5&amp;C5,盘货信息!$A:$A&amp;盘货信息!$B:$B&amp;盘货信息!$C:$C,盘货信息!$I:$I)),_xlfn.XLOOKUP(A5&amp;B5&amp;C5,盘货信息!$A:$A&amp;盘货信息!$B:$B&amp;盘货信息!$C:$C,盘货信息!$I:$I)&gt;1),"【88VIP】立减"&amp;_xlfn.XLOOKUP(A5&amp;B5&amp;C5,盘货信息!$A:$A&amp;盘货信息!$B:$B&amp;盘货信息!$C:$C,盘货信息!$I:$I)&amp;"元","")</f>
        <v/>
      </c>
      <c r="O5" s="18" t="str">
        <f t="array" ref="O5">IF(_xlfn.XLOOKUP(A5&amp;B5&amp;C5,盘货信息!$A:$A&amp;盘货信息!$B:$B&amp;盘货信息!$C:$C,盘货信息!$K:$K)="","",IF(AND(_xlfn.XLOOKUP(A5&amp;B5&amp;C5,盘货信息!$A:$A&amp;盘货信息!$B:$B&amp;盘货信息!$C:$C,盘货信息!$G:$G)="不参加",_xlfn.XLOOKUP(A5&amp;B5&amp;C5,盘货信息!$A:$A&amp;盘货信息!$B:$B&amp;盘货信息!$C:$C,盘货信息!$H:$H)=""),"【以旧换新】"&amp;_xlfn.XLOOKUP(A5&amp;B5&amp;C5,盘货信息!$A:$A&amp;盘货信息!$B:$B&amp;盘货信息!$C:$C,盘货信息!$K:$K)&amp;"元以旧换新补贴（可无旧机换新）",""))</f>
        <v/>
      </c>
      <c r="P5" s="18" t="str">
        <f t="array" ref="P5">_xlfn.XLOOKUP(A5&amp;B5&amp;C5,赠品!$A:$A&amp;赠品!$B:$B&amp;赠品!$C:$C,赠品!$D:$D)</f>
        <v/>
      </c>
      <c r="Q5" s="18" t="str">
        <f>IF($C5="","",IF(AND(M5="",N5="",P5=""),"",固定信息!$B$1))</f>
        <v/>
      </c>
      <c r="R5" s="18" t="str">
        <f t="array" ref="R5">IF(ISNUMBER(SEARCH("是",_xlfn.XLOOKUP(A5&amp;B5&amp;C5,盘货信息!$A:$A&amp;盘货信息!$B:$B&amp;盘货信息!$C:$C,盘货信息!$U:$U))),"【折扣】指定型号满2类享96折，满3类享94折","")</f>
        <v/>
      </c>
      <c r="S5" s="18" t="str">
        <f t="array" ref="S5">IF(_xlfn.XLOOKUP(A5&amp;B5&amp;C5,盘货信息!$A:$A&amp;盘货信息!$B:$B&amp;盘货信息!$C:$C,盘货信息!$Q:$Q)&lt;1,"","【红包】活动时间购机送"&amp;_xlfn.TEXTJOIN("",,IF(ISNUMBER(--MID(_xlfn.XLOOKUP(A5&amp;B5&amp;C5,盘货信息!$A:$A&amp;盘货信息!$B:$B&amp;盘货信息!$C:$C,盘货信息!$Q:$Q),_xlfn.SEQUENCE(LEN(_xlfn.XLOOKUP(A5&amp;B5&amp;C5,盘货信息!$A:$A&amp;盘货信息!$B:$B&amp;盘货信息!$C:$C,盘货信息!$Q:$Q))),1)),MID(_xlfn.XLOOKUP(A5&amp;B5&amp;C5,盘货信息!$A:$A&amp;盘货信息!$B:$B&amp;盘货信息!$C:$C,盘货信息!$Q:$Q),_xlfn.SEQUENCE(LEN(_xlfn.XLOOKUP(A5&amp;B5&amp;C5,盘货信息!$A:$A&amp;盘货信息!$B:$B&amp;盘货信息!$C:$C,盘货信息!$Q:$Q))),1),""))&amp;"元")</f>
        <v/>
      </c>
      <c r="T5" s="18" t="str">
        <f t="array" ref="T5">IF(ISNUMBER(SEARCH("是",_xlfn.XLOOKUP(A5&amp;B5&amp;C5,盘货信息!$A:$A&amp;盘货信息!$B:$B&amp;盘货信息!$C:$C,盘货信息!$T:$T))),"【瓜分】"&amp;固定信息!$B$7,"")</f>
        <v/>
      </c>
      <c r="U5" s="18" t="str">
        <f>IF($C5="","",IF(AND(R5="",S5="",T5=""),"",固定信息!$B$1))</f>
        <v/>
      </c>
      <c r="V5" s="18" t="str">
        <f t="array" ref="V5">IF(C5="","","【服务】"&amp;IF(_xlfn.XLOOKUP(A5&amp;B5&amp;C5,盘货信息!$A:$A&amp;盘货信息!$B:$B&amp;盘货信息!$C:$C,盘货信息!$V:$V)="","",_xlfn.XLOOKUP(A5&amp;B5&amp;C5,盘货信息!$A:$A&amp;盘货信息!$B:$B&amp;盘货信息!$C:$C,盘货信息!$V:$V)&amp;"免息,")&amp;IF(_xlfn.XLOOKUP(A5&amp;B5&amp;C5,盘货信息!$A:$A&amp;盘货信息!$B:$B&amp;盘货信息!$C:$C,盘货信息!$W:$W)="","",_xlfn.XLOOKUP(A5&amp;B5&amp;C5,盘货信息!$A:$A&amp;盘货信息!$B:$B&amp;盘货信息!$C:$C,盘货信息!$W:$W)&amp;"，")&amp;"送货入户，退换免运费")</f>
        <v/>
      </c>
    </row>
    <row r="6" customHeight="1" spans="1:22">
      <c r="A6" s="17" t="str">
        <f>IF(盘货信息!A6="","",盘货信息!A6)</f>
        <v/>
      </c>
      <c r="B6" s="20" t="str">
        <f>IF(盘货信息!B6="","",盘货信息!B6)</f>
        <v/>
      </c>
      <c r="C6" s="18" t="str">
        <f>IF(盘货信息!C6="","",盘货信息!C6)</f>
        <v/>
      </c>
      <c r="D6" s="18" t="str">
        <f ca="1" t="shared" si="0"/>
        <v/>
      </c>
      <c r="E6" s="18" t="str">
        <f>IF(C6="","",固定信息!$B$2)</f>
        <v/>
      </c>
      <c r="F6" s="18" t="str">
        <f t="array" ref="F6">IF(C6="","","【"&amp;C6&amp;"】"&amp;_xlfn.XLOOKUP(A6&amp;B6&amp;C6,盘货信息!$A:$A&amp;盘货信息!$B:$B&amp;盘货信息!$C:$C,盘货信息!$D:$D))</f>
        <v/>
      </c>
      <c r="G6" s="18" t="str">
        <f>IF(C6="","","【"&amp;"活动时间："&amp;固定信息!$B$3&amp;"】")</f>
        <v/>
      </c>
      <c r="H6" s="18" t="str">
        <f>IF($C6="","",固定信息!$B$1)</f>
        <v/>
      </c>
      <c r="I6" s="18"/>
      <c r="J6" s="18" t="str">
        <f t="array" ref="J6">_xlfn.XLOOKUP(A6&amp;B6&amp;C6,价格信息!$A:$A&amp;价格信息!$B:$B&amp;价格信息!$C:$C,价格信息!$D:$D)</f>
        <v/>
      </c>
      <c r="K6" s="31" t="str">
        <f t="array" ref="K6">IF(_xlfn.XLOOKUP(A6&amp;B6&amp;C6,价格信息!$A:$A&amp;价格信息!$B:$B&amp;价格信息!$C:$C,价格信息!$I:$I)="","","【优惠券链接】"&amp;固定信息!$B$6)</f>
        <v/>
      </c>
      <c r="L6" s="31" t="str">
        <f>IF($C6="","",固定信息!$B$1)</f>
        <v/>
      </c>
      <c r="M6" s="18" t="str">
        <f t="array" ref="M6">IF(_xlfn.XLOOKUP(A6&amp;B6&amp;C6,盘货信息!$A:$A&amp;盘货信息!$B:$B&amp;盘货信息!$C:$C,盘货信息!$O:$O)="","","【优惠券】领"&amp;INDEX(_wpsfn.REGEXP(_xlfn.XLOOKUP(A6&amp;B6&amp;C6,盘货信息!$A:$A&amp;盘货信息!$B:$B&amp;盘货信息!$C:$C,盘货信息!$O:$O),"\d+"),1,1)&amp;"元优惠券下单更优惠，优惠卷："&amp;_xlfn.XLOOKUP(A6&amp;B6&amp;C6,盘货信息!$A:$A&amp;盘货信息!$B:$B&amp;盘货信息!$C:$C,盘货信息!$P:$P))</f>
        <v/>
      </c>
      <c r="N6" s="18" t="str">
        <f t="array" ref="N6">IF(AND(ISNUMBER(_xlfn.XLOOKUP(A6&amp;B6&amp;C6,盘货信息!$A:$A&amp;盘货信息!$B:$B&amp;盘货信息!$C:$C,盘货信息!$I:$I)),_xlfn.XLOOKUP(A6&amp;B6&amp;C6,盘货信息!$A:$A&amp;盘货信息!$B:$B&amp;盘货信息!$C:$C,盘货信息!$I:$I)&gt;1),"【88VIP】立减"&amp;_xlfn.XLOOKUP(A6&amp;B6&amp;C6,盘货信息!$A:$A&amp;盘货信息!$B:$B&amp;盘货信息!$C:$C,盘货信息!$I:$I)&amp;"元","")</f>
        <v/>
      </c>
      <c r="O6" s="18" t="str">
        <f t="array" ref="O6">IF(_xlfn.XLOOKUP(A6&amp;B6&amp;C6,盘货信息!$A:$A&amp;盘货信息!$B:$B&amp;盘货信息!$C:$C,盘货信息!$K:$K)="","",IF(AND(_xlfn.XLOOKUP(A6&amp;B6&amp;C6,盘货信息!$A:$A&amp;盘货信息!$B:$B&amp;盘货信息!$C:$C,盘货信息!$G:$G)="不参加",_xlfn.XLOOKUP(A6&amp;B6&amp;C6,盘货信息!$A:$A&amp;盘货信息!$B:$B&amp;盘货信息!$C:$C,盘货信息!$H:$H)=""),"【以旧换新】"&amp;_xlfn.XLOOKUP(A6&amp;B6&amp;C6,盘货信息!$A:$A&amp;盘货信息!$B:$B&amp;盘货信息!$C:$C,盘货信息!$K:$K)&amp;"元以旧换新补贴（可无旧机换新）",""))</f>
        <v/>
      </c>
      <c r="P6" s="18" t="str">
        <f t="array" ref="P6">_xlfn.XLOOKUP(A6&amp;B6&amp;C6,赠品!$A:$A&amp;赠品!$B:$B&amp;赠品!$C:$C,赠品!$D:$D)</f>
        <v/>
      </c>
      <c r="Q6" s="18" t="str">
        <f>IF($C6="","",IF(AND(M6="",N6="",P6=""),"",固定信息!$B$1))</f>
        <v/>
      </c>
      <c r="R6" s="18" t="str">
        <f t="array" ref="R6">IF(ISNUMBER(SEARCH("是",_xlfn.XLOOKUP(A6&amp;B6&amp;C6,盘货信息!$A:$A&amp;盘货信息!$B:$B&amp;盘货信息!$C:$C,盘货信息!$U:$U))),"【折扣】指定型号满2类享96折，满3类享94折","")</f>
        <v/>
      </c>
      <c r="S6" s="18" t="str">
        <f t="array" ref="S6">IF(_xlfn.XLOOKUP(A6&amp;B6&amp;C6,盘货信息!$A:$A&amp;盘货信息!$B:$B&amp;盘货信息!$C:$C,盘货信息!$Q:$Q)&lt;1,"","【红包】活动时间购机送"&amp;_xlfn.TEXTJOIN("",,IF(ISNUMBER(--MID(_xlfn.XLOOKUP(A6&amp;B6&amp;C6,盘货信息!$A:$A&amp;盘货信息!$B:$B&amp;盘货信息!$C:$C,盘货信息!$Q:$Q),_xlfn.SEQUENCE(LEN(_xlfn.XLOOKUP(A6&amp;B6&amp;C6,盘货信息!$A:$A&amp;盘货信息!$B:$B&amp;盘货信息!$C:$C,盘货信息!$Q:$Q))),1)),MID(_xlfn.XLOOKUP(A6&amp;B6&amp;C6,盘货信息!$A:$A&amp;盘货信息!$B:$B&amp;盘货信息!$C:$C,盘货信息!$Q:$Q),_xlfn.SEQUENCE(LEN(_xlfn.XLOOKUP(A6&amp;B6&amp;C6,盘货信息!$A:$A&amp;盘货信息!$B:$B&amp;盘货信息!$C:$C,盘货信息!$Q:$Q))),1),""))&amp;"元")</f>
        <v/>
      </c>
      <c r="T6" s="18" t="str">
        <f t="array" ref="T6">IF(ISNUMBER(SEARCH("是",_xlfn.XLOOKUP(A6&amp;B6&amp;C6,盘货信息!$A:$A&amp;盘货信息!$B:$B&amp;盘货信息!$C:$C,盘货信息!$T:$T))),"【瓜分】"&amp;固定信息!$B$7,"")</f>
        <v/>
      </c>
      <c r="U6" s="18" t="str">
        <f>IF($C6="","",IF(AND(R6="",S6="",T6=""),"",固定信息!$B$1))</f>
        <v/>
      </c>
      <c r="V6" s="18" t="str">
        <f t="array" ref="V6">IF(C6="","","【服务】"&amp;IF(_xlfn.XLOOKUP(A6&amp;B6&amp;C6,盘货信息!$A:$A&amp;盘货信息!$B:$B&amp;盘货信息!$C:$C,盘货信息!$V:$V)="","",_xlfn.XLOOKUP(A6&amp;B6&amp;C6,盘货信息!$A:$A&amp;盘货信息!$B:$B&amp;盘货信息!$C:$C,盘货信息!$V:$V)&amp;"免息,")&amp;IF(_xlfn.XLOOKUP(A6&amp;B6&amp;C6,盘货信息!$A:$A&amp;盘货信息!$B:$B&amp;盘货信息!$C:$C,盘货信息!$W:$W)="","",_xlfn.XLOOKUP(A6&amp;B6&amp;C6,盘货信息!$A:$A&amp;盘货信息!$B:$B&amp;盘货信息!$C:$C,盘货信息!$W:$W)&amp;"，")&amp;"送货入户，退换免运费")</f>
        <v/>
      </c>
    </row>
    <row r="7" customHeight="1" spans="1:22">
      <c r="A7" s="17" t="str">
        <f>IF(盘货信息!A7="","",盘货信息!A7)</f>
        <v/>
      </c>
      <c r="B7" s="20" t="str">
        <f>IF(盘货信息!B7="","",盘货信息!B7)</f>
        <v/>
      </c>
      <c r="C7" s="18" t="str">
        <f>IF(盘货信息!C7="","",盘货信息!C7)</f>
        <v/>
      </c>
      <c r="D7" s="18" t="str">
        <f ca="1" t="shared" si="0"/>
        <v/>
      </c>
      <c r="E7" s="18" t="str">
        <f>IF(C7="","",固定信息!$B$2)</f>
        <v/>
      </c>
      <c r="F7" s="18" t="str">
        <f t="array" ref="F7">IF(C7="","","【"&amp;C7&amp;"】"&amp;_xlfn.XLOOKUP(A7&amp;B7&amp;C7,盘货信息!$A:$A&amp;盘货信息!$B:$B&amp;盘货信息!$C:$C,盘货信息!$D:$D))</f>
        <v/>
      </c>
      <c r="G7" s="18" t="str">
        <f>IF(C7="","","【"&amp;"活动时间："&amp;固定信息!$B$3&amp;"】")</f>
        <v/>
      </c>
      <c r="H7" s="18" t="str">
        <f>IF($C7="","",固定信息!$B$1)</f>
        <v/>
      </c>
      <c r="I7" s="18"/>
      <c r="J7" s="18" t="str">
        <f t="array" ref="J7">_xlfn.XLOOKUP(A7&amp;B7&amp;C7,价格信息!$A:$A&amp;价格信息!$B:$B&amp;价格信息!$C:$C,价格信息!$D:$D)</f>
        <v/>
      </c>
      <c r="K7" s="31" t="str">
        <f t="array" ref="K7">IF(_xlfn.XLOOKUP(A7&amp;B7&amp;C7,价格信息!$A:$A&amp;价格信息!$B:$B&amp;价格信息!$C:$C,价格信息!$I:$I)="","","【优惠券链接】"&amp;固定信息!$B$6)</f>
        <v/>
      </c>
      <c r="L7" s="31" t="str">
        <f>IF($C7="","",固定信息!$B$1)</f>
        <v/>
      </c>
      <c r="M7" s="18" t="str">
        <f t="array" ref="M7">IF(_xlfn.XLOOKUP(A7&amp;B7&amp;C7,盘货信息!$A:$A&amp;盘货信息!$B:$B&amp;盘货信息!$C:$C,盘货信息!$O:$O)="","","【优惠券】领"&amp;INDEX(_wpsfn.REGEXP(_xlfn.XLOOKUP(A7&amp;B7&amp;C7,盘货信息!$A:$A&amp;盘货信息!$B:$B&amp;盘货信息!$C:$C,盘货信息!$O:$O),"\d+"),1,1)&amp;"元优惠券下单更优惠，优惠卷："&amp;_xlfn.XLOOKUP(A7&amp;B7&amp;C7,盘货信息!$A:$A&amp;盘货信息!$B:$B&amp;盘货信息!$C:$C,盘货信息!$P:$P))</f>
        <v/>
      </c>
      <c r="N7" s="18" t="str">
        <f t="array" ref="N7">IF(AND(ISNUMBER(_xlfn.XLOOKUP(A7&amp;B7&amp;C7,盘货信息!$A:$A&amp;盘货信息!$B:$B&amp;盘货信息!$C:$C,盘货信息!$I:$I)),_xlfn.XLOOKUP(A7&amp;B7&amp;C7,盘货信息!$A:$A&amp;盘货信息!$B:$B&amp;盘货信息!$C:$C,盘货信息!$I:$I)&gt;1),"【88VIP】立减"&amp;_xlfn.XLOOKUP(A7&amp;B7&amp;C7,盘货信息!$A:$A&amp;盘货信息!$B:$B&amp;盘货信息!$C:$C,盘货信息!$I:$I)&amp;"元","")</f>
        <v/>
      </c>
      <c r="O7" s="18" t="str">
        <f t="array" ref="O7">IF(_xlfn.XLOOKUP(A7&amp;B7&amp;C7,盘货信息!$A:$A&amp;盘货信息!$B:$B&amp;盘货信息!$C:$C,盘货信息!$K:$K)="","",IF(AND(_xlfn.XLOOKUP(A7&amp;B7&amp;C7,盘货信息!$A:$A&amp;盘货信息!$B:$B&amp;盘货信息!$C:$C,盘货信息!$G:$G)="不参加",_xlfn.XLOOKUP(A7&amp;B7&amp;C7,盘货信息!$A:$A&amp;盘货信息!$B:$B&amp;盘货信息!$C:$C,盘货信息!$H:$H)=""),"【以旧换新】"&amp;_xlfn.XLOOKUP(A7&amp;B7&amp;C7,盘货信息!$A:$A&amp;盘货信息!$B:$B&amp;盘货信息!$C:$C,盘货信息!$K:$K)&amp;"元以旧换新补贴（可无旧机换新）",""))</f>
        <v/>
      </c>
      <c r="P7" s="18" t="str">
        <f t="array" ref="P7">_xlfn.XLOOKUP(A7&amp;B7&amp;C7,赠品!$A:$A&amp;赠品!$B:$B&amp;赠品!$C:$C,赠品!$D:$D)</f>
        <v/>
      </c>
      <c r="Q7" s="18" t="str">
        <f>IF($C7="","",IF(AND(M7="",N7="",P7=""),"",固定信息!$B$1))</f>
        <v/>
      </c>
      <c r="R7" s="18" t="str">
        <f t="array" ref="R7">IF(ISNUMBER(SEARCH("是",_xlfn.XLOOKUP(A7&amp;B7&amp;C7,盘货信息!$A:$A&amp;盘货信息!$B:$B&amp;盘货信息!$C:$C,盘货信息!$U:$U))),"【折扣】指定型号满2类享96折，满3类享94折","")</f>
        <v/>
      </c>
      <c r="S7" s="18" t="str">
        <f t="array" ref="S7">IF(_xlfn.XLOOKUP(A7&amp;B7&amp;C7,盘货信息!$A:$A&amp;盘货信息!$B:$B&amp;盘货信息!$C:$C,盘货信息!$Q:$Q)&lt;1,"","【红包】活动时间购机送"&amp;_xlfn.TEXTJOIN("",,IF(ISNUMBER(--MID(_xlfn.XLOOKUP(A7&amp;B7&amp;C7,盘货信息!$A:$A&amp;盘货信息!$B:$B&amp;盘货信息!$C:$C,盘货信息!$Q:$Q),_xlfn.SEQUENCE(LEN(_xlfn.XLOOKUP(A7&amp;B7&amp;C7,盘货信息!$A:$A&amp;盘货信息!$B:$B&amp;盘货信息!$C:$C,盘货信息!$Q:$Q))),1)),MID(_xlfn.XLOOKUP(A7&amp;B7&amp;C7,盘货信息!$A:$A&amp;盘货信息!$B:$B&amp;盘货信息!$C:$C,盘货信息!$Q:$Q),_xlfn.SEQUENCE(LEN(_xlfn.XLOOKUP(A7&amp;B7&amp;C7,盘货信息!$A:$A&amp;盘货信息!$B:$B&amp;盘货信息!$C:$C,盘货信息!$Q:$Q))),1),""))&amp;"元")</f>
        <v/>
      </c>
      <c r="T7" s="18" t="str">
        <f t="array" ref="T7">IF(ISNUMBER(SEARCH("是",_xlfn.XLOOKUP(A7&amp;B7&amp;C7,盘货信息!$A:$A&amp;盘货信息!$B:$B&amp;盘货信息!$C:$C,盘货信息!$T:$T))),"【瓜分】"&amp;固定信息!$B$7,"")</f>
        <v/>
      </c>
      <c r="U7" s="18" t="str">
        <f>IF($C7="","",IF(AND(R7="",S7="",T7=""),"",固定信息!$B$1))</f>
        <v/>
      </c>
      <c r="V7" s="18" t="str">
        <f t="array" ref="V7">IF(C7="","","【服务】"&amp;IF(_xlfn.XLOOKUP(A7&amp;B7&amp;C7,盘货信息!$A:$A&amp;盘货信息!$B:$B&amp;盘货信息!$C:$C,盘货信息!$V:$V)="","",_xlfn.XLOOKUP(A7&amp;B7&amp;C7,盘货信息!$A:$A&amp;盘货信息!$B:$B&amp;盘货信息!$C:$C,盘货信息!$V:$V)&amp;"免息,")&amp;IF(_xlfn.XLOOKUP(A7&amp;B7&amp;C7,盘货信息!$A:$A&amp;盘货信息!$B:$B&amp;盘货信息!$C:$C,盘货信息!$W:$W)="","",_xlfn.XLOOKUP(A7&amp;B7&amp;C7,盘货信息!$A:$A&amp;盘货信息!$B:$B&amp;盘货信息!$C:$C,盘货信息!$W:$W)&amp;"，")&amp;"送货入户，退换免运费")</f>
        <v/>
      </c>
    </row>
    <row r="8" customHeight="1" spans="1:22">
      <c r="A8" s="17" t="str">
        <f>IF(盘货信息!A8="","",盘货信息!A8)</f>
        <v/>
      </c>
      <c r="B8" s="20" t="str">
        <f>IF(盘货信息!B8="","",盘货信息!B8)</f>
        <v/>
      </c>
      <c r="C8" s="18" t="str">
        <f>IF(盘货信息!C8="","",盘货信息!C8)</f>
        <v/>
      </c>
      <c r="D8" s="18" t="str">
        <f ca="1" t="shared" si="0"/>
        <v/>
      </c>
      <c r="E8" s="18" t="str">
        <f>IF(C8="","",固定信息!$B$2)</f>
        <v/>
      </c>
      <c r="F8" s="18" t="str">
        <f t="array" ref="F8">IF(C8="","","【"&amp;C8&amp;"】"&amp;_xlfn.XLOOKUP(A8&amp;B8&amp;C8,盘货信息!$A:$A&amp;盘货信息!$B:$B&amp;盘货信息!$C:$C,盘货信息!$D:$D))</f>
        <v/>
      </c>
      <c r="G8" s="18" t="str">
        <f>IF(C8="","","【"&amp;"活动时间："&amp;固定信息!$B$3&amp;"】")</f>
        <v/>
      </c>
      <c r="H8" s="18" t="str">
        <f>IF($C8="","",固定信息!$B$1)</f>
        <v/>
      </c>
      <c r="I8" s="18"/>
      <c r="J8" s="18" t="str">
        <f t="array" ref="J8">_xlfn.XLOOKUP(A8&amp;B8&amp;C8,价格信息!$A:$A&amp;价格信息!$B:$B&amp;价格信息!$C:$C,价格信息!$D:$D)</f>
        <v/>
      </c>
      <c r="K8" s="31" t="str">
        <f t="array" ref="K8">IF(_xlfn.XLOOKUP(A8&amp;B8&amp;C8,价格信息!$A:$A&amp;价格信息!$B:$B&amp;价格信息!$C:$C,价格信息!$I:$I)="","","【优惠券链接】"&amp;固定信息!$B$6)</f>
        <v/>
      </c>
      <c r="L8" s="31" t="str">
        <f>IF($C8="","",固定信息!$B$1)</f>
        <v/>
      </c>
      <c r="M8" s="18" t="str">
        <f t="array" ref="M8">IF(_xlfn.XLOOKUP(A8&amp;B8&amp;C8,盘货信息!$A:$A&amp;盘货信息!$B:$B&amp;盘货信息!$C:$C,盘货信息!$O:$O)="","","【优惠券】领"&amp;INDEX(_wpsfn.REGEXP(_xlfn.XLOOKUP(A8&amp;B8&amp;C8,盘货信息!$A:$A&amp;盘货信息!$B:$B&amp;盘货信息!$C:$C,盘货信息!$O:$O),"\d+"),1,1)&amp;"元优惠券下单更优惠，优惠卷："&amp;_xlfn.XLOOKUP(A8&amp;B8&amp;C8,盘货信息!$A:$A&amp;盘货信息!$B:$B&amp;盘货信息!$C:$C,盘货信息!$P:$P))</f>
        <v/>
      </c>
      <c r="N8" s="18" t="str">
        <f t="array" ref="N8">IF(AND(ISNUMBER(_xlfn.XLOOKUP(A8&amp;B8&amp;C8,盘货信息!$A:$A&amp;盘货信息!$B:$B&amp;盘货信息!$C:$C,盘货信息!$I:$I)),_xlfn.XLOOKUP(A8&amp;B8&amp;C8,盘货信息!$A:$A&amp;盘货信息!$B:$B&amp;盘货信息!$C:$C,盘货信息!$I:$I)&gt;1),"【88VIP】立减"&amp;_xlfn.XLOOKUP(A8&amp;B8&amp;C8,盘货信息!$A:$A&amp;盘货信息!$B:$B&amp;盘货信息!$C:$C,盘货信息!$I:$I)&amp;"元","")</f>
        <v/>
      </c>
      <c r="O8" s="18" t="str">
        <f t="array" ref="O8">IF(_xlfn.XLOOKUP(A8&amp;B8&amp;C8,盘货信息!$A:$A&amp;盘货信息!$B:$B&amp;盘货信息!$C:$C,盘货信息!$K:$K)="","",IF(AND(_xlfn.XLOOKUP(A8&amp;B8&amp;C8,盘货信息!$A:$A&amp;盘货信息!$B:$B&amp;盘货信息!$C:$C,盘货信息!$G:$G)="不参加",_xlfn.XLOOKUP(A8&amp;B8&amp;C8,盘货信息!$A:$A&amp;盘货信息!$B:$B&amp;盘货信息!$C:$C,盘货信息!$H:$H)=""),"【以旧换新】"&amp;_xlfn.XLOOKUP(A8&amp;B8&amp;C8,盘货信息!$A:$A&amp;盘货信息!$B:$B&amp;盘货信息!$C:$C,盘货信息!$K:$K)&amp;"元以旧换新补贴（可无旧机换新）",""))</f>
        <v/>
      </c>
      <c r="P8" s="18" t="str">
        <f t="array" ref="P8">_xlfn.XLOOKUP(A8&amp;B8&amp;C8,赠品!$A:$A&amp;赠品!$B:$B&amp;赠品!$C:$C,赠品!$D:$D)</f>
        <v/>
      </c>
      <c r="Q8" s="18" t="str">
        <f>IF($C8="","",IF(AND(M8="",N8="",P8=""),"",固定信息!$B$1))</f>
        <v/>
      </c>
      <c r="R8" s="18" t="str">
        <f t="array" ref="R8">IF(ISNUMBER(SEARCH("是",_xlfn.XLOOKUP(A8&amp;B8&amp;C8,盘货信息!$A:$A&amp;盘货信息!$B:$B&amp;盘货信息!$C:$C,盘货信息!$U:$U))),"【折扣】指定型号满2类享96折，满3类享94折","")</f>
        <v/>
      </c>
      <c r="S8" s="18" t="str">
        <f t="array" ref="S8">IF(_xlfn.XLOOKUP(A8&amp;B8&amp;C8,盘货信息!$A:$A&amp;盘货信息!$B:$B&amp;盘货信息!$C:$C,盘货信息!$Q:$Q)&lt;1,"","【红包】活动时间购机送"&amp;_xlfn.TEXTJOIN("",,IF(ISNUMBER(--MID(_xlfn.XLOOKUP(A8&amp;B8&amp;C8,盘货信息!$A:$A&amp;盘货信息!$B:$B&amp;盘货信息!$C:$C,盘货信息!$Q:$Q),_xlfn.SEQUENCE(LEN(_xlfn.XLOOKUP(A8&amp;B8&amp;C8,盘货信息!$A:$A&amp;盘货信息!$B:$B&amp;盘货信息!$C:$C,盘货信息!$Q:$Q))),1)),MID(_xlfn.XLOOKUP(A8&amp;B8&amp;C8,盘货信息!$A:$A&amp;盘货信息!$B:$B&amp;盘货信息!$C:$C,盘货信息!$Q:$Q),_xlfn.SEQUENCE(LEN(_xlfn.XLOOKUP(A8&amp;B8&amp;C8,盘货信息!$A:$A&amp;盘货信息!$B:$B&amp;盘货信息!$C:$C,盘货信息!$Q:$Q))),1),""))&amp;"元")</f>
        <v/>
      </c>
      <c r="T8" s="18" t="str">
        <f t="array" ref="T8">IF(ISNUMBER(SEARCH("是",_xlfn.XLOOKUP(A8&amp;B8&amp;C8,盘货信息!$A:$A&amp;盘货信息!$B:$B&amp;盘货信息!$C:$C,盘货信息!$T:$T))),"【瓜分】"&amp;固定信息!$B$7,"")</f>
        <v/>
      </c>
      <c r="U8" s="18" t="str">
        <f>IF($C8="","",IF(AND(R8="",S8="",T8=""),"",固定信息!$B$1))</f>
        <v/>
      </c>
      <c r="V8" s="18" t="str">
        <f t="array" ref="V8">IF(C8="","","【服务】"&amp;IF(_xlfn.XLOOKUP(A8&amp;B8&amp;C8,盘货信息!$A:$A&amp;盘货信息!$B:$B&amp;盘货信息!$C:$C,盘货信息!$V:$V)="","",_xlfn.XLOOKUP(A8&amp;B8&amp;C8,盘货信息!$A:$A&amp;盘货信息!$B:$B&amp;盘货信息!$C:$C,盘货信息!$V:$V)&amp;"免息,")&amp;IF(_xlfn.XLOOKUP(A8&amp;B8&amp;C8,盘货信息!$A:$A&amp;盘货信息!$B:$B&amp;盘货信息!$C:$C,盘货信息!$W:$W)="","",_xlfn.XLOOKUP(A8&amp;B8&amp;C8,盘货信息!$A:$A&amp;盘货信息!$B:$B&amp;盘货信息!$C:$C,盘货信息!$W:$W)&amp;"，")&amp;"送货入户，退换免运费")</f>
        <v/>
      </c>
    </row>
    <row r="9" customHeight="1" spans="1:22">
      <c r="A9" s="17" t="str">
        <f>IF(盘货信息!A9="","",盘货信息!A9)</f>
        <v/>
      </c>
      <c r="B9" s="20" t="str">
        <f>IF(盘货信息!B9="","",盘货信息!B9)</f>
        <v/>
      </c>
      <c r="C9" s="18" t="str">
        <f>IF(盘货信息!C9="","",盘货信息!C9)</f>
        <v/>
      </c>
      <c r="D9" s="18" t="str">
        <f ca="1" t="shared" si="0"/>
        <v/>
      </c>
      <c r="E9" s="18" t="str">
        <f>IF(C9="","",固定信息!$B$2)</f>
        <v/>
      </c>
      <c r="F9" s="18" t="str">
        <f t="array" ref="F9">IF(C9="","","【"&amp;C9&amp;"】"&amp;_xlfn.XLOOKUP(A9&amp;B9&amp;C9,盘货信息!$A:$A&amp;盘货信息!$B:$B&amp;盘货信息!$C:$C,盘货信息!$D:$D))</f>
        <v/>
      </c>
      <c r="G9" s="18" t="str">
        <f>IF(C9="","","【"&amp;"活动时间："&amp;固定信息!$B$3&amp;"】")</f>
        <v/>
      </c>
      <c r="H9" s="18" t="str">
        <f>IF($C9="","",固定信息!$B$1)</f>
        <v/>
      </c>
      <c r="I9" s="18"/>
      <c r="J9" s="18" t="str">
        <f t="array" ref="J9">_xlfn.XLOOKUP(A9&amp;B9&amp;C9,价格信息!$A:$A&amp;价格信息!$B:$B&amp;价格信息!$C:$C,价格信息!$D:$D)</f>
        <v/>
      </c>
      <c r="K9" s="31" t="str">
        <f t="array" ref="K9">IF(_xlfn.XLOOKUP(A9&amp;B9&amp;C9,价格信息!$A:$A&amp;价格信息!$B:$B&amp;价格信息!$C:$C,价格信息!$I:$I)="","","【优惠券链接】"&amp;固定信息!$B$6)</f>
        <v/>
      </c>
      <c r="L9" s="31" t="str">
        <f>IF($C9="","",固定信息!$B$1)</f>
        <v/>
      </c>
      <c r="M9" s="18" t="str">
        <f t="array" ref="M9">IF(_xlfn.XLOOKUP(A9&amp;B9&amp;C9,盘货信息!$A:$A&amp;盘货信息!$B:$B&amp;盘货信息!$C:$C,盘货信息!$O:$O)="","","【优惠券】领"&amp;INDEX(_wpsfn.REGEXP(_xlfn.XLOOKUP(A9&amp;B9&amp;C9,盘货信息!$A:$A&amp;盘货信息!$B:$B&amp;盘货信息!$C:$C,盘货信息!$O:$O),"\d+"),1,1)&amp;"元优惠券下单更优惠，优惠卷："&amp;_xlfn.XLOOKUP(A9&amp;B9&amp;C9,盘货信息!$A:$A&amp;盘货信息!$B:$B&amp;盘货信息!$C:$C,盘货信息!$P:$P))</f>
        <v/>
      </c>
      <c r="N9" s="18" t="str">
        <f t="array" ref="N9">IF(AND(ISNUMBER(_xlfn.XLOOKUP(A9&amp;B9&amp;C9,盘货信息!$A:$A&amp;盘货信息!$B:$B&amp;盘货信息!$C:$C,盘货信息!$I:$I)),_xlfn.XLOOKUP(A9&amp;B9&amp;C9,盘货信息!$A:$A&amp;盘货信息!$B:$B&amp;盘货信息!$C:$C,盘货信息!$I:$I)&gt;1),"【88VIP】立减"&amp;_xlfn.XLOOKUP(A9&amp;B9&amp;C9,盘货信息!$A:$A&amp;盘货信息!$B:$B&amp;盘货信息!$C:$C,盘货信息!$I:$I)&amp;"元","")</f>
        <v/>
      </c>
      <c r="O9" s="18" t="str">
        <f t="array" ref="O9">IF(_xlfn.XLOOKUP(A9&amp;B9&amp;C9,盘货信息!$A:$A&amp;盘货信息!$B:$B&amp;盘货信息!$C:$C,盘货信息!$K:$K)="","",IF(AND(_xlfn.XLOOKUP(A9&amp;B9&amp;C9,盘货信息!$A:$A&amp;盘货信息!$B:$B&amp;盘货信息!$C:$C,盘货信息!$G:$G)="不参加",_xlfn.XLOOKUP(A9&amp;B9&amp;C9,盘货信息!$A:$A&amp;盘货信息!$B:$B&amp;盘货信息!$C:$C,盘货信息!$H:$H)=""),"【以旧换新】"&amp;_xlfn.XLOOKUP(A9&amp;B9&amp;C9,盘货信息!$A:$A&amp;盘货信息!$B:$B&amp;盘货信息!$C:$C,盘货信息!$K:$K)&amp;"元以旧换新补贴（可无旧机换新）",""))</f>
        <v/>
      </c>
      <c r="P9" s="18" t="str">
        <f t="array" ref="P9">_xlfn.XLOOKUP(A9&amp;B9&amp;C9,赠品!$A:$A&amp;赠品!$B:$B&amp;赠品!$C:$C,赠品!$D:$D)</f>
        <v/>
      </c>
      <c r="Q9" s="18" t="str">
        <f>IF($C9="","",IF(AND(M9="",N9="",P9=""),"",固定信息!$B$1))</f>
        <v/>
      </c>
      <c r="R9" s="18" t="str">
        <f t="array" ref="R9">IF(ISNUMBER(SEARCH("是",_xlfn.XLOOKUP(A9&amp;B9&amp;C9,盘货信息!$A:$A&amp;盘货信息!$B:$B&amp;盘货信息!$C:$C,盘货信息!$U:$U))),"【折扣】指定型号满2类享96折，满3类享94折","")</f>
        <v/>
      </c>
      <c r="S9" s="18" t="str">
        <f t="array" ref="S9">IF(_xlfn.XLOOKUP(A9&amp;B9&amp;C9,盘货信息!$A:$A&amp;盘货信息!$B:$B&amp;盘货信息!$C:$C,盘货信息!$Q:$Q)&lt;1,"","【红包】活动时间购机送"&amp;_xlfn.TEXTJOIN("",,IF(ISNUMBER(--MID(_xlfn.XLOOKUP(A9&amp;B9&amp;C9,盘货信息!$A:$A&amp;盘货信息!$B:$B&amp;盘货信息!$C:$C,盘货信息!$Q:$Q),_xlfn.SEQUENCE(LEN(_xlfn.XLOOKUP(A9&amp;B9&amp;C9,盘货信息!$A:$A&amp;盘货信息!$B:$B&amp;盘货信息!$C:$C,盘货信息!$Q:$Q))),1)),MID(_xlfn.XLOOKUP(A9&amp;B9&amp;C9,盘货信息!$A:$A&amp;盘货信息!$B:$B&amp;盘货信息!$C:$C,盘货信息!$Q:$Q),_xlfn.SEQUENCE(LEN(_xlfn.XLOOKUP(A9&amp;B9&amp;C9,盘货信息!$A:$A&amp;盘货信息!$B:$B&amp;盘货信息!$C:$C,盘货信息!$Q:$Q))),1),""))&amp;"元")</f>
        <v/>
      </c>
      <c r="T9" s="18" t="str">
        <f t="array" ref="T9">IF(ISNUMBER(SEARCH("是",_xlfn.XLOOKUP(A9&amp;B9&amp;C9,盘货信息!$A:$A&amp;盘货信息!$B:$B&amp;盘货信息!$C:$C,盘货信息!$T:$T))),"【瓜分】"&amp;固定信息!$B$7,"")</f>
        <v/>
      </c>
      <c r="U9" s="18" t="str">
        <f>IF($C9="","",IF(AND(R9="",S9="",T9=""),"",固定信息!$B$1))</f>
        <v/>
      </c>
      <c r="V9" s="18" t="str">
        <f t="array" ref="V9">IF(C9="","","【服务】"&amp;IF(_xlfn.XLOOKUP(A9&amp;B9&amp;C9,盘货信息!$A:$A&amp;盘货信息!$B:$B&amp;盘货信息!$C:$C,盘货信息!$V:$V)="","",_xlfn.XLOOKUP(A9&amp;B9&amp;C9,盘货信息!$A:$A&amp;盘货信息!$B:$B&amp;盘货信息!$C:$C,盘货信息!$V:$V)&amp;"免息,")&amp;IF(_xlfn.XLOOKUP(A9&amp;B9&amp;C9,盘货信息!$A:$A&amp;盘货信息!$B:$B&amp;盘货信息!$C:$C,盘货信息!$W:$W)="","",_xlfn.XLOOKUP(A9&amp;B9&amp;C9,盘货信息!$A:$A&amp;盘货信息!$B:$B&amp;盘货信息!$C:$C,盘货信息!$W:$W)&amp;"，")&amp;"送货入户，退换免运费")</f>
        <v/>
      </c>
    </row>
    <row r="10" customHeight="1" spans="1:22">
      <c r="A10" s="17" t="str">
        <f>IF(盘货信息!A10="","",盘货信息!A10)</f>
        <v/>
      </c>
      <c r="B10" s="20" t="str">
        <f>IF(盘货信息!B10="","",盘货信息!B10)</f>
        <v/>
      </c>
      <c r="C10" s="18" t="str">
        <f>IF(盘货信息!C10="","",盘货信息!C10)</f>
        <v/>
      </c>
      <c r="D10" s="18" t="str">
        <f ca="1" t="shared" si="0"/>
        <v/>
      </c>
      <c r="E10" s="18" t="str">
        <f>IF(C10="","",固定信息!$B$2)</f>
        <v/>
      </c>
      <c r="F10" s="18" t="str">
        <f t="array" ref="F10">IF(C10="","","【"&amp;C10&amp;"】"&amp;_xlfn.XLOOKUP(A10&amp;B10&amp;C10,盘货信息!$A:$A&amp;盘货信息!$B:$B&amp;盘货信息!$C:$C,盘货信息!$D:$D))</f>
        <v/>
      </c>
      <c r="G10" s="18" t="str">
        <f>IF(C10="","","【"&amp;"活动时间："&amp;固定信息!$B$3&amp;"】")</f>
        <v/>
      </c>
      <c r="H10" s="18" t="str">
        <f>IF($C10="","",固定信息!$B$1)</f>
        <v/>
      </c>
      <c r="I10" s="18"/>
      <c r="J10" s="18" t="str">
        <f t="array" ref="J10">_xlfn.XLOOKUP(A10&amp;B10&amp;C10,价格信息!$A:$A&amp;价格信息!$B:$B&amp;价格信息!$C:$C,价格信息!$D:$D)</f>
        <v/>
      </c>
      <c r="K10" s="31" t="str">
        <f t="array" ref="K10">IF(_xlfn.XLOOKUP(A10&amp;B10&amp;C10,价格信息!$A:$A&amp;价格信息!$B:$B&amp;价格信息!$C:$C,价格信息!$I:$I)="","","【优惠券链接】"&amp;固定信息!$B$6)</f>
        <v/>
      </c>
      <c r="L10" s="31" t="str">
        <f>IF($C10="","",固定信息!$B$1)</f>
        <v/>
      </c>
      <c r="M10" s="18" t="str">
        <f t="array" ref="M10">IF(_xlfn.XLOOKUP(A10&amp;B10&amp;C10,盘货信息!$A:$A&amp;盘货信息!$B:$B&amp;盘货信息!$C:$C,盘货信息!$O:$O)="","","【优惠券】领"&amp;INDEX(_wpsfn.REGEXP(_xlfn.XLOOKUP(A10&amp;B10&amp;C10,盘货信息!$A:$A&amp;盘货信息!$B:$B&amp;盘货信息!$C:$C,盘货信息!$O:$O),"\d+"),1,1)&amp;"元优惠券下单更优惠，优惠卷："&amp;_xlfn.XLOOKUP(A10&amp;B10&amp;C10,盘货信息!$A:$A&amp;盘货信息!$B:$B&amp;盘货信息!$C:$C,盘货信息!$P:$P))</f>
        <v/>
      </c>
      <c r="N10" s="18" t="str">
        <f t="array" ref="N10">IF(AND(ISNUMBER(_xlfn.XLOOKUP(A10&amp;B10&amp;C10,盘货信息!$A:$A&amp;盘货信息!$B:$B&amp;盘货信息!$C:$C,盘货信息!$I:$I)),_xlfn.XLOOKUP(A10&amp;B10&amp;C10,盘货信息!$A:$A&amp;盘货信息!$B:$B&amp;盘货信息!$C:$C,盘货信息!$I:$I)&gt;1),"【88VIP】立减"&amp;_xlfn.XLOOKUP(A10&amp;B10&amp;C10,盘货信息!$A:$A&amp;盘货信息!$B:$B&amp;盘货信息!$C:$C,盘货信息!$I:$I)&amp;"元","")</f>
        <v/>
      </c>
      <c r="O10" s="18" t="str">
        <f t="array" ref="O10">IF(_xlfn.XLOOKUP(A10&amp;B10&amp;C10,盘货信息!$A:$A&amp;盘货信息!$B:$B&amp;盘货信息!$C:$C,盘货信息!$K:$K)="","",IF(AND(_xlfn.XLOOKUP(A10&amp;B10&amp;C10,盘货信息!$A:$A&amp;盘货信息!$B:$B&amp;盘货信息!$C:$C,盘货信息!$G:$G)="不参加",_xlfn.XLOOKUP(A10&amp;B10&amp;C10,盘货信息!$A:$A&amp;盘货信息!$B:$B&amp;盘货信息!$C:$C,盘货信息!$H:$H)=""),"【以旧换新】"&amp;_xlfn.XLOOKUP(A10&amp;B10&amp;C10,盘货信息!$A:$A&amp;盘货信息!$B:$B&amp;盘货信息!$C:$C,盘货信息!$K:$K)&amp;"元以旧换新补贴（可无旧机换新）",""))</f>
        <v/>
      </c>
      <c r="P10" s="18" t="str">
        <f t="array" ref="P10">_xlfn.XLOOKUP(A10&amp;B10&amp;C10,赠品!$A:$A&amp;赠品!$B:$B&amp;赠品!$C:$C,赠品!$D:$D)</f>
        <v/>
      </c>
      <c r="Q10" s="18" t="str">
        <f>IF($C10="","",IF(AND(M10="",N10="",P10=""),"",固定信息!$B$1))</f>
        <v/>
      </c>
      <c r="R10" s="18" t="str">
        <f t="array" ref="R10">IF(ISNUMBER(SEARCH("是",_xlfn.XLOOKUP(A10&amp;B10&amp;C10,盘货信息!$A:$A&amp;盘货信息!$B:$B&amp;盘货信息!$C:$C,盘货信息!$U:$U))),"【折扣】指定型号满2类享96折，满3类享94折","")</f>
        <v/>
      </c>
      <c r="S10" s="18" t="str">
        <f t="array" ref="S10">IF(_xlfn.XLOOKUP(A10&amp;B10&amp;C10,盘货信息!$A:$A&amp;盘货信息!$B:$B&amp;盘货信息!$C:$C,盘货信息!$Q:$Q)&lt;1,"","【红包】活动时间购机送"&amp;_xlfn.TEXTJOIN("",,IF(ISNUMBER(--MID(_xlfn.XLOOKUP(A10&amp;B10&amp;C10,盘货信息!$A:$A&amp;盘货信息!$B:$B&amp;盘货信息!$C:$C,盘货信息!$Q:$Q),_xlfn.SEQUENCE(LEN(_xlfn.XLOOKUP(A10&amp;B10&amp;C10,盘货信息!$A:$A&amp;盘货信息!$B:$B&amp;盘货信息!$C:$C,盘货信息!$Q:$Q))),1)),MID(_xlfn.XLOOKUP(A10&amp;B10&amp;C10,盘货信息!$A:$A&amp;盘货信息!$B:$B&amp;盘货信息!$C:$C,盘货信息!$Q:$Q),_xlfn.SEQUENCE(LEN(_xlfn.XLOOKUP(A10&amp;B10&amp;C10,盘货信息!$A:$A&amp;盘货信息!$B:$B&amp;盘货信息!$C:$C,盘货信息!$Q:$Q))),1),""))&amp;"元")</f>
        <v/>
      </c>
      <c r="T10" s="18" t="str">
        <f t="array" ref="T10">IF(ISNUMBER(SEARCH("是",_xlfn.XLOOKUP(A10&amp;B10&amp;C10,盘货信息!$A:$A&amp;盘货信息!$B:$B&amp;盘货信息!$C:$C,盘货信息!$T:$T))),"【瓜分】"&amp;固定信息!$B$7,"")</f>
        <v/>
      </c>
      <c r="U10" s="18" t="str">
        <f>IF($C10="","",IF(AND(R10="",S10="",T10=""),"",固定信息!$B$1))</f>
        <v/>
      </c>
      <c r="V10" s="18" t="str">
        <f t="array" ref="V10">IF(C10="","","【服务】"&amp;IF(_xlfn.XLOOKUP(A10&amp;B10&amp;C10,盘货信息!$A:$A&amp;盘货信息!$B:$B&amp;盘货信息!$C:$C,盘货信息!$V:$V)="","",_xlfn.XLOOKUP(A10&amp;B10&amp;C10,盘货信息!$A:$A&amp;盘货信息!$B:$B&amp;盘货信息!$C:$C,盘货信息!$V:$V)&amp;"免息,")&amp;IF(_xlfn.XLOOKUP(A10&amp;B10&amp;C10,盘货信息!$A:$A&amp;盘货信息!$B:$B&amp;盘货信息!$C:$C,盘货信息!$W:$W)="","",_xlfn.XLOOKUP(A10&amp;B10&amp;C10,盘货信息!$A:$A&amp;盘货信息!$B:$B&amp;盘货信息!$C:$C,盘货信息!$W:$W)&amp;"，")&amp;"送货入户，退换免运费")</f>
        <v/>
      </c>
    </row>
    <row r="11" customHeight="1" spans="1:22">
      <c r="A11" s="17" t="str">
        <f>IF(盘货信息!A11="","",盘货信息!A11)</f>
        <v/>
      </c>
      <c r="B11" s="20" t="str">
        <f>IF(盘货信息!B11="","",盘货信息!B11)</f>
        <v/>
      </c>
      <c r="C11" s="18" t="str">
        <f>IF(盘货信息!C11="","",盘货信息!C11)</f>
        <v/>
      </c>
      <c r="D11" s="18" t="str">
        <f ca="1" t="shared" si="0"/>
        <v/>
      </c>
      <c r="E11" s="18" t="str">
        <f>IF(C11="","",固定信息!$B$2)</f>
        <v/>
      </c>
      <c r="F11" s="18" t="str">
        <f t="array" ref="F11">IF(C11="","","【"&amp;C11&amp;"】"&amp;_xlfn.XLOOKUP(A11&amp;B11&amp;C11,盘货信息!$A:$A&amp;盘货信息!$B:$B&amp;盘货信息!$C:$C,盘货信息!$D:$D))</f>
        <v/>
      </c>
      <c r="G11" s="18" t="str">
        <f>IF(C11="","","【"&amp;"活动时间："&amp;固定信息!$B$3&amp;"】")</f>
        <v/>
      </c>
      <c r="H11" s="18" t="str">
        <f>IF($C11="","",固定信息!$B$1)</f>
        <v/>
      </c>
      <c r="I11" s="18"/>
      <c r="J11" s="18" t="str">
        <f t="array" ref="J11">_xlfn.XLOOKUP(A11&amp;B11&amp;C11,价格信息!$A:$A&amp;价格信息!$B:$B&amp;价格信息!$C:$C,价格信息!$D:$D)</f>
        <v/>
      </c>
      <c r="K11" s="31" t="str">
        <f t="array" ref="K11">IF(_xlfn.XLOOKUP(A11&amp;B11&amp;C11,价格信息!$A:$A&amp;价格信息!$B:$B&amp;价格信息!$C:$C,价格信息!$I:$I)="","","【优惠券链接】"&amp;固定信息!$B$6)</f>
        <v/>
      </c>
      <c r="L11" s="31" t="str">
        <f>IF($C11="","",固定信息!$B$1)</f>
        <v/>
      </c>
      <c r="M11" s="18" t="str">
        <f t="array" ref="M11">IF(_xlfn.XLOOKUP(A11&amp;B11&amp;C11,盘货信息!$A:$A&amp;盘货信息!$B:$B&amp;盘货信息!$C:$C,盘货信息!$O:$O)="","","【优惠券】领"&amp;INDEX(_wpsfn.REGEXP(_xlfn.XLOOKUP(A11&amp;B11&amp;C11,盘货信息!$A:$A&amp;盘货信息!$B:$B&amp;盘货信息!$C:$C,盘货信息!$O:$O),"\d+"),1,1)&amp;"元优惠券下单更优惠，优惠卷："&amp;_xlfn.XLOOKUP(A11&amp;B11&amp;C11,盘货信息!$A:$A&amp;盘货信息!$B:$B&amp;盘货信息!$C:$C,盘货信息!$P:$P))</f>
        <v/>
      </c>
      <c r="N11" s="18" t="str">
        <f t="array" ref="N11">IF(AND(ISNUMBER(_xlfn.XLOOKUP(A11&amp;B11&amp;C11,盘货信息!$A:$A&amp;盘货信息!$B:$B&amp;盘货信息!$C:$C,盘货信息!$I:$I)),_xlfn.XLOOKUP(A11&amp;B11&amp;C11,盘货信息!$A:$A&amp;盘货信息!$B:$B&amp;盘货信息!$C:$C,盘货信息!$I:$I)&gt;1),"【88VIP】立减"&amp;_xlfn.XLOOKUP(A11&amp;B11&amp;C11,盘货信息!$A:$A&amp;盘货信息!$B:$B&amp;盘货信息!$C:$C,盘货信息!$I:$I)&amp;"元","")</f>
        <v/>
      </c>
      <c r="O11" s="18" t="str">
        <f t="array" ref="O11">IF(_xlfn.XLOOKUP(A11&amp;B11&amp;C11,盘货信息!$A:$A&amp;盘货信息!$B:$B&amp;盘货信息!$C:$C,盘货信息!$K:$K)="","",IF(AND(_xlfn.XLOOKUP(A11&amp;B11&amp;C11,盘货信息!$A:$A&amp;盘货信息!$B:$B&amp;盘货信息!$C:$C,盘货信息!$G:$G)="不参加",_xlfn.XLOOKUP(A11&amp;B11&amp;C11,盘货信息!$A:$A&amp;盘货信息!$B:$B&amp;盘货信息!$C:$C,盘货信息!$H:$H)=""),"【以旧换新】"&amp;_xlfn.XLOOKUP(A11&amp;B11&amp;C11,盘货信息!$A:$A&amp;盘货信息!$B:$B&amp;盘货信息!$C:$C,盘货信息!$K:$K)&amp;"元以旧换新补贴（可无旧机换新）",""))</f>
        <v/>
      </c>
      <c r="P11" s="18" t="str">
        <f t="array" ref="P11">_xlfn.XLOOKUP(A11&amp;B11&amp;C11,赠品!$A:$A&amp;赠品!$B:$B&amp;赠品!$C:$C,赠品!$D:$D)</f>
        <v/>
      </c>
      <c r="Q11" s="18" t="str">
        <f>IF($C11="","",IF(AND(M11="",N11="",P11=""),"",固定信息!$B$1))</f>
        <v/>
      </c>
      <c r="R11" s="18" t="str">
        <f t="array" ref="R11">IF(ISNUMBER(SEARCH("是",_xlfn.XLOOKUP(A11&amp;B11&amp;C11,盘货信息!$A:$A&amp;盘货信息!$B:$B&amp;盘货信息!$C:$C,盘货信息!$U:$U))),"【折扣】指定型号满2类享96折，满3类享94折","")</f>
        <v/>
      </c>
      <c r="S11" s="18" t="str">
        <f t="array" ref="S11">IF(_xlfn.XLOOKUP(A11&amp;B11&amp;C11,盘货信息!$A:$A&amp;盘货信息!$B:$B&amp;盘货信息!$C:$C,盘货信息!$Q:$Q)&lt;1,"","【红包】活动时间购机送"&amp;_xlfn.TEXTJOIN("",,IF(ISNUMBER(--MID(_xlfn.XLOOKUP(A11&amp;B11&amp;C11,盘货信息!$A:$A&amp;盘货信息!$B:$B&amp;盘货信息!$C:$C,盘货信息!$Q:$Q),_xlfn.SEQUENCE(LEN(_xlfn.XLOOKUP(A11&amp;B11&amp;C11,盘货信息!$A:$A&amp;盘货信息!$B:$B&amp;盘货信息!$C:$C,盘货信息!$Q:$Q))),1)),MID(_xlfn.XLOOKUP(A11&amp;B11&amp;C11,盘货信息!$A:$A&amp;盘货信息!$B:$B&amp;盘货信息!$C:$C,盘货信息!$Q:$Q),_xlfn.SEQUENCE(LEN(_xlfn.XLOOKUP(A11&amp;B11&amp;C11,盘货信息!$A:$A&amp;盘货信息!$B:$B&amp;盘货信息!$C:$C,盘货信息!$Q:$Q))),1),""))&amp;"元")</f>
        <v/>
      </c>
      <c r="T11" s="18" t="str">
        <f t="array" ref="T11">IF(ISNUMBER(SEARCH("是",_xlfn.XLOOKUP(A11&amp;B11&amp;C11,盘货信息!$A:$A&amp;盘货信息!$B:$B&amp;盘货信息!$C:$C,盘货信息!$T:$T))),"【瓜分】"&amp;固定信息!$B$7,"")</f>
        <v/>
      </c>
      <c r="U11" s="18" t="str">
        <f>IF($C11="","",IF(AND(R11="",S11="",T11=""),"",固定信息!$B$1))</f>
        <v/>
      </c>
      <c r="V11" s="18" t="str">
        <f t="array" ref="V11">IF(C11="","","【服务】"&amp;IF(_xlfn.XLOOKUP(A11&amp;B11&amp;C11,盘货信息!$A:$A&amp;盘货信息!$B:$B&amp;盘货信息!$C:$C,盘货信息!$V:$V)="","",_xlfn.XLOOKUP(A11&amp;B11&amp;C11,盘货信息!$A:$A&amp;盘货信息!$B:$B&amp;盘货信息!$C:$C,盘货信息!$V:$V)&amp;"免息,")&amp;IF(_xlfn.XLOOKUP(A11&amp;B11&amp;C11,盘货信息!$A:$A&amp;盘货信息!$B:$B&amp;盘货信息!$C:$C,盘货信息!$W:$W)="","",_xlfn.XLOOKUP(A11&amp;B11&amp;C11,盘货信息!$A:$A&amp;盘货信息!$B:$B&amp;盘货信息!$C:$C,盘货信息!$W:$W)&amp;"，")&amp;"送货入户，退换免运费")</f>
        <v/>
      </c>
    </row>
    <row r="12" customHeight="1" spans="1:22">
      <c r="A12" s="17" t="str">
        <f>IF(盘货信息!A12="","",盘货信息!A12)</f>
        <v/>
      </c>
      <c r="B12" s="20" t="str">
        <f>IF(盘货信息!B12="","",盘货信息!B12)</f>
        <v/>
      </c>
      <c r="C12" s="18" t="str">
        <f>IF(盘货信息!C12="","",盘货信息!C12)</f>
        <v/>
      </c>
      <c r="D12" s="18" t="str">
        <f ca="1" t="shared" si="0"/>
        <v/>
      </c>
      <c r="E12" s="18" t="str">
        <f>IF(C12="","",固定信息!$B$2)</f>
        <v/>
      </c>
      <c r="F12" s="18" t="str">
        <f t="array" ref="F12">IF(C12="","","【"&amp;C12&amp;"】"&amp;_xlfn.XLOOKUP(A12&amp;B12&amp;C12,盘货信息!$A:$A&amp;盘货信息!$B:$B&amp;盘货信息!$C:$C,盘货信息!$D:$D))</f>
        <v/>
      </c>
      <c r="G12" s="18" t="str">
        <f>IF(C12="","","【"&amp;"活动时间："&amp;固定信息!$B$3&amp;"】")</f>
        <v/>
      </c>
      <c r="H12" s="18" t="str">
        <f>IF($C12="","",固定信息!$B$1)</f>
        <v/>
      </c>
      <c r="I12" s="18"/>
      <c r="J12" s="18" t="str">
        <f t="array" ref="J12">_xlfn.XLOOKUP(A12&amp;B12&amp;C12,价格信息!$A:$A&amp;价格信息!$B:$B&amp;价格信息!$C:$C,价格信息!$D:$D)</f>
        <v/>
      </c>
      <c r="K12" s="31" t="str">
        <f t="array" ref="K12">IF(_xlfn.XLOOKUP(A12&amp;B12&amp;C12,价格信息!$A:$A&amp;价格信息!$B:$B&amp;价格信息!$C:$C,价格信息!$I:$I)="","","【优惠券链接】"&amp;固定信息!$B$6)</f>
        <v/>
      </c>
      <c r="L12" s="31" t="str">
        <f>IF($C12="","",固定信息!$B$1)</f>
        <v/>
      </c>
      <c r="M12" s="18" t="str">
        <f t="array" ref="M12">IF(_xlfn.XLOOKUP(A12&amp;B12&amp;C12,盘货信息!$A:$A&amp;盘货信息!$B:$B&amp;盘货信息!$C:$C,盘货信息!$O:$O)="","","【优惠券】领"&amp;INDEX(_wpsfn.REGEXP(_xlfn.XLOOKUP(A12&amp;B12&amp;C12,盘货信息!$A:$A&amp;盘货信息!$B:$B&amp;盘货信息!$C:$C,盘货信息!$O:$O),"\d+"),1,1)&amp;"元优惠券下单更优惠，优惠卷："&amp;_xlfn.XLOOKUP(A12&amp;B12&amp;C12,盘货信息!$A:$A&amp;盘货信息!$B:$B&amp;盘货信息!$C:$C,盘货信息!$P:$P))</f>
        <v/>
      </c>
      <c r="N12" s="18" t="str">
        <f t="array" ref="N12">IF(AND(ISNUMBER(_xlfn.XLOOKUP(A12&amp;B12&amp;C12,盘货信息!$A:$A&amp;盘货信息!$B:$B&amp;盘货信息!$C:$C,盘货信息!$I:$I)),_xlfn.XLOOKUP(A12&amp;B12&amp;C12,盘货信息!$A:$A&amp;盘货信息!$B:$B&amp;盘货信息!$C:$C,盘货信息!$I:$I)&gt;1),"【88VIP】立减"&amp;_xlfn.XLOOKUP(A12&amp;B12&amp;C12,盘货信息!$A:$A&amp;盘货信息!$B:$B&amp;盘货信息!$C:$C,盘货信息!$I:$I)&amp;"元","")</f>
        <v/>
      </c>
      <c r="O12" s="18" t="str">
        <f t="array" ref="O12">IF(_xlfn.XLOOKUP(A12&amp;B12&amp;C12,盘货信息!$A:$A&amp;盘货信息!$B:$B&amp;盘货信息!$C:$C,盘货信息!$K:$K)="","",IF(AND(_xlfn.XLOOKUP(A12&amp;B12&amp;C12,盘货信息!$A:$A&amp;盘货信息!$B:$B&amp;盘货信息!$C:$C,盘货信息!$G:$G)="不参加",_xlfn.XLOOKUP(A12&amp;B12&amp;C12,盘货信息!$A:$A&amp;盘货信息!$B:$B&amp;盘货信息!$C:$C,盘货信息!$H:$H)=""),"【以旧换新】"&amp;_xlfn.XLOOKUP(A12&amp;B12&amp;C12,盘货信息!$A:$A&amp;盘货信息!$B:$B&amp;盘货信息!$C:$C,盘货信息!$K:$K)&amp;"元以旧换新补贴（可无旧机换新）",""))</f>
        <v/>
      </c>
      <c r="P12" s="18" t="str">
        <f t="array" ref="P12">_xlfn.XLOOKUP(A12&amp;B12&amp;C12,赠品!$A:$A&amp;赠品!$B:$B&amp;赠品!$C:$C,赠品!$D:$D)</f>
        <v/>
      </c>
      <c r="Q12" s="18" t="str">
        <f>IF($C12="","",IF(AND(M12="",N12="",P12=""),"",固定信息!$B$1))</f>
        <v/>
      </c>
      <c r="R12" s="18" t="str">
        <f t="array" ref="R12">IF(ISNUMBER(SEARCH("是",_xlfn.XLOOKUP(A12&amp;B12&amp;C12,盘货信息!$A:$A&amp;盘货信息!$B:$B&amp;盘货信息!$C:$C,盘货信息!$U:$U))),"【折扣】指定型号满2类享96折，满3类享94折","")</f>
        <v/>
      </c>
      <c r="S12" s="18" t="str">
        <f t="array" ref="S12">IF(_xlfn.XLOOKUP(A12&amp;B12&amp;C12,盘货信息!$A:$A&amp;盘货信息!$B:$B&amp;盘货信息!$C:$C,盘货信息!$Q:$Q)&lt;1,"","【红包】活动时间购机送"&amp;_xlfn.TEXTJOIN("",,IF(ISNUMBER(--MID(_xlfn.XLOOKUP(A12&amp;B12&amp;C12,盘货信息!$A:$A&amp;盘货信息!$B:$B&amp;盘货信息!$C:$C,盘货信息!$Q:$Q),_xlfn.SEQUENCE(LEN(_xlfn.XLOOKUP(A12&amp;B12&amp;C12,盘货信息!$A:$A&amp;盘货信息!$B:$B&amp;盘货信息!$C:$C,盘货信息!$Q:$Q))),1)),MID(_xlfn.XLOOKUP(A12&amp;B12&amp;C12,盘货信息!$A:$A&amp;盘货信息!$B:$B&amp;盘货信息!$C:$C,盘货信息!$Q:$Q),_xlfn.SEQUENCE(LEN(_xlfn.XLOOKUP(A12&amp;B12&amp;C12,盘货信息!$A:$A&amp;盘货信息!$B:$B&amp;盘货信息!$C:$C,盘货信息!$Q:$Q))),1),""))&amp;"元")</f>
        <v/>
      </c>
      <c r="T12" s="18" t="str">
        <f t="array" ref="T12">IF(ISNUMBER(SEARCH("是",_xlfn.XLOOKUP(A12&amp;B12&amp;C12,盘货信息!$A:$A&amp;盘货信息!$B:$B&amp;盘货信息!$C:$C,盘货信息!$T:$T))),"【瓜分】"&amp;固定信息!$B$7,"")</f>
        <v/>
      </c>
      <c r="U12" s="18" t="str">
        <f>IF($C12="","",IF(AND(R12="",S12="",T12=""),"",固定信息!$B$1))</f>
        <v/>
      </c>
      <c r="V12" s="18" t="str">
        <f t="array" ref="V12">IF(C12="","","【服务】"&amp;IF(_xlfn.XLOOKUP(A12&amp;B12&amp;C12,盘货信息!$A:$A&amp;盘货信息!$B:$B&amp;盘货信息!$C:$C,盘货信息!$V:$V)="","",_xlfn.XLOOKUP(A12&amp;B12&amp;C12,盘货信息!$A:$A&amp;盘货信息!$B:$B&amp;盘货信息!$C:$C,盘货信息!$V:$V)&amp;"免息,")&amp;IF(_xlfn.XLOOKUP(A12&amp;B12&amp;C12,盘货信息!$A:$A&amp;盘货信息!$B:$B&amp;盘货信息!$C:$C,盘货信息!$W:$W)="","",_xlfn.XLOOKUP(A12&amp;B12&amp;C12,盘货信息!$A:$A&amp;盘货信息!$B:$B&amp;盘货信息!$C:$C,盘货信息!$W:$W)&amp;"，")&amp;"送货入户，退换免运费")</f>
        <v/>
      </c>
    </row>
    <row r="13" customHeight="1" spans="1:22">
      <c r="A13" s="17" t="str">
        <f>IF(盘货信息!A13="","",盘货信息!A13)</f>
        <v/>
      </c>
      <c r="B13" s="20" t="str">
        <f>IF(盘货信息!B13="","",盘货信息!B13)</f>
        <v/>
      </c>
      <c r="C13" s="18" t="str">
        <f>IF(盘货信息!C13="","",盘货信息!C13)</f>
        <v/>
      </c>
      <c r="D13" s="18" t="str">
        <f ca="1" t="shared" si="0"/>
        <v/>
      </c>
      <c r="E13" s="18" t="str">
        <f>IF(C13="","",固定信息!$B$2)</f>
        <v/>
      </c>
      <c r="F13" s="18" t="str">
        <f t="array" ref="F13">IF(C13="","","【"&amp;C13&amp;"】"&amp;_xlfn.XLOOKUP(A13&amp;B13&amp;C13,盘货信息!$A:$A&amp;盘货信息!$B:$B&amp;盘货信息!$C:$C,盘货信息!$D:$D))</f>
        <v/>
      </c>
      <c r="G13" s="18" t="str">
        <f>IF(C13="","","【"&amp;"活动时间："&amp;固定信息!$B$3&amp;"】")</f>
        <v/>
      </c>
      <c r="H13" s="18" t="str">
        <f>IF($C13="","",固定信息!$B$1)</f>
        <v/>
      </c>
      <c r="I13" s="18"/>
      <c r="J13" s="18" t="str">
        <f t="array" ref="J13">_xlfn.XLOOKUP(A13&amp;B13&amp;C13,价格信息!$A:$A&amp;价格信息!$B:$B&amp;价格信息!$C:$C,价格信息!$D:$D)</f>
        <v/>
      </c>
      <c r="K13" s="31" t="str">
        <f t="array" ref="K13">IF(_xlfn.XLOOKUP(A13&amp;B13&amp;C13,价格信息!$A:$A&amp;价格信息!$B:$B&amp;价格信息!$C:$C,价格信息!$I:$I)="","","【优惠券链接】"&amp;固定信息!$B$6)</f>
        <v/>
      </c>
      <c r="L13" s="31" t="str">
        <f>IF($C13="","",固定信息!$B$1)</f>
        <v/>
      </c>
      <c r="M13" s="18" t="str">
        <f t="array" ref="M13">IF(_xlfn.XLOOKUP(A13&amp;B13&amp;C13,盘货信息!$A:$A&amp;盘货信息!$B:$B&amp;盘货信息!$C:$C,盘货信息!$O:$O)="","","【优惠券】领"&amp;INDEX(_wpsfn.REGEXP(_xlfn.XLOOKUP(A13&amp;B13&amp;C13,盘货信息!$A:$A&amp;盘货信息!$B:$B&amp;盘货信息!$C:$C,盘货信息!$O:$O),"\d+"),1,1)&amp;"元优惠券下单更优惠，优惠卷："&amp;_xlfn.XLOOKUP(A13&amp;B13&amp;C13,盘货信息!$A:$A&amp;盘货信息!$B:$B&amp;盘货信息!$C:$C,盘货信息!$P:$P))</f>
        <v/>
      </c>
      <c r="N13" s="18" t="str">
        <f t="array" ref="N13">IF(AND(ISNUMBER(_xlfn.XLOOKUP(A13&amp;B13&amp;C13,盘货信息!$A:$A&amp;盘货信息!$B:$B&amp;盘货信息!$C:$C,盘货信息!$I:$I)),_xlfn.XLOOKUP(A13&amp;B13&amp;C13,盘货信息!$A:$A&amp;盘货信息!$B:$B&amp;盘货信息!$C:$C,盘货信息!$I:$I)&gt;1),"【88VIP】立减"&amp;_xlfn.XLOOKUP(A13&amp;B13&amp;C13,盘货信息!$A:$A&amp;盘货信息!$B:$B&amp;盘货信息!$C:$C,盘货信息!$I:$I)&amp;"元","")</f>
        <v/>
      </c>
      <c r="O13" s="18" t="str">
        <f t="array" ref="O13">IF(_xlfn.XLOOKUP(A13&amp;B13&amp;C13,盘货信息!$A:$A&amp;盘货信息!$B:$B&amp;盘货信息!$C:$C,盘货信息!$K:$K)="","",IF(AND(_xlfn.XLOOKUP(A13&amp;B13&amp;C13,盘货信息!$A:$A&amp;盘货信息!$B:$B&amp;盘货信息!$C:$C,盘货信息!$G:$G)="不参加",_xlfn.XLOOKUP(A13&amp;B13&amp;C13,盘货信息!$A:$A&amp;盘货信息!$B:$B&amp;盘货信息!$C:$C,盘货信息!$H:$H)=""),"【以旧换新】"&amp;_xlfn.XLOOKUP(A13&amp;B13&amp;C13,盘货信息!$A:$A&amp;盘货信息!$B:$B&amp;盘货信息!$C:$C,盘货信息!$K:$K)&amp;"元以旧换新补贴（可无旧机换新）",""))</f>
        <v/>
      </c>
      <c r="P13" s="18" t="str">
        <f t="array" ref="P13">_xlfn.XLOOKUP(A13&amp;B13&amp;C13,赠品!$A:$A&amp;赠品!$B:$B&amp;赠品!$C:$C,赠品!$D:$D)</f>
        <v/>
      </c>
      <c r="Q13" s="18" t="str">
        <f>IF($C13="","",IF(AND(M13="",N13="",P13=""),"",固定信息!$B$1))</f>
        <v/>
      </c>
      <c r="R13" s="18" t="str">
        <f t="array" ref="R13">IF(ISNUMBER(SEARCH("是",_xlfn.XLOOKUP(A13&amp;B13&amp;C13,盘货信息!$A:$A&amp;盘货信息!$B:$B&amp;盘货信息!$C:$C,盘货信息!$U:$U))),"【折扣】指定型号满2类享96折，满3类享94折","")</f>
        <v/>
      </c>
      <c r="S13" s="18" t="str">
        <f t="array" ref="S13">IF(_xlfn.XLOOKUP(A13&amp;B13&amp;C13,盘货信息!$A:$A&amp;盘货信息!$B:$B&amp;盘货信息!$C:$C,盘货信息!$Q:$Q)&lt;1,"","【红包】活动时间购机送"&amp;_xlfn.TEXTJOIN("",,IF(ISNUMBER(--MID(_xlfn.XLOOKUP(A13&amp;B13&amp;C13,盘货信息!$A:$A&amp;盘货信息!$B:$B&amp;盘货信息!$C:$C,盘货信息!$Q:$Q),_xlfn.SEQUENCE(LEN(_xlfn.XLOOKUP(A13&amp;B13&amp;C13,盘货信息!$A:$A&amp;盘货信息!$B:$B&amp;盘货信息!$C:$C,盘货信息!$Q:$Q))),1)),MID(_xlfn.XLOOKUP(A13&amp;B13&amp;C13,盘货信息!$A:$A&amp;盘货信息!$B:$B&amp;盘货信息!$C:$C,盘货信息!$Q:$Q),_xlfn.SEQUENCE(LEN(_xlfn.XLOOKUP(A13&amp;B13&amp;C13,盘货信息!$A:$A&amp;盘货信息!$B:$B&amp;盘货信息!$C:$C,盘货信息!$Q:$Q))),1),""))&amp;"元")</f>
        <v/>
      </c>
      <c r="T13" s="18" t="str">
        <f t="array" ref="T13">IF(ISNUMBER(SEARCH("是",_xlfn.XLOOKUP(A13&amp;B13&amp;C13,盘货信息!$A:$A&amp;盘货信息!$B:$B&amp;盘货信息!$C:$C,盘货信息!$T:$T))),"【瓜分】"&amp;固定信息!$B$7,"")</f>
        <v/>
      </c>
      <c r="U13" s="18" t="str">
        <f>IF($C13="","",IF(AND(R13="",S13="",T13=""),"",固定信息!$B$1))</f>
        <v/>
      </c>
      <c r="V13" s="18" t="str">
        <f t="array" ref="V13">IF(C13="","","【服务】"&amp;IF(_xlfn.XLOOKUP(A13&amp;B13&amp;C13,盘货信息!$A:$A&amp;盘货信息!$B:$B&amp;盘货信息!$C:$C,盘货信息!$V:$V)="","",_xlfn.XLOOKUP(A13&amp;B13&amp;C13,盘货信息!$A:$A&amp;盘货信息!$B:$B&amp;盘货信息!$C:$C,盘货信息!$V:$V)&amp;"免息,")&amp;IF(_xlfn.XLOOKUP(A13&amp;B13&amp;C13,盘货信息!$A:$A&amp;盘货信息!$B:$B&amp;盘货信息!$C:$C,盘货信息!$W:$W)="","",_xlfn.XLOOKUP(A13&amp;B13&amp;C13,盘货信息!$A:$A&amp;盘货信息!$B:$B&amp;盘货信息!$C:$C,盘货信息!$W:$W)&amp;"，")&amp;"送货入户，退换免运费")</f>
        <v/>
      </c>
    </row>
    <row r="14" customHeight="1" spans="1:22">
      <c r="A14" s="17" t="str">
        <f>IF(盘货信息!A14="","",盘货信息!A14)</f>
        <v/>
      </c>
      <c r="B14" s="20" t="str">
        <f>IF(盘货信息!B14="","",盘货信息!B14)</f>
        <v/>
      </c>
      <c r="C14" s="18" t="str">
        <f>IF(盘货信息!C14="","",盘货信息!C14)</f>
        <v/>
      </c>
      <c r="D14" s="18" t="str">
        <f ca="1" t="shared" si="0"/>
        <v/>
      </c>
      <c r="E14" s="18" t="str">
        <f>IF(C14="","",固定信息!$B$2)</f>
        <v/>
      </c>
      <c r="F14" s="18" t="str">
        <f t="array" ref="F14">IF(C14="","","【"&amp;C14&amp;"】"&amp;_xlfn.XLOOKUP(A14&amp;B14&amp;C14,盘货信息!$A:$A&amp;盘货信息!$B:$B&amp;盘货信息!$C:$C,盘货信息!$D:$D))</f>
        <v/>
      </c>
      <c r="G14" s="18" t="str">
        <f>IF(C14="","","【"&amp;"活动时间："&amp;固定信息!$B$3&amp;"】")</f>
        <v/>
      </c>
      <c r="H14" s="18" t="str">
        <f>IF($C14="","",固定信息!$B$1)</f>
        <v/>
      </c>
      <c r="I14" s="18"/>
      <c r="J14" s="18" t="str">
        <f t="array" ref="J14">_xlfn.XLOOKUP(A14&amp;B14&amp;C14,价格信息!$A:$A&amp;价格信息!$B:$B&amp;价格信息!$C:$C,价格信息!$D:$D)</f>
        <v/>
      </c>
      <c r="K14" s="31" t="str">
        <f t="array" ref="K14">IF(_xlfn.XLOOKUP(A14&amp;B14&amp;C14,价格信息!$A:$A&amp;价格信息!$B:$B&amp;价格信息!$C:$C,价格信息!$I:$I)="","","【优惠券链接】"&amp;固定信息!$B$6)</f>
        <v/>
      </c>
      <c r="L14" s="31" t="str">
        <f>IF($C14="","",固定信息!$B$1)</f>
        <v/>
      </c>
      <c r="M14" s="18" t="str">
        <f t="array" ref="M14">IF(_xlfn.XLOOKUP(A14&amp;B14&amp;C14,盘货信息!$A:$A&amp;盘货信息!$B:$B&amp;盘货信息!$C:$C,盘货信息!$O:$O)="","","【优惠券】领"&amp;INDEX(_wpsfn.REGEXP(_xlfn.XLOOKUP(A14&amp;B14&amp;C14,盘货信息!$A:$A&amp;盘货信息!$B:$B&amp;盘货信息!$C:$C,盘货信息!$O:$O),"\d+"),1,1)&amp;"元优惠券下单更优惠，优惠卷："&amp;_xlfn.XLOOKUP(A14&amp;B14&amp;C14,盘货信息!$A:$A&amp;盘货信息!$B:$B&amp;盘货信息!$C:$C,盘货信息!$P:$P))</f>
        <v/>
      </c>
      <c r="N14" s="18" t="str">
        <f t="array" ref="N14">IF(AND(ISNUMBER(_xlfn.XLOOKUP(A14&amp;B14&amp;C14,盘货信息!$A:$A&amp;盘货信息!$B:$B&amp;盘货信息!$C:$C,盘货信息!$I:$I)),_xlfn.XLOOKUP(A14&amp;B14&amp;C14,盘货信息!$A:$A&amp;盘货信息!$B:$B&amp;盘货信息!$C:$C,盘货信息!$I:$I)&gt;1),"【88VIP】立减"&amp;_xlfn.XLOOKUP(A14&amp;B14&amp;C14,盘货信息!$A:$A&amp;盘货信息!$B:$B&amp;盘货信息!$C:$C,盘货信息!$I:$I)&amp;"元","")</f>
        <v/>
      </c>
      <c r="O14" s="18" t="str">
        <f t="array" ref="O14">IF(_xlfn.XLOOKUP(A14&amp;B14&amp;C14,盘货信息!$A:$A&amp;盘货信息!$B:$B&amp;盘货信息!$C:$C,盘货信息!$K:$K)="","",IF(AND(_xlfn.XLOOKUP(A14&amp;B14&amp;C14,盘货信息!$A:$A&amp;盘货信息!$B:$B&amp;盘货信息!$C:$C,盘货信息!$G:$G)="不参加",_xlfn.XLOOKUP(A14&amp;B14&amp;C14,盘货信息!$A:$A&amp;盘货信息!$B:$B&amp;盘货信息!$C:$C,盘货信息!$H:$H)=""),"【以旧换新】"&amp;_xlfn.XLOOKUP(A14&amp;B14&amp;C14,盘货信息!$A:$A&amp;盘货信息!$B:$B&amp;盘货信息!$C:$C,盘货信息!$K:$K)&amp;"元以旧换新补贴（可无旧机换新）",""))</f>
        <v/>
      </c>
      <c r="P14" s="18" t="str">
        <f t="array" ref="P14">_xlfn.XLOOKUP(A14&amp;B14&amp;C14,赠品!$A:$A&amp;赠品!$B:$B&amp;赠品!$C:$C,赠品!$D:$D)</f>
        <v/>
      </c>
      <c r="Q14" s="18" t="str">
        <f>IF($C14="","",IF(AND(M14="",N14="",P14=""),"",固定信息!$B$1))</f>
        <v/>
      </c>
      <c r="R14" s="18" t="str">
        <f t="array" ref="R14">IF(ISNUMBER(SEARCH("是",_xlfn.XLOOKUP(A14&amp;B14&amp;C14,盘货信息!$A:$A&amp;盘货信息!$B:$B&amp;盘货信息!$C:$C,盘货信息!$U:$U))),"【折扣】指定型号满2类享96折，满3类享94折","")</f>
        <v/>
      </c>
      <c r="S14" s="18" t="str">
        <f t="array" ref="S14">IF(_xlfn.XLOOKUP(A14&amp;B14&amp;C14,盘货信息!$A:$A&amp;盘货信息!$B:$B&amp;盘货信息!$C:$C,盘货信息!$Q:$Q)&lt;1,"","【红包】活动时间购机送"&amp;_xlfn.TEXTJOIN("",,IF(ISNUMBER(--MID(_xlfn.XLOOKUP(A14&amp;B14&amp;C14,盘货信息!$A:$A&amp;盘货信息!$B:$B&amp;盘货信息!$C:$C,盘货信息!$Q:$Q),_xlfn.SEQUENCE(LEN(_xlfn.XLOOKUP(A14&amp;B14&amp;C14,盘货信息!$A:$A&amp;盘货信息!$B:$B&amp;盘货信息!$C:$C,盘货信息!$Q:$Q))),1)),MID(_xlfn.XLOOKUP(A14&amp;B14&amp;C14,盘货信息!$A:$A&amp;盘货信息!$B:$B&amp;盘货信息!$C:$C,盘货信息!$Q:$Q),_xlfn.SEQUENCE(LEN(_xlfn.XLOOKUP(A14&amp;B14&amp;C14,盘货信息!$A:$A&amp;盘货信息!$B:$B&amp;盘货信息!$C:$C,盘货信息!$Q:$Q))),1),""))&amp;"元")</f>
        <v/>
      </c>
      <c r="T14" s="18" t="str">
        <f t="array" ref="T14">IF(ISNUMBER(SEARCH("是",_xlfn.XLOOKUP(A14&amp;B14&amp;C14,盘货信息!$A:$A&amp;盘货信息!$B:$B&amp;盘货信息!$C:$C,盘货信息!$T:$T))),"【瓜分】"&amp;固定信息!$B$7,"")</f>
        <v/>
      </c>
      <c r="U14" s="18" t="str">
        <f>IF($C14="","",IF(AND(R14="",S14="",T14=""),"",固定信息!$B$1))</f>
        <v/>
      </c>
      <c r="V14" s="18" t="str">
        <f t="array" ref="V14">IF(C14="","","【服务】"&amp;IF(_xlfn.XLOOKUP(A14&amp;B14&amp;C14,盘货信息!$A:$A&amp;盘货信息!$B:$B&amp;盘货信息!$C:$C,盘货信息!$V:$V)="","",_xlfn.XLOOKUP(A14&amp;B14&amp;C14,盘货信息!$A:$A&amp;盘货信息!$B:$B&amp;盘货信息!$C:$C,盘货信息!$V:$V)&amp;"免息,")&amp;IF(_xlfn.XLOOKUP(A14&amp;B14&amp;C14,盘货信息!$A:$A&amp;盘货信息!$B:$B&amp;盘货信息!$C:$C,盘货信息!$W:$W)="","",_xlfn.XLOOKUP(A14&amp;B14&amp;C14,盘货信息!$A:$A&amp;盘货信息!$B:$B&amp;盘货信息!$C:$C,盘货信息!$W:$W)&amp;"，")&amp;"送货入户，退换免运费")</f>
        <v/>
      </c>
    </row>
    <row r="15" customHeight="1" spans="1:22">
      <c r="A15" s="17" t="str">
        <f>IF(盘货信息!A15="","",盘货信息!A15)</f>
        <v/>
      </c>
      <c r="B15" s="20" t="str">
        <f>IF(盘货信息!B15="","",盘货信息!B15)</f>
        <v/>
      </c>
      <c r="C15" s="18" t="str">
        <f>IF(盘货信息!C15="","",盘货信息!C15)</f>
        <v/>
      </c>
      <c r="D15" s="18" t="str">
        <f ca="1" t="shared" si="0"/>
        <v/>
      </c>
      <c r="E15" s="18" t="str">
        <f>IF(C15="","",固定信息!$B$2)</f>
        <v/>
      </c>
      <c r="F15" s="18" t="str">
        <f t="array" ref="F15">IF(C15="","","【"&amp;C15&amp;"】"&amp;_xlfn.XLOOKUP(A15&amp;B15&amp;C15,盘货信息!$A:$A&amp;盘货信息!$B:$B&amp;盘货信息!$C:$C,盘货信息!$D:$D))</f>
        <v/>
      </c>
      <c r="G15" s="18" t="str">
        <f>IF(C15="","","【"&amp;"活动时间："&amp;固定信息!$B$3&amp;"】")</f>
        <v/>
      </c>
      <c r="H15" s="18" t="str">
        <f>IF($C15="","",固定信息!$B$1)</f>
        <v/>
      </c>
      <c r="I15" s="18"/>
      <c r="J15" s="18" t="str">
        <f t="array" ref="J15">_xlfn.XLOOKUP(A15&amp;B15&amp;C15,价格信息!$A:$A&amp;价格信息!$B:$B&amp;价格信息!$C:$C,价格信息!$D:$D)</f>
        <v/>
      </c>
      <c r="K15" s="31" t="str">
        <f t="array" ref="K15">IF(_xlfn.XLOOKUP(A15&amp;B15&amp;C15,价格信息!$A:$A&amp;价格信息!$B:$B&amp;价格信息!$C:$C,价格信息!$I:$I)="","","【优惠券链接】"&amp;固定信息!$B$6)</f>
        <v/>
      </c>
      <c r="L15" s="31" t="str">
        <f>IF($C15="","",固定信息!$B$1)</f>
        <v/>
      </c>
      <c r="M15" s="18" t="str">
        <f t="array" ref="M15">IF(_xlfn.XLOOKUP(A15&amp;B15&amp;C15,盘货信息!$A:$A&amp;盘货信息!$B:$B&amp;盘货信息!$C:$C,盘货信息!$O:$O)="","","【优惠券】领"&amp;INDEX(_wpsfn.REGEXP(_xlfn.XLOOKUP(A15&amp;B15&amp;C15,盘货信息!$A:$A&amp;盘货信息!$B:$B&amp;盘货信息!$C:$C,盘货信息!$O:$O),"\d+"),1,1)&amp;"元优惠券下单更优惠，优惠卷："&amp;_xlfn.XLOOKUP(A15&amp;B15&amp;C15,盘货信息!$A:$A&amp;盘货信息!$B:$B&amp;盘货信息!$C:$C,盘货信息!$P:$P))</f>
        <v/>
      </c>
      <c r="N15" s="18" t="str">
        <f t="array" ref="N15">IF(AND(ISNUMBER(_xlfn.XLOOKUP(A15&amp;B15&amp;C15,盘货信息!$A:$A&amp;盘货信息!$B:$B&amp;盘货信息!$C:$C,盘货信息!$I:$I)),_xlfn.XLOOKUP(A15&amp;B15&amp;C15,盘货信息!$A:$A&amp;盘货信息!$B:$B&amp;盘货信息!$C:$C,盘货信息!$I:$I)&gt;1),"【88VIP】立减"&amp;_xlfn.XLOOKUP(A15&amp;B15&amp;C15,盘货信息!$A:$A&amp;盘货信息!$B:$B&amp;盘货信息!$C:$C,盘货信息!$I:$I)&amp;"元","")</f>
        <v/>
      </c>
      <c r="O15" s="18" t="str">
        <f t="array" ref="O15">IF(_xlfn.XLOOKUP(A15&amp;B15&amp;C15,盘货信息!$A:$A&amp;盘货信息!$B:$B&amp;盘货信息!$C:$C,盘货信息!$K:$K)="","",IF(AND(_xlfn.XLOOKUP(A15&amp;B15&amp;C15,盘货信息!$A:$A&amp;盘货信息!$B:$B&amp;盘货信息!$C:$C,盘货信息!$G:$G)="不参加",_xlfn.XLOOKUP(A15&amp;B15&amp;C15,盘货信息!$A:$A&amp;盘货信息!$B:$B&amp;盘货信息!$C:$C,盘货信息!$H:$H)=""),"【以旧换新】"&amp;_xlfn.XLOOKUP(A15&amp;B15&amp;C15,盘货信息!$A:$A&amp;盘货信息!$B:$B&amp;盘货信息!$C:$C,盘货信息!$K:$K)&amp;"元以旧换新补贴（可无旧机换新）",""))</f>
        <v/>
      </c>
      <c r="P15" s="18" t="str">
        <f t="array" ref="P15">_xlfn.XLOOKUP(A15&amp;B15&amp;C15,赠品!$A:$A&amp;赠品!$B:$B&amp;赠品!$C:$C,赠品!$D:$D)</f>
        <v/>
      </c>
      <c r="Q15" s="18" t="str">
        <f>IF($C15="","",IF(AND(M15="",N15="",P15=""),"",固定信息!$B$1))</f>
        <v/>
      </c>
      <c r="R15" s="18" t="str">
        <f t="array" ref="R15">IF(ISNUMBER(SEARCH("是",_xlfn.XLOOKUP(A15&amp;B15&amp;C15,盘货信息!$A:$A&amp;盘货信息!$B:$B&amp;盘货信息!$C:$C,盘货信息!$U:$U))),"【折扣】指定型号满2类享96折，满3类享94折","")</f>
        <v/>
      </c>
      <c r="S15" s="18" t="str">
        <f t="array" ref="S15">IF(_xlfn.XLOOKUP(A15&amp;B15&amp;C15,盘货信息!$A:$A&amp;盘货信息!$B:$B&amp;盘货信息!$C:$C,盘货信息!$Q:$Q)&lt;1,"","【红包】活动时间购机送"&amp;_xlfn.TEXTJOIN("",,IF(ISNUMBER(--MID(_xlfn.XLOOKUP(A15&amp;B15&amp;C15,盘货信息!$A:$A&amp;盘货信息!$B:$B&amp;盘货信息!$C:$C,盘货信息!$Q:$Q),_xlfn.SEQUENCE(LEN(_xlfn.XLOOKUP(A15&amp;B15&amp;C15,盘货信息!$A:$A&amp;盘货信息!$B:$B&amp;盘货信息!$C:$C,盘货信息!$Q:$Q))),1)),MID(_xlfn.XLOOKUP(A15&amp;B15&amp;C15,盘货信息!$A:$A&amp;盘货信息!$B:$B&amp;盘货信息!$C:$C,盘货信息!$Q:$Q),_xlfn.SEQUENCE(LEN(_xlfn.XLOOKUP(A15&amp;B15&amp;C15,盘货信息!$A:$A&amp;盘货信息!$B:$B&amp;盘货信息!$C:$C,盘货信息!$Q:$Q))),1),""))&amp;"元")</f>
        <v/>
      </c>
      <c r="T15" s="18" t="str">
        <f t="array" ref="T15">IF(ISNUMBER(SEARCH("是",_xlfn.XLOOKUP(A15&amp;B15&amp;C15,盘货信息!$A:$A&amp;盘货信息!$B:$B&amp;盘货信息!$C:$C,盘货信息!$T:$T))),"【瓜分】"&amp;固定信息!$B$7,"")</f>
        <v/>
      </c>
      <c r="U15" s="18" t="str">
        <f>IF($C15="","",IF(AND(R15="",S15="",T15=""),"",固定信息!$B$1))</f>
        <v/>
      </c>
      <c r="V15" s="18" t="str">
        <f t="array" ref="V15">IF(C15="","","【服务】"&amp;IF(_xlfn.XLOOKUP(A15&amp;B15&amp;C15,盘货信息!$A:$A&amp;盘货信息!$B:$B&amp;盘货信息!$C:$C,盘货信息!$V:$V)="","",_xlfn.XLOOKUP(A15&amp;B15&amp;C15,盘货信息!$A:$A&amp;盘货信息!$B:$B&amp;盘货信息!$C:$C,盘货信息!$V:$V)&amp;"免息,")&amp;IF(_xlfn.XLOOKUP(A15&amp;B15&amp;C15,盘货信息!$A:$A&amp;盘货信息!$B:$B&amp;盘货信息!$C:$C,盘货信息!$W:$W)="","",_xlfn.XLOOKUP(A15&amp;B15&amp;C15,盘货信息!$A:$A&amp;盘货信息!$B:$B&amp;盘货信息!$C:$C,盘货信息!$W:$W)&amp;"，")&amp;"送货入户，退换免运费")</f>
        <v/>
      </c>
    </row>
    <row r="16" customHeight="1" spans="1:22">
      <c r="A16" s="17" t="str">
        <f>IF(盘货信息!A16="","",盘货信息!A16)</f>
        <v/>
      </c>
      <c r="B16" s="20" t="str">
        <f>IF(盘货信息!B16="","",盘货信息!B16)</f>
        <v/>
      </c>
      <c r="C16" s="18" t="str">
        <f>IF(盘货信息!C16="","",盘货信息!C16)</f>
        <v/>
      </c>
      <c r="D16" s="18" t="str">
        <f ca="1" t="shared" si="0"/>
        <v/>
      </c>
      <c r="E16" s="18" t="str">
        <f>IF(C16="","",固定信息!$B$2)</f>
        <v/>
      </c>
      <c r="F16" s="18" t="str">
        <f t="array" ref="F16">IF(C16="","","【"&amp;C16&amp;"】"&amp;_xlfn.XLOOKUP(A16&amp;B16&amp;C16,盘货信息!$A:$A&amp;盘货信息!$B:$B&amp;盘货信息!$C:$C,盘货信息!$D:$D))</f>
        <v/>
      </c>
      <c r="G16" s="18" t="str">
        <f>IF(C16="","","【"&amp;"活动时间："&amp;固定信息!$B$3&amp;"】")</f>
        <v/>
      </c>
      <c r="H16" s="18" t="str">
        <f>IF($C16="","",固定信息!$B$1)</f>
        <v/>
      </c>
      <c r="I16" s="18"/>
      <c r="J16" s="18" t="str">
        <f t="array" ref="J16">_xlfn.XLOOKUP(A16&amp;B16&amp;C16,价格信息!$A:$A&amp;价格信息!$B:$B&amp;价格信息!$C:$C,价格信息!$D:$D)</f>
        <v/>
      </c>
      <c r="K16" s="31" t="str">
        <f t="array" ref="K16">IF(_xlfn.XLOOKUP(A16&amp;B16&amp;C16,价格信息!$A:$A&amp;价格信息!$B:$B&amp;价格信息!$C:$C,价格信息!$I:$I)="","","【优惠券链接】"&amp;固定信息!$B$6)</f>
        <v/>
      </c>
      <c r="L16" s="31" t="str">
        <f>IF($C16="","",固定信息!$B$1)</f>
        <v/>
      </c>
      <c r="M16" s="18" t="str">
        <f t="array" ref="M16">IF(_xlfn.XLOOKUP(A16&amp;B16&amp;C16,盘货信息!$A:$A&amp;盘货信息!$B:$B&amp;盘货信息!$C:$C,盘货信息!$O:$O)="","","【优惠券】领"&amp;INDEX(_wpsfn.REGEXP(_xlfn.XLOOKUP(A16&amp;B16&amp;C16,盘货信息!$A:$A&amp;盘货信息!$B:$B&amp;盘货信息!$C:$C,盘货信息!$O:$O),"\d+"),1,1)&amp;"元优惠券下单更优惠，优惠卷："&amp;_xlfn.XLOOKUP(A16&amp;B16&amp;C16,盘货信息!$A:$A&amp;盘货信息!$B:$B&amp;盘货信息!$C:$C,盘货信息!$P:$P))</f>
        <v/>
      </c>
      <c r="N16" s="18" t="str">
        <f t="array" ref="N16">IF(AND(ISNUMBER(_xlfn.XLOOKUP(A16&amp;B16&amp;C16,盘货信息!$A:$A&amp;盘货信息!$B:$B&amp;盘货信息!$C:$C,盘货信息!$I:$I)),_xlfn.XLOOKUP(A16&amp;B16&amp;C16,盘货信息!$A:$A&amp;盘货信息!$B:$B&amp;盘货信息!$C:$C,盘货信息!$I:$I)&gt;1),"【88VIP】立减"&amp;_xlfn.XLOOKUP(A16&amp;B16&amp;C16,盘货信息!$A:$A&amp;盘货信息!$B:$B&amp;盘货信息!$C:$C,盘货信息!$I:$I)&amp;"元","")</f>
        <v/>
      </c>
      <c r="O16" s="18" t="str">
        <f t="array" ref="O16">IF(_xlfn.XLOOKUP(A16&amp;B16&amp;C16,盘货信息!$A:$A&amp;盘货信息!$B:$B&amp;盘货信息!$C:$C,盘货信息!$K:$K)="","",IF(AND(_xlfn.XLOOKUP(A16&amp;B16&amp;C16,盘货信息!$A:$A&amp;盘货信息!$B:$B&amp;盘货信息!$C:$C,盘货信息!$G:$G)="不参加",_xlfn.XLOOKUP(A16&amp;B16&amp;C16,盘货信息!$A:$A&amp;盘货信息!$B:$B&amp;盘货信息!$C:$C,盘货信息!$H:$H)=""),"【以旧换新】"&amp;_xlfn.XLOOKUP(A16&amp;B16&amp;C16,盘货信息!$A:$A&amp;盘货信息!$B:$B&amp;盘货信息!$C:$C,盘货信息!$K:$K)&amp;"元以旧换新补贴（可无旧机换新）",""))</f>
        <v/>
      </c>
      <c r="P16" s="18" t="str">
        <f t="array" ref="P16">_xlfn.XLOOKUP(A16&amp;B16&amp;C16,赠品!$A:$A&amp;赠品!$B:$B&amp;赠品!$C:$C,赠品!$D:$D)</f>
        <v/>
      </c>
      <c r="Q16" s="18" t="str">
        <f>IF($C16="","",IF(AND(M16="",N16="",P16=""),"",固定信息!$B$1))</f>
        <v/>
      </c>
      <c r="R16" s="18" t="str">
        <f t="array" ref="R16">IF(ISNUMBER(SEARCH("是",_xlfn.XLOOKUP(A16&amp;B16&amp;C16,盘货信息!$A:$A&amp;盘货信息!$B:$B&amp;盘货信息!$C:$C,盘货信息!$U:$U))),"【折扣】指定型号满2类享96折，满3类享94折","")</f>
        <v/>
      </c>
      <c r="S16" s="18" t="str">
        <f t="array" ref="S16">IF(_xlfn.XLOOKUP(A16&amp;B16&amp;C16,盘货信息!$A:$A&amp;盘货信息!$B:$B&amp;盘货信息!$C:$C,盘货信息!$Q:$Q)&lt;1,"","【红包】活动时间购机送"&amp;_xlfn.TEXTJOIN("",,IF(ISNUMBER(--MID(_xlfn.XLOOKUP(A16&amp;B16&amp;C16,盘货信息!$A:$A&amp;盘货信息!$B:$B&amp;盘货信息!$C:$C,盘货信息!$Q:$Q),_xlfn.SEQUENCE(LEN(_xlfn.XLOOKUP(A16&amp;B16&amp;C16,盘货信息!$A:$A&amp;盘货信息!$B:$B&amp;盘货信息!$C:$C,盘货信息!$Q:$Q))),1)),MID(_xlfn.XLOOKUP(A16&amp;B16&amp;C16,盘货信息!$A:$A&amp;盘货信息!$B:$B&amp;盘货信息!$C:$C,盘货信息!$Q:$Q),_xlfn.SEQUENCE(LEN(_xlfn.XLOOKUP(A16&amp;B16&amp;C16,盘货信息!$A:$A&amp;盘货信息!$B:$B&amp;盘货信息!$C:$C,盘货信息!$Q:$Q))),1),""))&amp;"元")</f>
        <v/>
      </c>
      <c r="T16" s="18" t="str">
        <f t="array" ref="T16">IF(ISNUMBER(SEARCH("是",_xlfn.XLOOKUP(A16&amp;B16&amp;C16,盘货信息!$A:$A&amp;盘货信息!$B:$B&amp;盘货信息!$C:$C,盘货信息!$T:$T))),"【瓜分】"&amp;固定信息!$B$7,"")</f>
        <v/>
      </c>
      <c r="U16" s="18" t="str">
        <f>IF($C16="","",IF(AND(R16="",S16="",T16=""),"",固定信息!$B$1))</f>
        <v/>
      </c>
      <c r="V16" s="18" t="str">
        <f t="array" ref="V16">IF(C16="","","【服务】"&amp;IF(_xlfn.XLOOKUP(A16&amp;B16&amp;C16,盘货信息!$A:$A&amp;盘货信息!$B:$B&amp;盘货信息!$C:$C,盘货信息!$V:$V)="","",_xlfn.XLOOKUP(A16&amp;B16&amp;C16,盘货信息!$A:$A&amp;盘货信息!$B:$B&amp;盘货信息!$C:$C,盘货信息!$V:$V)&amp;"免息,")&amp;IF(_xlfn.XLOOKUP(A16&amp;B16&amp;C16,盘货信息!$A:$A&amp;盘货信息!$B:$B&amp;盘货信息!$C:$C,盘货信息!$W:$W)="","",_xlfn.XLOOKUP(A16&amp;B16&amp;C16,盘货信息!$A:$A&amp;盘货信息!$B:$B&amp;盘货信息!$C:$C,盘货信息!$W:$W)&amp;"，")&amp;"送货入户，退换免运费")</f>
        <v/>
      </c>
    </row>
    <row r="17" customHeight="1" spans="1:22">
      <c r="A17" s="17" t="str">
        <f>IF(盘货信息!A17="","",盘货信息!A17)</f>
        <v/>
      </c>
      <c r="B17" s="20" t="str">
        <f>IF(盘货信息!B17="","",盘货信息!B17)</f>
        <v/>
      </c>
      <c r="C17" s="18" t="str">
        <f>IF(盘货信息!C17="","",盘货信息!C17)</f>
        <v/>
      </c>
      <c r="D17" s="18" t="str">
        <f ca="1" t="shared" si="0"/>
        <v/>
      </c>
      <c r="E17" s="18" t="str">
        <f>IF(C17="","",固定信息!$B$2)</f>
        <v/>
      </c>
      <c r="F17" s="18" t="str">
        <f t="array" ref="F17">IF(C17="","","【"&amp;C17&amp;"】"&amp;_xlfn.XLOOKUP(A17&amp;B17&amp;C17,盘货信息!$A:$A&amp;盘货信息!$B:$B&amp;盘货信息!$C:$C,盘货信息!$D:$D))</f>
        <v/>
      </c>
      <c r="G17" s="18" t="str">
        <f>IF(C17="","","【"&amp;"活动时间："&amp;固定信息!$B$3&amp;"】")</f>
        <v/>
      </c>
      <c r="H17" s="18" t="str">
        <f>IF($C17="","",固定信息!$B$1)</f>
        <v/>
      </c>
      <c r="I17" s="18"/>
      <c r="J17" s="18" t="str">
        <f t="array" ref="J17">_xlfn.XLOOKUP(A17&amp;B17&amp;C17,价格信息!$A:$A&amp;价格信息!$B:$B&amp;价格信息!$C:$C,价格信息!$D:$D)</f>
        <v/>
      </c>
      <c r="K17" s="31" t="str">
        <f t="array" ref="K17">IF(_xlfn.XLOOKUP(A17&amp;B17&amp;C17,价格信息!$A:$A&amp;价格信息!$B:$B&amp;价格信息!$C:$C,价格信息!$I:$I)="","","【优惠券链接】"&amp;固定信息!$B$6)</f>
        <v/>
      </c>
      <c r="L17" s="31" t="str">
        <f>IF($C17="","",固定信息!$B$1)</f>
        <v/>
      </c>
      <c r="M17" s="18" t="str">
        <f t="array" ref="M17">IF(_xlfn.XLOOKUP(A17&amp;B17&amp;C17,盘货信息!$A:$A&amp;盘货信息!$B:$B&amp;盘货信息!$C:$C,盘货信息!$O:$O)="","","【优惠券】领"&amp;INDEX(_wpsfn.REGEXP(_xlfn.XLOOKUP(A17&amp;B17&amp;C17,盘货信息!$A:$A&amp;盘货信息!$B:$B&amp;盘货信息!$C:$C,盘货信息!$O:$O),"\d+"),1,1)&amp;"元优惠券下单更优惠，优惠卷："&amp;_xlfn.XLOOKUP(A17&amp;B17&amp;C17,盘货信息!$A:$A&amp;盘货信息!$B:$B&amp;盘货信息!$C:$C,盘货信息!$P:$P))</f>
        <v/>
      </c>
      <c r="N17" s="18" t="str">
        <f t="array" ref="N17">IF(AND(ISNUMBER(_xlfn.XLOOKUP(A17&amp;B17&amp;C17,盘货信息!$A:$A&amp;盘货信息!$B:$B&amp;盘货信息!$C:$C,盘货信息!$I:$I)),_xlfn.XLOOKUP(A17&amp;B17&amp;C17,盘货信息!$A:$A&amp;盘货信息!$B:$B&amp;盘货信息!$C:$C,盘货信息!$I:$I)&gt;1),"【88VIP】立减"&amp;_xlfn.XLOOKUP(A17&amp;B17&amp;C17,盘货信息!$A:$A&amp;盘货信息!$B:$B&amp;盘货信息!$C:$C,盘货信息!$I:$I)&amp;"元","")</f>
        <v/>
      </c>
      <c r="O17" s="18" t="str">
        <f t="array" ref="O17">IF(_xlfn.XLOOKUP(A17&amp;B17&amp;C17,盘货信息!$A:$A&amp;盘货信息!$B:$B&amp;盘货信息!$C:$C,盘货信息!$K:$K)="","",IF(AND(_xlfn.XLOOKUP(A17&amp;B17&amp;C17,盘货信息!$A:$A&amp;盘货信息!$B:$B&amp;盘货信息!$C:$C,盘货信息!$G:$G)="不参加",_xlfn.XLOOKUP(A17&amp;B17&amp;C17,盘货信息!$A:$A&amp;盘货信息!$B:$B&amp;盘货信息!$C:$C,盘货信息!$H:$H)=""),"【以旧换新】"&amp;_xlfn.XLOOKUP(A17&amp;B17&amp;C17,盘货信息!$A:$A&amp;盘货信息!$B:$B&amp;盘货信息!$C:$C,盘货信息!$K:$K)&amp;"元以旧换新补贴（可无旧机换新）",""))</f>
        <v/>
      </c>
      <c r="P17" s="18" t="str">
        <f t="array" ref="P17">_xlfn.XLOOKUP(A17&amp;B17&amp;C17,赠品!$A:$A&amp;赠品!$B:$B&amp;赠品!$C:$C,赠品!$D:$D)</f>
        <v/>
      </c>
      <c r="Q17" s="18" t="str">
        <f>IF($C17="","",IF(AND(M17="",N17="",P17=""),"",固定信息!$B$1))</f>
        <v/>
      </c>
      <c r="R17" s="18" t="str">
        <f t="array" ref="R17">IF(ISNUMBER(SEARCH("是",_xlfn.XLOOKUP(A17&amp;B17&amp;C17,盘货信息!$A:$A&amp;盘货信息!$B:$B&amp;盘货信息!$C:$C,盘货信息!$U:$U))),"【折扣】指定型号满2类享96折，满3类享94折","")</f>
        <v/>
      </c>
      <c r="S17" s="18" t="str">
        <f t="array" ref="S17">IF(_xlfn.XLOOKUP(A17&amp;B17&amp;C17,盘货信息!$A:$A&amp;盘货信息!$B:$B&amp;盘货信息!$C:$C,盘货信息!$Q:$Q)&lt;1,"","【红包】活动时间购机送"&amp;_xlfn.TEXTJOIN("",,IF(ISNUMBER(--MID(_xlfn.XLOOKUP(A17&amp;B17&amp;C17,盘货信息!$A:$A&amp;盘货信息!$B:$B&amp;盘货信息!$C:$C,盘货信息!$Q:$Q),_xlfn.SEQUENCE(LEN(_xlfn.XLOOKUP(A17&amp;B17&amp;C17,盘货信息!$A:$A&amp;盘货信息!$B:$B&amp;盘货信息!$C:$C,盘货信息!$Q:$Q))),1)),MID(_xlfn.XLOOKUP(A17&amp;B17&amp;C17,盘货信息!$A:$A&amp;盘货信息!$B:$B&amp;盘货信息!$C:$C,盘货信息!$Q:$Q),_xlfn.SEQUENCE(LEN(_xlfn.XLOOKUP(A17&amp;B17&amp;C17,盘货信息!$A:$A&amp;盘货信息!$B:$B&amp;盘货信息!$C:$C,盘货信息!$Q:$Q))),1),""))&amp;"元")</f>
        <v/>
      </c>
      <c r="T17" s="18" t="str">
        <f t="array" ref="T17">IF(ISNUMBER(SEARCH("是",_xlfn.XLOOKUP(A17&amp;B17&amp;C17,盘货信息!$A:$A&amp;盘货信息!$B:$B&amp;盘货信息!$C:$C,盘货信息!$T:$T))),"【瓜分】"&amp;固定信息!$B$7,"")</f>
        <v/>
      </c>
      <c r="U17" s="18" t="str">
        <f>IF($C17="","",IF(AND(R17="",S17="",T17=""),"",固定信息!$B$1))</f>
        <v/>
      </c>
      <c r="V17" s="18" t="str">
        <f t="array" ref="V17">IF(C17="","","【服务】"&amp;IF(_xlfn.XLOOKUP(A17&amp;B17&amp;C17,盘货信息!$A:$A&amp;盘货信息!$B:$B&amp;盘货信息!$C:$C,盘货信息!$V:$V)="","",_xlfn.XLOOKUP(A17&amp;B17&amp;C17,盘货信息!$A:$A&amp;盘货信息!$B:$B&amp;盘货信息!$C:$C,盘货信息!$V:$V)&amp;"免息,")&amp;IF(_xlfn.XLOOKUP(A17&amp;B17&amp;C17,盘货信息!$A:$A&amp;盘货信息!$B:$B&amp;盘货信息!$C:$C,盘货信息!$W:$W)="","",_xlfn.XLOOKUP(A17&amp;B17&amp;C17,盘货信息!$A:$A&amp;盘货信息!$B:$B&amp;盘货信息!$C:$C,盘货信息!$W:$W)&amp;"，")&amp;"送货入户，退换免运费")</f>
        <v/>
      </c>
    </row>
    <row r="18" customHeight="1" spans="1:22">
      <c r="A18" s="17" t="str">
        <f>IF(盘货信息!A18="","",盘货信息!A18)</f>
        <v/>
      </c>
      <c r="B18" s="20" t="str">
        <f>IF(盘货信息!B18="","",盘货信息!B18)</f>
        <v/>
      </c>
      <c r="C18" s="18" t="str">
        <f>IF(盘货信息!C18="","",盘货信息!C18)</f>
        <v/>
      </c>
      <c r="D18" s="18" t="str">
        <f ca="1" t="shared" si="0"/>
        <v/>
      </c>
      <c r="E18" s="18" t="str">
        <f>IF(C18="","",固定信息!$B$2)</f>
        <v/>
      </c>
      <c r="F18" s="18" t="str">
        <f t="array" ref="F18">IF(C18="","","【"&amp;C18&amp;"】"&amp;_xlfn.XLOOKUP(A18&amp;B18&amp;C18,盘货信息!$A:$A&amp;盘货信息!$B:$B&amp;盘货信息!$C:$C,盘货信息!$D:$D))</f>
        <v/>
      </c>
      <c r="G18" s="18" t="str">
        <f>IF(C18="","","【"&amp;"活动时间："&amp;固定信息!$B$3&amp;"】")</f>
        <v/>
      </c>
      <c r="H18" s="18" t="str">
        <f>IF($C18="","",固定信息!$B$1)</f>
        <v/>
      </c>
      <c r="I18" s="18"/>
      <c r="J18" s="18" t="str">
        <f t="array" ref="J18">_xlfn.XLOOKUP(A18&amp;B18&amp;C18,价格信息!$A:$A&amp;价格信息!$B:$B&amp;价格信息!$C:$C,价格信息!$D:$D)</f>
        <v/>
      </c>
      <c r="K18" s="31" t="str">
        <f t="array" ref="K18">IF(_xlfn.XLOOKUP(A18&amp;B18&amp;C18,价格信息!$A:$A&amp;价格信息!$B:$B&amp;价格信息!$C:$C,价格信息!$I:$I)="","","【优惠券链接】"&amp;固定信息!$B$6)</f>
        <v/>
      </c>
      <c r="L18" s="31" t="str">
        <f>IF($C18="","",固定信息!$B$1)</f>
        <v/>
      </c>
      <c r="M18" s="18" t="str">
        <f t="array" ref="M18">IF(_xlfn.XLOOKUP(A18&amp;B18&amp;C18,盘货信息!$A:$A&amp;盘货信息!$B:$B&amp;盘货信息!$C:$C,盘货信息!$O:$O)="","","【优惠券】领"&amp;INDEX(_wpsfn.REGEXP(_xlfn.XLOOKUP(A18&amp;B18&amp;C18,盘货信息!$A:$A&amp;盘货信息!$B:$B&amp;盘货信息!$C:$C,盘货信息!$O:$O),"\d+"),1,1)&amp;"元优惠券下单更优惠，优惠卷："&amp;_xlfn.XLOOKUP(A18&amp;B18&amp;C18,盘货信息!$A:$A&amp;盘货信息!$B:$B&amp;盘货信息!$C:$C,盘货信息!$P:$P))</f>
        <v/>
      </c>
      <c r="N18" s="18" t="str">
        <f t="array" ref="N18">IF(AND(ISNUMBER(_xlfn.XLOOKUP(A18&amp;B18&amp;C18,盘货信息!$A:$A&amp;盘货信息!$B:$B&amp;盘货信息!$C:$C,盘货信息!$I:$I)),_xlfn.XLOOKUP(A18&amp;B18&amp;C18,盘货信息!$A:$A&amp;盘货信息!$B:$B&amp;盘货信息!$C:$C,盘货信息!$I:$I)&gt;1),"【88VIP】立减"&amp;_xlfn.XLOOKUP(A18&amp;B18&amp;C18,盘货信息!$A:$A&amp;盘货信息!$B:$B&amp;盘货信息!$C:$C,盘货信息!$I:$I)&amp;"元","")</f>
        <v/>
      </c>
      <c r="O18" s="18" t="str">
        <f t="array" ref="O18">IF(_xlfn.XLOOKUP(A18&amp;B18&amp;C18,盘货信息!$A:$A&amp;盘货信息!$B:$B&amp;盘货信息!$C:$C,盘货信息!$K:$K)="","",IF(AND(_xlfn.XLOOKUP(A18&amp;B18&amp;C18,盘货信息!$A:$A&amp;盘货信息!$B:$B&amp;盘货信息!$C:$C,盘货信息!$G:$G)="不参加",_xlfn.XLOOKUP(A18&amp;B18&amp;C18,盘货信息!$A:$A&amp;盘货信息!$B:$B&amp;盘货信息!$C:$C,盘货信息!$H:$H)=""),"【以旧换新】"&amp;_xlfn.XLOOKUP(A18&amp;B18&amp;C18,盘货信息!$A:$A&amp;盘货信息!$B:$B&amp;盘货信息!$C:$C,盘货信息!$K:$K)&amp;"元以旧换新补贴（可无旧机换新）",""))</f>
        <v/>
      </c>
      <c r="P18" s="18" t="str">
        <f t="array" ref="P18">_xlfn.XLOOKUP(A18&amp;B18&amp;C18,赠品!$A:$A&amp;赠品!$B:$B&amp;赠品!$C:$C,赠品!$D:$D)</f>
        <v/>
      </c>
      <c r="Q18" s="18" t="str">
        <f>IF($C18="","",IF(AND(M18="",N18="",P18=""),"",固定信息!$B$1))</f>
        <v/>
      </c>
      <c r="R18" s="18" t="str">
        <f t="array" ref="R18">IF(ISNUMBER(SEARCH("是",_xlfn.XLOOKUP(A18&amp;B18&amp;C18,盘货信息!$A:$A&amp;盘货信息!$B:$B&amp;盘货信息!$C:$C,盘货信息!$U:$U))),"【折扣】指定型号满2类享96折，满3类享94折","")</f>
        <v/>
      </c>
      <c r="S18" s="18" t="str">
        <f t="array" ref="S18">IF(_xlfn.XLOOKUP(A18&amp;B18&amp;C18,盘货信息!$A:$A&amp;盘货信息!$B:$B&amp;盘货信息!$C:$C,盘货信息!$Q:$Q)&lt;1,"","【红包】活动时间购机送"&amp;_xlfn.TEXTJOIN("",,IF(ISNUMBER(--MID(_xlfn.XLOOKUP(A18&amp;B18&amp;C18,盘货信息!$A:$A&amp;盘货信息!$B:$B&amp;盘货信息!$C:$C,盘货信息!$Q:$Q),_xlfn.SEQUENCE(LEN(_xlfn.XLOOKUP(A18&amp;B18&amp;C18,盘货信息!$A:$A&amp;盘货信息!$B:$B&amp;盘货信息!$C:$C,盘货信息!$Q:$Q))),1)),MID(_xlfn.XLOOKUP(A18&amp;B18&amp;C18,盘货信息!$A:$A&amp;盘货信息!$B:$B&amp;盘货信息!$C:$C,盘货信息!$Q:$Q),_xlfn.SEQUENCE(LEN(_xlfn.XLOOKUP(A18&amp;B18&amp;C18,盘货信息!$A:$A&amp;盘货信息!$B:$B&amp;盘货信息!$C:$C,盘货信息!$Q:$Q))),1),""))&amp;"元")</f>
        <v/>
      </c>
      <c r="T18" s="18" t="str">
        <f t="array" ref="T18">IF(ISNUMBER(SEARCH("是",_xlfn.XLOOKUP(A18&amp;B18&amp;C18,盘货信息!$A:$A&amp;盘货信息!$B:$B&amp;盘货信息!$C:$C,盘货信息!$T:$T))),"【瓜分】"&amp;固定信息!$B$7,"")</f>
        <v/>
      </c>
      <c r="U18" s="18" t="str">
        <f>IF($C18="","",IF(AND(R18="",S18="",T18=""),"",固定信息!$B$1))</f>
        <v/>
      </c>
      <c r="V18" s="18" t="str">
        <f t="array" ref="V18">IF(C18="","","【服务】"&amp;IF(_xlfn.XLOOKUP(A18&amp;B18&amp;C18,盘货信息!$A:$A&amp;盘货信息!$B:$B&amp;盘货信息!$C:$C,盘货信息!$V:$V)="","",_xlfn.XLOOKUP(A18&amp;B18&amp;C18,盘货信息!$A:$A&amp;盘货信息!$B:$B&amp;盘货信息!$C:$C,盘货信息!$V:$V)&amp;"免息,")&amp;IF(_xlfn.XLOOKUP(A18&amp;B18&amp;C18,盘货信息!$A:$A&amp;盘货信息!$B:$B&amp;盘货信息!$C:$C,盘货信息!$W:$W)="","",_xlfn.XLOOKUP(A18&amp;B18&amp;C18,盘货信息!$A:$A&amp;盘货信息!$B:$B&amp;盘货信息!$C:$C,盘货信息!$W:$W)&amp;"，")&amp;"送货入户，退换免运费")</f>
        <v/>
      </c>
    </row>
    <row r="19" customHeight="1" spans="1:22">
      <c r="A19" s="17" t="str">
        <f>IF(盘货信息!A19="","",盘货信息!A19)</f>
        <v/>
      </c>
      <c r="B19" s="20" t="str">
        <f>IF(盘货信息!B19="","",盘货信息!B19)</f>
        <v/>
      </c>
      <c r="C19" s="18" t="str">
        <f>IF(盘货信息!C19="","",盘货信息!C19)</f>
        <v/>
      </c>
      <c r="D19" s="18" t="str">
        <f ca="1" t="shared" si="0"/>
        <v/>
      </c>
      <c r="E19" s="18" t="str">
        <f>IF(C19="","",固定信息!$B$2)</f>
        <v/>
      </c>
      <c r="F19" s="18" t="str">
        <f t="array" ref="F19">IF(C19="","","【"&amp;C19&amp;"】"&amp;_xlfn.XLOOKUP(A19&amp;B19&amp;C19,盘货信息!$A:$A&amp;盘货信息!$B:$B&amp;盘货信息!$C:$C,盘货信息!$D:$D))</f>
        <v/>
      </c>
      <c r="G19" s="18" t="str">
        <f>IF(C19="","","【"&amp;"活动时间："&amp;固定信息!$B$3&amp;"】")</f>
        <v/>
      </c>
      <c r="H19" s="18" t="str">
        <f>IF($C19="","",固定信息!$B$1)</f>
        <v/>
      </c>
      <c r="I19" s="18"/>
      <c r="J19" s="18" t="str">
        <f t="array" ref="J19">_xlfn.XLOOKUP(A19&amp;B19&amp;C19,价格信息!$A:$A&amp;价格信息!$B:$B&amp;价格信息!$C:$C,价格信息!$D:$D)</f>
        <v/>
      </c>
      <c r="K19" s="31" t="str">
        <f t="array" ref="K19">IF(_xlfn.XLOOKUP(A19&amp;B19&amp;C19,价格信息!$A:$A&amp;价格信息!$B:$B&amp;价格信息!$C:$C,价格信息!$I:$I)="","","【优惠券链接】"&amp;固定信息!$B$6)</f>
        <v/>
      </c>
      <c r="L19" s="31" t="str">
        <f>IF($C19="","",固定信息!$B$1)</f>
        <v/>
      </c>
      <c r="M19" s="18" t="str">
        <f t="array" ref="M19">IF(_xlfn.XLOOKUP(A19&amp;B19&amp;C19,盘货信息!$A:$A&amp;盘货信息!$B:$B&amp;盘货信息!$C:$C,盘货信息!$O:$O)="","","【优惠券】领"&amp;INDEX(_wpsfn.REGEXP(_xlfn.XLOOKUP(A19&amp;B19&amp;C19,盘货信息!$A:$A&amp;盘货信息!$B:$B&amp;盘货信息!$C:$C,盘货信息!$O:$O),"\d+"),1,1)&amp;"元优惠券下单更优惠，优惠卷："&amp;_xlfn.XLOOKUP(A19&amp;B19&amp;C19,盘货信息!$A:$A&amp;盘货信息!$B:$B&amp;盘货信息!$C:$C,盘货信息!$P:$P))</f>
        <v/>
      </c>
      <c r="N19" s="18" t="str">
        <f t="array" ref="N19">IF(AND(ISNUMBER(_xlfn.XLOOKUP(A19&amp;B19&amp;C19,盘货信息!$A:$A&amp;盘货信息!$B:$B&amp;盘货信息!$C:$C,盘货信息!$I:$I)),_xlfn.XLOOKUP(A19&amp;B19&amp;C19,盘货信息!$A:$A&amp;盘货信息!$B:$B&amp;盘货信息!$C:$C,盘货信息!$I:$I)&gt;1),"【88VIP】立减"&amp;_xlfn.XLOOKUP(A19&amp;B19&amp;C19,盘货信息!$A:$A&amp;盘货信息!$B:$B&amp;盘货信息!$C:$C,盘货信息!$I:$I)&amp;"元","")</f>
        <v/>
      </c>
      <c r="O19" s="18" t="str">
        <f t="array" ref="O19">IF(_xlfn.XLOOKUP(A19&amp;B19&amp;C19,盘货信息!$A:$A&amp;盘货信息!$B:$B&amp;盘货信息!$C:$C,盘货信息!$K:$K)="","",IF(AND(_xlfn.XLOOKUP(A19&amp;B19&amp;C19,盘货信息!$A:$A&amp;盘货信息!$B:$B&amp;盘货信息!$C:$C,盘货信息!$G:$G)="不参加",_xlfn.XLOOKUP(A19&amp;B19&amp;C19,盘货信息!$A:$A&amp;盘货信息!$B:$B&amp;盘货信息!$C:$C,盘货信息!$H:$H)=""),"【以旧换新】"&amp;_xlfn.XLOOKUP(A19&amp;B19&amp;C19,盘货信息!$A:$A&amp;盘货信息!$B:$B&amp;盘货信息!$C:$C,盘货信息!$K:$K)&amp;"元以旧换新补贴（可无旧机换新）",""))</f>
        <v/>
      </c>
      <c r="P19" s="18" t="str">
        <f t="array" ref="P19">_xlfn.XLOOKUP(A19&amp;B19&amp;C19,赠品!$A:$A&amp;赠品!$B:$B&amp;赠品!$C:$C,赠品!$D:$D)</f>
        <v/>
      </c>
      <c r="Q19" s="18" t="str">
        <f>IF($C19="","",IF(AND(M19="",N19="",P19=""),"",固定信息!$B$1))</f>
        <v/>
      </c>
      <c r="R19" s="18" t="str">
        <f t="array" ref="R19">IF(ISNUMBER(SEARCH("是",_xlfn.XLOOKUP(A19&amp;B19&amp;C19,盘货信息!$A:$A&amp;盘货信息!$B:$B&amp;盘货信息!$C:$C,盘货信息!$U:$U))),"【折扣】指定型号满2类享96折，满3类享94折","")</f>
        <v/>
      </c>
      <c r="S19" s="18" t="str">
        <f t="array" ref="S19">IF(_xlfn.XLOOKUP(A19&amp;B19&amp;C19,盘货信息!$A:$A&amp;盘货信息!$B:$B&amp;盘货信息!$C:$C,盘货信息!$Q:$Q)&lt;1,"","【红包】活动时间购机送"&amp;_xlfn.TEXTJOIN("",,IF(ISNUMBER(--MID(_xlfn.XLOOKUP(A19&amp;B19&amp;C19,盘货信息!$A:$A&amp;盘货信息!$B:$B&amp;盘货信息!$C:$C,盘货信息!$Q:$Q),_xlfn.SEQUENCE(LEN(_xlfn.XLOOKUP(A19&amp;B19&amp;C19,盘货信息!$A:$A&amp;盘货信息!$B:$B&amp;盘货信息!$C:$C,盘货信息!$Q:$Q))),1)),MID(_xlfn.XLOOKUP(A19&amp;B19&amp;C19,盘货信息!$A:$A&amp;盘货信息!$B:$B&amp;盘货信息!$C:$C,盘货信息!$Q:$Q),_xlfn.SEQUENCE(LEN(_xlfn.XLOOKUP(A19&amp;B19&amp;C19,盘货信息!$A:$A&amp;盘货信息!$B:$B&amp;盘货信息!$C:$C,盘货信息!$Q:$Q))),1),""))&amp;"元")</f>
        <v/>
      </c>
      <c r="T19" s="18" t="str">
        <f t="array" ref="T19">IF(ISNUMBER(SEARCH("是",_xlfn.XLOOKUP(A19&amp;B19&amp;C19,盘货信息!$A:$A&amp;盘货信息!$B:$B&amp;盘货信息!$C:$C,盘货信息!$T:$T))),"【瓜分】"&amp;固定信息!$B$7,"")</f>
        <v/>
      </c>
      <c r="U19" s="18" t="str">
        <f>IF($C19="","",IF(AND(R19="",S19="",T19=""),"",固定信息!$B$1))</f>
        <v/>
      </c>
      <c r="V19" s="18" t="str">
        <f t="array" ref="V19">IF(C19="","","【服务】"&amp;IF(_xlfn.XLOOKUP(A19&amp;B19&amp;C19,盘货信息!$A:$A&amp;盘货信息!$B:$B&amp;盘货信息!$C:$C,盘货信息!$V:$V)="","",_xlfn.XLOOKUP(A19&amp;B19&amp;C19,盘货信息!$A:$A&amp;盘货信息!$B:$B&amp;盘货信息!$C:$C,盘货信息!$V:$V)&amp;"免息,")&amp;IF(_xlfn.XLOOKUP(A19&amp;B19&amp;C19,盘货信息!$A:$A&amp;盘货信息!$B:$B&amp;盘货信息!$C:$C,盘货信息!$W:$W)="","",_xlfn.XLOOKUP(A19&amp;B19&amp;C19,盘货信息!$A:$A&amp;盘货信息!$B:$B&amp;盘货信息!$C:$C,盘货信息!$W:$W)&amp;"，")&amp;"送货入户，退换免运费")</f>
        <v/>
      </c>
    </row>
    <row r="20" customHeight="1" spans="1:22">
      <c r="A20" s="17" t="str">
        <f>IF(盘货信息!A20="","",盘货信息!A20)</f>
        <v/>
      </c>
      <c r="B20" s="20" t="str">
        <f>IF(盘货信息!B20="","",盘货信息!B20)</f>
        <v/>
      </c>
      <c r="C20" s="18" t="str">
        <f>IF(盘货信息!C20="","",盘货信息!C20)</f>
        <v/>
      </c>
      <c r="D20" s="18" t="str">
        <f ca="1" t="shared" si="0"/>
        <v/>
      </c>
      <c r="E20" s="18" t="str">
        <f>IF(C20="","",固定信息!$B$2)</f>
        <v/>
      </c>
      <c r="F20" s="18" t="str">
        <f t="array" ref="F20">IF(C20="","","【"&amp;C20&amp;"】"&amp;_xlfn.XLOOKUP(A20&amp;B20&amp;C20,盘货信息!$A:$A&amp;盘货信息!$B:$B&amp;盘货信息!$C:$C,盘货信息!$D:$D))</f>
        <v/>
      </c>
      <c r="G20" s="18" t="str">
        <f>IF(C20="","","【"&amp;"活动时间："&amp;固定信息!$B$3&amp;"】")</f>
        <v/>
      </c>
      <c r="H20" s="18" t="str">
        <f>IF($C20="","",固定信息!$B$1)</f>
        <v/>
      </c>
      <c r="I20" s="18"/>
      <c r="J20" s="18" t="str">
        <f t="array" ref="J20">_xlfn.XLOOKUP(A20&amp;B20&amp;C20,价格信息!$A:$A&amp;价格信息!$B:$B&amp;价格信息!$C:$C,价格信息!$D:$D)</f>
        <v/>
      </c>
      <c r="K20" s="31" t="str">
        <f t="array" ref="K20">IF(_xlfn.XLOOKUP(A20&amp;B20&amp;C20,价格信息!$A:$A&amp;价格信息!$B:$B&amp;价格信息!$C:$C,价格信息!$I:$I)="","","【优惠券链接】"&amp;固定信息!$B$6)</f>
        <v/>
      </c>
      <c r="L20" s="31" t="str">
        <f>IF($C20="","",固定信息!$B$1)</f>
        <v/>
      </c>
      <c r="M20" s="18" t="str">
        <f t="array" ref="M20">IF(_xlfn.XLOOKUP(A20&amp;B20&amp;C20,盘货信息!$A:$A&amp;盘货信息!$B:$B&amp;盘货信息!$C:$C,盘货信息!$O:$O)="","","【优惠券】领"&amp;INDEX(_wpsfn.REGEXP(_xlfn.XLOOKUP(A20&amp;B20&amp;C20,盘货信息!$A:$A&amp;盘货信息!$B:$B&amp;盘货信息!$C:$C,盘货信息!$O:$O),"\d+"),1,1)&amp;"元优惠券下单更优惠，优惠卷："&amp;_xlfn.XLOOKUP(A20&amp;B20&amp;C20,盘货信息!$A:$A&amp;盘货信息!$B:$B&amp;盘货信息!$C:$C,盘货信息!$P:$P))</f>
        <v/>
      </c>
      <c r="N20" s="18" t="str">
        <f t="array" ref="N20">IF(AND(ISNUMBER(_xlfn.XLOOKUP(A20&amp;B20&amp;C20,盘货信息!$A:$A&amp;盘货信息!$B:$B&amp;盘货信息!$C:$C,盘货信息!$I:$I)),_xlfn.XLOOKUP(A20&amp;B20&amp;C20,盘货信息!$A:$A&amp;盘货信息!$B:$B&amp;盘货信息!$C:$C,盘货信息!$I:$I)&gt;1),"【88VIP】立减"&amp;_xlfn.XLOOKUP(A20&amp;B20&amp;C20,盘货信息!$A:$A&amp;盘货信息!$B:$B&amp;盘货信息!$C:$C,盘货信息!$I:$I)&amp;"元","")</f>
        <v/>
      </c>
      <c r="O20" s="18" t="str">
        <f t="array" ref="O20">IF(_xlfn.XLOOKUP(A20&amp;B20&amp;C20,盘货信息!$A:$A&amp;盘货信息!$B:$B&amp;盘货信息!$C:$C,盘货信息!$K:$K)="","",IF(AND(_xlfn.XLOOKUP(A20&amp;B20&amp;C20,盘货信息!$A:$A&amp;盘货信息!$B:$B&amp;盘货信息!$C:$C,盘货信息!$G:$G)="不参加",_xlfn.XLOOKUP(A20&amp;B20&amp;C20,盘货信息!$A:$A&amp;盘货信息!$B:$B&amp;盘货信息!$C:$C,盘货信息!$H:$H)=""),"【以旧换新】"&amp;_xlfn.XLOOKUP(A20&amp;B20&amp;C20,盘货信息!$A:$A&amp;盘货信息!$B:$B&amp;盘货信息!$C:$C,盘货信息!$K:$K)&amp;"元以旧换新补贴（可无旧机换新）",""))</f>
        <v/>
      </c>
      <c r="P20" s="18" t="str">
        <f t="array" ref="P20">_xlfn.XLOOKUP(A20&amp;B20&amp;C20,赠品!$A:$A&amp;赠品!$B:$B&amp;赠品!$C:$C,赠品!$D:$D)</f>
        <v/>
      </c>
      <c r="Q20" s="18" t="str">
        <f>IF($C20="","",IF(AND(M20="",N20="",P20=""),"",固定信息!$B$1))</f>
        <v/>
      </c>
      <c r="R20" s="18" t="str">
        <f t="array" ref="R20">IF(ISNUMBER(SEARCH("是",_xlfn.XLOOKUP(A20&amp;B20&amp;C20,盘货信息!$A:$A&amp;盘货信息!$B:$B&amp;盘货信息!$C:$C,盘货信息!$U:$U))),"【折扣】指定型号满2类享96折，满3类享94折","")</f>
        <v/>
      </c>
      <c r="S20" s="18" t="str">
        <f t="array" ref="S20">IF(_xlfn.XLOOKUP(A20&amp;B20&amp;C20,盘货信息!$A:$A&amp;盘货信息!$B:$B&amp;盘货信息!$C:$C,盘货信息!$Q:$Q)&lt;1,"","【红包】活动时间购机送"&amp;_xlfn.TEXTJOIN("",,IF(ISNUMBER(--MID(_xlfn.XLOOKUP(A20&amp;B20&amp;C20,盘货信息!$A:$A&amp;盘货信息!$B:$B&amp;盘货信息!$C:$C,盘货信息!$Q:$Q),_xlfn.SEQUENCE(LEN(_xlfn.XLOOKUP(A20&amp;B20&amp;C20,盘货信息!$A:$A&amp;盘货信息!$B:$B&amp;盘货信息!$C:$C,盘货信息!$Q:$Q))),1)),MID(_xlfn.XLOOKUP(A20&amp;B20&amp;C20,盘货信息!$A:$A&amp;盘货信息!$B:$B&amp;盘货信息!$C:$C,盘货信息!$Q:$Q),_xlfn.SEQUENCE(LEN(_xlfn.XLOOKUP(A20&amp;B20&amp;C20,盘货信息!$A:$A&amp;盘货信息!$B:$B&amp;盘货信息!$C:$C,盘货信息!$Q:$Q))),1),""))&amp;"元")</f>
        <v/>
      </c>
      <c r="T20" s="18" t="str">
        <f t="array" ref="T20">IF(ISNUMBER(SEARCH("是",_xlfn.XLOOKUP(A20&amp;B20&amp;C20,盘货信息!$A:$A&amp;盘货信息!$B:$B&amp;盘货信息!$C:$C,盘货信息!$T:$T))),"【瓜分】"&amp;固定信息!$B$7,"")</f>
        <v/>
      </c>
      <c r="U20" s="18" t="str">
        <f>IF($C20="","",IF(AND(R20="",S20="",T20=""),"",固定信息!$B$1))</f>
        <v/>
      </c>
      <c r="V20" s="18" t="str">
        <f t="array" ref="V20">IF(C20="","","【服务】"&amp;IF(_xlfn.XLOOKUP(A20&amp;B20&amp;C20,盘货信息!$A:$A&amp;盘货信息!$B:$B&amp;盘货信息!$C:$C,盘货信息!$V:$V)="","",_xlfn.XLOOKUP(A20&amp;B20&amp;C20,盘货信息!$A:$A&amp;盘货信息!$B:$B&amp;盘货信息!$C:$C,盘货信息!$V:$V)&amp;"免息,")&amp;IF(_xlfn.XLOOKUP(A20&amp;B20&amp;C20,盘货信息!$A:$A&amp;盘货信息!$B:$B&amp;盘货信息!$C:$C,盘货信息!$W:$W)="","",_xlfn.XLOOKUP(A20&amp;B20&amp;C20,盘货信息!$A:$A&amp;盘货信息!$B:$B&amp;盘货信息!$C:$C,盘货信息!$W:$W)&amp;"，")&amp;"送货入户，退换免运费")</f>
        <v/>
      </c>
    </row>
    <row r="21" customHeight="1" spans="1:22">
      <c r="A21" s="17" t="str">
        <f>IF(盘货信息!A21="","",盘货信息!A21)</f>
        <v/>
      </c>
      <c r="B21" s="20" t="str">
        <f>IF(盘货信息!B21="","",盘货信息!B21)</f>
        <v/>
      </c>
      <c r="C21" s="18" t="str">
        <f>IF(盘货信息!C21="","",盘货信息!C21)</f>
        <v/>
      </c>
      <c r="D21" s="18" t="str">
        <f ca="1" t="shared" si="0"/>
        <v/>
      </c>
      <c r="E21" s="18" t="str">
        <f>IF(C21="","",固定信息!$B$2)</f>
        <v/>
      </c>
      <c r="F21" s="18" t="str">
        <f t="array" ref="F21">IF(C21="","","【"&amp;C21&amp;"】"&amp;_xlfn.XLOOKUP(A21&amp;B21&amp;C21,盘货信息!$A:$A&amp;盘货信息!$B:$B&amp;盘货信息!$C:$C,盘货信息!$D:$D))</f>
        <v/>
      </c>
      <c r="G21" s="18" t="str">
        <f>IF(C21="","","【"&amp;"活动时间："&amp;固定信息!$B$3&amp;"】")</f>
        <v/>
      </c>
      <c r="H21" s="18" t="str">
        <f>IF($C21="","",固定信息!$B$1)</f>
        <v/>
      </c>
      <c r="I21" s="18"/>
      <c r="J21" s="18" t="str">
        <f t="array" ref="J21">_xlfn.XLOOKUP(A21&amp;B21&amp;C21,价格信息!$A:$A&amp;价格信息!$B:$B&amp;价格信息!$C:$C,价格信息!$D:$D)</f>
        <v/>
      </c>
      <c r="K21" s="31" t="str">
        <f t="array" ref="K21">IF(_xlfn.XLOOKUP(A21&amp;B21&amp;C21,价格信息!$A:$A&amp;价格信息!$B:$B&amp;价格信息!$C:$C,价格信息!$I:$I)="","","【优惠券链接】"&amp;固定信息!$B$6)</f>
        <v/>
      </c>
      <c r="L21" s="31" t="str">
        <f>IF($C21="","",固定信息!$B$1)</f>
        <v/>
      </c>
      <c r="M21" s="18" t="str">
        <f t="array" ref="M21">IF(_xlfn.XLOOKUP(A21&amp;B21&amp;C21,盘货信息!$A:$A&amp;盘货信息!$B:$B&amp;盘货信息!$C:$C,盘货信息!$O:$O)="","","【优惠券】领"&amp;INDEX(_wpsfn.REGEXP(_xlfn.XLOOKUP(A21&amp;B21&amp;C21,盘货信息!$A:$A&amp;盘货信息!$B:$B&amp;盘货信息!$C:$C,盘货信息!$O:$O),"\d+"),1,1)&amp;"元优惠券下单更优惠，优惠卷："&amp;_xlfn.XLOOKUP(A21&amp;B21&amp;C21,盘货信息!$A:$A&amp;盘货信息!$B:$B&amp;盘货信息!$C:$C,盘货信息!$P:$P))</f>
        <v/>
      </c>
      <c r="N21" s="18" t="str">
        <f t="array" ref="N21">IF(AND(ISNUMBER(_xlfn.XLOOKUP(A21&amp;B21&amp;C21,盘货信息!$A:$A&amp;盘货信息!$B:$B&amp;盘货信息!$C:$C,盘货信息!$I:$I)),_xlfn.XLOOKUP(A21&amp;B21&amp;C21,盘货信息!$A:$A&amp;盘货信息!$B:$B&amp;盘货信息!$C:$C,盘货信息!$I:$I)&gt;1),"【88VIP】立减"&amp;_xlfn.XLOOKUP(A21&amp;B21&amp;C21,盘货信息!$A:$A&amp;盘货信息!$B:$B&amp;盘货信息!$C:$C,盘货信息!$I:$I)&amp;"元","")</f>
        <v/>
      </c>
      <c r="O21" s="18" t="str">
        <f t="array" ref="O21">IF(_xlfn.XLOOKUP(A21&amp;B21&amp;C21,盘货信息!$A:$A&amp;盘货信息!$B:$B&amp;盘货信息!$C:$C,盘货信息!$K:$K)="","",IF(AND(_xlfn.XLOOKUP(A21&amp;B21&amp;C21,盘货信息!$A:$A&amp;盘货信息!$B:$B&amp;盘货信息!$C:$C,盘货信息!$G:$G)="不参加",_xlfn.XLOOKUP(A21&amp;B21&amp;C21,盘货信息!$A:$A&amp;盘货信息!$B:$B&amp;盘货信息!$C:$C,盘货信息!$H:$H)=""),"【以旧换新】"&amp;_xlfn.XLOOKUP(A21&amp;B21&amp;C21,盘货信息!$A:$A&amp;盘货信息!$B:$B&amp;盘货信息!$C:$C,盘货信息!$K:$K)&amp;"元以旧换新补贴（可无旧机换新）",""))</f>
        <v/>
      </c>
      <c r="P21" s="18" t="str">
        <f t="array" ref="P21">_xlfn.XLOOKUP(A21&amp;B21&amp;C21,赠品!$A:$A&amp;赠品!$B:$B&amp;赠品!$C:$C,赠品!$D:$D)</f>
        <v/>
      </c>
      <c r="Q21" s="18" t="str">
        <f>IF($C21="","",IF(AND(M21="",N21="",P21=""),"",固定信息!$B$1))</f>
        <v/>
      </c>
      <c r="R21" s="18" t="str">
        <f t="array" ref="R21">IF(ISNUMBER(SEARCH("是",_xlfn.XLOOKUP(A21&amp;B21&amp;C21,盘货信息!$A:$A&amp;盘货信息!$B:$B&amp;盘货信息!$C:$C,盘货信息!$U:$U))),"【折扣】指定型号满2类享96折，满3类享94折","")</f>
        <v/>
      </c>
      <c r="S21" s="18" t="str">
        <f t="array" ref="S21">IF(_xlfn.XLOOKUP(A21&amp;B21&amp;C21,盘货信息!$A:$A&amp;盘货信息!$B:$B&amp;盘货信息!$C:$C,盘货信息!$Q:$Q)&lt;1,"","【红包】活动时间购机送"&amp;_xlfn.TEXTJOIN("",,IF(ISNUMBER(--MID(_xlfn.XLOOKUP(A21&amp;B21&amp;C21,盘货信息!$A:$A&amp;盘货信息!$B:$B&amp;盘货信息!$C:$C,盘货信息!$Q:$Q),_xlfn.SEQUENCE(LEN(_xlfn.XLOOKUP(A21&amp;B21&amp;C21,盘货信息!$A:$A&amp;盘货信息!$B:$B&amp;盘货信息!$C:$C,盘货信息!$Q:$Q))),1)),MID(_xlfn.XLOOKUP(A21&amp;B21&amp;C21,盘货信息!$A:$A&amp;盘货信息!$B:$B&amp;盘货信息!$C:$C,盘货信息!$Q:$Q),_xlfn.SEQUENCE(LEN(_xlfn.XLOOKUP(A21&amp;B21&amp;C21,盘货信息!$A:$A&amp;盘货信息!$B:$B&amp;盘货信息!$C:$C,盘货信息!$Q:$Q))),1),""))&amp;"元")</f>
        <v/>
      </c>
      <c r="T21" s="18" t="str">
        <f t="array" ref="T21">IF(ISNUMBER(SEARCH("是",_xlfn.XLOOKUP(A21&amp;B21&amp;C21,盘货信息!$A:$A&amp;盘货信息!$B:$B&amp;盘货信息!$C:$C,盘货信息!$T:$T))),"【瓜分】"&amp;固定信息!$B$7,"")</f>
        <v/>
      </c>
      <c r="U21" s="18" t="str">
        <f>IF($C21="","",IF(AND(R21="",S21="",T21=""),"",固定信息!$B$1))</f>
        <v/>
      </c>
      <c r="V21" s="18" t="str">
        <f t="array" ref="V21">IF(C21="","","【服务】"&amp;IF(_xlfn.XLOOKUP(A21&amp;B21&amp;C21,盘货信息!$A:$A&amp;盘货信息!$B:$B&amp;盘货信息!$C:$C,盘货信息!$V:$V)="","",_xlfn.XLOOKUP(A21&amp;B21&amp;C21,盘货信息!$A:$A&amp;盘货信息!$B:$B&amp;盘货信息!$C:$C,盘货信息!$V:$V)&amp;"免息,")&amp;IF(_xlfn.XLOOKUP(A21&amp;B21&amp;C21,盘货信息!$A:$A&amp;盘货信息!$B:$B&amp;盘货信息!$C:$C,盘货信息!$W:$W)="","",_xlfn.XLOOKUP(A21&amp;B21&amp;C21,盘货信息!$A:$A&amp;盘货信息!$B:$B&amp;盘货信息!$C:$C,盘货信息!$W:$W)&amp;"，")&amp;"送货入户，退换免运费")</f>
        <v/>
      </c>
    </row>
    <row r="22" customHeight="1" spans="1:22">
      <c r="A22" s="17" t="str">
        <f>IF(盘货信息!A22="","",盘货信息!A22)</f>
        <v/>
      </c>
      <c r="B22" s="20" t="str">
        <f>IF(盘货信息!B22="","",盘货信息!B22)</f>
        <v/>
      </c>
      <c r="C22" s="18" t="str">
        <f>IF(盘货信息!C22="","",盘货信息!C22)</f>
        <v/>
      </c>
      <c r="D22" s="18" t="str">
        <f ca="1" t="shared" si="0"/>
        <v/>
      </c>
      <c r="E22" s="18" t="str">
        <f>IF(C22="","",固定信息!$B$2)</f>
        <v/>
      </c>
      <c r="F22" s="18" t="str">
        <f t="array" ref="F22">IF(C22="","","【"&amp;C22&amp;"】"&amp;_xlfn.XLOOKUP(A22&amp;B22&amp;C22,盘货信息!$A:$A&amp;盘货信息!$B:$B&amp;盘货信息!$C:$C,盘货信息!$D:$D))</f>
        <v/>
      </c>
      <c r="G22" s="18" t="str">
        <f>IF(C22="","","【"&amp;"活动时间："&amp;固定信息!$B$3&amp;"】")</f>
        <v/>
      </c>
      <c r="H22" s="18" t="str">
        <f>IF($C22="","",固定信息!$B$1)</f>
        <v/>
      </c>
      <c r="I22" s="18"/>
      <c r="J22" s="18" t="str">
        <f t="array" ref="J22">_xlfn.XLOOKUP(A22&amp;B22&amp;C22,价格信息!$A:$A&amp;价格信息!$B:$B&amp;价格信息!$C:$C,价格信息!$D:$D)</f>
        <v/>
      </c>
      <c r="K22" s="31" t="str">
        <f t="array" ref="K22">IF(_xlfn.XLOOKUP(A22&amp;B22&amp;C22,价格信息!$A:$A&amp;价格信息!$B:$B&amp;价格信息!$C:$C,价格信息!$I:$I)="","","【优惠券链接】"&amp;固定信息!$B$6)</f>
        <v/>
      </c>
      <c r="L22" s="31" t="str">
        <f>IF($C22="","",固定信息!$B$1)</f>
        <v/>
      </c>
      <c r="M22" s="18" t="str">
        <f t="array" ref="M22">IF(_xlfn.XLOOKUP(A22&amp;B22&amp;C22,盘货信息!$A:$A&amp;盘货信息!$B:$B&amp;盘货信息!$C:$C,盘货信息!$O:$O)="","","【优惠券】领"&amp;INDEX(_wpsfn.REGEXP(_xlfn.XLOOKUP(A22&amp;B22&amp;C22,盘货信息!$A:$A&amp;盘货信息!$B:$B&amp;盘货信息!$C:$C,盘货信息!$O:$O),"\d+"),1,1)&amp;"元优惠券下单更优惠，优惠卷："&amp;_xlfn.XLOOKUP(A22&amp;B22&amp;C22,盘货信息!$A:$A&amp;盘货信息!$B:$B&amp;盘货信息!$C:$C,盘货信息!$P:$P))</f>
        <v/>
      </c>
      <c r="N22" s="18" t="str">
        <f t="array" ref="N22">IF(AND(ISNUMBER(_xlfn.XLOOKUP(A22&amp;B22&amp;C22,盘货信息!$A:$A&amp;盘货信息!$B:$B&amp;盘货信息!$C:$C,盘货信息!$I:$I)),_xlfn.XLOOKUP(A22&amp;B22&amp;C22,盘货信息!$A:$A&amp;盘货信息!$B:$B&amp;盘货信息!$C:$C,盘货信息!$I:$I)&gt;1),"【88VIP】立减"&amp;_xlfn.XLOOKUP(A22&amp;B22&amp;C22,盘货信息!$A:$A&amp;盘货信息!$B:$B&amp;盘货信息!$C:$C,盘货信息!$I:$I)&amp;"元","")</f>
        <v/>
      </c>
      <c r="O22" s="18" t="str">
        <f t="array" ref="O22">IF(_xlfn.XLOOKUP(A22&amp;B22&amp;C22,盘货信息!$A:$A&amp;盘货信息!$B:$B&amp;盘货信息!$C:$C,盘货信息!$K:$K)="","",IF(AND(_xlfn.XLOOKUP(A22&amp;B22&amp;C22,盘货信息!$A:$A&amp;盘货信息!$B:$B&amp;盘货信息!$C:$C,盘货信息!$G:$G)="不参加",_xlfn.XLOOKUP(A22&amp;B22&amp;C22,盘货信息!$A:$A&amp;盘货信息!$B:$B&amp;盘货信息!$C:$C,盘货信息!$H:$H)=""),"【以旧换新】"&amp;_xlfn.XLOOKUP(A22&amp;B22&amp;C22,盘货信息!$A:$A&amp;盘货信息!$B:$B&amp;盘货信息!$C:$C,盘货信息!$K:$K)&amp;"元以旧换新补贴（可无旧机换新）",""))</f>
        <v/>
      </c>
      <c r="P22" s="18" t="str">
        <f t="array" ref="P22">_xlfn.XLOOKUP(A22&amp;B22&amp;C22,赠品!$A:$A&amp;赠品!$B:$B&amp;赠品!$C:$C,赠品!$D:$D)</f>
        <v/>
      </c>
      <c r="Q22" s="18" t="str">
        <f>IF($C22="","",IF(AND(M22="",N22="",P22=""),"",固定信息!$B$1))</f>
        <v/>
      </c>
      <c r="R22" s="18" t="str">
        <f t="array" ref="R22">IF(ISNUMBER(SEARCH("是",_xlfn.XLOOKUP(A22&amp;B22&amp;C22,盘货信息!$A:$A&amp;盘货信息!$B:$B&amp;盘货信息!$C:$C,盘货信息!$U:$U))),"【折扣】指定型号满2类享96折，满3类享94折","")</f>
        <v/>
      </c>
      <c r="S22" s="18" t="str">
        <f t="array" ref="S22">IF(_xlfn.XLOOKUP(A22&amp;B22&amp;C22,盘货信息!$A:$A&amp;盘货信息!$B:$B&amp;盘货信息!$C:$C,盘货信息!$Q:$Q)&lt;1,"","【红包】活动时间购机送"&amp;_xlfn.TEXTJOIN("",,IF(ISNUMBER(--MID(_xlfn.XLOOKUP(A22&amp;B22&amp;C22,盘货信息!$A:$A&amp;盘货信息!$B:$B&amp;盘货信息!$C:$C,盘货信息!$Q:$Q),_xlfn.SEQUENCE(LEN(_xlfn.XLOOKUP(A22&amp;B22&amp;C22,盘货信息!$A:$A&amp;盘货信息!$B:$B&amp;盘货信息!$C:$C,盘货信息!$Q:$Q))),1)),MID(_xlfn.XLOOKUP(A22&amp;B22&amp;C22,盘货信息!$A:$A&amp;盘货信息!$B:$B&amp;盘货信息!$C:$C,盘货信息!$Q:$Q),_xlfn.SEQUENCE(LEN(_xlfn.XLOOKUP(A22&amp;B22&amp;C22,盘货信息!$A:$A&amp;盘货信息!$B:$B&amp;盘货信息!$C:$C,盘货信息!$Q:$Q))),1),""))&amp;"元")</f>
        <v/>
      </c>
      <c r="T22" s="18" t="str">
        <f t="array" ref="T22">IF(ISNUMBER(SEARCH("是",_xlfn.XLOOKUP(A22&amp;B22&amp;C22,盘货信息!$A:$A&amp;盘货信息!$B:$B&amp;盘货信息!$C:$C,盘货信息!$T:$T))),"【瓜分】"&amp;固定信息!$B$7,"")</f>
        <v/>
      </c>
      <c r="U22" s="18" t="str">
        <f>IF($C22="","",IF(AND(R22="",S22="",T22=""),"",固定信息!$B$1))</f>
        <v/>
      </c>
      <c r="V22" s="18" t="str">
        <f t="array" ref="V22">IF(C22="","","【服务】"&amp;IF(_xlfn.XLOOKUP(A22&amp;B22&amp;C22,盘货信息!$A:$A&amp;盘货信息!$B:$B&amp;盘货信息!$C:$C,盘货信息!$V:$V)="","",_xlfn.XLOOKUP(A22&amp;B22&amp;C22,盘货信息!$A:$A&amp;盘货信息!$B:$B&amp;盘货信息!$C:$C,盘货信息!$V:$V)&amp;"免息,")&amp;IF(_xlfn.XLOOKUP(A22&amp;B22&amp;C22,盘货信息!$A:$A&amp;盘货信息!$B:$B&amp;盘货信息!$C:$C,盘货信息!$W:$W)="","",_xlfn.XLOOKUP(A22&amp;B22&amp;C22,盘货信息!$A:$A&amp;盘货信息!$B:$B&amp;盘货信息!$C:$C,盘货信息!$W:$W)&amp;"，")&amp;"送货入户，退换免运费")</f>
        <v/>
      </c>
    </row>
    <row r="23" customHeight="1" spans="1:22">
      <c r="A23" s="17" t="str">
        <f>IF(盘货信息!A23="","",盘货信息!A23)</f>
        <v/>
      </c>
      <c r="B23" s="20" t="str">
        <f>IF(盘货信息!B23="","",盘货信息!B23)</f>
        <v/>
      </c>
      <c r="C23" s="18" t="str">
        <f>IF(盘货信息!C23="","",盘货信息!C23)</f>
        <v/>
      </c>
      <c r="D23" s="18" t="str">
        <f ca="1" t="shared" si="0"/>
        <v/>
      </c>
      <c r="E23" s="18" t="str">
        <f>IF(C23="","",固定信息!$B$2)</f>
        <v/>
      </c>
      <c r="F23" s="18" t="str">
        <f t="array" ref="F23">IF(C23="","","【"&amp;C23&amp;"】"&amp;_xlfn.XLOOKUP(A23&amp;B23&amp;C23,盘货信息!$A:$A&amp;盘货信息!$B:$B&amp;盘货信息!$C:$C,盘货信息!$D:$D))</f>
        <v/>
      </c>
      <c r="G23" s="18" t="str">
        <f>IF(C23="","","【"&amp;"活动时间："&amp;固定信息!$B$3&amp;"】")</f>
        <v/>
      </c>
      <c r="H23" s="18" t="str">
        <f>IF($C23="","",固定信息!$B$1)</f>
        <v/>
      </c>
      <c r="I23" s="18"/>
      <c r="J23" s="18" t="str">
        <f t="array" ref="J23">_xlfn.XLOOKUP(A23&amp;B23&amp;C23,价格信息!$A:$A&amp;价格信息!$B:$B&amp;价格信息!$C:$C,价格信息!$D:$D)</f>
        <v/>
      </c>
      <c r="K23" s="31" t="str">
        <f t="array" ref="K23">IF(_xlfn.XLOOKUP(A23&amp;B23&amp;C23,价格信息!$A:$A&amp;价格信息!$B:$B&amp;价格信息!$C:$C,价格信息!$I:$I)="","","【优惠券链接】"&amp;固定信息!$B$6)</f>
        <v/>
      </c>
      <c r="L23" s="31" t="str">
        <f>IF($C23="","",固定信息!$B$1)</f>
        <v/>
      </c>
      <c r="M23" s="18" t="str">
        <f t="array" ref="M23">IF(_xlfn.XLOOKUP(A23&amp;B23&amp;C23,盘货信息!$A:$A&amp;盘货信息!$B:$B&amp;盘货信息!$C:$C,盘货信息!$O:$O)="","","【优惠券】领"&amp;INDEX(_wpsfn.REGEXP(_xlfn.XLOOKUP(A23&amp;B23&amp;C23,盘货信息!$A:$A&amp;盘货信息!$B:$B&amp;盘货信息!$C:$C,盘货信息!$O:$O),"\d+"),1,1)&amp;"元优惠券下单更优惠，优惠卷："&amp;_xlfn.XLOOKUP(A23&amp;B23&amp;C23,盘货信息!$A:$A&amp;盘货信息!$B:$B&amp;盘货信息!$C:$C,盘货信息!$P:$P))</f>
        <v/>
      </c>
      <c r="N23" s="18" t="str">
        <f t="array" ref="N23">IF(AND(ISNUMBER(_xlfn.XLOOKUP(A23&amp;B23&amp;C23,盘货信息!$A:$A&amp;盘货信息!$B:$B&amp;盘货信息!$C:$C,盘货信息!$I:$I)),_xlfn.XLOOKUP(A23&amp;B23&amp;C23,盘货信息!$A:$A&amp;盘货信息!$B:$B&amp;盘货信息!$C:$C,盘货信息!$I:$I)&gt;1),"【88VIP】立减"&amp;_xlfn.XLOOKUP(A23&amp;B23&amp;C23,盘货信息!$A:$A&amp;盘货信息!$B:$B&amp;盘货信息!$C:$C,盘货信息!$I:$I)&amp;"元","")</f>
        <v/>
      </c>
      <c r="O23" s="18" t="str">
        <f t="array" ref="O23">IF(_xlfn.XLOOKUP(A23&amp;B23&amp;C23,盘货信息!$A:$A&amp;盘货信息!$B:$B&amp;盘货信息!$C:$C,盘货信息!$K:$K)="","",IF(AND(_xlfn.XLOOKUP(A23&amp;B23&amp;C23,盘货信息!$A:$A&amp;盘货信息!$B:$B&amp;盘货信息!$C:$C,盘货信息!$G:$G)="不参加",_xlfn.XLOOKUP(A23&amp;B23&amp;C23,盘货信息!$A:$A&amp;盘货信息!$B:$B&amp;盘货信息!$C:$C,盘货信息!$H:$H)=""),"【以旧换新】"&amp;_xlfn.XLOOKUP(A23&amp;B23&amp;C23,盘货信息!$A:$A&amp;盘货信息!$B:$B&amp;盘货信息!$C:$C,盘货信息!$K:$K)&amp;"元以旧换新补贴（可无旧机换新）",""))</f>
        <v/>
      </c>
      <c r="P23" s="18" t="str">
        <f t="array" ref="P23">_xlfn.XLOOKUP(A23&amp;B23&amp;C23,赠品!$A:$A&amp;赠品!$B:$B&amp;赠品!$C:$C,赠品!$D:$D)</f>
        <v/>
      </c>
      <c r="Q23" s="18" t="str">
        <f>IF($C23="","",IF(AND(M23="",N23="",P23=""),"",固定信息!$B$1))</f>
        <v/>
      </c>
      <c r="R23" s="18" t="str">
        <f t="array" ref="R23">IF(ISNUMBER(SEARCH("是",_xlfn.XLOOKUP(A23&amp;B23&amp;C23,盘货信息!$A:$A&amp;盘货信息!$B:$B&amp;盘货信息!$C:$C,盘货信息!$U:$U))),"【折扣】指定型号满2类享96折，满3类享94折","")</f>
        <v/>
      </c>
      <c r="S23" s="18" t="str">
        <f t="array" ref="S23">IF(_xlfn.XLOOKUP(A23&amp;B23&amp;C23,盘货信息!$A:$A&amp;盘货信息!$B:$B&amp;盘货信息!$C:$C,盘货信息!$Q:$Q)&lt;1,"","【红包】活动时间购机送"&amp;_xlfn.TEXTJOIN("",,IF(ISNUMBER(--MID(_xlfn.XLOOKUP(A23&amp;B23&amp;C23,盘货信息!$A:$A&amp;盘货信息!$B:$B&amp;盘货信息!$C:$C,盘货信息!$Q:$Q),_xlfn.SEQUENCE(LEN(_xlfn.XLOOKUP(A23&amp;B23&amp;C23,盘货信息!$A:$A&amp;盘货信息!$B:$B&amp;盘货信息!$C:$C,盘货信息!$Q:$Q))),1)),MID(_xlfn.XLOOKUP(A23&amp;B23&amp;C23,盘货信息!$A:$A&amp;盘货信息!$B:$B&amp;盘货信息!$C:$C,盘货信息!$Q:$Q),_xlfn.SEQUENCE(LEN(_xlfn.XLOOKUP(A23&amp;B23&amp;C23,盘货信息!$A:$A&amp;盘货信息!$B:$B&amp;盘货信息!$C:$C,盘货信息!$Q:$Q))),1),""))&amp;"元")</f>
        <v/>
      </c>
      <c r="T23" s="18" t="str">
        <f t="array" ref="T23">IF(ISNUMBER(SEARCH("是",_xlfn.XLOOKUP(A23&amp;B23&amp;C23,盘货信息!$A:$A&amp;盘货信息!$B:$B&amp;盘货信息!$C:$C,盘货信息!$T:$T))),"【瓜分】"&amp;固定信息!$B$7,"")</f>
        <v/>
      </c>
      <c r="U23" s="18" t="str">
        <f>IF($C23="","",IF(AND(R23="",S23="",T23=""),"",固定信息!$B$1))</f>
        <v/>
      </c>
      <c r="V23" s="18" t="str">
        <f t="array" ref="V23">IF(C23="","","【服务】"&amp;IF(_xlfn.XLOOKUP(A23&amp;B23&amp;C23,盘货信息!$A:$A&amp;盘货信息!$B:$B&amp;盘货信息!$C:$C,盘货信息!$V:$V)="","",_xlfn.XLOOKUP(A23&amp;B23&amp;C23,盘货信息!$A:$A&amp;盘货信息!$B:$B&amp;盘货信息!$C:$C,盘货信息!$V:$V)&amp;"免息,")&amp;IF(_xlfn.XLOOKUP(A23&amp;B23&amp;C23,盘货信息!$A:$A&amp;盘货信息!$B:$B&amp;盘货信息!$C:$C,盘货信息!$W:$W)="","",_xlfn.XLOOKUP(A23&amp;B23&amp;C23,盘货信息!$A:$A&amp;盘货信息!$B:$B&amp;盘货信息!$C:$C,盘货信息!$W:$W)&amp;"，")&amp;"送货入户，退换免运费")</f>
        <v/>
      </c>
    </row>
    <row r="24" customHeight="1" spans="1:22">
      <c r="A24" s="17" t="str">
        <f>IF(盘货信息!A24="","",盘货信息!A24)</f>
        <v/>
      </c>
      <c r="B24" s="20" t="str">
        <f>IF(盘货信息!B24="","",盘货信息!B24)</f>
        <v/>
      </c>
      <c r="C24" s="18" t="str">
        <f>IF(盘货信息!C24="","",盘货信息!C24)</f>
        <v/>
      </c>
      <c r="D24" s="18" t="str">
        <f ca="1" t="shared" si="0"/>
        <v/>
      </c>
      <c r="E24" s="18" t="str">
        <f>IF(C24="","",固定信息!$B$2)</f>
        <v/>
      </c>
      <c r="F24" s="18" t="str">
        <f t="array" ref="F24">IF(C24="","","【"&amp;C24&amp;"】"&amp;_xlfn.XLOOKUP(A24&amp;B24&amp;C24,盘货信息!$A:$A&amp;盘货信息!$B:$B&amp;盘货信息!$C:$C,盘货信息!$D:$D))</f>
        <v/>
      </c>
      <c r="G24" s="18" t="str">
        <f>IF(C24="","","【"&amp;"活动时间："&amp;固定信息!$B$3&amp;"】")</f>
        <v/>
      </c>
      <c r="H24" s="18" t="str">
        <f>IF($C24="","",固定信息!$B$1)</f>
        <v/>
      </c>
      <c r="I24" s="18"/>
      <c r="J24" s="18" t="str">
        <f t="array" ref="J24">_xlfn.XLOOKUP(A24&amp;B24&amp;C24,价格信息!$A:$A&amp;价格信息!$B:$B&amp;价格信息!$C:$C,价格信息!$D:$D)</f>
        <v/>
      </c>
      <c r="K24" s="31" t="str">
        <f t="array" ref="K24">IF(_xlfn.XLOOKUP(A24&amp;B24&amp;C24,价格信息!$A:$A&amp;价格信息!$B:$B&amp;价格信息!$C:$C,价格信息!$I:$I)="","","【优惠券链接】"&amp;固定信息!$B$6)</f>
        <v/>
      </c>
      <c r="L24" s="31" t="str">
        <f>IF($C24="","",固定信息!$B$1)</f>
        <v/>
      </c>
      <c r="M24" s="18" t="str">
        <f t="array" ref="M24">IF(_xlfn.XLOOKUP(A24&amp;B24&amp;C24,盘货信息!$A:$A&amp;盘货信息!$B:$B&amp;盘货信息!$C:$C,盘货信息!$O:$O)="","","【优惠券】领"&amp;INDEX(_wpsfn.REGEXP(_xlfn.XLOOKUP(A24&amp;B24&amp;C24,盘货信息!$A:$A&amp;盘货信息!$B:$B&amp;盘货信息!$C:$C,盘货信息!$O:$O),"\d+"),1,1)&amp;"元优惠券下单更优惠，优惠卷："&amp;_xlfn.XLOOKUP(A24&amp;B24&amp;C24,盘货信息!$A:$A&amp;盘货信息!$B:$B&amp;盘货信息!$C:$C,盘货信息!$P:$P))</f>
        <v/>
      </c>
      <c r="N24" s="18" t="str">
        <f t="array" ref="N24">IF(AND(ISNUMBER(_xlfn.XLOOKUP(A24&amp;B24&amp;C24,盘货信息!$A:$A&amp;盘货信息!$B:$B&amp;盘货信息!$C:$C,盘货信息!$I:$I)),_xlfn.XLOOKUP(A24&amp;B24&amp;C24,盘货信息!$A:$A&amp;盘货信息!$B:$B&amp;盘货信息!$C:$C,盘货信息!$I:$I)&gt;1),"【88VIP】立减"&amp;_xlfn.XLOOKUP(A24&amp;B24&amp;C24,盘货信息!$A:$A&amp;盘货信息!$B:$B&amp;盘货信息!$C:$C,盘货信息!$I:$I)&amp;"元","")</f>
        <v/>
      </c>
      <c r="O24" s="18" t="str">
        <f t="array" ref="O24">IF(_xlfn.XLOOKUP(A24&amp;B24&amp;C24,盘货信息!$A:$A&amp;盘货信息!$B:$B&amp;盘货信息!$C:$C,盘货信息!$K:$K)="","",IF(AND(_xlfn.XLOOKUP(A24&amp;B24&amp;C24,盘货信息!$A:$A&amp;盘货信息!$B:$B&amp;盘货信息!$C:$C,盘货信息!$G:$G)="不参加",_xlfn.XLOOKUP(A24&amp;B24&amp;C24,盘货信息!$A:$A&amp;盘货信息!$B:$B&amp;盘货信息!$C:$C,盘货信息!$H:$H)=""),"【以旧换新】"&amp;_xlfn.XLOOKUP(A24&amp;B24&amp;C24,盘货信息!$A:$A&amp;盘货信息!$B:$B&amp;盘货信息!$C:$C,盘货信息!$K:$K)&amp;"元以旧换新补贴（可无旧机换新）",""))</f>
        <v/>
      </c>
      <c r="P24" s="18" t="str">
        <f t="array" ref="P24">_xlfn.XLOOKUP(A24&amp;B24&amp;C24,赠品!$A:$A&amp;赠品!$B:$B&amp;赠品!$C:$C,赠品!$D:$D)</f>
        <v/>
      </c>
      <c r="Q24" s="18" t="str">
        <f>IF($C24="","",IF(AND(M24="",N24="",P24=""),"",固定信息!$B$1))</f>
        <v/>
      </c>
      <c r="R24" s="18" t="str">
        <f t="array" ref="R24">IF(ISNUMBER(SEARCH("是",_xlfn.XLOOKUP(A24&amp;B24&amp;C24,盘货信息!$A:$A&amp;盘货信息!$B:$B&amp;盘货信息!$C:$C,盘货信息!$U:$U))),"【折扣】指定型号满2类享96折，满3类享94折","")</f>
        <v/>
      </c>
      <c r="S24" s="18" t="str">
        <f t="array" ref="S24">IF(_xlfn.XLOOKUP(A24&amp;B24&amp;C24,盘货信息!$A:$A&amp;盘货信息!$B:$B&amp;盘货信息!$C:$C,盘货信息!$Q:$Q)&lt;1,"","【红包】活动时间购机送"&amp;_xlfn.TEXTJOIN("",,IF(ISNUMBER(--MID(_xlfn.XLOOKUP(A24&amp;B24&amp;C24,盘货信息!$A:$A&amp;盘货信息!$B:$B&amp;盘货信息!$C:$C,盘货信息!$Q:$Q),_xlfn.SEQUENCE(LEN(_xlfn.XLOOKUP(A24&amp;B24&amp;C24,盘货信息!$A:$A&amp;盘货信息!$B:$B&amp;盘货信息!$C:$C,盘货信息!$Q:$Q))),1)),MID(_xlfn.XLOOKUP(A24&amp;B24&amp;C24,盘货信息!$A:$A&amp;盘货信息!$B:$B&amp;盘货信息!$C:$C,盘货信息!$Q:$Q),_xlfn.SEQUENCE(LEN(_xlfn.XLOOKUP(A24&amp;B24&amp;C24,盘货信息!$A:$A&amp;盘货信息!$B:$B&amp;盘货信息!$C:$C,盘货信息!$Q:$Q))),1),""))&amp;"元")</f>
        <v/>
      </c>
      <c r="T24" s="18" t="str">
        <f t="array" ref="T24">IF(ISNUMBER(SEARCH("是",_xlfn.XLOOKUP(A24&amp;B24&amp;C24,盘货信息!$A:$A&amp;盘货信息!$B:$B&amp;盘货信息!$C:$C,盘货信息!$T:$T))),"【瓜分】"&amp;固定信息!$B$7,"")</f>
        <v/>
      </c>
      <c r="U24" s="18" t="str">
        <f>IF($C24="","",IF(AND(R24="",S24="",T24=""),"",固定信息!$B$1))</f>
        <v/>
      </c>
      <c r="V24" s="18" t="str">
        <f t="array" ref="V24">IF(C24="","","【服务】"&amp;IF(_xlfn.XLOOKUP(A24&amp;B24&amp;C24,盘货信息!$A:$A&amp;盘货信息!$B:$B&amp;盘货信息!$C:$C,盘货信息!$V:$V)="","",_xlfn.XLOOKUP(A24&amp;B24&amp;C24,盘货信息!$A:$A&amp;盘货信息!$B:$B&amp;盘货信息!$C:$C,盘货信息!$V:$V)&amp;"免息,")&amp;IF(_xlfn.XLOOKUP(A24&amp;B24&amp;C24,盘货信息!$A:$A&amp;盘货信息!$B:$B&amp;盘货信息!$C:$C,盘货信息!$W:$W)="","",_xlfn.XLOOKUP(A24&amp;B24&amp;C24,盘货信息!$A:$A&amp;盘货信息!$B:$B&amp;盘货信息!$C:$C,盘货信息!$W:$W)&amp;"，")&amp;"送货入户，退换免运费")</f>
        <v/>
      </c>
    </row>
    <row r="25" customHeight="1" spans="1:22">
      <c r="A25" s="17" t="str">
        <f>IF(盘货信息!A25="","",盘货信息!A25)</f>
        <v/>
      </c>
      <c r="B25" s="20" t="str">
        <f>IF(盘货信息!B25="","",盘货信息!B25)</f>
        <v/>
      </c>
      <c r="C25" s="18" t="str">
        <f>IF(盘货信息!C25="","",盘货信息!C25)</f>
        <v/>
      </c>
      <c r="D25" s="18" t="str">
        <f ca="1" t="shared" si="0"/>
        <v/>
      </c>
      <c r="E25" s="18" t="str">
        <f>IF(C25="","",固定信息!$B$2)</f>
        <v/>
      </c>
      <c r="F25" s="18" t="str">
        <f t="array" ref="F25">IF(C25="","","【"&amp;C25&amp;"】"&amp;_xlfn.XLOOKUP(A25&amp;B25&amp;C25,盘货信息!$A:$A&amp;盘货信息!$B:$B&amp;盘货信息!$C:$C,盘货信息!$D:$D))</f>
        <v/>
      </c>
      <c r="G25" s="18" t="str">
        <f>IF(C25="","","【"&amp;"活动时间："&amp;固定信息!$B$3&amp;"】")</f>
        <v/>
      </c>
      <c r="H25" s="18" t="str">
        <f>IF($C25="","",固定信息!$B$1)</f>
        <v/>
      </c>
      <c r="I25" s="18"/>
      <c r="J25" s="18" t="str">
        <f t="array" ref="J25">_xlfn.XLOOKUP(A25&amp;B25&amp;C25,价格信息!$A:$A&amp;价格信息!$B:$B&amp;价格信息!$C:$C,价格信息!$D:$D)</f>
        <v/>
      </c>
      <c r="K25" s="31" t="str">
        <f t="array" ref="K25">IF(_xlfn.XLOOKUP(A25&amp;B25&amp;C25,价格信息!$A:$A&amp;价格信息!$B:$B&amp;价格信息!$C:$C,价格信息!$I:$I)="","","【优惠券链接】"&amp;固定信息!$B$6)</f>
        <v/>
      </c>
      <c r="L25" s="31" t="str">
        <f>IF($C25="","",固定信息!$B$1)</f>
        <v/>
      </c>
      <c r="M25" s="18" t="str">
        <f t="array" ref="M25">IF(_xlfn.XLOOKUP(A25&amp;B25&amp;C25,盘货信息!$A:$A&amp;盘货信息!$B:$B&amp;盘货信息!$C:$C,盘货信息!$O:$O)="","","【优惠券】领"&amp;INDEX(_wpsfn.REGEXP(_xlfn.XLOOKUP(A25&amp;B25&amp;C25,盘货信息!$A:$A&amp;盘货信息!$B:$B&amp;盘货信息!$C:$C,盘货信息!$O:$O),"\d+"),1,1)&amp;"元优惠券下单更优惠，优惠卷："&amp;_xlfn.XLOOKUP(A25&amp;B25&amp;C25,盘货信息!$A:$A&amp;盘货信息!$B:$B&amp;盘货信息!$C:$C,盘货信息!$P:$P))</f>
        <v/>
      </c>
      <c r="N25" s="18" t="str">
        <f t="array" ref="N25">IF(AND(ISNUMBER(_xlfn.XLOOKUP(A25&amp;B25&amp;C25,盘货信息!$A:$A&amp;盘货信息!$B:$B&amp;盘货信息!$C:$C,盘货信息!$I:$I)),_xlfn.XLOOKUP(A25&amp;B25&amp;C25,盘货信息!$A:$A&amp;盘货信息!$B:$B&amp;盘货信息!$C:$C,盘货信息!$I:$I)&gt;1),"【88VIP】立减"&amp;_xlfn.XLOOKUP(A25&amp;B25&amp;C25,盘货信息!$A:$A&amp;盘货信息!$B:$B&amp;盘货信息!$C:$C,盘货信息!$I:$I)&amp;"元","")</f>
        <v/>
      </c>
      <c r="O25" s="18" t="str">
        <f t="array" ref="O25">IF(_xlfn.XLOOKUP(A25&amp;B25&amp;C25,盘货信息!$A:$A&amp;盘货信息!$B:$B&amp;盘货信息!$C:$C,盘货信息!$K:$K)="","",IF(AND(_xlfn.XLOOKUP(A25&amp;B25&amp;C25,盘货信息!$A:$A&amp;盘货信息!$B:$B&amp;盘货信息!$C:$C,盘货信息!$G:$G)="不参加",_xlfn.XLOOKUP(A25&amp;B25&amp;C25,盘货信息!$A:$A&amp;盘货信息!$B:$B&amp;盘货信息!$C:$C,盘货信息!$H:$H)=""),"【以旧换新】"&amp;_xlfn.XLOOKUP(A25&amp;B25&amp;C25,盘货信息!$A:$A&amp;盘货信息!$B:$B&amp;盘货信息!$C:$C,盘货信息!$K:$K)&amp;"元以旧换新补贴（可无旧机换新）",""))</f>
        <v/>
      </c>
      <c r="P25" s="18" t="str">
        <f t="array" ref="P25">_xlfn.XLOOKUP(A25&amp;B25&amp;C25,赠品!$A:$A&amp;赠品!$B:$B&amp;赠品!$C:$C,赠品!$D:$D)</f>
        <v/>
      </c>
      <c r="Q25" s="18" t="str">
        <f>IF($C25="","",IF(AND(M25="",N25="",P25=""),"",固定信息!$B$1))</f>
        <v/>
      </c>
      <c r="R25" s="18" t="str">
        <f t="array" ref="R25">IF(ISNUMBER(SEARCH("是",_xlfn.XLOOKUP(A25&amp;B25&amp;C25,盘货信息!$A:$A&amp;盘货信息!$B:$B&amp;盘货信息!$C:$C,盘货信息!$U:$U))),"【折扣】指定型号满2类享96折，满3类享94折","")</f>
        <v/>
      </c>
      <c r="S25" s="18" t="str">
        <f t="array" ref="S25">IF(_xlfn.XLOOKUP(A25&amp;B25&amp;C25,盘货信息!$A:$A&amp;盘货信息!$B:$B&amp;盘货信息!$C:$C,盘货信息!$Q:$Q)&lt;1,"","【红包】活动时间购机送"&amp;_xlfn.TEXTJOIN("",,IF(ISNUMBER(--MID(_xlfn.XLOOKUP(A25&amp;B25&amp;C25,盘货信息!$A:$A&amp;盘货信息!$B:$B&amp;盘货信息!$C:$C,盘货信息!$Q:$Q),_xlfn.SEQUENCE(LEN(_xlfn.XLOOKUP(A25&amp;B25&amp;C25,盘货信息!$A:$A&amp;盘货信息!$B:$B&amp;盘货信息!$C:$C,盘货信息!$Q:$Q))),1)),MID(_xlfn.XLOOKUP(A25&amp;B25&amp;C25,盘货信息!$A:$A&amp;盘货信息!$B:$B&amp;盘货信息!$C:$C,盘货信息!$Q:$Q),_xlfn.SEQUENCE(LEN(_xlfn.XLOOKUP(A25&amp;B25&amp;C25,盘货信息!$A:$A&amp;盘货信息!$B:$B&amp;盘货信息!$C:$C,盘货信息!$Q:$Q))),1),""))&amp;"元")</f>
        <v/>
      </c>
      <c r="T25" s="18" t="str">
        <f t="array" ref="T25">IF(ISNUMBER(SEARCH("是",_xlfn.XLOOKUP(A25&amp;B25&amp;C25,盘货信息!$A:$A&amp;盘货信息!$B:$B&amp;盘货信息!$C:$C,盘货信息!$T:$T))),"【瓜分】"&amp;固定信息!$B$7,"")</f>
        <v/>
      </c>
      <c r="U25" s="18" t="str">
        <f>IF($C25="","",IF(AND(R25="",S25="",T25=""),"",固定信息!$B$1))</f>
        <v/>
      </c>
      <c r="V25" s="18" t="str">
        <f t="array" ref="V25">IF(C25="","","【服务】"&amp;IF(_xlfn.XLOOKUP(A25&amp;B25&amp;C25,盘货信息!$A:$A&amp;盘货信息!$B:$B&amp;盘货信息!$C:$C,盘货信息!$V:$V)="","",_xlfn.XLOOKUP(A25&amp;B25&amp;C25,盘货信息!$A:$A&amp;盘货信息!$B:$B&amp;盘货信息!$C:$C,盘货信息!$V:$V)&amp;"免息,")&amp;IF(_xlfn.XLOOKUP(A25&amp;B25&amp;C25,盘货信息!$A:$A&amp;盘货信息!$B:$B&amp;盘货信息!$C:$C,盘货信息!$W:$W)="","",_xlfn.XLOOKUP(A25&amp;B25&amp;C25,盘货信息!$A:$A&amp;盘货信息!$B:$B&amp;盘货信息!$C:$C,盘货信息!$W:$W)&amp;"，")&amp;"送货入户，退换免运费")</f>
        <v/>
      </c>
    </row>
    <row r="26" customHeight="1" spans="1:22">
      <c r="A26" s="17" t="str">
        <f>IF(盘货信息!A26="","",盘货信息!A26)</f>
        <v/>
      </c>
      <c r="B26" s="20" t="str">
        <f>IF(盘货信息!B26="","",盘货信息!B26)</f>
        <v/>
      </c>
      <c r="C26" s="18" t="str">
        <f>IF(盘货信息!C26="","",盘货信息!C26)</f>
        <v/>
      </c>
      <c r="D26" s="18" t="str">
        <f ca="1" t="shared" si="0"/>
        <v/>
      </c>
      <c r="E26" s="18" t="str">
        <f>IF(C26="","",固定信息!$B$2)</f>
        <v/>
      </c>
      <c r="F26" s="18" t="str">
        <f t="array" ref="F26">IF(C26="","","【"&amp;C26&amp;"】"&amp;_xlfn.XLOOKUP(A26&amp;B26&amp;C26,盘货信息!$A:$A&amp;盘货信息!$B:$B&amp;盘货信息!$C:$C,盘货信息!$D:$D))</f>
        <v/>
      </c>
      <c r="G26" s="18" t="str">
        <f>IF(C26="","","【"&amp;"活动时间："&amp;固定信息!$B$3&amp;"】")</f>
        <v/>
      </c>
      <c r="H26" s="18" t="str">
        <f>IF($C26="","",固定信息!$B$1)</f>
        <v/>
      </c>
      <c r="I26" s="18"/>
      <c r="J26" s="18" t="str">
        <f t="array" ref="J26">_xlfn.XLOOKUP(A26&amp;B26&amp;C26,价格信息!$A:$A&amp;价格信息!$B:$B&amp;价格信息!$C:$C,价格信息!$D:$D)</f>
        <v/>
      </c>
      <c r="K26" s="31" t="str">
        <f t="array" ref="K26">IF(_xlfn.XLOOKUP(A26&amp;B26&amp;C26,价格信息!$A:$A&amp;价格信息!$B:$B&amp;价格信息!$C:$C,价格信息!$I:$I)="","","【优惠券链接】"&amp;固定信息!$B$6)</f>
        <v/>
      </c>
      <c r="L26" s="31" t="str">
        <f>IF($C26="","",固定信息!$B$1)</f>
        <v/>
      </c>
      <c r="M26" s="18" t="str">
        <f t="array" ref="M26">IF(_xlfn.XLOOKUP(A26&amp;B26&amp;C26,盘货信息!$A:$A&amp;盘货信息!$B:$B&amp;盘货信息!$C:$C,盘货信息!$O:$O)="","","【优惠券】领"&amp;INDEX(_wpsfn.REGEXP(_xlfn.XLOOKUP(A26&amp;B26&amp;C26,盘货信息!$A:$A&amp;盘货信息!$B:$B&amp;盘货信息!$C:$C,盘货信息!$O:$O),"\d+"),1,1)&amp;"元优惠券下单更优惠，优惠卷："&amp;_xlfn.XLOOKUP(A26&amp;B26&amp;C26,盘货信息!$A:$A&amp;盘货信息!$B:$B&amp;盘货信息!$C:$C,盘货信息!$P:$P))</f>
        <v/>
      </c>
      <c r="N26" s="18" t="str">
        <f t="array" ref="N26">IF(AND(ISNUMBER(_xlfn.XLOOKUP(A26&amp;B26&amp;C26,盘货信息!$A:$A&amp;盘货信息!$B:$B&amp;盘货信息!$C:$C,盘货信息!$I:$I)),_xlfn.XLOOKUP(A26&amp;B26&amp;C26,盘货信息!$A:$A&amp;盘货信息!$B:$B&amp;盘货信息!$C:$C,盘货信息!$I:$I)&gt;1),"【88VIP】立减"&amp;_xlfn.XLOOKUP(A26&amp;B26&amp;C26,盘货信息!$A:$A&amp;盘货信息!$B:$B&amp;盘货信息!$C:$C,盘货信息!$I:$I)&amp;"元","")</f>
        <v/>
      </c>
      <c r="O26" s="18" t="str">
        <f t="array" ref="O26">IF(_xlfn.XLOOKUP(A26&amp;B26&amp;C26,盘货信息!$A:$A&amp;盘货信息!$B:$B&amp;盘货信息!$C:$C,盘货信息!$K:$K)="","",IF(AND(_xlfn.XLOOKUP(A26&amp;B26&amp;C26,盘货信息!$A:$A&amp;盘货信息!$B:$B&amp;盘货信息!$C:$C,盘货信息!$G:$G)="不参加",_xlfn.XLOOKUP(A26&amp;B26&amp;C26,盘货信息!$A:$A&amp;盘货信息!$B:$B&amp;盘货信息!$C:$C,盘货信息!$H:$H)=""),"【以旧换新】"&amp;_xlfn.XLOOKUP(A26&amp;B26&amp;C26,盘货信息!$A:$A&amp;盘货信息!$B:$B&amp;盘货信息!$C:$C,盘货信息!$K:$K)&amp;"元以旧换新补贴（可无旧机换新）",""))</f>
        <v/>
      </c>
      <c r="P26" s="18" t="str">
        <f t="array" ref="P26">_xlfn.XLOOKUP(A26&amp;B26&amp;C26,赠品!$A:$A&amp;赠品!$B:$B&amp;赠品!$C:$C,赠品!$D:$D)</f>
        <v/>
      </c>
      <c r="Q26" s="18" t="str">
        <f>IF($C26="","",IF(AND(M26="",N26="",P26=""),"",固定信息!$B$1))</f>
        <v/>
      </c>
      <c r="R26" s="18" t="str">
        <f t="array" ref="R26">IF(ISNUMBER(SEARCH("是",_xlfn.XLOOKUP(A26&amp;B26&amp;C26,盘货信息!$A:$A&amp;盘货信息!$B:$B&amp;盘货信息!$C:$C,盘货信息!$U:$U))),"【折扣】指定型号满2类享96折，满3类享94折","")</f>
        <v/>
      </c>
      <c r="S26" s="18" t="str">
        <f t="array" ref="S26">IF(_xlfn.XLOOKUP(A26&amp;B26&amp;C26,盘货信息!$A:$A&amp;盘货信息!$B:$B&amp;盘货信息!$C:$C,盘货信息!$Q:$Q)&lt;1,"","【红包】活动时间购机送"&amp;_xlfn.TEXTJOIN("",,IF(ISNUMBER(--MID(_xlfn.XLOOKUP(A26&amp;B26&amp;C26,盘货信息!$A:$A&amp;盘货信息!$B:$B&amp;盘货信息!$C:$C,盘货信息!$Q:$Q),_xlfn.SEQUENCE(LEN(_xlfn.XLOOKUP(A26&amp;B26&amp;C26,盘货信息!$A:$A&amp;盘货信息!$B:$B&amp;盘货信息!$C:$C,盘货信息!$Q:$Q))),1)),MID(_xlfn.XLOOKUP(A26&amp;B26&amp;C26,盘货信息!$A:$A&amp;盘货信息!$B:$B&amp;盘货信息!$C:$C,盘货信息!$Q:$Q),_xlfn.SEQUENCE(LEN(_xlfn.XLOOKUP(A26&amp;B26&amp;C26,盘货信息!$A:$A&amp;盘货信息!$B:$B&amp;盘货信息!$C:$C,盘货信息!$Q:$Q))),1),""))&amp;"元")</f>
        <v/>
      </c>
      <c r="T26" s="18" t="str">
        <f t="array" ref="T26">IF(ISNUMBER(SEARCH("是",_xlfn.XLOOKUP(A26&amp;B26&amp;C26,盘货信息!$A:$A&amp;盘货信息!$B:$B&amp;盘货信息!$C:$C,盘货信息!$T:$T))),"【瓜分】"&amp;固定信息!$B$7,"")</f>
        <v/>
      </c>
      <c r="U26" s="18" t="str">
        <f>IF($C26="","",IF(AND(R26="",S26="",T26=""),"",固定信息!$B$1))</f>
        <v/>
      </c>
      <c r="V26" s="18" t="str">
        <f t="array" ref="V26">IF(C26="","","【服务】"&amp;IF(_xlfn.XLOOKUP(A26&amp;B26&amp;C26,盘货信息!$A:$A&amp;盘货信息!$B:$B&amp;盘货信息!$C:$C,盘货信息!$V:$V)="","",_xlfn.XLOOKUP(A26&amp;B26&amp;C26,盘货信息!$A:$A&amp;盘货信息!$B:$B&amp;盘货信息!$C:$C,盘货信息!$V:$V)&amp;"免息,")&amp;IF(_xlfn.XLOOKUP(A26&amp;B26&amp;C26,盘货信息!$A:$A&amp;盘货信息!$B:$B&amp;盘货信息!$C:$C,盘货信息!$W:$W)="","",_xlfn.XLOOKUP(A26&amp;B26&amp;C26,盘货信息!$A:$A&amp;盘货信息!$B:$B&amp;盘货信息!$C:$C,盘货信息!$W:$W)&amp;"，")&amp;"送货入户，退换免运费")</f>
        <v/>
      </c>
    </row>
    <row r="27" customHeight="1" spans="1:22">
      <c r="A27" s="17" t="str">
        <f>IF(盘货信息!A27="","",盘货信息!A27)</f>
        <v/>
      </c>
      <c r="B27" s="20" t="str">
        <f>IF(盘货信息!B27="","",盘货信息!B27)</f>
        <v/>
      </c>
      <c r="C27" s="18" t="str">
        <f>IF(盘货信息!C27="","",盘货信息!C27)</f>
        <v/>
      </c>
      <c r="D27" s="18" t="str">
        <f ca="1" t="shared" si="0"/>
        <v/>
      </c>
      <c r="E27" s="18" t="str">
        <f>IF(C27="","",固定信息!$B$2)</f>
        <v/>
      </c>
      <c r="F27" s="18" t="str">
        <f t="array" ref="F27">IF(C27="","","【"&amp;C27&amp;"】"&amp;_xlfn.XLOOKUP(A27&amp;B27&amp;C27,盘货信息!$A:$A&amp;盘货信息!$B:$B&amp;盘货信息!$C:$C,盘货信息!$D:$D))</f>
        <v/>
      </c>
      <c r="G27" s="18" t="str">
        <f>IF(C27="","","【"&amp;"活动时间："&amp;固定信息!$B$3&amp;"】")</f>
        <v/>
      </c>
      <c r="H27" s="18" t="str">
        <f>IF($C27="","",固定信息!$B$1)</f>
        <v/>
      </c>
      <c r="I27" s="18"/>
      <c r="J27" s="18" t="str">
        <f t="array" ref="J27">_xlfn.XLOOKUP(A27&amp;B27&amp;C27,价格信息!$A:$A&amp;价格信息!$B:$B&amp;价格信息!$C:$C,价格信息!$D:$D)</f>
        <v/>
      </c>
      <c r="K27" s="31" t="str">
        <f t="array" ref="K27">IF(_xlfn.XLOOKUP(A27&amp;B27&amp;C27,价格信息!$A:$A&amp;价格信息!$B:$B&amp;价格信息!$C:$C,价格信息!$I:$I)="","","【优惠券链接】"&amp;固定信息!$B$6)</f>
        <v/>
      </c>
      <c r="L27" s="31" t="str">
        <f>IF($C27="","",固定信息!$B$1)</f>
        <v/>
      </c>
      <c r="M27" s="18" t="str">
        <f t="array" ref="M27">IF(_xlfn.XLOOKUP(A27&amp;B27&amp;C27,盘货信息!$A:$A&amp;盘货信息!$B:$B&amp;盘货信息!$C:$C,盘货信息!$O:$O)="","","【优惠券】领"&amp;INDEX(_wpsfn.REGEXP(_xlfn.XLOOKUP(A27&amp;B27&amp;C27,盘货信息!$A:$A&amp;盘货信息!$B:$B&amp;盘货信息!$C:$C,盘货信息!$O:$O),"\d+"),1,1)&amp;"元优惠券下单更优惠，优惠卷："&amp;_xlfn.XLOOKUP(A27&amp;B27&amp;C27,盘货信息!$A:$A&amp;盘货信息!$B:$B&amp;盘货信息!$C:$C,盘货信息!$P:$P))</f>
        <v/>
      </c>
      <c r="N27" s="18" t="str">
        <f t="array" ref="N27">IF(AND(ISNUMBER(_xlfn.XLOOKUP(A27&amp;B27&amp;C27,盘货信息!$A:$A&amp;盘货信息!$B:$B&amp;盘货信息!$C:$C,盘货信息!$I:$I)),_xlfn.XLOOKUP(A27&amp;B27&amp;C27,盘货信息!$A:$A&amp;盘货信息!$B:$B&amp;盘货信息!$C:$C,盘货信息!$I:$I)&gt;1),"【88VIP】立减"&amp;_xlfn.XLOOKUP(A27&amp;B27&amp;C27,盘货信息!$A:$A&amp;盘货信息!$B:$B&amp;盘货信息!$C:$C,盘货信息!$I:$I)&amp;"元","")</f>
        <v/>
      </c>
      <c r="O27" s="18" t="str">
        <f t="array" ref="O27">IF(_xlfn.XLOOKUP(A27&amp;B27&amp;C27,盘货信息!$A:$A&amp;盘货信息!$B:$B&amp;盘货信息!$C:$C,盘货信息!$K:$K)="","",IF(AND(_xlfn.XLOOKUP(A27&amp;B27&amp;C27,盘货信息!$A:$A&amp;盘货信息!$B:$B&amp;盘货信息!$C:$C,盘货信息!$G:$G)="不参加",_xlfn.XLOOKUP(A27&amp;B27&amp;C27,盘货信息!$A:$A&amp;盘货信息!$B:$B&amp;盘货信息!$C:$C,盘货信息!$H:$H)=""),"【以旧换新】"&amp;_xlfn.XLOOKUP(A27&amp;B27&amp;C27,盘货信息!$A:$A&amp;盘货信息!$B:$B&amp;盘货信息!$C:$C,盘货信息!$K:$K)&amp;"元以旧换新补贴（可无旧机换新）",""))</f>
        <v/>
      </c>
      <c r="P27" s="18" t="str">
        <f t="array" ref="P27">_xlfn.XLOOKUP(A27&amp;B27&amp;C27,赠品!$A:$A&amp;赠品!$B:$B&amp;赠品!$C:$C,赠品!$D:$D)</f>
        <v/>
      </c>
      <c r="Q27" s="18" t="str">
        <f>IF($C27="","",IF(AND(M27="",N27="",P27=""),"",固定信息!$B$1))</f>
        <v/>
      </c>
      <c r="R27" s="18" t="str">
        <f t="array" ref="R27">IF(ISNUMBER(SEARCH("是",_xlfn.XLOOKUP(A27&amp;B27&amp;C27,盘货信息!$A:$A&amp;盘货信息!$B:$B&amp;盘货信息!$C:$C,盘货信息!$U:$U))),"【折扣】指定型号满2类享96折，满3类享94折","")</f>
        <v/>
      </c>
      <c r="S27" s="18" t="str">
        <f t="array" ref="S27">IF(_xlfn.XLOOKUP(A27&amp;B27&amp;C27,盘货信息!$A:$A&amp;盘货信息!$B:$B&amp;盘货信息!$C:$C,盘货信息!$Q:$Q)&lt;1,"","【红包】活动时间购机送"&amp;_xlfn.TEXTJOIN("",,IF(ISNUMBER(--MID(_xlfn.XLOOKUP(A27&amp;B27&amp;C27,盘货信息!$A:$A&amp;盘货信息!$B:$B&amp;盘货信息!$C:$C,盘货信息!$Q:$Q),_xlfn.SEQUENCE(LEN(_xlfn.XLOOKUP(A27&amp;B27&amp;C27,盘货信息!$A:$A&amp;盘货信息!$B:$B&amp;盘货信息!$C:$C,盘货信息!$Q:$Q))),1)),MID(_xlfn.XLOOKUP(A27&amp;B27&amp;C27,盘货信息!$A:$A&amp;盘货信息!$B:$B&amp;盘货信息!$C:$C,盘货信息!$Q:$Q),_xlfn.SEQUENCE(LEN(_xlfn.XLOOKUP(A27&amp;B27&amp;C27,盘货信息!$A:$A&amp;盘货信息!$B:$B&amp;盘货信息!$C:$C,盘货信息!$Q:$Q))),1),""))&amp;"元")</f>
        <v/>
      </c>
      <c r="T27" s="18" t="str">
        <f t="array" ref="T27">IF(ISNUMBER(SEARCH("是",_xlfn.XLOOKUP(A27&amp;B27&amp;C27,盘货信息!$A:$A&amp;盘货信息!$B:$B&amp;盘货信息!$C:$C,盘货信息!$T:$T))),"【瓜分】"&amp;固定信息!$B$7,"")</f>
        <v/>
      </c>
      <c r="U27" s="18" t="str">
        <f>IF($C27="","",IF(AND(R27="",S27="",T27=""),"",固定信息!$B$1))</f>
        <v/>
      </c>
      <c r="V27" s="18" t="str">
        <f t="array" ref="V27">IF(C27="","","【服务】"&amp;IF(_xlfn.XLOOKUP(A27&amp;B27&amp;C27,盘货信息!$A:$A&amp;盘货信息!$B:$B&amp;盘货信息!$C:$C,盘货信息!$V:$V)="","",_xlfn.XLOOKUP(A27&amp;B27&amp;C27,盘货信息!$A:$A&amp;盘货信息!$B:$B&amp;盘货信息!$C:$C,盘货信息!$V:$V)&amp;"免息,")&amp;IF(_xlfn.XLOOKUP(A27&amp;B27&amp;C27,盘货信息!$A:$A&amp;盘货信息!$B:$B&amp;盘货信息!$C:$C,盘货信息!$W:$W)="","",_xlfn.XLOOKUP(A27&amp;B27&amp;C27,盘货信息!$A:$A&amp;盘货信息!$B:$B&amp;盘货信息!$C:$C,盘货信息!$W:$W)&amp;"，")&amp;"送货入户，退换免运费")</f>
        <v/>
      </c>
    </row>
    <row r="28" customHeight="1" spans="1:22">
      <c r="A28" s="17" t="str">
        <f>IF(盘货信息!A28="","",盘货信息!A28)</f>
        <v/>
      </c>
      <c r="B28" s="20" t="str">
        <f>IF(盘货信息!B28="","",盘货信息!B28)</f>
        <v/>
      </c>
      <c r="C28" s="18" t="str">
        <f>IF(盘货信息!C28="","",盘货信息!C28)</f>
        <v/>
      </c>
      <c r="D28" s="18" t="str">
        <f ca="1" t="shared" si="0"/>
        <v/>
      </c>
      <c r="E28" s="18" t="str">
        <f>IF(C28="","",固定信息!$B$2)</f>
        <v/>
      </c>
      <c r="F28" s="18" t="str">
        <f t="array" ref="F28">IF(C28="","","【"&amp;C28&amp;"】"&amp;_xlfn.XLOOKUP(A28&amp;B28&amp;C28,盘货信息!$A:$A&amp;盘货信息!$B:$B&amp;盘货信息!$C:$C,盘货信息!$D:$D))</f>
        <v/>
      </c>
      <c r="G28" s="18" t="str">
        <f>IF(C28="","","【"&amp;"活动时间："&amp;固定信息!$B$3&amp;"】")</f>
        <v/>
      </c>
      <c r="H28" s="18" t="str">
        <f>IF($C28="","",固定信息!$B$1)</f>
        <v/>
      </c>
      <c r="I28" s="18"/>
      <c r="J28" s="18" t="str">
        <f t="array" ref="J28">_xlfn.XLOOKUP(A28&amp;B28&amp;C28,价格信息!$A:$A&amp;价格信息!$B:$B&amp;价格信息!$C:$C,价格信息!$D:$D)</f>
        <v/>
      </c>
      <c r="K28" s="31" t="str">
        <f t="array" ref="K28">IF(_xlfn.XLOOKUP(A28&amp;B28&amp;C28,价格信息!$A:$A&amp;价格信息!$B:$B&amp;价格信息!$C:$C,价格信息!$I:$I)="","","【优惠券链接】"&amp;固定信息!$B$6)</f>
        <v/>
      </c>
      <c r="L28" s="31" t="str">
        <f>IF($C28="","",固定信息!$B$1)</f>
        <v/>
      </c>
      <c r="M28" s="18" t="str">
        <f t="array" ref="M28">IF(_xlfn.XLOOKUP(A28&amp;B28&amp;C28,盘货信息!$A:$A&amp;盘货信息!$B:$B&amp;盘货信息!$C:$C,盘货信息!$O:$O)="","","【优惠券】领"&amp;INDEX(_wpsfn.REGEXP(_xlfn.XLOOKUP(A28&amp;B28&amp;C28,盘货信息!$A:$A&amp;盘货信息!$B:$B&amp;盘货信息!$C:$C,盘货信息!$O:$O),"\d+"),1,1)&amp;"元优惠券下单更优惠，优惠卷："&amp;_xlfn.XLOOKUP(A28&amp;B28&amp;C28,盘货信息!$A:$A&amp;盘货信息!$B:$B&amp;盘货信息!$C:$C,盘货信息!$P:$P))</f>
        <v/>
      </c>
      <c r="N28" s="18" t="str">
        <f t="array" ref="N28">IF(AND(ISNUMBER(_xlfn.XLOOKUP(A28&amp;B28&amp;C28,盘货信息!$A:$A&amp;盘货信息!$B:$B&amp;盘货信息!$C:$C,盘货信息!$I:$I)),_xlfn.XLOOKUP(A28&amp;B28&amp;C28,盘货信息!$A:$A&amp;盘货信息!$B:$B&amp;盘货信息!$C:$C,盘货信息!$I:$I)&gt;1),"【88VIP】立减"&amp;_xlfn.XLOOKUP(A28&amp;B28&amp;C28,盘货信息!$A:$A&amp;盘货信息!$B:$B&amp;盘货信息!$C:$C,盘货信息!$I:$I)&amp;"元","")</f>
        <v/>
      </c>
      <c r="O28" s="18" t="str">
        <f t="array" ref="O28">IF(_xlfn.XLOOKUP(A28&amp;B28&amp;C28,盘货信息!$A:$A&amp;盘货信息!$B:$B&amp;盘货信息!$C:$C,盘货信息!$K:$K)="","",IF(AND(_xlfn.XLOOKUP(A28&amp;B28&amp;C28,盘货信息!$A:$A&amp;盘货信息!$B:$B&amp;盘货信息!$C:$C,盘货信息!$G:$G)="不参加",_xlfn.XLOOKUP(A28&amp;B28&amp;C28,盘货信息!$A:$A&amp;盘货信息!$B:$B&amp;盘货信息!$C:$C,盘货信息!$H:$H)=""),"【以旧换新】"&amp;_xlfn.XLOOKUP(A28&amp;B28&amp;C28,盘货信息!$A:$A&amp;盘货信息!$B:$B&amp;盘货信息!$C:$C,盘货信息!$K:$K)&amp;"元以旧换新补贴（可无旧机换新）",""))</f>
        <v/>
      </c>
      <c r="P28" s="18" t="str">
        <f t="array" ref="P28">_xlfn.XLOOKUP(A28&amp;B28&amp;C28,赠品!$A:$A&amp;赠品!$B:$B&amp;赠品!$C:$C,赠品!$D:$D)</f>
        <v/>
      </c>
      <c r="Q28" s="18" t="str">
        <f>IF($C28="","",IF(AND(M28="",N28="",P28=""),"",固定信息!$B$1))</f>
        <v/>
      </c>
      <c r="R28" s="18" t="str">
        <f t="array" ref="R28">IF(ISNUMBER(SEARCH("是",_xlfn.XLOOKUP(A28&amp;B28&amp;C28,盘货信息!$A:$A&amp;盘货信息!$B:$B&amp;盘货信息!$C:$C,盘货信息!$U:$U))),"【折扣】指定型号满2类享96折，满3类享94折","")</f>
        <v/>
      </c>
      <c r="S28" s="18" t="str">
        <f t="array" ref="S28">IF(_xlfn.XLOOKUP(A28&amp;B28&amp;C28,盘货信息!$A:$A&amp;盘货信息!$B:$B&amp;盘货信息!$C:$C,盘货信息!$Q:$Q)&lt;1,"","【红包】活动时间购机送"&amp;_xlfn.TEXTJOIN("",,IF(ISNUMBER(--MID(_xlfn.XLOOKUP(A28&amp;B28&amp;C28,盘货信息!$A:$A&amp;盘货信息!$B:$B&amp;盘货信息!$C:$C,盘货信息!$Q:$Q),_xlfn.SEQUENCE(LEN(_xlfn.XLOOKUP(A28&amp;B28&amp;C28,盘货信息!$A:$A&amp;盘货信息!$B:$B&amp;盘货信息!$C:$C,盘货信息!$Q:$Q))),1)),MID(_xlfn.XLOOKUP(A28&amp;B28&amp;C28,盘货信息!$A:$A&amp;盘货信息!$B:$B&amp;盘货信息!$C:$C,盘货信息!$Q:$Q),_xlfn.SEQUENCE(LEN(_xlfn.XLOOKUP(A28&amp;B28&amp;C28,盘货信息!$A:$A&amp;盘货信息!$B:$B&amp;盘货信息!$C:$C,盘货信息!$Q:$Q))),1),""))&amp;"元")</f>
        <v/>
      </c>
      <c r="T28" s="18" t="str">
        <f t="array" ref="T28">IF(ISNUMBER(SEARCH("是",_xlfn.XLOOKUP(A28&amp;B28&amp;C28,盘货信息!$A:$A&amp;盘货信息!$B:$B&amp;盘货信息!$C:$C,盘货信息!$T:$T))),"【瓜分】"&amp;固定信息!$B$7,"")</f>
        <v/>
      </c>
      <c r="U28" s="18" t="str">
        <f>IF($C28="","",IF(AND(R28="",S28="",T28=""),"",固定信息!$B$1))</f>
        <v/>
      </c>
      <c r="V28" s="18" t="str">
        <f t="array" ref="V28">IF(C28="","","【服务】"&amp;IF(_xlfn.XLOOKUP(A28&amp;B28&amp;C28,盘货信息!$A:$A&amp;盘货信息!$B:$B&amp;盘货信息!$C:$C,盘货信息!$V:$V)="","",_xlfn.XLOOKUP(A28&amp;B28&amp;C28,盘货信息!$A:$A&amp;盘货信息!$B:$B&amp;盘货信息!$C:$C,盘货信息!$V:$V)&amp;"免息,")&amp;IF(_xlfn.XLOOKUP(A28&amp;B28&amp;C28,盘货信息!$A:$A&amp;盘货信息!$B:$B&amp;盘货信息!$C:$C,盘货信息!$W:$W)="","",_xlfn.XLOOKUP(A28&amp;B28&amp;C28,盘货信息!$A:$A&amp;盘货信息!$B:$B&amp;盘货信息!$C:$C,盘货信息!$W:$W)&amp;"，")&amp;"送货入户，退换免运费")</f>
        <v/>
      </c>
    </row>
    <row r="29" customHeight="1" spans="1:22">
      <c r="A29" s="17" t="str">
        <f>IF(盘货信息!A29="","",盘货信息!A29)</f>
        <v/>
      </c>
      <c r="B29" s="20" t="str">
        <f>IF(盘货信息!B29="","",盘货信息!B29)</f>
        <v/>
      </c>
      <c r="C29" s="18" t="str">
        <f>IF(盘货信息!C29="","",盘货信息!C29)</f>
        <v/>
      </c>
      <c r="D29" s="18" t="str">
        <f ca="1" t="shared" si="0"/>
        <v/>
      </c>
      <c r="E29" s="18" t="str">
        <f>IF(C29="","",固定信息!$B$2)</f>
        <v/>
      </c>
      <c r="F29" s="18" t="str">
        <f t="array" ref="F29">IF(C29="","","【"&amp;C29&amp;"】"&amp;_xlfn.XLOOKUP(A29&amp;B29&amp;C29,盘货信息!$A:$A&amp;盘货信息!$B:$B&amp;盘货信息!$C:$C,盘货信息!$D:$D))</f>
        <v/>
      </c>
      <c r="G29" s="18" t="str">
        <f>IF(C29="","","【"&amp;"活动时间："&amp;固定信息!$B$3&amp;"】")</f>
        <v/>
      </c>
      <c r="H29" s="18" t="str">
        <f>IF($C29="","",固定信息!$B$1)</f>
        <v/>
      </c>
      <c r="I29" s="18"/>
      <c r="J29" s="18" t="str">
        <f t="array" ref="J29">_xlfn.XLOOKUP(A29&amp;B29&amp;C29,价格信息!$A:$A&amp;价格信息!$B:$B&amp;价格信息!$C:$C,价格信息!$D:$D)</f>
        <v/>
      </c>
      <c r="K29" s="31" t="str">
        <f t="array" ref="K29">IF(_xlfn.XLOOKUP(A29&amp;B29&amp;C29,价格信息!$A:$A&amp;价格信息!$B:$B&amp;价格信息!$C:$C,价格信息!$I:$I)="","","【优惠券链接】"&amp;固定信息!$B$6)</f>
        <v/>
      </c>
      <c r="L29" s="31" t="str">
        <f>IF($C29="","",固定信息!$B$1)</f>
        <v/>
      </c>
      <c r="M29" s="18" t="str">
        <f t="array" ref="M29">IF(_xlfn.XLOOKUP(A29&amp;B29&amp;C29,盘货信息!$A:$A&amp;盘货信息!$B:$B&amp;盘货信息!$C:$C,盘货信息!$O:$O)="","","【优惠券】领"&amp;INDEX(_wpsfn.REGEXP(_xlfn.XLOOKUP(A29&amp;B29&amp;C29,盘货信息!$A:$A&amp;盘货信息!$B:$B&amp;盘货信息!$C:$C,盘货信息!$O:$O),"\d+"),1,1)&amp;"元优惠券下单更优惠，优惠卷："&amp;_xlfn.XLOOKUP(A29&amp;B29&amp;C29,盘货信息!$A:$A&amp;盘货信息!$B:$B&amp;盘货信息!$C:$C,盘货信息!$P:$P))</f>
        <v/>
      </c>
      <c r="N29" s="18" t="str">
        <f t="array" ref="N29">IF(AND(ISNUMBER(_xlfn.XLOOKUP(A29&amp;B29&amp;C29,盘货信息!$A:$A&amp;盘货信息!$B:$B&amp;盘货信息!$C:$C,盘货信息!$I:$I)),_xlfn.XLOOKUP(A29&amp;B29&amp;C29,盘货信息!$A:$A&amp;盘货信息!$B:$B&amp;盘货信息!$C:$C,盘货信息!$I:$I)&gt;1),"【88VIP】立减"&amp;_xlfn.XLOOKUP(A29&amp;B29&amp;C29,盘货信息!$A:$A&amp;盘货信息!$B:$B&amp;盘货信息!$C:$C,盘货信息!$I:$I)&amp;"元","")</f>
        <v/>
      </c>
      <c r="O29" s="18" t="str">
        <f t="array" ref="O29">IF(_xlfn.XLOOKUP(A29&amp;B29&amp;C29,盘货信息!$A:$A&amp;盘货信息!$B:$B&amp;盘货信息!$C:$C,盘货信息!$K:$K)="","",IF(AND(_xlfn.XLOOKUP(A29&amp;B29&amp;C29,盘货信息!$A:$A&amp;盘货信息!$B:$B&amp;盘货信息!$C:$C,盘货信息!$G:$G)="不参加",_xlfn.XLOOKUP(A29&amp;B29&amp;C29,盘货信息!$A:$A&amp;盘货信息!$B:$B&amp;盘货信息!$C:$C,盘货信息!$H:$H)=""),"【以旧换新】"&amp;_xlfn.XLOOKUP(A29&amp;B29&amp;C29,盘货信息!$A:$A&amp;盘货信息!$B:$B&amp;盘货信息!$C:$C,盘货信息!$K:$K)&amp;"元以旧换新补贴（可无旧机换新）",""))</f>
        <v/>
      </c>
      <c r="P29" s="18" t="str">
        <f t="array" ref="P29">_xlfn.XLOOKUP(A29&amp;B29&amp;C29,赠品!$A:$A&amp;赠品!$B:$B&amp;赠品!$C:$C,赠品!$D:$D)</f>
        <v/>
      </c>
      <c r="Q29" s="18" t="str">
        <f>IF($C29="","",IF(AND(M29="",N29="",P29=""),"",固定信息!$B$1))</f>
        <v/>
      </c>
      <c r="R29" s="18" t="str">
        <f t="array" ref="R29">IF(ISNUMBER(SEARCH("是",_xlfn.XLOOKUP(A29&amp;B29&amp;C29,盘货信息!$A:$A&amp;盘货信息!$B:$B&amp;盘货信息!$C:$C,盘货信息!$U:$U))),"【折扣】指定型号满2类享96折，满3类享94折","")</f>
        <v/>
      </c>
      <c r="S29" s="18" t="str">
        <f t="array" ref="S29">IF(_xlfn.XLOOKUP(A29&amp;B29&amp;C29,盘货信息!$A:$A&amp;盘货信息!$B:$B&amp;盘货信息!$C:$C,盘货信息!$Q:$Q)&lt;1,"","【红包】活动时间购机送"&amp;_xlfn.TEXTJOIN("",,IF(ISNUMBER(--MID(_xlfn.XLOOKUP(A29&amp;B29&amp;C29,盘货信息!$A:$A&amp;盘货信息!$B:$B&amp;盘货信息!$C:$C,盘货信息!$Q:$Q),_xlfn.SEQUENCE(LEN(_xlfn.XLOOKUP(A29&amp;B29&amp;C29,盘货信息!$A:$A&amp;盘货信息!$B:$B&amp;盘货信息!$C:$C,盘货信息!$Q:$Q))),1)),MID(_xlfn.XLOOKUP(A29&amp;B29&amp;C29,盘货信息!$A:$A&amp;盘货信息!$B:$B&amp;盘货信息!$C:$C,盘货信息!$Q:$Q),_xlfn.SEQUENCE(LEN(_xlfn.XLOOKUP(A29&amp;B29&amp;C29,盘货信息!$A:$A&amp;盘货信息!$B:$B&amp;盘货信息!$C:$C,盘货信息!$Q:$Q))),1),""))&amp;"元")</f>
        <v/>
      </c>
      <c r="T29" s="18" t="str">
        <f t="array" ref="T29">IF(ISNUMBER(SEARCH("是",_xlfn.XLOOKUP(A29&amp;B29&amp;C29,盘货信息!$A:$A&amp;盘货信息!$B:$B&amp;盘货信息!$C:$C,盘货信息!$T:$T))),"【瓜分】"&amp;固定信息!$B$7,"")</f>
        <v/>
      </c>
      <c r="U29" s="18" t="str">
        <f>IF($C29="","",IF(AND(R29="",S29="",T29=""),"",固定信息!$B$1))</f>
        <v/>
      </c>
      <c r="V29" s="18" t="str">
        <f t="array" ref="V29">IF(C29="","","【服务】"&amp;IF(_xlfn.XLOOKUP(A29&amp;B29&amp;C29,盘货信息!$A:$A&amp;盘货信息!$B:$B&amp;盘货信息!$C:$C,盘货信息!$V:$V)="","",_xlfn.XLOOKUP(A29&amp;B29&amp;C29,盘货信息!$A:$A&amp;盘货信息!$B:$B&amp;盘货信息!$C:$C,盘货信息!$V:$V)&amp;"免息,")&amp;IF(_xlfn.XLOOKUP(A29&amp;B29&amp;C29,盘货信息!$A:$A&amp;盘货信息!$B:$B&amp;盘货信息!$C:$C,盘货信息!$W:$W)="","",_xlfn.XLOOKUP(A29&amp;B29&amp;C29,盘货信息!$A:$A&amp;盘货信息!$B:$B&amp;盘货信息!$C:$C,盘货信息!$W:$W)&amp;"，")&amp;"送货入户，退换免运费")</f>
        <v/>
      </c>
    </row>
    <row r="30" customHeight="1" spans="1:22">
      <c r="A30" s="17" t="str">
        <f>IF(盘货信息!A30="","",盘货信息!A30)</f>
        <v/>
      </c>
      <c r="B30" s="20" t="str">
        <f>IF(盘货信息!B30="","",盘货信息!B30)</f>
        <v/>
      </c>
      <c r="C30" s="18" t="str">
        <f>IF(盘货信息!C30="","",盘货信息!C30)</f>
        <v/>
      </c>
      <c r="D30" s="18" t="str">
        <f ca="1" t="shared" si="0"/>
        <v/>
      </c>
      <c r="E30" s="18" t="str">
        <f>IF(C30="","",固定信息!$B$2)</f>
        <v/>
      </c>
      <c r="F30" s="18" t="str">
        <f t="array" ref="F30">IF(C30="","","【"&amp;C30&amp;"】"&amp;_xlfn.XLOOKUP(A30&amp;B30&amp;C30,盘货信息!$A:$A&amp;盘货信息!$B:$B&amp;盘货信息!$C:$C,盘货信息!$D:$D))</f>
        <v/>
      </c>
      <c r="G30" s="18" t="str">
        <f>IF(C30="","","【"&amp;"活动时间："&amp;固定信息!$B$3&amp;"】")</f>
        <v/>
      </c>
      <c r="H30" s="18" t="str">
        <f>IF($C30="","",固定信息!$B$1)</f>
        <v/>
      </c>
      <c r="I30" s="18"/>
      <c r="J30" s="18" t="str">
        <f t="array" ref="J30">_xlfn.XLOOKUP(A30&amp;B30&amp;C30,价格信息!$A:$A&amp;价格信息!$B:$B&amp;价格信息!$C:$C,价格信息!$D:$D)</f>
        <v/>
      </c>
      <c r="K30" s="31" t="str">
        <f t="array" ref="K30">IF(_xlfn.XLOOKUP(A30&amp;B30&amp;C30,价格信息!$A:$A&amp;价格信息!$B:$B&amp;价格信息!$C:$C,价格信息!$I:$I)="","","【优惠券链接】"&amp;固定信息!$B$6)</f>
        <v/>
      </c>
      <c r="L30" s="31" t="str">
        <f>IF($C30="","",固定信息!$B$1)</f>
        <v/>
      </c>
      <c r="M30" s="18" t="str">
        <f t="array" ref="M30">IF(_xlfn.XLOOKUP(A30&amp;B30&amp;C30,盘货信息!$A:$A&amp;盘货信息!$B:$B&amp;盘货信息!$C:$C,盘货信息!$O:$O)="","","【优惠券】领"&amp;INDEX(_wpsfn.REGEXP(_xlfn.XLOOKUP(A30&amp;B30&amp;C30,盘货信息!$A:$A&amp;盘货信息!$B:$B&amp;盘货信息!$C:$C,盘货信息!$O:$O),"\d+"),1,1)&amp;"元优惠券下单更优惠，优惠卷："&amp;_xlfn.XLOOKUP(A30&amp;B30&amp;C30,盘货信息!$A:$A&amp;盘货信息!$B:$B&amp;盘货信息!$C:$C,盘货信息!$P:$P))</f>
        <v/>
      </c>
      <c r="N30" s="18" t="str">
        <f t="array" ref="N30">IF(AND(ISNUMBER(_xlfn.XLOOKUP(A30&amp;B30&amp;C30,盘货信息!$A:$A&amp;盘货信息!$B:$B&amp;盘货信息!$C:$C,盘货信息!$I:$I)),_xlfn.XLOOKUP(A30&amp;B30&amp;C30,盘货信息!$A:$A&amp;盘货信息!$B:$B&amp;盘货信息!$C:$C,盘货信息!$I:$I)&gt;1),"【88VIP】立减"&amp;_xlfn.XLOOKUP(A30&amp;B30&amp;C30,盘货信息!$A:$A&amp;盘货信息!$B:$B&amp;盘货信息!$C:$C,盘货信息!$I:$I)&amp;"元","")</f>
        <v/>
      </c>
      <c r="O30" s="18" t="str">
        <f t="array" ref="O30">IF(_xlfn.XLOOKUP(A30&amp;B30&amp;C30,盘货信息!$A:$A&amp;盘货信息!$B:$B&amp;盘货信息!$C:$C,盘货信息!$K:$K)="","",IF(AND(_xlfn.XLOOKUP(A30&amp;B30&amp;C30,盘货信息!$A:$A&amp;盘货信息!$B:$B&amp;盘货信息!$C:$C,盘货信息!$G:$G)="不参加",_xlfn.XLOOKUP(A30&amp;B30&amp;C30,盘货信息!$A:$A&amp;盘货信息!$B:$B&amp;盘货信息!$C:$C,盘货信息!$H:$H)=""),"【以旧换新】"&amp;_xlfn.XLOOKUP(A30&amp;B30&amp;C30,盘货信息!$A:$A&amp;盘货信息!$B:$B&amp;盘货信息!$C:$C,盘货信息!$K:$K)&amp;"元以旧换新补贴（可无旧机换新）",""))</f>
        <v/>
      </c>
      <c r="P30" s="18" t="str">
        <f t="array" ref="P30">_xlfn.XLOOKUP(A30&amp;B30&amp;C30,赠品!$A:$A&amp;赠品!$B:$B&amp;赠品!$C:$C,赠品!$D:$D)</f>
        <v/>
      </c>
      <c r="Q30" s="18" t="str">
        <f>IF($C30="","",IF(AND(M30="",N30="",P30=""),"",固定信息!$B$1))</f>
        <v/>
      </c>
      <c r="R30" s="18" t="str">
        <f t="array" ref="R30">IF(ISNUMBER(SEARCH("是",_xlfn.XLOOKUP(A30&amp;B30&amp;C30,盘货信息!$A:$A&amp;盘货信息!$B:$B&amp;盘货信息!$C:$C,盘货信息!$U:$U))),"【折扣】指定型号满2类享96折，满3类享94折","")</f>
        <v/>
      </c>
      <c r="S30" s="18" t="str">
        <f t="array" ref="S30">IF(_xlfn.XLOOKUP(A30&amp;B30&amp;C30,盘货信息!$A:$A&amp;盘货信息!$B:$B&amp;盘货信息!$C:$C,盘货信息!$Q:$Q)&lt;1,"","【红包】活动时间购机送"&amp;_xlfn.TEXTJOIN("",,IF(ISNUMBER(--MID(_xlfn.XLOOKUP(A30&amp;B30&amp;C30,盘货信息!$A:$A&amp;盘货信息!$B:$B&amp;盘货信息!$C:$C,盘货信息!$Q:$Q),_xlfn.SEQUENCE(LEN(_xlfn.XLOOKUP(A30&amp;B30&amp;C30,盘货信息!$A:$A&amp;盘货信息!$B:$B&amp;盘货信息!$C:$C,盘货信息!$Q:$Q))),1)),MID(_xlfn.XLOOKUP(A30&amp;B30&amp;C30,盘货信息!$A:$A&amp;盘货信息!$B:$B&amp;盘货信息!$C:$C,盘货信息!$Q:$Q),_xlfn.SEQUENCE(LEN(_xlfn.XLOOKUP(A30&amp;B30&amp;C30,盘货信息!$A:$A&amp;盘货信息!$B:$B&amp;盘货信息!$C:$C,盘货信息!$Q:$Q))),1),""))&amp;"元")</f>
        <v/>
      </c>
      <c r="T30" s="18" t="str">
        <f t="array" ref="T30">IF(ISNUMBER(SEARCH("是",_xlfn.XLOOKUP(A30&amp;B30&amp;C30,盘货信息!$A:$A&amp;盘货信息!$B:$B&amp;盘货信息!$C:$C,盘货信息!$T:$T))),"【瓜分】"&amp;固定信息!$B$7,"")</f>
        <v/>
      </c>
      <c r="U30" s="18" t="str">
        <f>IF($C30="","",IF(AND(R30="",S30="",T30=""),"",固定信息!$B$1))</f>
        <v/>
      </c>
      <c r="V30" s="18" t="str">
        <f t="array" ref="V30">IF(C30="","","【服务】"&amp;IF(_xlfn.XLOOKUP(A30&amp;B30&amp;C30,盘货信息!$A:$A&amp;盘货信息!$B:$B&amp;盘货信息!$C:$C,盘货信息!$V:$V)="","",_xlfn.XLOOKUP(A30&amp;B30&amp;C30,盘货信息!$A:$A&amp;盘货信息!$B:$B&amp;盘货信息!$C:$C,盘货信息!$V:$V)&amp;"免息,")&amp;IF(_xlfn.XLOOKUP(A30&amp;B30&amp;C30,盘货信息!$A:$A&amp;盘货信息!$B:$B&amp;盘货信息!$C:$C,盘货信息!$W:$W)="","",_xlfn.XLOOKUP(A30&amp;B30&amp;C30,盘货信息!$A:$A&amp;盘货信息!$B:$B&amp;盘货信息!$C:$C,盘货信息!$W:$W)&amp;"，")&amp;"送货入户，退换免运费")</f>
        <v/>
      </c>
    </row>
    <row r="31" customHeight="1" spans="1:22">
      <c r="A31" s="17" t="str">
        <f>IF(盘货信息!A31="","",盘货信息!A31)</f>
        <v/>
      </c>
      <c r="B31" s="20" t="str">
        <f>IF(盘货信息!B31="","",盘货信息!B31)</f>
        <v/>
      </c>
      <c r="C31" s="18" t="str">
        <f>IF(盘货信息!C31="","",盘货信息!C31)</f>
        <v/>
      </c>
      <c r="D31" s="18" t="str">
        <f ca="1" t="shared" si="0"/>
        <v/>
      </c>
      <c r="E31" s="18" t="str">
        <f>IF(C31="","",固定信息!$B$2)</f>
        <v/>
      </c>
      <c r="F31" s="18" t="str">
        <f t="array" ref="F31">IF(C31="","","【"&amp;C31&amp;"】"&amp;_xlfn.XLOOKUP(A31&amp;B31&amp;C31,盘货信息!$A:$A&amp;盘货信息!$B:$B&amp;盘货信息!$C:$C,盘货信息!$D:$D))</f>
        <v/>
      </c>
      <c r="G31" s="18" t="str">
        <f>IF(C31="","","【"&amp;"活动时间："&amp;固定信息!$B$3&amp;"】")</f>
        <v/>
      </c>
      <c r="H31" s="18" t="str">
        <f>IF($C31="","",固定信息!$B$1)</f>
        <v/>
      </c>
      <c r="I31" s="18"/>
      <c r="J31" s="18" t="str">
        <f t="array" ref="J31">_xlfn.XLOOKUP(A31&amp;B31&amp;C31,价格信息!$A:$A&amp;价格信息!$B:$B&amp;价格信息!$C:$C,价格信息!$D:$D)</f>
        <v/>
      </c>
      <c r="K31" s="31" t="str">
        <f t="array" ref="K31">IF(_xlfn.XLOOKUP(A31&amp;B31&amp;C31,价格信息!$A:$A&amp;价格信息!$B:$B&amp;价格信息!$C:$C,价格信息!$I:$I)="","","【优惠券链接】"&amp;固定信息!$B$6)</f>
        <v/>
      </c>
      <c r="L31" s="31" t="str">
        <f>IF($C31="","",固定信息!$B$1)</f>
        <v/>
      </c>
      <c r="M31" s="18" t="str">
        <f t="array" ref="M31">IF(_xlfn.XLOOKUP(A31&amp;B31&amp;C31,盘货信息!$A:$A&amp;盘货信息!$B:$B&amp;盘货信息!$C:$C,盘货信息!$O:$O)="","","【优惠券】领"&amp;INDEX(_wpsfn.REGEXP(_xlfn.XLOOKUP(A31&amp;B31&amp;C31,盘货信息!$A:$A&amp;盘货信息!$B:$B&amp;盘货信息!$C:$C,盘货信息!$O:$O),"\d+"),1,1)&amp;"元优惠券下单更优惠，优惠卷："&amp;_xlfn.XLOOKUP(A31&amp;B31&amp;C31,盘货信息!$A:$A&amp;盘货信息!$B:$B&amp;盘货信息!$C:$C,盘货信息!$P:$P))</f>
        <v/>
      </c>
      <c r="N31" s="18" t="str">
        <f t="array" ref="N31">IF(AND(ISNUMBER(_xlfn.XLOOKUP(A31&amp;B31&amp;C31,盘货信息!$A:$A&amp;盘货信息!$B:$B&amp;盘货信息!$C:$C,盘货信息!$I:$I)),_xlfn.XLOOKUP(A31&amp;B31&amp;C31,盘货信息!$A:$A&amp;盘货信息!$B:$B&amp;盘货信息!$C:$C,盘货信息!$I:$I)&gt;1),"【88VIP】立减"&amp;_xlfn.XLOOKUP(A31&amp;B31&amp;C31,盘货信息!$A:$A&amp;盘货信息!$B:$B&amp;盘货信息!$C:$C,盘货信息!$I:$I)&amp;"元","")</f>
        <v/>
      </c>
      <c r="O31" s="18" t="str">
        <f t="array" ref="O31">IF(_xlfn.XLOOKUP(A31&amp;B31&amp;C31,盘货信息!$A:$A&amp;盘货信息!$B:$B&amp;盘货信息!$C:$C,盘货信息!$K:$K)="","",IF(AND(_xlfn.XLOOKUP(A31&amp;B31&amp;C31,盘货信息!$A:$A&amp;盘货信息!$B:$B&amp;盘货信息!$C:$C,盘货信息!$G:$G)="不参加",_xlfn.XLOOKUP(A31&amp;B31&amp;C31,盘货信息!$A:$A&amp;盘货信息!$B:$B&amp;盘货信息!$C:$C,盘货信息!$H:$H)=""),"【以旧换新】"&amp;_xlfn.XLOOKUP(A31&amp;B31&amp;C31,盘货信息!$A:$A&amp;盘货信息!$B:$B&amp;盘货信息!$C:$C,盘货信息!$K:$K)&amp;"元以旧换新补贴（可无旧机换新）",""))</f>
        <v/>
      </c>
      <c r="P31" s="18" t="str">
        <f t="array" ref="P31">_xlfn.XLOOKUP(A31&amp;B31&amp;C31,赠品!$A:$A&amp;赠品!$B:$B&amp;赠品!$C:$C,赠品!$D:$D)</f>
        <v/>
      </c>
      <c r="Q31" s="18" t="str">
        <f>IF($C31="","",IF(AND(M31="",N31="",P31=""),"",固定信息!$B$1))</f>
        <v/>
      </c>
      <c r="R31" s="18" t="str">
        <f t="array" ref="R31">IF(ISNUMBER(SEARCH("是",_xlfn.XLOOKUP(A31&amp;B31&amp;C31,盘货信息!$A:$A&amp;盘货信息!$B:$B&amp;盘货信息!$C:$C,盘货信息!$U:$U))),"【折扣】指定型号满2类享96折，满3类享94折","")</f>
        <v/>
      </c>
      <c r="S31" s="18" t="str">
        <f t="array" ref="S31">IF(_xlfn.XLOOKUP(A31&amp;B31&amp;C31,盘货信息!$A:$A&amp;盘货信息!$B:$B&amp;盘货信息!$C:$C,盘货信息!$Q:$Q)&lt;1,"","【红包】活动时间购机送"&amp;_xlfn.TEXTJOIN("",,IF(ISNUMBER(--MID(_xlfn.XLOOKUP(A31&amp;B31&amp;C31,盘货信息!$A:$A&amp;盘货信息!$B:$B&amp;盘货信息!$C:$C,盘货信息!$Q:$Q),_xlfn.SEQUENCE(LEN(_xlfn.XLOOKUP(A31&amp;B31&amp;C31,盘货信息!$A:$A&amp;盘货信息!$B:$B&amp;盘货信息!$C:$C,盘货信息!$Q:$Q))),1)),MID(_xlfn.XLOOKUP(A31&amp;B31&amp;C31,盘货信息!$A:$A&amp;盘货信息!$B:$B&amp;盘货信息!$C:$C,盘货信息!$Q:$Q),_xlfn.SEQUENCE(LEN(_xlfn.XLOOKUP(A31&amp;B31&amp;C31,盘货信息!$A:$A&amp;盘货信息!$B:$B&amp;盘货信息!$C:$C,盘货信息!$Q:$Q))),1),""))&amp;"元")</f>
        <v/>
      </c>
      <c r="T31" s="18" t="str">
        <f t="array" ref="T31">IF(ISNUMBER(SEARCH("是",_xlfn.XLOOKUP(A31&amp;B31&amp;C31,盘货信息!$A:$A&amp;盘货信息!$B:$B&amp;盘货信息!$C:$C,盘货信息!$T:$T))),"【瓜分】"&amp;固定信息!$B$7,"")</f>
        <v/>
      </c>
      <c r="U31" s="18" t="str">
        <f>IF($C31="","",IF(AND(R31="",S31="",T31=""),"",固定信息!$B$1))</f>
        <v/>
      </c>
      <c r="V31" s="18" t="str">
        <f t="array" ref="V31">IF(C31="","","【服务】"&amp;IF(_xlfn.XLOOKUP(A31&amp;B31&amp;C31,盘货信息!$A:$A&amp;盘货信息!$B:$B&amp;盘货信息!$C:$C,盘货信息!$V:$V)="","",_xlfn.XLOOKUP(A31&amp;B31&amp;C31,盘货信息!$A:$A&amp;盘货信息!$B:$B&amp;盘货信息!$C:$C,盘货信息!$V:$V)&amp;"免息,")&amp;IF(_xlfn.XLOOKUP(A31&amp;B31&amp;C31,盘货信息!$A:$A&amp;盘货信息!$B:$B&amp;盘货信息!$C:$C,盘货信息!$W:$W)="","",_xlfn.XLOOKUP(A31&amp;B31&amp;C31,盘货信息!$A:$A&amp;盘货信息!$B:$B&amp;盘货信息!$C:$C,盘货信息!$W:$W)&amp;"，")&amp;"送货入户，退换免运费")</f>
        <v/>
      </c>
    </row>
    <row r="32" customHeight="1" spans="1:22">
      <c r="A32" s="17" t="str">
        <f>IF(盘货信息!A32="","",盘货信息!A32)</f>
        <v/>
      </c>
      <c r="B32" s="20" t="str">
        <f>IF(盘货信息!B32="","",盘货信息!B32)</f>
        <v/>
      </c>
      <c r="C32" s="18" t="str">
        <f>IF(盘货信息!C32="","",盘货信息!C32)</f>
        <v/>
      </c>
      <c r="D32" s="18" t="str">
        <f ca="1" t="shared" si="0"/>
        <v/>
      </c>
      <c r="E32" s="18" t="str">
        <f>IF(C32="","",固定信息!$B$2)</f>
        <v/>
      </c>
      <c r="F32" s="18" t="str">
        <f t="array" ref="F32">IF(C32="","","【"&amp;C32&amp;"】"&amp;_xlfn.XLOOKUP(A32&amp;B32&amp;C32,盘货信息!$A:$A&amp;盘货信息!$B:$B&amp;盘货信息!$C:$C,盘货信息!$D:$D))</f>
        <v/>
      </c>
      <c r="G32" s="18" t="str">
        <f>IF(C32="","","【"&amp;"活动时间："&amp;固定信息!$B$3&amp;"】")</f>
        <v/>
      </c>
      <c r="H32" s="18" t="str">
        <f>IF($C32="","",固定信息!$B$1)</f>
        <v/>
      </c>
      <c r="I32" s="18"/>
      <c r="J32" s="18" t="str">
        <f t="array" ref="J32">_xlfn.XLOOKUP(A32&amp;B32&amp;C32,价格信息!$A:$A&amp;价格信息!$B:$B&amp;价格信息!$C:$C,价格信息!$D:$D)</f>
        <v/>
      </c>
      <c r="K32" s="31" t="str">
        <f t="array" ref="K32">IF(_xlfn.XLOOKUP(A32&amp;B32&amp;C32,价格信息!$A:$A&amp;价格信息!$B:$B&amp;价格信息!$C:$C,价格信息!$I:$I)="","","【优惠券链接】"&amp;固定信息!$B$6)</f>
        <v/>
      </c>
      <c r="L32" s="31" t="str">
        <f>IF($C32="","",固定信息!$B$1)</f>
        <v/>
      </c>
      <c r="M32" s="18" t="str">
        <f t="array" ref="M32">IF(_xlfn.XLOOKUP(A32&amp;B32&amp;C32,盘货信息!$A:$A&amp;盘货信息!$B:$B&amp;盘货信息!$C:$C,盘货信息!$O:$O)="","","【优惠券】领"&amp;INDEX(_wpsfn.REGEXP(_xlfn.XLOOKUP(A32&amp;B32&amp;C32,盘货信息!$A:$A&amp;盘货信息!$B:$B&amp;盘货信息!$C:$C,盘货信息!$O:$O),"\d+"),1,1)&amp;"元优惠券下单更优惠，优惠卷："&amp;_xlfn.XLOOKUP(A32&amp;B32&amp;C32,盘货信息!$A:$A&amp;盘货信息!$B:$B&amp;盘货信息!$C:$C,盘货信息!$P:$P))</f>
        <v/>
      </c>
      <c r="N32" s="18" t="str">
        <f t="array" ref="N32">IF(AND(ISNUMBER(_xlfn.XLOOKUP(A32&amp;B32&amp;C32,盘货信息!$A:$A&amp;盘货信息!$B:$B&amp;盘货信息!$C:$C,盘货信息!$I:$I)),_xlfn.XLOOKUP(A32&amp;B32&amp;C32,盘货信息!$A:$A&amp;盘货信息!$B:$B&amp;盘货信息!$C:$C,盘货信息!$I:$I)&gt;1),"【88VIP】立减"&amp;_xlfn.XLOOKUP(A32&amp;B32&amp;C32,盘货信息!$A:$A&amp;盘货信息!$B:$B&amp;盘货信息!$C:$C,盘货信息!$I:$I)&amp;"元","")</f>
        <v/>
      </c>
      <c r="O32" s="18" t="str">
        <f t="array" ref="O32">IF(_xlfn.XLOOKUP(A32&amp;B32&amp;C32,盘货信息!$A:$A&amp;盘货信息!$B:$B&amp;盘货信息!$C:$C,盘货信息!$K:$K)="","",IF(AND(_xlfn.XLOOKUP(A32&amp;B32&amp;C32,盘货信息!$A:$A&amp;盘货信息!$B:$B&amp;盘货信息!$C:$C,盘货信息!$G:$G)="不参加",_xlfn.XLOOKUP(A32&amp;B32&amp;C32,盘货信息!$A:$A&amp;盘货信息!$B:$B&amp;盘货信息!$C:$C,盘货信息!$H:$H)=""),"【以旧换新】"&amp;_xlfn.XLOOKUP(A32&amp;B32&amp;C32,盘货信息!$A:$A&amp;盘货信息!$B:$B&amp;盘货信息!$C:$C,盘货信息!$K:$K)&amp;"元以旧换新补贴（可无旧机换新）",""))</f>
        <v/>
      </c>
      <c r="P32" s="18" t="str">
        <f t="array" ref="P32">_xlfn.XLOOKUP(A32&amp;B32&amp;C32,赠品!$A:$A&amp;赠品!$B:$B&amp;赠品!$C:$C,赠品!$D:$D)</f>
        <v/>
      </c>
      <c r="Q32" s="18" t="str">
        <f>IF($C32="","",IF(AND(M32="",N32="",P32=""),"",固定信息!$B$1))</f>
        <v/>
      </c>
      <c r="R32" s="18" t="str">
        <f t="array" ref="R32">IF(ISNUMBER(SEARCH("是",_xlfn.XLOOKUP(A32&amp;B32&amp;C32,盘货信息!$A:$A&amp;盘货信息!$B:$B&amp;盘货信息!$C:$C,盘货信息!$U:$U))),"【折扣】指定型号满2类享96折，满3类享94折","")</f>
        <v/>
      </c>
      <c r="S32" s="18" t="str">
        <f t="array" ref="S32">IF(_xlfn.XLOOKUP(A32&amp;B32&amp;C32,盘货信息!$A:$A&amp;盘货信息!$B:$B&amp;盘货信息!$C:$C,盘货信息!$Q:$Q)&lt;1,"","【红包】活动时间购机送"&amp;_xlfn.TEXTJOIN("",,IF(ISNUMBER(--MID(_xlfn.XLOOKUP(A32&amp;B32&amp;C32,盘货信息!$A:$A&amp;盘货信息!$B:$B&amp;盘货信息!$C:$C,盘货信息!$Q:$Q),_xlfn.SEQUENCE(LEN(_xlfn.XLOOKUP(A32&amp;B32&amp;C32,盘货信息!$A:$A&amp;盘货信息!$B:$B&amp;盘货信息!$C:$C,盘货信息!$Q:$Q))),1)),MID(_xlfn.XLOOKUP(A32&amp;B32&amp;C32,盘货信息!$A:$A&amp;盘货信息!$B:$B&amp;盘货信息!$C:$C,盘货信息!$Q:$Q),_xlfn.SEQUENCE(LEN(_xlfn.XLOOKUP(A32&amp;B32&amp;C32,盘货信息!$A:$A&amp;盘货信息!$B:$B&amp;盘货信息!$C:$C,盘货信息!$Q:$Q))),1),""))&amp;"元")</f>
        <v/>
      </c>
      <c r="T32" s="18" t="str">
        <f t="array" ref="T32">IF(ISNUMBER(SEARCH("是",_xlfn.XLOOKUP(A32&amp;B32&amp;C32,盘货信息!$A:$A&amp;盘货信息!$B:$B&amp;盘货信息!$C:$C,盘货信息!$T:$T))),"【瓜分】"&amp;固定信息!$B$7,"")</f>
        <v/>
      </c>
      <c r="U32" s="18" t="str">
        <f>IF($C32="","",IF(AND(R32="",S32="",T32=""),"",固定信息!$B$1))</f>
        <v/>
      </c>
      <c r="V32" s="18" t="str">
        <f t="array" ref="V32">IF(C32="","","【服务】"&amp;IF(_xlfn.XLOOKUP(A32&amp;B32&amp;C32,盘货信息!$A:$A&amp;盘货信息!$B:$B&amp;盘货信息!$C:$C,盘货信息!$V:$V)="","",_xlfn.XLOOKUP(A32&amp;B32&amp;C32,盘货信息!$A:$A&amp;盘货信息!$B:$B&amp;盘货信息!$C:$C,盘货信息!$V:$V)&amp;"免息,")&amp;IF(_xlfn.XLOOKUP(A32&amp;B32&amp;C32,盘货信息!$A:$A&amp;盘货信息!$B:$B&amp;盘货信息!$C:$C,盘货信息!$W:$W)="","",_xlfn.XLOOKUP(A32&amp;B32&amp;C32,盘货信息!$A:$A&amp;盘货信息!$B:$B&amp;盘货信息!$C:$C,盘货信息!$W:$W)&amp;"，")&amp;"送货入户，退换免运费")</f>
        <v/>
      </c>
    </row>
    <row r="33" customHeight="1" spans="1:22">
      <c r="A33" s="17" t="str">
        <f>IF(盘货信息!A33="","",盘货信息!A33)</f>
        <v/>
      </c>
      <c r="B33" s="20" t="str">
        <f>IF(盘货信息!B33="","",盘货信息!B33)</f>
        <v/>
      </c>
      <c r="C33" s="18" t="str">
        <f>IF(盘货信息!C33="","",盘货信息!C33)</f>
        <v/>
      </c>
      <c r="D33" s="18" t="str">
        <f ca="1" t="shared" si="0"/>
        <v/>
      </c>
      <c r="E33" s="18" t="str">
        <f>IF(C33="","",固定信息!$B$2)</f>
        <v/>
      </c>
      <c r="F33" s="18" t="str">
        <f t="array" ref="F33">IF(C33="","","【"&amp;C33&amp;"】"&amp;_xlfn.XLOOKUP(A33&amp;B33&amp;C33,盘货信息!$A:$A&amp;盘货信息!$B:$B&amp;盘货信息!$C:$C,盘货信息!$D:$D))</f>
        <v/>
      </c>
      <c r="G33" s="18" t="str">
        <f>IF(C33="","","【"&amp;"活动时间："&amp;固定信息!$B$3&amp;"】")</f>
        <v/>
      </c>
      <c r="H33" s="18" t="str">
        <f>IF($C33="","",固定信息!$B$1)</f>
        <v/>
      </c>
      <c r="I33" s="18"/>
      <c r="J33" s="18" t="str">
        <f t="array" ref="J33">_xlfn.XLOOKUP(A33&amp;B33&amp;C33,价格信息!$A:$A&amp;价格信息!$B:$B&amp;价格信息!$C:$C,价格信息!$D:$D)</f>
        <v/>
      </c>
      <c r="K33" s="31" t="str">
        <f t="array" ref="K33">IF(_xlfn.XLOOKUP(A33&amp;B33&amp;C33,价格信息!$A:$A&amp;价格信息!$B:$B&amp;价格信息!$C:$C,价格信息!$I:$I)="","","【优惠券链接】"&amp;固定信息!$B$6)</f>
        <v/>
      </c>
      <c r="L33" s="31" t="str">
        <f>IF($C33="","",固定信息!$B$1)</f>
        <v/>
      </c>
      <c r="M33" s="18" t="str">
        <f t="array" ref="M33">IF(_xlfn.XLOOKUP(A33&amp;B33&amp;C33,盘货信息!$A:$A&amp;盘货信息!$B:$B&amp;盘货信息!$C:$C,盘货信息!$O:$O)="","","【优惠券】领"&amp;INDEX(_wpsfn.REGEXP(_xlfn.XLOOKUP(A33&amp;B33&amp;C33,盘货信息!$A:$A&amp;盘货信息!$B:$B&amp;盘货信息!$C:$C,盘货信息!$O:$O),"\d+"),1,1)&amp;"元优惠券下单更优惠，优惠卷："&amp;_xlfn.XLOOKUP(A33&amp;B33&amp;C33,盘货信息!$A:$A&amp;盘货信息!$B:$B&amp;盘货信息!$C:$C,盘货信息!$P:$P))</f>
        <v/>
      </c>
      <c r="N33" s="18" t="str">
        <f t="array" ref="N33">IF(AND(ISNUMBER(_xlfn.XLOOKUP(A33&amp;B33&amp;C33,盘货信息!$A:$A&amp;盘货信息!$B:$B&amp;盘货信息!$C:$C,盘货信息!$I:$I)),_xlfn.XLOOKUP(A33&amp;B33&amp;C33,盘货信息!$A:$A&amp;盘货信息!$B:$B&amp;盘货信息!$C:$C,盘货信息!$I:$I)&gt;1),"【88VIP】立减"&amp;_xlfn.XLOOKUP(A33&amp;B33&amp;C33,盘货信息!$A:$A&amp;盘货信息!$B:$B&amp;盘货信息!$C:$C,盘货信息!$I:$I)&amp;"元","")</f>
        <v/>
      </c>
      <c r="O33" s="18" t="str">
        <f t="array" ref="O33">IF(_xlfn.XLOOKUP(A33&amp;B33&amp;C33,盘货信息!$A:$A&amp;盘货信息!$B:$B&amp;盘货信息!$C:$C,盘货信息!$K:$K)="","",IF(AND(_xlfn.XLOOKUP(A33&amp;B33&amp;C33,盘货信息!$A:$A&amp;盘货信息!$B:$B&amp;盘货信息!$C:$C,盘货信息!$G:$G)="不参加",_xlfn.XLOOKUP(A33&amp;B33&amp;C33,盘货信息!$A:$A&amp;盘货信息!$B:$B&amp;盘货信息!$C:$C,盘货信息!$H:$H)=""),"【以旧换新】"&amp;_xlfn.XLOOKUP(A33&amp;B33&amp;C33,盘货信息!$A:$A&amp;盘货信息!$B:$B&amp;盘货信息!$C:$C,盘货信息!$K:$K)&amp;"元以旧换新补贴（可无旧机换新）",""))</f>
        <v/>
      </c>
      <c r="P33" s="18" t="str">
        <f t="array" ref="P33">_xlfn.XLOOKUP(A33&amp;B33&amp;C33,赠品!$A:$A&amp;赠品!$B:$B&amp;赠品!$C:$C,赠品!$D:$D)</f>
        <v/>
      </c>
      <c r="Q33" s="18" t="str">
        <f>IF($C33="","",IF(AND(M33="",N33="",P33=""),"",固定信息!$B$1))</f>
        <v/>
      </c>
      <c r="R33" s="18" t="str">
        <f t="array" ref="R33">IF(ISNUMBER(SEARCH("是",_xlfn.XLOOKUP(A33&amp;B33&amp;C33,盘货信息!$A:$A&amp;盘货信息!$B:$B&amp;盘货信息!$C:$C,盘货信息!$U:$U))),"【折扣】指定型号满2类享96折，满3类享94折","")</f>
        <v/>
      </c>
      <c r="S33" s="18" t="str">
        <f t="array" ref="S33">IF(_xlfn.XLOOKUP(A33&amp;B33&amp;C33,盘货信息!$A:$A&amp;盘货信息!$B:$B&amp;盘货信息!$C:$C,盘货信息!$Q:$Q)&lt;1,"","【红包】活动时间购机送"&amp;_xlfn.TEXTJOIN("",,IF(ISNUMBER(--MID(_xlfn.XLOOKUP(A33&amp;B33&amp;C33,盘货信息!$A:$A&amp;盘货信息!$B:$B&amp;盘货信息!$C:$C,盘货信息!$Q:$Q),_xlfn.SEQUENCE(LEN(_xlfn.XLOOKUP(A33&amp;B33&amp;C33,盘货信息!$A:$A&amp;盘货信息!$B:$B&amp;盘货信息!$C:$C,盘货信息!$Q:$Q))),1)),MID(_xlfn.XLOOKUP(A33&amp;B33&amp;C33,盘货信息!$A:$A&amp;盘货信息!$B:$B&amp;盘货信息!$C:$C,盘货信息!$Q:$Q),_xlfn.SEQUENCE(LEN(_xlfn.XLOOKUP(A33&amp;B33&amp;C33,盘货信息!$A:$A&amp;盘货信息!$B:$B&amp;盘货信息!$C:$C,盘货信息!$Q:$Q))),1),""))&amp;"元")</f>
        <v/>
      </c>
      <c r="T33" s="18" t="str">
        <f t="array" ref="T33">IF(ISNUMBER(SEARCH("是",_xlfn.XLOOKUP(A33&amp;B33&amp;C33,盘货信息!$A:$A&amp;盘货信息!$B:$B&amp;盘货信息!$C:$C,盘货信息!$T:$T))),"【瓜分】"&amp;固定信息!$B$7,"")</f>
        <v/>
      </c>
      <c r="U33" s="18" t="str">
        <f>IF($C33="","",IF(AND(R33="",S33="",T33=""),"",固定信息!$B$1))</f>
        <v/>
      </c>
      <c r="V33" s="18" t="str">
        <f t="array" ref="V33">IF(C33="","","【服务】"&amp;IF(_xlfn.XLOOKUP(A33&amp;B33&amp;C33,盘货信息!$A:$A&amp;盘货信息!$B:$B&amp;盘货信息!$C:$C,盘货信息!$V:$V)="","",_xlfn.XLOOKUP(A33&amp;B33&amp;C33,盘货信息!$A:$A&amp;盘货信息!$B:$B&amp;盘货信息!$C:$C,盘货信息!$V:$V)&amp;"免息,")&amp;IF(_xlfn.XLOOKUP(A33&amp;B33&amp;C33,盘货信息!$A:$A&amp;盘货信息!$B:$B&amp;盘货信息!$C:$C,盘货信息!$W:$W)="","",_xlfn.XLOOKUP(A33&amp;B33&amp;C33,盘货信息!$A:$A&amp;盘货信息!$B:$B&amp;盘货信息!$C:$C,盘货信息!$W:$W)&amp;"，")&amp;"送货入户，退换免运费")</f>
        <v/>
      </c>
    </row>
    <row r="34" customHeight="1" spans="1:22">
      <c r="A34" s="17" t="str">
        <f>IF(盘货信息!A34="","",盘货信息!A34)</f>
        <v/>
      </c>
      <c r="B34" s="20" t="str">
        <f>IF(盘货信息!B34="","",盘货信息!B34)</f>
        <v/>
      </c>
      <c r="C34" s="18" t="str">
        <f>IF(盘货信息!C34="","",盘货信息!C34)</f>
        <v/>
      </c>
      <c r="D34" s="18" t="str">
        <f ca="1" t="shared" si="0"/>
        <v/>
      </c>
      <c r="E34" s="18" t="str">
        <f>IF(C34="","",固定信息!$B$2)</f>
        <v/>
      </c>
      <c r="F34" s="18" t="str">
        <f t="array" ref="F34">IF(C34="","","【"&amp;C34&amp;"】"&amp;_xlfn.XLOOKUP(A34&amp;B34&amp;C34,盘货信息!$A:$A&amp;盘货信息!$B:$B&amp;盘货信息!$C:$C,盘货信息!$D:$D))</f>
        <v/>
      </c>
      <c r="G34" s="18" t="str">
        <f>IF(C34="","","【"&amp;"活动时间："&amp;固定信息!$B$3&amp;"】")</f>
        <v/>
      </c>
      <c r="H34" s="18" t="str">
        <f>IF($C34="","",固定信息!$B$1)</f>
        <v/>
      </c>
      <c r="I34" s="18"/>
      <c r="J34" s="18" t="str">
        <f t="array" ref="J34">_xlfn.XLOOKUP(A34&amp;B34&amp;C34,价格信息!$A:$A&amp;价格信息!$B:$B&amp;价格信息!$C:$C,价格信息!$D:$D)</f>
        <v/>
      </c>
      <c r="K34" s="31" t="str">
        <f t="array" ref="K34">IF(_xlfn.XLOOKUP(A34&amp;B34&amp;C34,价格信息!$A:$A&amp;价格信息!$B:$B&amp;价格信息!$C:$C,价格信息!$I:$I)="","","【优惠券链接】"&amp;固定信息!$B$6)</f>
        <v/>
      </c>
      <c r="L34" s="31" t="str">
        <f>IF($C34="","",固定信息!$B$1)</f>
        <v/>
      </c>
      <c r="M34" s="18" t="str">
        <f t="array" ref="M34">IF(_xlfn.XLOOKUP(A34&amp;B34&amp;C34,盘货信息!$A:$A&amp;盘货信息!$B:$B&amp;盘货信息!$C:$C,盘货信息!$O:$O)="","","【优惠券】领"&amp;INDEX(_wpsfn.REGEXP(_xlfn.XLOOKUP(A34&amp;B34&amp;C34,盘货信息!$A:$A&amp;盘货信息!$B:$B&amp;盘货信息!$C:$C,盘货信息!$O:$O),"\d+"),1,1)&amp;"元优惠券下单更优惠，优惠卷："&amp;_xlfn.XLOOKUP(A34&amp;B34&amp;C34,盘货信息!$A:$A&amp;盘货信息!$B:$B&amp;盘货信息!$C:$C,盘货信息!$P:$P))</f>
        <v/>
      </c>
      <c r="N34" s="18" t="str">
        <f t="array" ref="N34">IF(AND(ISNUMBER(_xlfn.XLOOKUP(A34&amp;B34&amp;C34,盘货信息!$A:$A&amp;盘货信息!$B:$B&amp;盘货信息!$C:$C,盘货信息!$I:$I)),_xlfn.XLOOKUP(A34&amp;B34&amp;C34,盘货信息!$A:$A&amp;盘货信息!$B:$B&amp;盘货信息!$C:$C,盘货信息!$I:$I)&gt;1),"【88VIP】立减"&amp;_xlfn.XLOOKUP(A34&amp;B34&amp;C34,盘货信息!$A:$A&amp;盘货信息!$B:$B&amp;盘货信息!$C:$C,盘货信息!$I:$I)&amp;"元","")</f>
        <v/>
      </c>
      <c r="O34" s="18" t="str">
        <f t="array" ref="O34">IF(_xlfn.XLOOKUP(A34&amp;B34&amp;C34,盘货信息!$A:$A&amp;盘货信息!$B:$B&amp;盘货信息!$C:$C,盘货信息!$K:$K)="","",IF(AND(_xlfn.XLOOKUP(A34&amp;B34&amp;C34,盘货信息!$A:$A&amp;盘货信息!$B:$B&amp;盘货信息!$C:$C,盘货信息!$G:$G)="不参加",_xlfn.XLOOKUP(A34&amp;B34&amp;C34,盘货信息!$A:$A&amp;盘货信息!$B:$B&amp;盘货信息!$C:$C,盘货信息!$H:$H)=""),"【以旧换新】"&amp;_xlfn.XLOOKUP(A34&amp;B34&amp;C34,盘货信息!$A:$A&amp;盘货信息!$B:$B&amp;盘货信息!$C:$C,盘货信息!$K:$K)&amp;"元以旧换新补贴（可无旧机换新）",""))</f>
        <v/>
      </c>
      <c r="P34" s="18" t="str">
        <f t="array" ref="P34">_xlfn.XLOOKUP(A34&amp;B34&amp;C34,赠品!$A:$A&amp;赠品!$B:$B&amp;赠品!$C:$C,赠品!$D:$D)</f>
        <v/>
      </c>
      <c r="Q34" s="18" t="str">
        <f>IF($C34="","",IF(AND(M34="",N34="",P34=""),"",固定信息!$B$1))</f>
        <v/>
      </c>
      <c r="R34" s="18" t="str">
        <f t="array" ref="R34">IF(ISNUMBER(SEARCH("是",_xlfn.XLOOKUP(A34&amp;B34&amp;C34,盘货信息!$A:$A&amp;盘货信息!$B:$B&amp;盘货信息!$C:$C,盘货信息!$U:$U))),"【折扣】指定型号满2类享96折，满3类享94折","")</f>
        <v/>
      </c>
      <c r="S34" s="18" t="str">
        <f t="array" ref="S34">IF(_xlfn.XLOOKUP(A34&amp;B34&amp;C34,盘货信息!$A:$A&amp;盘货信息!$B:$B&amp;盘货信息!$C:$C,盘货信息!$Q:$Q)&lt;1,"","【红包】活动时间购机送"&amp;_xlfn.TEXTJOIN("",,IF(ISNUMBER(--MID(_xlfn.XLOOKUP(A34&amp;B34&amp;C34,盘货信息!$A:$A&amp;盘货信息!$B:$B&amp;盘货信息!$C:$C,盘货信息!$Q:$Q),_xlfn.SEQUENCE(LEN(_xlfn.XLOOKUP(A34&amp;B34&amp;C34,盘货信息!$A:$A&amp;盘货信息!$B:$B&amp;盘货信息!$C:$C,盘货信息!$Q:$Q))),1)),MID(_xlfn.XLOOKUP(A34&amp;B34&amp;C34,盘货信息!$A:$A&amp;盘货信息!$B:$B&amp;盘货信息!$C:$C,盘货信息!$Q:$Q),_xlfn.SEQUENCE(LEN(_xlfn.XLOOKUP(A34&amp;B34&amp;C34,盘货信息!$A:$A&amp;盘货信息!$B:$B&amp;盘货信息!$C:$C,盘货信息!$Q:$Q))),1),""))&amp;"元")</f>
        <v/>
      </c>
      <c r="T34" s="18" t="str">
        <f t="array" ref="T34">IF(ISNUMBER(SEARCH("是",_xlfn.XLOOKUP(A34&amp;B34&amp;C34,盘货信息!$A:$A&amp;盘货信息!$B:$B&amp;盘货信息!$C:$C,盘货信息!$T:$T))),"【瓜分】"&amp;固定信息!$B$7,"")</f>
        <v/>
      </c>
      <c r="U34" s="18" t="str">
        <f>IF($C34="","",IF(AND(R34="",S34="",T34=""),"",固定信息!$B$1))</f>
        <v/>
      </c>
      <c r="V34" s="18" t="str">
        <f t="array" ref="V34">IF(C34="","","【服务】"&amp;IF(_xlfn.XLOOKUP(A34&amp;B34&amp;C34,盘货信息!$A:$A&amp;盘货信息!$B:$B&amp;盘货信息!$C:$C,盘货信息!$V:$V)="","",_xlfn.XLOOKUP(A34&amp;B34&amp;C34,盘货信息!$A:$A&amp;盘货信息!$B:$B&amp;盘货信息!$C:$C,盘货信息!$V:$V)&amp;"免息,")&amp;IF(_xlfn.XLOOKUP(A34&amp;B34&amp;C34,盘货信息!$A:$A&amp;盘货信息!$B:$B&amp;盘货信息!$C:$C,盘货信息!$W:$W)="","",_xlfn.XLOOKUP(A34&amp;B34&amp;C34,盘货信息!$A:$A&amp;盘货信息!$B:$B&amp;盘货信息!$C:$C,盘货信息!$W:$W)&amp;"，")&amp;"送货入户，退换免运费")</f>
        <v/>
      </c>
    </row>
    <row r="35" customHeight="1" spans="1:22">
      <c r="A35" s="17" t="str">
        <f>IF(盘货信息!A35="","",盘货信息!A35)</f>
        <v/>
      </c>
      <c r="B35" s="20" t="str">
        <f>IF(盘货信息!B35="","",盘货信息!B35)</f>
        <v/>
      </c>
      <c r="C35" s="18" t="str">
        <f>IF(盘货信息!C35="","",盘货信息!C35)</f>
        <v/>
      </c>
      <c r="D35" s="18" t="str">
        <f ca="1" t="shared" si="0"/>
        <v/>
      </c>
      <c r="E35" s="18" t="str">
        <f>IF(C35="","",固定信息!$B$2)</f>
        <v/>
      </c>
      <c r="F35" s="18" t="str">
        <f t="array" ref="F35">IF(C35="","","【"&amp;C35&amp;"】"&amp;_xlfn.XLOOKUP(A35&amp;B35&amp;C35,盘货信息!$A:$A&amp;盘货信息!$B:$B&amp;盘货信息!$C:$C,盘货信息!$D:$D))</f>
        <v/>
      </c>
      <c r="G35" s="18" t="str">
        <f>IF(C35="","","【"&amp;"活动时间："&amp;固定信息!$B$3&amp;"】")</f>
        <v/>
      </c>
      <c r="H35" s="18" t="str">
        <f>IF($C35="","",固定信息!$B$1)</f>
        <v/>
      </c>
      <c r="I35" s="18"/>
      <c r="J35" s="18" t="str">
        <f t="array" ref="J35">_xlfn.XLOOKUP(A35&amp;B35&amp;C35,价格信息!$A:$A&amp;价格信息!$B:$B&amp;价格信息!$C:$C,价格信息!$D:$D)</f>
        <v/>
      </c>
      <c r="K35" s="31" t="str">
        <f t="array" ref="K35">IF(_xlfn.XLOOKUP(A35&amp;B35&amp;C35,价格信息!$A:$A&amp;价格信息!$B:$B&amp;价格信息!$C:$C,价格信息!$I:$I)="","","【优惠券链接】"&amp;固定信息!$B$6)</f>
        <v/>
      </c>
      <c r="L35" s="31" t="str">
        <f>IF($C35="","",固定信息!$B$1)</f>
        <v/>
      </c>
      <c r="M35" s="18" t="str">
        <f t="array" ref="M35">IF(_xlfn.XLOOKUP(A35&amp;B35&amp;C35,盘货信息!$A:$A&amp;盘货信息!$B:$B&amp;盘货信息!$C:$C,盘货信息!$O:$O)="","","【优惠券】领"&amp;INDEX(_wpsfn.REGEXP(_xlfn.XLOOKUP(A35&amp;B35&amp;C35,盘货信息!$A:$A&amp;盘货信息!$B:$B&amp;盘货信息!$C:$C,盘货信息!$O:$O),"\d+"),1,1)&amp;"元优惠券下单更优惠，优惠卷："&amp;_xlfn.XLOOKUP(A35&amp;B35&amp;C35,盘货信息!$A:$A&amp;盘货信息!$B:$B&amp;盘货信息!$C:$C,盘货信息!$P:$P))</f>
        <v/>
      </c>
      <c r="N35" s="18" t="str">
        <f t="array" ref="N35">IF(AND(ISNUMBER(_xlfn.XLOOKUP(A35&amp;B35&amp;C35,盘货信息!$A:$A&amp;盘货信息!$B:$B&amp;盘货信息!$C:$C,盘货信息!$I:$I)),_xlfn.XLOOKUP(A35&amp;B35&amp;C35,盘货信息!$A:$A&amp;盘货信息!$B:$B&amp;盘货信息!$C:$C,盘货信息!$I:$I)&gt;1),"【88VIP】立减"&amp;_xlfn.XLOOKUP(A35&amp;B35&amp;C35,盘货信息!$A:$A&amp;盘货信息!$B:$B&amp;盘货信息!$C:$C,盘货信息!$I:$I)&amp;"元","")</f>
        <v/>
      </c>
      <c r="O35" s="18" t="str">
        <f t="array" ref="O35">IF(_xlfn.XLOOKUP(A35&amp;B35&amp;C35,盘货信息!$A:$A&amp;盘货信息!$B:$B&amp;盘货信息!$C:$C,盘货信息!$K:$K)="","",IF(AND(_xlfn.XLOOKUP(A35&amp;B35&amp;C35,盘货信息!$A:$A&amp;盘货信息!$B:$B&amp;盘货信息!$C:$C,盘货信息!$G:$G)="不参加",_xlfn.XLOOKUP(A35&amp;B35&amp;C35,盘货信息!$A:$A&amp;盘货信息!$B:$B&amp;盘货信息!$C:$C,盘货信息!$H:$H)=""),"【以旧换新】"&amp;_xlfn.XLOOKUP(A35&amp;B35&amp;C35,盘货信息!$A:$A&amp;盘货信息!$B:$B&amp;盘货信息!$C:$C,盘货信息!$K:$K)&amp;"元以旧换新补贴（可无旧机换新）",""))</f>
        <v/>
      </c>
      <c r="P35" s="18" t="str">
        <f t="array" ref="P35">_xlfn.XLOOKUP(A35&amp;B35&amp;C35,赠品!$A:$A&amp;赠品!$B:$B&amp;赠品!$C:$C,赠品!$D:$D)</f>
        <v/>
      </c>
      <c r="Q35" s="18" t="str">
        <f>IF($C35="","",IF(AND(M35="",N35="",P35=""),"",固定信息!$B$1))</f>
        <v/>
      </c>
      <c r="R35" s="18" t="str">
        <f t="array" ref="R35">IF(ISNUMBER(SEARCH("是",_xlfn.XLOOKUP(A35&amp;B35&amp;C35,盘货信息!$A:$A&amp;盘货信息!$B:$B&amp;盘货信息!$C:$C,盘货信息!$U:$U))),"【折扣】指定型号满2类享96折，满3类享94折","")</f>
        <v/>
      </c>
      <c r="S35" s="18" t="str">
        <f t="array" ref="S35">IF(_xlfn.XLOOKUP(A35&amp;B35&amp;C35,盘货信息!$A:$A&amp;盘货信息!$B:$B&amp;盘货信息!$C:$C,盘货信息!$Q:$Q)&lt;1,"","【红包】活动时间购机送"&amp;_xlfn.TEXTJOIN("",,IF(ISNUMBER(--MID(_xlfn.XLOOKUP(A35&amp;B35&amp;C35,盘货信息!$A:$A&amp;盘货信息!$B:$B&amp;盘货信息!$C:$C,盘货信息!$Q:$Q),_xlfn.SEQUENCE(LEN(_xlfn.XLOOKUP(A35&amp;B35&amp;C35,盘货信息!$A:$A&amp;盘货信息!$B:$B&amp;盘货信息!$C:$C,盘货信息!$Q:$Q))),1)),MID(_xlfn.XLOOKUP(A35&amp;B35&amp;C35,盘货信息!$A:$A&amp;盘货信息!$B:$B&amp;盘货信息!$C:$C,盘货信息!$Q:$Q),_xlfn.SEQUENCE(LEN(_xlfn.XLOOKUP(A35&amp;B35&amp;C35,盘货信息!$A:$A&amp;盘货信息!$B:$B&amp;盘货信息!$C:$C,盘货信息!$Q:$Q))),1),""))&amp;"元")</f>
        <v/>
      </c>
      <c r="T35" s="18" t="str">
        <f t="array" ref="T35">IF(ISNUMBER(SEARCH("是",_xlfn.XLOOKUP(A35&amp;B35&amp;C35,盘货信息!$A:$A&amp;盘货信息!$B:$B&amp;盘货信息!$C:$C,盘货信息!$T:$T))),"【瓜分】"&amp;固定信息!$B$7,"")</f>
        <v/>
      </c>
      <c r="U35" s="18" t="str">
        <f>IF($C35="","",IF(AND(R35="",S35="",T35=""),"",固定信息!$B$1))</f>
        <v/>
      </c>
      <c r="V35" s="18" t="str">
        <f t="array" ref="V35">IF(C35="","","【服务】"&amp;IF(_xlfn.XLOOKUP(A35&amp;B35&amp;C35,盘货信息!$A:$A&amp;盘货信息!$B:$B&amp;盘货信息!$C:$C,盘货信息!$V:$V)="","",_xlfn.XLOOKUP(A35&amp;B35&amp;C35,盘货信息!$A:$A&amp;盘货信息!$B:$B&amp;盘货信息!$C:$C,盘货信息!$V:$V)&amp;"免息,")&amp;IF(_xlfn.XLOOKUP(A35&amp;B35&amp;C35,盘货信息!$A:$A&amp;盘货信息!$B:$B&amp;盘货信息!$C:$C,盘货信息!$W:$W)="","",_xlfn.XLOOKUP(A35&amp;B35&amp;C35,盘货信息!$A:$A&amp;盘货信息!$B:$B&amp;盘货信息!$C:$C,盘货信息!$W:$W)&amp;"，")&amp;"送货入户，退换免运费")</f>
        <v/>
      </c>
    </row>
    <row r="36" customHeight="1" spans="1:22">
      <c r="A36" s="17" t="str">
        <f>IF(盘货信息!A36="","",盘货信息!A36)</f>
        <v/>
      </c>
      <c r="B36" s="20" t="str">
        <f>IF(盘货信息!B36="","",盘货信息!B36)</f>
        <v/>
      </c>
      <c r="C36" s="18" t="str">
        <f>IF(盘货信息!C36="","",盘货信息!C36)</f>
        <v/>
      </c>
      <c r="D36" s="18" t="str">
        <f ca="1" t="shared" si="0"/>
        <v/>
      </c>
      <c r="E36" s="18" t="str">
        <f>IF(C36="","",固定信息!$B$2)</f>
        <v/>
      </c>
      <c r="F36" s="18" t="str">
        <f t="array" ref="F36">IF(C36="","","【"&amp;C36&amp;"】"&amp;_xlfn.XLOOKUP(A36&amp;B36&amp;C36,盘货信息!$A:$A&amp;盘货信息!$B:$B&amp;盘货信息!$C:$C,盘货信息!$D:$D))</f>
        <v/>
      </c>
      <c r="G36" s="18" t="str">
        <f>IF(C36="","","【"&amp;"活动时间："&amp;固定信息!$B$3&amp;"】")</f>
        <v/>
      </c>
      <c r="H36" s="18" t="str">
        <f>IF($C36="","",固定信息!$B$1)</f>
        <v/>
      </c>
      <c r="I36" s="18"/>
      <c r="J36" s="18" t="str">
        <f t="array" ref="J36">_xlfn.XLOOKUP(A36&amp;B36&amp;C36,价格信息!$A:$A&amp;价格信息!$B:$B&amp;价格信息!$C:$C,价格信息!$D:$D)</f>
        <v/>
      </c>
      <c r="K36" s="31" t="str">
        <f t="array" ref="K36">IF(_xlfn.XLOOKUP(A36&amp;B36&amp;C36,价格信息!$A:$A&amp;价格信息!$B:$B&amp;价格信息!$C:$C,价格信息!$I:$I)="","","【优惠券链接】"&amp;固定信息!$B$6)</f>
        <v/>
      </c>
      <c r="L36" s="31" t="str">
        <f>IF($C36="","",固定信息!$B$1)</f>
        <v/>
      </c>
      <c r="M36" s="18" t="str">
        <f t="array" ref="M36">IF(_xlfn.XLOOKUP(A36&amp;B36&amp;C36,盘货信息!$A:$A&amp;盘货信息!$B:$B&amp;盘货信息!$C:$C,盘货信息!$O:$O)="","","【优惠券】领"&amp;INDEX(_wpsfn.REGEXP(_xlfn.XLOOKUP(A36&amp;B36&amp;C36,盘货信息!$A:$A&amp;盘货信息!$B:$B&amp;盘货信息!$C:$C,盘货信息!$O:$O),"\d+"),1,1)&amp;"元优惠券下单更优惠，优惠卷："&amp;_xlfn.XLOOKUP(A36&amp;B36&amp;C36,盘货信息!$A:$A&amp;盘货信息!$B:$B&amp;盘货信息!$C:$C,盘货信息!$P:$P))</f>
        <v/>
      </c>
      <c r="N36" s="18" t="str">
        <f t="array" ref="N36">IF(AND(ISNUMBER(_xlfn.XLOOKUP(A36&amp;B36&amp;C36,盘货信息!$A:$A&amp;盘货信息!$B:$B&amp;盘货信息!$C:$C,盘货信息!$I:$I)),_xlfn.XLOOKUP(A36&amp;B36&amp;C36,盘货信息!$A:$A&amp;盘货信息!$B:$B&amp;盘货信息!$C:$C,盘货信息!$I:$I)&gt;1),"【88VIP】立减"&amp;_xlfn.XLOOKUP(A36&amp;B36&amp;C36,盘货信息!$A:$A&amp;盘货信息!$B:$B&amp;盘货信息!$C:$C,盘货信息!$I:$I)&amp;"元","")</f>
        <v/>
      </c>
      <c r="O36" s="18" t="str">
        <f t="array" ref="O36">IF(_xlfn.XLOOKUP(A36&amp;B36&amp;C36,盘货信息!$A:$A&amp;盘货信息!$B:$B&amp;盘货信息!$C:$C,盘货信息!$K:$K)="","",IF(AND(_xlfn.XLOOKUP(A36&amp;B36&amp;C36,盘货信息!$A:$A&amp;盘货信息!$B:$B&amp;盘货信息!$C:$C,盘货信息!$G:$G)="不参加",_xlfn.XLOOKUP(A36&amp;B36&amp;C36,盘货信息!$A:$A&amp;盘货信息!$B:$B&amp;盘货信息!$C:$C,盘货信息!$H:$H)=""),"【以旧换新】"&amp;_xlfn.XLOOKUP(A36&amp;B36&amp;C36,盘货信息!$A:$A&amp;盘货信息!$B:$B&amp;盘货信息!$C:$C,盘货信息!$K:$K)&amp;"元以旧换新补贴（可无旧机换新）",""))</f>
        <v/>
      </c>
      <c r="P36" s="18" t="str">
        <f t="array" ref="P36">_xlfn.XLOOKUP(A36&amp;B36&amp;C36,赠品!$A:$A&amp;赠品!$B:$B&amp;赠品!$C:$C,赠品!$D:$D)</f>
        <v/>
      </c>
      <c r="Q36" s="18" t="str">
        <f>IF($C36="","",IF(AND(M36="",N36="",P36=""),"",固定信息!$B$1))</f>
        <v/>
      </c>
      <c r="R36" s="18" t="str">
        <f t="array" ref="R36">IF(ISNUMBER(SEARCH("是",_xlfn.XLOOKUP(A36&amp;B36&amp;C36,盘货信息!$A:$A&amp;盘货信息!$B:$B&amp;盘货信息!$C:$C,盘货信息!$U:$U))),"【折扣】指定型号满2类享96折，满3类享94折","")</f>
        <v/>
      </c>
      <c r="S36" s="18" t="str">
        <f t="array" ref="S36">IF(_xlfn.XLOOKUP(A36&amp;B36&amp;C36,盘货信息!$A:$A&amp;盘货信息!$B:$B&amp;盘货信息!$C:$C,盘货信息!$Q:$Q)&lt;1,"","【红包】活动时间购机送"&amp;_xlfn.TEXTJOIN("",,IF(ISNUMBER(--MID(_xlfn.XLOOKUP(A36&amp;B36&amp;C36,盘货信息!$A:$A&amp;盘货信息!$B:$B&amp;盘货信息!$C:$C,盘货信息!$Q:$Q),_xlfn.SEQUENCE(LEN(_xlfn.XLOOKUP(A36&amp;B36&amp;C36,盘货信息!$A:$A&amp;盘货信息!$B:$B&amp;盘货信息!$C:$C,盘货信息!$Q:$Q))),1)),MID(_xlfn.XLOOKUP(A36&amp;B36&amp;C36,盘货信息!$A:$A&amp;盘货信息!$B:$B&amp;盘货信息!$C:$C,盘货信息!$Q:$Q),_xlfn.SEQUENCE(LEN(_xlfn.XLOOKUP(A36&amp;B36&amp;C36,盘货信息!$A:$A&amp;盘货信息!$B:$B&amp;盘货信息!$C:$C,盘货信息!$Q:$Q))),1),""))&amp;"元")</f>
        <v/>
      </c>
      <c r="T36" s="18" t="str">
        <f t="array" ref="T36">IF(ISNUMBER(SEARCH("是",_xlfn.XLOOKUP(A36&amp;B36&amp;C36,盘货信息!$A:$A&amp;盘货信息!$B:$B&amp;盘货信息!$C:$C,盘货信息!$T:$T))),"【瓜分】"&amp;固定信息!$B$7,"")</f>
        <v/>
      </c>
      <c r="U36" s="18" t="str">
        <f>IF($C36="","",IF(AND(R36="",S36="",T36=""),"",固定信息!$B$1))</f>
        <v/>
      </c>
      <c r="V36" s="18" t="str">
        <f t="array" ref="V36">IF(C36="","","【服务】"&amp;IF(_xlfn.XLOOKUP(A36&amp;B36&amp;C36,盘货信息!$A:$A&amp;盘货信息!$B:$B&amp;盘货信息!$C:$C,盘货信息!$V:$V)="","",_xlfn.XLOOKUP(A36&amp;B36&amp;C36,盘货信息!$A:$A&amp;盘货信息!$B:$B&amp;盘货信息!$C:$C,盘货信息!$V:$V)&amp;"免息,")&amp;IF(_xlfn.XLOOKUP(A36&amp;B36&amp;C36,盘货信息!$A:$A&amp;盘货信息!$B:$B&amp;盘货信息!$C:$C,盘货信息!$W:$W)="","",_xlfn.XLOOKUP(A36&amp;B36&amp;C36,盘货信息!$A:$A&amp;盘货信息!$B:$B&amp;盘货信息!$C:$C,盘货信息!$W:$W)&amp;"，")&amp;"送货入户，退换免运费")</f>
        <v/>
      </c>
    </row>
    <row r="37" customHeight="1" spans="1:22">
      <c r="A37" s="17" t="str">
        <f>IF(盘货信息!A37="","",盘货信息!A37)</f>
        <v/>
      </c>
      <c r="B37" s="20" t="str">
        <f>IF(盘货信息!B37="","",盘货信息!B37)</f>
        <v/>
      </c>
      <c r="C37" s="18" t="str">
        <f>IF(盘货信息!C37="","",盘货信息!C37)</f>
        <v/>
      </c>
      <c r="D37" s="18" t="str">
        <f ca="1" t="shared" si="0"/>
        <v/>
      </c>
      <c r="E37" s="18" t="str">
        <f>IF(C37="","",固定信息!$B$2)</f>
        <v/>
      </c>
      <c r="F37" s="18" t="str">
        <f t="array" ref="F37">IF(C37="","","【"&amp;C37&amp;"】"&amp;_xlfn.XLOOKUP(A37&amp;B37&amp;C37,盘货信息!$A:$A&amp;盘货信息!$B:$B&amp;盘货信息!$C:$C,盘货信息!$D:$D))</f>
        <v/>
      </c>
      <c r="G37" s="18" t="str">
        <f>IF(C37="","","【"&amp;"活动时间："&amp;固定信息!$B$3&amp;"】")</f>
        <v/>
      </c>
      <c r="H37" s="18" t="str">
        <f>IF($C37="","",固定信息!$B$1)</f>
        <v/>
      </c>
      <c r="I37" s="18"/>
      <c r="J37" s="18" t="str">
        <f t="array" ref="J37">_xlfn.XLOOKUP(A37&amp;B37&amp;C37,价格信息!$A:$A&amp;价格信息!$B:$B&amp;价格信息!$C:$C,价格信息!$D:$D)</f>
        <v/>
      </c>
      <c r="K37" s="31" t="str">
        <f t="array" ref="K37">IF(_xlfn.XLOOKUP(A37&amp;B37&amp;C37,价格信息!$A:$A&amp;价格信息!$B:$B&amp;价格信息!$C:$C,价格信息!$I:$I)="","","【优惠券链接】"&amp;固定信息!$B$6)</f>
        <v/>
      </c>
      <c r="L37" s="31" t="str">
        <f>IF($C37="","",固定信息!$B$1)</f>
        <v/>
      </c>
      <c r="M37" s="18" t="str">
        <f t="array" ref="M37">IF(_xlfn.XLOOKUP(A37&amp;B37&amp;C37,盘货信息!$A:$A&amp;盘货信息!$B:$B&amp;盘货信息!$C:$C,盘货信息!$O:$O)="","","【优惠券】领"&amp;INDEX(_wpsfn.REGEXP(_xlfn.XLOOKUP(A37&amp;B37&amp;C37,盘货信息!$A:$A&amp;盘货信息!$B:$B&amp;盘货信息!$C:$C,盘货信息!$O:$O),"\d+"),1,1)&amp;"元优惠券下单更优惠，优惠卷："&amp;_xlfn.XLOOKUP(A37&amp;B37&amp;C37,盘货信息!$A:$A&amp;盘货信息!$B:$B&amp;盘货信息!$C:$C,盘货信息!$P:$P))</f>
        <v/>
      </c>
      <c r="N37" s="18" t="str">
        <f t="array" ref="N37">IF(AND(ISNUMBER(_xlfn.XLOOKUP(A37&amp;B37&amp;C37,盘货信息!$A:$A&amp;盘货信息!$B:$B&amp;盘货信息!$C:$C,盘货信息!$I:$I)),_xlfn.XLOOKUP(A37&amp;B37&amp;C37,盘货信息!$A:$A&amp;盘货信息!$B:$B&amp;盘货信息!$C:$C,盘货信息!$I:$I)&gt;1),"【88VIP】立减"&amp;_xlfn.XLOOKUP(A37&amp;B37&amp;C37,盘货信息!$A:$A&amp;盘货信息!$B:$B&amp;盘货信息!$C:$C,盘货信息!$I:$I)&amp;"元","")</f>
        <v/>
      </c>
      <c r="O37" s="18" t="str">
        <f t="array" ref="O37">IF(_xlfn.XLOOKUP(A37&amp;B37&amp;C37,盘货信息!$A:$A&amp;盘货信息!$B:$B&amp;盘货信息!$C:$C,盘货信息!$K:$K)="","",IF(AND(_xlfn.XLOOKUP(A37&amp;B37&amp;C37,盘货信息!$A:$A&amp;盘货信息!$B:$B&amp;盘货信息!$C:$C,盘货信息!$G:$G)="不参加",_xlfn.XLOOKUP(A37&amp;B37&amp;C37,盘货信息!$A:$A&amp;盘货信息!$B:$B&amp;盘货信息!$C:$C,盘货信息!$H:$H)=""),"【以旧换新】"&amp;_xlfn.XLOOKUP(A37&amp;B37&amp;C37,盘货信息!$A:$A&amp;盘货信息!$B:$B&amp;盘货信息!$C:$C,盘货信息!$K:$K)&amp;"元以旧换新补贴（可无旧机换新）",""))</f>
        <v/>
      </c>
      <c r="P37" s="18" t="str">
        <f t="array" ref="P37">_xlfn.XLOOKUP(A37&amp;B37&amp;C37,赠品!$A:$A&amp;赠品!$B:$B&amp;赠品!$C:$C,赠品!$D:$D)</f>
        <v/>
      </c>
      <c r="Q37" s="18" t="str">
        <f>IF($C37="","",IF(AND(M37="",N37="",P37=""),"",固定信息!$B$1))</f>
        <v/>
      </c>
      <c r="R37" s="18" t="str">
        <f t="array" ref="R37">IF(ISNUMBER(SEARCH("是",_xlfn.XLOOKUP(A37&amp;B37&amp;C37,盘货信息!$A:$A&amp;盘货信息!$B:$B&amp;盘货信息!$C:$C,盘货信息!$U:$U))),"【折扣】指定型号满2类享96折，满3类享94折","")</f>
        <v/>
      </c>
      <c r="S37" s="18" t="str">
        <f t="array" ref="S37">IF(_xlfn.XLOOKUP(A37&amp;B37&amp;C37,盘货信息!$A:$A&amp;盘货信息!$B:$B&amp;盘货信息!$C:$C,盘货信息!$Q:$Q)&lt;1,"","【红包】活动时间购机送"&amp;_xlfn.TEXTJOIN("",,IF(ISNUMBER(--MID(_xlfn.XLOOKUP(A37&amp;B37&amp;C37,盘货信息!$A:$A&amp;盘货信息!$B:$B&amp;盘货信息!$C:$C,盘货信息!$Q:$Q),_xlfn.SEQUENCE(LEN(_xlfn.XLOOKUP(A37&amp;B37&amp;C37,盘货信息!$A:$A&amp;盘货信息!$B:$B&amp;盘货信息!$C:$C,盘货信息!$Q:$Q))),1)),MID(_xlfn.XLOOKUP(A37&amp;B37&amp;C37,盘货信息!$A:$A&amp;盘货信息!$B:$B&amp;盘货信息!$C:$C,盘货信息!$Q:$Q),_xlfn.SEQUENCE(LEN(_xlfn.XLOOKUP(A37&amp;B37&amp;C37,盘货信息!$A:$A&amp;盘货信息!$B:$B&amp;盘货信息!$C:$C,盘货信息!$Q:$Q))),1),""))&amp;"元")</f>
        <v/>
      </c>
      <c r="T37" s="18" t="str">
        <f t="array" ref="T37">IF(ISNUMBER(SEARCH("是",_xlfn.XLOOKUP(A37&amp;B37&amp;C37,盘货信息!$A:$A&amp;盘货信息!$B:$B&amp;盘货信息!$C:$C,盘货信息!$T:$T))),"【瓜分】"&amp;固定信息!$B$7,"")</f>
        <v/>
      </c>
      <c r="U37" s="18" t="str">
        <f>IF($C37="","",IF(AND(R37="",S37="",T37=""),"",固定信息!$B$1))</f>
        <v/>
      </c>
      <c r="V37" s="18" t="str">
        <f t="array" ref="V37">IF(C37="","","【服务】"&amp;IF(_xlfn.XLOOKUP(A37&amp;B37&amp;C37,盘货信息!$A:$A&amp;盘货信息!$B:$B&amp;盘货信息!$C:$C,盘货信息!$V:$V)="","",_xlfn.XLOOKUP(A37&amp;B37&amp;C37,盘货信息!$A:$A&amp;盘货信息!$B:$B&amp;盘货信息!$C:$C,盘货信息!$V:$V)&amp;"免息,")&amp;IF(_xlfn.XLOOKUP(A37&amp;B37&amp;C37,盘货信息!$A:$A&amp;盘货信息!$B:$B&amp;盘货信息!$C:$C,盘货信息!$W:$W)="","",_xlfn.XLOOKUP(A37&amp;B37&amp;C37,盘货信息!$A:$A&amp;盘货信息!$B:$B&amp;盘货信息!$C:$C,盘货信息!$W:$W)&amp;"，")&amp;"送货入户，退换免运费")</f>
        <v/>
      </c>
    </row>
    <row r="38" customHeight="1" spans="1:22">
      <c r="A38" s="17" t="str">
        <f>IF(盘货信息!A38="","",盘货信息!A38)</f>
        <v/>
      </c>
      <c r="B38" s="20" t="str">
        <f>IF(盘货信息!B38="","",盘货信息!B38)</f>
        <v/>
      </c>
      <c r="C38" s="18" t="str">
        <f>IF(盘货信息!C38="","",盘货信息!C38)</f>
        <v/>
      </c>
      <c r="D38" s="18" t="str">
        <f ca="1" t="shared" si="0"/>
        <v/>
      </c>
      <c r="E38" s="18" t="str">
        <f>IF(C38="","",固定信息!$B$2)</f>
        <v/>
      </c>
      <c r="F38" s="18" t="str">
        <f t="array" ref="F38">IF(C38="","","【"&amp;C38&amp;"】"&amp;_xlfn.XLOOKUP(A38&amp;B38&amp;C38,盘货信息!$A:$A&amp;盘货信息!$B:$B&amp;盘货信息!$C:$C,盘货信息!$D:$D))</f>
        <v/>
      </c>
      <c r="G38" s="18" t="str">
        <f>IF(C38="","","【"&amp;"活动时间："&amp;固定信息!$B$3&amp;"】")</f>
        <v/>
      </c>
      <c r="H38" s="18" t="str">
        <f>IF($C38="","",固定信息!$B$1)</f>
        <v/>
      </c>
      <c r="I38" s="18"/>
      <c r="J38" s="18" t="str">
        <f t="array" ref="J38">_xlfn.XLOOKUP(A38&amp;B38&amp;C38,价格信息!$A:$A&amp;价格信息!$B:$B&amp;价格信息!$C:$C,价格信息!$D:$D)</f>
        <v/>
      </c>
      <c r="K38" s="31" t="str">
        <f t="array" ref="K38">IF(_xlfn.XLOOKUP(A38&amp;B38&amp;C38,价格信息!$A:$A&amp;价格信息!$B:$B&amp;价格信息!$C:$C,价格信息!$I:$I)="","","【优惠券链接】"&amp;固定信息!$B$6)</f>
        <v/>
      </c>
      <c r="L38" s="31" t="str">
        <f>IF($C38="","",固定信息!$B$1)</f>
        <v/>
      </c>
      <c r="M38" s="18" t="str">
        <f t="array" ref="M38">IF(_xlfn.XLOOKUP(A38&amp;B38&amp;C38,盘货信息!$A:$A&amp;盘货信息!$B:$B&amp;盘货信息!$C:$C,盘货信息!$O:$O)="","","【优惠券】领"&amp;INDEX(_wpsfn.REGEXP(_xlfn.XLOOKUP(A38&amp;B38&amp;C38,盘货信息!$A:$A&amp;盘货信息!$B:$B&amp;盘货信息!$C:$C,盘货信息!$O:$O),"\d+"),1,1)&amp;"元优惠券下单更优惠，优惠卷："&amp;_xlfn.XLOOKUP(A38&amp;B38&amp;C38,盘货信息!$A:$A&amp;盘货信息!$B:$B&amp;盘货信息!$C:$C,盘货信息!$P:$P))</f>
        <v/>
      </c>
      <c r="N38" s="18" t="str">
        <f t="array" ref="N38">IF(AND(ISNUMBER(_xlfn.XLOOKUP(A38&amp;B38&amp;C38,盘货信息!$A:$A&amp;盘货信息!$B:$B&amp;盘货信息!$C:$C,盘货信息!$I:$I)),_xlfn.XLOOKUP(A38&amp;B38&amp;C38,盘货信息!$A:$A&amp;盘货信息!$B:$B&amp;盘货信息!$C:$C,盘货信息!$I:$I)&gt;1),"【88VIP】立减"&amp;_xlfn.XLOOKUP(A38&amp;B38&amp;C38,盘货信息!$A:$A&amp;盘货信息!$B:$B&amp;盘货信息!$C:$C,盘货信息!$I:$I)&amp;"元","")</f>
        <v/>
      </c>
      <c r="O38" s="18" t="str">
        <f t="array" ref="O38">IF(_xlfn.XLOOKUP(A38&amp;B38&amp;C38,盘货信息!$A:$A&amp;盘货信息!$B:$B&amp;盘货信息!$C:$C,盘货信息!$K:$K)="","",IF(AND(_xlfn.XLOOKUP(A38&amp;B38&amp;C38,盘货信息!$A:$A&amp;盘货信息!$B:$B&amp;盘货信息!$C:$C,盘货信息!$G:$G)="不参加",_xlfn.XLOOKUP(A38&amp;B38&amp;C38,盘货信息!$A:$A&amp;盘货信息!$B:$B&amp;盘货信息!$C:$C,盘货信息!$H:$H)=""),"【以旧换新】"&amp;_xlfn.XLOOKUP(A38&amp;B38&amp;C38,盘货信息!$A:$A&amp;盘货信息!$B:$B&amp;盘货信息!$C:$C,盘货信息!$K:$K)&amp;"元以旧换新补贴（可无旧机换新）",""))</f>
        <v/>
      </c>
      <c r="P38" s="18" t="str">
        <f t="array" ref="P38">_xlfn.XLOOKUP(A38&amp;B38&amp;C38,赠品!$A:$A&amp;赠品!$B:$B&amp;赠品!$C:$C,赠品!$D:$D)</f>
        <v/>
      </c>
      <c r="Q38" s="18" t="str">
        <f>IF($C38="","",IF(AND(M38="",N38="",P38=""),"",固定信息!$B$1))</f>
        <v/>
      </c>
      <c r="R38" s="18" t="str">
        <f t="array" ref="R38">IF(ISNUMBER(SEARCH("是",_xlfn.XLOOKUP(A38&amp;B38&amp;C38,盘货信息!$A:$A&amp;盘货信息!$B:$B&amp;盘货信息!$C:$C,盘货信息!$U:$U))),"【折扣】指定型号满2类享96折，满3类享94折","")</f>
        <v/>
      </c>
      <c r="S38" s="18" t="str">
        <f t="array" ref="S38">IF(_xlfn.XLOOKUP(A38&amp;B38&amp;C38,盘货信息!$A:$A&amp;盘货信息!$B:$B&amp;盘货信息!$C:$C,盘货信息!$Q:$Q)&lt;1,"","【红包】活动时间购机送"&amp;_xlfn.TEXTJOIN("",,IF(ISNUMBER(--MID(_xlfn.XLOOKUP(A38&amp;B38&amp;C38,盘货信息!$A:$A&amp;盘货信息!$B:$B&amp;盘货信息!$C:$C,盘货信息!$Q:$Q),_xlfn.SEQUENCE(LEN(_xlfn.XLOOKUP(A38&amp;B38&amp;C38,盘货信息!$A:$A&amp;盘货信息!$B:$B&amp;盘货信息!$C:$C,盘货信息!$Q:$Q))),1)),MID(_xlfn.XLOOKUP(A38&amp;B38&amp;C38,盘货信息!$A:$A&amp;盘货信息!$B:$B&amp;盘货信息!$C:$C,盘货信息!$Q:$Q),_xlfn.SEQUENCE(LEN(_xlfn.XLOOKUP(A38&amp;B38&amp;C38,盘货信息!$A:$A&amp;盘货信息!$B:$B&amp;盘货信息!$C:$C,盘货信息!$Q:$Q))),1),""))&amp;"元")</f>
        <v/>
      </c>
      <c r="T38" s="18" t="str">
        <f t="array" ref="T38">IF(ISNUMBER(SEARCH("是",_xlfn.XLOOKUP(A38&amp;B38&amp;C38,盘货信息!$A:$A&amp;盘货信息!$B:$B&amp;盘货信息!$C:$C,盘货信息!$T:$T))),"【瓜分】"&amp;固定信息!$B$7,"")</f>
        <v/>
      </c>
      <c r="U38" s="18" t="str">
        <f>IF($C38="","",IF(AND(R38="",S38="",T38=""),"",固定信息!$B$1))</f>
        <v/>
      </c>
      <c r="V38" s="18" t="str">
        <f t="array" ref="V38">IF(C38="","","【服务】"&amp;IF(_xlfn.XLOOKUP(A38&amp;B38&amp;C38,盘货信息!$A:$A&amp;盘货信息!$B:$B&amp;盘货信息!$C:$C,盘货信息!$V:$V)="","",_xlfn.XLOOKUP(A38&amp;B38&amp;C38,盘货信息!$A:$A&amp;盘货信息!$B:$B&amp;盘货信息!$C:$C,盘货信息!$V:$V)&amp;"免息,")&amp;IF(_xlfn.XLOOKUP(A38&amp;B38&amp;C38,盘货信息!$A:$A&amp;盘货信息!$B:$B&amp;盘货信息!$C:$C,盘货信息!$W:$W)="","",_xlfn.XLOOKUP(A38&amp;B38&amp;C38,盘货信息!$A:$A&amp;盘货信息!$B:$B&amp;盘货信息!$C:$C,盘货信息!$W:$W)&amp;"，")&amp;"送货入户，退换免运费")</f>
        <v/>
      </c>
    </row>
    <row r="39" customHeight="1" spans="1:22">
      <c r="A39" s="17" t="str">
        <f>IF(盘货信息!A39="","",盘货信息!A39)</f>
        <v/>
      </c>
      <c r="B39" s="20" t="str">
        <f>IF(盘货信息!B39="","",盘货信息!B39)</f>
        <v/>
      </c>
      <c r="C39" s="18" t="str">
        <f>IF(盘货信息!C39="","",盘货信息!C39)</f>
        <v/>
      </c>
      <c r="D39" s="18" t="str">
        <f ca="1" t="shared" si="0"/>
        <v/>
      </c>
      <c r="E39" s="18" t="str">
        <f>IF(C39="","",固定信息!$B$2)</f>
        <v/>
      </c>
      <c r="F39" s="18" t="str">
        <f t="array" ref="F39">IF(C39="","","【"&amp;C39&amp;"】"&amp;_xlfn.XLOOKUP(A39&amp;B39&amp;C39,盘货信息!$A:$A&amp;盘货信息!$B:$B&amp;盘货信息!$C:$C,盘货信息!$D:$D))</f>
        <v/>
      </c>
      <c r="G39" s="18" t="str">
        <f>IF(C39="","","【"&amp;"活动时间："&amp;固定信息!$B$3&amp;"】")</f>
        <v/>
      </c>
      <c r="H39" s="18" t="str">
        <f>IF($C39="","",固定信息!$B$1)</f>
        <v/>
      </c>
      <c r="I39" s="18"/>
      <c r="J39" s="18" t="str">
        <f t="array" ref="J39">_xlfn.XLOOKUP(A39&amp;B39&amp;C39,价格信息!$A:$A&amp;价格信息!$B:$B&amp;价格信息!$C:$C,价格信息!$D:$D)</f>
        <v/>
      </c>
      <c r="K39" s="31" t="str">
        <f t="array" ref="K39">IF(_xlfn.XLOOKUP(A39&amp;B39&amp;C39,价格信息!$A:$A&amp;价格信息!$B:$B&amp;价格信息!$C:$C,价格信息!$I:$I)="","","【优惠券链接】"&amp;固定信息!$B$6)</f>
        <v/>
      </c>
      <c r="L39" s="31" t="str">
        <f>IF($C39="","",固定信息!$B$1)</f>
        <v/>
      </c>
      <c r="M39" s="18" t="str">
        <f t="array" ref="M39">IF(_xlfn.XLOOKUP(A39&amp;B39&amp;C39,盘货信息!$A:$A&amp;盘货信息!$B:$B&amp;盘货信息!$C:$C,盘货信息!$O:$O)="","","【优惠券】领"&amp;INDEX(_wpsfn.REGEXP(_xlfn.XLOOKUP(A39&amp;B39&amp;C39,盘货信息!$A:$A&amp;盘货信息!$B:$B&amp;盘货信息!$C:$C,盘货信息!$O:$O),"\d+"),1,1)&amp;"元优惠券下单更优惠，优惠卷："&amp;_xlfn.XLOOKUP(A39&amp;B39&amp;C39,盘货信息!$A:$A&amp;盘货信息!$B:$B&amp;盘货信息!$C:$C,盘货信息!$P:$P))</f>
        <v/>
      </c>
      <c r="N39" s="18" t="str">
        <f t="array" ref="N39">IF(AND(ISNUMBER(_xlfn.XLOOKUP(A39&amp;B39&amp;C39,盘货信息!$A:$A&amp;盘货信息!$B:$B&amp;盘货信息!$C:$C,盘货信息!$I:$I)),_xlfn.XLOOKUP(A39&amp;B39&amp;C39,盘货信息!$A:$A&amp;盘货信息!$B:$B&amp;盘货信息!$C:$C,盘货信息!$I:$I)&gt;1),"【88VIP】立减"&amp;_xlfn.XLOOKUP(A39&amp;B39&amp;C39,盘货信息!$A:$A&amp;盘货信息!$B:$B&amp;盘货信息!$C:$C,盘货信息!$I:$I)&amp;"元","")</f>
        <v/>
      </c>
      <c r="O39" s="18" t="str">
        <f t="array" ref="O39">IF(_xlfn.XLOOKUP(A39&amp;B39&amp;C39,盘货信息!$A:$A&amp;盘货信息!$B:$B&amp;盘货信息!$C:$C,盘货信息!$K:$K)="","",IF(AND(_xlfn.XLOOKUP(A39&amp;B39&amp;C39,盘货信息!$A:$A&amp;盘货信息!$B:$B&amp;盘货信息!$C:$C,盘货信息!$G:$G)="不参加",_xlfn.XLOOKUP(A39&amp;B39&amp;C39,盘货信息!$A:$A&amp;盘货信息!$B:$B&amp;盘货信息!$C:$C,盘货信息!$H:$H)=""),"【以旧换新】"&amp;_xlfn.XLOOKUP(A39&amp;B39&amp;C39,盘货信息!$A:$A&amp;盘货信息!$B:$B&amp;盘货信息!$C:$C,盘货信息!$K:$K)&amp;"元以旧换新补贴（可无旧机换新）",""))</f>
        <v/>
      </c>
      <c r="P39" s="18" t="str">
        <f t="array" ref="P39">_xlfn.XLOOKUP(A39&amp;B39&amp;C39,赠品!$A:$A&amp;赠品!$B:$B&amp;赠品!$C:$C,赠品!$D:$D)</f>
        <v/>
      </c>
      <c r="Q39" s="18" t="str">
        <f>IF($C39="","",IF(AND(M39="",N39="",P39=""),"",固定信息!$B$1))</f>
        <v/>
      </c>
      <c r="R39" s="18" t="str">
        <f t="array" ref="R39">IF(ISNUMBER(SEARCH("是",_xlfn.XLOOKUP(A39&amp;B39&amp;C39,盘货信息!$A:$A&amp;盘货信息!$B:$B&amp;盘货信息!$C:$C,盘货信息!$U:$U))),"【折扣】指定型号满2类享96折，满3类享94折","")</f>
        <v/>
      </c>
      <c r="S39" s="18" t="str">
        <f t="array" ref="S39">IF(_xlfn.XLOOKUP(A39&amp;B39&amp;C39,盘货信息!$A:$A&amp;盘货信息!$B:$B&amp;盘货信息!$C:$C,盘货信息!$Q:$Q)&lt;1,"","【红包】活动时间购机送"&amp;_xlfn.TEXTJOIN("",,IF(ISNUMBER(--MID(_xlfn.XLOOKUP(A39&amp;B39&amp;C39,盘货信息!$A:$A&amp;盘货信息!$B:$B&amp;盘货信息!$C:$C,盘货信息!$Q:$Q),_xlfn.SEQUENCE(LEN(_xlfn.XLOOKUP(A39&amp;B39&amp;C39,盘货信息!$A:$A&amp;盘货信息!$B:$B&amp;盘货信息!$C:$C,盘货信息!$Q:$Q))),1)),MID(_xlfn.XLOOKUP(A39&amp;B39&amp;C39,盘货信息!$A:$A&amp;盘货信息!$B:$B&amp;盘货信息!$C:$C,盘货信息!$Q:$Q),_xlfn.SEQUENCE(LEN(_xlfn.XLOOKUP(A39&amp;B39&amp;C39,盘货信息!$A:$A&amp;盘货信息!$B:$B&amp;盘货信息!$C:$C,盘货信息!$Q:$Q))),1),""))&amp;"元")</f>
        <v/>
      </c>
      <c r="T39" s="18" t="str">
        <f t="array" ref="T39">IF(ISNUMBER(SEARCH("是",_xlfn.XLOOKUP(A39&amp;B39&amp;C39,盘货信息!$A:$A&amp;盘货信息!$B:$B&amp;盘货信息!$C:$C,盘货信息!$T:$T))),"【瓜分】"&amp;固定信息!$B$7,"")</f>
        <v/>
      </c>
      <c r="U39" s="18" t="str">
        <f>IF($C39="","",IF(AND(R39="",S39="",T39=""),"",固定信息!$B$1))</f>
        <v/>
      </c>
      <c r="V39" s="18" t="str">
        <f t="array" ref="V39">IF(C39="","","【服务】"&amp;IF(_xlfn.XLOOKUP(A39&amp;B39&amp;C39,盘货信息!$A:$A&amp;盘货信息!$B:$B&amp;盘货信息!$C:$C,盘货信息!$V:$V)="","",_xlfn.XLOOKUP(A39&amp;B39&amp;C39,盘货信息!$A:$A&amp;盘货信息!$B:$B&amp;盘货信息!$C:$C,盘货信息!$V:$V)&amp;"免息,")&amp;IF(_xlfn.XLOOKUP(A39&amp;B39&amp;C39,盘货信息!$A:$A&amp;盘货信息!$B:$B&amp;盘货信息!$C:$C,盘货信息!$W:$W)="","",_xlfn.XLOOKUP(A39&amp;B39&amp;C39,盘货信息!$A:$A&amp;盘货信息!$B:$B&amp;盘货信息!$C:$C,盘货信息!$W:$W)&amp;"，")&amp;"送货入户，退换免运费")</f>
        <v/>
      </c>
    </row>
    <row r="40" customHeight="1" spans="1:22">
      <c r="A40" s="17" t="str">
        <f>IF(盘货信息!A40="","",盘货信息!A40)</f>
        <v/>
      </c>
      <c r="B40" s="20" t="str">
        <f>IF(盘货信息!B40="","",盘货信息!B40)</f>
        <v/>
      </c>
      <c r="C40" s="18" t="str">
        <f>IF(盘货信息!C40="","",盘货信息!C40)</f>
        <v/>
      </c>
      <c r="D40" s="18" t="str">
        <f ca="1" t="shared" si="0"/>
        <v/>
      </c>
      <c r="E40" s="18" t="str">
        <f>IF(C40="","",固定信息!$B$2)</f>
        <v/>
      </c>
      <c r="F40" s="18" t="str">
        <f t="array" ref="F40">IF(C40="","","【"&amp;C40&amp;"】"&amp;_xlfn.XLOOKUP(A40&amp;B40&amp;C40,盘货信息!$A:$A&amp;盘货信息!$B:$B&amp;盘货信息!$C:$C,盘货信息!$D:$D))</f>
        <v/>
      </c>
      <c r="G40" s="18" t="str">
        <f>IF(C40="","","【"&amp;"活动时间："&amp;固定信息!$B$3&amp;"】")</f>
        <v/>
      </c>
      <c r="H40" s="18" t="str">
        <f>IF($C40="","",固定信息!$B$1)</f>
        <v/>
      </c>
      <c r="I40" s="18"/>
      <c r="J40" s="18" t="str">
        <f t="array" ref="J40">_xlfn.XLOOKUP(A40&amp;B40&amp;C40,价格信息!$A:$A&amp;价格信息!$B:$B&amp;价格信息!$C:$C,价格信息!$D:$D)</f>
        <v/>
      </c>
      <c r="K40" s="31" t="str">
        <f t="array" ref="K40">IF(_xlfn.XLOOKUP(A40&amp;B40&amp;C40,价格信息!$A:$A&amp;价格信息!$B:$B&amp;价格信息!$C:$C,价格信息!$I:$I)="","","【优惠券链接】"&amp;固定信息!$B$6)</f>
        <v/>
      </c>
      <c r="L40" s="31" t="str">
        <f>IF($C40="","",固定信息!$B$1)</f>
        <v/>
      </c>
      <c r="M40" s="18" t="str">
        <f t="array" ref="M40">IF(_xlfn.XLOOKUP(A40&amp;B40&amp;C40,盘货信息!$A:$A&amp;盘货信息!$B:$B&amp;盘货信息!$C:$C,盘货信息!$O:$O)="","","【优惠券】领"&amp;INDEX(_wpsfn.REGEXP(_xlfn.XLOOKUP(A40&amp;B40&amp;C40,盘货信息!$A:$A&amp;盘货信息!$B:$B&amp;盘货信息!$C:$C,盘货信息!$O:$O),"\d+"),1,1)&amp;"元优惠券下单更优惠，优惠卷："&amp;_xlfn.XLOOKUP(A40&amp;B40&amp;C40,盘货信息!$A:$A&amp;盘货信息!$B:$B&amp;盘货信息!$C:$C,盘货信息!$P:$P))</f>
        <v/>
      </c>
      <c r="N40" s="18" t="str">
        <f t="array" ref="N40">IF(AND(ISNUMBER(_xlfn.XLOOKUP(A40&amp;B40&amp;C40,盘货信息!$A:$A&amp;盘货信息!$B:$B&amp;盘货信息!$C:$C,盘货信息!$I:$I)),_xlfn.XLOOKUP(A40&amp;B40&amp;C40,盘货信息!$A:$A&amp;盘货信息!$B:$B&amp;盘货信息!$C:$C,盘货信息!$I:$I)&gt;1),"【88VIP】立减"&amp;_xlfn.XLOOKUP(A40&amp;B40&amp;C40,盘货信息!$A:$A&amp;盘货信息!$B:$B&amp;盘货信息!$C:$C,盘货信息!$I:$I)&amp;"元","")</f>
        <v/>
      </c>
      <c r="O40" s="18" t="str">
        <f t="array" ref="O40">IF(_xlfn.XLOOKUP(A40&amp;B40&amp;C40,盘货信息!$A:$A&amp;盘货信息!$B:$B&amp;盘货信息!$C:$C,盘货信息!$K:$K)="","",IF(AND(_xlfn.XLOOKUP(A40&amp;B40&amp;C40,盘货信息!$A:$A&amp;盘货信息!$B:$B&amp;盘货信息!$C:$C,盘货信息!$G:$G)="不参加",_xlfn.XLOOKUP(A40&amp;B40&amp;C40,盘货信息!$A:$A&amp;盘货信息!$B:$B&amp;盘货信息!$C:$C,盘货信息!$H:$H)=""),"【以旧换新】"&amp;_xlfn.XLOOKUP(A40&amp;B40&amp;C40,盘货信息!$A:$A&amp;盘货信息!$B:$B&amp;盘货信息!$C:$C,盘货信息!$K:$K)&amp;"元以旧换新补贴（可无旧机换新）",""))</f>
        <v/>
      </c>
      <c r="P40" s="18" t="str">
        <f t="array" ref="P40">_xlfn.XLOOKUP(A40&amp;B40&amp;C40,赠品!$A:$A&amp;赠品!$B:$B&amp;赠品!$C:$C,赠品!$D:$D)</f>
        <v/>
      </c>
      <c r="Q40" s="18" t="str">
        <f>IF($C40="","",IF(AND(M40="",N40="",P40=""),"",固定信息!$B$1))</f>
        <v/>
      </c>
      <c r="R40" s="18" t="str">
        <f t="array" ref="R40">IF(ISNUMBER(SEARCH("是",_xlfn.XLOOKUP(A40&amp;B40&amp;C40,盘货信息!$A:$A&amp;盘货信息!$B:$B&amp;盘货信息!$C:$C,盘货信息!$U:$U))),"【折扣】指定型号满2类享96折，满3类享94折","")</f>
        <v/>
      </c>
      <c r="S40" s="18" t="str">
        <f t="array" ref="S40">IF(_xlfn.XLOOKUP(A40&amp;B40&amp;C40,盘货信息!$A:$A&amp;盘货信息!$B:$B&amp;盘货信息!$C:$C,盘货信息!$Q:$Q)&lt;1,"","【红包】活动时间购机送"&amp;_xlfn.TEXTJOIN("",,IF(ISNUMBER(--MID(_xlfn.XLOOKUP(A40&amp;B40&amp;C40,盘货信息!$A:$A&amp;盘货信息!$B:$B&amp;盘货信息!$C:$C,盘货信息!$Q:$Q),_xlfn.SEQUENCE(LEN(_xlfn.XLOOKUP(A40&amp;B40&amp;C40,盘货信息!$A:$A&amp;盘货信息!$B:$B&amp;盘货信息!$C:$C,盘货信息!$Q:$Q))),1)),MID(_xlfn.XLOOKUP(A40&amp;B40&amp;C40,盘货信息!$A:$A&amp;盘货信息!$B:$B&amp;盘货信息!$C:$C,盘货信息!$Q:$Q),_xlfn.SEQUENCE(LEN(_xlfn.XLOOKUP(A40&amp;B40&amp;C40,盘货信息!$A:$A&amp;盘货信息!$B:$B&amp;盘货信息!$C:$C,盘货信息!$Q:$Q))),1),""))&amp;"元")</f>
        <v/>
      </c>
      <c r="T40" s="18" t="str">
        <f t="array" ref="T40">IF(ISNUMBER(SEARCH("是",_xlfn.XLOOKUP(A40&amp;B40&amp;C40,盘货信息!$A:$A&amp;盘货信息!$B:$B&amp;盘货信息!$C:$C,盘货信息!$T:$T))),"【瓜分】"&amp;固定信息!$B$7,"")</f>
        <v/>
      </c>
      <c r="U40" s="18" t="str">
        <f>IF($C40="","",IF(AND(R40="",S40="",T40=""),"",固定信息!$B$1))</f>
        <v/>
      </c>
      <c r="V40" s="18" t="str">
        <f t="array" ref="V40">IF(C40="","","【服务】"&amp;IF(_xlfn.XLOOKUP(A40&amp;B40&amp;C40,盘货信息!$A:$A&amp;盘货信息!$B:$B&amp;盘货信息!$C:$C,盘货信息!$V:$V)="","",_xlfn.XLOOKUP(A40&amp;B40&amp;C40,盘货信息!$A:$A&amp;盘货信息!$B:$B&amp;盘货信息!$C:$C,盘货信息!$V:$V)&amp;"免息,")&amp;IF(_xlfn.XLOOKUP(A40&amp;B40&amp;C40,盘货信息!$A:$A&amp;盘货信息!$B:$B&amp;盘货信息!$C:$C,盘货信息!$W:$W)="","",_xlfn.XLOOKUP(A40&amp;B40&amp;C40,盘货信息!$A:$A&amp;盘货信息!$B:$B&amp;盘货信息!$C:$C,盘货信息!$W:$W)&amp;"，")&amp;"送货入户，退换免运费")</f>
        <v/>
      </c>
    </row>
    <row r="41" customHeight="1" spans="1:22">
      <c r="A41" s="17" t="str">
        <f>IF(盘货信息!A41="","",盘货信息!A41)</f>
        <v/>
      </c>
      <c r="B41" s="20" t="str">
        <f>IF(盘货信息!B41="","",盘货信息!B41)</f>
        <v/>
      </c>
      <c r="C41" s="18" t="str">
        <f>IF(盘货信息!C41="","",盘货信息!C41)</f>
        <v/>
      </c>
      <c r="D41" s="18" t="str">
        <f ca="1" t="shared" si="0"/>
        <v/>
      </c>
      <c r="E41" s="18" t="str">
        <f>IF(C41="","",固定信息!$B$2)</f>
        <v/>
      </c>
      <c r="F41" s="18" t="str">
        <f t="array" ref="F41">IF(C41="","","【"&amp;C41&amp;"】"&amp;_xlfn.XLOOKUP(A41&amp;B41&amp;C41,盘货信息!$A:$A&amp;盘货信息!$B:$B&amp;盘货信息!$C:$C,盘货信息!$D:$D))</f>
        <v/>
      </c>
      <c r="G41" s="18" t="str">
        <f>IF(C41="","","【"&amp;"活动时间："&amp;固定信息!$B$3&amp;"】")</f>
        <v/>
      </c>
      <c r="H41" s="18" t="str">
        <f>IF($C41="","",固定信息!$B$1)</f>
        <v/>
      </c>
      <c r="I41" s="18"/>
      <c r="J41" s="18" t="str">
        <f t="array" ref="J41">_xlfn.XLOOKUP(A41&amp;B41&amp;C41,价格信息!$A:$A&amp;价格信息!$B:$B&amp;价格信息!$C:$C,价格信息!$D:$D)</f>
        <v/>
      </c>
      <c r="K41" s="31" t="str">
        <f t="array" ref="K41">IF(_xlfn.XLOOKUP(A41&amp;B41&amp;C41,价格信息!$A:$A&amp;价格信息!$B:$B&amp;价格信息!$C:$C,价格信息!$I:$I)="","","【优惠券链接】"&amp;固定信息!$B$6)</f>
        <v/>
      </c>
      <c r="L41" s="31" t="str">
        <f>IF($C41="","",固定信息!$B$1)</f>
        <v/>
      </c>
      <c r="M41" s="18" t="str">
        <f t="array" ref="M41">IF(_xlfn.XLOOKUP(A41&amp;B41&amp;C41,盘货信息!$A:$A&amp;盘货信息!$B:$B&amp;盘货信息!$C:$C,盘货信息!$O:$O)="","","【优惠券】领"&amp;INDEX(_wpsfn.REGEXP(_xlfn.XLOOKUP(A41&amp;B41&amp;C41,盘货信息!$A:$A&amp;盘货信息!$B:$B&amp;盘货信息!$C:$C,盘货信息!$O:$O),"\d+"),1,1)&amp;"元优惠券下单更优惠，优惠卷："&amp;_xlfn.XLOOKUP(A41&amp;B41&amp;C41,盘货信息!$A:$A&amp;盘货信息!$B:$B&amp;盘货信息!$C:$C,盘货信息!$P:$P))</f>
        <v/>
      </c>
      <c r="N41" s="18" t="str">
        <f t="array" ref="N41">IF(AND(ISNUMBER(_xlfn.XLOOKUP(A41&amp;B41&amp;C41,盘货信息!$A:$A&amp;盘货信息!$B:$B&amp;盘货信息!$C:$C,盘货信息!$I:$I)),_xlfn.XLOOKUP(A41&amp;B41&amp;C41,盘货信息!$A:$A&amp;盘货信息!$B:$B&amp;盘货信息!$C:$C,盘货信息!$I:$I)&gt;1),"【88VIP】立减"&amp;_xlfn.XLOOKUP(A41&amp;B41&amp;C41,盘货信息!$A:$A&amp;盘货信息!$B:$B&amp;盘货信息!$C:$C,盘货信息!$I:$I)&amp;"元","")</f>
        <v/>
      </c>
      <c r="O41" s="18" t="str">
        <f t="array" ref="O41">IF(_xlfn.XLOOKUP(A41&amp;B41&amp;C41,盘货信息!$A:$A&amp;盘货信息!$B:$B&amp;盘货信息!$C:$C,盘货信息!$K:$K)="","",IF(AND(_xlfn.XLOOKUP(A41&amp;B41&amp;C41,盘货信息!$A:$A&amp;盘货信息!$B:$B&amp;盘货信息!$C:$C,盘货信息!$G:$G)="不参加",_xlfn.XLOOKUP(A41&amp;B41&amp;C41,盘货信息!$A:$A&amp;盘货信息!$B:$B&amp;盘货信息!$C:$C,盘货信息!$H:$H)=""),"【以旧换新】"&amp;_xlfn.XLOOKUP(A41&amp;B41&amp;C41,盘货信息!$A:$A&amp;盘货信息!$B:$B&amp;盘货信息!$C:$C,盘货信息!$K:$K)&amp;"元以旧换新补贴（可无旧机换新）",""))</f>
        <v/>
      </c>
      <c r="P41" s="18" t="str">
        <f t="array" ref="P41">_xlfn.XLOOKUP(A41&amp;B41&amp;C41,赠品!$A:$A&amp;赠品!$B:$B&amp;赠品!$C:$C,赠品!$D:$D)</f>
        <v/>
      </c>
      <c r="Q41" s="18" t="str">
        <f>IF($C41="","",IF(AND(M41="",N41="",P41=""),"",固定信息!$B$1))</f>
        <v/>
      </c>
      <c r="R41" s="18" t="str">
        <f t="array" ref="R41">IF(ISNUMBER(SEARCH("是",_xlfn.XLOOKUP(A41&amp;B41&amp;C41,盘货信息!$A:$A&amp;盘货信息!$B:$B&amp;盘货信息!$C:$C,盘货信息!$U:$U))),"【折扣】指定型号满2类享96折，满3类享94折","")</f>
        <v/>
      </c>
      <c r="S41" s="18" t="str">
        <f t="array" ref="S41">IF(_xlfn.XLOOKUP(A41&amp;B41&amp;C41,盘货信息!$A:$A&amp;盘货信息!$B:$B&amp;盘货信息!$C:$C,盘货信息!$Q:$Q)&lt;1,"","【红包】活动时间购机送"&amp;_xlfn.TEXTJOIN("",,IF(ISNUMBER(--MID(_xlfn.XLOOKUP(A41&amp;B41&amp;C41,盘货信息!$A:$A&amp;盘货信息!$B:$B&amp;盘货信息!$C:$C,盘货信息!$Q:$Q),_xlfn.SEQUENCE(LEN(_xlfn.XLOOKUP(A41&amp;B41&amp;C41,盘货信息!$A:$A&amp;盘货信息!$B:$B&amp;盘货信息!$C:$C,盘货信息!$Q:$Q))),1)),MID(_xlfn.XLOOKUP(A41&amp;B41&amp;C41,盘货信息!$A:$A&amp;盘货信息!$B:$B&amp;盘货信息!$C:$C,盘货信息!$Q:$Q),_xlfn.SEQUENCE(LEN(_xlfn.XLOOKUP(A41&amp;B41&amp;C41,盘货信息!$A:$A&amp;盘货信息!$B:$B&amp;盘货信息!$C:$C,盘货信息!$Q:$Q))),1),""))&amp;"元")</f>
        <v/>
      </c>
      <c r="T41" s="18" t="str">
        <f t="array" ref="T41">IF(ISNUMBER(SEARCH("是",_xlfn.XLOOKUP(A41&amp;B41&amp;C41,盘货信息!$A:$A&amp;盘货信息!$B:$B&amp;盘货信息!$C:$C,盘货信息!$T:$T))),"【瓜分】"&amp;固定信息!$B$7,"")</f>
        <v/>
      </c>
      <c r="U41" s="18" t="str">
        <f>IF($C41="","",IF(AND(R41="",S41="",T41=""),"",固定信息!$B$1))</f>
        <v/>
      </c>
      <c r="V41" s="18" t="str">
        <f t="array" ref="V41">IF(C41="","","【服务】"&amp;IF(_xlfn.XLOOKUP(A41&amp;B41&amp;C41,盘货信息!$A:$A&amp;盘货信息!$B:$B&amp;盘货信息!$C:$C,盘货信息!$V:$V)="","",_xlfn.XLOOKUP(A41&amp;B41&amp;C41,盘货信息!$A:$A&amp;盘货信息!$B:$B&amp;盘货信息!$C:$C,盘货信息!$V:$V)&amp;"免息,")&amp;IF(_xlfn.XLOOKUP(A41&amp;B41&amp;C41,盘货信息!$A:$A&amp;盘货信息!$B:$B&amp;盘货信息!$C:$C,盘货信息!$W:$W)="","",_xlfn.XLOOKUP(A41&amp;B41&amp;C41,盘货信息!$A:$A&amp;盘货信息!$B:$B&amp;盘货信息!$C:$C,盘货信息!$W:$W)&amp;"，")&amp;"送货入户，退换免运费")</f>
        <v/>
      </c>
    </row>
    <row r="42" customHeight="1" spans="1:22">
      <c r="A42" s="17" t="str">
        <f>IF(盘货信息!A42="","",盘货信息!A42)</f>
        <v/>
      </c>
      <c r="B42" s="20" t="str">
        <f>IF(盘货信息!B42="","",盘货信息!B42)</f>
        <v/>
      </c>
      <c r="C42" s="18" t="str">
        <f>IF(盘货信息!C42="","",盘货信息!C42)</f>
        <v/>
      </c>
      <c r="D42" s="18" t="str">
        <f ca="1" t="shared" si="0"/>
        <v/>
      </c>
      <c r="E42" s="18" t="str">
        <f>IF(C42="","",固定信息!$B$2)</f>
        <v/>
      </c>
      <c r="F42" s="18" t="str">
        <f t="array" ref="F42">IF(C42="","","【"&amp;C42&amp;"】"&amp;_xlfn.XLOOKUP(A42&amp;B42&amp;C42,盘货信息!$A:$A&amp;盘货信息!$B:$B&amp;盘货信息!$C:$C,盘货信息!$D:$D))</f>
        <v/>
      </c>
      <c r="G42" s="18" t="str">
        <f>IF(C42="","","【"&amp;"活动时间："&amp;固定信息!$B$3&amp;"】")</f>
        <v/>
      </c>
      <c r="H42" s="18" t="str">
        <f>IF($C42="","",固定信息!$B$1)</f>
        <v/>
      </c>
      <c r="I42" s="18"/>
      <c r="J42" s="18" t="str">
        <f t="array" ref="J42">_xlfn.XLOOKUP(A42&amp;B42&amp;C42,价格信息!$A:$A&amp;价格信息!$B:$B&amp;价格信息!$C:$C,价格信息!$D:$D)</f>
        <v/>
      </c>
      <c r="K42" s="31" t="str">
        <f t="array" ref="K42">IF(_xlfn.XLOOKUP(A42&amp;B42&amp;C42,价格信息!$A:$A&amp;价格信息!$B:$B&amp;价格信息!$C:$C,价格信息!$I:$I)="","","【优惠券链接】"&amp;固定信息!$B$6)</f>
        <v/>
      </c>
      <c r="L42" s="31" t="str">
        <f>IF($C42="","",固定信息!$B$1)</f>
        <v/>
      </c>
      <c r="M42" s="18" t="str">
        <f t="array" ref="M42">IF(_xlfn.XLOOKUP(A42&amp;B42&amp;C42,盘货信息!$A:$A&amp;盘货信息!$B:$B&amp;盘货信息!$C:$C,盘货信息!$O:$O)="","","【优惠券】领"&amp;INDEX(_wpsfn.REGEXP(_xlfn.XLOOKUP(A42&amp;B42&amp;C42,盘货信息!$A:$A&amp;盘货信息!$B:$B&amp;盘货信息!$C:$C,盘货信息!$O:$O),"\d+"),1,1)&amp;"元优惠券下单更优惠，优惠卷："&amp;_xlfn.XLOOKUP(A42&amp;B42&amp;C42,盘货信息!$A:$A&amp;盘货信息!$B:$B&amp;盘货信息!$C:$C,盘货信息!$P:$P))</f>
        <v/>
      </c>
      <c r="N42" s="18" t="str">
        <f t="array" ref="N42">IF(AND(ISNUMBER(_xlfn.XLOOKUP(A42&amp;B42&amp;C42,盘货信息!$A:$A&amp;盘货信息!$B:$B&amp;盘货信息!$C:$C,盘货信息!$I:$I)),_xlfn.XLOOKUP(A42&amp;B42&amp;C42,盘货信息!$A:$A&amp;盘货信息!$B:$B&amp;盘货信息!$C:$C,盘货信息!$I:$I)&gt;1),"【88VIP】立减"&amp;_xlfn.XLOOKUP(A42&amp;B42&amp;C42,盘货信息!$A:$A&amp;盘货信息!$B:$B&amp;盘货信息!$C:$C,盘货信息!$I:$I)&amp;"元","")</f>
        <v/>
      </c>
      <c r="O42" s="18" t="str">
        <f t="array" ref="O42">IF(_xlfn.XLOOKUP(A42&amp;B42&amp;C42,盘货信息!$A:$A&amp;盘货信息!$B:$B&amp;盘货信息!$C:$C,盘货信息!$K:$K)="","",IF(AND(_xlfn.XLOOKUP(A42&amp;B42&amp;C42,盘货信息!$A:$A&amp;盘货信息!$B:$B&amp;盘货信息!$C:$C,盘货信息!$G:$G)="不参加",_xlfn.XLOOKUP(A42&amp;B42&amp;C42,盘货信息!$A:$A&amp;盘货信息!$B:$B&amp;盘货信息!$C:$C,盘货信息!$H:$H)=""),"【以旧换新】"&amp;_xlfn.XLOOKUP(A42&amp;B42&amp;C42,盘货信息!$A:$A&amp;盘货信息!$B:$B&amp;盘货信息!$C:$C,盘货信息!$K:$K)&amp;"元以旧换新补贴（可无旧机换新）",""))</f>
        <v/>
      </c>
      <c r="P42" s="18" t="str">
        <f t="array" ref="P42">_xlfn.XLOOKUP(A42&amp;B42&amp;C42,赠品!$A:$A&amp;赠品!$B:$B&amp;赠品!$C:$C,赠品!$D:$D)</f>
        <v/>
      </c>
      <c r="Q42" s="18" t="str">
        <f>IF($C42="","",IF(AND(M42="",N42="",P42=""),"",固定信息!$B$1))</f>
        <v/>
      </c>
      <c r="R42" s="18" t="str">
        <f t="array" ref="R42">IF(ISNUMBER(SEARCH("是",_xlfn.XLOOKUP(A42&amp;B42&amp;C42,盘货信息!$A:$A&amp;盘货信息!$B:$B&amp;盘货信息!$C:$C,盘货信息!$U:$U))),"【折扣】指定型号满2类享96折，满3类享94折","")</f>
        <v/>
      </c>
      <c r="S42" s="18" t="str">
        <f t="array" ref="S42">IF(_xlfn.XLOOKUP(A42&amp;B42&amp;C42,盘货信息!$A:$A&amp;盘货信息!$B:$B&amp;盘货信息!$C:$C,盘货信息!$Q:$Q)&lt;1,"","【红包】活动时间购机送"&amp;_xlfn.TEXTJOIN("",,IF(ISNUMBER(--MID(_xlfn.XLOOKUP(A42&amp;B42&amp;C42,盘货信息!$A:$A&amp;盘货信息!$B:$B&amp;盘货信息!$C:$C,盘货信息!$Q:$Q),_xlfn.SEQUENCE(LEN(_xlfn.XLOOKUP(A42&amp;B42&amp;C42,盘货信息!$A:$A&amp;盘货信息!$B:$B&amp;盘货信息!$C:$C,盘货信息!$Q:$Q))),1)),MID(_xlfn.XLOOKUP(A42&amp;B42&amp;C42,盘货信息!$A:$A&amp;盘货信息!$B:$B&amp;盘货信息!$C:$C,盘货信息!$Q:$Q),_xlfn.SEQUENCE(LEN(_xlfn.XLOOKUP(A42&amp;B42&amp;C42,盘货信息!$A:$A&amp;盘货信息!$B:$B&amp;盘货信息!$C:$C,盘货信息!$Q:$Q))),1),""))&amp;"元")</f>
        <v/>
      </c>
      <c r="T42" s="18" t="str">
        <f t="array" ref="T42">IF(ISNUMBER(SEARCH("是",_xlfn.XLOOKUP(A42&amp;B42&amp;C42,盘货信息!$A:$A&amp;盘货信息!$B:$B&amp;盘货信息!$C:$C,盘货信息!$T:$T))),"【瓜分】"&amp;固定信息!$B$7,"")</f>
        <v/>
      </c>
      <c r="U42" s="18" t="str">
        <f>IF($C42="","",IF(AND(R42="",S42="",T42=""),"",固定信息!$B$1))</f>
        <v/>
      </c>
      <c r="V42" s="18" t="str">
        <f t="array" ref="V42">IF(C42="","","【服务】"&amp;IF(_xlfn.XLOOKUP(A42&amp;B42&amp;C42,盘货信息!$A:$A&amp;盘货信息!$B:$B&amp;盘货信息!$C:$C,盘货信息!$V:$V)="","",_xlfn.XLOOKUP(A42&amp;B42&amp;C42,盘货信息!$A:$A&amp;盘货信息!$B:$B&amp;盘货信息!$C:$C,盘货信息!$V:$V)&amp;"免息,")&amp;IF(_xlfn.XLOOKUP(A42&amp;B42&amp;C42,盘货信息!$A:$A&amp;盘货信息!$B:$B&amp;盘货信息!$C:$C,盘货信息!$W:$W)="","",_xlfn.XLOOKUP(A42&amp;B42&amp;C42,盘货信息!$A:$A&amp;盘货信息!$B:$B&amp;盘货信息!$C:$C,盘货信息!$W:$W)&amp;"，")&amp;"送货入户，退换免运费")</f>
        <v/>
      </c>
    </row>
    <row r="43" customHeight="1" spans="1:22">
      <c r="A43" s="17" t="str">
        <f>IF(盘货信息!A43="","",盘货信息!A43)</f>
        <v/>
      </c>
      <c r="B43" s="20" t="str">
        <f>IF(盘货信息!B43="","",盘货信息!B43)</f>
        <v/>
      </c>
      <c r="C43" s="18" t="str">
        <f>IF(盘货信息!C43="","",盘货信息!C43)</f>
        <v/>
      </c>
      <c r="D43" s="18" t="str">
        <f ca="1" t="shared" si="0"/>
        <v/>
      </c>
      <c r="E43" s="18" t="str">
        <f>IF(C43="","",固定信息!$B$2)</f>
        <v/>
      </c>
      <c r="F43" s="18" t="str">
        <f t="array" ref="F43">IF(C43="","","【"&amp;C43&amp;"】"&amp;_xlfn.XLOOKUP(A43&amp;B43&amp;C43,盘货信息!$A:$A&amp;盘货信息!$B:$B&amp;盘货信息!$C:$C,盘货信息!$D:$D))</f>
        <v/>
      </c>
      <c r="G43" s="18" t="str">
        <f>IF(C43="","","【"&amp;"活动时间："&amp;固定信息!$B$3&amp;"】")</f>
        <v/>
      </c>
      <c r="H43" s="18" t="str">
        <f>IF($C43="","",固定信息!$B$1)</f>
        <v/>
      </c>
      <c r="I43" s="18"/>
      <c r="J43" s="18" t="str">
        <f t="array" ref="J43">_xlfn.XLOOKUP(A43&amp;B43&amp;C43,价格信息!$A:$A&amp;价格信息!$B:$B&amp;价格信息!$C:$C,价格信息!$D:$D)</f>
        <v/>
      </c>
      <c r="K43" s="31" t="str">
        <f t="array" ref="K43">IF(_xlfn.XLOOKUP(A43&amp;B43&amp;C43,价格信息!$A:$A&amp;价格信息!$B:$B&amp;价格信息!$C:$C,价格信息!$I:$I)="","","【优惠券链接】"&amp;固定信息!$B$6)</f>
        <v/>
      </c>
      <c r="L43" s="31" t="str">
        <f>IF($C43="","",固定信息!$B$1)</f>
        <v/>
      </c>
      <c r="M43" s="18" t="str">
        <f t="array" ref="M43">IF(_xlfn.XLOOKUP(A43&amp;B43&amp;C43,盘货信息!$A:$A&amp;盘货信息!$B:$B&amp;盘货信息!$C:$C,盘货信息!$O:$O)="","","【优惠券】领"&amp;INDEX(_wpsfn.REGEXP(_xlfn.XLOOKUP(A43&amp;B43&amp;C43,盘货信息!$A:$A&amp;盘货信息!$B:$B&amp;盘货信息!$C:$C,盘货信息!$O:$O),"\d+"),1,1)&amp;"元优惠券下单更优惠，优惠卷："&amp;_xlfn.XLOOKUP(A43&amp;B43&amp;C43,盘货信息!$A:$A&amp;盘货信息!$B:$B&amp;盘货信息!$C:$C,盘货信息!$P:$P))</f>
        <v/>
      </c>
      <c r="N43" s="18" t="str">
        <f t="array" ref="N43">IF(AND(ISNUMBER(_xlfn.XLOOKUP(A43&amp;B43&amp;C43,盘货信息!$A:$A&amp;盘货信息!$B:$B&amp;盘货信息!$C:$C,盘货信息!$I:$I)),_xlfn.XLOOKUP(A43&amp;B43&amp;C43,盘货信息!$A:$A&amp;盘货信息!$B:$B&amp;盘货信息!$C:$C,盘货信息!$I:$I)&gt;1),"【88VIP】立减"&amp;_xlfn.XLOOKUP(A43&amp;B43&amp;C43,盘货信息!$A:$A&amp;盘货信息!$B:$B&amp;盘货信息!$C:$C,盘货信息!$I:$I)&amp;"元","")</f>
        <v/>
      </c>
      <c r="O43" s="18" t="str">
        <f t="array" ref="O43">IF(_xlfn.XLOOKUP(A43&amp;B43&amp;C43,盘货信息!$A:$A&amp;盘货信息!$B:$B&amp;盘货信息!$C:$C,盘货信息!$K:$K)="","",IF(AND(_xlfn.XLOOKUP(A43&amp;B43&amp;C43,盘货信息!$A:$A&amp;盘货信息!$B:$B&amp;盘货信息!$C:$C,盘货信息!$G:$G)="不参加",_xlfn.XLOOKUP(A43&amp;B43&amp;C43,盘货信息!$A:$A&amp;盘货信息!$B:$B&amp;盘货信息!$C:$C,盘货信息!$H:$H)=""),"【以旧换新】"&amp;_xlfn.XLOOKUP(A43&amp;B43&amp;C43,盘货信息!$A:$A&amp;盘货信息!$B:$B&amp;盘货信息!$C:$C,盘货信息!$K:$K)&amp;"元以旧换新补贴（可无旧机换新）",""))</f>
        <v/>
      </c>
      <c r="P43" s="18" t="str">
        <f t="array" ref="P43">_xlfn.XLOOKUP(A43&amp;B43&amp;C43,赠品!$A:$A&amp;赠品!$B:$B&amp;赠品!$C:$C,赠品!$D:$D)</f>
        <v/>
      </c>
      <c r="Q43" s="18" t="str">
        <f>IF($C43="","",IF(AND(M43="",N43="",P43=""),"",固定信息!$B$1))</f>
        <v/>
      </c>
      <c r="R43" s="18" t="str">
        <f t="array" ref="R43">IF(ISNUMBER(SEARCH("是",_xlfn.XLOOKUP(A43&amp;B43&amp;C43,盘货信息!$A:$A&amp;盘货信息!$B:$B&amp;盘货信息!$C:$C,盘货信息!$U:$U))),"【折扣】指定型号满2类享96折，满3类享94折","")</f>
        <v/>
      </c>
      <c r="S43" s="18" t="str">
        <f t="array" ref="S43">IF(_xlfn.XLOOKUP(A43&amp;B43&amp;C43,盘货信息!$A:$A&amp;盘货信息!$B:$B&amp;盘货信息!$C:$C,盘货信息!$Q:$Q)&lt;1,"","【红包】活动时间购机送"&amp;_xlfn.TEXTJOIN("",,IF(ISNUMBER(--MID(_xlfn.XLOOKUP(A43&amp;B43&amp;C43,盘货信息!$A:$A&amp;盘货信息!$B:$B&amp;盘货信息!$C:$C,盘货信息!$Q:$Q),_xlfn.SEQUENCE(LEN(_xlfn.XLOOKUP(A43&amp;B43&amp;C43,盘货信息!$A:$A&amp;盘货信息!$B:$B&amp;盘货信息!$C:$C,盘货信息!$Q:$Q))),1)),MID(_xlfn.XLOOKUP(A43&amp;B43&amp;C43,盘货信息!$A:$A&amp;盘货信息!$B:$B&amp;盘货信息!$C:$C,盘货信息!$Q:$Q),_xlfn.SEQUENCE(LEN(_xlfn.XLOOKUP(A43&amp;B43&amp;C43,盘货信息!$A:$A&amp;盘货信息!$B:$B&amp;盘货信息!$C:$C,盘货信息!$Q:$Q))),1),""))&amp;"元")</f>
        <v/>
      </c>
      <c r="T43" s="18" t="str">
        <f t="array" ref="T43">IF(ISNUMBER(SEARCH("是",_xlfn.XLOOKUP(A43&amp;B43&amp;C43,盘货信息!$A:$A&amp;盘货信息!$B:$B&amp;盘货信息!$C:$C,盘货信息!$T:$T))),"【瓜分】"&amp;固定信息!$B$7,"")</f>
        <v/>
      </c>
      <c r="U43" s="18" t="str">
        <f>IF($C43="","",IF(AND(R43="",S43="",T43=""),"",固定信息!$B$1))</f>
        <v/>
      </c>
      <c r="V43" s="18" t="str">
        <f t="array" ref="V43">IF(C43="","","【服务】"&amp;IF(_xlfn.XLOOKUP(A43&amp;B43&amp;C43,盘货信息!$A:$A&amp;盘货信息!$B:$B&amp;盘货信息!$C:$C,盘货信息!$V:$V)="","",_xlfn.XLOOKUP(A43&amp;B43&amp;C43,盘货信息!$A:$A&amp;盘货信息!$B:$B&amp;盘货信息!$C:$C,盘货信息!$V:$V)&amp;"免息,")&amp;IF(_xlfn.XLOOKUP(A43&amp;B43&amp;C43,盘货信息!$A:$A&amp;盘货信息!$B:$B&amp;盘货信息!$C:$C,盘货信息!$W:$W)="","",_xlfn.XLOOKUP(A43&amp;B43&amp;C43,盘货信息!$A:$A&amp;盘货信息!$B:$B&amp;盘货信息!$C:$C,盘货信息!$W:$W)&amp;"，")&amp;"送货入户，退换免运费")</f>
        <v/>
      </c>
    </row>
    <row r="44" customHeight="1" spans="1:22">
      <c r="A44" s="17" t="str">
        <f>IF(盘货信息!A44="","",盘货信息!A44)</f>
        <v/>
      </c>
      <c r="B44" s="20" t="str">
        <f>IF(盘货信息!B44="","",盘货信息!B44)</f>
        <v/>
      </c>
      <c r="C44" s="18" t="str">
        <f>IF(盘货信息!C44="","",盘货信息!C44)</f>
        <v/>
      </c>
      <c r="D44" s="18" t="str">
        <f ca="1" t="shared" si="0"/>
        <v/>
      </c>
      <c r="E44" s="18" t="str">
        <f>IF(C44="","",固定信息!$B$2)</f>
        <v/>
      </c>
      <c r="F44" s="18" t="str">
        <f t="array" ref="F44">IF(C44="","","【"&amp;C44&amp;"】"&amp;_xlfn.XLOOKUP(A44&amp;B44&amp;C44,盘货信息!$A:$A&amp;盘货信息!$B:$B&amp;盘货信息!$C:$C,盘货信息!$D:$D))</f>
        <v/>
      </c>
      <c r="G44" s="18" t="str">
        <f>IF(C44="","","【"&amp;"活动时间："&amp;固定信息!$B$3&amp;"】")</f>
        <v/>
      </c>
      <c r="H44" s="18" t="str">
        <f>IF($C44="","",固定信息!$B$1)</f>
        <v/>
      </c>
      <c r="I44" s="18"/>
      <c r="J44" s="18" t="str">
        <f t="array" ref="J44">_xlfn.XLOOKUP(A44&amp;B44&amp;C44,价格信息!$A:$A&amp;价格信息!$B:$B&amp;价格信息!$C:$C,价格信息!$D:$D)</f>
        <v/>
      </c>
      <c r="K44" s="31" t="str">
        <f t="array" ref="K44">IF(_xlfn.XLOOKUP(A44&amp;B44&amp;C44,价格信息!$A:$A&amp;价格信息!$B:$B&amp;价格信息!$C:$C,价格信息!$I:$I)="","","【优惠券链接】"&amp;固定信息!$B$6)</f>
        <v/>
      </c>
      <c r="L44" s="31" t="str">
        <f>IF($C44="","",固定信息!$B$1)</f>
        <v/>
      </c>
      <c r="M44" s="18" t="str">
        <f t="array" ref="M44">IF(_xlfn.XLOOKUP(A44&amp;B44&amp;C44,盘货信息!$A:$A&amp;盘货信息!$B:$B&amp;盘货信息!$C:$C,盘货信息!$O:$O)="","","【优惠券】领"&amp;INDEX(_wpsfn.REGEXP(_xlfn.XLOOKUP(A44&amp;B44&amp;C44,盘货信息!$A:$A&amp;盘货信息!$B:$B&amp;盘货信息!$C:$C,盘货信息!$O:$O),"\d+"),1,1)&amp;"元优惠券下单更优惠，优惠卷："&amp;_xlfn.XLOOKUP(A44&amp;B44&amp;C44,盘货信息!$A:$A&amp;盘货信息!$B:$B&amp;盘货信息!$C:$C,盘货信息!$P:$P))</f>
        <v/>
      </c>
      <c r="N44" s="18" t="str">
        <f t="array" ref="N44">IF(AND(ISNUMBER(_xlfn.XLOOKUP(A44&amp;B44&amp;C44,盘货信息!$A:$A&amp;盘货信息!$B:$B&amp;盘货信息!$C:$C,盘货信息!$I:$I)),_xlfn.XLOOKUP(A44&amp;B44&amp;C44,盘货信息!$A:$A&amp;盘货信息!$B:$B&amp;盘货信息!$C:$C,盘货信息!$I:$I)&gt;1),"【88VIP】立减"&amp;_xlfn.XLOOKUP(A44&amp;B44&amp;C44,盘货信息!$A:$A&amp;盘货信息!$B:$B&amp;盘货信息!$C:$C,盘货信息!$I:$I)&amp;"元","")</f>
        <v/>
      </c>
      <c r="O44" s="18" t="str">
        <f t="array" ref="O44">IF(_xlfn.XLOOKUP(A44&amp;B44&amp;C44,盘货信息!$A:$A&amp;盘货信息!$B:$B&amp;盘货信息!$C:$C,盘货信息!$K:$K)="","",IF(AND(_xlfn.XLOOKUP(A44&amp;B44&amp;C44,盘货信息!$A:$A&amp;盘货信息!$B:$B&amp;盘货信息!$C:$C,盘货信息!$G:$G)="不参加",_xlfn.XLOOKUP(A44&amp;B44&amp;C44,盘货信息!$A:$A&amp;盘货信息!$B:$B&amp;盘货信息!$C:$C,盘货信息!$H:$H)=""),"【以旧换新】"&amp;_xlfn.XLOOKUP(A44&amp;B44&amp;C44,盘货信息!$A:$A&amp;盘货信息!$B:$B&amp;盘货信息!$C:$C,盘货信息!$K:$K)&amp;"元以旧换新补贴（可无旧机换新）",""))</f>
        <v/>
      </c>
      <c r="P44" s="18" t="str">
        <f t="array" ref="P44">_xlfn.XLOOKUP(A44&amp;B44&amp;C44,赠品!$A:$A&amp;赠品!$B:$B&amp;赠品!$C:$C,赠品!$D:$D)</f>
        <v/>
      </c>
      <c r="Q44" s="18" t="str">
        <f>IF($C44="","",IF(AND(M44="",N44="",P44=""),"",固定信息!$B$1))</f>
        <v/>
      </c>
      <c r="R44" s="18" t="str">
        <f t="array" ref="R44">IF(ISNUMBER(SEARCH("是",_xlfn.XLOOKUP(A44&amp;B44&amp;C44,盘货信息!$A:$A&amp;盘货信息!$B:$B&amp;盘货信息!$C:$C,盘货信息!$U:$U))),"【折扣】指定型号满2类享96折，满3类享94折","")</f>
        <v/>
      </c>
      <c r="S44" s="18" t="str">
        <f t="array" ref="S44">IF(_xlfn.XLOOKUP(A44&amp;B44&amp;C44,盘货信息!$A:$A&amp;盘货信息!$B:$B&amp;盘货信息!$C:$C,盘货信息!$Q:$Q)&lt;1,"","【红包】活动时间购机送"&amp;_xlfn.TEXTJOIN("",,IF(ISNUMBER(--MID(_xlfn.XLOOKUP(A44&amp;B44&amp;C44,盘货信息!$A:$A&amp;盘货信息!$B:$B&amp;盘货信息!$C:$C,盘货信息!$Q:$Q),_xlfn.SEQUENCE(LEN(_xlfn.XLOOKUP(A44&amp;B44&amp;C44,盘货信息!$A:$A&amp;盘货信息!$B:$B&amp;盘货信息!$C:$C,盘货信息!$Q:$Q))),1)),MID(_xlfn.XLOOKUP(A44&amp;B44&amp;C44,盘货信息!$A:$A&amp;盘货信息!$B:$B&amp;盘货信息!$C:$C,盘货信息!$Q:$Q),_xlfn.SEQUENCE(LEN(_xlfn.XLOOKUP(A44&amp;B44&amp;C44,盘货信息!$A:$A&amp;盘货信息!$B:$B&amp;盘货信息!$C:$C,盘货信息!$Q:$Q))),1),""))&amp;"元")</f>
        <v/>
      </c>
      <c r="T44" s="18" t="str">
        <f t="array" ref="T44">IF(ISNUMBER(SEARCH("是",_xlfn.XLOOKUP(A44&amp;B44&amp;C44,盘货信息!$A:$A&amp;盘货信息!$B:$B&amp;盘货信息!$C:$C,盘货信息!$T:$T))),"【瓜分】"&amp;固定信息!$B$7,"")</f>
        <v/>
      </c>
      <c r="U44" s="18" t="str">
        <f>IF($C44="","",IF(AND(R44="",S44="",T44=""),"",固定信息!$B$1))</f>
        <v/>
      </c>
      <c r="V44" s="18" t="str">
        <f t="array" ref="V44">IF(C44="","","【服务】"&amp;IF(_xlfn.XLOOKUP(A44&amp;B44&amp;C44,盘货信息!$A:$A&amp;盘货信息!$B:$B&amp;盘货信息!$C:$C,盘货信息!$V:$V)="","",_xlfn.XLOOKUP(A44&amp;B44&amp;C44,盘货信息!$A:$A&amp;盘货信息!$B:$B&amp;盘货信息!$C:$C,盘货信息!$V:$V)&amp;"免息,")&amp;IF(_xlfn.XLOOKUP(A44&amp;B44&amp;C44,盘货信息!$A:$A&amp;盘货信息!$B:$B&amp;盘货信息!$C:$C,盘货信息!$W:$W)="","",_xlfn.XLOOKUP(A44&amp;B44&amp;C44,盘货信息!$A:$A&amp;盘货信息!$B:$B&amp;盘货信息!$C:$C,盘货信息!$W:$W)&amp;"，")&amp;"送货入户，退换免运费")</f>
        <v/>
      </c>
    </row>
    <row r="45" customHeight="1" spans="1:22">
      <c r="A45" s="17" t="str">
        <f>IF(盘货信息!A45="","",盘货信息!A45)</f>
        <v/>
      </c>
      <c r="B45" s="20" t="str">
        <f>IF(盘货信息!B45="","",盘货信息!B45)</f>
        <v/>
      </c>
      <c r="C45" s="18" t="str">
        <f>IF(盘货信息!C45="","",盘货信息!C45)</f>
        <v/>
      </c>
      <c r="D45" s="18" t="str">
        <f ca="1" t="shared" si="0"/>
        <v/>
      </c>
      <c r="E45" s="18" t="str">
        <f>IF(C45="","",固定信息!$B$2)</f>
        <v/>
      </c>
      <c r="F45" s="18" t="str">
        <f t="array" ref="F45">IF(C45="","","【"&amp;C45&amp;"】"&amp;_xlfn.XLOOKUP(A45&amp;B45&amp;C45,盘货信息!$A:$A&amp;盘货信息!$B:$B&amp;盘货信息!$C:$C,盘货信息!$D:$D))</f>
        <v/>
      </c>
      <c r="G45" s="18" t="str">
        <f>IF(C45="","","【"&amp;"活动时间："&amp;固定信息!$B$3&amp;"】")</f>
        <v/>
      </c>
      <c r="H45" s="18" t="str">
        <f>IF($C45="","",固定信息!$B$1)</f>
        <v/>
      </c>
      <c r="I45" s="18"/>
      <c r="J45" s="18" t="str">
        <f t="array" ref="J45">_xlfn.XLOOKUP(A45&amp;B45&amp;C45,价格信息!$A:$A&amp;价格信息!$B:$B&amp;价格信息!$C:$C,价格信息!$D:$D)</f>
        <v/>
      </c>
      <c r="K45" s="31" t="str">
        <f t="array" ref="K45">IF(_xlfn.XLOOKUP(A45&amp;B45&amp;C45,价格信息!$A:$A&amp;价格信息!$B:$B&amp;价格信息!$C:$C,价格信息!$I:$I)="","","【优惠券链接】"&amp;固定信息!$B$6)</f>
        <v/>
      </c>
      <c r="L45" s="31" t="str">
        <f>IF($C45="","",固定信息!$B$1)</f>
        <v/>
      </c>
      <c r="M45" s="18" t="str">
        <f t="array" ref="M45">IF(_xlfn.XLOOKUP(A45&amp;B45&amp;C45,盘货信息!$A:$A&amp;盘货信息!$B:$B&amp;盘货信息!$C:$C,盘货信息!$O:$O)="","","【优惠券】领"&amp;INDEX(_wpsfn.REGEXP(_xlfn.XLOOKUP(A45&amp;B45&amp;C45,盘货信息!$A:$A&amp;盘货信息!$B:$B&amp;盘货信息!$C:$C,盘货信息!$O:$O),"\d+"),1,1)&amp;"元优惠券下单更优惠，优惠卷："&amp;_xlfn.XLOOKUP(A45&amp;B45&amp;C45,盘货信息!$A:$A&amp;盘货信息!$B:$B&amp;盘货信息!$C:$C,盘货信息!$P:$P))</f>
        <v/>
      </c>
      <c r="N45" s="18" t="str">
        <f t="array" ref="N45">IF(AND(ISNUMBER(_xlfn.XLOOKUP(A45&amp;B45&amp;C45,盘货信息!$A:$A&amp;盘货信息!$B:$B&amp;盘货信息!$C:$C,盘货信息!$I:$I)),_xlfn.XLOOKUP(A45&amp;B45&amp;C45,盘货信息!$A:$A&amp;盘货信息!$B:$B&amp;盘货信息!$C:$C,盘货信息!$I:$I)&gt;1),"【88VIP】立减"&amp;_xlfn.XLOOKUP(A45&amp;B45&amp;C45,盘货信息!$A:$A&amp;盘货信息!$B:$B&amp;盘货信息!$C:$C,盘货信息!$I:$I)&amp;"元","")</f>
        <v/>
      </c>
      <c r="O45" s="18" t="str">
        <f t="array" ref="O45">IF(_xlfn.XLOOKUP(A45&amp;B45&amp;C45,盘货信息!$A:$A&amp;盘货信息!$B:$B&amp;盘货信息!$C:$C,盘货信息!$K:$K)="","",IF(AND(_xlfn.XLOOKUP(A45&amp;B45&amp;C45,盘货信息!$A:$A&amp;盘货信息!$B:$B&amp;盘货信息!$C:$C,盘货信息!$G:$G)="不参加",_xlfn.XLOOKUP(A45&amp;B45&amp;C45,盘货信息!$A:$A&amp;盘货信息!$B:$B&amp;盘货信息!$C:$C,盘货信息!$H:$H)=""),"【以旧换新】"&amp;_xlfn.XLOOKUP(A45&amp;B45&amp;C45,盘货信息!$A:$A&amp;盘货信息!$B:$B&amp;盘货信息!$C:$C,盘货信息!$K:$K)&amp;"元以旧换新补贴（可无旧机换新）",""))</f>
        <v/>
      </c>
      <c r="P45" s="18" t="str">
        <f t="array" ref="P45">_xlfn.XLOOKUP(A45&amp;B45&amp;C45,赠品!$A:$A&amp;赠品!$B:$B&amp;赠品!$C:$C,赠品!$D:$D)</f>
        <v/>
      </c>
      <c r="Q45" s="18" t="str">
        <f>IF($C45="","",IF(AND(M45="",N45="",P45=""),"",固定信息!$B$1))</f>
        <v/>
      </c>
      <c r="R45" s="18" t="str">
        <f t="array" ref="R45">IF(ISNUMBER(SEARCH("是",_xlfn.XLOOKUP(A45&amp;B45&amp;C45,盘货信息!$A:$A&amp;盘货信息!$B:$B&amp;盘货信息!$C:$C,盘货信息!$U:$U))),"【折扣】指定型号满2类享96折，满3类享94折","")</f>
        <v/>
      </c>
      <c r="S45" s="18" t="str">
        <f t="array" ref="S45">IF(_xlfn.XLOOKUP(A45&amp;B45&amp;C45,盘货信息!$A:$A&amp;盘货信息!$B:$B&amp;盘货信息!$C:$C,盘货信息!$Q:$Q)&lt;1,"","【红包】活动时间购机送"&amp;_xlfn.TEXTJOIN("",,IF(ISNUMBER(--MID(_xlfn.XLOOKUP(A45&amp;B45&amp;C45,盘货信息!$A:$A&amp;盘货信息!$B:$B&amp;盘货信息!$C:$C,盘货信息!$Q:$Q),_xlfn.SEQUENCE(LEN(_xlfn.XLOOKUP(A45&amp;B45&amp;C45,盘货信息!$A:$A&amp;盘货信息!$B:$B&amp;盘货信息!$C:$C,盘货信息!$Q:$Q))),1)),MID(_xlfn.XLOOKUP(A45&amp;B45&amp;C45,盘货信息!$A:$A&amp;盘货信息!$B:$B&amp;盘货信息!$C:$C,盘货信息!$Q:$Q),_xlfn.SEQUENCE(LEN(_xlfn.XLOOKUP(A45&amp;B45&amp;C45,盘货信息!$A:$A&amp;盘货信息!$B:$B&amp;盘货信息!$C:$C,盘货信息!$Q:$Q))),1),""))&amp;"元")</f>
        <v/>
      </c>
      <c r="T45" s="18" t="str">
        <f t="array" ref="T45">IF(ISNUMBER(SEARCH("是",_xlfn.XLOOKUP(A45&amp;B45&amp;C45,盘货信息!$A:$A&amp;盘货信息!$B:$B&amp;盘货信息!$C:$C,盘货信息!$T:$T))),"【瓜分】"&amp;固定信息!$B$7,"")</f>
        <v/>
      </c>
      <c r="U45" s="18" t="str">
        <f>IF($C45="","",IF(AND(R45="",S45="",T45=""),"",固定信息!$B$1))</f>
        <v/>
      </c>
      <c r="V45" s="18" t="str">
        <f t="array" ref="V45">IF(C45="","","【服务】"&amp;IF(_xlfn.XLOOKUP(A45&amp;B45&amp;C45,盘货信息!$A:$A&amp;盘货信息!$B:$B&amp;盘货信息!$C:$C,盘货信息!$V:$V)="","",_xlfn.XLOOKUP(A45&amp;B45&amp;C45,盘货信息!$A:$A&amp;盘货信息!$B:$B&amp;盘货信息!$C:$C,盘货信息!$V:$V)&amp;"免息,")&amp;IF(_xlfn.XLOOKUP(A45&amp;B45&amp;C45,盘货信息!$A:$A&amp;盘货信息!$B:$B&amp;盘货信息!$C:$C,盘货信息!$W:$W)="","",_xlfn.XLOOKUP(A45&amp;B45&amp;C45,盘货信息!$A:$A&amp;盘货信息!$B:$B&amp;盘货信息!$C:$C,盘货信息!$W:$W)&amp;"，")&amp;"送货入户，退换免运费")</f>
        <v/>
      </c>
    </row>
    <row r="46" customHeight="1" spans="1:22">
      <c r="A46" s="17" t="str">
        <f>IF(盘货信息!A46="","",盘货信息!A46)</f>
        <v/>
      </c>
      <c r="B46" s="20" t="str">
        <f>IF(盘货信息!B46="","",盘货信息!B46)</f>
        <v/>
      </c>
      <c r="C46" s="18" t="str">
        <f>IF(盘货信息!C46="","",盘货信息!C46)</f>
        <v/>
      </c>
      <c r="D46" s="18" t="str">
        <f ca="1" t="shared" si="0"/>
        <v/>
      </c>
      <c r="E46" s="18" t="str">
        <f>IF(C46="","",固定信息!$B$2)</f>
        <v/>
      </c>
      <c r="F46" s="18" t="str">
        <f t="array" ref="F46">IF(C46="","","【"&amp;C46&amp;"】"&amp;_xlfn.XLOOKUP(A46&amp;B46&amp;C46,盘货信息!$A:$A&amp;盘货信息!$B:$B&amp;盘货信息!$C:$C,盘货信息!$D:$D))</f>
        <v/>
      </c>
      <c r="G46" s="18" t="str">
        <f>IF(C46="","","【"&amp;"活动时间："&amp;固定信息!$B$3&amp;"】")</f>
        <v/>
      </c>
      <c r="H46" s="18" t="str">
        <f>IF($C46="","",固定信息!$B$1)</f>
        <v/>
      </c>
      <c r="I46" s="18"/>
      <c r="J46" s="18" t="str">
        <f t="array" ref="J46">_xlfn.XLOOKUP(A46&amp;B46&amp;C46,价格信息!$A:$A&amp;价格信息!$B:$B&amp;价格信息!$C:$C,价格信息!$D:$D)</f>
        <v/>
      </c>
      <c r="K46" s="31" t="str">
        <f t="array" ref="K46">IF(_xlfn.XLOOKUP(A46&amp;B46&amp;C46,价格信息!$A:$A&amp;价格信息!$B:$B&amp;价格信息!$C:$C,价格信息!$I:$I)="","","【优惠券链接】"&amp;固定信息!$B$6)</f>
        <v/>
      </c>
      <c r="L46" s="31" t="str">
        <f>IF($C46="","",固定信息!$B$1)</f>
        <v/>
      </c>
      <c r="M46" s="18" t="str">
        <f t="array" ref="M46">IF(_xlfn.XLOOKUP(A46&amp;B46&amp;C46,盘货信息!$A:$A&amp;盘货信息!$B:$B&amp;盘货信息!$C:$C,盘货信息!$O:$O)="","","【优惠券】领"&amp;INDEX(_wpsfn.REGEXP(_xlfn.XLOOKUP(A46&amp;B46&amp;C46,盘货信息!$A:$A&amp;盘货信息!$B:$B&amp;盘货信息!$C:$C,盘货信息!$O:$O),"\d+"),1,1)&amp;"元优惠券下单更优惠，优惠卷："&amp;_xlfn.XLOOKUP(A46&amp;B46&amp;C46,盘货信息!$A:$A&amp;盘货信息!$B:$B&amp;盘货信息!$C:$C,盘货信息!$P:$P))</f>
        <v/>
      </c>
      <c r="N46" s="18" t="str">
        <f t="array" ref="N46">IF(AND(ISNUMBER(_xlfn.XLOOKUP(A46&amp;B46&amp;C46,盘货信息!$A:$A&amp;盘货信息!$B:$B&amp;盘货信息!$C:$C,盘货信息!$I:$I)),_xlfn.XLOOKUP(A46&amp;B46&amp;C46,盘货信息!$A:$A&amp;盘货信息!$B:$B&amp;盘货信息!$C:$C,盘货信息!$I:$I)&gt;1),"【88VIP】立减"&amp;_xlfn.XLOOKUP(A46&amp;B46&amp;C46,盘货信息!$A:$A&amp;盘货信息!$B:$B&amp;盘货信息!$C:$C,盘货信息!$I:$I)&amp;"元","")</f>
        <v/>
      </c>
      <c r="O46" s="18" t="str">
        <f t="array" ref="O46">IF(_xlfn.XLOOKUP(A46&amp;B46&amp;C46,盘货信息!$A:$A&amp;盘货信息!$B:$B&amp;盘货信息!$C:$C,盘货信息!$K:$K)="","",IF(AND(_xlfn.XLOOKUP(A46&amp;B46&amp;C46,盘货信息!$A:$A&amp;盘货信息!$B:$B&amp;盘货信息!$C:$C,盘货信息!$G:$G)="不参加",_xlfn.XLOOKUP(A46&amp;B46&amp;C46,盘货信息!$A:$A&amp;盘货信息!$B:$B&amp;盘货信息!$C:$C,盘货信息!$H:$H)=""),"【以旧换新】"&amp;_xlfn.XLOOKUP(A46&amp;B46&amp;C46,盘货信息!$A:$A&amp;盘货信息!$B:$B&amp;盘货信息!$C:$C,盘货信息!$K:$K)&amp;"元以旧换新补贴（可无旧机换新）",""))</f>
        <v/>
      </c>
      <c r="P46" s="18" t="str">
        <f t="array" ref="P46">_xlfn.XLOOKUP(A46&amp;B46&amp;C46,赠品!$A:$A&amp;赠品!$B:$B&amp;赠品!$C:$C,赠品!$D:$D)</f>
        <v/>
      </c>
      <c r="Q46" s="18" t="str">
        <f>IF($C46="","",IF(AND(M46="",N46="",P46=""),"",固定信息!$B$1))</f>
        <v/>
      </c>
      <c r="R46" s="18" t="str">
        <f t="array" ref="R46">IF(ISNUMBER(SEARCH("是",_xlfn.XLOOKUP(A46&amp;B46&amp;C46,盘货信息!$A:$A&amp;盘货信息!$B:$B&amp;盘货信息!$C:$C,盘货信息!$U:$U))),"【折扣】指定型号满2类享96折，满3类享94折","")</f>
        <v/>
      </c>
      <c r="S46" s="18" t="str">
        <f t="array" ref="S46">IF(_xlfn.XLOOKUP(A46&amp;B46&amp;C46,盘货信息!$A:$A&amp;盘货信息!$B:$B&amp;盘货信息!$C:$C,盘货信息!$Q:$Q)&lt;1,"","【红包】活动时间购机送"&amp;_xlfn.TEXTJOIN("",,IF(ISNUMBER(--MID(_xlfn.XLOOKUP(A46&amp;B46&amp;C46,盘货信息!$A:$A&amp;盘货信息!$B:$B&amp;盘货信息!$C:$C,盘货信息!$Q:$Q),_xlfn.SEQUENCE(LEN(_xlfn.XLOOKUP(A46&amp;B46&amp;C46,盘货信息!$A:$A&amp;盘货信息!$B:$B&amp;盘货信息!$C:$C,盘货信息!$Q:$Q))),1)),MID(_xlfn.XLOOKUP(A46&amp;B46&amp;C46,盘货信息!$A:$A&amp;盘货信息!$B:$B&amp;盘货信息!$C:$C,盘货信息!$Q:$Q),_xlfn.SEQUENCE(LEN(_xlfn.XLOOKUP(A46&amp;B46&amp;C46,盘货信息!$A:$A&amp;盘货信息!$B:$B&amp;盘货信息!$C:$C,盘货信息!$Q:$Q))),1),""))&amp;"元")</f>
        <v/>
      </c>
      <c r="T46" s="18" t="str">
        <f t="array" ref="T46">IF(ISNUMBER(SEARCH("是",_xlfn.XLOOKUP(A46&amp;B46&amp;C46,盘货信息!$A:$A&amp;盘货信息!$B:$B&amp;盘货信息!$C:$C,盘货信息!$T:$T))),"【瓜分】"&amp;固定信息!$B$7,"")</f>
        <v/>
      </c>
      <c r="U46" s="18" t="str">
        <f>IF($C46="","",IF(AND(R46="",S46="",T46=""),"",固定信息!$B$1))</f>
        <v/>
      </c>
      <c r="V46" s="18" t="str">
        <f t="array" ref="V46">IF(C46="","","【服务】"&amp;IF(_xlfn.XLOOKUP(A46&amp;B46&amp;C46,盘货信息!$A:$A&amp;盘货信息!$B:$B&amp;盘货信息!$C:$C,盘货信息!$V:$V)="","",_xlfn.XLOOKUP(A46&amp;B46&amp;C46,盘货信息!$A:$A&amp;盘货信息!$B:$B&amp;盘货信息!$C:$C,盘货信息!$V:$V)&amp;"免息,")&amp;IF(_xlfn.XLOOKUP(A46&amp;B46&amp;C46,盘货信息!$A:$A&amp;盘货信息!$B:$B&amp;盘货信息!$C:$C,盘货信息!$W:$W)="","",_xlfn.XLOOKUP(A46&amp;B46&amp;C46,盘货信息!$A:$A&amp;盘货信息!$B:$B&amp;盘货信息!$C:$C,盘货信息!$W:$W)&amp;"，")&amp;"送货入户，退换免运费")</f>
        <v/>
      </c>
    </row>
    <row r="47" customHeight="1" spans="1:22">
      <c r="A47" s="17" t="str">
        <f>IF(盘货信息!A47="","",盘货信息!A47)</f>
        <v/>
      </c>
      <c r="B47" s="20" t="str">
        <f>IF(盘货信息!B47="","",盘货信息!B47)</f>
        <v/>
      </c>
      <c r="C47" s="18" t="str">
        <f>IF(盘货信息!C47="","",盘货信息!C47)</f>
        <v/>
      </c>
      <c r="D47" s="18" t="str">
        <f ca="1" t="shared" si="0"/>
        <v/>
      </c>
      <c r="E47" s="18" t="str">
        <f>IF(C47="","",固定信息!$B$2)</f>
        <v/>
      </c>
      <c r="F47" s="18" t="str">
        <f t="array" ref="F47">IF(C47="","","【"&amp;C47&amp;"】"&amp;_xlfn.XLOOKUP(A47&amp;B47&amp;C47,盘货信息!$A:$A&amp;盘货信息!$B:$B&amp;盘货信息!$C:$C,盘货信息!$D:$D))</f>
        <v/>
      </c>
      <c r="G47" s="18" t="str">
        <f>IF(C47="","","【"&amp;"活动时间："&amp;固定信息!$B$3&amp;"】")</f>
        <v/>
      </c>
      <c r="H47" s="18" t="str">
        <f>IF($C47="","",固定信息!$B$1)</f>
        <v/>
      </c>
      <c r="I47" s="18"/>
      <c r="J47" s="18" t="str">
        <f t="array" ref="J47">_xlfn.XLOOKUP(A47&amp;B47&amp;C47,价格信息!$A:$A&amp;价格信息!$B:$B&amp;价格信息!$C:$C,价格信息!$D:$D)</f>
        <v/>
      </c>
      <c r="K47" s="31" t="str">
        <f t="array" ref="K47">IF(_xlfn.XLOOKUP(A47&amp;B47&amp;C47,价格信息!$A:$A&amp;价格信息!$B:$B&amp;价格信息!$C:$C,价格信息!$I:$I)="","","【优惠券链接】"&amp;固定信息!$B$6)</f>
        <v/>
      </c>
      <c r="L47" s="31" t="str">
        <f>IF($C47="","",固定信息!$B$1)</f>
        <v/>
      </c>
      <c r="M47" s="18" t="str">
        <f t="array" ref="M47">IF(_xlfn.XLOOKUP(A47&amp;B47&amp;C47,盘货信息!$A:$A&amp;盘货信息!$B:$B&amp;盘货信息!$C:$C,盘货信息!$O:$O)="","","【优惠券】领"&amp;INDEX(_wpsfn.REGEXP(_xlfn.XLOOKUP(A47&amp;B47&amp;C47,盘货信息!$A:$A&amp;盘货信息!$B:$B&amp;盘货信息!$C:$C,盘货信息!$O:$O),"\d+"),1,1)&amp;"元优惠券下单更优惠，优惠卷："&amp;_xlfn.XLOOKUP(A47&amp;B47&amp;C47,盘货信息!$A:$A&amp;盘货信息!$B:$B&amp;盘货信息!$C:$C,盘货信息!$P:$P))</f>
        <v/>
      </c>
      <c r="N47" s="18" t="str">
        <f t="array" ref="N47">IF(AND(ISNUMBER(_xlfn.XLOOKUP(A47&amp;B47&amp;C47,盘货信息!$A:$A&amp;盘货信息!$B:$B&amp;盘货信息!$C:$C,盘货信息!$I:$I)),_xlfn.XLOOKUP(A47&amp;B47&amp;C47,盘货信息!$A:$A&amp;盘货信息!$B:$B&amp;盘货信息!$C:$C,盘货信息!$I:$I)&gt;1),"【88VIP】立减"&amp;_xlfn.XLOOKUP(A47&amp;B47&amp;C47,盘货信息!$A:$A&amp;盘货信息!$B:$B&amp;盘货信息!$C:$C,盘货信息!$I:$I)&amp;"元","")</f>
        <v/>
      </c>
      <c r="O47" s="18" t="str">
        <f t="array" ref="O47">IF(_xlfn.XLOOKUP(A47&amp;B47&amp;C47,盘货信息!$A:$A&amp;盘货信息!$B:$B&amp;盘货信息!$C:$C,盘货信息!$K:$K)="","",IF(AND(_xlfn.XLOOKUP(A47&amp;B47&amp;C47,盘货信息!$A:$A&amp;盘货信息!$B:$B&amp;盘货信息!$C:$C,盘货信息!$G:$G)="不参加",_xlfn.XLOOKUP(A47&amp;B47&amp;C47,盘货信息!$A:$A&amp;盘货信息!$B:$B&amp;盘货信息!$C:$C,盘货信息!$H:$H)=""),"【以旧换新】"&amp;_xlfn.XLOOKUP(A47&amp;B47&amp;C47,盘货信息!$A:$A&amp;盘货信息!$B:$B&amp;盘货信息!$C:$C,盘货信息!$K:$K)&amp;"元以旧换新补贴（可无旧机换新）",""))</f>
        <v/>
      </c>
      <c r="P47" s="18" t="str">
        <f t="array" ref="P47">_xlfn.XLOOKUP(A47&amp;B47&amp;C47,赠品!$A:$A&amp;赠品!$B:$B&amp;赠品!$C:$C,赠品!$D:$D)</f>
        <v/>
      </c>
      <c r="Q47" s="18" t="str">
        <f>IF($C47="","",IF(AND(M47="",N47="",P47=""),"",固定信息!$B$1))</f>
        <v/>
      </c>
      <c r="R47" s="18" t="str">
        <f t="array" ref="R47">IF(ISNUMBER(SEARCH("是",_xlfn.XLOOKUP(A47&amp;B47&amp;C47,盘货信息!$A:$A&amp;盘货信息!$B:$B&amp;盘货信息!$C:$C,盘货信息!$U:$U))),"【折扣】指定型号满2类享96折，满3类享94折","")</f>
        <v/>
      </c>
      <c r="S47" s="18" t="str">
        <f t="array" ref="S47">IF(_xlfn.XLOOKUP(A47&amp;B47&amp;C47,盘货信息!$A:$A&amp;盘货信息!$B:$B&amp;盘货信息!$C:$C,盘货信息!$Q:$Q)&lt;1,"","【红包】活动时间购机送"&amp;_xlfn.TEXTJOIN("",,IF(ISNUMBER(--MID(_xlfn.XLOOKUP(A47&amp;B47&amp;C47,盘货信息!$A:$A&amp;盘货信息!$B:$B&amp;盘货信息!$C:$C,盘货信息!$Q:$Q),_xlfn.SEQUENCE(LEN(_xlfn.XLOOKUP(A47&amp;B47&amp;C47,盘货信息!$A:$A&amp;盘货信息!$B:$B&amp;盘货信息!$C:$C,盘货信息!$Q:$Q))),1)),MID(_xlfn.XLOOKUP(A47&amp;B47&amp;C47,盘货信息!$A:$A&amp;盘货信息!$B:$B&amp;盘货信息!$C:$C,盘货信息!$Q:$Q),_xlfn.SEQUENCE(LEN(_xlfn.XLOOKUP(A47&amp;B47&amp;C47,盘货信息!$A:$A&amp;盘货信息!$B:$B&amp;盘货信息!$C:$C,盘货信息!$Q:$Q))),1),""))&amp;"元")</f>
        <v/>
      </c>
      <c r="T47" s="18" t="str">
        <f t="array" ref="T47">IF(ISNUMBER(SEARCH("是",_xlfn.XLOOKUP(A47&amp;B47&amp;C47,盘货信息!$A:$A&amp;盘货信息!$B:$B&amp;盘货信息!$C:$C,盘货信息!$T:$T))),"【瓜分】"&amp;固定信息!$B$7,"")</f>
        <v/>
      </c>
      <c r="U47" s="18" t="str">
        <f>IF($C47="","",IF(AND(R47="",S47="",T47=""),"",固定信息!$B$1))</f>
        <v/>
      </c>
      <c r="V47" s="18" t="str">
        <f t="array" ref="V47">IF(C47="","","【服务】"&amp;IF(_xlfn.XLOOKUP(A47&amp;B47&amp;C47,盘货信息!$A:$A&amp;盘货信息!$B:$B&amp;盘货信息!$C:$C,盘货信息!$V:$V)="","",_xlfn.XLOOKUP(A47&amp;B47&amp;C47,盘货信息!$A:$A&amp;盘货信息!$B:$B&amp;盘货信息!$C:$C,盘货信息!$V:$V)&amp;"免息,")&amp;IF(_xlfn.XLOOKUP(A47&amp;B47&amp;C47,盘货信息!$A:$A&amp;盘货信息!$B:$B&amp;盘货信息!$C:$C,盘货信息!$W:$W)="","",_xlfn.XLOOKUP(A47&amp;B47&amp;C47,盘货信息!$A:$A&amp;盘货信息!$B:$B&amp;盘货信息!$C:$C,盘货信息!$W:$W)&amp;"，")&amp;"送货入户，退换免运费")</f>
        <v/>
      </c>
    </row>
    <row r="48" customHeight="1" spans="1:22">
      <c r="A48" s="17" t="str">
        <f>IF(盘货信息!A48="","",盘货信息!A48)</f>
        <v/>
      </c>
      <c r="B48" s="20" t="str">
        <f>IF(盘货信息!B48="","",盘货信息!B48)</f>
        <v/>
      </c>
      <c r="C48" s="18" t="str">
        <f>IF(盘货信息!C48="","",盘货信息!C48)</f>
        <v/>
      </c>
      <c r="D48" s="18" t="str">
        <f ca="1" t="shared" si="0"/>
        <v/>
      </c>
      <c r="E48" s="18" t="str">
        <f>IF(C48="","",固定信息!$B$2)</f>
        <v/>
      </c>
      <c r="F48" s="18" t="str">
        <f t="array" ref="F48">IF(C48="","","【"&amp;C48&amp;"】"&amp;_xlfn.XLOOKUP(A48&amp;B48&amp;C48,盘货信息!$A:$A&amp;盘货信息!$B:$B&amp;盘货信息!$C:$C,盘货信息!$D:$D))</f>
        <v/>
      </c>
      <c r="G48" s="18" t="str">
        <f>IF(C48="","","【"&amp;"活动时间："&amp;固定信息!$B$3&amp;"】")</f>
        <v/>
      </c>
      <c r="H48" s="18" t="str">
        <f>IF($C48="","",固定信息!$B$1)</f>
        <v/>
      </c>
      <c r="I48" s="18"/>
      <c r="J48" s="18" t="str">
        <f t="array" ref="J48">_xlfn.XLOOKUP(A48&amp;B48&amp;C48,价格信息!$A:$A&amp;价格信息!$B:$B&amp;价格信息!$C:$C,价格信息!$D:$D)</f>
        <v/>
      </c>
      <c r="K48" s="31" t="str">
        <f t="array" ref="K48">IF(_xlfn.XLOOKUP(A48&amp;B48&amp;C48,价格信息!$A:$A&amp;价格信息!$B:$B&amp;价格信息!$C:$C,价格信息!$I:$I)="","","【优惠券链接】"&amp;固定信息!$B$6)</f>
        <v/>
      </c>
      <c r="L48" s="31" t="str">
        <f>IF($C48="","",固定信息!$B$1)</f>
        <v/>
      </c>
      <c r="M48" s="18" t="str">
        <f t="array" ref="M48">IF(_xlfn.XLOOKUP(A48&amp;B48&amp;C48,盘货信息!$A:$A&amp;盘货信息!$B:$B&amp;盘货信息!$C:$C,盘货信息!$O:$O)="","","【优惠券】领"&amp;INDEX(_wpsfn.REGEXP(_xlfn.XLOOKUP(A48&amp;B48&amp;C48,盘货信息!$A:$A&amp;盘货信息!$B:$B&amp;盘货信息!$C:$C,盘货信息!$O:$O),"\d+"),1,1)&amp;"元优惠券下单更优惠，优惠卷："&amp;_xlfn.XLOOKUP(A48&amp;B48&amp;C48,盘货信息!$A:$A&amp;盘货信息!$B:$B&amp;盘货信息!$C:$C,盘货信息!$P:$P))</f>
        <v/>
      </c>
      <c r="N48" s="18" t="str">
        <f t="array" ref="N48">IF(AND(ISNUMBER(_xlfn.XLOOKUP(A48&amp;B48&amp;C48,盘货信息!$A:$A&amp;盘货信息!$B:$B&amp;盘货信息!$C:$C,盘货信息!$I:$I)),_xlfn.XLOOKUP(A48&amp;B48&amp;C48,盘货信息!$A:$A&amp;盘货信息!$B:$B&amp;盘货信息!$C:$C,盘货信息!$I:$I)&gt;1),"【88VIP】立减"&amp;_xlfn.XLOOKUP(A48&amp;B48&amp;C48,盘货信息!$A:$A&amp;盘货信息!$B:$B&amp;盘货信息!$C:$C,盘货信息!$I:$I)&amp;"元","")</f>
        <v/>
      </c>
      <c r="O48" s="18" t="str">
        <f t="array" ref="O48">IF(_xlfn.XLOOKUP(A48&amp;B48&amp;C48,盘货信息!$A:$A&amp;盘货信息!$B:$B&amp;盘货信息!$C:$C,盘货信息!$K:$K)="","",IF(AND(_xlfn.XLOOKUP(A48&amp;B48&amp;C48,盘货信息!$A:$A&amp;盘货信息!$B:$B&amp;盘货信息!$C:$C,盘货信息!$G:$G)="不参加",_xlfn.XLOOKUP(A48&amp;B48&amp;C48,盘货信息!$A:$A&amp;盘货信息!$B:$B&amp;盘货信息!$C:$C,盘货信息!$H:$H)=""),"【以旧换新】"&amp;_xlfn.XLOOKUP(A48&amp;B48&amp;C48,盘货信息!$A:$A&amp;盘货信息!$B:$B&amp;盘货信息!$C:$C,盘货信息!$K:$K)&amp;"元以旧换新补贴（可无旧机换新）",""))</f>
        <v/>
      </c>
      <c r="P48" s="18" t="str">
        <f t="array" ref="P48">_xlfn.XLOOKUP(A48&amp;B48&amp;C48,赠品!$A:$A&amp;赠品!$B:$B&amp;赠品!$C:$C,赠品!$D:$D)</f>
        <v/>
      </c>
      <c r="Q48" s="18" t="str">
        <f>IF($C48="","",IF(AND(M48="",N48="",P48=""),"",固定信息!$B$1))</f>
        <v/>
      </c>
      <c r="R48" s="18" t="str">
        <f t="array" ref="R48">IF(ISNUMBER(SEARCH("是",_xlfn.XLOOKUP(A48&amp;B48&amp;C48,盘货信息!$A:$A&amp;盘货信息!$B:$B&amp;盘货信息!$C:$C,盘货信息!$U:$U))),"【折扣】指定型号满2类享96折，满3类享94折","")</f>
        <v/>
      </c>
      <c r="S48" s="18" t="str">
        <f t="array" ref="S48">IF(_xlfn.XLOOKUP(A48&amp;B48&amp;C48,盘货信息!$A:$A&amp;盘货信息!$B:$B&amp;盘货信息!$C:$C,盘货信息!$Q:$Q)&lt;1,"","【红包】活动时间购机送"&amp;_xlfn.TEXTJOIN("",,IF(ISNUMBER(--MID(_xlfn.XLOOKUP(A48&amp;B48&amp;C48,盘货信息!$A:$A&amp;盘货信息!$B:$B&amp;盘货信息!$C:$C,盘货信息!$Q:$Q),_xlfn.SEQUENCE(LEN(_xlfn.XLOOKUP(A48&amp;B48&amp;C48,盘货信息!$A:$A&amp;盘货信息!$B:$B&amp;盘货信息!$C:$C,盘货信息!$Q:$Q))),1)),MID(_xlfn.XLOOKUP(A48&amp;B48&amp;C48,盘货信息!$A:$A&amp;盘货信息!$B:$B&amp;盘货信息!$C:$C,盘货信息!$Q:$Q),_xlfn.SEQUENCE(LEN(_xlfn.XLOOKUP(A48&amp;B48&amp;C48,盘货信息!$A:$A&amp;盘货信息!$B:$B&amp;盘货信息!$C:$C,盘货信息!$Q:$Q))),1),""))&amp;"元")</f>
        <v/>
      </c>
      <c r="T48" s="18" t="str">
        <f t="array" ref="T48">IF(ISNUMBER(SEARCH("是",_xlfn.XLOOKUP(A48&amp;B48&amp;C48,盘货信息!$A:$A&amp;盘货信息!$B:$B&amp;盘货信息!$C:$C,盘货信息!$T:$T))),"【瓜分】"&amp;固定信息!$B$7,"")</f>
        <v/>
      </c>
      <c r="U48" s="18" t="str">
        <f>IF($C48="","",IF(AND(R48="",S48="",T48=""),"",固定信息!$B$1))</f>
        <v/>
      </c>
      <c r="V48" s="18" t="str">
        <f t="array" ref="V48">IF(C48="","","【服务】"&amp;IF(_xlfn.XLOOKUP(A48&amp;B48&amp;C48,盘货信息!$A:$A&amp;盘货信息!$B:$B&amp;盘货信息!$C:$C,盘货信息!$V:$V)="","",_xlfn.XLOOKUP(A48&amp;B48&amp;C48,盘货信息!$A:$A&amp;盘货信息!$B:$B&amp;盘货信息!$C:$C,盘货信息!$V:$V)&amp;"免息,")&amp;IF(_xlfn.XLOOKUP(A48&amp;B48&amp;C48,盘货信息!$A:$A&amp;盘货信息!$B:$B&amp;盘货信息!$C:$C,盘货信息!$W:$W)="","",_xlfn.XLOOKUP(A48&amp;B48&amp;C48,盘货信息!$A:$A&amp;盘货信息!$B:$B&amp;盘货信息!$C:$C,盘货信息!$W:$W)&amp;"，")&amp;"送货入户，退换免运费")</f>
        <v/>
      </c>
    </row>
    <row r="49" customHeight="1" spans="1:22">
      <c r="A49" s="17" t="str">
        <f>IF(盘货信息!A49="","",盘货信息!A49)</f>
        <v/>
      </c>
      <c r="B49" s="20" t="str">
        <f>IF(盘货信息!B49="","",盘货信息!B49)</f>
        <v/>
      </c>
      <c r="C49" s="18" t="str">
        <f>IF(盘货信息!C49="","",盘货信息!C49)</f>
        <v/>
      </c>
      <c r="D49" s="18" t="str">
        <f ca="1" t="shared" si="0"/>
        <v/>
      </c>
      <c r="E49" s="18" t="str">
        <f>IF(C49="","",固定信息!$B$2)</f>
        <v/>
      </c>
      <c r="F49" s="18" t="str">
        <f t="array" ref="F49">IF(C49="","","【"&amp;C49&amp;"】"&amp;_xlfn.XLOOKUP(A49&amp;B49&amp;C49,盘货信息!$A:$A&amp;盘货信息!$B:$B&amp;盘货信息!$C:$C,盘货信息!$D:$D))</f>
        <v/>
      </c>
      <c r="G49" s="18" t="str">
        <f>IF(C49="","","【"&amp;"活动时间："&amp;固定信息!$B$3&amp;"】")</f>
        <v/>
      </c>
      <c r="H49" s="18" t="str">
        <f>IF($C49="","",固定信息!$B$1)</f>
        <v/>
      </c>
      <c r="I49" s="18"/>
      <c r="J49" s="18" t="str">
        <f t="array" ref="J49">_xlfn.XLOOKUP(A49&amp;B49&amp;C49,价格信息!$A:$A&amp;价格信息!$B:$B&amp;价格信息!$C:$C,价格信息!$D:$D)</f>
        <v/>
      </c>
      <c r="K49" s="31" t="str">
        <f t="array" ref="K49">IF(_xlfn.XLOOKUP(A49&amp;B49&amp;C49,价格信息!$A:$A&amp;价格信息!$B:$B&amp;价格信息!$C:$C,价格信息!$I:$I)="","","【优惠券链接】"&amp;固定信息!$B$6)</f>
        <v/>
      </c>
      <c r="L49" s="31" t="str">
        <f>IF($C49="","",固定信息!$B$1)</f>
        <v/>
      </c>
      <c r="M49" s="18" t="str">
        <f t="array" ref="M49">IF(_xlfn.XLOOKUP(A49&amp;B49&amp;C49,盘货信息!$A:$A&amp;盘货信息!$B:$B&amp;盘货信息!$C:$C,盘货信息!$O:$O)="","","【优惠券】领"&amp;INDEX(_wpsfn.REGEXP(_xlfn.XLOOKUP(A49&amp;B49&amp;C49,盘货信息!$A:$A&amp;盘货信息!$B:$B&amp;盘货信息!$C:$C,盘货信息!$O:$O),"\d+"),1,1)&amp;"元优惠券下单更优惠，优惠卷："&amp;_xlfn.XLOOKUP(A49&amp;B49&amp;C49,盘货信息!$A:$A&amp;盘货信息!$B:$B&amp;盘货信息!$C:$C,盘货信息!$P:$P))</f>
        <v/>
      </c>
      <c r="N49" s="18" t="str">
        <f t="array" ref="N49">IF(AND(ISNUMBER(_xlfn.XLOOKUP(A49&amp;B49&amp;C49,盘货信息!$A:$A&amp;盘货信息!$B:$B&amp;盘货信息!$C:$C,盘货信息!$I:$I)),_xlfn.XLOOKUP(A49&amp;B49&amp;C49,盘货信息!$A:$A&amp;盘货信息!$B:$B&amp;盘货信息!$C:$C,盘货信息!$I:$I)&gt;1),"【88VIP】立减"&amp;_xlfn.XLOOKUP(A49&amp;B49&amp;C49,盘货信息!$A:$A&amp;盘货信息!$B:$B&amp;盘货信息!$C:$C,盘货信息!$I:$I)&amp;"元","")</f>
        <v/>
      </c>
      <c r="O49" s="18" t="str">
        <f t="array" ref="O49">IF(_xlfn.XLOOKUP(A49&amp;B49&amp;C49,盘货信息!$A:$A&amp;盘货信息!$B:$B&amp;盘货信息!$C:$C,盘货信息!$K:$K)="","",IF(AND(_xlfn.XLOOKUP(A49&amp;B49&amp;C49,盘货信息!$A:$A&amp;盘货信息!$B:$B&amp;盘货信息!$C:$C,盘货信息!$G:$G)="不参加",_xlfn.XLOOKUP(A49&amp;B49&amp;C49,盘货信息!$A:$A&amp;盘货信息!$B:$B&amp;盘货信息!$C:$C,盘货信息!$H:$H)=""),"【以旧换新】"&amp;_xlfn.XLOOKUP(A49&amp;B49&amp;C49,盘货信息!$A:$A&amp;盘货信息!$B:$B&amp;盘货信息!$C:$C,盘货信息!$K:$K)&amp;"元以旧换新补贴（可无旧机换新）",""))</f>
        <v/>
      </c>
      <c r="P49" s="18" t="str">
        <f t="array" ref="P49">_xlfn.XLOOKUP(A49&amp;B49&amp;C49,赠品!$A:$A&amp;赠品!$B:$B&amp;赠品!$C:$C,赠品!$D:$D)</f>
        <v/>
      </c>
      <c r="Q49" s="18" t="str">
        <f>IF($C49="","",IF(AND(M49="",N49="",P49=""),"",固定信息!$B$1))</f>
        <v/>
      </c>
      <c r="R49" s="18" t="str">
        <f t="array" ref="R49">IF(ISNUMBER(SEARCH("是",_xlfn.XLOOKUP(A49&amp;B49&amp;C49,盘货信息!$A:$A&amp;盘货信息!$B:$B&amp;盘货信息!$C:$C,盘货信息!$U:$U))),"【折扣】指定型号满2类享96折，满3类享94折","")</f>
        <v/>
      </c>
      <c r="S49" s="18" t="str">
        <f t="array" ref="S49">IF(_xlfn.XLOOKUP(A49&amp;B49&amp;C49,盘货信息!$A:$A&amp;盘货信息!$B:$B&amp;盘货信息!$C:$C,盘货信息!$Q:$Q)&lt;1,"","【红包】活动时间购机送"&amp;_xlfn.TEXTJOIN("",,IF(ISNUMBER(--MID(_xlfn.XLOOKUP(A49&amp;B49&amp;C49,盘货信息!$A:$A&amp;盘货信息!$B:$B&amp;盘货信息!$C:$C,盘货信息!$Q:$Q),_xlfn.SEQUENCE(LEN(_xlfn.XLOOKUP(A49&amp;B49&amp;C49,盘货信息!$A:$A&amp;盘货信息!$B:$B&amp;盘货信息!$C:$C,盘货信息!$Q:$Q))),1)),MID(_xlfn.XLOOKUP(A49&amp;B49&amp;C49,盘货信息!$A:$A&amp;盘货信息!$B:$B&amp;盘货信息!$C:$C,盘货信息!$Q:$Q),_xlfn.SEQUENCE(LEN(_xlfn.XLOOKUP(A49&amp;B49&amp;C49,盘货信息!$A:$A&amp;盘货信息!$B:$B&amp;盘货信息!$C:$C,盘货信息!$Q:$Q))),1),""))&amp;"元")</f>
        <v/>
      </c>
      <c r="T49" s="18" t="str">
        <f t="array" ref="T49">IF(ISNUMBER(SEARCH("是",_xlfn.XLOOKUP(A49&amp;B49&amp;C49,盘货信息!$A:$A&amp;盘货信息!$B:$B&amp;盘货信息!$C:$C,盘货信息!$T:$T))),"【瓜分】"&amp;固定信息!$B$7,"")</f>
        <v/>
      </c>
      <c r="U49" s="18" t="str">
        <f>IF($C49="","",IF(AND(R49="",S49="",T49=""),"",固定信息!$B$1))</f>
        <v/>
      </c>
      <c r="V49" s="18" t="str">
        <f t="array" ref="V49">IF(C49="","","【服务】"&amp;IF(_xlfn.XLOOKUP(A49&amp;B49&amp;C49,盘货信息!$A:$A&amp;盘货信息!$B:$B&amp;盘货信息!$C:$C,盘货信息!$V:$V)="","",_xlfn.XLOOKUP(A49&amp;B49&amp;C49,盘货信息!$A:$A&amp;盘货信息!$B:$B&amp;盘货信息!$C:$C,盘货信息!$V:$V)&amp;"免息,")&amp;IF(_xlfn.XLOOKUP(A49&amp;B49&amp;C49,盘货信息!$A:$A&amp;盘货信息!$B:$B&amp;盘货信息!$C:$C,盘货信息!$W:$W)="","",_xlfn.XLOOKUP(A49&amp;B49&amp;C49,盘货信息!$A:$A&amp;盘货信息!$B:$B&amp;盘货信息!$C:$C,盘货信息!$W:$W)&amp;"，")&amp;"送货入户，退换免运费")</f>
        <v/>
      </c>
    </row>
    <row r="50" customHeight="1" spans="1:22">
      <c r="A50" s="17" t="str">
        <f>IF(盘货信息!A50="","",盘货信息!A50)</f>
        <v/>
      </c>
      <c r="B50" s="20" t="str">
        <f>IF(盘货信息!B50="","",盘货信息!B50)</f>
        <v/>
      </c>
      <c r="C50" s="18" t="str">
        <f>IF(盘货信息!C50="","",盘货信息!C50)</f>
        <v/>
      </c>
      <c r="D50" s="18" t="str">
        <f ca="1" t="shared" si="0"/>
        <v/>
      </c>
      <c r="E50" s="18" t="str">
        <f>IF(C50="","",固定信息!$B$2)</f>
        <v/>
      </c>
      <c r="F50" s="18" t="str">
        <f t="array" ref="F50">IF(C50="","","【"&amp;C50&amp;"】"&amp;_xlfn.XLOOKUP(A50&amp;B50&amp;C50,盘货信息!$A:$A&amp;盘货信息!$B:$B&amp;盘货信息!$C:$C,盘货信息!$D:$D))</f>
        <v/>
      </c>
      <c r="G50" s="18" t="str">
        <f>IF(C50="","","【"&amp;"活动时间："&amp;固定信息!$B$3&amp;"】")</f>
        <v/>
      </c>
      <c r="H50" s="18" t="str">
        <f>IF($C50="","",固定信息!$B$1)</f>
        <v/>
      </c>
      <c r="I50" s="18"/>
      <c r="J50" s="18" t="str">
        <f t="array" ref="J50">_xlfn.XLOOKUP(A50&amp;B50&amp;C50,价格信息!$A:$A&amp;价格信息!$B:$B&amp;价格信息!$C:$C,价格信息!$D:$D)</f>
        <v/>
      </c>
      <c r="K50" s="31" t="str">
        <f t="array" ref="K50">IF(_xlfn.XLOOKUP(A50&amp;B50&amp;C50,价格信息!$A:$A&amp;价格信息!$B:$B&amp;价格信息!$C:$C,价格信息!$I:$I)="","","【优惠券链接】"&amp;固定信息!$B$6)</f>
        <v/>
      </c>
      <c r="L50" s="31" t="str">
        <f>IF($C50="","",固定信息!$B$1)</f>
        <v/>
      </c>
      <c r="M50" s="18" t="str">
        <f t="array" ref="M50">IF(_xlfn.XLOOKUP(A50&amp;B50&amp;C50,盘货信息!$A:$A&amp;盘货信息!$B:$B&amp;盘货信息!$C:$C,盘货信息!$O:$O)="","","【优惠券】领"&amp;INDEX(_wpsfn.REGEXP(_xlfn.XLOOKUP(A50&amp;B50&amp;C50,盘货信息!$A:$A&amp;盘货信息!$B:$B&amp;盘货信息!$C:$C,盘货信息!$O:$O),"\d+"),1,1)&amp;"元优惠券下单更优惠，优惠卷："&amp;_xlfn.XLOOKUP(A50&amp;B50&amp;C50,盘货信息!$A:$A&amp;盘货信息!$B:$B&amp;盘货信息!$C:$C,盘货信息!$P:$P))</f>
        <v/>
      </c>
      <c r="N50" s="18" t="str">
        <f t="array" ref="N50">IF(AND(ISNUMBER(_xlfn.XLOOKUP(A50&amp;B50&amp;C50,盘货信息!$A:$A&amp;盘货信息!$B:$B&amp;盘货信息!$C:$C,盘货信息!$I:$I)),_xlfn.XLOOKUP(A50&amp;B50&amp;C50,盘货信息!$A:$A&amp;盘货信息!$B:$B&amp;盘货信息!$C:$C,盘货信息!$I:$I)&gt;1),"【88VIP】立减"&amp;_xlfn.XLOOKUP(A50&amp;B50&amp;C50,盘货信息!$A:$A&amp;盘货信息!$B:$B&amp;盘货信息!$C:$C,盘货信息!$I:$I)&amp;"元","")</f>
        <v/>
      </c>
      <c r="O50" s="18" t="str">
        <f t="array" ref="O50">IF(_xlfn.XLOOKUP(A50&amp;B50&amp;C50,盘货信息!$A:$A&amp;盘货信息!$B:$B&amp;盘货信息!$C:$C,盘货信息!$K:$K)="","",IF(AND(_xlfn.XLOOKUP(A50&amp;B50&amp;C50,盘货信息!$A:$A&amp;盘货信息!$B:$B&amp;盘货信息!$C:$C,盘货信息!$G:$G)="不参加",_xlfn.XLOOKUP(A50&amp;B50&amp;C50,盘货信息!$A:$A&amp;盘货信息!$B:$B&amp;盘货信息!$C:$C,盘货信息!$H:$H)=""),"【以旧换新】"&amp;_xlfn.XLOOKUP(A50&amp;B50&amp;C50,盘货信息!$A:$A&amp;盘货信息!$B:$B&amp;盘货信息!$C:$C,盘货信息!$K:$K)&amp;"元以旧换新补贴（可无旧机换新）",""))</f>
        <v/>
      </c>
      <c r="P50" s="18" t="str">
        <f t="array" ref="P50">_xlfn.XLOOKUP(A50&amp;B50&amp;C50,赠品!$A:$A&amp;赠品!$B:$B&amp;赠品!$C:$C,赠品!$D:$D)</f>
        <v/>
      </c>
      <c r="Q50" s="18" t="str">
        <f>IF($C50="","",IF(AND(M50="",N50="",P50=""),"",固定信息!$B$1))</f>
        <v/>
      </c>
      <c r="R50" s="18" t="str">
        <f t="array" ref="R50">IF(ISNUMBER(SEARCH("是",_xlfn.XLOOKUP(A50&amp;B50&amp;C50,盘货信息!$A:$A&amp;盘货信息!$B:$B&amp;盘货信息!$C:$C,盘货信息!$U:$U))),"【折扣】指定型号满2类享96折，满3类享94折","")</f>
        <v/>
      </c>
      <c r="S50" s="18" t="str">
        <f t="array" ref="S50">IF(_xlfn.XLOOKUP(A50&amp;B50&amp;C50,盘货信息!$A:$A&amp;盘货信息!$B:$B&amp;盘货信息!$C:$C,盘货信息!$Q:$Q)&lt;1,"","【红包】活动时间购机送"&amp;_xlfn.TEXTJOIN("",,IF(ISNUMBER(--MID(_xlfn.XLOOKUP(A50&amp;B50&amp;C50,盘货信息!$A:$A&amp;盘货信息!$B:$B&amp;盘货信息!$C:$C,盘货信息!$Q:$Q),_xlfn.SEQUENCE(LEN(_xlfn.XLOOKUP(A50&amp;B50&amp;C50,盘货信息!$A:$A&amp;盘货信息!$B:$B&amp;盘货信息!$C:$C,盘货信息!$Q:$Q))),1)),MID(_xlfn.XLOOKUP(A50&amp;B50&amp;C50,盘货信息!$A:$A&amp;盘货信息!$B:$B&amp;盘货信息!$C:$C,盘货信息!$Q:$Q),_xlfn.SEQUENCE(LEN(_xlfn.XLOOKUP(A50&amp;B50&amp;C50,盘货信息!$A:$A&amp;盘货信息!$B:$B&amp;盘货信息!$C:$C,盘货信息!$Q:$Q))),1),""))&amp;"元")</f>
        <v/>
      </c>
      <c r="T50" s="18" t="str">
        <f t="array" ref="T50">IF(ISNUMBER(SEARCH("是",_xlfn.XLOOKUP(A50&amp;B50&amp;C50,盘货信息!$A:$A&amp;盘货信息!$B:$B&amp;盘货信息!$C:$C,盘货信息!$T:$T))),"【瓜分】"&amp;固定信息!$B$7,"")</f>
        <v/>
      </c>
      <c r="U50" s="18" t="str">
        <f>IF($C50="","",IF(AND(R50="",S50="",T50=""),"",固定信息!$B$1))</f>
        <v/>
      </c>
      <c r="V50" s="18" t="str">
        <f t="array" ref="V50">IF(C50="","","【服务】"&amp;IF(_xlfn.XLOOKUP(A50&amp;B50&amp;C50,盘货信息!$A:$A&amp;盘货信息!$B:$B&amp;盘货信息!$C:$C,盘货信息!$V:$V)="","",_xlfn.XLOOKUP(A50&amp;B50&amp;C50,盘货信息!$A:$A&amp;盘货信息!$B:$B&amp;盘货信息!$C:$C,盘货信息!$V:$V)&amp;"免息,")&amp;IF(_xlfn.XLOOKUP(A50&amp;B50&amp;C50,盘货信息!$A:$A&amp;盘货信息!$B:$B&amp;盘货信息!$C:$C,盘货信息!$W:$W)="","",_xlfn.XLOOKUP(A50&amp;B50&amp;C50,盘货信息!$A:$A&amp;盘货信息!$B:$B&amp;盘货信息!$C:$C,盘货信息!$W:$W)&amp;"，")&amp;"送货入户，退换免运费")</f>
        <v/>
      </c>
    </row>
    <row r="51" customHeight="1" spans="1:22">
      <c r="A51" s="17" t="str">
        <f>IF(盘货信息!A51="","",盘货信息!A51)</f>
        <v/>
      </c>
      <c r="B51" s="20" t="str">
        <f>IF(盘货信息!B51="","",盘货信息!B51)</f>
        <v/>
      </c>
      <c r="C51" s="18" t="str">
        <f>IF(盘货信息!C51="","",盘货信息!C51)</f>
        <v/>
      </c>
      <c r="D51" s="18" t="str">
        <f ca="1" t="shared" si="0"/>
        <v/>
      </c>
      <c r="E51" s="18" t="str">
        <f>IF(C51="","",固定信息!$B$2)</f>
        <v/>
      </c>
      <c r="F51" s="18" t="str">
        <f t="array" ref="F51">IF(C51="","","【"&amp;C51&amp;"】"&amp;_xlfn.XLOOKUP(A51&amp;B51&amp;C51,盘货信息!$A:$A&amp;盘货信息!$B:$B&amp;盘货信息!$C:$C,盘货信息!$D:$D))</f>
        <v/>
      </c>
      <c r="G51" s="18" t="str">
        <f>IF(C51="","","【"&amp;"活动时间："&amp;固定信息!$B$3&amp;"】")</f>
        <v/>
      </c>
      <c r="H51" s="18" t="str">
        <f>IF($C51="","",固定信息!$B$1)</f>
        <v/>
      </c>
      <c r="I51" s="18"/>
      <c r="J51" s="18" t="str">
        <f t="array" ref="J51">_xlfn.XLOOKUP(A51&amp;B51&amp;C51,价格信息!$A:$A&amp;价格信息!$B:$B&amp;价格信息!$C:$C,价格信息!$D:$D)</f>
        <v/>
      </c>
      <c r="K51" s="31" t="str">
        <f t="array" ref="K51">IF(_xlfn.XLOOKUP(A51&amp;B51&amp;C51,价格信息!$A:$A&amp;价格信息!$B:$B&amp;价格信息!$C:$C,价格信息!$I:$I)="","","【优惠券链接】"&amp;固定信息!$B$6)</f>
        <v/>
      </c>
      <c r="L51" s="31" t="str">
        <f>IF($C51="","",固定信息!$B$1)</f>
        <v/>
      </c>
      <c r="M51" s="18" t="str">
        <f t="array" ref="M51">IF(_xlfn.XLOOKUP(A51&amp;B51&amp;C51,盘货信息!$A:$A&amp;盘货信息!$B:$B&amp;盘货信息!$C:$C,盘货信息!$O:$O)="","","【优惠券】领"&amp;INDEX(_wpsfn.REGEXP(_xlfn.XLOOKUP(A51&amp;B51&amp;C51,盘货信息!$A:$A&amp;盘货信息!$B:$B&amp;盘货信息!$C:$C,盘货信息!$O:$O),"\d+"),1,1)&amp;"元优惠券下单更优惠，优惠卷："&amp;_xlfn.XLOOKUP(A51&amp;B51&amp;C51,盘货信息!$A:$A&amp;盘货信息!$B:$B&amp;盘货信息!$C:$C,盘货信息!$P:$P))</f>
        <v/>
      </c>
      <c r="N51" s="18" t="str">
        <f t="array" ref="N51">IF(AND(ISNUMBER(_xlfn.XLOOKUP(A51&amp;B51&amp;C51,盘货信息!$A:$A&amp;盘货信息!$B:$B&amp;盘货信息!$C:$C,盘货信息!$I:$I)),_xlfn.XLOOKUP(A51&amp;B51&amp;C51,盘货信息!$A:$A&amp;盘货信息!$B:$B&amp;盘货信息!$C:$C,盘货信息!$I:$I)&gt;1),"【88VIP】立减"&amp;_xlfn.XLOOKUP(A51&amp;B51&amp;C51,盘货信息!$A:$A&amp;盘货信息!$B:$B&amp;盘货信息!$C:$C,盘货信息!$I:$I)&amp;"元","")</f>
        <v/>
      </c>
      <c r="O51" s="18" t="str">
        <f t="array" ref="O51">IF(_xlfn.XLOOKUP(A51&amp;B51&amp;C51,盘货信息!$A:$A&amp;盘货信息!$B:$B&amp;盘货信息!$C:$C,盘货信息!$K:$K)="","",IF(AND(_xlfn.XLOOKUP(A51&amp;B51&amp;C51,盘货信息!$A:$A&amp;盘货信息!$B:$B&amp;盘货信息!$C:$C,盘货信息!$G:$G)="不参加",_xlfn.XLOOKUP(A51&amp;B51&amp;C51,盘货信息!$A:$A&amp;盘货信息!$B:$B&amp;盘货信息!$C:$C,盘货信息!$H:$H)=""),"【以旧换新】"&amp;_xlfn.XLOOKUP(A51&amp;B51&amp;C51,盘货信息!$A:$A&amp;盘货信息!$B:$B&amp;盘货信息!$C:$C,盘货信息!$K:$K)&amp;"元以旧换新补贴（可无旧机换新）",""))</f>
        <v/>
      </c>
      <c r="P51" s="18" t="str">
        <f t="array" ref="P51">_xlfn.XLOOKUP(A51&amp;B51&amp;C51,赠品!$A:$A&amp;赠品!$B:$B&amp;赠品!$C:$C,赠品!$D:$D)</f>
        <v/>
      </c>
      <c r="Q51" s="18" t="str">
        <f>IF($C51="","",IF(AND(M51="",N51="",P51=""),"",固定信息!$B$1))</f>
        <v/>
      </c>
      <c r="R51" s="18" t="str">
        <f t="array" ref="R51">IF(ISNUMBER(SEARCH("是",_xlfn.XLOOKUP(A51&amp;B51&amp;C51,盘货信息!$A:$A&amp;盘货信息!$B:$B&amp;盘货信息!$C:$C,盘货信息!$U:$U))),"【折扣】指定型号满2类享96折，满3类享94折","")</f>
        <v/>
      </c>
      <c r="S51" s="18" t="str">
        <f t="array" ref="S51">IF(_xlfn.XLOOKUP(A51&amp;B51&amp;C51,盘货信息!$A:$A&amp;盘货信息!$B:$B&amp;盘货信息!$C:$C,盘货信息!$Q:$Q)&lt;1,"","【红包】活动时间购机送"&amp;_xlfn.TEXTJOIN("",,IF(ISNUMBER(--MID(_xlfn.XLOOKUP(A51&amp;B51&amp;C51,盘货信息!$A:$A&amp;盘货信息!$B:$B&amp;盘货信息!$C:$C,盘货信息!$Q:$Q),_xlfn.SEQUENCE(LEN(_xlfn.XLOOKUP(A51&amp;B51&amp;C51,盘货信息!$A:$A&amp;盘货信息!$B:$B&amp;盘货信息!$C:$C,盘货信息!$Q:$Q))),1)),MID(_xlfn.XLOOKUP(A51&amp;B51&amp;C51,盘货信息!$A:$A&amp;盘货信息!$B:$B&amp;盘货信息!$C:$C,盘货信息!$Q:$Q),_xlfn.SEQUENCE(LEN(_xlfn.XLOOKUP(A51&amp;B51&amp;C51,盘货信息!$A:$A&amp;盘货信息!$B:$B&amp;盘货信息!$C:$C,盘货信息!$Q:$Q))),1),""))&amp;"元")</f>
        <v/>
      </c>
      <c r="T51" s="18" t="str">
        <f t="array" ref="T51">IF(ISNUMBER(SEARCH("是",_xlfn.XLOOKUP(A51&amp;B51&amp;C51,盘货信息!$A:$A&amp;盘货信息!$B:$B&amp;盘货信息!$C:$C,盘货信息!$T:$T))),"【瓜分】"&amp;固定信息!$B$7,"")</f>
        <v/>
      </c>
      <c r="U51" s="18" t="str">
        <f>IF($C51="","",IF(AND(R51="",S51="",T51=""),"",固定信息!$B$1))</f>
        <v/>
      </c>
      <c r="V51" s="18" t="str">
        <f t="array" ref="V51">IF(C51="","","【服务】"&amp;IF(_xlfn.XLOOKUP(A51&amp;B51&amp;C51,盘货信息!$A:$A&amp;盘货信息!$B:$B&amp;盘货信息!$C:$C,盘货信息!$V:$V)="","",_xlfn.XLOOKUP(A51&amp;B51&amp;C51,盘货信息!$A:$A&amp;盘货信息!$B:$B&amp;盘货信息!$C:$C,盘货信息!$V:$V)&amp;"免息,")&amp;IF(_xlfn.XLOOKUP(A51&amp;B51&amp;C51,盘货信息!$A:$A&amp;盘货信息!$B:$B&amp;盘货信息!$C:$C,盘货信息!$W:$W)="","",_xlfn.XLOOKUP(A51&amp;B51&amp;C51,盘货信息!$A:$A&amp;盘货信息!$B:$B&amp;盘货信息!$C:$C,盘货信息!$W:$W)&amp;"，")&amp;"送货入户，退换免运费")</f>
        <v/>
      </c>
    </row>
    <row r="52" customHeight="1" spans="1:22">
      <c r="A52" s="17" t="str">
        <f>IF(盘货信息!A52="","",盘货信息!A52)</f>
        <v/>
      </c>
      <c r="B52" s="20" t="str">
        <f>IF(盘货信息!B52="","",盘货信息!B52)</f>
        <v/>
      </c>
      <c r="C52" s="18" t="str">
        <f>IF(盘货信息!C52="","",盘货信息!C52)</f>
        <v/>
      </c>
      <c r="D52" s="18" t="str">
        <f ca="1" t="shared" si="0"/>
        <v/>
      </c>
      <c r="E52" s="18" t="str">
        <f>IF(C52="","",固定信息!$B$2)</f>
        <v/>
      </c>
      <c r="F52" s="18" t="str">
        <f t="array" ref="F52">IF(C52="","","【"&amp;C52&amp;"】"&amp;_xlfn.XLOOKUP(A52&amp;B52&amp;C52,盘货信息!$A:$A&amp;盘货信息!$B:$B&amp;盘货信息!$C:$C,盘货信息!$D:$D))</f>
        <v/>
      </c>
      <c r="G52" s="18" t="str">
        <f>IF(C52="","","【"&amp;"活动时间："&amp;固定信息!$B$3&amp;"】")</f>
        <v/>
      </c>
      <c r="H52" s="18" t="str">
        <f>IF($C52="","",固定信息!$B$1)</f>
        <v/>
      </c>
      <c r="I52" s="18"/>
      <c r="J52" s="18" t="str">
        <f t="array" ref="J52">_xlfn.XLOOKUP(A52&amp;B52&amp;C52,价格信息!$A:$A&amp;价格信息!$B:$B&amp;价格信息!$C:$C,价格信息!$D:$D)</f>
        <v/>
      </c>
      <c r="K52" s="31" t="str">
        <f t="array" ref="K52">IF(_xlfn.XLOOKUP(A52&amp;B52&amp;C52,价格信息!$A:$A&amp;价格信息!$B:$B&amp;价格信息!$C:$C,价格信息!$I:$I)="","","【优惠券链接】"&amp;固定信息!$B$6)</f>
        <v/>
      </c>
      <c r="L52" s="31" t="str">
        <f>IF($C52="","",固定信息!$B$1)</f>
        <v/>
      </c>
      <c r="M52" s="18" t="str">
        <f t="array" ref="M52">IF(_xlfn.XLOOKUP(A52&amp;B52&amp;C52,盘货信息!$A:$A&amp;盘货信息!$B:$B&amp;盘货信息!$C:$C,盘货信息!$O:$O)="","","【优惠券】领"&amp;INDEX(_wpsfn.REGEXP(_xlfn.XLOOKUP(A52&amp;B52&amp;C52,盘货信息!$A:$A&amp;盘货信息!$B:$B&amp;盘货信息!$C:$C,盘货信息!$O:$O),"\d+"),1,1)&amp;"元优惠券下单更优惠，优惠卷："&amp;_xlfn.XLOOKUP(A52&amp;B52&amp;C52,盘货信息!$A:$A&amp;盘货信息!$B:$B&amp;盘货信息!$C:$C,盘货信息!$P:$P))</f>
        <v/>
      </c>
      <c r="N52" s="18" t="str">
        <f t="array" ref="N52">IF(AND(ISNUMBER(_xlfn.XLOOKUP(A52&amp;B52&amp;C52,盘货信息!$A:$A&amp;盘货信息!$B:$B&amp;盘货信息!$C:$C,盘货信息!$I:$I)),_xlfn.XLOOKUP(A52&amp;B52&amp;C52,盘货信息!$A:$A&amp;盘货信息!$B:$B&amp;盘货信息!$C:$C,盘货信息!$I:$I)&gt;1),"【88VIP】立减"&amp;_xlfn.XLOOKUP(A52&amp;B52&amp;C52,盘货信息!$A:$A&amp;盘货信息!$B:$B&amp;盘货信息!$C:$C,盘货信息!$I:$I)&amp;"元","")</f>
        <v/>
      </c>
      <c r="O52" s="18" t="str">
        <f t="array" ref="O52">IF(_xlfn.XLOOKUP(A52&amp;B52&amp;C52,盘货信息!$A:$A&amp;盘货信息!$B:$B&amp;盘货信息!$C:$C,盘货信息!$K:$K)="","",IF(AND(_xlfn.XLOOKUP(A52&amp;B52&amp;C52,盘货信息!$A:$A&amp;盘货信息!$B:$B&amp;盘货信息!$C:$C,盘货信息!$G:$G)="不参加",_xlfn.XLOOKUP(A52&amp;B52&amp;C52,盘货信息!$A:$A&amp;盘货信息!$B:$B&amp;盘货信息!$C:$C,盘货信息!$H:$H)=""),"【以旧换新】"&amp;_xlfn.XLOOKUP(A52&amp;B52&amp;C52,盘货信息!$A:$A&amp;盘货信息!$B:$B&amp;盘货信息!$C:$C,盘货信息!$K:$K)&amp;"元以旧换新补贴（可无旧机换新）",""))</f>
        <v/>
      </c>
      <c r="P52" s="18" t="str">
        <f t="array" ref="P52">_xlfn.XLOOKUP(A52&amp;B52&amp;C52,赠品!$A:$A&amp;赠品!$B:$B&amp;赠品!$C:$C,赠品!$D:$D)</f>
        <v/>
      </c>
      <c r="Q52" s="18" t="str">
        <f>IF($C52="","",IF(AND(M52="",N52="",P52=""),"",固定信息!$B$1))</f>
        <v/>
      </c>
      <c r="R52" s="18" t="str">
        <f t="array" ref="R52">IF(ISNUMBER(SEARCH("是",_xlfn.XLOOKUP(A52&amp;B52&amp;C52,盘货信息!$A:$A&amp;盘货信息!$B:$B&amp;盘货信息!$C:$C,盘货信息!$U:$U))),"【折扣】指定型号满2类享96折，满3类享94折","")</f>
        <v/>
      </c>
      <c r="S52" s="18" t="str">
        <f t="array" ref="S52">IF(_xlfn.XLOOKUP(A52&amp;B52&amp;C52,盘货信息!$A:$A&amp;盘货信息!$B:$B&amp;盘货信息!$C:$C,盘货信息!$Q:$Q)&lt;1,"","【红包】活动时间购机送"&amp;_xlfn.TEXTJOIN("",,IF(ISNUMBER(--MID(_xlfn.XLOOKUP(A52&amp;B52&amp;C52,盘货信息!$A:$A&amp;盘货信息!$B:$B&amp;盘货信息!$C:$C,盘货信息!$Q:$Q),_xlfn.SEQUENCE(LEN(_xlfn.XLOOKUP(A52&amp;B52&amp;C52,盘货信息!$A:$A&amp;盘货信息!$B:$B&amp;盘货信息!$C:$C,盘货信息!$Q:$Q))),1)),MID(_xlfn.XLOOKUP(A52&amp;B52&amp;C52,盘货信息!$A:$A&amp;盘货信息!$B:$B&amp;盘货信息!$C:$C,盘货信息!$Q:$Q),_xlfn.SEQUENCE(LEN(_xlfn.XLOOKUP(A52&amp;B52&amp;C52,盘货信息!$A:$A&amp;盘货信息!$B:$B&amp;盘货信息!$C:$C,盘货信息!$Q:$Q))),1),""))&amp;"元")</f>
        <v/>
      </c>
      <c r="T52" s="18" t="str">
        <f t="array" ref="T52">IF(ISNUMBER(SEARCH("是",_xlfn.XLOOKUP(A52&amp;B52&amp;C52,盘货信息!$A:$A&amp;盘货信息!$B:$B&amp;盘货信息!$C:$C,盘货信息!$T:$T))),"【瓜分】"&amp;固定信息!$B$7,"")</f>
        <v/>
      </c>
      <c r="U52" s="18" t="str">
        <f>IF($C52="","",IF(AND(R52="",S52="",T52=""),"",固定信息!$B$1))</f>
        <v/>
      </c>
      <c r="V52" s="18" t="str">
        <f t="array" ref="V52">IF(C52="","","【服务】"&amp;IF(_xlfn.XLOOKUP(A52&amp;B52&amp;C52,盘货信息!$A:$A&amp;盘货信息!$B:$B&amp;盘货信息!$C:$C,盘货信息!$V:$V)="","",_xlfn.XLOOKUP(A52&amp;B52&amp;C52,盘货信息!$A:$A&amp;盘货信息!$B:$B&amp;盘货信息!$C:$C,盘货信息!$V:$V)&amp;"免息,")&amp;IF(_xlfn.XLOOKUP(A52&amp;B52&amp;C52,盘货信息!$A:$A&amp;盘货信息!$B:$B&amp;盘货信息!$C:$C,盘货信息!$W:$W)="","",_xlfn.XLOOKUP(A52&amp;B52&amp;C52,盘货信息!$A:$A&amp;盘货信息!$B:$B&amp;盘货信息!$C:$C,盘货信息!$W:$W)&amp;"，")&amp;"送货入户，退换免运费")</f>
        <v/>
      </c>
    </row>
    <row r="53" customHeight="1" spans="1:22">
      <c r="A53" s="17" t="str">
        <f>IF(盘货信息!A53="","",盘货信息!A53)</f>
        <v/>
      </c>
      <c r="B53" s="20" t="str">
        <f>IF(盘货信息!B53="","",盘货信息!B53)</f>
        <v/>
      </c>
      <c r="C53" s="18" t="str">
        <f>IF(盘货信息!C53="","",盘货信息!C53)</f>
        <v/>
      </c>
      <c r="D53" s="18" t="str">
        <f ca="1" t="shared" si="0"/>
        <v/>
      </c>
      <c r="E53" s="18" t="str">
        <f>IF(C53="","",固定信息!$B$2)</f>
        <v/>
      </c>
      <c r="F53" s="18" t="str">
        <f t="array" ref="F53">IF(C53="","","【"&amp;C53&amp;"】"&amp;_xlfn.XLOOKUP(A53&amp;B53&amp;C53,盘货信息!$A:$A&amp;盘货信息!$B:$B&amp;盘货信息!$C:$C,盘货信息!$D:$D))</f>
        <v/>
      </c>
      <c r="G53" s="18" t="str">
        <f>IF(C53="","","【"&amp;"活动时间："&amp;固定信息!$B$3&amp;"】")</f>
        <v/>
      </c>
      <c r="H53" s="18" t="str">
        <f>IF($C53="","",固定信息!$B$1)</f>
        <v/>
      </c>
      <c r="I53" s="18"/>
      <c r="J53" s="18" t="str">
        <f t="array" ref="J53">_xlfn.XLOOKUP(A53&amp;B53&amp;C53,价格信息!$A:$A&amp;价格信息!$B:$B&amp;价格信息!$C:$C,价格信息!$D:$D)</f>
        <v/>
      </c>
      <c r="K53" s="31" t="str">
        <f t="array" ref="K53">IF(_xlfn.XLOOKUP(A53&amp;B53&amp;C53,价格信息!$A:$A&amp;价格信息!$B:$B&amp;价格信息!$C:$C,价格信息!$I:$I)="","","【优惠券链接】"&amp;固定信息!$B$6)</f>
        <v/>
      </c>
      <c r="L53" s="31" t="str">
        <f>IF($C53="","",固定信息!$B$1)</f>
        <v/>
      </c>
      <c r="M53" s="18" t="str">
        <f t="array" ref="M53">IF(_xlfn.XLOOKUP(A53&amp;B53&amp;C53,盘货信息!$A:$A&amp;盘货信息!$B:$B&amp;盘货信息!$C:$C,盘货信息!$O:$O)="","","【优惠券】领"&amp;INDEX(_wpsfn.REGEXP(_xlfn.XLOOKUP(A53&amp;B53&amp;C53,盘货信息!$A:$A&amp;盘货信息!$B:$B&amp;盘货信息!$C:$C,盘货信息!$O:$O),"\d+"),1,1)&amp;"元优惠券下单更优惠，优惠卷："&amp;_xlfn.XLOOKUP(A53&amp;B53&amp;C53,盘货信息!$A:$A&amp;盘货信息!$B:$B&amp;盘货信息!$C:$C,盘货信息!$P:$P))</f>
        <v/>
      </c>
      <c r="N53" s="18" t="str">
        <f t="array" ref="N53">IF(AND(ISNUMBER(_xlfn.XLOOKUP(A53&amp;B53&amp;C53,盘货信息!$A:$A&amp;盘货信息!$B:$B&amp;盘货信息!$C:$C,盘货信息!$I:$I)),_xlfn.XLOOKUP(A53&amp;B53&amp;C53,盘货信息!$A:$A&amp;盘货信息!$B:$B&amp;盘货信息!$C:$C,盘货信息!$I:$I)&gt;1),"【88VIP】立减"&amp;_xlfn.XLOOKUP(A53&amp;B53&amp;C53,盘货信息!$A:$A&amp;盘货信息!$B:$B&amp;盘货信息!$C:$C,盘货信息!$I:$I)&amp;"元","")</f>
        <v/>
      </c>
      <c r="O53" s="18" t="str">
        <f t="array" ref="O53">IF(_xlfn.XLOOKUP(A53&amp;B53&amp;C53,盘货信息!$A:$A&amp;盘货信息!$B:$B&amp;盘货信息!$C:$C,盘货信息!$K:$K)="","",IF(AND(_xlfn.XLOOKUP(A53&amp;B53&amp;C53,盘货信息!$A:$A&amp;盘货信息!$B:$B&amp;盘货信息!$C:$C,盘货信息!$G:$G)="不参加",_xlfn.XLOOKUP(A53&amp;B53&amp;C53,盘货信息!$A:$A&amp;盘货信息!$B:$B&amp;盘货信息!$C:$C,盘货信息!$H:$H)=""),"【以旧换新】"&amp;_xlfn.XLOOKUP(A53&amp;B53&amp;C53,盘货信息!$A:$A&amp;盘货信息!$B:$B&amp;盘货信息!$C:$C,盘货信息!$K:$K)&amp;"元以旧换新补贴（可无旧机换新）",""))</f>
        <v/>
      </c>
      <c r="P53" s="18" t="str">
        <f t="array" ref="P53">_xlfn.XLOOKUP(A53&amp;B53&amp;C53,赠品!$A:$A&amp;赠品!$B:$B&amp;赠品!$C:$C,赠品!$D:$D)</f>
        <v/>
      </c>
      <c r="Q53" s="18" t="str">
        <f>IF($C53="","",IF(AND(M53="",N53="",P53=""),"",固定信息!$B$1))</f>
        <v/>
      </c>
      <c r="R53" s="18" t="str">
        <f t="array" ref="R53">IF(ISNUMBER(SEARCH("是",_xlfn.XLOOKUP(A53&amp;B53&amp;C53,盘货信息!$A:$A&amp;盘货信息!$B:$B&amp;盘货信息!$C:$C,盘货信息!$U:$U))),"【折扣】指定型号满2类享96折，满3类享94折","")</f>
        <v/>
      </c>
      <c r="S53" s="18" t="str">
        <f t="array" ref="S53">IF(_xlfn.XLOOKUP(A53&amp;B53&amp;C53,盘货信息!$A:$A&amp;盘货信息!$B:$B&amp;盘货信息!$C:$C,盘货信息!$Q:$Q)&lt;1,"","【红包】活动时间购机送"&amp;_xlfn.TEXTJOIN("",,IF(ISNUMBER(--MID(_xlfn.XLOOKUP(A53&amp;B53&amp;C53,盘货信息!$A:$A&amp;盘货信息!$B:$B&amp;盘货信息!$C:$C,盘货信息!$Q:$Q),_xlfn.SEQUENCE(LEN(_xlfn.XLOOKUP(A53&amp;B53&amp;C53,盘货信息!$A:$A&amp;盘货信息!$B:$B&amp;盘货信息!$C:$C,盘货信息!$Q:$Q))),1)),MID(_xlfn.XLOOKUP(A53&amp;B53&amp;C53,盘货信息!$A:$A&amp;盘货信息!$B:$B&amp;盘货信息!$C:$C,盘货信息!$Q:$Q),_xlfn.SEQUENCE(LEN(_xlfn.XLOOKUP(A53&amp;B53&amp;C53,盘货信息!$A:$A&amp;盘货信息!$B:$B&amp;盘货信息!$C:$C,盘货信息!$Q:$Q))),1),""))&amp;"元")</f>
        <v/>
      </c>
      <c r="T53" s="18" t="str">
        <f t="array" ref="T53">IF(ISNUMBER(SEARCH("是",_xlfn.XLOOKUP(A53&amp;B53&amp;C53,盘货信息!$A:$A&amp;盘货信息!$B:$B&amp;盘货信息!$C:$C,盘货信息!$T:$T))),"【瓜分】"&amp;固定信息!$B$7,"")</f>
        <v/>
      </c>
      <c r="U53" s="18" t="str">
        <f>IF($C53="","",IF(AND(R53="",S53="",T53=""),"",固定信息!$B$1))</f>
        <v/>
      </c>
      <c r="V53" s="18" t="str">
        <f t="array" ref="V53">IF(C53="","","【服务】"&amp;IF(_xlfn.XLOOKUP(A53&amp;B53&amp;C53,盘货信息!$A:$A&amp;盘货信息!$B:$B&amp;盘货信息!$C:$C,盘货信息!$V:$V)="","",_xlfn.XLOOKUP(A53&amp;B53&amp;C53,盘货信息!$A:$A&amp;盘货信息!$B:$B&amp;盘货信息!$C:$C,盘货信息!$V:$V)&amp;"免息,")&amp;IF(_xlfn.XLOOKUP(A53&amp;B53&amp;C53,盘货信息!$A:$A&amp;盘货信息!$B:$B&amp;盘货信息!$C:$C,盘货信息!$W:$W)="","",_xlfn.XLOOKUP(A53&amp;B53&amp;C53,盘货信息!$A:$A&amp;盘货信息!$B:$B&amp;盘货信息!$C:$C,盘货信息!$W:$W)&amp;"，")&amp;"送货入户，退换免运费")</f>
        <v/>
      </c>
    </row>
    <row r="54" customHeight="1" spans="1:22">
      <c r="A54" s="17" t="str">
        <f>IF(盘货信息!A54="","",盘货信息!A54)</f>
        <v/>
      </c>
      <c r="B54" s="20" t="str">
        <f>IF(盘货信息!B54="","",盘货信息!B54)</f>
        <v/>
      </c>
      <c r="C54" s="18" t="str">
        <f>IF(盘货信息!C54="","",盘货信息!C54)</f>
        <v/>
      </c>
      <c r="D54" s="18" t="str">
        <f ca="1" t="shared" si="0"/>
        <v/>
      </c>
      <c r="E54" s="18" t="str">
        <f>IF(C54="","",固定信息!$B$2)</f>
        <v/>
      </c>
      <c r="F54" s="18" t="str">
        <f t="array" ref="F54">IF(C54="","","【"&amp;C54&amp;"】"&amp;_xlfn.XLOOKUP(A54&amp;B54&amp;C54,盘货信息!$A:$A&amp;盘货信息!$B:$B&amp;盘货信息!$C:$C,盘货信息!$D:$D))</f>
        <v/>
      </c>
      <c r="G54" s="18" t="str">
        <f>IF(C54="","","【"&amp;"活动时间："&amp;固定信息!$B$3&amp;"】")</f>
        <v/>
      </c>
      <c r="H54" s="18" t="str">
        <f>IF($C54="","",固定信息!$B$1)</f>
        <v/>
      </c>
      <c r="I54" s="18"/>
      <c r="J54" s="18" t="str">
        <f t="array" ref="J54">_xlfn.XLOOKUP(A54&amp;B54&amp;C54,价格信息!$A:$A&amp;价格信息!$B:$B&amp;价格信息!$C:$C,价格信息!$D:$D)</f>
        <v/>
      </c>
      <c r="K54" s="31" t="str">
        <f t="array" ref="K54">IF(_xlfn.XLOOKUP(A54&amp;B54&amp;C54,价格信息!$A:$A&amp;价格信息!$B:$B&amp;价格信息!$C:$C,价格信息!$I:$I)="","","【优惠券链接】"&amp;固定信息!$B$6)</f>
        <v/>
      </c>
      <c r="L54" s="31" t="str">
        <f>IF($C54="","",固定信息!$B$1)</f>
        <v/>
      </c>
      <c r="M54" s="18" t="str">
        <f t="array" ref="M54">IF(_xlfn.XLOOKUP(A54&amp;B54&amp;C54,盘货信息!$A:$A&amp;盘货信息!$B:$B&amp;盘货信息!$C:$C,盘货信息!$O:$O)="","","【优惠券】领"&amp;INDEX(_wpsfn.REGEXP(_xlfn.XLOOKUP(A54&amp;B54&amp;C54,盘货信息!$A:$A&amp;盘货信息!$B:$B&amp;盘货信息!$C:$C,盘货信息!$O:$O),"\d+"),1,1)&amp;"元优惠券下单更优惠，优惠卷："&amp;_xlfn.XLOOKUP(A54&amp;B54&amp;C54,盘货信息!$A:$A&amp;盘货信息!$B:$B&amp;盘货信息!$C:$C,盘货信息!$P:$P))</f>
        <v/>
      </c>
      <c r="N54" s="18" t="str">
        <f t="array" ref="N54">IF(AND(ISNUMBER(_xlfn.XLOOKUP(A54&amp;B54&amp;C54,盘货信息!$A:$A&amp;盘货信息!$B:$B&amp;盘货信息!$C:$C,盘货信息!$I:$I)),_xlfn.XLOOKUP(A54&amp;B54&amp;C54,盘货信息!$A:$A&amp;盘货信息!$B:$B&amp;盘货信息!$C:$C,盘货信息!$I:$I)&gt;1),"【88VIP】立减"&amp;_xlfn.XLOOKUP(A54&amp;B54&amp;C54,盘货信息!$A:$A&amp;盘货信息!$B:$B&amp;盘货信息!$C:$C,盘货信息!$I:$I)&amp;"元","")</f>
        <v/>
      </c>
      <c r="O54" s="18" t="str">
        <f t="array" ref="O54">IF(_xlfn.XLOOKUP(A54&amp;B54&amp;C54,盘货信息!$A:$A&amp;盘货信息!$B:$B&amp;盘货信息!$C:$C,盘货信息!$K:$K)="","",IF(AND(_xlfn.XLOOKUP(A54&amp;B54&amp;C54,盘货信息!$A:$A&amp;盘货信息!$B:$B&amp;盘货信息!$C:$C,盘货信息!$G:$G)="不参加",_xlfn.XLOOKUP(A54&amp;B54&amp;C54,盘货信息!$A:$A&amp;盘货信息!$B:$B&amp;盘货信息!$C:$C,盘货信息!$H:$H)=""),"【以旧换新】"&amp;_xlfn.XLOOKUP(A54&amp;B54&amp;C54,盘货信息!$A:$A&amp;盘货信息!$B:$B&amp;盘货信息!$C:$C,盘货信息!$K:$K)&amp;"元以旧换新补贴（可无旧机换新）",""))</f>
        <v/>
      </c>
      <c r="P54" s="18" t="str">
        <f t="array" ref="P54">_xlfn.XLOOKUP(A54&amp;B54&amp;C54,赠品!$A:$A&amp;赠品!$B:$B&amp;赠品!$C:$C,赠品!$D:$D)</f>
        <v/>
      </c>
      <c r="Q54" s="18" t="str">
        <f>IF($C54="","",IF(AND(M54="",N54="",P54=""),"",固定信息!$B$1))</f>
        <v/>
      </c>
      <c r="R54" s="18" t="str">
        <f t="array" ref="R54">IF(ISNUMBER(SEARCH("是",_xlfn.XLOOKUP(A54&amp;B54&amp;C54,盘货信息!$A:$A&amp;盘货信息!$B:$B&amp;盘货信息!$C:$C,盘货信息!$U:$U))),"【折扣】指定型号满2类享96折，满3类享94折","")</f>
        <v/>
      </c>
      <c r="S54" s="18" t="str">
        <f t="array" ref="S54">IF(_xlfn.XLOOKUP(A54&amp;B54&amp;C54,盘货信息!$A:$A&amp;盘货信息!$B:$B&amp;盘货信息!$C:$C,盘货信息!$Q:$Q)&lt;1,"","【红包】活动时间购机送"&amp;_xlfn.TEXTJOIN("",,IF(ISNUMBER(--MID(_xlfn.XLOOKUP(A54&amp;B54&amp;C54,盘货信息!$A:$A&amp;盘货信息!$B:$B&amp;盘货信息!$C:$C,盘货信息!$Q:$Q),_xlfn.SEQUENCE(LEN(_xlfn.XLOOKUP(A54&amp;B54&amp;C54,盘货信息!$A:$A&amp;盘货信息!$B:$B&amp;盘货信息!$C:$C,盘货信息!$Q:$Q))),1)),MID(_xlfn.XLOOKUP(A54&amp;B54&amp;C54,盘货信息!$A:$A&amp;盘货信息!$B:$B&amp;盘货信息!$C:$C,盘货信息!$Q:$Q),_xlfn.SEQUENCE(LEN(_xlfn.XLOOKUP(A54&amp;B54&amp;C54,盘货信息!$A:$A&amp;盘货信息!$B:$B&amp;盘货信息!$C:$C,盘货信息!$Q:$Q))),1),""))&amp;"元")</f>
        <v/>
      </c>
      <c r="T54" s="18" t="str">
        <f t="array" ref="T54">IF(ISNUMBER(SEARCH("是",_xlfn.XLOOKUP(A54&amp;B54&amp;C54,盘货信息!$A:$A&amp;盘货信息!$B:$B&amp;盘货信息!$C:$C,盘货信息!$T:$T))),"【瓜分】"&amp;固定信息!$B$7,"")</f>
        <v/>
      </c>
      <c r="U54" s="18" t="str">
        <f>IF($C54="","",IF(AND(R54="",S54="",T54=""),"",固定信息!$B$1))</f>
        <v/>
      </c>
      <c r="V54" s="18" t="str">
        <f t="array" ref="V54">IF(C54="","","【服务】"&amp;IF(_xlfn.XLOOKUP(A54&amp;B54&amp;C54,盘货信息!$A:$A&amp;盘货信息!$B:$B&amp;盘货信息!$C:$C,盘货信息!$V:$V)="","",_xlfn.XLOOKUP(A54&amp;B54&amp;C54,盘货信息!$A:$A&amp;盘货信息!$B:$B&amp;盘货信息!$C:$C,盘货信息!$V:$V)&amp;"免息,")&amp;IF(_xlfn.XLOOKUP(A54&amp;B54&amp;C54,盘货信息!$A:$A&amp;盘货信息!$B:$B&amp;盘货信息!$C:$C,盘货信息!$W:$W)="","",_xlfn.XLOOKUP(A54&amp;B54&amp;C54,盘货信息!$A:$A&amp;盘货信息!$B:$B&amp;盘货信息!$C:$C,盘货信息!$W:$W)&amp;"，")&amp;"送货入户，退换免运费")</f>
        <v/>
      </c>
    </row>
    <row r="55" customHeight="1" spans="1:22">
      <c r="A55" s="17" t="str">
        <f>IF(盘货信息!A55="","",盘货信息!A55)</f>
        <v/>
      </c>
      <c r="B55" s="20" t="str">
        <f>IF(盘货信息!B55="","",盘货信息!B55)</f>
        <v/>
      </c>
      <c r="C55" s="18" t="str">
        <f>IF(盘货信息!C55="","",盘货信息!C55)</f>
        <v/>
      </c>
      <c r="D55" s="18" t="str">
        <f ca="1" t="shared" si="0"/>
        <v/>
      </c>
      <c r="E55" s="18" t="str">
        <f>IF(C55="","",固定信息!$B$2)</f>
        <v/>
      </c>
      <c r="F55" s="18" t="str">
        <f t="array" ref="F55">IF(C55="","","【"&amp;C55&amp;"】"&amp;_xlfn.XLOOKUP(A55&amp;B55&amp;C55,盘货信息!$A:$A&amp;盘货信息!$B:$B&amp;盘货信息!$C:$C,盘货信息!$D:$D))</f>
        <v/>
      </c>
      <c r="G55" s="18" t="str">
        <f>IF(C55="","","【"&amp;"活动时间："&amp;固定信息!$B$3&amp;"】")</f>
        <v/>
      </c>
      <c r="H55" s="18" t="str">
        <f>IF($C55="","",固定信息!$B$1)</f>
        <v/>
      </c>
      <c r="I55" s="18"/>
      <c r="J55" s="18" t="str">
        <f t="array" ref="J55">_xlfn.XLOOKUP(A55&amp;B55&amp;C55,价格信息!$A:$A&amp;价格信息!$B:$B&amp;价格信息!$C:$C,价格信息!$D:$D)</f>
        <v/>
      </c>
      <c r="K55" s="31" t="str">
        <f t="array" ref="K55">IF(_xlfn.XLOOKUP(A55&amp;B55&amp;C55,价格信息!$A:$A&amp;价格信息!$B:$B&amp;价格信息!$C:$C,价格信息!$I:$I)="","","【优惠券链接】"&amp;固定信息!$B$6)</f>
        <v/>
      </c>
      <c r="L55" s="31" t="str">
        <f>IF($C55="","",固定信息!$B$1)</f>
        <v/>
      </c>
      <c r="M55" s="18" t="str">
        <f t="array" ref="M55">IF(_xlfn.XLOOKUP(A55&amp;B55&amp;C55,盘货信息!$A:$A&amp;盘货信息!$B:$B&amp;盘货信息!$C:$C,盘货信息!$O:$O)="","","【优惠券】领"&amp;INDEX(_wpsfn.REGEXP(_xlfn.XLOOKUP(A55&amp;B55&amp;C55,盘货信息!$A:$A&amp;盘货信息!$B:$B&amp;盘货信息!$C:$C,盘货信息!$O:$O),"\d+"),1,1)&amp;"元优惠券下单更优惠，优惠卷："&amp;_xlfn.XLOOKUP(A55&amp;B55&amp;C55,盘货信息!$A:$A&amp;盘货信息!$B:$B&amp;盘货信息!$C:$C,盘货信息!$P:$P))</f>
        <v/>
      </c>
      <c r="N55" s="18" t="str">
        <f t="array" ref="N55">IF(AND(ISNUMBER(_xlfn.XLOOKUP(A55&amp;B55&amp;C55,盘货信息!$A:$A&amp;盘货信息!$B:$B&amp;盘货信息!$C:$C,盘货信息!$I:$I)),_xlfn.XLOOKUP(A55&amp;B55&amp;C55,盘货信息!$A:$A&amp;盘货信息!$B:$B&amp;盘货信息!$C:$C,盘货信息!$I:$I)&gt;1),"【88VIP】立减"&amp;_xlfn.XLOOKUP(A55&amp;B55&amp;C55,盘货信息!$A:$A&amp;盘货信息!$B:$B&amp;盘货信息!$C:$C,盘货信息!$I:$I)&amp;"元","")</f>
        <v/>
      </c>
      <c r="O55" s="18" t="str">
        <f t="array" ref="O55">IF(_xlfn.XLOOKUP(A55&amp;B55&amp;C55,盘货信息!$A:$A&amp;盘货信息!$B:$B&amp;盘货信息!$C:$C,盘货信息!$K:$K)="","",IF(AND(_xlfn.XLOOKUP(A55&amp;B55&amp;C55,盘货信息!$A:$A&amp;盘货信息!$B:$B&amp;盘货信息!$C:$C,盘货信息!$G:$G)="不参加",_xlfn.XLOOKUP(A55&amp;B55&amp;C55,盘货信息!$A:$A&amp;盘货信息!$B:$B&amp;盘货信息!$C:$C,盘货信息!$H:$H)=""),"【以旧换新】"&amp;_xlfn.XLOOKUP(A55&amp;B55&amp;C55,盘货信息!$A:$A&amp;盘货信息!$B:$B&amp;盘货信息!$C:$C,盘货信息!$K:$K)&amp;"元以旧换新补贴（可无旧机换新）",""))</f>
        <v/>
      </c>
      <c r="P55" s="18" t="str">
        <f t="array" ref="P55">_xlfn.XLOOKUP(A55&amp;B55&amp;C55,赠品!$A:$A&amp;赠品!$B:$B&amp;赠品!$C:$C,赠品!$D:$D)</f>
        <v/>
      </c>
      <c r="Q55" s="18" t="str">
        <f>IF($C55="","",IF(AND(M55="",N55="",P55=""),"",固定信息!$B$1))</f>
        <v/>
      </c>
      <c r="R55" s="18" t="str">
        <f t="array" ref="R55">IF(ISNUMBER(SEARCH("是",_xlfn.XLOOKUP(A55&amp;B55&amp;C55,盘货信息!$A:$A&amp;盘货信息!$B:$B&amp;盘货信息!$C:$C,盘货信息!$U:$U))),"【折扣】指定型号满2类享96折，满3类享94折","")</f>
        <v/>
      </c>
      <c r="S55" s="18" t="str">
        <f t="array" ref="S55">IF(_xlfn.XLOOKUP(A55&amp;B55&amp;C55,盘货信息!$A:$A&amp;盘货信息!$B:$B&amp;盘货信息!$C:$C,盘货信息!$Q:$Q)&lt;1,"","【红包】活动时间购机送"&amp;_xlfn.TEXTJOIN("",,IF(ISNUMBER(--MID(_xlfn.XLOOKUP(A55&amp;B55&amp;C55,盘货信息!$A:$A&amp;盘货信息!$B:$B&amp;盘货信息!$C:$C,盘货信息!$Q:$Q),_xlfn.SEQUENCE(LEN(_xlfn.XLOOKUP(A55&amp;B55&amp;C55,盘货信息!$A:$A&amp;盘货信息!$B:$B&amp;盘货信息!$C:$C,盘货信息!$Q:$Q))),1)),MID(_xlfn.XLOOKUP(A55&amp;B55&amp;C55,盘货信息!$A:$A&amp;盘货信息!$B:$B&amp;盘货信息!$C:$C,盘货信息!$Q:$Q),_xlfn.SEQUENCE(LEN(_xlfn.XLOOKUP(A55&amp;B55&amp;C55,盘货信息!$A:$A&amp;盘货信息!$B:$B&amp;盘货信息!$C:$C,盘货信息!$Q:$Q))),1),""))&amp;"元")</f>
        <v/>
      </c>
      <c r="T55" s="18" t="str">
        <f t="array" ref="T55">IF(ISNUMBER(SEARCH("是",_xlfn.XLOOKUP(A55&amp;B55&amp;C55,盘货信息!$A:$A&amp;盘货信息!$B:$B&amp;盘货信息!$C:$C,盘货信息!$T:$T))),"【瓜分】"&amp;固定信息!$B$7,"")</f>
        <v/>
      </c>
      <c r="U55" s="18" t="str">
        <f>IF($C55="","",IF(AND(R55="",S55="",T55=""),"",固定信息!$B$1))</f>
        <v/>
      </c>
      <c r="V55" s="18" t="str">
        <f t="array" ref="V55">IF(C55="","","【服务】"&amp;IF(_xlfn.XLOOKUP(A55&amp;B55&amp;C55,盘货信息!$A:$A&amp;盘货信息!$B:$B&amp;盘货信息!$C:$C,盘货信息!$V:$V)="","",_xlfn.XLOOKUP(A55&amp;B55&amp;C55,盘货信息!$A:$A&amp;盘货信息!$B:$B&amp;盘货信息!$C:$C,盘货信息!$V:$V)&amp;"免息,")&amp;IF(_xlfn.XLOOKUP(A55&amp;B55&amp;C55,盘货信息!$A:$A&amp;盘货信息!$B:$B&amp;盘货信息!$C:$C,盘货信息!$W:$W)="","",_xlfn.XLOOKUP(A55&amp;B55&amp;C55,盘货信息!$A:$A&amp;盘货信息!$B:$B&amp;盘货信息!$C:$C,盘货信息!$W:$W)&amp;"，")&amp;"送货入户，退换免运费")</f>
        <v/>
      </c>
    </row>
    <row r="56" customHeight="1" spans="1:22">
      <c r="A56" s="17" t="str">
        <f>IF(盘货信息!A56="","",盘货信息!A56)</f>
        <v/>
      </c>
      <c r="B56" s="20" t="str">
        <f>IF(盘货信息!B56="","",盘货信息!B56)</f>
        <v/>
      </c>
      <c r="C56" s="18" t="str">
        <f>IF(盘货信息!C56="","",盘货信息!C56)</f>
        <v/>
      </c>
      <c r="D56" s="18" t="str">
        <f ca="1" t="shared" si="0"/>
        <v/>
      </c>
      <c r="E56" s="18" t="str">
        <f>IF(C56="","",固定信息!$B$2)</f>
        <v/>
      </c>
      <c r="F56" s="18" t="str">
        <f t="array" ref="F56">IF(C56="","","【"&amp;C56&amp;"】"&amp;_xlfn.XLOOKUP(A56&amp;B56&amp;C56,盘货信息!$A:$A&amp;盘货信息!$B:$B&amp;盘货信息!$C:$C,盘货信息!$D:$D))</f>
        <v/>
      </c>
      <c r="G56" s="18" t="str">
        <f>IF(C56="","","【"&amp;"活动时间："&amp;固定信息!$B$3&amp;"】")</f>
        <v/>
      </c>
      <c r="H56" s="18" t="str">
        <f>IF($C56="","",固定信息!$B$1)</f>
        <v/>
      </c>
      <c r="I56" s="18"/>
      <c r="J56" s="18" t="str">
        <f t="array" ref="J56">_xlfn.XLOOKUP(A56&amp;B56&amp;C56,价格信息!$A:$A&amp;价格信息!$B:$B&amp;价格信息!$C:$C,价格信息!$D:$D)</f>
        <v/>
      </c>
      <c r="K56" s="31" t="str">
        <f t="array" ref="K56">IF(_xlfn.XLOOKUP(A56&amp;B56&amp;C56,价格信息!$A:$A&amp;价格信息!$B:$B&amp;价格信息!$C:$C,价格信息!$I:$I)="","","【优惠券链接】"&amp;固定信息!$B$6)</f>
        <v/>
      </c>
      <c r="L56" s="31" t="str">
        <f>IF($C56="","",固定信息!$B$1)</f>
        <v/>
      </c>
      <c r="M56" s="18" t="str">
        <f t="array" ref="M56">IF(_xlfn.XLOOKUP(A56&amp;B56&amp;C56,盘货信息!$A:$A&amp;盘货信息!$B:$B&amp;盘货信息!$C:$C,盘货信息!$O:$O)="","","【优惠券】领"&amp;INDEX(_wpsfn.REGEXP(_xlfn.XLOOKUP(A56&amp;B56&amp;C56,盘货信息!$A:$A&amp;盘货信息!$B:$B&amp;盘货信息!$C:$C,盘货信息!$O:$O),"\d+"),1,1)&amp;"元优惠券下单更优惠，优惠卷："&amp;_xlfn.XLOOKUP(A56&amp;B56&amp;C56,盘货信息!$A:$A&amp;盘货信息!$B:$B&amp;盘货信息!$C:$C,盘货信息!$P:$P))</f>
        <v/>
      </c>
      <c r="N56" s="18" t="str">
        <f t="array" ref="N56">IF(AND(ISNUMBER(_xlfn.XLOOKUP(A56&amp;B56&amp;C56,盘货信息!$A:$A&amp;盘货信息!$B:$B&amp;盘货信息!$C:$C,盘货信息!$I:$I)),_xlfn.XLOOKUP(A56&amp;B56&amp;C56,盘货信息!$A:$A&amp;盘货信息!$B:$B&amp;盘货信息!$C:$C,盘货信息!$I:$I)&gt;1),"【88VIP】立减"&amp;_xlfn.XLOOKUP(A56&amp;B56&amp;C56,盘货信息!$A:$A&amp;盘货信息!$B:$B&amp;盘货信息!$C:$C,盘货信息!$I:$I)&amp;"元","")</f>
        <v/>
      </c>
      <c r="O56" s="18" t="str">
        <f t="array" ref="O56">IF(_xlfn.XLOOKUP(A56&amp;B56&amp;C56,盘货信息!$A:$A&amp;盘货信息!$B:$B&amp;盘货信息!$C:$C,盘货信息!$K:$K)="","",IF(AND(_xlfn.XLOOKUP(A56&amp;B56&amp;C56,盘货信息!$A:$A&amp;盘货信息!$B:$B&amp;盘货信息!$C:$C,盘货信息!$G:$G)="不参加",_xlfn.XLOOKUP(A56&amp;B56&amp;C56,盘货信息!$A:$A&amp;盘货信息!$B:$B&amp;盘货信息!$C:$C,盘货信息!$H:$H)=""),"【以旧换新】"&amp;_xlfn.XLOOKUP(A56&amp;B56&amp;C56,盘货信息!$A:$A&amp;盘货信息!$B:$B&amp;盘货信息!$C:$C,盘货信息!$K:$K)&amp;"元以旧换新补贴（可无旧机换新）",""))</f>
        <v/>
      </c>
      <c r="P56" s="18" t="str">
        <f t="array" ref="P56">_xlfn.XLOOKUP(A56&amp;B56&amp;C56,赠品!$A:$A&amp;赠品!$B:$B&amp;赠品!$C:$C,赠品!$D:$D)</f>
        <v/>
      </c>
      <c r="Q56" s="18" t="str">
        <f>IF($C56="","",IF(AND(M56="",N56="",P56=""),"",固定信息!$B$1))</f>
        <v/>
      </c>
      <c r="R56" s="18" t="str">
        <f t="array" ref="R56">IF(ISNUMBER(SEARCH("是",_xlfn.XLOOKUP(A56&amp;B56&amp;C56,盘货信息!$A:$A&amp;盘货信息!$B:$B&amp;盘货信息!$C:$C,盘货信息!$U:$U))),"【折扣】指定型号满2类享96折，满3类享94折","")</f>
        <v/>
      </c>
      <c r="S56" s="18" t="str">
        <f t="array" ref="S56">IF(_xlfn.XLOOKUP(A56&amp;B56&amp;C56,盘货信息!$A:$A&amp;盘货信息!$B:$B&amp;盘货信息!$C:$C,盘货信息!$Q:$Q)&lt;1,"","【红包】活动时间购机送"&amp;_xlfn.TEXTJOIN("",,IF(ISNUMBER(--MID(_xlfn.XLOOKUP(A56&amp;B56&amp;C56,盘货信息!$A:$A&amp;盘货信息!$B:$B&amp;盘货信息!$C:$C,盘货信息!$Q:$Q),_xlfn.SEQUENCE(LEN(_xlfn.XLOOKUP(A56&amp;B56&amp;C56,盘货信息!$A:$A&amp;盘货信息!$B:$B&amp;盘货信息!$C:$C,盘货信息!$Q:$Q))),1)),MID(_xlfn.XLOOKUP(A56&amp;B56&amp;C56,盘货信息!$A:$A&amp;盘货信息!$B:$B&amp;盘货信息!$C:$C,盘货信息!$Q:$Q),_xlfn.SEQUENCE(LEN(_xlfn.XLOOKUP(A56&amp;B56&amp;C56,盘货信息!$A:$A&amp;盘货信息!$B:$B&amp;盘货信息!$C:$C,盘货信息!$Q:$Q))),1),""))&amp;"元")</f>
        <v/>
      </c>
      <c r="T56" s="18" t="str">
        <f t="array" ref="T56">IF(ISNUMBER(SEARCH("是",_xlfn.XLOOKUP(A56&amp;B56&amp;C56,盘货信息!$A:$A&amp;盘货信息!$B:$B&amp;盘货信息!$C:$C,盘货信息!$T:$T))),"【瓜分】"&amp;固定信息!$B$7,"")</f>
        <v/>
      </c>
      <c r="U56" s="18" t="str">
        <f>IF($C56="","",IF(AND(R56="",S56="",T56=""),"",固定信息!$B$1))</f>
        <v/>
      </c>
      <c r="V56" s="18" t="str">
        <f t="array" ref="V56">IF(C56="","","【服务】"&amp;IF(_xlfn.XLOOKUP(A56&amp;B56&amp;C56,盘货信息!$A:$A&amp;盘货信息!$B:$B&amp;盘货信息!$C:$C,盘货信息!$V:$V)="","",_xlfn.XLOOKUP(A56&amp;B56&amp;C56,盘货信息!$A:$A&amp;盘货信息!$B:$B&amp;盘货信息!$C:$C,盘货信息!$V:$V)&amp;"免息,")&amp;IF(_xlfn.XLOOKUP(A56&amp;B56&amp;C56,盘货信息!$A:$A&amp;盘货信息!$B:$B&amp;盘货信息!$C:$C,盘货信息!$W:$W)="","",_xlfn.XLOOKUP(A56&amp;B56&amp;C56,盘货信息!$A:$A&amp;盘货信息!$B:$B&amp;盘货信息!$C:$C,盘货信息!$W:$W)&amp;"，")&amp;"送货入户，退换免运费")</f>
        <v/>
      </c>
    </row>
    <row r="57" customHeight="1" spans="1:22">
      <c r="A57" s="17" t="str">
        <f>IF(盘货信息!A57="","",盘货信息!A57)</f>
        <v/>
      </c>
      <c r="B57" s="20" t="str">
        <f>IF(盘货信息!B57="","",盘货信息!B57)</f>
        <v/>
      </c>
      <c r="C57" s="18" t="str">
        <f>IF(盘货信息!C57="","",盘货信息!C57)</f>
        <v/>
      </c>
      <c r="D57" s="18" t="str">
        <f ca="1" t="shared" si="0"/>
        <v/>
      </c>
      <c r="E57" s="18" t="str">
        <f>IF(C57="","",固定信息!$B$2)</f>
        <v/>
      </c>
      <c r="F57" s="18" t="str">
        <f t="array" ref="F57">IF(C57="","","【"&amp;C57&amp;"】"&amp;_xlfn.XLOOKUP(A57&amp;B57&amp;C57,盘货信息!$A:$A&amp;盘货信息!$B:$B&amp;盘货信息!$C:$C,盘货信息!$D:$D))</f>
        <v/>
      </c>
      <c r="G57" s="18" t="str">
        <f>IF(C57="","","【"&amp;"活动时间："&amp;固定信息!$B$3&amp;"】")</f>
        <v/>
      </c>
      <c r="H57" s="18" t="str">
        <f>IF($C57="","",固定信息!$B$1)</f>
        <v/>
      </c>
      <c r="I57" s="18"/>
      <c r="J57" s="18" t="str">
        <f t="array" ref="J57">_xlfn.XLOOKUP(A57&amp;B57&amp;C57,价格信息!$A:$A&amp;价格信息!$B:$B&amp;价格信息!$C:$C,价格信息!$D:$D)</f>
        <v/>
      </c>
      <c r="K57" s="31" t="str">
        <f t="array" ref="K57">IF(_xlfn.XLOOKUP(A57&amp;B57&amp;C57,价格信息!$A:$A&amp;价格信息!$B:$B&amp;价格信息!$C:$C,价格信息!$I:$I)="","","【优惠券链接】"&amp;固定信息!$B$6)</f>
        <v/>
      </c>
      <c r="L57" s="31" t="str">
        <f>IF($C57="","",固定信息!$B$1)</f>
        <v/>
      </c>
      <c r="M57" s="18" t="str">
        <f t="array" ref="M57">IF(_xlfn.XLOOKUP(A57&amp;B57&amp;C57,盘货信息!$A:$A&amp;盘货信息!$B:$B&amp;盘货信息!$C:$C,盘货信息!$O:$O)="","","【优惠券】领"&amp;INDEX(_wpsfn.REGEXP(_xlfn.XLOOKUP(A57&amp;B57&amp;C57,盘货信息!$A:$A&amp;盘货信息!$B:$B&amp;盘货信息!$C:$C,盘货信息!$O:$O),"\d+"),1,1)&amp;"元优惠券下单更优惠，优惠卷："&amp;_xlfn.XLOOKUP(A57&amp;B57&amp;C57,盘货信息!$A:$A&amp;盘货信息!$B:$B&amp;盘货信息!$C:$C,盘货信息!$P:$P))</f>
        <v/>
      </c>
      <c r="N57" s="18" t="str">
        <f t="array" ref="N57">IF(AND(ISNUMBER(_xlfn.XLOOKUP(A57&amp;B57&amp;C57,盘货信息!$A:$A&amp;盘货信息!$B:$B&amp;盘货信息!$C:$C,盘货信息!$I:$I)),_xlfn.XLOOKUP(A57&amp;B57&amp;C57,盘货信息!$A:$A&amp;盘货信息!$B:$B&amp;盘货信息!$C:$C,盘货信息!$I:$I)&gt;1),"【88VIP】立减"&amp;_xlfn.XLOOKUP(A57&amp;B57&amp;C57,盘货信息!$A:$A&amp;盘货信息!$B:$B&amp;盘货信息!$C:$C,盘货信息!$I:$I)&amp;"元","")</f>
        <v/>
      </c>
      <c r="O57" s="18" t="str">
        <f t="array" ref="O57">IF(_xlfn.XLOOKUP(A57&amp;B57&amp;C57,盘货信息!$A:$A&amp;盘货信息!$B:$B&amp;盘货信息!$C:$C,盘货信息!$K:$K)="","",IF(AND(_xlfn.XLOOKUP(A57&amp;B57&amp;C57,盘货信息!$A:$A&amp;盘货信息!$B:$B&amp;盘货信息!$C:$C,盘货信息!$G:$G)="不参加",_xlfn.XLOOKUP(A57&amp;B57&amp;C57,盘货信息!$A:$A&amp;盘货信息!$B:$B&amp;盘货信息!$C:$C,盘货信息!$H:$H)=""),"【以旧换新】"&amp;_xlfn.XLOOKUP(A57&amp;B57&amp;C57,盘货信息!$A:$A&amp;盘货信息!$B:$B&amp;盘货信息!$C:$C,盘货信息!$K:$K)&amp;"元以旧换新补贴（可无旧机换新）",""))</f>
        <v/>
      </c>
      <c r="P57" s="18" t="str">
        <f t="array" ref="P57">_xlfn.XLOOKUP(A57&amp;B57&amp;C57,赠品!$A:$A&amp;赠品!$B:$B&amp;赠品!$C:$C,赠品!$D:$D)</f>
        <v/>
      </c>
      <c r="Q57" s="18" t="str">
        <f>IF($C57="","",IF(AND(M57="",N57="",P57=""),"",固定信息!$B$1))</f>
        <v/>
      </c>
      <c r="R57" s="18" t="str">
        <f t="array" ref="R57">IF(ISNUMBER(SEARCH("是",_xlfn.XLOOKUP(A57&amp;B57&amp;C57,盘货信息!$A:$A&amp;盘货信息!$B:$B&amp;盘货信息!$C:$C,盘货信息!$U:$U))),"【折扣】指定型号满2类享96折，满3类享94折","")</f>
        <v/>
      </c>
      <c r="S57" s="18" t="str">
        <f t="array" ref="S57">IF(_xlfn.XLOOKUP(A57&amp;B57&amp;C57,盘货信息!$A:$A&amp;盘货信息!$B:$B&amp;盘货信息!$C:$C,盘货信息!$Q:$Q)&lt;1,"","【红包】活动时间购机送"&amp;_xlfn.TEXTJOIN("",,IF(ISNUMBER(--MID(_xlfn.XLOOKUP(A57&amp;B57&amp;C57,盘货信息!$A:$A&amp;盘货信息!$B:$B&amp;盘货信息!$C:$C,盘货信息!$Q:$Q),_xlfn.SEQUENCE(LEN(_xlfn.XLOOKUP(A57&amp;B57&amp;C57,盘货信息!$A:$A&amp;盘货信息!$B:$B&amp;盘货信息!$C:$C,盘货信息!$Q:$Q))),1)),MID(_xlfn.XLOOKUP(A57&amp;B57&amp;C57,盘货信息!$A:$A&amp;盘货信息!$B:$B&amp;盘货信息!$C:$C,盘货信息!$Q:$Q),_xlfn.SEQUENCE(LEN(_xlfn.XLOOKUP(A57&amp;B57&amp;C57,盘货信息!$A:$A&amp;盘货信息!$B:$B&amp;盘货信息!$C:$C,盘货信息!$Q:$Q))),1),""))&amp;"元")</f>
        <v/>
      </c>
      <c r="T57" s="18" t="str">
        <f t="array" ref="T57">IF(ISNUMBER(SEARCH("是",_xlfn.XLOOKUP(A57&amp;B57&amp;C57,盘货信息!$A:$A&amp;盘货信息!$B:$B&amp;盘货信息!$C:$C,盘货信息!$T:$T))),"【瓜分】"&amp;固定信息!$B$7,"")</f>
        <v/>
      </c>
      <c r="U57" s="18" t="str">
        <f>IF($C57="","",IF(AND(R57="",S57="",T57=""),"",固定信息!$B$1))</f>
        <v/>
      </c>
      <c r="V57" s="18" t="str">
        <f t="array" ref="V57">IF(C57="","","【服务】"&amp;IF(_xlfn.XLOOKUP(A57&amp;B57&amp;C57,盘货信息!$A:$A&amp;盘货信息!$B:$B&amp;盘货信息!$C:$C,盘货信息!$V:$V)="","",_xlfn.XLOOKUP(A57&amp;B57&amp;C57,盘货信息!$A:$A&amp;盘货信息!$B:$B&amp;盘货信息!$C:$C,盘货信息!$V:$V)&amp;"免息,")&amp;IF(_xlfn.XLOOKUP(A57&amp;B57&amp;C57,盘货信息!$A:$A&amp;盘货信息!$B:$B&amp;盘货信息!$C:$C,盘货信息!$W:$W)="","",_xlfn.XLOOKUP(A57&amp;B57&amp;C57,盘货信息!$A:$A&amp;盘货信息!$B:$B&amp;盘货信息!$C:$C,盘货信息!$W:$W)&amp;"，")&amp;"送货入户，退换免运费")</f>
        <v/>
      </c>
    </row>
    <row r="58" customHeight="1" spans="1:22">
      <c r="A58" s="17" t="str">
        <f>IF(盘货信息!A58="","",盘货信息!A58)</f>
        <v/>
      </c>
      <c r="B58" s="20" t="str">
        <f>IF(盘货信息!B58="","",盘货信息!B58)</f>
        <v/>
      </c>
      <c r="C58" s="18" t="str">
        <f>IF(盘货信息!C58="","",盘货信息!C58)</f>
        <v/>
      </c>
      <c r="D58" s="18" t="str">
        <f ca="1" t="shared" si="0"/>
        <v/>
      </c>
      <c r="E58" s="18" t="str">
        <f>IF(C58="","",固定信息!$B$2)</f>
        <v/>
      </c>
      <c r="F58" s="18" t="str">
        <f t="array" ref="F58">IF(C58="","","【"&amp;C58&amp;"】"&amp;_xlfn.XLOOKUP(A58&amp;B58&amp;C58,盘货信息!$A:$A&amp;盘货信息!$B:$B&amp;盘货信息!$C:$C,盘货信息!$D:$D))</f>
        <v/>
      </c>
      <c r="G58" s="18" t="str">
        <f>IF(C58="","","【"&amp;"活动时间："&amp;固定信息!$B$3&amp;"】")</f>
        <v/>
      </c>
      <c r="H58" s="18" t="str">
        <f>IF($C58="","",固定信息!$B$1)</f>
        <v/>
      </c>
      <c r="I58" s="18"/>
      <c r="J58" s="18" t="str">
        <f t="array" ref="J58">_xlfn.XLOOKUP(A58&amp;B58&amp;C58,价格信息!$A:$A&amp;价格信息!$B:$B&amp;价格信息!$C:$C,价格信息!$D:$D)</f>
        <v/>
      </c>
      <c r="K58" s="31" t="str">
        <f t="array" ref="K58">IF(_xlfn.XLOOKUP(A58&amp;B58&amp;C58,价格信息!$A:$A&amp;价格信息!$B:$B&amp;价格信息!$C:$C,价格信息!$I:$I)="","","【优惠券链接】"&amp;固定信息!$B$6)</f>
        <v/>
      </c>
      <c r="L58" s="31" t="str">
        <f>IF($C58="","",固定信息!$B$1)</f>
        <v/>
      </c>
      <c r="M58" s="18" t="str">
        <f t="array" ref="M58">IF(_xlfn.XLOOKUP(A58&amp;B58&amp;C58,盘货信息!$A:$A&amp;盘货信息!$B:$B&amp;盘货信息!$C:$C,盘货信息!$O:$O)="","","【优惠券】领"&amp;INDEX(_wpsfn.REGEXP(_xlfn.XLOOKUP(A58&amp;B58&amp;C58,盘货信息!$A:$A&amp;盘货信息!$B:$B&amp;盘货信息!$C:$C,盘货信息!$O:$O),"\d+"),1,1)&amp;"元优惠券下单更优惠，优惠卷："&amp;_xlfn.XLOOKUP(A58&amp;B58&amp;C58,盘货信息!$A:$A&amp;盘货信息!$B:$B&amp;盘货信息!$C:$C,盘货信息!$P:$P))</f>
        <v/>
      </c>
      <c r="N58" s="18" t="str">
        <f t="array" ref="N58">IF(AND(ISNUMBER(_xlfn.XLOOKUP(A58&amp;B58&amp;C58,盘货信息!$A:$A&amp;盘货信息!$B:$B&amp;盘货信息!$C:$C,盘货信息!$I:$I)),_xlfn.XLOOKUP(A58&amp;B58&amp;C58,盘货信息!$A:$A&amp;盘货信息!$B:$B&amp;盘货信息!$C:$C,盘货信息!$I:$I)&gt;1),"【88VIP】立减"&amp;_xlfn.XLOOKUP(A58&amp;B58&amp;C58,盘货信息!$A:$A&amp;盘货信息!$B:$B&amp;盘货信息!$C:$C,盘货信息!$I:$I)&amp;"元","")</f>
        <v/>
      </c>
      <c r="O58" s="18" t="str">
        <f t="array" ref="O58">IF(_xlfn.XLOOKUP(A58&amp;B58&amp;C58,盘货信息!$A:$A&amp;盘货信息!$B:$B&amp;盘货信息!$C:$C,盘货信息!$K:$K)="","",IF(AND(_xlfn.XLOOKUP(A58&amp;B58&amp;C58,盘货信息!$A:$A&amp;盘货信息!$B:$B&amp;盘货信息!$C:$C,盘货信息!$G:$G)="不参加",_xlfn.XLOOKUP(A58&amp;B58&amp;C58,盘货信息!$A:$A&amp;盘货信息!$B:$B&amp;盘货信息!$C:$C,盘货信息!$H:$H)=""),"【以旧换新】"&amp;_xlfn.XLOOKUP(A58&amp;B58&amp;C58,盘货信息!$A:$A&amp;盘货信息!$B:$B&amp;盘货信息!$C:$C,盘货信息!$K:$K)&amp;"元以旧换新补贴（可无旧机换新）",""))</f>
        <v/>
      </c>
      <c r="P58" s="18" t="str">
        <f t="array" ref="P58">_xlfn.XLOOKUP(A58&amp;B58&amp;C58,赠品!$A:$A&amp;赠品!$B:$B&amp;赠品!$C:$C,赠品!$D:$D)</f>
        <v/>
      </c>
      <c r="Q58" s="18" t="str">
        <f>IF($C58="","",IF(AND(M58="",N58="",P58=""),"",固定信息!$B$1))</f>
        <v/>
      </c>
      <c r="R58" s="18" t="str">
        <f t="array" ref="R58">IF(ISNUMBER(SEARCH("是",_xlfn.XLOOKUP(A58&amp;B58&amp;C58,盘货信息!$A:$A&amp;盘货信息!$B:$B&amp;盘货信息!$C:$C,盘货信息!$U:$U))),"【折扣】指定型号满2类享96折，满3类享94折","")</f>
        <v/>
      </c>
      <c r="S58" s="18" t="str">
        <f t="array" ref="S58">IF(_xlfn.XLOOKUP(A58&amp;B58&amp;C58,盘货信息!$A:$A&amp;盘货信息!$B:$B&amp;盘货信息!$C:$C,盘货信息!$Q:$Q)&lt;1,"","【红包】活动时间购机送"&amp;_xlfn.TEXTJOIN("",,IF(ISNUMBER(--MID(_xlfn.XLOOKUP(A58&amp;B58&amp;C58,盘货信息!$A:$A&amp;盘货信息!$B:$B&amp;盘货信息!$C:$C,盘货信息!$Q:$Q),_xlfn.SEQUENCE(LEN(_xlfn.XLOOKUP(A58&amp;B58&amp;C58,盘货信息!$A:$A&amp;盘货信息!$B:$B&amp;盘货信息!$C:$C,盘货信息!$Q:$Q))),1)),MID(_xlfn.XLOOKUP(A58&amp;B58&amp;C58,盘货信息!$A:$A&amp;盘货信息!$B:$B&amp;盘货信息!$C:$C,盘货信息!$Q:$Q),_xlfn.SEQUENCE(LEN(_xlfn.XLOOKUP(A58&amp;B58&amp;C58,盘货信息!$A:$A&amp;盘货信息!$B:$B&amp;盘货信息!$C:$C,盘货信息!$Q:$Q))),1),""))&amp;"元")</f>
        <v/>
      </c>
      <c r="T58" s="18" t="str">
        <f t="array" ref="T58">IF(ISNUMBER(SEARCH("是",_xlfn.XLOOKUP(A58&amp;B58&amp;C58,盘货信息!$A:$A&amp;盘货信息!$B:$B&amp;盘货信息!$C:$C,盘货信息!$T:$T))),"【瓜分】"&amp;固定信息!$B$7,"")</f>
        <v/>
      </c>
      <c r="U58" s="18" t="str">
        <f>IF($C58="","",IF(AND(R58="",S58="",T58=""),"",固定信息!$B$1))</f>
        <v/>
      </c>
      <c r="V58" s="18" t="str">
        <f t="array" ref="V58">IF(C58="","","【服务】"&amp;IF(_xlfn.XLOOKUP(A58&amp;B58&amp;C58,盘货信息!$A:$A&amp;盘货信息!$B:$B&amp;盘货信息!$C:$C,盘货信息!$V:$V)="","",_xlfn.XLOOKUP(A58&amp;B58&amp;C58,盘货信息!$A:$A&amp;盘货信息!$B:$B&amp;盘货信息!$C:$C,盘货信息!$V:$V)&amp;"免息,")&amp;IF(_xlfn.XLOOKUP(A58&amp;B58&amp;C58,盘货信息!$A:$A&amp;盘货信息!$B:$B&amp;盘货信息!$C:$C,盘货信息!$W:$W)="","",_xlfn.XLOOKUP(A58&amp;B58&amp;C58,盘货信息!$A:$A&amp;盘货信息!$B:$B&amp;盘货信息!$C:$C,盘货信息!$W:$W)&amp;"，")&amp;"送货入户，退换免运费")</f>
        <v/>
      </c>
    </row>
    <row r="59" customHeight="1" spans="1:22">
      <c r="A59" s="17" t="str">
        <f>IF(盘货信息!A59="","",盘货信息!A59)</f>
        <v/>
      </c>
      <c r="B59" s="20" t="str">
        <f>IF(盘货信息!B59="","",盘货信息!B59)</f>
        <v/>
      </c>
      <c r="C59" s="18" t="str">
        <f>IF(盘货信息!C59="","",盘货信息!C59)</f>
        <v/>
      </c>
      <c r="D59" s="18" t="str">
        <f ca="1" t="shared" si="0"/>
        <v/>
      </c>
      <c r="E59" s="18" t="str">
        <f>IF(C59="","",固定信息!$B$2)</f>
        <v/>
      </c>
      <c r="F59" s="18" t="str">
        <f t="array" ref="F59">IF(C59="","","【"&amp;C59&amp;"】"&amp;_xlfn.XLOOKUP(A59&amp;B59&amp;C59,盘货信息!$A:$A&amp;盘货信息!$B:$B&amp;盘货信息!$C:$C,盘货信息!$D:$D))</f>
        <v/>
      </c>
      <c r="G59" s="18" t="str">
        <f>IF(C59="","","【"&amp;"活动时间："&amp;固定信息!$B$3&amp;"】")</f>
        <v/>
      </c>
      <c r="H59" s="18" t="str">
        <f>IF($C59="","",固定信息!$B$1)</f>
        <v/>
      </c>
      <c r="I59" s="18"/>
      <c r="J59" s="18" t="str">
        <f t="array" ref="J59">_xlfn.XLOOKUP(A59&amp;B59&amp;C59,价格信息!$A:$A&amp;价格信息!$B:$B&amp;价格信息!$C:$C,价格信息!$D:$D)</f>
        <v/>
      </c>
      <c r="K59" s="31" t="str">
        <f t="array" ref="K59">IF(_xlfn.XLOOKUP(A59&amp;B59&amp;C59,价格信息!$A:$A&amp;价格信息!$B:$B&amp;价格信息!$C:$C,价格信息!$I:$I)="","","【优惠券链接】"&amp;固定信息!$B$6)</f>
        <v/>
      </c>
      <c r="L59" s="31" t="str">
        <f>IF($C59="","",固定信息!$B$1)</f>
        <v/>
      </c>
      <c r="M59" s="18" t="str">
        <f t="array" ref="M59">IF(_xlfn.XLOOKUP(A59&amp;B59&amp;C59,盘货信息!$A:$A&amp;盘货信息!$B:$B&amp;盘货信息!$C:$C,盘货信息!$O:$O)="","","【优惠券】领"&amp;INDEX(_wpsfn.REGEXP(_xlfn.XLOOKUP(A59&amp;B59&amp;C59,盘货信息!$A:$A&amp;盘货信息!$B:$B&amp;盘货信息!$C:$C,盘货信息!$O:$O),"\d+"),1,1)&amp;"元优惠券下单更优惠，优惠卷："&amp;_xlfn.XLOOKUP(A59&amp;B59&amp;C59,盘货信息!$A:$A&amp;盘货信息!$B:$B&amp;盘货信息!$C:$C,盘货信息!$P:$P))</f>
        <v/>
      </c>
      <c r="N59" s="18" t="str">
        <f t="array" ref="N59">IF(AND(ISNUMBER(_xlfn.XLOOKUP(A59&amp;B59&amp;C59,盘货信息!$A:$A&amp;盘货信息!$B:$B&amp;盘货信息!$C:$C,盘货信息!$I:$I)),_xlfn.XLOOKUP(A59&amp;B59&amp;C59,盘货信息!$A:$A&amp;盘货信息!$B:$B&amp;盘货信息!$C:$C,盘货信息!$I:$I)&gt;1),"【88VIP】立减"&amp;_xlfn.XLOOKUP(A59&amp;B59&amp;C59,盘货信息!$A:$A&amp;盘货信息!$B:$B&amp;盘货信息!$C:$C,盘货信息!$I:$I)&amp;"元","")</f>
        <v/>
      </c>
      <c r="O59" s="18" t="str">
        <f t="array" ref="O59">IF(_xlfn.XLOOKUP(A59&amp;B59&amp;C59,盘货信息!$A:$A&amp;盘货信息!$B:$B&amp;盘货信息!$C:$C,盘货信息!$K:$K)="","",IF(AND(_xlfn.XLOOKUP(A59&amp;B59&amp;C59,盘货信息!$A:$A&amp;盘货信息!$B:$B&amp;盘货信息!$C:$C,盘货信息!$G:$G)="不参加",_xlfn.XLOOKUP(A59&amp;B59&amp;C59,盘货信息!$A:$A&amp;盘货信息!$B:$B&amp;盘货信息!$C:$C,盘货信息!$H:$H)=""),"【以旧换新】"&amp;_xlfn.XLOOKUP(A59&amp;B59&amp;C59,盘货信息!$A:$A&amp;盘货信息!$B:$B&amp;盘货信息!$C:$C,盘货信息!$K:$K)&amp;"元以旧换新补贴（可无旧机换新）",""))</f>
        <v/>
      </c>
      <c r="P59" s="18" t="str">
        <f t="array" ref="P59">_xlfn.XLOOKUP(A59&amp;B59&amp;C59,赠品!$A:$A&amp;赠品!$B:$B&amp;赠品!$C:$C,赠品!$D:$D)</f>
        <v/>
      </c>
      <c r="Q59" s="18" t="str">
        <f>IF($C59="","",IF(AND(M59="",N59="",P59=""),"",固定信息!$B$1))</f>
        <v/>
      </c>
      <c r="R59" s="18" t="str">
        <f t="array" ref="R59">IF(ISNUMBER(SEARCH("是",_xlfn.XLOOKUP(A59&amp;B59&amp;C59,盘货信息!$A:$A&amp;盘货信息!$B:$B&amp;盘货信息!$C:$C,盘货信息!$U:$U))),"【折扣】指定型号满2类享96折，满3类享94折","")</f>
        <v/>
      </c>
      <c r="S59" s="18" t="str">
        <f t="array" ref="S59">IF(_xlfn.XLOOKUP(A59&amp;B59&amp;C59,盘货信息!$A:$A&amp;盘货信息!$B:$B&amp;盘货信息!$C:$C,盘货信息!$Q:$Q)&lt;1,"","【红包】活动时间购机送"&amp;_xlfn.TEXTJOIN("",,IF(ISNUMBER(--MID(_xlfn.XLOOKUP(A59&amp;B59&amp;C59,盘货信息!$A:$A&amp;盘货信息!$B:$B&amp;盘货信息!$C:$C,盘货信息!$Q:$Q),_xlfn.SEQUENCE(LEN(_xlfn.XLOOKUP(A59&amp;B59&amp;C59,盘货信息!$A:$A&amp;盘货信息!$B:$B&amp;盘货信息!$C:$C,盘货信息!$Q:$Q))),1)),MID(_xlfn.XLOOKUP(A59&amp;B59&amp;C59,盘货信息!$A:$A&amp;盘货信息!$B:$B&amp;盘货信息!$C:$C,盘货信息!$Q:$Q),_xlfn.SEQUENCE(LEN(_xlfn.XLOOKUP(A59&amp;B59&amp;C59,盘货信息!$A:$A&amp;盘货信息!$B:$B&amp;盘货信息!$C:$C,盘货信息!$Q:$Q))),1),""))&amp;"元")</f>
        <v/>
      </c>
      <c r="T59" s="18" t="str">
        <f t="array" ref="T59">IF(ISNUMBER(SEARCH("是",_xlfn.XLOOKUP(A59&amp;B59&amp;C59,盘货信息!$A:$A&amp;盘货信息!$B:$B&amp;盘货信息!$C:$C,盘货信息!$T:$T))),"【瓜分】"&amp;固定信息!$B$7,"")</f>
        <v/>
      </c>
      <c r="U59" s="18" t="str">
        <f>IF($C59="","",IF(AND(R59="",S59="",T59=""),"",固定信息!$B$1))</f>
        <v/>
      </c>
      <c r="V59" s="18" t="str">
        <f t="array" ref="V59">IF(C59="","","【服务】"&amp;IF(_xlfn.XLOOKUP(A59&amp;B59&amp;C59,盘货信息!$A:$A&amp;盘货信息!$B:$B&amp;盘货信息!$C:$C,盘货信息!$V:$V)="","",_xlfn.XLOOKUP(A59&amp;B59&amp;C59,盘货信息!$A:$A&amp;盘货信息!$B:$B&amp;盘货信息!$C:$C,盘货信息!$V:$V)&amp;"免息,")&amp;IF(_xlfn.XLOOKUP(A59&amp;B59&amp;C59,盘货信息!$A:$A&amp;盘货信息!$B:$B&amp;盘货信息!$C:$C,盘货信息!$W:$W)="","",_xlfn.XLOOKUP(A59&amp;B59&amp;C59,盘货信息!$A:$A&amp;盘货信息!$B:$B&amp;盘货信息!$C:$C,盘货信息!$W:$W)&amp;"，")&amp;"送货入户，退换免运费")</f>
        <v/>
      </c>
    </row>
    <row r="60" customHeight="1" spans="1:22">
      <c r="A60" s="17" t="str">
        <f>IF(盘货信息!A60="","",盘货信息!A60)</f>
        <v/>
      </c>
      <c r="B60" s="20" t="str">
        <f>IF(盘货信息!B60="","",盘货信息!B60)</f>
        <v/>
      </c>
      <c r="C60" s="18" t="str">
        <f>IF(盘货信息!C60="","",盘货信息!C60)</f>
        <v/>
      </c>
      <c r="D60" s="18" t="str">
        <f ca="1" t="shared" si="0"/>
        <v/>
      </c>
      <c r="E60" s="18" t="str">
        <f>IF(C60="","",固定信息!$B$2)</f>
        <v/>
      </c>
      <c r="F60" s="18" t="str">
        <f t="array" ref="F60">IF(C60="","","【"&amp;C60&amp;"】"&amp;_xlfn.XLOOKUP(A60&amp;B60&amp;C60,盘货信息!$A:$A&amp;盘货信息!$B:$B&amp;盘货信息!$C:$C,盘货信息!$D:$D))</f>
        <v/>
      </c>
      <c r="G60" s="18" t="str">
        <f>IF(C60="","","【"&amp;"活动时间："&amp;固定信息!$B$3&amp;"】")</f>
        <v/>
      </c>
      <c r="H60" s="18" t="str">
        <f>IF($C60="","",固定信息!$B$1)</f>
        <v/>
      </c>
      <c r="I60" s="18"/>
      <c r="J60" s="18" t="str">
        <f t="array" ref="J60">_xlfn.XLOOKUP(A60&amp;B60&amp;C60,价格信息!$A:$A&amp;价格信息!$B:$B&amp;价格信息!$C:$C,价格信息!$D:$D)</f>
        <v/>
      </c>
      <c r="K60" s="31" t="str">
        <f t="array" ref="K60">IF(_xlfn.XLOOKUP(A60&amp;B60&amp;C60,价格信息!$A:$A&amp;价格信息!$B:$B&amp;价格信息!$C:$C,价格信息!$I:$I)="","","【优惠券链接】"&amp;固定信息!$B$6)</f>
        <v/>
      </c>
      <c r="L60" s="31" t="str">
        <f>IF($C60="","",固定信息!$B$1)</f>
        <v/>
      </c>
      <c r="M60" s="18" t="str">
        <f t="array" ref="M60">IF(_xlfn.XLOOKUP(A60&amp;B60&amp;C60,盘货信息!$A:$A&amp;盘货信息!$B:$B&amp;盘货信息!$C:$C,盘货信息!$O:$O)="","","【优惠券】领"&amp;INDEX(_wpsfn.REGEXP(_xlfn.XLOOKUP(A60&amp;B60&amp;C60,盘货信息!$A:$A&amp;盘货信息!$B:$B&amp;盘货信息!$C:$C,盘货信息!$O:$O),"\d+"),1,1)&amp;"元优惠券下单更优惠，优惠卷："&amp;_xlfn.XLOOKUP(A60&amp;B60&amp;C60,盘货信息!$A:$A&amp;盘货信息!$B:$B&amp;盘货信息!$C:$C,盘货信息!$P:$P))</f>
        <v/>
      </c>
      <c r="N60" s="18" t="str">
        <f t="array" ref="N60">IF(AND(ISNUMBER(_xlfn.XLOOKUP(A60&amp;B60&amp;C60,盘货信息!$A:$A&amp;盘货信息!$B:$B&amp;盘货信息!$C:$C,盘货信息!$I:$I)),_xlfn.XLOOKUP(A60&amp;B60&amp;C60,盘货信息!$A:$A&amp;盘货信息!$B:$B&amp;盘货信息!$C:$C,盘货信息!$I:$I)&gt;1),"【88VIP】立减"&amp;_xlfn.XLOOKUP(A60&amp;B60&amp;C60,盘货信息!$A:$A&amp;盘货信息!$B:$B&amp;盘货信息!$C:$C,盘货信息!$I:$I)&amp;"元","")</f>
        <v/>
      </c>
      <c r="O60" s="18" t="str">
        <f t="array" ref="O60">IF(_xlfn.XLOOKUP(A60&amp;B60&amp;C60,盘货信息!$A:$A&amp;盘货信息!$B:$B&amp;盘货信息!$C:$C,盘货信息!$K:$K)="","",IF(AND(_xlfn.XLOOKUP(A60&amp;B60&amp;C60,盘货信息!$A:$A&amp;盘货信息!$B:$B&amp;盘货信息!$C:$C,盘货信息!$G:$G)="不参加",_xlfn.XLOOKUP(A60&amp;B60&amp;C60,盘货信息!$A:$A&amp;盘货信息!$B:$B&amp;盘货信息!$C:$C,盘货信息!$H:$H)=""),"【以旧换新】"&amp;_xlfn.XLOOKUP(A60&amp;B60&amp;C60,盘货信息!$A:$A&amp;盘货信息!$B:$B&amp;盘货信息!$C:$C,盘货信息!$K:$K)&amp;"元以旧换新补贴（可无旧机换新）",""))</f>
        <v/>
      </c>
      <c r="P60" s="18" t="str">
        <f t="array" ref="P60">_xlfn.XLOOKUP(A60&amp;B60&amp;C60,赠品!$A:$A&amp;赠品!$B:$B&amp;赠品!$C:$C,赠品!$D:$D)</f>
        <v/>
      </c>
      <c r="Q60" s="18" t="str">
        <f>IF($C60="","",IF(AND(M60="",N60="",P60=""),"",固定信息!$B$1))</f>
        <v/>
      </c>
      <c r="R60" s="18" t="str">
        <f t="array" ref="R60">IF(ISNUMBER(SEARCH("是",_xlfn.XLOOKUP(A60&amp;B60&amp;C60,盘货信息!$A:$A&amp;盘货信息!$B:$B&amp;盘货信息!$C:$C,盘货信息!$U:$U))),"【折扣】指定型号满2类享96折，满3类享94折","")</f>
        <v/>
      </c>
      <c r="S60" s="18" t="str">
        <f t="array" ref="S60">IF(_xlfn.XLOOKUP(A60&amp;B60&amp;C60,盘货信息!$A:$A&amp;盘货信息!$B:$B&amp;盘货信息!$C:$C,盘货信息!$Q:$Q)&lt;1,"","【红包】活动时间购机送"&amp;_xlfn.TEXTJOIN("",,IF(ISNUMBER(--MID(_xlfn.XLOOKUP(A60&amp;B60&amp;C60,盘货信息!$A:$A&amp;盘货信息!$B:$B&amp;盘货信息!$C:$C,盘货信息!$Q:$Q),_xlfn.SEQUENCE(LEN(_xlfn.XLOOKUP(A60&amp;B60&amp;C60,盘货信息!$A:$A&amp;盘货信息!$B:$B&amp;盘货信息!$C:$C,盘货信息!$Q:$Q))),1)),MID(_xlfn.XLOOKUP(A60&amp;B60&amp;C60,盘货信息!$A:$A&amp;盘货信息!$B:$B&amp;盘货信息!$C:$C,盘货信息!$Q:$Q),_xlfn.SEQUENCE(LEN(_xlfn.XLOOKUP(A60&amp;B60&amp;C60,盘货信息!$A:$A&amp;盘货信息!$B:$B&amp;盘货信息!$C:$C,盘货信息!$Q:$Q))),1),""))&amp;"元")</f>
        <v/>
      </c>
      <c r="T60" s="18" t="str">
        <f t="array" ref="T60">IF(ISNUMBER(SEARCH("是",_xlfn.XLOOKUP(A60&amp;B60&amp;C60,盘货信息!$A:$A&amp;盘货信息!$B:$B&amp;盘货信息!$C:$C,盘货信息!$T:$T))),"【瓜分】"&amp;固定信息!$B$7,"")</f>
        <v/>
      </c>
      <c r="U60" s="18" t="str">
        <f>IF($C60="","",IF(AND(R60="",S60="",T60=""),"",固定信息!$B$1))</f>
        <v/>
      </c>
      <c r="V60" s="18" t="str">
        <f t="array" ref="V60">IF(C60="","","【服务】"&amp;IF(_xlfn.XLOOKUP(A60&amp;B60&amp;C60,盘货信息!$A:$A&amp;盘货信息!$B:$B&amp;盘货信息!$C:$C,盘货信息!$V:$V)="","",_xlfn.XLOOKUP(A60&amp;B60&amp;C60,盘货信息!$A:$A&amp;盘货信息!$B:$B&amp;盘货信息!$C:$C,盘货信息!$V:$V)&amp;"免息,")&amp;IF(_xlfn.XLOOKUP(A60&amp;B60&amp;C60,盘货信息!$A:$A&amp;盘货信息!$B:$B&amp;盘货信息!$C:$C,盘货信息!$W:$W)="","",_xlfn.XLOOKUP(A60&amp;B60&amp;C60,盘货信息!$A:$A&amp;盘货信息!$B:$B&amp;盘货信息!$C:$C,盘货信息!$W:$W)&amp;"，")&amp;"送货入户，退换免运费")</f>
        <v/>
      </c>
    </row>
    <row r="61" customHeight="1" spans="1:22">
      <c r="A61" s="17" t="str">
        <f>IF(盘货信息!A61="","",盘货信息!A61)</f>
        <v/>
      </c>
      <c r="B61" s="20" t="str">
        <f>IF(盘货信息!B61="","",盘货信息!B61)</f>
        <v/>
      </c>
      <c r="C61" s="18" t="str">
        <f>IF(盘货信息!C61="","",盘货信息!C61)</f>
        <v/>
      </c>
      <c r="D61" s="18" t="str">
        <f ca="1" t="shared" si="0"/>
        <v/>
      </c>
      <c r="E61" s="18" t="str">
        <f>IF(C61="","",固定信息!$B$2)</f>
        <v/>
      </c>
      <c r="F61" s="18" t="str">
        <f t="array" ref="F61">IF(C61="","","【"&amp;C61&amp;"】"&amp;_xlfn.XLOOKUP(A61&amp;B61&amp;C61,盘货信息!$A:$A&amp;盘货信息!$B:$B&amp;盘货信息!$C:$C,盘货信息!$D:$D))</f>
        <v/>
      </c>
      <c r="G61" s="18" t="str">
        <f>IF(C61="","","【"&amp;"活动时间："&amp;固定信息!$B$3&amp;"】")</f>
        <v/>
      </c>
      <c r="H61" s="18" t="str">
        <f>IF($C61="","",固定信息!$B$1)</f>
        <v/>
      </c>
      <c r="I61" s="18"/>
      <c r="J61" s="18" t="str">
        <f t="array" ref="J61">_xlfn.XLOOKUP(A61&amp;B61&amp;C61,价格信息!$A:$A&amp;价格信息!$B:$B&amp;价格信息!$C:$C,价格信息!$D:$D)</f>
        <v/>
      </c>
      <c r="K61" s="31" t="str">
        <f t="array" ref="K61">IF(_xlfn.XLOOKUP(A61&amp;B61&amp;C61,价格信息!$A:$A&amp;价格信息!$B:$B&amp;价格信息!$C:$C,价格信息!$I:$I)="","","【优惠券链接】"&amp;固定信息!$B$6)</f>
        <v/>
      </c>
      <c r="L61" s="31" t="str">
        <f>IF($C61="","",固定信息!$B$1)</f>
        <v/>
      </c>
      <c r="M61" s="18" t="str">
        <f t="array" ref="M61">IF(_xlfn.XLOOKUP(A61&amp;B61&amp;C61,盘货信息!$A:$A&amp;盘货信息!$B:$B&amp;盘货信息!$C:$C,盘货信息!$O:$O)="","","【优惠券】领"&amp;INDEX(_wpsfn.REGEXP(_xlfn.XLOOKUP(A61&amp;B61&amp;C61,盘货信息!$A:$A&amp;盘货信息!$B:$B&amp;盘货信息!$C:$C,盘货信息!$O:$O),"\d+"),1,1)&amp;"元优惠券下单更优惠，优惠卷："&amp;_xlfn.XLOOKUP(A61&amp;B61&amp;C61,盘货信息!$A:$A&amp;盘货信息!$B:$B&amp;盘货信息!$C:$C,盘货信息!$P:$P))</f>
        <v/>
      </c>
      <c r="N61" s="18" t="str">
        <f t="array" ref="N61">IF(AND(ISNUMBER(_xlfn.XLOOKUP(A61&amp;B61&amp;C61,盘货信息!$A:$A&amp;盘货信息!$B:$B&amp;盘货信息!$C:$C,盘货信息!$I:$I)),_xlfn.XLOOKUP(A61&amp;B61&amp;C61,盘货信息!$A:$A&amp;盘货信息!$B:$B&amp;盘货信息!$C:$C,盘货信息!$I:$I)&gt;1),"【88VIP】立减"&amp;_xlfn.XLOOKUP(A61&amp;B61&amp;C61,盘货信息!$A:$A&amp;盘货信息!$B:$B&amp;盘货信息!$C:$C,盘货信息!$I:$I)&amp;"元","")</f>
        <v/>
      </c>
      <c r="O61" s="18" t="str">
        <f t="array" ref="O61">IF(_xlfn.XLOOKUP(A61&amp;B61&amp;C61,盘货信息!$A:$A&amp;盘货信息!$B:$B&amp;盘货信息!$C:$C,盘货信息!$K:$K)="","",IF(AND(_xlfn.XLOOKUP(A61&amp;B61&amp;C61,盘货信息!$A:$A&amp;盘货信息!$B:$B&amp;盘货信息!$C:$C,盘货信息!$G:$G)="不参加",_xlfn.XLOOKUP(A61&amp;B61&amp;C61,盘货信息!$A:$A&amp;盘货信息!$B:$B&amp;盘货信息!$C:$C,盘货信息!$H:$H)=""),"【以旧换新】"&amp;_xlfn.XLOOKUP(A61&amp;B61&amp;C61,盘货信息!$A:$A&amp;盘货信息!$B:$B&amp;盘货信息!$C:$C,盘货信息!$K:$K)&amp;"元以旧换新补贴（可无旧机换新）",""))</f>
        <v/>
      </c>
      <c r="P61" s="18" t="str">
        <f t="array" ref="P61">_xlfn.XLOOKUP(A61&amp;B61&amp;C61,赠品!$A:$A&amp;赠品!$B:$B&amp;赠品!$C:$C,赠品!$D:$D)</f>
        <v/>
      </c>
      <c r="Q61" s="18" t="str">
        <f>IF($C61="","",IF(AND(M61="",N61="",P61=""),"",固定信息!$B$1))</f>
        <v/>
      </c>
      <c r="R61" s="18" t="str">
        <f t="array" ref="R61">IF(ISNUMBER(SEARCH("是",_xlfn.XLOOKUP(A61&amp;B61&amp;C61,盘货信息!$A:$A&amp;盘货信息!$B:$B&amp;盘货信息!$C:$C,盘货信息!$U:$U))),"【折扣】指定型号满2类享96折，满3类享94折","")</f>
        <v/>
      </c>
      <c r="S61" s="18" t="str">
        <f t="array" ref="S61">IF(_xlfn.XLOOKUP(A61&amp;B61&amp;C61,盘货信息!$A:$A&amp;盘货信息!$B:$B&amp;盘货信息!$C:$C,盘货信息!$Q:$Q)&lt;1,"","【红包】活动时间购机送"&amp;_xlfn.TEXTJOIN("",,IF(ISNUMBER(--MID(_xlfn.XLOOKUP(A61&amp;B61&amp;C61,盘货信息!$A:$A&amp;盘货信息!$B:$B&amp;盘货信息!$C:$C,盘货信息!$Q:$Q),_xlfn.SEQUENCE(LEN(_xlfn.XLOOKUP(A61&amp;B61&amp;C61,盘货信息!$A:$A&amp;盘货信息!$B:$B&amp;盘货信息!$C:$C,盘货信息!$Q:$Q))),1)),MID(_xlfn.XLOOKUP(A61&amp;B61&amp;C61,盘货信息!$A:$A&amp;盘货信息!$B:$B&amp;盘货信息!$C:$C,盘货信息!$Q:$Q),_xlfn.SEQUENCE(LEN(_xlfn.XLOOKUP(A61&amp;B61&amp;C61,盘货信息!$A:$A&amp;盘货信息!$B:$B&amp;盘货信息!$C:$C,盘货信息!$Q:$Q))),1),""))&amp;"元")</f>
        <v/>
      </c>
      <c r="T61" s="18" t="str">
        <f t="array" ref="T61">IF(ISNUMBER(SEARCH("是",_xlfn.XLOOKUP(A61&amp;B61&amp;C61,盘货信息!$A:$A&amp;盘货信息!$B:$B&amp;盘货信息!$C:$C,盘货信息!$T:$T))),"【瓜分】"&amp;固定信息!$B$7,"")</f>
        <v/>
      </c>
      <c r="U61" s="18" t="str">
        <f>IF($C61="","",IF(AND(R61="",S61="",T61=""),"",固定信息!$B$1))</f>
        <v/>
      </c>
      <c r="V61" s="18" t="str">
        <f t="array" ref="V61">IF(C61="","","【服务】"&amp;IF(_xlfn.XLOOKUP(A61&amp;B61&amp;C61,盘货信息!$A:$A&amp;盘货信息!$B:$B&amp;盘货信息!$C:$C,盘货信息!$V:$V)="","",_xlfn.XLOOKUP(A61&amp;B61&amp;C61,盘货信息!$A:$A&amp;盘货信息!$B:$B&amp;盘货信息!$C:$C,盘货信息!$V:$V)&amp;"免息,")&amp;IF(_xlfn.XLOOKUP(A61&amp;B61&amp;C61,盘货信息!$A:$A&amp;盘货信息!$B:$B&amp;盘货信息!$C:$C,盘货信息!$W:$W)="","",_xlfn.XLOOKUP(A61&amp;B61&amp;C61,盘货信息!$A:$A&amp;盘货信息!$B:$B&amp;盘货信息!$C:$C,盘货信息!$W:$W)&amp;"，")&amp;"送货入户，退换免运费")</f>
        <v/>
      </c>
    </row>
    <row r="62" customHeight="1" spans="1:22">
      <c r="A62" s="17" t="str">
        <f>IF(盘货信息!A62="","",盘货信息!A62)</f>
        <v/>
      </c>
      <c r="B62" s="20" t="str">
        <f>IF(盘货信息!B62="","",盘货信息!B62)</f>
        <v/>
      </c>
      <c r="C62" s="18" t="str">
        <f>IF(盘货信息!C62="","",盘货信息!C62)</f>
        <v/>
      </c>
      <c r="D62" s="18" t="str">
        <f ca="1" t="shared" si="0"/>
        <v/>
      </c>
      <c r="E62" s="18" t="str">
        <f>IF(C62="","",固定信息!$B$2)</f>
        <v/>
      </c>
      <c r="F62" s="18" t="str">
        <f t="array" ref="F62">IF(C62="","","【"&amp;C62&amp;"】"&amp;_xlfn.XLOOKUP(A62&amp;B62&amp;C62,盘货信息!$A:$A&amp;盘货信息!$B:$B&amp;盘货信息!$C:$C,盘货信息!$D:$D))</f>
        <v/>
      </c>
      <c r="G62" s="18" t="str">
        <f>IF(C62="","","【"&amp;"活动时间："&amp;固定信息!$B$3&amp;"】")</f>
        <v/>
      </c>
      <c r="H62" s="18" t="str">
        <f>IF($C62="","",固定信息!$B$1)</f>
        <v/>
      </c>
      <c r="I62" s="18"/>
      <c r="J62" s="18" t="str">
        <f t="array" ref="J62">_xlfn.XLOOKUP(A62&amp;B62&amp;C62,价格信息!$A:$A&amp;价格信息!$B:$B&amp;价格信息!$C:$C,价格信息!$D:$D)</f>
        <v/>
      </c>
      <c r="K62" s="31" t="str">
        <f t="array" ref="K62">IF(_xlfn.XLOOKUP(A62&amp;B62&amp;C62,价格信息!$A:$A&amp;价格信息!$B:$B&amp;价格信息!$C:$C,价格信息!$I:$I)="","","【优惠券链接】"&amp;固定信息!$B$6)</f>
        <v/>
      </c>
      <c r="L62" s="31" t="str">
        <f>IF($C62="","",固定信息!$B$1)</f>
        <v/>
      </c>
      <c r="M62" s="18" t="str">
        <f t="array" ref="M62">IF(_xlfn.XLOOKUP(A62&amp;B62&amp;C62,盘货信息!$A:$A&amp;盘货信息!$B:$B&amp;盘货信息!$C:$C,盘货信息!$O:$O)="","","【优惠券】领"&amp;INDEX(_wpsfn.REGEXP(_xlfn.XLOOKUP(A62&amp;B62&amp;C62,盘货信息!$A:$A&amp;盘货信息!$B:$B&amp;盘货信息!$C:$C,盘货信息!$O:$O),"\d+"),1,1)&amp;"元优惠券下单更优惠，优惠卷："&amp;_xlfn.XLOOKUP(A62&amp;B62&amp;C62,盘货信息!$A:$A&amp;盘货信息!$B:$B&amp;盘货信息!$C:$C,盘货信息!$P:$P))</f>
        <v/>
      </c>
      <c r="N62" s="18" t="str">
        <f t="array" ref="N62">IF(AND(ISNUMBER(_xlfn.XLOOKUP(A62&amp;B62&amp;C62,盘货信息!$A:$A&amp;盘货信息!$B:$B&amp;盘货信息!$C:$C,盘货信息!$I:$I)),_xlfn.XLOOKUP(A62&amp;B62&amp;C62,盘货信息!$A:$A&amp;盘货信息!$B:$B&amp;盘货信息!$C:$C,盘货信息!$I:$I)&gt;1),"【88VIP】立减"&amp;_xlfn.XLOOKUP(A62&amp;B62&amp;C62,盘货信息!$A:$A&amp;盘货信息!$B:$B&amp;盘货信息!$C:$C,盘货信息!$I:$I)&amp;"元","")</f>
        <v/>
      </c>
      <c r="O62" s="18" t="str">
        <f t="array" ref="O62">IF(_xlfn.XLOOKUP(A62&amp;B62&amp;C62,盘货信息!$A:$A&amp;盘货信息!$B:$B&amp;盘货信息!$C:$C,盘货信息!$K:$K)="","",IF(AND(_xlfn.XLOOKUP(A62&amp;B62&amp;C62,盘货信息!$A:$A&amp;盘货信息!$B:$B&amp;盘货信息!$C:$C,盘货信息!$G:$G)="不参加",_xlfn.XLOOKUP(A62&amp;B62&amp;C62,盘货信息!$A:$A&amp;盘货信息!$B:$B&amp;盘货信息!$C:$C,盘货信息!$H:$H)=""),"【以旧换新】"&amp;_xlfn.XLOOKUP(A62&amp;B62&amp;C62,盘货信息!$A:$A&amp;盘货信息!$B:$B&amp;盘货信息!$C:$C,盘货信息!$K:$K)&amp;"元以旧换新补贴（可无旧机换新）",""))</f>
        <v/>
      </c>
      <c r="P62" s="18" t="str">
        <f t="array" ref="P62">_xlfn.XLOOKUP(A62&amp;B62&amp;C62,赠品!$A:$A&amp;赠品!$B:$B&amp;赠品!$C:$C,赠品!$D:$D)</f>
        <v/>
      </c>
      <c r="Q62" s="18" t="str">
        <f>IF($C62="","",IF(AND(M62="",N62="",P62=""),"",固定信息!$B$1))</f>
        <v/>
      </c>
      <c r="R62" s="18" t="str">
        <f t="array" ref="R62">IF(ISNUMBER(SEARCH("是",_xlfn.XLOOKUP(A62&amp;B62&amp;C62,盘货信息!$A:$A&amp;盘货信息!$B:$B&amp;盘货信息!$C:$C,盘货信息!$U:$U))),"【折扣】指定型号满2类享96折，满3类享94折","")</f>
        <v/>
      </c>
      <c r="S62" s="18" t="str">
        <f t="array" ref="S62">IF(_xlfn.XLOOKUP(A62&amp;B62&amp;C62,盘货信息!$A:$A&amp;盘货信息!$B:$B&amp;盘货信息!$C:$C,盘货信息!$Q:$Q)&lt;1,"","【红包】活动时间购机送"&amp;_xlfn.TEXTJOIN("",,IF(ISNUMBER(--MID(_xlfn.XLOOKUP(A62&amp;B62&amp;C62,盘货信息!$A:$A&amp;盘货信息!$B:$B&amp;盘货信息!$C:$C,盘货信息!$Q:$Q),_xlfn.SEQUENCE(LEN(_xlfn.XLOOKUP(A62&amp;B62&amp;C62,盘货信息!$A:$A&amp;盘货信息!$B:$B&amp;盘货信息!$C:$C,盘货信息!$Q:$Q))),1)),MID(_xlfn.XLOOKUP(A62&amp;B62&amp;C62,盘货信息!$A:$A&amp;盘货信息!$B:$B&amp;盘货信息!$C:$C,盘货信息!$Q:$Q),_xlfn.SEQUENCE(LEN(_xlfn.XLOOKUP(A62&amp;B62&amp;C62,盘货信息!$A:$A&amp;盘货信息!$B:$B&amp;盘货信息!$C:$C,盘货信息!$Q:$Q))),1),""))&amp;"元")</f>
        <v/>
      </c>
      <c r="T62" s="18" t="str">
        <f t="array" ref="T62">IF(ISNUMBER(SEARCH("是",_xlfn.XLOOKUP(A62&amp;B62&amp;C62,盘货信息!$A:$A&amp;盘货信息!$B:$B&amp;盘货信息!$C:$C,盘货信息!$T:$T))),"【瓜分】"&amp;固定信息!$B$7,"")</f>
        <v/>
      </c>
      <c r="U62" s="18" t="str">
        <f>IF($C62="","",IF(AND(R62="",S62="",T62=""),"",固定信息!$B$1))</f>
        <v/>
      </c>
      <c r="V62" s="18" t="str">
        <f t="array" ref="V62">IF(C62="","","【服务】"&amp;IF(_xlfn.XLOOKUP(A62&amp;B62&amp;C62,盘货信息!$A:$A&amp;盘货信息!$B:$B&amp;盘货信息!$C:$C,盘货信息!$V:$V)="","",_xlfn.XLOOKUP(A62&amp;B62&amp;C62,盘货信息!$A:$A&amp;盘货信息!$B:$B&amp;盘货信息!$C:$C,盘货信息!$V:$V)&amp;"免息,")&amp;IF(_xlfn.XLOOKUP(A62&amp;B62&amp;C62,盘货信息!$A:$A&amp;盘货信息!$B:$B&amp;盘货信息!$C:$C,盘货信息!$W:$W)="","",_xlfn.XLOOKUP(A62&amp;B62&amp;C62,盘货信息!$A:$A&amp;盘货信息!$B:$B&amp;盘货信息!$C:$C,盘货信息!$W:$W)&amp;"，")&amp;"送货入户，退换免运费")</f>
        <v/>
      </c>
    </row>
    <row r="63" customHeight="1" spans="1:22">
      <c r="A63" s="17" t="str">
        <f>IF(盘货信息!A63="","",盘货信息!A63)</f>
        <v/>
      </c>
      <c r="B63" s="20" t="str">
        <f>IF(盘货信息!B63="","",盘货信息!B63)</f>
        <v/>
      </c>
      <c r="C63" s="18" t="str">
        <f>IF(盘货信息!C63="","",盘货信息!C63)</f>
        <v/>
      </c>
      <c r="D63" s="18" t="str">
        <f ca="1" t="shared" si="0"/>
        <v/>
      </c>
      <c r="E63" s="18" t="str">
        <f>IF(C63="","",固定信息!$B$2)</f>
        <v/>
      </c>
      <c r="F63" s="18" t="str">
        <f t="array" ref="F63">IF(C63="","","【"&amp;C63&amp;"】"&amp;_xlfn.XLOOKUP(A63&amp;B63&amp;C63,盘货信息!$A:$A&amp;盘货信息!$B:$B&amp;盘货信息!$C:$C,盘货信息!$D:$D))</f>
        <v/>
      </c>
      <c r="G63" s="18" t="str">
        <f>IF(C63="","","【"&amp;"活动时间："&amp;固定信息!$B$3&amp;"】")</f>
        <v/>
      </c>
      <c r="H63" s="18" t="str">
        <f>IF($C63="","",固定信息!$B$1)</f>
        <v/>
      </c>
      <c r="I63" s="18"/>
      <c r="J63" s="18" t="str">
        <f t="array" ref="J63">_xlfn.XLOOKUP(A63&amp;B63&amp;C63,价格信息!$A:$A&amp;价格信息!$B:$B&amp;价格信息!$C:$C,价格信息!$D:$D)</f>
        <v/>
      </c>
      <c r="K63" s="31" t="str">
        <f t="array" ref="K63">IF(_xlfn.XLOOKUP(A63&amp;B63&amp;C63,价格信息!$A:$A&amp;价格信息!$B:$B&amp;价格信息!$C:$C,价格信息!$I:$I)="","","【优惠券链接】"&amp;固定信息!$B$6)</f>
        <v/>
      </c>
      <c r="L63" s="31" t="str">
        <f>IF($C63="","",固定信息!$B$1)</f>
        <v/>
      </c>
      <c r="M63" s="18" t="str">
        <f t="array" ref="M63">IF(_xlfn.XLOOKUP(A63&amp;B63&amp;C63,盘货信息!$A:$A&amp;盘货信息!$B:$B&amp;盘货信息!$C:$C,盘货信息!$O:$O)="","","【优惠券】领"&amp;INDEX(_wpsfn.REGEXP(_xlfn.XLOOKUP(A63&amp;B63&amp;C63,盘货信息!$A:$A&amp;盘货信息!$B:$B&amp;盘货信息!$C:$C,盘货信息!$O:$O),"\d+"),1,1)&amp;"元优惠券下单更优惠，优惠卷："&amp;_xlfn.XLOOKUP(A63&amp;B63&amp;C63,盘货信息!$A:$A&amp;盘货信息!$B:$B&amp;盘货信息!$C:$C,盘货信息!$P:$P))</f>
        <v/>
      </c>
      <c r="N63" s="18" t="str">
        <f t="array" ref="N63">IF(AND(ISNUMBER(_xlfn.XLOOKUP(A63&amp;B63&amp;C63,盘货信息!$A:$A&amp;盘货信息!$B:$B&amp;盘货信息!$C:$C,盘货信息!$I:$I)),_xlfn.XLOOKUP(A63&amp;B63&amp;C63,盘货信息!$A:$A&amp;盘货信息!$B:$B&amp;盘货信息!$C:$C,盘货信息!$I:$I)&gt;1),"【88VIP】立减"&amp;_xlfn.XLOOKUP(A63&amp;B63&amp;C63,盘货信息!$A:$A&amp;盘货信息!$B:$B&amp;盘货信息!$C:$C,盘货信息!$I:$I)&amp;"元","")</f>
        <v/>
      </c>
      <c r="O63" s="18" t="str">
        <f t="array" ref="O63">IF(_xlfn.XLOOKUP(A63&amp;B63&amp;C63,盘货信息!$A:$A&amp;盘货信息!$B:$B&amp;盘货信息!$C:$C,盘货信息!$K:$K)="","",IF(AND(_xlfn.XLOOKUP(A63&amp;B63&amp;C63,盘货信息!$A:$A&amp;盘货信息!$B:$B&amp;盘货信息!$C:$C,盘货信息!$G:$G)="不参加",_xlfn.XLOOKUP(A63&amp;B63&amp;C63,盘货信息!$A:$A&amp;盘货信息!$B:$B&amp;盘货信息!$C:$C,盘货信息!$H:$H)=""),"【以旧换新】"&amp;_xlfn.XLOOKUP(A63&amp;B63&amp;C63,盘货信息!$A:$A&amp;盘货信息!$B:$B&amp;盘货信息!$C:$C,盘货信息!$K:$K)&amp;"元以旧换新补贴（可无旧机换新）",""))</f>
        <v/>
      </c>
      <c r="P63" s="18" t="str">
        <f t="array" ref="P63">_xlfn.XLOOKUP(A63&amp;B63&amp;C63,赠品!$A:$A&amp;赠品!$B:$B&amp;赠品!$C:$C,赠品!$D:$D)</f>
        <v/>
      </c>
      <c r="Q63" s="18" t="str">
        <f>IF($C63="","",IF(AND(M63="",N63="",P63=""),"",固定信息!$B$1))</f>
        <v/>
      </c>
      <c r="R63" s="18" t="str">
        <f t="array" ref="R63">IF(ISNUMBER(SEARCH("是",_xlfn.XLOOKUP(A63&amp;B63&amp;C63,盘货信息!$A:$A&amp;盘货信息!$B:$B&amp;盘货信息!$C:$C,盘货信息!$U:$U))),"【折扣】指定型号满2类享96折，满3类享94折","")</f>
        <v/>
      </c>
      <c r="S63" s="18" t="str">
        <f t="array" ref="S63">IF(_xlfn.XLOOKUP(A63&amp;B63&amp;C63,盘货信息!$A:$A&amp;盘货信息!$B:$B&amp;盘货信息!$C:$C,盘货信息!$Q:$Q)&lt;1,"","【红包】活动时间购机送"&amp;_xlfn.TEXTJOIN("",,IF(ISNUMBER(--MID(_xlfn.XLOOKUP(A63&amp;B63&amp;C63,盘货信息!$A:$A&amp;盘货信息!$B:$B&amp;盘货信息!$C:$C,盘货信息!$Q:$Q),_xlfn.SEQUENCE(LEN(_xlfn.XLOOKUP(A63&amp;B63&amp;C63,盘货信息!$A:$A&amp;盘货信息!$B:$B&amp;盘货信息!$C:$C,盘货信息!$Q:$Q))),1)),MID(_xlfn.XLOOKUP(A63&amp;B63&amp;C63,盘货信息!$A:$A&amp;盘货信息!$B:$B&amp;盘货信息!$C:$C,盘货信息!$Q:$Q),_xlfn.SEQUENCE(LEN(_xlfn.XLOOKUP(A63&amp;B63&amp;C63,盘货信息!$A:$A&amp;盘货信息!$B:$B&amp;盘货信息!$C:$C,盘货信息!$Q:$Q))),1),""))&amp;"元")</f>
        <v/>
      </c>
      <c r="T63" s="18" t="str">
        <f t="array" ref="T63">IF(ISNUMBER(SEARCH("是",_xlfn.XLOOKUP(A63&amp;B63&amp;C63,盘货信息!$A:$A&amp;盘货信息!$B:$B&amp;盘货信息!$C:$C,盘货信息!$T:$T))),"【瓜分】"&amp;固定信息!$B$7,"")</f>
        <v/>
      </c>
      <c r="U63" s="18" t="str">
        <f>IF($C63="","",IF(AND(R63="",S63="",T63=""),"",固定信息!$B$1))</f>
        <v/>
      </c>
      <c r="V63" s="18" t="str">
        <f t="array" ref="V63">IF(C63="","","【服务】"&amp;IF(_xlfn.XLOOKUP(A63&amp;B63&amp;C63,盘货信息!$A:$A&amp;盘货信息!$B:$B&amp;盘货信息!$C:$C,盘货信息!$V:$V)="","",_xlfn.XLOOKUP(A63&amp;B63&amp;C63,盘货信息!$A:$A&amp;盘货信息!$B:$B&amp;盘货信息!$C:$C,盘货信息!$V:$V)&amp;"免息,")&amp;IF(_xlfn.XLOOKUP(A63&amp;B63&amp;C63,盘货信息!$A:$A&amp;盘货信息!$B:$B&amp;盘货信息!$C:$C,盘货信息!$W:$W)="","",_xlfn.XLOOKUP(A63&amp;B63&amp;C63,盘货信息!$A:$A&amp;盘货信息!$B:$B&amp;盘货信息!$C:$C,盘货信息!$W:$W)&amp;"，")&amp;"送货入户，退换免运费")</f>
        <v/>
      </c>
    </row>
    <row r="64" customHeight="1" spans="1:22">
      <c r="A64" s="17" t="str">
        <f>IF(盘货信息!A64="","",盘货信息!A64)</f>
        <v/>
      </c>
      <c r="B64" s="20" t="str">
        <f>IF(盘货信息!B64="","",盘货信息!B64)</f>
        <v/>
      </c>
      <c r="C64" s="18" t="str">
        <f>IF(盘货信息!C64="","",盘货信息!C64)</f>
        <v/>
      </c>
      <c r="D64" s="18" t="str">
        <f ca="1" t="shared" si="0"/>
        <v/>
      </c>
      <c r="E64" s="18" t="str">
        <f>IF(C64="","",固定信息!$B$2)</f>
        <v/>
      </c>
      <c r="F64" s="18" t="str">
        <f t="array" ref="F64">IF(C64="","","【"&amp;C64&amp;"】"&amp;_xlfn.XLOOKUP(A64&amp;B64&amp;C64,盘货信息!$A:$A&amp;盘货信息!$B:$B&amp;盘货信息!$C:$C,盘货信息!$D:$D))</f>
        <v/>
      </c>
      <c r="G64" s="18" t="str">
        <f>IF(C64="","","【"&amp;"活动时间："&amp;固定信息!$B$3&amp;"】")</f>
        <v/>
      </c>
      <c r="H64" s="18" t="str">
        <f>IF($C64="","",固定信息!$B$1)</f>
        <v/>
      </c>
      <c r="I64" s="18"/>
      <c r="J64" s="18" t="str">
        <f t="array" ref="J64">_xlfn.XLOOKUP(A64&amp;B64&amp;C64,价格信息!$A:$A&amp;价格信息!$B:$B&amp;价格信息!$C:$C,价格信息!$D:$D)</f>
        <v/>
      </c>
      <c r="K64" s="31" t="str">
        <f t="array" ref="K64">IF(_xlfn.XLOOKUP(A64&amp;B64&amp;C64,价格信息!$A:$A&amp;价格信息!$B:$B&amp;价格信息!$C:$C,价格信息!$I:$I)="","","【优惠券链接】"&amp;固定信息!$B$6)</f>
        <v/>
      </c>
      <c r="L64" s="31" t="str">
        <f>IF($C64="","",固定信息!$B$1)</f>
        <v/>
      </c>
      <c r="M64" s="18" t="str">
        <f t="array" ref="M64">IF(_xlfn.XLOOKUP(A64&amp;B64&amp;C64,盘货信息!$A:$A&amp;盘货信息!$B:$B&amp;盘货信息!$C:$C,盘货信息!$O:$O)="","","【优惠券】领"&amp;INDEX(_wpsfn.REGEXP(_xlfn.XLOOKUP(A64&amp;B64&amp;C64,盘货信息!$A:$A&amp;盘货信息!$B:$B&amp;盘货信息!$C:$C,盘货信息!$O:$O),"\d+"),1,1)&amp;"元优惠券下单更优惠，优惠卷："&amp;_xlfn.XLOOKUP(A64&amp;B64&amp;C64,盘货信息!$A:$A&amp;盘货信息!$B:$B&amp;盘货信息!$C:$C,盘货信息!$P:$P))</f>
        <v/>
      </c>
      <c r="N64" s="18" t="str">
        <f t="array" ref="N64">IF(AND(ISNUMBER(_xlfn.XLOOKUP(A64&amp;B64&amp;C64,盘货信息!$A:$A&amp;盘货信息!$B:$B&amp;盘货信息!$C:$C,盘货信息!$I:$I)),_xlfn.XLOOKUP(A64&amp;B64&amp;C64,盘货信息!$A:$A&amp;盘货信息!$B:$B&amp;盘货信息!$C:$C,盘货信息!$I:$I)&gt;1),"【88VIP】立减"&amp;_xlfn.XLOOKUP(A64&amp;B64&amp;C64,盘货信息!$A:$A&amp;盘货信息!$B:$B&amp;盘货信息!$C:$C,盘货信息!$I:$I)&amp;"元","")</f>
        <v/>
      </c>
      <c r="O64" s="18" t="str">
        <f t="array" ref="O64">IF(_xlfn.XLOOKUP(A64&amp;B64&amp;C64,盘货信息!$A:$A&amp;盘货信息!$B:$B&amp;盘货信息!$C:$C,盘货信息!$K:$K)="","",IF(AND(_xlfn.XLOOKUP(A64&amp;B64&amp;C64,盘货信息!$A:$A&amp;盘货信息!$B:$B&amp;盘货信息!$C:$C,盘货信息!$G:$G)="不参加",_xlfn.XLOOKUP(A64&amp;B64&amp;C64,盘货信息!$A:$A&amp;盘货信息!$B:$B&amp;盘货信息!$C:$C,盘货信息!$H:$H)=""),"【以旧换新】"&amp;_xlfn.XLOOKUP(A64&amp;B64&amp;C64,盘货信息!$A:$A&amp;盘货信息!$B:$B&amp;盘货信息!$C:$C,盘货信息!$K:$K)&amp;"元以旧换新补贴（可无旧机换新）",""))</f>
        <v/>
      </c>
      <c r="P64" s="18" t="str">
        <f t="array" ref="P64">_xlfn.XLOOKUP(A64&amp;B64&amp;C64,赠品!$A:$A&amp;赠品!$B:$B&amp;赠品!$C:$C,赠品!$D:$D)</f>
        <v/>
      </c>
      <c r="Q64" s="18" t="str">
        <f>IF($C64="","",IF(AND(M64="",N64="",P64=""),"",固定信息!$B$1))</f>
        <v/>
      </c>
      <c r="R64" s="18" t="str">
        <f t="array" ref="R64">IF(ISNUMBER(SEARCH("是",_xlfn.XLOOKUP(A64&amp;B64&amp;C64,盘货信息!$A:$A&amp;盘货信息!$B:$B&amp;盘货信息!$C:$C,盘货信息!$U:$U))),"【折扣】指定型号满2类享96折，满3类享94折","")</f>
        <v/>
      </c>
      <c r="S64" s="18" t="str">
        <f t="array" ref="S64">IF(_xlfn.XLOOKUP(A64&amp;B64&amp;C64,盘货信息!$A:$A&amp;盘货信息!$B:$B&amp;盘货信息!$C:$C,盘货信息!$Q:$Q)&lt;1,"","【红包】活动时间购机送"&amp;_xlfn.TEXTJOIN("",,IF(ISNUMBER(--MID(_xlfn.XLOOKUP(A64&amp;B64&amp;C64,盘货信息!$A:$A&amp;盘货信息!$B:$B&amp;盘货信息!$C:$C,盘货信息!$Q:$Q),_xlfn.SEQUENCE(LEN(_xlfn.XLOOKUP(A64&amp;B64&amp;C64,盘货信息!$A:$A&amp;盘货信息!$B:$B&amp;盘货信息!$C:$C,盘货信息!$Q:$Q))),1)),MID(_xlfn.XLOOKUP(A64&amp;B64&amp;C64,盘货信息!$A:$A&amp;盘货信息!$B:$B&amp;盘货信息!$C:$C,盘货信息!$Q:$Q),_xlfn.SEQUENCE(LEN(_xlfn.XLOOKUP(A64&amp;B64&amp;C64,盘货信息!$A:$A&amp;盘货信息!$B:$B&amp;盘货信息!$C:$C,盘货信息!$Q:$Q))),1),""))&amp;"元")</f>
        <v/>
      </c>
      <c r="T64" s="18" t="str">
        <f t="array" ref="T64">IF(ISNUMBER(SEARCH("是",_xlfn.XLOOKUP(A64&amp;B64&amp;C64,盘货信息!$A:$A&amp;盘货信息!$B:$B&amp;盘货信息!$C:$C,盘货信息!$T:$T))),"【瓜分】"&amp;固定信息!$B$7,"")</f>
        <v/>
      </c>
      <c r="U64" s="18" t="str">
        <f>IF($C64="","",IF(AND(R64="",S64="",T64=""),"",固定信息!$B$1))</f>
        <v/>
      </c>
      <c r="V64" s="18" t="str">
        <f t="array" ref="V64">IF(C64="","","【服务】"&amp;IF(_xlfn.XLOOKUP(A64&amp;B64&amp;C64,盘货信息!$A:$A&amp;盘货信息!$B:$B&amp;盘货信息!$C:$C,盘货信息!$V:$V)="","",_xlfn.XLOOKUP(A64&amp;B64&amp;C64,盘货信息!$A:$A&amp;盘货信息!$B:$B&amp;盘货信息!$C:$C,盘货信息!$V:$V)&amp;"免息,")&amp;IF(_xlfn.XLOOKUP(A64&amp;B64&amp;C64,盘货信息!$A:$A&amp;盘货信息!$B:$B&amp;盘货信息!$C:$C,盘货信息!$W:$W)="","",_xlfn.XLOOKUP(A64&amp;B64&amp;C64,盘货信息!$A:$A&amp;盘货信息!$B:$B&amp;盘货信息!$C:$C,盘货信息!$W:$W)&amp;"，")&amp;"送货入户，退换免运费")</f>
        <v/>
      </c>
    </row>
    <row r="65" customHeight="1" spans="1:22">
      <c r="A65" s="17" t="str">
        <f>IF(盘货信息!A65="","",盘货信息!A65)</f>
        <v/>
      </c>
      <c r="B65" s="20" t="str">
        <f>IF(盘货信息!B65="","",盘货信息!B65)</f>
        <v/>
      </c>
      <c r="C65" s="18" t="str">
        <f>IF(盘货信息!C65="","",盘货信息!C65)</f>
        <v/>
      </c>
      <c r="D65" s="18" t="str">
        <f ca="1" t="shared" si="0"/>
        <v/>
      </c>
      <c r="E65" s="18" t="str">
        <f>IF(C65="","",固定信息!$B$2)</f>
        <v/>
      </c>
      <c r="F65" s="18" t="str">
        <f t="array" ref="F65">IF(C65="","","【"&amp;C65&amp;"】"&amp;_xlfn.XLOOKUP(A65&amp;B65&amp;C65,盘货信息!$A:$A&amp;盘货信息!$B:$B&amp;盘货信息!$C:$C,盘货信息!$D:$D))</f>
        <v/>
      </c>
      <c r="G65" s="18" t="str">
        <f>IF(C65="","","【"&amp;"活动时间："&amp;固定信息!$B$3&amp;"】")</f>
        <v/>
      </c>
      <c r="H65" s="18" t="str">
        <f>IF($C65="","",固定信息!$B$1)</f>
        <v/>
      </c>
      <c r="I65" s="18"/>
      <c r="J65" s="18" t="str">
        <f t="array" ref="J65">_xlfn.XLOOKUP(A65&amp;B65&amp;C65,价格信息!$A:$A&amp;价格信息!$B:$B&amp;价格信息!$C:$C,价格信息!$D:$D)</f>
        <v/>
      </c>
      <c r="K65" s="31" t="str">
        <f t="array" ref="K65">IF(_xlfn.XLOOKUP(A65&amp;B65&amp;C65,价格信息!$A:$A&amp;价格信息!$B:$B&amp;价格信息!$C:$C,价格信息!$I:$I)="","","【优惠券链接】"&amp;固定信息!$B$6)</f>
        <v/>
      </c>
      <c r="L65" s="31" t="str">
        <f>IF($C65="","",固定信息!$B$1)</f>
        <v/>
      </c>
      <c r="M65" s="18" t="str">
        <f t="array" ref="M65">IF(_xlfn.XLOOKUP(A65&amp;B65&amp;C65,盘货信息!$A:$A&amp;盘货信息!$B:$B&amp;盘货信息!$C:$C,盘货信息!$O:$O)="","","【优惠券】领"&amp;INDEX(_wpsfn.REGEXP(_xlfn.XLOOKUP(A65&amp;B65&amp;C65,盘货信息!$A:$A&amp;盘货信息!$B:$B&amp;盘货信息!$C:$C,盘货信息!$O:$O),"\d+"),1,1)&amp;"元优惠券下单更优惠，优惠卷："&amp;_xlfn.XLOOKUP(A65&amp;B65&amp;C65,盘货信息!$A:$A&amp;盘货信息!$B:$B&amp;盘货信息!$C:$C,盘货信息!$P:$P))</f>
        <v/>
      </c>
      <c r="N65" s="18" t="str">
        <f t="array" ref="N65">IF(AND(ISNUMBER(_xlfn.XLOOKUP(A65&amp;B65&amp;C65,盘货信息!$A:$A&amp;盘货信息!$B:$B&amp;盘货信息!$C:$C,盘货信息!$I:$I)),_xlfn.XLOOKUP(A65&amp;B65&amp;C65,盘货信息!$A:$A&amp;盘货信息!$B:$B&amp;盘货信息!$C:$C,盘货信息!$I:$I)&gt;1),"【88VIP】立减"&amp;_xlfn.XLOOKUP(A65&amp;B65&amp;C65,盘货信息!$A:$A&amp;盘货信息!$B:$B&amp;盘货信息!$C:$C,盘货信息!$I:$I)&amp;"元","")</f>
        <v/>
      </c>
      <c r="O65" s="18" t="str">
        <f t="array" ref="O65">IF(_xlfn.XLOOKUP(A65&amp;B65&amp;C65,盘货信息!$A:$A&amp;盘货信息!$B:$B&amp;盘货信息!$C:$C,盘货信息!$K:$K)="","",IF(AND(_xlfn.XLOOKUP(A65&amp;B65&amp;C65,盘货信息!$A:$A&amp;盘货信息!$B:$B&amp;盘货信息!$C:$C,盘货信息!$G:$G)="不参加",_xlfn.XLOOKUP(A65&amp;B65&amp;C65,盘货信息!$A:$A&amp;盘货信息!$B:$B&amp;盘货信息!$C:$C,盘货信息!$H:$H)=""),"【以旧换新】"&amp;_xlfn.XLOOKUP(A65&amp;B65&amp;C65,盘货信息!$A:$A&amp;盘货信息!$B:$B&amp;盘货信息!$C:$C,盘货信息!$K:$K)&amp;"元以旧换新补贴（可无旧机换新）",""))</f>
        <v/>
      </c>
      <c r="P65" s="18" t="str">
        <f t="array" ref="P65">_xlfn.XLOOKUP(A65&amp;B65&amp;C65,赠品!$A:$A&amp;赠品!$B:$B&amp;赠品!$C:$C,赠品!$D:$D)</f>
        <v/>
      </c>
      <c r="Q65" s="18" t="str">
        <f>IF($C65="","",IF(AND(M65="",N65="",P65=""),"",固定信息!$B$1))</f>
        <v/>
      </c>
      <c r="R65" s="18" t="str">
        <f t="array" ref="R65">IF(ISNUMBER(SEARCH("是",_xlfn.XLOOKUP(A65&amp;B65&amp;C65,盘货信息!$A:$A&amp;盘货信息!$B:$B&amp;盘货信息!$C:$C,盘货信息!$U:$U))),"【折扣】指定型号满2类享96折，满3类享94折","")</f>
        <v/>
      </c>
      <c r="S65" s="18" t="str">
        <f t="array" ref="S65">IF(_xlfn.XLOOKUP(A65&amp;B65&amp;C65,盘货信息!$A:$A&amp;盘货信息!$B:$B&amp;盘货信息!$C:$C,盘货信息!$Q:$Q)&lt;1,"","【红包】活动时间购机送"&amp;_xlfn.TEXTJOIN("",,IF(ISNUMBER(--MID(_xlfn.XLOOKUP(A65&amp;B65&amp;C65,盘货信息!$A:$A&amp;盘货信息!$B:$B&amp;盘货信息!$C:$C,盘货信息!$Q:$Q),_xlfn.SEQUENCE(LEN(_xlfn.XLOOKUP(A65&amp;B65&amp;C65,盘货信息!$A:$A&amp;盘货信息!$B:$B&amp;盘货信息!$C:$C,盘货信息!$Q:$Q))),1)),MID(_xlfn.XLOOKUP(A65&amp;B65&amp;C65,盘货信息!$A:$A&amp;盘货信息!$B:$B&amp;盘货信息!$C:$C,盘货信息!$Q:$Q),_xlfn.SEQUENCE(LEN(_xlfn.XLOOKUP(A65&amp;B65&amp;C65,盘货信息!$A:$A&amp;盘货信息!$B:$B&amp;盘货信息!$C:$C,盘货信息!$Q:$Q))),1),""))&amp;"元")</f>
        <v/>
      </c>
      <c r="T65" s="18" t="str">
        <f t="array" ref="T65">IF(ISNUMBER(SEARCH("是",_xlfn.XLOOKUP(A65&amp;B65&amp;C65,盘货信息!$A:$A&amp;盘货信息!$B:$B&amp;盘货信息!$C:$C,盘货信息!$T:$T))),"【瓜分】"&amp;固定信息!$B$7,"")</f>
        <v/>
      </c>
      <c r="U65" s="18" t="str">
        <f>IF($C65="","",IF(AND(R65="",S65="",T65=""),"",固定信息!$B$1))</f>
        <v/>
      </c>
      <c r="V65" s="18" t="str">
        <f t="array" ref="V65">IF(C65="","","【服务】"&amp;IF(_xlfn.XLOOKUP(A65&amp;B65&amp;C65,盘货信息!$A:$A&amp;盘货信息!$B:$B&amp;盘货信息!$C:$C,盘货信息!$V:$V)="","",_xlfn.XLOOKUP(A65&amp;B65&amp;C65,盘货信息!$A:$A&amp;盘货信息!$B:$B&amp;盘货信息!$C:$C,盘货信息!$V:$V)&amp;"免息,")&amp;IF(_xlfn.XLOOKUP(A65&amp;B65&amp;C65,盘货信息!$A:$A&amp;盘货信息!$B:$B&amp;盘货信息!$C:$C,盘货信息!$W:$W)="","",_xlfn.XLOOKUP(A65&amp;B65&amp;C65,盘货信息!$A:$A&amp;盘货信息!$B:$B&amp;盘货信息!$C:$C,盘货信息!$W:$W)&amp;"，")&amp;"送货入户，退换免运费")</f>
        <v/>
      </c>
    </row>
    <row r="66" customHeight="1" spans="1:22">
      <c r="A66" s="17" t="str">
        <f>IF(盘货信息!A66="","",盘货信息!A66)</f>
        <v/>
      </c>
      <c r="B66" s="20" t="str">
        <f>IF(盘货信息!B66="","",盘货信息!B66)</f>
        <v/>
      </c>
      <c r="C66" s="18" t="str">
        <f>IF(盘货信息!C66="","",盘货信息!C66)</f>
        <v/>
      </c>
      <c r="D66" s="18" t="str">
        <f ca="1" t="shared" ref="D66:D129" si="1">_xlfn.TEXTJOIN(CHAR(10),TRUE,OFFSET(INDIRECT("RC",FALSE),0,1,1,30))</f>
        <v/>
      </c>
      <c r="E66" s="18" t="str">
        <f>IF(C66="","",固定信息!$B$2)</f>
        <v/>
      </c>
      <c r="F66" s="18" t="str">
        <f t="array" ref="F66">IF(C66="","","【"&amp;C66&amp;"】"&amp;_xlfn.XLOOKUP(A66&amp;B66&amp;C66,盘货信息!$A:$A&amp;盘货信息!$B:$B&amp;盘货信息!$C:$C,盘货信息!$D:$D))</f>
        <v/>
      </c>
      <c r="G66" s="18" t="str">
        <f>IF(C66="","","【"&amp;"活动时间："&amp;固定信息!$B$3&amp;"】")</f>
        <v/>
      </c>
      <c r="H66" s="18" t="str">
        <f>IF($C66="","",固定信息!$B$1)</f>
        <v/>
      </c>
      <c r="I66" s="18"/>
      <c r="J66" s="18" t="str">
        <f t="array" ref="J66">_xlfn.XLOOKUP(A66&amp;B66&amp;C66,价格信息!$A:$A&amp;价格信息!$B:$B&amp;价格信息!$C:$C,价格信息!$D:$D)</f>
        <v/>
      </c>
      <c r="K66" s="31" t="str">
        <f t="array" ref="K66">IF(_xlfn.XLOOKUP(A66&amp;B66&amp;C66,价格信息!$A:$A&amp;价格信息!$B:$B&amp;价格信息!$C:$C,价格信息!$I:$I)="","","【优惠券链接】"&amp;固定信息!$B$6)</f>
        <v/>
      </c>
      <c r="L66" s="31" t="str">
        <f>IF($C66="","",固定信息!$B$1)</f>
        <v/>
      </c>
      <c r="M66" s="18" t="str">
        <f t="array" ref="M66">IF(_xlfn.XLOOKUP(A66&amp;B66&amp;C66,盘货信息!$A:$A&amp;盘货信息!$B:$B&amp;盘货信息!$C:$C,盘货信息!$O:$O)="","","【优惠券】领"&amp;INDEX(_wpsfn.REGEXP(_xlfn.XLOOKUP(A66&amp;B66&amp;C66,盘货信息!$A:$A&amp;盘货信息!$B:$B&amp;盘货信息!$C:$C,盘货信息!$O:$O),"\d+"),1,1)&amp;"元优惠券下单更优惠，优惠卷："&amp;_xlfn.XLOOKUP(A66&amp;B66&amp;C66,盘货信息!$A:$A&amp;盘货信息!$B:$B&amp;盘货信息!$C:$C,盘货信息!$P:$P))</f>
        <v/>
      </c>
      <c r="N66" s="18" t="str">
        <f t="array" ref="N66">IF(AND(ISNUMBER(_xlfn.XLOOKUP(A66&amp;B66&amp;C66,盘货信息!$A:$A&amp;盘货信息!$B:$B&amp;盘货信息!$C:$C,盘货信息!$I:$I)),_xlfn.XLOOKUP(A66&amp;B66&amp;C66,盘货信息!$A:$A&amp;盘货信息!$B:$B&amp;盘货信息!$C:$C,盘货信息!$I:$I)&gt;1),"【88VIP】立减"&amp;_xlfn.XLOOKUP(A66&amp;B66&amp;C66,盘货信息!$A:$A&amp;盘货信息!$B:$B&amp;盘货信息!$C:$C,盘货信息!$I:$I)&amp;"元","")</f>
        <v/>
      </c>
      <c r="O66" s="18" t="str">
        <f t="array" ref="O66">IF(_xlfn.XLOOKUP(A66&amp;B66&amp;C66,盘货信息!$A:$A&amp;盘货信息!$B:$B&amp;盘货信息!$C:$C,盘货信息!$K:$K)="","",IF(AND(_xlfn.XLOOKUP(A66&amp;B66&amp;C66,盘货信息!$A:$A&amp;盘货信息!$B:$B&amp;盘货信息!$C:$C,盘货信息!$G:$G)="不参加",_xlfn.XLOOKUP(A66&amp;B66&amp;C66,盘货信息!$A:$A&amp;盘货信息!$B:$B&amp;盘货信息!$C:$C,盘货信息!$H:$H)=""),"【以旧换新】"&amp;_xlfn.XLOOKUP(A66&amp;B66&amp;C66,盘货信息!$A:$A&amp;盘货信息!$B:$B&amp;盘货信息!$C:$C,盘货信息!$K:$K)&amp;"元以旧换新补贴（可无旧机换新）",""))</f>
        <v/>
      </c>
      <c r="P66" s="18" t="str">
        <f t="array" ref="P66">_xlfn.XLOOKUP(A66&amp;B66&amp;C66,赠品!$A:$A&amp;赠品!$B:$B&amp;赠品!$C:$C,赠品!$D:$D)</f>
        <v/>
      </c>
      <c r="Q66" s="18" t="str">
        <f>IF($C66="","",IF(AND(M66="",N66="",P66=""),"",固定信息!$B$1))</f>
        <v/>
      </c>
      <c r="R66" s="18" t="str">
        <f t="array" ref="R66">IF(ISNUMBER(SEARCH("是",_xlfn.XLOOKUP(A66&amp;B66&amp;C66,盘货信息!$A:$A&amp;盘货信息!$B:$B&amp;盘货信息!$C:$C,盘货信息!$U:$U))),"【折扣】指定型号满2类享96折，满3类享94折","")</f>
        <v/>
      </c>
      <c r="S66" s="18" t="str">
        <f t="array" ref="S66">IF(_xlfn.XLOOKUP(A66&amp;B66&amp;C66,盘货信息!$A:$A&amp;盘货信息!$B:$B&amp;盘货信息!$C:$C,盘货信息!$Q:$Q)&lt;1,"","【红包】活动时间购机送"&amp;_xlfn.TEXTJOIN("",,IF(ISNUMBER(--MID(_xlfn.XLOOKUP(A66&amp;B66&amp;C66,盘货信息!$A:$A&amp;盘货信息!$B:$B&amp;盘货信息!$C:$C,盘货信息!$Q:$Q),_xlfn.SEQUENCE(LEN(_xlfn.XLOOKUP(A66&amp;B66&amp;C66,盘货信息!$A:$A&amp;盘货信息!$B:$B&amp;盘货信息!$C:$C,盘货信息!$Q:$Q))),1)),MID(_xlfn.XLOOKUP(A66&amp;B66&amp;C66,盘货信息!$A:$A&amp;盘货信息!$B:$B&amp;盘货信息!$C:$C,盘货信息!$Q:$Q),_xlfn.SEQUENCE(LEN(_xlfn.XLOOKUP(A66&amp;B66&amp;C66,盘货信息!$A:$A&amp;盘货信息!$B:$B&amp;盘货信息!$C:$C,盘货信息!$Q:$Q))),1),""))&amp;"元")</f>
        <v/>
      </c>
      <c r="T66" s="18" t="str">
        <f t="array" ref="T66">IF(ISNUMBER(SEARCH("是",_xlfn.XLOOKUP(A66&amp;B66&amp;C66,盘货信息!$A:$A&amp;盘货信息!$B:$B&amp;盘货信息!$C:$C,盘货信息!$T:$T))),"【瓜分】"&amp;固定信息!$B$7,"")</f>
        <v/>
      </c>
      <c r="U66" s="18" t="str">
        <f>IF($C66="","",IF(AND(R66="",S66="",T66=""),"",固定信息!$B$1))</f>
        <v/>
      </c>
      <c r="V66" s="18" t="str">
        <f t="array" ref="V66">IF(C66="","","【服务】"&amp;IF(_xlfn.XLOOKUP(A66&amp;B66&amp;C66,盘货信息!$A:$A&amp;盘货信息!$B:$B&amp;盘货信息!$C:$C,盘货信息!$V:$V)="","",_xlfn.XLOOKUP(A66&amp;B66&amp;C66,盘货信息!$A:$A&amp;盘货信息!$B:$B&amp;盘货信息!$C:$C,盘货信息!$V:$V)&amp;"免息,")&amp;IF(_xlfn.XLOOKUP(A66&amp;B66&amp;C66,盘货信息!$A:$A&amp;盘货信息!$B:$B&amp;盘货信息!$C:$C,盘货信息!$W:$W)="","",_xlfn.XLOOKUP(A66&amp;B66&amp;C66,盘货信息!$A:$A&amp;盘货信息!$B:$B&amp;盘货信息!$C:$C,盘货信息!$W:$W)&amp;"，")&amp;"送货入户，退换免运费")</f>
        <v/>
      </c>
    </row>
    <row r="67" customHeight="1" spans="1:22">
      <c r="A67" s="17" t="str">
        <f>IF(盘货信息!A67="","",盘货信息!A67)</f>
        <v/>
      </c>
      <c r="B67" s="20" t="str">
        <f>IF(盘货信息!B67="","",盘货信息!B67)</f>
        <v/>
      </c>
      <c r="C67" s="18" t="str">
        <f>IF(盘货信息!C67="","",盘货信息!C67)</f>
        <v/>
      </c>
      <c r="D67" s="18" t="str">
        <f ca="1" t="shared" si="1"/>
        <v/>
      </c>
      <c r="E67" s="18" t="str">
        <f>IF(C67="","",固定信息!$B$2)</f>
        <v/>
      </c>
      <c r="F67" s="18" t="str">
        <f t="array" ref="F67">IF(C67="","","【"&amp;C67&amp;"】"&amp;_xlfn.XLOOKUP(A67&amp;B67&amp;C67,盘货信息!$A:$A&amp;盘货信息!$B:$B&amp;盘货信息!$C:$C,盘货信息!$D:$D))</f>
        <v/>
      </c>
      <c r="G67" s="18" t="str">
        <f>IF(C67="","","【"&amp;"活动时间："&amp;固定信息!$B$3&amp;"】")</f>
        <v/>
      </c>
      <c r="H67" s="18" t="str">
        <f>IF($C67="","",固定信息!$B$1)</f>
        <v/>
      </c>
      <c r="I67" s="18"/>
      <c r="J67" s="18" t="str">
        <f t="array" ref="J67">_xlfn.XLOOKUP(A67&amp;B67&amp;C67,价格信息!$A:$A&amp;价格信息!$B:$B&amp;价格信息!$C:$C,价格信息!$D:$D)</f>
        <v/>
      </c>
      <c r="K67" s="31" t="str">
        <f t="array" ref="K67">IF(_xlfn.XLOOKUP(A67&amp;B67&amp;C67,价格信息!$A:$A&amp;价格信息!$B:$B&amp;价格信息!$C:$C,价格信息!$I:$I)="","","【优惠券链接】"&amp;固定信息!$B$6)</f>
        <v/>
      </c>
      <c r="L67" s="31" t="str">
        <f>IF($C67="","",固定信息!$B$1)</f>
        <v/>
      </c>
      <c r="M67" s="18" t="str">
        <f t="array" ref="M67">IF(_xlfn.XLOOKUP(A67&amp;B67&amp;C67,盘货信息!$A:$A&amp;盘货信息!$B:$B&amp;盘货信息!$C:$C,盘货信息!$O:$O)="","","【优惠券】领"&amp;INDEX(_wpsfn.REGEXP(_xlfn.XLOOKUP(A67&amp;B67&amp;C67,盘货信息!$A:$A&amp;盘货信息!$B:$B&amp;盘货信息!$C:$C,盘货信息!$O:$O),"\d+"),1,1)&amp;"元优惠券下单更优惠，优惠卷："&amp;_xlfn.XLOOKUP(A67&amp;B67&amp;C67,盘货信息!$A:$A&amp;盘货信息!$B:$B&amp;盘货信息!$C:$C,盘货信息!$P:$P))</f>
        <v/>
      </c>
      <c r="N67" s="18" t="str">
        <f t="array" ref="N67">IF(AND(ISNUMBER(_xlfn.XLOOKUP(A67&amp;B67&amp;C67,盘货信息!$A:$A&amp;盘货信息!$B:$B&amp;盘货信息!$C:$C,盘货信息!$I:$I)),_xlfn.XLOOKUP(A67&amp;B67&amp;C67,盘货信息!$A:$A&amp;盘货信息!$B:$B&amp;盘货信息!$C:$C,盘货信息!$I:$I)&gt;1),"【88VIP】立减"&amp;_xlfn.XLOOKUP(A67&amp;B67&amp;C67,盘货信息!$A:$A&amp;盘货信息!$B:$B&amp;盘货信息!$C:$C,盘货信息!$I:$I)&amp;"元","")</f>
        <v/>
      </c>
      <c r="O67" s="18" t="str">
        <f t="array" ref="O67">IF(_xlfn.XLOOKUP(A67&amp;B67&amp;C67,盘货信息!$A:$A&amp;盘货信息!$B:$B&amp;盘货信息!$C:$C,盘货信息!$K:$K)="","",IF(AND(_xlfn.XLOOKUP(A67&amp;B67&amp;C67,盘货信息!$A:$A&amp;盘货信息!$B:$B&amp;盘货信息!$C:$C,盘货信息!$G:$G)="不参加",_xlfn.XLOOKUP(A67&amp;B67&amp;C67,盘货信息!$A:$A&amp;盘货信息!$B:$B&amp;盘货信息!$C:$C,盘货信息!$H:$H)=""),"【以旧换新】"&amp;_xlfn.XLOOKUP(A67&amp;B67&amp;C67,盘货信息!$A:$A&amp;盘货信息!$B:$B&amp;盘货信息!$C:$C,盘货信息!$K:$K)&amp;"元以旧换新补贴（可无旧机换新）",""))</f>
        <v/>
      </c>
      <c r="P67" s="18" t="str">
        <f t="array" ref="P67">_xlfn.XLOOKUP(A67&amp;B67&amp;C67,赠品!$A:$A&amp;赠品!$B:$B&amp;赠品!$C:$C,赠品!$D:$D)</f>
        <v/>
      </c>
      <c r="Q67" s="18" t="str">
        <f>IF($C67="","",IF(AND(M67="",N67="",P67=""),"",固定信息!$B$1))</f>
        <v/>
      </c>
      <c r="R67" s="18" t="str">
        <f t="array" ref="R67">IF(ISNUMBER(SEARCH("是",_xlfn.XLOOKUP(A67&amp;B67&amp;C67,盘货信息!$A:$A&amp;盘货信息!$B:$B&amp;盘货信息!$C:$C,盘货信息!$U:$U))),"【折扣】指定型号满2类享96折，满3类享94折","")</f>
        <v/>
      </c>
      <c r="S67" s="18" t="str">
        <f t="array" ref="S67">IF(_xlfn.XLOOKUP(A67&amp;B67&amp;C67,盘货信息!$A:$A&amp;盘货信息!$B:$B&amp;盘货信息!$C:$C,盘货信息!$Q:$Q)&lt;1,"","【红包】活动时间购机送"&amp;_xlfn.TEXTJOIN("",,IF(ISNUMBER(--MID(_xlfn.XLOOKUP(A67&amp;B67&amp;C67,盘货信息!$A:$A&amp;盘货信息!$B:$B&amp;盘货信息!$C:$C,盘货信息!$Q:$Q),_xlfn.SEQUENCE(LEN(_xlfn.XLOOKUP(A67&amp;B67&amp;C67,盘货信息!$A:$A&amp;盘货信息!$B:$B&amp;盘货信息!$C:$C,盘货信息!$Q:$Q))),1)),MID(_xlfn.XLOOKUP(A67&amp;B67&amp;C67,盘货信息!$A:$A&amp;盘货信息!$B:$B&amp;盘货信息!$C:$C,盘货信息!$Q:$Q),_xlfn.SEQUENCE(LEN(_xlfn.XLOOKUP(A67&amp;B67&amp;C67,盘货信息!$A:$A&amp;盘货信息!$B:$B&amp;盘货信息!$C:$C,盘货信息!$Q:$Q))),1),""))&amp;"元")</f>
        <v/>
      </c>
      <c r="T67" s="18" t="str">
        <f t="array" ref="T67">IF(ISNUMBER(SEARCH("是",_xlfn.XLOOKUP(A67&amp;B67&amp;C67,盘货信息!$A:$A&amp;盘货信息!$B:$B&amp;盘货信息!$C:$C,盘货信息!$T:$T))),"【瓜分】"&amp;固定信息!$B$7,"")</f>
        <v/>
      </c>
      <c r="U67" s="18" t="str">
        <f>IF($C67="","",IF(AND(R67="",S67="",T67=""),"",固定信息!$B$1))</f>
        <v/>
      </c>
      <c r="V67" s="18" t="str">
        <f t="array" ref="V67">IF(C67="","","【服务】"&amp;IF(_xlfn.XLOOKUP(A67&amp;B67&amp;C67,盘货信息!$A:$A&amp;盘货信息!$B:$B&amp;盘货信息!$C:$C,盘货信息!$V:$V)="","",_xlfn.XLOOKUP(A67&amp;B67&amp;C67,盘货信息!$A:$A&amp;盘货信息!$B:$B&amp;盘货信息!$C:$C,盘货信息!$V:$V)&amp;"免息,")&amp;IF(_xlfn.XLOOKUP(A67&amp;B67&amp;C67,盘货信息!$A:$A&amp;盘货信息!$B:$B&amp;盘货信息!$C:$C,盘货信息!$W:$W)="","",_xlfn.XLOOKUP(A67&amp;B67&amp;C67,盘货信息!$A:$A&amp;盘货信息!$B:$B&amp;盘货信息!$C:$C,盘货信息!$W:$W)&amp;"，")&amp;"送货入户，退换免运费")</f>
        <v/>
      </c>
    </row>
    <row r="68" customHeight="1" spans="1:22">
      <c r="A68" s="17" t="str">
        <f>IF(盘货信息!A68="","",盘货信息!A68)</f>
        <v/>
      </c>
      <c r="B68" s="20" t="str">
        <f>IF(盘货信息!B68="","",盘货信息!B68)</f>
        <v/>
      </c>
      <c r="C68" s="18" t="str">
        <f>IF(盘货信息!C68="","",盘货信息!C68)</f>
        <v/>
      </c>
      <c r="D68" s="18" t="str">
        <f ca="1" t="shared" si="1"/>
        <v/>
      </c>
      <c r="E68" s="18" t="str">
        <f>IF(C68="","",固定信息!$B$2)</f>
        <v/>
      </c>
      <c r="F68" s="18" t="str">
        <f t="array" ref="F68">IF(C68="","","【"&amp;C68&amp;"】"&amp;_xlfn.XLOOKUP(A68&amp;B68&amp;C68,盘货信息!$A:$A&amp;盘货信息!$B:$B&amp;盘货信息!$C:$C,盘货信息!$D:$D))</f>
        <v/>
      </c>
      <c r="G68" s="18" t="str">
        <f>IF(C68="","","【"&amp;"活动时间："&amp;固定信息!$B$3&amp;"】")</f>
        <v/>
      </c>
      <c r="H68" s="18" t="str">
        <f>IF($C68="","",固定信息!$B$1)</f>
        <v/>
      </c>
      <c r="I68" s="18"/>
      <c r="J68" s="18" t="str">
        <f t="array" ref="J68">_xlfn.XLOOKUP(A68&amp;B68&amp;C68,价格信息!$A:$A&amp;价格信息!$B:$B&amp;价格信息!$C:$C,价格信息!$D:$D)</f>
        <v/>
      </c>
      <c r="K68" s="31" t="str">
        <f t="array" ref="K68">IF(_xlfn.XLOOKUP(A68&amp;B68&amp;C68,价格信息!$A:$A&amp;价格信息!$B:$B&amp;价格信息!$C:$C,价格信息!$I:$I)="","","【优惠券链接】"&amp;固定信息!$B$6)</f>
        <v/>
      </c>
      <c r="L68" s="31" t="str">
        <f>IF($C68="","",固定信息!$B$1)</f>
        <v/>
      </c>
      <c r="M68" s="18" t="str">
        <f t="array" ref="M68">IF(_xlfn.XLOOKUP(A68&amp;B68&amp;C68,盘货信息!$A:$A&amp;盘货信息!$B:$B&amp;盘货信息!$C:$C,盘货信息!$O:$O)="","","【优惠券】领"&amp;INDEX(_wpsfn.REGEXP(_xlfn.XLOOKUP(A68&amp;B68&amp;C68,盘货信息!$A:$A&amp;盘货信息!$B:$B&amp;盘货信息!$C:$C,盘货信息!$O:$O),"\d+"),1,1)&amp;"元优惠券下单更优惠，优惠卷："&amp;_xlfn.XLOOKUP(A68&amp;B68&amp;C68,盘货信息!$A:$A&amp;盘货信息!$B:$B&amp;盘货信息!$C:$C,盘货信息!$P:$P))</f>
        <v/>
      </c>
      <c r="N68" s="18" t="str">
        <f t="array" ref="N68">IF(AND(ISNUMBER(_xlfn.XLOOKUP(A68&amp;B68&amp;C68,盘货信息!$A:$A&amp;盘货信息!$B:$B&amp;盘货信息!$C:$C,盘货信息!$I:$I)),_xlfn.XLOOKUP(A68&amp;B68&amp;C68,盘货信息!$A:$A&amp;盘货信息!$B:$B&amp;盘货信息!$C:$C,盘货信息!$I:$I)&gt;1),"【88VIP】立减"&amp;_xlfn.XLOOKUP(A68&amp;B68&amp;C68,盘货信息!$A:$A&amp;盘货信息!$B:$B&amp;盘货信息!$C:$C,盘货信息!$I:$I)&amp;"元","")</f>
        <v/>
      </c>
      <c r="O68" s="18" t="str">
        <f t="array" ref="O68">IF(_xlfn.XLOOKUP(A68&amp;B68&amp;C68,盘货信息!$A:$A&amp;盘货信息!$B:$B&amp;盘货信息!$C:$C,盘货信息!$K:$K)="","",IF(AND(_xlfn.XLOOKUP(A68&amp;B68&amp;C68,盘货信息!$A:$A&amp;盘货信息!$B:$B&amp;盘货信息!$C:$C,盘货信息!$G:$G)="不参加",_xlfn.XLOOKUP(A68&amp;B68&amp;C68,盘货信息!$A:$A&amp;盘货信息!$B:$B&amp;盘货信息!$C:$C,盘货信息!$H:$H)=""),"【以旧换新】"&amp;_xlfn.XLOOKUP(A68&amp;B68&amp;C68,盘货信息!$A:$A&amp;盘货信息!$B:$B&amp;盘货信息!$C:$C,盘货信息!$K:$K)&amp;"元以旧换新补贴（可无旧机换新）",""))</f>
        <v/>
      </c>
      <c r="P68" s="18" t="str">
        <f t="array" ref="P68">_xlfn.XLOOKUP(A68&amp;B68&amp;C68,赠品!$A:$A&amp;赠品!$B:$B&amp;赠品!$C:$C,赠品!$D:$D)</f>
        <v/>
      </c>
      <c r="Q68" s="18" t="str">
        <f>IF($C68="","",IF(AND(M68="",N68="",P68=""),"",固定信息!$B$1))</f>
        <v/>
      </c>
      <c r="R68" s="18" t="str">
        <f t="array" ref="R68">IF(ISNUMBER(SEARCH("是",_xlfn.XLOOKUP(A68&amp;B68&amp;C68,盘货信息!$A:$A&amp;盘货信息!$B:$B&amp;盘货信息!$C:$C,盘货信息!$U:$U))),"【折扣】指定型号满2类享96折，满3类享94折","")</f>
        <v/>
      </c>
      <c r="S68" s="18" t="str">
        <f t="array" ref="S68">IF(_xlfn.XLOOKUP(A68&amp;B68&amp;C68,盘货信息!$A:$A&amp;盘货信息!$B:$B&amp;盘货信息!$C:$C,盘货信息!$Q:$Q)&lt;1,"","【红包】活动时间购机送"&amp;_xlfn.TEXTJOIN("",,IF(ISNUMBER(--MID(_xlfn.XLOOKUP(A68&amp;B68&amp;C68,盘货信息!$A:$A&amp;盘货信息!$B:$B&amp;盘货信息!$C:$C,盘货信息!$Q:$Q),_xlfn.SEQUENCE(LEN(_xlfn.XLOOKUP(A68&amp;B68&amp;C68,盘货信息!$A:$A&amp;盘货信息!$B:$B&amp;盘货信息!$C:$C,盘货信息!$Q:$Q))),1)),MID(_xlfn.XLOOKUP(A68&amp;B68&amp;C68,盘货信息!$A:$A&amp;盘货信息!$B:$B&amp;盘货信息!$C:$C,盘货信息!$Q:$Q),_xlfn.SEQUENCE(LEN(_xlfn.XLOOKUP(A68&amp;B68&amp;C68,盘货信息!$A:$A&amp;盘货信息!$B:$B&amp;盘货信息!$C:$C,盘货信息!$Q:$Q))),1),""))&amp;"元")</f>
        <v/>
      </c>
      <c r="T68" s="18" t="str">
        <f t="array" ref="T68">IF(ISNUMBER(SEARCH("是",_xlfn.XLOOKUP(A68&amp;B68&amp;C68,盘货信息!$A:$A&amp;盘货信息!$B:$B&amp;盘货信息!$C:$C,盘货信息!$T:$T))),"【瓜分】"&amp;固定信息!$B$7,"")</f>
        <v/>
      </c>
      <c r="U68" s="18" t="str">
        <f>IF($C68="","",IF(AND(R68="",S68="",T68=""),"",固定信息!$B$1))</f>
        <v/>
      </c>
      <c r="V68" s="18" t="str">
        <f t="array" ref="V68">IF(C68="","","【服务】"&amp;IF(_xlfn.XLOOKUP(A68&amp;B68&amp;C68,盘货信息!$A:$A&amp;盘货信息!$B:$B&amp;盘货信息!$C:$C,盘货信息!$V:$V)="","",_xlfn.XLOOKUP(A68&amp;B68&amp;C68,盘货信息!$A:$A&amp;盘货信息!$B:$B&amp;盘货信息!$C:$C,盘货信息!$V:$V)&amp;"免息,")&amp;IF(_xlfn.XLOOKUP(A68&amp;B68&amp;C68,盘货信息!$A:$A&amp;盘货信息!$B:$B&amp;盘货信息!$C:$C,盘货信息!$W:$W)="","",_xlfn.XLOOKUP(A68&amp;B68&amp;C68,盘货信息!$A:$A&amp;盘货信息!$B:$B&amp;盘货信息!$C:$C,盘货信息!$W:$W)&amp;"，")&amp;"送货入户，退换免运费")</f>
        <v/>
      </c>
    </row>
    <row r="69" customHeight="1" spans="1:22">
      <c r="A69" s="17" t="str">
        <f>IF(盘货信息!A69="","",盘货信息!A69)</f>
        <v/>
      </c>
      <c r="B69" s="20" t="str">
        <f>IF(盘货信息!B69="","",盘货信息!B69)</f>
        <v/>
      </c>
      <c r="C69" s="18" t="str">
        <f>IF(盘货信息!C69="","",盘货信息!C69)</f>
        <v/>
      </c>
      <c r="D69" s="18" t="str">
        <f ca="1" t="shared" si="1"/>
        <v/>
      </c>
      <c r="E69" s="18" t="str">
        <f>IF(C69="","",固定信息!$B$2)</f>
        <v/>
      </c>
      <c r="F69" s="18" t="str">
        <f t="array" ref="F69">IF(C69="","","【"&amp;C69&amp;"】"&amp;_xlfn.XLOOKUP(A69&amp;B69&amp;C69,盘货信息!$A:$A&amp;盘货信息!$B:$B&amp;盘货信息!$C:$C,盘货信息!$D:$D))</f>
        <v/>
      </c>
      <c r="G69" s="18" t="str">
        <f>IF(C69="","","【"&amp;"活动时间："&amp;固定信息!$B$3&amp;"】")</f>
        <v/>
      </c>
      <c r="H69" s="18" t="str">
        <f>IF($C69="","",固定信息!$B$1)</f>
        <v/>
      </c>
      <c r="I69" s="18"/>
      <c r="J69" s="18" t="str">
        <f t="array" ref="J69">_xlfn.XLOOKUP(A69&amp;B69&amp;C69,价格信息!$A:$A&amp;价格信息!$B:$B&amp;价格信息!$C:$C,价格信息!$D:$D)</f>
        <v/>
      </c>
      <c r="K69" s="31" t="str">
        <f t="array" ref="K69">IF(_xlfn.XLOOKUP(A69&amp;B69&amp;C69,价格信息!$A:$A&amp;价格信息!$B:$B&amp;价格信息!$C:$C,价格信息!$I:$I)="","","【优惠券链接】"&amp;固定信息!$B$6)</f>
        <v/>
      </c>
      <c r="L69" s="31" t="str">
        <f>IF($C69="","",固定信息!$B$1)</f>
        <v/>
      </c>
      <c r="M69" s="18" t="str">
        <f t="array" ref="M69">IF(_xlfn.XLOOKUP(A69&amp;B69&amp;C69,盘货信息!$A:$A&amp;盘货信息!$B:$B&amp;盘货信息!$C:$C,盘货信息!$O:$O)="","","【优惠券】领"&amp;INDEX(_wpsfn.REGEXP(_xlfn.XLOOKUP(A69&amp;B69&amp;C69,盘货信息!$A:$A&amp;盘货信息!$B:$B&amp;盘货信息!$C:$C,盘货信息!$O:$O),"\d+"),1,1)&amp;"元优惠券下单更优惠，优惠卷："&amp;_xlfn.XLOOKUP(A69&amp;B69&amp;C69,盘货信息!$A:$A&amp;盘货信息!$B:$B&amp;盘货信息!$C:$C,盘货信息!$P:$P))</f>
        <v/>
      </c>
      <c r="N69" s="18" t="str">
        <f t="array" ref="N69">IF(AND(ISNUMBER(_xlfn.XLOOKUP(A69&amp;B69&amp;C69,盘货信息!$A:$A&amp;盘货信息!$B:$B&amp;盘货信息!$C:$C,盘货信息!$I:$I)),_xlfn.XLOOKUP(A69&amp;B69&amp;C69,盘货信息!$A:$A&amp;盘货信息!$B:$B&amp;盘货信息!$C:$C,盘货信息!$I:$I)&gt;1),"【88VIP】立减"&amp;_xlfn.XLOOKUP(A69&amp;B69&amp;C69,盘货信息!$A:$A&amp;盘货信息!$B:$B&amp;盘货信息!$C:$C,盘货信息!$I:$I)&amp;"元","")</f>
        <v/>
      </c>
      <c r="O69" s="18" t="str">
        <f t="array" ref="O69">IF(_xlfn.XLOOKUP(A69&amp;B69&amp;C69,盘货信息!$A:$A&amp;盘货信息!$B:$B&amp;盘货信息!$C:$C,盘货信息!$K:$K)="","",IF(AND(_xlfn.XLOOKUP(A69&amp;B69&amp;C69,盘货信息!$A:$A&amp;盘货信息!$B:$B&amp;盘货信息!$C:$C,盘货信息!$G:$G)="不参加",_xlfn.XLOOKUP(A69&amp;B69&amp;C69,盘货信息!$A:$A&amp;盘货信息!$B:$B&amp;盘货信息!$C:$C,盘货信息!$H:$H)=""),"【以旧换新】"&amp;_xlfn.XLOOKUP(A69&amp;B69&amp;C69,盘货信息!$A:$A&amp;盘货信息!$B:$B&amp;盘货信息!$C:$C,盘货信息!$K:$K)&amp;"元以旧换新补贴（可无旧机换新）",""))</f>
        <v/>
      </c>
      <c r="P69" s="18" t="str">
        <f t="array" ref="P69">_xlfn.XLOOKUP(A69&amp;B69&amp;C69,赠品!$A:$A&amp;赠品!$B:$B&amp;赠品!$C:$C,赠品!$D:$D)</f>
        <v/>
      </c>
      <c r="Q69" s="18" t="str">
        <f>IF($C69="","",IF(AND(M69="",N69="",P69=""),"",固定信息!$B$1))</f>
        <v/>
      </c>
      <c r="R69" s="18" t="str">
        <f t="array" ref="R69">IF(ISNUMBER(SEARCH("是",_xlfn.XLOOKUP(A69&amp;B69&amp;C69,盘货信息!$A:$A&amp;盘货信息!$B:$B&amp;盘货信息!$C:$C,盘货信息!$U:$U))),"【折扣】指定型号满2类享96折，满3类享94折","")</f>
        <v/>
      </c>
      <c r="S69" s="18" t="str">
        <f t="array" ref="S69">IF(_xlfn.XLOOKUP(A69&amp;B69&amp;C69,盘货信息!$A:$A&amp;盘货信息!$B:$B&amp;盘货信息!$C:$C,盘货信息!$Q:$Q)&lt;1,"","【红包】活动时间购机送"&amp;_xlfn.TEXTJOIN("",,IF(ISNUMBER(--MID(_xlfn.XLOOKUP(A69&amp;B69&amp;C69,盘货信息!$A:$A&amp;盘货信息!$B:$B&amp;盘货信息!$C:$C,盘货信息!$Q:$Q),_xlfn.SEQUENCE(LEN(_xlfn.XLOOKUP(A69&amp;B69&amp;C69,盘货信息!$A:$A&amp;盘货信息!$B:$B&amp;盘货信息!$C:$C,盘货信息!$Q:$Q))),1)),MID(_xlfn.XLOOKUP(A69&amp;B69&amp;C69,盘货信息!$A:$A&amp;盘货信息!$B:$B&amp;盘货信息!$C:$C,盘货信息!$Q:$Q),_xlfn.SEQUENCE(LEN(_xlfn.XLOOKUP(A69&amp;B69&amp;C69,盘货信息!$A:$A&amp;盘货信息!$B:$B&amp;盘货信息!$C:$C,盘货信息!$Q:$Q))),1),""))&amp;"元")</f>
        <v/>
      </c>
      <c r="T69" s="18" t="str">
        <f t="array" ref="T69">IF(ISNUMBER(SEARCH("是",_xlfn.XLOOKUP(A69&amp;B69&amp;C69,盘货信息!$A:$A&amp;盘货信息!$B:$B&amp;盘货信息!$C:$C,盘货信息!$T:$T))),"【瓜分】"&amp;固定信息!$B$7,"")</f>
        <v/>
      </c>
      <c r="U69" s="18" t="str">
        <f>IF($C69="","",IF(AND(R69="",S69="",T69=""),"",固定信息!$B$1))</f>
        <v/>
      </c>
      <c r="V69" s="18" t="str">
        <f t="array" ref="V69">IF(C69="","","【服务】"&amp;IF(_xlfn.XLOOKUP(A69&amp;B69&amp;C69,盘货信息!$A:$A&amp;盘货信息!$B:$B&amp;盘货信息!$C:$C,盘货信息!$V:$V)="","",_xlfn.XLOOKUP(A69&amp;B69&amp;C69,盘货信息!$A:$A&amp;盘货信息!$B:$B&amp;盘货信息!$C:$C,盘货信息!$V:$V)&amp;"免息,")&amp;IF(_xlfn.XLOOKUP(A69&amp;B69&amp;C69,盘货信息!$A:$A&amp;盘货信息!$B:$B&amp;盘货信息!$C:$C,盘货信息!$W:$W)="","",_xlfn.XLOOKUP(A69&amp;B69&amp;C69,盘货信息!$A:$A&amp;盘货信息!$B:$B&amp;盘货信息!$C:$C,盘货信息!$W:$W)&amp;"，")&amp;"送货入户，退换免运费")</f>
        <v/>
      </c>
    </row>
    <row r="70" customHeight="1" spans="1:22">
      <c r="A70" s="17" t="str">
        <f>IF(盘货信息!A70="","",盘货信息!A70)</f>
        <v/>
      </c>
      <c r="B70" s="20" t="str">
        <f>IF(盘货信息!B70="","",盘货信息!B70)</f>
        <v/>
      </c>
      <c r="C70" s="18" t="str">
        <f>IF(盘货信息!C70="","",盘货信息!C70)</f>
        <v/>
      </c>
      <c r="D70" s="18" t="str">
        <f ca="1" t="shared" si="1"/>
        <v/>
      </c>
      <c r="E70" s="18" t="str">
        <f>IF(C70="","",固定信息!$B$2)</f>
        <v/>
      </c>
      <c r="F70" s="18" t="str">
        <f t="array" ref="F70">IF(C70="","","【"&amp;C70&amp;"】"&amp;_xlfn.XLOOKUP(A70&amp;B70&amp;C70,盘货信息!$A:$A&amp;盘货信息!$B:$B&amp;盘货信息!$C:$C,盘货信息!$D:$D))</f>
        <v/>
      </c>
      <c r="G70" s="18" t="str">
        <f>IF(C70="","","【"&amp;"活动时间："&amp;固定信息!$B$3&amp;"】")</f>
        <v/>
      </c>
      <c r="H70" s="18" t="str">
        <f>IF($C70="","",固定信息!$B$1)</f>
        <v/>
      </c>
      <c r="I70" s="18"/>
      <c r="J70" s="18" t="str">
        <f t="array" ref="J70">_xlfn.XLOOKUP(A70&amp;B70&amp;C70,价格信息!$A:$A&amp;价格信息!$B:$B&amp;价格信息!$C:$C,价格信息!$D:$D)</f>
        <v/>
      </c>
      <c r="K70" s="31" t="str">
        <f t="array" ref="K70">IF(_xlfn.XLOOKUP(A70&amp;B70&amp;C70,价格信息!$A:$A&amp;价格信息!$B:$B&amp;价格信息!$C:$C,价格信息!$I:$I)="","","【优惠券链接】"&amp;固定信息!$B$6)</f>
        <v/>
      </c>
      <c r="L70" s="31" t="str">
        <f>IF($C70="","",固定信息!$B$1)</f>
        <v/>
      </c>
      <c r="M70" s="18" t="str">
        <f t="array" ref="M70">IF(_xlfn.XLOOKUP(A70&amp;B70&amp;C70,盘货信息!$A:$A&amp;盘货信息!$B:$B&amp;盘货信息!$C:$C,盘货信息!$O:$O)="","","【优惠券】领"&amp;INDEX(_wpsfn.REGEXP(_xlfn.XLOOKUP(A70&amp;B70&amp;C70,盘货信息!$A:$A&amp;盘货信息!$B:$B&amp;盘货信息!$C:$C,盘货信息!$O:$O),"\d+"),1,1)&amp;"元优惠券下单更优惠，优惠卷："&amp;_xlfn.XLOOKUP(A70&amp;B70&amp;C70,盘货信息!$A:$A&amp;盘货信息!$B:$B&amp;盘货信息!$C:$C,盘货信息!$P:$P))</f>
        <v/>
      </c>
      <c r="N70" s="18" t="str">
        <f t="array" ref="N70">IF(AND(ISNUMBER(_xlfn.XLOOKUP(A70&amp;B70&amp;C70,盘货信息!$A:$A&amp;盘货信息!$B:$B&amp;盘货信息!$C:$C,盘货信息!$I:$I)),_xlfn.XLOOKUP(A70&amp;B70&amp;C70,盘货信息!$A:$A&amp;盘货信息!$B:$B&amp;盘货信息!$C:$C,盘货信息!$I:$I)&gt;1),"【88VIP】立减"&amp;_xlfn.XLOOKUP(A70&amp;B70&amp;C70,盘货信息!$A:$A&amp;盘货信息!$B:$B&amp;盘货信息!$C:$C,盘货信息!$I:$I)&amp;"元","")</f>
        <v/>
      </c>
      <c r="O70" s="18" t="str">
        <f t="array" ref="O70">IF(_xlfn.XLOOKUP(A70&amp;B70&amp;C70,盘货信息!$A:$A&amp;盘货信息!$B:$B&amp;盘货信息!$C:$C,盘货信息!$K:$K)="","",IF(AND(_xlfn.XLOOKUP(A70&amp;B70&amp;C70,盘货信息!$A:$A&amp;盘货信息!$B:$B&amp;盘货信息!$C:$C,盘货信息!$G:$G)="不参加",_xlfn.XLOOKUP(A70&amp;B70&amp;C70,盘货信息!$A:$A&amp;盘货信息!$B:$B&amp;盘货信息!$C:$C,盘货信息!$H:$H)=""),"【以旧换新】"&amp;_xlfn.XLOOKUP(A70&amp;B70&amp;C70,盘货信息!$A:$A&amp;盘货信息!$B:$B&amp;盘货信息!$C:$C,盘货信息!$K:$K)&amp;"元以旧换新补贴（可无旧机换新）",""))</f>
        <v/>
      </c>
      <c r="P70" s="18" t="str">
        <f t="array" ref="P70">_xlfn.XLOOKUP(A70&amp;B70&amp;C70,赠品!$A:$A&amp;赠品!$B:$B&amp;赠品!$C:$C,赠品!$D:$D)</f>
        <v/>
      </c>
      <c r="Q70" s="18" t="str">
        <f>IF($C70="","",IF(AND(M70="",N70="",P70=""),"",固定信息!$B$1))</f>
        <v/>
      </c>
      <c r="R70" s="18" t="str">
        <f t="array" ref="R70">IF(ISNUMBER(SEARCH("是",_xlfn.XLOOKUP(A70&amp;B70&amp;C70,盘货信息!$A:$A&amp;盘货信息!$B:$B&amp;盘货信息!$C:$C,盘货信息!$U:$U))),"【折扣】指定型号满2类享96折，满3类享94折","")</f>
        <v/>
      </c>
      <c r="S70" s="18" t="str">
        <f t="array" ref="S70">IF(_xlfn.XLOOKUP(A70&amp;B70&amp;C70,盘货信息!$A:$A&amp;盘货信息!$B:$B&amp;盘货信息!$C:$C,盘货信息!$Q:$Q)&lt;1,"","【红包】活动时间购机送"&amp;_xlfn.TEXTJOIN("",,IF(ISNUMBER(--MID(_xlfn.XLOOKUP(A70&amp;B70&amp;C70,盘货信息!$A:$A&amp;盘货信息!$B:$B&amp;盘货信息!$C:$C,盘货信息!$Q:$Q),_xlfn.SEQUENCE(LEN(_xlfn.XLOOKUP(A70&amp;B70&amp;C70,盘货信息!$A:$A&amp;盘货信息!$B:$B&amp;盘货信息!$C:$C,盘货信息!$Q:$Q))),1)),MID(_xlfn.XLOOKUP(A70&amp;B70&amp;C70,盘货信息!$A:$A&amp;盘货信息!$B:$B&amp;盘货信息!$C:$C,盘货信息!$Q:$Q),_xlfn.SEQUENCE(LEN(_xlfn.XLOOKUP(A70&amp;B70&amp;C70,盘货信息!$A:$A&amp;盘货信息!$B:$B&amp;盘货信息!$C:$C,盘货信息!$Q:$Q))),1),""))&amp;"元")</f>
        <v/>
      </c>
      <c r="T70" s="18" t="str">
        <f t="array" ref="T70">IF(ISNUMBER(SEARCH("是",_xlfn.XLOOKUP(A70&amp;B70&amp;C70,盘货信息!$A:$A&amp;盘货信息!$B:$B&amp;盘货信息!$C:$C,盘货信息!$T:$T))),"【瓜分】"&amp;固定信息!$B$7,"")</f>
        <v/>
      </c>
      <c r="U70" s="18" t="str">
        <f>IF($C70="","",IF(AND(R70="",S70="",T70=""),"",固定信息!$B$1))</f>
        <v/>
      </c>
      <c r="V70" s="18" t="str">
        <f t="array" ref="V70">IF(C70="","","【服务】"&amp;IF(_xlfn.XLOOKUP(A70&amp;B70&amp;C70,盘货信息!$A:$A&amp;盘货信息!$B:$B&amp;盘货信息!$C:$C,盘货信息!$V:$V)="","",_xlfn.XLOOKUP(A70&amp;B70&amp;C70,盘货信息!$A:$A&amp;盘货信息!$B:$B&amp;盘货信息!$C:$C,盘货信息!$V:$V)&amp;"免息,")&amp;IF(_xlfn.XLOOKUP(A70&amp;B70&amp;C70,盘货信息!$A:$A&amp;盘货信息!$B:$B&amp;盘货信息!$C:$C,盘货信息!$W:$W)="","",_xlfn.XLOOKUP(A70&amp;B70&amp;C70,盘货信息!$A:$A&amp;盘货信息!$B:$B&amp;盘货信息!$C:$C,盘货信息!$W:$W)&amp;"，")&amp;"送货入户，退换免运费")</f>
        <v/>
      </c>
    </row>
    <row r="71" customHeight="1" spans="1:22">
      <c r="A71" s="17" t="str">
        <f>IF(盘货信息!A71="","",盘货信息!A71)</f>
        <v/>
      </c>
      <c r="B71" s="20" t="str">
        <f>IF(盘货信息!B71="","",盘货信息!B71)</f>
        <v/>
      </c>
      <c r="C71" s="18" t="str">
        <f>IF(盘货信息!C71="","",盘货信息!C71)</f>
        <v/>
      </c>
      <c r="D71" s="18" t="str">
        <f ca="1" t="shared" si="1"/>
        <v/>
      </c>
      <c r="E71" s="18" t="str">
        <f>IF(C71="","",固定信息!$B$2)</f>
        <v/>
      </c>
      <c r="F71" s="18" t="str">
        <f t="array" ref="F71">IF(C71="","","【"&amp;C71&amp;"】"&amp;_xlfn.XLOOKUP(A71&amp;B71&amp;C71,盘货信息!$A:$A&amp;盘货信息!$B:$B&amp;盘货信息!$C:$C,盘货信息!$D:$D))</f>
        <v/>
      </c>
      <c r="G71" s="18" t="str">
        <f>IF(C71="","","【"&amp;"活动时间："&amp;固定信息!$B$3&amp;"】")</f>
        <v/>
      </c>
      <c r="H71" s="18" t="str">
        <f>IF($C71="","",固定信息!$B$1)</f>
        <v/>
      </c>
      <c r="I71" s="18"/>
      <c r="J71" s="18" t="str">
        <f t="array" ref="J71">_xlfn.XLOOKUP(A71&amp;B71&amp;C71,价格信息!$A:$A&amp;价格信息!$B:$B&amp;价格信息!$C:$C,价格信息!$D:$D)</f>
        <v/>
      </c>
      <c r="K71" s="31" t="str">
        <f t="array" ref="K71">IF(_xlfn.XLOOKUP(A71&amp;B71&amp;C71,价格信息!$A:$A&amp;价格信息!$B:$B&amp;价格信息!$C:$C,价格信息!$I:$I)="","","【优惠券链接】"&amp;固定信息!$B$6)</f>
        <v/>
      </c>
      <c r="L71" s="31" t="str">
        <f>IF($C71="","",固定信息!$B$1)</f>
        <v/>
      </c>
      <c r="M71" s="18" t="str">
        <f t="array" ref="M71">IF(_xlfn.XLOOKUP(A71&amp;B71&amp;C71,盘货信息!$A:$A&amp;盘货信息!$B:$B&amp;盘货信息!$C:$C,盘货信息!$O:$O)="","","【优惠券】领"&amp;INDEX(_wpsfn.REGEXP(_xlfn.XLOOKUP(A71&amp;B71&amp;C71,盘货信息!$A:$A&amp;盘货信息!$B:$B&amp;盘货信息!$C:$C,盘货信息!$O:$O),"\d+"),1,1)&amp;"元优惠券下单更优惠，优惠卷："&amp;_xlfn.XLOOKUP(A71&amp;B71&amp;C71,盘货信息!$A:$A&amp;盘货信息!$B:$B&amp;盘货信息!$C:$C,盘货信息!$P:$P))</f>
        <v/>
      </c>
      <c r="N71" s="18" t="str">
        <f t="array" ref="N71">IF(AND(ISNUMBER(_xlfn.XLOOKUP(A71&amp;B71&amp;C71,盘货信息!$A:$A&amp;盘货信息!$B:$B&amp;盘货信息!$C:$C,盘货信息!$I:$I)),_xlfn.XLOOKUP(A71&amp;B71&amp;C71,盘货信息!$A:$A&amp;盘货信息!$B:$B&amp;盘货信息!$C:$C,盘货信息!$I:$I)&gt;1),"【88VIP】立减"&amp;_xlfn.XLOOKUP(A71&amp;B71&amp;C71,盘货信息!$A:$A&amp;盘货信息!$B:$B&amp;盘货信息!$C:$C,盘货信息!$I:$I)&amp;"元","")</f>
        <v/>
      </c>
      <c r="O71" s="18" t="str">
        <f t="array" ref="O71">IF(_xlfn.XLOOKUP(A71&amp;B71&amp;C71,盘货信息!$A:$A&amp;盘货信息!$B:$B&amp;盘货信息!$C:$C,盘货信息!$K:$K)="","",IF(AND(_xlfn.XLOOKUP(A71&amp;B71&amp;C71,盘货信息!$A:$A&amp;盘货信息!$B:$B&amp;盘货信息!$C:$C,盘货信息!$G:$G)="不参加",_xlfn.XLOOKUP(A71&amp;B71&amp;C71,盘货信息!$A:$A&amp;盘货信息!$B:$B&amp;盘货信息!$C:$C,盘货信息!$H:$H)=""),"【以旧换新】"&amp;_xlfn.XLOOKUP(A71&amp;B71&amp;C71,盘货信息!$A:$A&amp;盘货信息!$B:$B&amp;盘货信息!$C:$C,盘货信息!$K:$K)&amp;"元以旧换新补贴（可无旧机换新）",""))</f>
        <v/>
      </c>
      <c r="P71" s="18" t="str">
        <f t="array" ref="P71">_xlfn.XLOOKUP(A71&amp;B71&amp;C71,赠品!$A:$A&amp;赠品!$B:$B&amp;赠品!$C:$C,赠品!$D:$D)</f>
        <v/>
      </c>
      <c r="Q71" s="18" t="str">
        <f>IF($C71="","",IF(AND(M71="",N71="",P71=""),"",固定信息!$B$1))</f>
        <v/>
      </c>
      <c r="R71" s="18" t="str">
        <f t="array" ref="R71">IF(ISNUMBER(SEARCH("是",_xlfn.XLOOKUP(A71&amp;B71&amp;C71,盘货信息!$A:$A&amp;盘货信息!$B:$B&amp;盘货信息!$C:$C,盘货信息!$U:$U))),"【折扣】指定型号满2类享96折，满3类享94折","")</f>
        <v/>
      </c>
      <c r="S71" s="18" t="str">
        <f t="array" ref="S71">IF(_xlfn.XLOOKUP(A71&amp;B71&amp;C71,盘货信息!$A:$A&amp;盘货信息!$B:$B&amp;盘货信息!$C:$C,盘货信息!$Q:$Q)&lt;1,"","【红包】活动时间购机送"&amp;_xlfn.TEXTJOIN("",,IF(ISNUMBER(--MID(_xlfn.XLOOKUP(A71&amp;B71&amp;C71,盘货信息!$A:$A&amp;盘货信息!$B:$B&amp;盘货信息!$C:$C,盘货信息!$Q:$Q),_xlfn.SEQUENCE(LEN(_xlfn.XLOOKUP(A71&amp;B71&amp;C71,盘货信息!$A:$A&amp;盘货信息!$B:$B&amp;盘货信息!$C:$C,盘货信息!$Q:$Q))),1)),MID(_xlfn.XLOOKUP(A71&amp;B71&amp;C71,盘货信息!$A:$A&amp;盘货信息!$B:$B&amp;盘货信息!$C:$C,盘货信息!$Q:$Q),_xlfn.SEQUENCE(LEN(_xlfn.XLOOKUP(A71&amp;B71&amp;C71,盘货信息!$A:$A&amp;盘货信息!$B:$B&amp;盘货信息!$C:$C,盘货信息!$Q:$Q))),1),""))&amp;"元")</f>
        <v/>
      </c>
      <c r="T71" s="18" t="str">
        <f t="array" ref="T71">IF(ISNUMBER(SEARCH("是",_xlfn.XLOOKUP(A71&amp;B71&amp;C71,盘货信息!$A:$A&amp;盘货信息!$B:$B&amp;盘货信息!$C:$C,盘货信息!$T:$T))),"【瓜分】"&amp;固定信息!$B$7,"")</f>
        <v/>
      </c>
      <c r="U71" s="18" t="str">
        <f>IF($C71="","",IF(AND(R71="",S71="",T71=""),"",固定信息!$B$1))</f>
        <v/>
      </c>
      <c r="V71" s="18" t="str">
        <f t="array" ref="V71">IF(C71="","","【服务】"&amp;IF(_xlfn.XLOOKUP(A71&amp;B71&amp;C71,盘货信息!$A:$A&amp;盘货信息!$B:$B&amp;盘货信息!$C:$C,盘货信息!$V:$V)="","",_xlfn.XLOOKUP(A71&amp;B71&amp;C71,盘货信息!$A:$A&amp;盘货信息!$B:$B&amp;盘货信息!$C:$C,盘货信息!$V:$V)&amp;"免息,")&amp;IF(_xlfn.XLOOKUP(A71&amp;B71&amp;C71,盘货信息!$A:$A&amp;盘货信息!$B:$B&amp;盘货信息!$C:$C,盘货信息!$W:$W)="","",_xlfn.XLOOKUP(A71&amp;B71&amp;C71,盘货信息!$A:$A&amp;盘货信息!$B:$B&amp;盘货信息!$C:$C,盘货信息!$W:$W)&amp;"，")&amp;"送货入户，退换免运费")</f>
        <v/>
      </c>
    </row>
    <row r="72" customHeight="1" spans="1:22">
      <c r="A72" s="17" t="str">
        <f>IF(盘货信息!A72="","",盘货信息!A72)</f>
        <v/>
      </c>
      <c r="B72" s="20" t="str">
        <f>IF(盘货信息!B72="","",盘货信息!B72)</f>
        <v/>
      </c>
      <c r="C72" s="18" t="str">
        <f>IF(盘货信息!C72="","",盘货信息!C72)</f>
        <v/>
      </c>
      <c r="D72" s="18" t="str">
        <f ca="1" t="shared" si="1"/>
        <v/>
      </c>
      <c r="E72" s="18" t="str">
        <f>IF(C72="","",固定信息!$B$2)</f>
        <v/>
      </c>
      <c r="F72" s="18" t="str">
        <f t="array" ref="F72">IF(C72="","","【"&amp;C72&amp;"】"&amp;_xlfn.XLOOKUP(A72&amp;B72&amp;C72,盘货信息!$A:$A&amp;盘货信息!$B:$B&amp;盘货信息!$C:$C,盘货信息!$D:$D))</f>
        <v/>
      </c>
      <c r="G72" s="18" t="str">
        <f>IF(C72="","","【"&amp;"活动时间："&amp;固定信息!$B$3&amp;"】")</f>
        <v/>
      </c>
      <c r="H72" s="18" t="str">
        <f>IF($C72="","",固定信息!$B$1)</f>
        <v/>
      </c>
      <c r="I72" s="18"/>
      <c r="J72" s="18" t="str">
        <f t="array" ref="J72">_xlfn.XLOOKUP(A72&amp;B72&amp;C72,价格信息!$A:$A&amp;价格信息!$B:$B&amp;价格信息!$C:$C,价格信息!$D:$D)</f>
        <v/>
      </c>
      <c r="K72" s="31" t="str">
        <f t="array" ref="K72">IF(_xlfn.XLOOKUP(A72&amp;B72&amp;C72,价格信息!$A:$A&amp;价格信息!$B:$B&amp;价格信息!$C:$C,价格信息!$I:$I)="","","【优惠券链接】"&amp;固定信息!$B$6)</f>
        <v/>
      </c>
      <c r="L72" s="31" t="str">
        <f>IF($C72="","",固定信息!$B$1)</f>
        <v/>
      </c>
      <c r="M72" s="18" t="str">
        <f t="array" ref="M72">IF(_xlfn.XLOOKUP(A72&amp;B72&amp;C72,盘货信息!$A:$A&amp;盘货信息!$B:$B&amp;盘货信息!$C:$C,盘货信息!$O:$O)="","","【优惠券】领"&amp;INDEX(_wpsfn.REGEXP(_xlfn.XLOOKUP(A72&amp;B72&amp;C72,盘货信息!$A:$A&amp;盘货信息!$B:$B&amp;盘货信息!$C:$C,盘货信息!$O:$O),"\d+"),1,1)&amp;"元优惠券下单更优惠，优惠卷："&amp;_xlfn.XLOOKUP(A72&amp;B72&amp;C72,盘货信息!$A:$A&amp;盘货信息!$B:$B&amp;盘货信息!$C:$C,盘货信息!$P:$P))</f>
        <v/>
      </c>
      <c r="N72" s="18" t="str">
        <f t="array" ref="N72">IF(AND(ISNUMBER(_xlfn.XLOOKUP(A72&amp;B72&amp;C72,盘货信息!$A:$A&amp;盘货信息!$B:$B&amp;盘货信息!$C:$C,盘货信息!$I:$I)),_xlfn.XLOOKUP(A72&amp;B72&amp;C72,盘货信息!$A:$A&amp;盘货信息!$B:$B&amp;盘货信息!$C:$C,盘货信息!$I:$I)&gt;1),"【88VIP】立减"&amp;_xlfn.XLOOKUP(A72&amp;B72&amp;C72,盘货信息!$A:$A&amp;盘货信息!$B:$B&amp;盘货信息!$C:$C,盘货信息!$I:$I)&amp;"元","")</f>
        <v/>
      </c>
      <c r="O72" s="18" t="str">
        <f t="array" ref="O72">IF(_xlfn.XLOOKUP(A72&amp;B72&amp;C72,盘货信息!$A:$A&amp;盘货信息!$B:$B&amp;盘货信息!$C:$C,盘货信息!$K:$K)="","",IF(AND(_xlfn.XLOOKUP(A72&amp;B72&amp;C72,盘货信息!$A:$A&amp;盘货信息!$B:$B&amp;盘货信息!$C:$C,盘货信息!$G:$G)="不参加",_xlfn.XLOOKUP(A72&amp;B72&amp;C72,盘货信息!$A:$A&amp;盘货信息!$B:$B&amp;盘货信息!$C:$C,盘货信息!$H:$H)=""),"【以旧换新】"&amp;_xlfn.XLOOKUP(A72&amp;B72&amp;C72,盘货信息!$A:$A&amp;盘货信息!$B:$B&amp;盘货信息!$C:$C,盘货信息!$K:$K)&amp;"元以旧换新补贴（可无旧机换新）",""))</f>
        <v/>
      </c>
      <c r="P72" s="18" t="str">
        <f t="array" ref="P72">_xlfn.XLOOKUP(A72&amp;B72&amp;C72,赠品!$A:$A&amp;赠品!$B:$B&amp;赠品!$C:$C,赠品!$D:$D)</f>
        <v/>
      </c>
      <c r="Q72" s="18" t="str">
        <f>IF($C72="","",IF(AND(M72="",N72="",P72=""),"",固定信息!$B$1))</f>
        <v/>
      </c>
      <c r="R72" s="18" t="str">
        <f t="array" ref="R72">IF(ISNUMBER(SEARCH("是",_xlfn.XLOOKUP(A72&amp;B72&amp;C72,盘货信息!$A:$A&amp;盘货信息!$B:$B&amp;盘货信息!$C:$C,盘货信息!$U:$U))),"【折扣】指定型号满2类享96折，满3类享94折","")</f>
        <v/>
      </c>
      <c r="S72" s="18" t="str">
        <f t="array" ref="S72">IF(_xlfn.XLOOKUP(A72&amp;B72&amp;C72,盘货信息!$A:$A&amp;盘货信息!$B:$B&amp;盘货信息!$C:$C,盘货信息!$Q:$Q)&lt;1,"","【红包】活动时间购机送"&amp;_xlfn.TEXTJOIN("",,IF(ISNUMBER(--MID(_xlfn.XLOOKUP(A72&amp;B72&amp;C72,盘货信息!$A:$A&amp;盘货信息!$B:$B&amp;盘货信息!$C:$C,盘货信息!$Q:$Q),_xlfn.SEQUENCE(LEN(_xlfn.XLOOKUP(A72&amp;B72&amp;C72,盘货信息!$A:$A&amp;盘货信息!$B:$B&amp;盘货信息!$C:$C,盘货信息!$Q:$Q))),1)),MID(_xlfn.XLOOKUP(A72&amp;B72&amp;C72,盘货信息!$A:$A&amp;盘货信息!$B:$B&amp;盘货信息!$C:$C,盘货信息!$Q:$Q),_xlfn.SEQUENCE(LEN(_xlfn.XLOOKUP(A72&amp;B72&amp;C72,盘货信息!$A:$A&amp;盘货信息!$B:$B&amp;盘货信息!$C:$C,盘货信息!$Q:$Q))),1),""))&amp;"元")</f>
        <v/>
      </c>
      <c r="T72" s="18" t="str">
        <f t="array" ref="T72">IF(ISNUMBER(SEARCH("是",_xlfn.XLOOKUP(A72&amp;B72&amp;C72,盘货信息!$A:$A&amp;盘货信息!$B:$B&amp;盘货信息!$C:$C,盘货信息!$T:$T))),"【瓜分】"&amp;固定信息!$B$7,"")</f>
        <v/>
      </c>
      <c r="U72" s="18" t="str">
        <f>IF($C72="","",IF(AND(R72="",S72="",T72=""),"",固定信息!$B$1))</f>
        <v/>
      </c>
      <c r="V72" s="18" t="str">
        <f t="array" ref="V72">IF(C72="","","【服务】"&amp;IF(_xlfn.XLOOKUP(A72&amp;B72&amp;C72,盘货信息!$A:$A&amp;盘货信息!$B:$B&amp;盘货信息!$C:$C,盘货信息!$V:$V)="","",_xlfn.XLOOKUP(A72&amp;B72&amp;C72,盘货信息!$A:$A&amp;盘货信息!$B:$B&amp;盘货信息!$C:$C,盘货信息!$V:$V)&amp;"免息,")&amp;IF(_xlfn.XLOOKUP(A72&amp;B72&amp;C72,盘货信息!$A:$A&amp;盘货信息!$B:$B&amp;盘货信息!$C:$C,盘货信息!$W:$W)="","",_xlfn.XLOOKUP(A72&amp;B72&amp;C72,盘货信息!$A:$A&amp;盘货信息!$B:$B&amp;盘货信息!$C:$C,盘货信息!$W:$W)&amp;"，")&amp;"送货入户，退换免运费")</f>
        <v/>
      </c>
    </row>
    <row r="73" customHeight="1" spans="1:22">
      <c r="A73" s="17" t="str">
        <f>IF(盘货信息!A73="","",盘货信息!A73)</f>
        <v/>
      </c>
      <c r="B73" s="20" t="str">
        <f>IF(盘货信息!B73="","",盘货信息!B73)</f>
        <v/>
      </c>
      <c r="C73" s="18" t="str">
        <f>IF(盘货信息!C73="","",盘货信息!C73)</f>
        <v/>
      </c>
      <c r="D73" s="18" t="str">
        <f ca="1" t="shared" si="1"/>
        <v/>
      </c>
      <c r="E73" s="18" t="str">
        <f>IF(C73="","",固定信息!$B$2)</f>
        <v/>
      </c>
      <c r="F73" s="18" t="str">
        <f t="array" ref="F73">IF(C73="","","【"&amp;C73&amp;"】"&amp;_xlfn.XLOOKUP(A73&amp;B73&amp;C73,盘货信息!$A:$A&amp;盘货信息!$B:$B&amp;盘货信息!$C:$C,盘货信息!$D:$D))</f>
        <v/>
      </c>
      <c r="G73" s="18" t="str">
        <f>IF(C73="","","【"&amp;"活动时间："&amp;固定信息!$B$3&amp;"】")</f>
        <v/>
      </c>
      <c r="H73" s="18" t="str">
        <f>IF($C73="","",固定信息!$B$1)</f>
        <v/>
      </c>
      <c r="I73" s="18"/>
      <c r="J73" s="18" t="str">
        <f t="array" ref="J73">_xlfn.XLOOKUP(A73&amp;B73&amp;C73,价格信息!$A:$A&amp;价格信息!$B:$B&amp;价格信息!$C:$C,价格信息!$D:$D)</f>
        <v/>
      </c>
      <c r="K73" s="31" t="str">
        <f t="array" ref="K73">IF(_xlfn.XLOOKUP(A73&amp;B73&amp;C73,价格信息!$A:$A&amp;价格信息!$B:$B&amp;价格信息!$C:$C,价格信息!$I:$I)="","","【优惠券链接】"&amp;固定信息!$B$6)</f>
        <v/>
      </c>
      <c r="L73" s="31" t="str">
        <f>IF($C73="","",固定信息!$B$1)</f>
        <v/>
      </c>
      <c r="M73" s="18" t="str">
        <f t="array" ref="M73">IF(_xlfn.XLOOKUP(A73&amp;B73&amp;C73,盘货信息!$A:$A&amp;盘货信息!$B:$B&amp;盘货信息!$C:$C,盘货信息!$O:$O)="","","【优惠券】领"&amp;INDEX(_wpsfn.REGEXP(_xlfn.XLOOKUP(A73&amp;B73&amp;C73,盘货信息!$A:$A&amp;盘货信息!$B:$B&amp;盘货信息!$C:$C,盘货信息!$O:$O),"\d+"),1,1)&amp;"元优惠券下单更优惠，优惠卷："&amp;_xlfn.XLOOKUP(A73&amp;B73&amp;C73,盘货信息!$A:$A&amp;盘货信息!$B:$B&amp;盘货信息!$C:$C,盘货信息!$P:$P))</f>
        <v/>
      </c>
      <c r="N73" s="18" t="str">
        <f t="array" ref="N73">IF(AND(ISNUMBER(_xlfn.XLOOKUP(A73&amp;B73&amp;C73,盘货信息!$A:$A&amp;盘货信息!$B:$B&amp;盘货信息!$C:$C,盘货信息!$I:$I)),_xlfn.XLOOKUP(A73&amp;B73&amp;C73,盘货信息!$A:$A&amp;盘货信息!$B:$B&amp;盘货信息!$C:$C,盘货信息!$I:$I)&gt;1),"【88VIP】立减"&amp;_xlfn.XLOOKUP(A73&amp;B73&amp;C73,盘货信息!$A:$A&amp;盘货信息!$B:$B&amp;盘货信息!$C:$C,盘货信息!$I:$I)&amp;"元","")</f>
        <v/>
      </c>
      <c r="O73" s="18" t="str">
        <f t="array" ref="O73">IF(_xlfn.XLOOKUP(A73&amp;B73&amp;C73,盘货信息!$A:$A&amp;盘货信息!$B:$B&amp;盘货信息!$C:$C,盘货信息!$K:$K)="","",IF(AND(_xlfn.XLOOKUP(A73&amp;B73&amp;C73,盘货信息!$A:$A&amp;盘货信息!$B:$B&amp;盘货信息!$C:$C,盘货信息!$G:$G)="不参加",_xlfn.XLOOKUP(A73&amp;B73&amp;C73,盘货信息!$A:$A&amp;盘货信息!$B:$B&amp;盘货信息!$C:$C,盘货信息!$H:$H)=""),"【以旧换新】"&amp;_xlfn.XLOOKUP(A73&amp;B73&amp;C73,盘货信息!$A:$A&amp;盘货信息!$B:$B&amp;盘货信息!$C:$C,盘货信息!$K:$K)&amp;"元以旧换新补贴（可无旧机换新）",""))</f>
        <v/>
      </c>
      <c r="P73" s="18" t="str">
        <f t="array" ref="P73">_xlfn.XLOOKUP(A73&amp;B73&amp;C73,赠品!$A:$A&amp;赠品!$B:$B&amp;赠品!$C:$C,赠品!$D:$D)</f>
        <v/>
      </c>
      <c r="Q73" s="18" t="str">
        <f>IF($C73="","",IF(AND(M73="",N73="",P73=""),"",固定信息!$B$1))</f>
        <v/>
      </c>
      <c r="R73" s="18" t="str">
        <f t="array" ref="R73">IF(ISNUMBER(SEARCH("是",_xlfn.XLOOKUP(A73&amp;B73&amp;C73,盘货信息!$A:$A&amp;盘货信息!$B:$B&amp;盘货信息!$C:$C,盘货信息!$U:$U))),"【折扣】指定型号满2类享96折，满3类享94折","")</f>
        <v/>
      </c>
      <c r="S73" s="18" t="str">
        <f t="array" ref="S73">IF(_xlfn.XLOOKUP(A73&amp;B73&amp;C73,盘货信息!$A:$A&amp;盘货信息!$B:$B&amp;盘货信息!$C:$C,盘货信息!$Q:$Q)&lt;1,"","【红包】活动时间购机送"&amp;_xlfn.TEXTJOIN("",,IF(ISNUMBER(--MID(_xlfn.XLOOKUP(A73&amp;B73&amp;C73,盘货信息!$A:$A&amp;盘货信息!$B:$B&amp;盘货信息!$C:$C,盘货信息!$Q:$Q),_xlfn.SEQUENCE(LEN(_xlfn.XLOOKUP(A73&amp;B73&amp;C73,盘货信息!$A:$A&amp;盘货信息!$B:$B&amp;盘货信息!$C:$C,盘货信息!$Q:$Q))),1)),MID(_xlfn.XLOOKUP(A73&amp;B73&amp;C73,盘货信息!$A:$A&amp;盘货信息!$B:$B&amp;盘货信息!$C:$C,盘货信息!$Q:$Q),_xlfn.SEQUENCE(LEN(_xlfn.XLOOKUP(A73&amp;B73&amp;C73,盘货信息!$A:$A&amp;盘货信息!$B:$B&amp;盘货信息!$C:$C,盘货信息!$Q:$Q))),1),""))&amp;"元")</f>
        <v/>
      </c>
      <c r="T73" s="18" t="str">
        <f t="array" ref="T73">IF(ISNUMBER(SEARCH("是",_xlfn.XLOOKUP(A73&amp;B73&amp;C73,盘货信息!$A:$A&amp;盘货信息!$B:$B&amp;盘货信息!$C:$C,盘货信息!$T:$T))),"【瓜分】"&amp;固定信息!$B$7,"")</f>
        <v/>
      </c>
      <c r="U73" s="18" t="str">
        <f>IF($C73="","",IF(AND(R73="",S73="",T73=""),"",固定信息!$B$1))</f>
        <v/>
      </c>
      <c r="V73" s="18" t="str">
        <f t="array" ref="V73">IF(C73="","","【服务】"&amp;IF(_xlfn.XLOOKUP(A73&amp;B73&amp;C73,盘货信息!$A:$A&amp;盘货信息!$B:$B&amp;盘货信息!$C:$C,盘货信息!$V:$V)="","",_xlfn.XLOOKUP(A73&amp;B73&amp;C73,盘货信息!$A:$A&amp;盘货信息!$B:$B&amp;盘货信息!$C:$C,盘货信息!$V:$V)&amp;"免息,")&amp;IF(_xlfn.XLOOKUP(A73&amp;B73&amp;C73,盘货信息!$A:$A&amp;盘货信息!$B:$B&amp;盘货信息!$C:$C,盘货信息!$W:$W)="","",_xlfn.XLOOKUP(A73&amp;B73&amp;C73,盘货信息!$A:$A&amp;盘货信息!$B:$B&amp;盘货信息!$C:$C,盘货信息!$W:$W)&amp;"，")&amp;"送货入户，退换免运费")</f>
        <v/>
      </c>
    </row>
    <row r="74" customHeight="1" spans="1:22">
      <c r="A74" s="17" t="str">
        <f>IF(盘货信息!A74="","",盘货信息!A74)</f>
        <v/>
      </c>
      <c r="B74" s="20" t="str">
        <f>IF(盘货信息!B74="","",盘货信息!B74)</f>
        <v/>
      </c>
      <c r="C74" s="18" t="str">
        <f>IF(盘货信息!C74="","",盘货信息!C74)</f>
        <v/>
      </c>
      <c r="D74" s="18" t="str">
        <f ca="1" t="shared" si="1"/>
        <v/>
      </c>
      <c r="E74" s="18" t="str">
        <f>IF(C74="","",固定信息!$B$2)</f>
        <v/>
      </c>
      <c r="F74" s="18" t="str">
        <f t="array" ref="F74">IF(C74="","","【"&amp;C74&amp;"】"&amp;_xlfn.XLOOKUP(A74&amp;B74&amp;C74,盘货信息!$A:$A&amp;盘货信息!$B:$B&amp;盘货信息!$C:$C,盘货信息!$D:$D))</f>
        <v/>
      </c>
      <c r="G74" s="18" t="str">
        <f>IF(C74="","","【"&amp;"活动时间："&amp;固定信息!$B$3&amp;"】")</f>
        <v/>
      </c>
      <c r="H74" s="18" t="str">
        <f>IF($C74="","",固定信息!$B$1)</f>
        <v/>
      </c>
      <c r="I74" s="18"/>
      <c r="J74" s="18" t="str">
        <f t="array" ref="J74">_xlfn.XLOOKUP(A74&amp;B74&amp;C74,价格信息!$A:$A&amp;价格信息!$B:$B&amp;价格信息!$C:$C,价格信息!$D:$D)</f>
        <v/>
      </c>
      <c r="K74" s="31" t="str">
        <f t="array" ref="K74">IF(_xlfn.XLOOKUP(A74&amp;B74&amp;C74,价格信息!$A:$A&amp;价格信息!$B:$B&amp;价格信息!$C:$C,价格信息!$I:$I)="","","【优惠券链接】"&amp;固定信息!$B$6)</f>
        <v/>
      </c>
      <c r="L74" s="31" t="str">
        <f>IF($C74="","",固定信息!$B$1)</f>
        <v/>
      </c>
      <c r="M74" s="18" t="str">
        <f t="array" ref="M74">IF(_xlfn.XLOOKUP(A74&amp;B74&amp;C74,盘货信息!$A:$A&amp;盘货信息!$B:$B&amp;盘货信息!$C:$C,盘货信息!$O:$O)="","","【优惠券】领"&amp;INDEX(_wpsfn.REGEXP(_xlfn.XLOOKUP(A74&amp;B74&amp;C74,盘货信息!$A:$A&amp;盘货信息!$B:$B&amp;盘货信息!$C:$C,盘货信息!$O:$O),"\d+"),1,1)&amp;"元优惠券下单更优惠，优惠卷："&amp;_xlfn.XLOOKUP(A74&amp;B74&amp;C74,盘货信息!$A:$A&amp;盘货信息!$B:$B&amp;盘货信息!$C:$C,盘货信息!$P:$P))</f>
        <v/>
      </c>
      <c r="N74" s="18" t="str">
        <f t="array" ref="N74">IF(AND(ISNUMBER(_xlfn.XLOOKUP(A74&amp;B74&amp;C74,盘货信息!$A:$A&amp;盘货信息!$B:$B&amp;盘货信息!$C:$C,盘货信息!$I:$I)),_xlfn.XLOOKUP(A74&amp;B74&amp;C74,盘货信息!$A:$A&amp;盘货信息!$B:$B&amp;盘货信息!$C:$C,盘货信息!$I:$I)&gt;1),"【88VIP】立减"&amp;_xlfn.XLOOKUP(A74&amp;B74&amp;C74,盘货信息!$A:$A&amp;盘货信息!$B:$B&amp;盘货信息!$C:$C,盘货信息!$I:$I)&amp;"元","")</f>
        <v/>
      </c>
      <c r="O74" s="18" t="str">
        <f t="array" ref="O74">IF(_xlfn.XLOOKUP(A74&amp;B74&amp;C74,盘货信息!$A:$A&amp;盘货信息!$B:$B&amp;盘货信息!$C:$C,盘货信息!$K:$K)="","",IF(AND(_xlfn.XLOOKUP(A74&amp;B74&amp;C74,盘货信息!$A:$A&amp;盘货信息!$B:$B&amp;盘货信息!$C:$C,盘货信息!$G:$G)="不参加",_xlfn.XLOOKUP(A74&amp;B74&amp;C74,盘货信息!$A:$A&amp;盘货信息!$B:$B&amp;盘货信息!$C:$C,盘货信息!$H:$H)=""),"【以旧换新】"&amp;_xlfn.XLOOKUP(A74&amp;B74&amp;C74,盘货信息!$A:$A&amp;盘货信息!$B:$B&amp;盘货信息!$C:$C,盘货信息!$K:$K)&amp;"元以旧换新补贴（可无旧机换新）",""))</f>
        <v/>
      </c>
      <c r="P74" s="18" t="str">
        <f t="array" ref="P74">_xlfn.XLOOKUP(A74&amp;B74&amp;C74,赠品!$A:$A&amp;赠品!$B:$B&amp;赠品!$C:$C,赠品!$D:$D)</f>
        <v/>
      </c>
      <c r="Q74" s="18" t="str">
        <f>IF($C74="","",IF(AND(M74="",N74="",P74=""),"",固定信息!$B$1))</f>
        <v/>
      </c>
      <c r="R74" s="18" t="str">
        <f t="array" ref="R74">IF(ISNUMBER(SEARCH("是",_xlfn.XLOOKUP(A74&amp;B74&amp;C74,盘货信息!$A:$A&amp;盘货信息!$B:$B&amp;盘货信息!$C:$C,盘货信息!$U:$U))),"【折扣】指定型号满2类享96折，满3类享94折","")</f>
        <v/>
      </c>
      <c r="S74" s="18" t="str">
        <f t="array" ref="S74">IF(_xlfn.XLOOKUP(A74&amp;B74&amp;C74,盘货信息!$A:$A&amp;盘货信息!$B:$B&amp;盘货信息!$C:$C,盘货信息!$Q:$Q)&lt;1,"","【红包】活动时间购机送"&amp;_xlfn.TEXTJOIN("",,IF(ISNUMBER(--MID(_xlfn.XLOOKUP(A74&amp;B74&amp;C74,盘货信息!$A:$A&amp;盘货信息!$B:$B&amp;盘货信息!$C:$C,盘货信息!$Q:$Q),_xlfn.SEQUENCE(LEN(_xlfn.XLOOKUP(A74&amp;B74&amp;C74,盘货信息!$A:$A&amp;盘货信息!$B:$B&amp;盘货信息!$C:$C,盘货信息!$Q:$Q))),1)),MID(_xlfn.XLOOKUP(A74&amp;B74&amp;C74,盘货信息!$A:$A&amp;盘货信息!$B:$B&amp;盘货信息!$C:$C,盘货信息!$Q:$Q),_xlfn.SEQUENCE(LEN(_xlfn.XLOOKUP(A74&amp;B74&amp;C74,盘货信息!$A:$A&amp;盘货信息!$B:$B&amp;盘货信息!$C:$C,盘货信息!$Q:$Q))),1),""))&amp;"元")</f>
        <v/>
      </c>
      <c r="T74" s="18" t="str">
        <f t="array" ref="T74">IF(ISNUMBER(SEARCH("是",_xlfn.XLOOKUP(A74&amp;B74&amp;C74,盘货信息!$A:$A&amp;盘货信息!$B:$B&amp;盘货信息!$C:$C,盘货信息!$T:$T))),"【瓜分】"&amp;固定信息!$B$7,"")</f>
        <v/>
      </c>
      <c r="U74" s="18" t="str">
        <f>IF($C74="","",IF(AND(R74="",S74="",T74=""),"",固定信息!$B$1))</f>
        <v/>
      </c>
      <c r="V74" s="18" t="str">
        <f t="array" ref="V74">IF(C74="","","【服务】"&amp;IF(_xlfn.XLOOKUP(A74&amp;B74&amp;C74,盘货信息!$A:$A&amp;盘货信息!$B:$B&amp;盘货信息!$C:$C,盘货信息!$V:$V)="","",_xlfn.XLOOKUP(A74&amp;B74&amp;C74,盘货信息!$A:$A&amp;盘货信息!$B:$B&amp;盘货信息!$C:$C,盘货信息!$V:$V)&amp;"免息,")&amp;IF(_xlfn.XLOOKUP(A74&amp;B74&amp;C74,盘货信息!$A:$A&amp;盘货信息!$B:$B&amp;盘货信息!$C:$C,盘货信息!$W:$W)="","",_xlfn.XLOOKUP(A74&amp;B74&amp;C74,盘货信息!$A:$A&amp;盘货信息!$B:$B&amp;盘货信息!$C:$C,盘货信息!$W:$W)&amp;"，")&amp;"送货入户，退换免运费")</f>
        <v/>
      </c>
    </row>
    <row r="75" customHeight="1" spans="1:22">
      <c r="A75" s="17" t="str">
        <f>IF(盘货信息!A75="","",盘货信息!A75)</f>
        <v/>
      </c>
      <c r="B75" s="20" t="str">
        <f>IF(盘货信息!B75="","",盘货信息!B75)</f>
        <v/>
      </c>
      <c r="C75" s="18" t="str">
        <f>IF(盘货信息!C75="","",盘货信息!C75)</f>
        <v/>
      </c>
      <c r="D75" s="18" t="str">
        <f ca="1" t="shared" si="1"/>
        <v/>
      </c>
      <c r="E75" s="18" t="str">
        <f>IF(C75="","",固定信息!$B$2)</f>
        <v/>
      </c>
      <c r="F75" s="18" t="str">
        <f t="array" ref="F75">IF(C75="","","【"&amp;C75&amp;"】"&amp;_xlfn.XLOOKUP(A75&amp;B75&amp;C75,盘货信息!$A:$A&amp;盘货信息!$B:$B&amp;盘货信息!$C:$C,盘货信息!$D:$D))</f>
        <v/>
      </c>
      <c r="G75" s="18" t="str">
        <f>IF(C75="","","【"&amp;"活动时间："&amp;固定信息!$B$3&amp;"】")</f>
        <v/>
      </c>
      <c r="H75" s="18" t="str">
        <f>IF($C75="","",固定信息!$B$1)</f>
        <v/>
      </c>
      <c r="I75" s="18"/>
      <c r="J75" s="18" t="str">
        <f t="array" ref="J75">_xlfn.XLOOKUP(A75&amp;B75&amp;C75,价格信息!$A:$A&amp;价格信息!$B:$B&amp;价格信息!$C:$C,价格信息!$D:$D)</f>
        <v/>
      </c>
      <c r="K75" s="31" t="str">
        <f t="array" ref="K75">IF(_xlfn.XLOOKUP(A75&amp;B75&amp;C75,价格信息!$A:$A&amp;价格信息!$B:$B&amp;价格信息!$C:$C,价格信息!$I:$I)="","","【优惠券链接】"&amp;固定信息!$B$6)</f>
        <v/>
      </c>
      <c r="L75" s="31" t="str">
        <f>IF($C75="","",固定信息!$B$1)</f>
        <v/>
      </c>
      <c r="M75" s="18" t="str">
        <f t="array" ref="M75">IF(_xlfn.XLOOKUP(A75&amp;B75&amp;C75,盘货信息!$A:$A&amp;盘货信息!$B:$B&amp;盘货信息!$C:$C,盘货信息!$O:$O)="","","【优惠券】领"&amp;INDEX(_wpsfn.REGEXP(_xlfn.XLOOKUP(A75&amp;B75&amp;C75,盘货信息!$A:$A&amp;盘货信息!$B:$B&amp;盘货信息!$C:$C,盘货信息!$O:$O),"\d+"),1,1)&amp;"元优惠券下单更优惠，优惠卷："&amp;_xlfn.XLOOKUP(A75&amp;B75&amp;C75,盘货信息!$A:$A&amp;盘货信息!$B:$B&amp;盘货信息!$C:$C,盘货信息!$P:$P))</f>
        <v/>
      </c>
      <c r="N75" s="18" t="str">
        <f t="array" ref="N75">IF(AND(ISNUMBER(_xlfn.XLOOKUP(A75&amp;B75&amp;C75,盘货信息!$A:$A&amp;盘货信息!$B:$B&amp;盘货信息!$C:$C,盘货信息!$I:$I)),_xlfn.XLOOKUP(A75&amp;B75&amp;C75,盘货信息!$A:$A&amp;盘货信息!$B:$B&amp;盘货信息!$C:$C,盘货信息!$I:$I)&gt;1),"【88VIP】立减"&amp;_xlfn.XLOOKUP(A75&amp;B75&amp;C75,盘货信息!$A:$A&amp;盘货信息!$B:$B&amp;盘货信息!$C:$C,盘货信息!$I:$I)&amp;"元","")</f>
        <v/>
      </c>
      <c r="O75" s="18" t="str">
        <f t="array" ref="O75">IF(_xlfn.XLOOKUP(A75&amp;B75&amp;C75,盘货信息!$A:$A&amp;盘货信息!$B:$B&amp;盘货信息!$C:$C,盘货信息!$K:$K)="","",IF(AND(_xlfn.XLOOKUP(A75&amp;B75&amp;C75,盘货信息!$A:$A&amp;盘货信息!$B:$B&amp;盘货信息!$C:$C,盘货信息!$G:$G)="不参加",_xlfn.XLOOKUP(A75&amp;B75&amp;C75,盘货信息!$A:$A&amp;盘货信息!$B:$B&amp;盘货信息!$C:$C,盘货信息!$H:$H)=""),"【以旧换新】"&amp;_xlfn.XLOOKUP(A75&amp;B75&amp;C75,盘货信息!$A:$A&amp;盘货信息!$B:$B&amp;盘货信息!$C:$C,盘货信息!$K:$K)&amp;"元以旧换新补贴（可无旧机换新）",""))</f>
        <v/>
      </c>
      <c r="P75" s="18" t="str">
        <f t="array" ref="P75">_xlfn.XLOOKUP(A75&amp;B75&amp;C75,赠品!$A:$A&amp;赠品!$B:$B&amp;赠品!$C:$C,赠品!$D:$D)</f>
        <v/>
      </c>
      <c r="Q75" s="18" t="str">
        <f>IF($C75="","",IF(AND(M75="",N75="",P75=""),"",固定信息!$B$1))</f>
        <v/>
      </c>
      <c r="R75" s="18" t="str">
        <f t="array" ref="R75">IF(ISNUMBER(SEARCH("是",_xlfn.XLOOKUP(A75&amp;B75&amp;C75,盘货信息!$A:$A&amp;盘货信息!$B:$B&amp;盘货信息!$C:$C,盘货信息!$U:$U))),"【折扣】指定型号满2类享96折，满3类享94折","")</f>
        <v/>
      </c>
      <c r="S75" s="18" t="str">
        <f t="array" ref="S75">IF(_xlfn.XLOOKUP(A75&amp;B75&amp;C75,盘货信息!$A:$A&amp;盘货信息!$B:$B&amp;盘货信息!$C:$C,盘货信息!$Q:$Q)&lt;1,"","【红包】活动时间购机送"&amp;_xlfn.TEXTJOIN("",,IF(ISNUMBER(--MID(_xlfn.XLOOKUP(A75&amp;B75&amp;C75,盘货信息!$A:$A&amp;盘货信息!$B:$B&amp;盘货信息!$C:$C,盘货信息!$Q:$Q),_xlfn.SEQUENCE(LEN(_xlfn.XLOOKUP(A75&amp;B75&amp;C75,盘货信息!$A:$A&amp;盘货信息!$B:$B&amp;盘货信息!$C:$C,盘货信息!$Q:$Q))),1)),MID(_xlfn.XLOOKUP(A75&amp;B75&amp;C75,盘货信息!$A:$A&amp;盘货信息!$B:$B&amp;盘货信息!$C:$C,盘货信息!$Q:$Q),_xlfn.SEQUENCE(LEN(_xlfn.XLOOKUP(A75&amp;B75&amp;C75,盘货信息!$A:$A&amp;盘货信息!$B:$B&amp;盘货信息!$C:$C,盘货信息!$Q:$Q))),1),""))&amp;"元")</f>
        <v/>
      </c>
      <c r="T75" s="18" t="str">
        <f t="array" ref="T75">IF(ISNUMBER(SEARCH("是",_xlfn.XLOOKUP(A75&amp;B75&amp;C75,盘货信息!$A:$A&amp;盘货信息!$B:$B&amp;盘货信息!$C:$C,盘货信息!$T:$T))),"【瓜分】"&amp;固定信息!$B$7,"")</f>
        <v/>
      </c>
      <c r="U75" s="18" t="str">
        <f>IF($C75="","",IF(AND(R75="",S75="",T75=""),"",固定信息!$B$1))</f>
        <v/>
      </c>
      <c r="V75" s="18" t="str">
        <f t="array" ref="V75">IF(C75="","","【服务】"&amp;IF(_xlfn.XLOOKUP(A75&amp;B75&amp;C75,盘货信息!$A:$A&amp;盘货信息!$B:$B&amp;盘货信息!$C:$C,盘货信息!$V:$V)="","",_xlfn.XLOOKUP(A75&amp;B75&amp;C75,盘货信息!$A:$A&amp;盘货信息!$B:$B&amp;盘货信息!$C:$C,盘货信息!$V:$V)&amp;"免息,")&amp;IF(_xlfn.XLOOKUP(A75&amp;B75&amp;C75,盘货信息!$A:$A&amp;盘货信息!$B:$B&amp;盘货信息!$C:$C,盘货信息!$W:$W)="","",_xlfn.XLOOKUP(A75&amp;B75&amp;C75,盘货信息!$A:$A&amp;盘货信息!$B:$B&amp;盘货信息!$C:$C,盘货信息!$W:$W)&amp;"，")&amp;"送货入户，退换免运费")</f>
        <v/>
      </c>
    </row>
    <row r="76" customHeight="1" spans="1:22">
      <c r="A76" s="17" t="str">
        <f>IF(盘货信息!A76="","",盘货信息!A76)</f>
        <v/>
      </c>
      <c r="B76" s="20" t="str">
        <f>IF(盘货信息!B76="","",盘货信息!B76)</f>
        <v/>
      </c>
      <c r="C76" s="18" t="str">
        <f>IF(盘货信息!C76="","",盘货信息!C76)</f>
        <v/>
      </c>
      <c r="D76" s="18" t="str">
        <f ca="1" t="shared" si="1"/>
        <v/>
      </c>
      <c r="E76" s="18" t="str">
        <f>IF(C76="","",固定信息!$B$2)</f>
        <v/>
      </c>
      <c r="F76" s="18" t="str">
        <f t="array" ref="F76">IF(C76="","","【"&amp;C76&amp;"】"&amp;_xlfn.XLOOKUP(A76&amp;B76&amp;C76,盘货信息!$A:$A&amp;盘货信息!$B:$B&amp;盘货信息!$C:$C,盘货信息!$D:$D))</f>
        <v/>
      </c>
      <c r="G76" s="18" t="str">
        <f>IF(C76="","","【"&amp;"活动时间："&amp;固定信息!$B$3&amp;"】")</f>
        <v/>
      </c>
      <c r="H76" s="18" t="str">
        <f>IF($C76="","",固定信息!$B$1)</f>
        <v/>
      </c>
      <c r="I76" s="18"/>
      <c r="J76" s="18" t="str">
        <f t="array" ref="J76">_xlfn.XLOOKUP(A76&amp;B76&amp;C76,价格信息!$A:$A&amp;价格信息!$B:$B&amp;价格信息!$C:$C,价格信息!$D:$D)</f>
        <v/>
      </c>
      <c r="K76" s="31" t="str">
        <f t="array" ref="K76">IF(_xlfn.XLOOKUP(A76&amp;B76&amp;C76,价格信息!$A:$A&amp;价格信息!$B:$B&amp;价格信息!$C:$C,价格信息!$I:$I)="","","【优惠券链接】"&amp;固定信息!$B$6)</f>
        <v/>
      </c>
      <c r="L76" s="31" t="str">
        <f>IF($C76="","",固定信息!$B$1)</f>
        <v/>
      </c>
      <c r="M76" s="18" t="str">
        <f t="array" ref="M76">IF(_xlfn.XLOOKUP(A76&amp;B76&amp;C76,盘货信息!$A:$A&amp;盘货信息!$B:$B&amp;盘货信息!$C:$C,盘货信息!$O:$O)="","","【优惠券】领"&amp;INDEX(_wpsfn.REGEXP(_xlfn.XLOOKUP(A76&amp;B76&amp;C76,盘货信息!$A:$A&amp;盘货信息!$B:$B&amp;盘货信息!$C:$C,盘货信息!$O:$O),"\d+"),1,1)&amp;"元优惠券下单更优惠，优惠卷："&amp;_xlfn.XLOOKUP(A76&amp;B76&amp;C76,盘货信息!$A:$A&amp;盘货信息!$B:$B&amp;盘货信息!$C:$C,盘货信息!$P:$P))</f>
        <v/>
      </c>
      <c r="N76" s="18" t="str">
        <f t="array" ref="N76">IF(AND(ISNUMBER(_xlfn.XLOOKUP(A76&amp;B76&amp;C76,盘货信息!$A:$A&amp;盘货信息!$B:$B&amp;盘货信息!$C:$C,盘货信息!$I:$I)),_xlfn.XLOOKUP(A76&amp;B76&amp;C76,盘货信息!$A:$A&amp;盘货信息!$B:$B&amp;盘货信息!$C:$C,盘货信息!$I:$I)&gt;1),"【88VIP】立减"&amp;_xlfn.XLOOKUP(A76&amp;B76&amp;C76,盘货信息!$A:$A&amp;盘货信息!$B:$B&amp;盘货信息!$C:$C,盘货信息!$I:$I)&amp;"元","")</f>
        <v/>
      </c>
      <c r="O76" s="18" t="str">
        <f t="array" ref="O76">IF(_xlfn.XLOOKUP(A76&amp;B76&amp;C76,盘货信息!$A:$A&amp;盘货信息!$B:$B&amp;盘货信息!$C:$C,盘货信息!$K:$K)="","",IF(AND(_xlfn.XLOOKUP(A76&amp;B76&amp;C76,盘货信息!$A:$A&amp;盘货信息!$B:$B&amp;盘货信息!$C:$C,盘货信息!$G:$G)="不参加",_xlfn.XLOOKUP(A76&amp;B76&amp;C76,盘货信息!$A:$A&amp;盘货信息!$B:$B&amp;盘货信息!$C:$C,盘货信息!$H:$H)=""),"【以旧换新】"&amp;_xlfn.XLOOKUP(A76&amp;B76&amp;C76,盘货信息!$A:$A&amp;盘货信息!$B:$B&amp;盘货信息!$C:$C,盘货信息!$K:$K)&amp;"元以旧换新补贴（可无旧机换新）",""))</f>
        <v/>
      </c>
      <c r="P76" s="18" t="str">
        <f t="array" ref="P76">_xlfn.XLOOKUP(A76&amp;B76&amp;C76,赠品!$A:$A&amp;赠品!$B:$B&amp;赠品!$C:$C,赠品!$D:$D)</f>
        <v/>
      </c>
      <c r="Q76" s="18" t="str">
        <f>IF($C76="","",IF(AND(M76="",N76="",P76=""),"",固定信息!$B$1))</f>
        <v/>
      </c>
      <c r="R76" s="18" t="str">
        <f t="array" ref="R76">IF(ISNUMBER(SEARCH("是",_xlfn.XLOOKUP(A76&amp;B76&amp;C76,盘货信息!$A:$A&amp;盘货信息!$B:$B&amp;盘货信息!$C:$C,盘货信息!$U:$U))),"【折扣】指定型号满2类享96折，满3类享94折","")</f>
        <v/>
      </c>
      <c r="S76" s="18" t="str">
        <f t="array" ref="S76">IF(_xlfn.XLOOKUP(A76&amp;B76&amp;C76,盘货信息!$A:$A&amp;盘货信息!$B:$B&amp;盘货信息!$C:$C,盘货信息!$Q:$Q)&lt;1,"","【红包】活动时间购机送"&amp;_xlfn.TEXTJOIN("",,IF(ISNUMBER(--MID(_xlfn.XLOOKUP(A76&amp;B76&amp;C76,盘货信息!$A:$A&amp;盘货信息!$B:$B&amp;盘货信息!$C:$C,盘货信息!$Q:$Q),_xlfn.SEQUENCE(LEN(_xlfn.XLOOKUP(A76&amp;B76&amp;C76,盘货信息!$A:$A&amp;盘货信息!$B:$B&amp;盘货信息!$C:$C,盘货信息!$Q:$Q))),1)),MID(_xlfn.XLOOKUP(A76&amp;B76&amp;C76,盘货信息!$A:$A&amp;盘货信息!$B:$B&amp;盘货信息!$C:$C,盘货信息!$Q:$Q),_xlfn.SEQUENCE(LEN(_xlfn.XLOOKUP(A76&amp;B76&amp;C76,盘货信息!$A:$A&amp;盘货信息!$B:$B&amp;盘货信息!$C:$C,盘货信息!$Q:$Q))),1),""))&amp;"元")</f>
        <v/>
      </c>
      <c r="T76" s="18" t="str">
        <f t="array" ref="T76">IF(ISNUMBER(SEARCH("是",_xlfn.XLOOKUP(A76&amp;B76&amp;C76,盘货信息!$A:$A&amp;盘货信息!$B:$B&amp;盘货信息!$C:$C,盘货信息!$T:$T))),"【瓜分】"&amp;固定信息!$B$7,"")</f>
        <v/>
      </c>
      <c r="U76" s="18" t="str">
        <f>IF($C76="","",IF(AND(R76="",S76="",T76=""),"",固定信息!$B$1))</f>
        <v/>
      </c>
      <c r="V76" s="18" t="str">
        <f t="array" ref="V76">IF(C76="","","【服务】"&amp;IF(_xlfn.XLOOKUP(A76&amp;B76&amp;C76,盘货信息!$A:$A&amp;盘货信息!$B:$B&amp;盘货信息!$C:$C,盘货信息!$V:$V)="","",_xlfn.XLOOKUP(A76&amp;B76&amp;C76,盘货信息!$A:$A&amp;盘货信息!$B:$B&amp;盘货信息!$C:$C,盘货信息!$V:$V)&amp;"免息,")&amp;IF(_xlfn.XLOOKUP(A76&amp;B76&amp;C76,盘货信息!$A:$A&amp;盘货信息!$B:$B&amp;盘货信息!$C:$C,盘货信息!$W:$W)="","",_xlfn.XLOOKUP(A76&amp;B76&amp;C76,盘货信息!$A:$A&amp;盘货信息!$B:$B&amp;盘货信息!$C:$C,盘货信息!$W:$W)&amp;"，")&amp;"送货入户，退换免运费")</f>
        <v/>
      </c>
    </row>
    <row r="77" customHeight="1" spans="1:22">
      <c r="A77" s="17" t="str">
        <f>IF(盘货信息!A77="","",盘货信息!A77)</f>
        <v/>
      </c>
      <c r="B77" s="20" t="str">
        <f>IF(盘货信息!B77="","",盘货信息!B77)</f>
        <v/>
      </c>
      <c r="C77" s="18" t="str">
        <f>IF(盘货信息!C77="","",盘货信息!C77)</f>
        <v/>
      </c>
      <c r="D77" s="18" t="str">
        <f ca="1" t="shared" si="1"/>
        <v/>
      </c>
      <c r="E77" s="18" t="str">
        <f>IF(C77="","",固定信息!$B$2)</f>
        <v/>
      </c>
      <c r="F77" s="18" t="str">
        <f t="array" ref="F77">IF(C77="","","【"&amp;C77&amp;"】"&amp;_xlfn.XLOOKUP(A77&amp;B77&amp;C77,盘货信息!$A:$A&amp;盘货信息!$B:$B&amp;盘货信息!$C:$C,盘货信息!$D:$D))</f>
        <v/>
      </c>
      <c r="G77" s="18" t="str">
        <f>IF(C77="","","【"&amp;"活动时间："&amp;固定信息!$B$3&amp;"】")</f>
        <v/>
      </c>
      <c r="H77" s="18" t="str">
        <f>IF($C77="","",固定信息!$B$1)</f>
        <v/>
      </c>
      <c r="I77" s="18"/>
      <c r="J77" s="18" t="str">
        <f t="array" ref="J77">_xlfn.XLOOKUP(A77&amp;B77&amp;C77,价格信息!$A:$A&amp;价格信息!$B:$B&amp;价格信息!$C:$C,价格信息!$D:$D)</f>
        <v/>
      </c>
      <c r="K77" s="31" t="str">
        <f t="array" ref="K77">IF(_xlfn.XLOOKUP(A77&amp;B77&amp;C77,价格信息!$A:$A&amp;价格信息!$B:$B&amp;价格信息!$C:$C,价格信息!$I:$I)="","","【优惠券链接】"&amp;固定信息!$B$6)</f>
        <v/>
      </c>
      <c r="L77" s="31" t="str">
        <f>IF($C77="","",固定信息!$B$1)</f>
        <v/>
      </c>
      <c r="M77" s="18" t="str">
        <f t="array" ref="M77">IF(_xlfn.XLOOKUP(A77&amp;B77&amp;C77,盘货信息!$A:$A&amp;盘货信息!$B:$B&amp;盘货信息!$C:$C,盘货信息!$O:$O)="","","【优惠券】领"&amp;INDEX(_wpsfn.REGEXP(_xlfn.XLOOKUP(A77&amp;B77&amp;C77,盘货信息!$A:$A&amp;盘货信息!$B:$B&amp;盘货信息!$C:$C,盘货信息!$O:$O),"\d+"),1,1)&amp;"元优惠券下单更优惠，优惠卷："&amp;_xlfn.XLOOKUP(A77&amp;B77&amp;C77,盘货信息!$A:$A&amp;盘货信息!$B:$B&amp;盘货信息!$C:$C,盘货信息!$P:$P))</f>
        <v/>
      </c>
      <c r="N77" s="18" t="str">
        <f t="array" ref="N77">IF(AND(ISNUMBER(_xlfn.XLOOKUP(A77&amp;B77&amp;C77,盘货信息!$A:$A&amp;盘货信息!$B:$B&amp;盘货信息!$C:$C,盘货信息!$I:$I)),_xlfn.XLOOKUP(A77&amp;B77&amp;C77,盘货信息!$A:$A&amp;盘货信息!$B:$B&amp;盘货信息!$C:$C,盘货信息!$I:$I)&gt;1),"【88VIP】立减"&amp;_xlfn.XLOOKUP(A77&amp;B77&amp;C77,盘货信息!$A:$A&amp;盘货信息!$B:$B&amp;盘货信息!$C:$C,盘货信息!$I:$I)&amp;"元","")</f>
        <v/>
      </c>
      <c r="O77" s="18" t="str">
        <f t="array" ref="O77">IF(_xlfn.XLOOKUP(A77&amp;B77&amp;C77,盘货信息!$A:$A&amp;盘货信息!$B:$B&amp;盘货信息!$C:$C,盘货信息!$K:$K)="","",IF(AND(_xlfn.XLOOKUP(A77&amp;B77&amp;C77,盘货信息!$A:$A&amp;盘货信息!$B:$B&amp;盘货信息!$C:$C,盘货信息!$G:$G)="不参加",_xlfn.XLOOKUP(A77&amp;B77&amp;C77,盘货信息!$A:$A&amp;盘货信息!$B:$B&amp;盘货信息!$C:$C,盘货信息!$H:$H)=""),"【以旧换新】"&amp;_xlfn.XLOOKUP(A77&amp;B77&amp;C77,盘货信息!$A:$A&amp;盘货信息!$B:$B&amp;盘货信息!$C:$C,盘货信息!$K:$K)&amp;"元以旧换新补贴（可无旧机换新）",""))</f>
        <v/>
      </c>
      <c r="P77" s="18" t="str">
        <f t="array" ref="P77">_xlfn.XLOOKUP(A77&amp;B77&amp;C77,赠品!$A:$A&amp;赠品!$B:$B&amp;赠品!$C:$C,赠品!$D:$D)</f>
        <v/>
      </c>
      <c r="Q77" s="18" t="str">
        <f>IF($C77="","",IF(AND(M77="",N77="",P77=""),"",固定信息!$B$1))</f>
        <v/>
      </c>
      <c r="R77" s="18" t="str">
        <f t="array" ref="R77">IF(ISNUMBER(SEARCH("是",_xlfn.XLOOKUP(A77&amp;B77&amp;C77,盘货信息!$A:$A&amp;盘货信息!$B:$B&amp;盘货信息!$C:$C,盘货信息!$U:$U))),"【折扣】指定型号满2类享96折，满3类享94折","")</f>
        <v/>
      </c>
      <c r="S77" s="18" t="str">
        <f t="array" ref="S77">IF(_xlfn.XLOOKUP(A77&amp;B77&amp;C77,盘货信息!$A:$A&amp;盘货信息!$B:$B&amp;盘货信息!$C:$C,盘货信息!$Q:$Q)&lt;1,"","【红包】活动时间购机送"&amp;_xlfn.TEXTJOIN("",,IF(ISNUMBER(--MID(_xlfn.XLOOKUP(A77&amp;B77&amp;C77,盘货信息!$A:$A&amp;盘货信息!$B:$B&amp;盘货信息!$C:$C,盘货信息!$Q:$Q),_xlfn.SEQUENCE(LEN(_xlfn.XLOOKUP(A77&amp;B77&amp;C77,盘货信息!$A:$A&amp;盘货信息!$B:$B&amp;盘货信息!$C:$C,盘货信息!$Q:$Q))),1)),MID(_xlfn.XLOOKUP(A77&amp;B77&amp;C77,盘货信息!$A:$A&amp;盘货信息!$B:$B&amp;盘货信息!$C:$C,盘货信息!$Q:$Q),_xlfn.SEQUENCE(LEN(_xlfn.XLOOKUP(A77&amp;B77&amp;C77,盘货信息!$A:$A&amp;盘货信息!$B:$B&amp;盘货信息!$C:$C,盘货信息!$Q:$Q))),1),""))&amp;"元")</f>
        <v/>
      </c>
      <c r="T77" s="18" t="str">
        <f t="array" ref="T77">IF(ISNUMBER(SEARCH("是",_xlfn.XLOOKUP(A77&amp;B77&amp;C77,盘货信息!$A:$A&amp;盘货信息!$B:$B&amp;盘货信息!$C:$C,盘货信息!$T:$T))),"【瓜分】"&amp;固定信息!$B$7,"")</f>
        <v/>
      </c>
      <c r="U77" s="18" t="str">
        <f>IF($C77="","",IF(AND(R77="",S77="",T77=""),"",固定信息!$B$1))</f>
        <v/>
      </c>
      <c r="V77" s="18" t="str">
        <f t="array" ref="V77">IF(C77="","","【服务】"&amp;IF(_xlfn.XLOOKUP(A77&amp;B77&amp;C77,盘货信息!$A:$A&amp;盘货信息!$B:$B&amp;盘货信息!$C:$C,盘货信息!$V:$V)="","",_xlfn.XLOOKUP(A77&amp;B77&amp;C77,盘货信息!$A:$A&amp;盘货信息!$B:$B&amp;盘货信息!$C:$C,盘货信息!$V:$V)&amp;"免息,")&amp;IF(_xlfn.XLOOKUP(A77&amp;B77&amp;C77,盘货信息!$A:$A&amp;盘货信息!$B:$B&amp;盘货信息!$C:$C,盘货信息!$W:$W)="","",_xlfn.XLOOKUP(A77&amp;B77&amp;C77,盘货信息!$A:$A&amp;盘货信息!$B:$B&amp;盘货信息!$C:$C,盘货信息!$W:$W)&amp;"，")&amp;"送货入户，退换免运费")</f>
        <v/>
      </c>
    </row>
    <row r="78" customHeight="1" spans="1:22">
      <c r="A78" s="17" t="str">
        <f>IF(盘货信息!A78="","",盘货信息!A78)</f>
        <v/>
      </c>
      <c r="B78" s="20" t="str">
        <f>IF(盘货信息!B78="","",盘货信息!B78)</f>
        <v/>
      </c>
      <c r="C78" s="18" t="str">
        <f>IF(盘货信息!C78="","",盘货信息!C78)</f>
        <v/>
      </c>
      <c r="D78" s="18" t="str">
        <f ca="1" t="shared" si="1"/>
        <v/>
      </c>
      <c r="E78" s="18" t="str">
        <f>IF(C78="","",固定信息!$B$2)</f>
        <v/>
      </c>
      <c r="F78" s="18" t="str">
        <f t="array" ref="F78">IF(C78="","","【"&amp;C78&amp;"】"&amp;_xlfn.XLOOKUP(A78&amp;B78&amp;C78,盘货信息!$A:$A&amp;盘货信息!$B:$B&amp;盘货信息!$C:$C,盘货信息!$D:$D))</f>
        <v/>
      </c>
      <c r="G78" s="18" t="str">
        <f>IF(C78="","","【"&amp;"活动时间："&amp;固定信息!$B$3&amp;"】")</f>
        <v/>
      </c>
      <c r="H78" s="18" t="str">
        <f>IF($C78="","",固定信息!$B$1)</f>
        <v/>
      </c>
      <c r="I78" s="18"/>
      <c r="J78" s="18" t="str">
        <f t="array" ref="J78">_xlfn.XLOOKUP(A78&amp;B78&amp;C78,价格信息!$A:$A&amp;价格信息!$B:$B&amp;价格信息!$C:$C,价格信息!$D:$D)</f>
        <v/>
      </c>
      <c r="K78" s="31" t="str">
        <f t="array" ref="K78">IF(_xlfn.XLOOKUP(A78&amp;B78&amp;C78,价格信息!$A:$A&amp;价格信息!$B:$B&amp;价格信息!$C:$C,价格信息!$I:$I)="","","【优惠券链接】"&amp;固定信息!$B$6)</f>
        <v/>
      </c>
      <c r="L78" s="31" t="str">
        <f>IF($C78="","",固定信息!$B$1)</f>
        <v/>
      </c>
      <c r="M78" s="18" t="str">
        <f t="array" ref="M78">IF(_xlfn.XLOOKUP(A78&amp;B78&amp;C78,盘货信息!$A:$A&amp;盘货信息!$B:$B&amp;盘货信息!$C:$C,盘货信息!$O:$O)="","","【优惠券】领"&amp;INDEX(_wpsfn.REGEXP(_xlfn.XLOOKUP(A78&amp;B78&amp;C78,盘货信息!$A:$A&amp;盘货信息!$B:$B&amp;盘货信息!$C:$C,盘货信息!$O:$O),"\d+"),1,1)&amp;"元优惠券下单更优惠，优惠卷："&amp;_xlfn.XLOOKUP(A78&amp;B78&amp;C78,盘货信息!$A:$A&amp;盘货信息!$B:$B&amp;盘货信息!$C:$C,盘货信息!$P:$P))</f>
        <v/>
      </c>
      <c r="N78" s="18" t="str">
        <f t="array" ref="N78">IF(AND(ISNUMBER(_xlfn.XLOOKUP(A78&amp;B78&amp;C78,盘货信息!$A:$A&amp;盘货信息!$B:$B&amp;盘货信息!$C:$C,盘货信息!$I:$I)),_xlfn.XLOOKUP(A78&amp;B78&amp;C78,盘货信息!$A:$A&amp;盘货信息!$B:$B&amp;盘货信息!$C:$C,盘货信息!$I:$I)&gt;1),"【88VIP】立减"&amp;_xlfn.XLOOKUP(A78&amp;B78&amp;C78,盘货信息!$A:$A&amp;盘货信息!$B:$B&amp;盘货信息!$C:$C,盘货信息!$I:$I)&amp;"元","")</f>
        <v/>
      </c>
      <c r="O78" s="18" t="str">
        <f t="array" ref="O78">IF(_xlfn.XLOOKUP(A78&amp;B78&amp;C78,盘货信息!$A:$A&amp;盘货信息!$B:$B&amp;盘货信息!$C:$C,盘货信息!$K:$K)="","",IF(AND(_xlfn.XLOOKUP(A78&amp;B78&amp;C78,盘货信息!$A:$A&amp;盘货信息!$B:$B&amp;盘货信息!$C:$C,盘货信息!$G:$G)="不参加",_xlfn.XLOOKUP(A78&amp;B78&amp;C78,盘货信息!$A:$A&amp;盘货信息!$B:$B&amp;盘货信息!$C:$C,盘货信息!$H:$H)=""),"【以旧换新】"&amp;_xlfn.XLOOKUP(A78&amp;B78&amp;C78,盘货信息!$A:$A&amp;盘货信息!$B:$B&amp;盘货信息!$C:$C,盘货信息!$K:$K)&amp;"元以旧换新补贴（可无旧机换新）",""))</f>
        <v/>
      </c>
      <c r="P78" s="18" t="str">
        <f t="array" ref="P78">_xlfn.XLOOKUP(A78&amp;B78&amp;C78,赠品!$A:$A&amp;赠品!$B:$B&amp;赠品!$C:$C,赠品!$D:$D)</f>
        <v/>
      </c>
      <c r="Q78" s="18" t="str">
        <f>IF($C78="","",IF(AND(M78="",N78="",P78=""),"",固定信息!$B$1))</f>
        <v/>
      </c>
      <c r="R78" s="18" t="str">
        <f t="array" ref="R78">IF(ISNUMBER(SEARCH("是",_xlfn.XLOOKUP(A78&amp;B78&amp;C78,盘货信息!$A:$A&amp;盘货信息!$B:$B&amp;盘货信息!$C:$C,盘货信息!$U:$U))),"【折扣】指定型号满2类享96折，满3类享94折","")</f>
        <v/>
      </c>
      <c r="S78" s="18" t="str">
        <f t="array" ref="S78">IF(_xlfn.XLOOKUP(A78&amp;B78&amp;C78,盘货信息!$A:$A&amp;盘货信息!$B:$B&amp;盘货信息!$C:$C,盘货信息!$Q:$Q)&lt;1,"","【红包】活动时间购机送"&amp;_xlfn.TEXTJOIN("",,IF(ISNUMBER(--MID(_xlfn.XLOOKUP(A78&amp;B78&amp;C78,盘货信息!$A:$A&amp;盘货信息!$B:$B&amp;盘货信息!$C:$C,盘货信息!$Q:$Q),_xlfn.SEQUENCE(LEN(_xlfn.XLOOKUP(A78&amp;B78&amp;C78,盘货信息!$A:$A&amp;盘货信息!$B:$B&amp;盘货信息!$C:$C,盘货信息!$Q:$Q))),1)),MID(_xlfn.XLOOKUP(A78&amp;B78&amp;C78,盘货信息!$A:$A&amp;盘货信息!$B:$B&amp;盘货信息!$C:$C,盘货信息!$Q:$Q),_xlfn.SEQUENCE(LEN(_xlfn.XLOOKUP(A78&amp;B78&amp;C78,盘货信息!$A:$A&amp;盘货信息!$B:$B&amp;盘货信息!$C:$C,盘货信息!$Q:$Q))),1),""))&amp;"元")</f>
        <v/>
      </c>
      <c r="T78" s="18" t="str">
        <f t="array" ref="T78">IF(ISNUMBER(SEARCH("是",_xlfn.XLOOKUP(A78&amp;B78&amp;C78,盘货信息!$A:$A&amp;盘货信息!$B:$B&amp;盘货信息!$C:$C,盘货信息!$T:$T))),"【瓜分】"&amp;固定信息!$B$7,"")</f>
        <v/>
      </c>
      <c r="U78" s="18" t="str">
        <f>IF($C78="","",IF(AND(R78="",S78="",T78=""),"",固定信息!$B$1))</f>
        <v/>
      </c>
      <c r="V78" s="18" t="str">
        <f t="array" ref="V78">IF(C78="","","【服务】"&amp;IF(_xlfn.XLOOKUP(A78&amp;B78&amp;C78,盘货信息!$A:$A&amp;盘货信息!$B:$B&amp;盘货信息!$C:$C,盘货信息!$V:$V)="","",_xlfn.XLOOKUP(A78&amp;B78&amp;C78,盘货信息!$A:$A&amp;盘货信息!$B:$B&amp;盘货信息!$C:$C,盘货信息!$V:$V)&amp;"免息,")&amp;IF(_xlfn.XLOOKUP(A78&amp;B78&amp;C78,盘货信息!$A:$A&amp;盘货信息!$B:$B&amp;盘货信息!$C:$C,盘货信息!$W:$W)="","",_xlfn.XLOOKUP(A78&amp;B78&amp;C78,盘货信息!$A:$A&amp;盘货信息!$B:$B&amp;盘货信息!$C:$C,盘货信息!$W:$W)&amp;"，")&amp;"送货入户，退换免运费")</f>
        <v/>
      </c>
    </row>
    <row r="79" customHeight="1" spans="1:22">
      <c r="A79" s="19" t="str">
        <f>IF(盘货信息!A79="","",盘货信息!A79)</f>
        <v/>
      </c>
      <c r="B79" s="32" t="str">
        <f>IF(盘货信息!B79="","",盘货信息!B79)</f>
        <v/>
      </c>
      <c r="C79" s="18" t="str">
        <f>IF(盘货信息!C79="","",盘货信息!C79)</f>
        <v/>
      </c>
      <c r="D79" s="18" t="str">
        <f ca="1" t="shared" si="1"/>
        <v/>
      </c>
      <c r="E79" s="18" t="str">
        <f>IF(C79="","",固定信息!$B$2)</f>
        <v/>
      </c>
      <c r="F79" s="18" t="str">
        <f t="array" ref="F79">IF(C79="","","【"&amp;C79&amp;"】"&amp;_xlfn.XLOOKUP(A79&amp;B79&amp;C79,盘货信息!$A:$A&amp;盘货信息!$B:$B&amp;盘货信息!$C:$C,盘货信息!$D:$D))</f>
        <v/>
      </c>
      <c r="G79" s="18" t="str">
        <f>IF(C79="","","【"&amp;"活动时间："&amp;固定信息!$B$3&amp;"】")</f>
        <v/>
      </c>
      <c r="H79" s="18" t="str">
        <f>IF($C79="","",固定信息!$B$1)</f>
        <v/>
      </c>
      <c r="I79" s="18"/>
      <c r="J79" s="18" t="str">
        <f t="array" ref="J79">_xlfn.XLOOKUP(A79&amp;B79&amp;C79,价格信息!$A:$A&amp;价格信息!$B:$B&amp;价格信息!$C:$C,价格信息!$D:$D)</f>
        <v/>
      </c>
      <c r="K79" s="31" t="str">
        <f t="array" ref="K79">IF(_xlfn.XLOOKUP(A79&amp;B79&amp;C79,价格信息!$A:$A&amp;价格信息!$B:$B&amp;价格信息!$C:$C,价格信息!$I:$I)="","","【优惠券链接】"&amp;固定信息!$B$6)</f>
        <v/>
      </c>
      <c r="L79" s="31" t="str">
        <f>IF($C79="","",固定信息!$B$1)</f>
        <v/>
      </c>
      <c r="M79" s="18" t="str">
        <f t="array" ref="M79">IF(_xlfn.XLOOKUP(A79&amp;B79&amp;C79,盘货信息!$A:$A&amp;盘货信息!$B:$B&amp;盘货信息!$C:$C,盘货信息!$O:$O)="","","【优惠券】领"&amp;INDEX(_wpsfn.REGEXP(_xlfn.XLOOKUP(A79&amp;B79&amp;C79,盘货信息!$A:$A&amp;盘货信息!$B:$B&amp;盘货信息!$C:$C,盘货信息!$O:$O),"\d+"),1,1)&amp;"元优惠券下单更优惠，优惠卷："&amp;_xlfn.XLOOKUP(A79&amp;B79&amp;C79,盘货信息!$A:$A&amp;盘货信息!$B:$B&amp;盘货信息!$C:$C,盘货信息!$P:$P))</f>
        <v/>
      </c>
      <c r="N79" s="18" t="str">
        <f t="array" ref="N79">IF(AND(ISNUMBER(_xlfn.XLOOKUP(A79&amp;B79&amp;C79,盘货信息!$A:$A&amp;盘货信息!$B:$B&amp;盘货信息!$C:$C,盘货信息!$I:$I)),_xlfn.XLOOKUP(A79&amp;B79&amp;C79,盘货信息!$A:$A&amp;盘货信息!$B:$B&amp;盘货信息!$C:$C,盘货信息!$I:$I)&gt;1),"【88VIP】立减"&amp;_xlfn.XLOOKUP(A79&amp;B79&amp;C79,盘货信息!$A:$A&amp;盘货信息!$B:$B&amp;盘货信息!$C:$C,盘货信息!$I:$I)&amp;"元","")</f>
        <v/>
      </c>
      <c r="O79" s="18" t="str">
        <f t="array" ref="O79">IF(_xlfn.XLOOKUP(A79&amp;B79&amp;C79,盘货信息!$A:$A&amp;盘货信息!$B:$B&amp;盘货信息!$C:$C,盘货信息!$K:$K)="","",IF(AND(_xlfn.XLOOKUP(A79&amp;B79&amp;C79,盘货信息!$A:$A&amp;盘货信息!$B:$B&amp;盘货信息!$C:$C,盘货信息!$G:$G)="不参加",_xlfn.XLOOKUP(A79&amp;B79&amp;C79,盘货信息!$A:$A&amp;盘货信息!$B:$B&amp;盘货信息!$C:$C,盘货信息!$H:$H)=""),"【以旧换新】"&amp;_xlfn.XLOOKUP(A79&amp;B79&amp;C79,盘货信息!$A:$A&amp;盘货信息!$B:$B&amp;盘货信息!$C:$C,盘货信息!$K:$K)&amp;"元以旧换新补贴（可无旧机换新）",""))</f>
        <v/>
      </c>
      <c r="P79" s="18" t="str">
        <f t="array" ref="P79">_xlfn.XLOOKUP(A79&amp;B79&amp;C79,赠品!$A:$A&amp;赠品!$B:$B&amp;赠品!$C:$C,赠品!$D:$D)</f>
        <v/>
      </c>
      <c r="Q79" s="18" t="str">
        <f>IF($C79="","",IF(AND(M79="",N79="",P79=""),"",固定信息!$B$1))</f>
        <v/>
      </c>
      <c r="R79" s="18" t="str">
        <f t="array" ref="R79">IF(ISNUMBER(SEARCH("是",_xlfn.XLOOKUP(A79&amp;B79&amp;C79,盘货信息!$A:$A&amp;盘货信息!$B:$B&amp;盘货信息!$C:$C,盘货信息!$U:$U))),"【折扣】指定型号满2类享96折，满3类享94折","")</f>
        <v/>
      </c>
      <c r="S79" s="18" t="str">
        <f t="array" ref="S79">IF(_xlfn.XLOOKUP(A79&amp;B79&amp;C79,盘货信息!$A:$A&amp;盘货信息!$B:$B&amp;盘货信息!$C:$C,盘货信息!$Q:$Q)&lt;1,"","【红包】活动时间购机送"&amp;_xlfn.TEXTJOIN("",,IF(ISNUMBER(--MID(_xlfn.XLOOKUP(A79&amp;B79&amp;C79,盘货信息!$A:$A&amp;盘货信息!$B:$B&amp;盘货信息!$C:$C,盘货信息!$Q:$Q),_xlfn.SEQUENCE(LEN(_xlfn.XLOOKUP(A79&amp;B79&amp;C79,盘货信息!$A:$A&amp;盘货信息!$B:$B&amp;盘货信息!$C:$C,盘货信息!$Q:$Q))),1)),MID(_xlfn.XLOOKUP(A79&amp;B79&amp;C79,盘货信息!$A:$A&amp;盘货信息!$B:$B&amp;盘货信息!$C:$C,盘货信息!$Q:$Q),_xlfn.SEQUENCE(LEN(_xlfn.XLOOKUP(A79&amp;B79&amp;C79,盘货信息!$A:$A&amp;盘货信息!$B:$B&amp;盘货信息!$C:$C,盘货信息!$Q:$Q))),1),""))&amp;"元")</f>
        <v/>
      </c>
      <c r="T79" s="18" t="str">
        <f t="array" ref="T79">IF(ISNUMBER(SEARCH("是",_xlfn.XLOOKUP(A79&amp;B79&amp;C79,盘货信息!$A:$A&amp;盘货信息!$B:$B&amp;盘货信息!$C:$C,盘货信息!$T:$T))),"【瓜分】"&amp;固定信息!$B$7,"")</f>
        <v/>
      </c>
      <c r="U79" s="18" t="str">
        <f>IF($C79="","",IF(AND(R79="",S79="",T79=""),"",固定信息!$B$1))</f>
        <v/>
      </c>
      <c r="V79" s="18" t="str">
        <f t="array" ref="V79">IF(C79="","","【服务】"&amp;IF(_xlfn.XLOOKUP(A79&amp;B79&amp;C79,盘货信息!$A:$A&amp;盘货信息!$B:$B&amp;盘货信息!$C:$C,盘货信息!$V:$V)="","",_xlfn.XLOOKUP(A79&amp;B79&amp;C79,盘货信息!$A:$A&amp;盘货信息!$B:$B&amp;盘货信息!$C:$C,盘货信息!$V:$V)&amp;"免息,")&amp;IF(_xlfn.XLOOKUP(A79&amp;B79&amp;C79,盘货信息!$A:$A&amp;盘货信息!$B:$B&amp;盘货信息!$C:$C,盘货信息!$W:$W)="","",_xlfn.XLOOKUP(A79&amp;B79&amp;C79,盘货信息!$A:$A&amp;盘货信息!$B:$B&amp;盘货信息!$C:$C,盘货信息!$W:$W)&amp;"，")&amp;"送货入户，退换免运费")</f>
        <v/>
      </c>
    </row>
    <row r="80" customHeight="1" spans="1:22">
      <c r="A80" s="17" t="str">
        <f>IF(盘货信息!A80="","",盘货信息!A80)</f>
        <v/>
      </c>
      <c r="B80" s="20" t="str">
        <f>IF(盘货信息!B80="","",盘货信息!B80)</f>
        <v/>
      </c>
      <c r="C80" s="18" t="str">
        <f>IF(盘货信息!C80="","",盘货信息!C80)</f>
        <v/>
      </c>
      <c r="D80" s="18" t="str">
        <f ca="1" t="shared" si="1"/>
        <v/>
      </c>
      <c r="E80" s="18" t="str">
        <f>IF(C80="","",固定信息!$B$2)</f>
        <v/>
      </c>
      <c r="F80" s="18" t="str">
        <f t="array" ref="F80">IF(C80="","","【"&amp;C80&amp;"】"&amp;_xlfn.XLOOKUP(A80&amp;B80&amp;C80,盘货信息!$A:$A&amp;盘货信息!$B:$B&amp;盘货信息!$C:$C,盘货信息!$D:$D))</f>
        <v/>
      </c>
      <c r="G80" s="18" t="str">
        <f>IF(C80="","","【"&amp;"活动时间："&amp;固定信息!$B$3&amp;"】")</f>
        <v/>
      </c>
      <c r="H80" s="18" t="str">
        <f>IF($C80="","",固定信息!$B$1)</f>
        <v/>
      </c>
      <c r="I80" s="18"/>
      <c r="J80" s="18" t="str">
        <f t="array" ref="J80">_xlfn.XLOOKUP(A80&amp;B80&amp;C80,价格信息!$A:$A&amp;价格信息!$B:$B&amp;价格信息!$C:$C,价格信息!$D:$D)</f>
        <v/>
      </c>
      <c r="K80" s="31" t="str">
        <f t="array" ref="K80">IF(_xlfn.XLOOKUP(A80&amp;B80&amp;C80,价格信息!$A:$A&amp;价格信息!$B:$B&amp;价格信息!$C:$C,价格信息!$I:$I)="","","【优惠券链接】"&amp;固定信息!$B$6)</f>
        <v/>
      </c>
      <c r="L80" s="31" t="str">
        <f>IF($C80="","",固定信息!$B$1)</f>
        <v/>
      </c>
      <c r="M80" s="18" t="str">
        <f t="array" ref="M80">IF(_xlfn.XLOOKUP(A80&amp;B80&amp;C80,盘货信息!$A:$A&amp;盘货信息!$B:$B&amp;盘货信息!$C:$C,盘货信息!$O:$O)="","","【优惠券】领"&amp;INDEX(_wpsfn.REGEXP(_xlfn.XLOOKUP(A80&amp;B80&amp;C80,盘货信息!$A:$A&amp;盘货信息!$B:$B&amp;盘货信息!$C:$C,盘货信息!$O:$O),"\d+"),1,1)&amp;"元优惠券下单更优惠，优惠卷："&amp;_xlfn.XLOOKUP(A80&amp;B80&amp;C80,盘货信息!$A:$A&amp;盘货信息!$B:$B&amp;盘货信息!$C:$C,盘货信息!$P:$P))</f>
        <v/>
      </c>
      <c r="N80" s="18" t="str">
        <f t="array" ref="N80">IF(AND(ISNUMBER(_xlfn.XLOOKUP(A80&amp;B80&amp;C80,盘货信息!$A:$A&amp;盘货信息!$B:$B&amp;盘货信息!$C:$C,盘货信息!$I:$I)),_xlfn.XLOOKUP(A80&amp;B80&amp;C80,盘货信息!$A:$A&amp;盘货信息!$B:$B&amp;盘货信息!$C:$C,盘货信息!$I:$I)&gt;1),"【88VIP】立减"&amp;_xlfn.XLOOKUP(A80&amp;B80&amp;C80,盘货信息!$A:$A&amp;盘货信息!$B:$B&amp;盘货信息!$C:$C,盘货信息!$I:$I)&amp;"元","")</f>
        <v/>
      </c>
      <c r="O80" s="18" t="str">
        <f t="array" ref="O80">IF(_xlfn.XLOOKUP(A80&amp;B80&amp;C80,盘货信息!$A:$A&amp;盘货信息!$B:$B&amp;盘货信息!$C:$C,盘货信息!$K:$K)="","",IF(AND(_xlfn.XLOOKUP(A80&amp;B80&amp;C80,盘货信息!$A:$A&amp;盘货信息!$B:$B&amp;盘货信息!$C:$C,盘货信息!$G:$G)="不参加",_xlfn.XLOOKUP(A80&amp;B80&amp;C80,盘货信息!$A:$A&amp;盘货信息!$B:$B&amp;盘货信息!$C:$C,盘货信息!$H:$H)=""),"【以旧换新】"&amp;_xlfn.XLOOKUP(A80&amp;B80&amp;C80,盘货信息!$A:$A&amp;盘货信息!$B:$B&amp;盘货信息!$C:$C,盘货信息!$K:$K)&amp;"元以旧换新补贴（可无旧机换新）",""))</f>
        <v/>
      </c>
      <c r="P80" s="18" t="str">
        <f t="array" ref="P80">_xlfn.XLOOKUP(A80&amp;B80&amp;C80,赠品!$A:$A&amp;赠品!$B:$B&amp;赠品!$C:$C,赠品!$D:$D)</f>
        <v/>
      </c>
      <c r="Q80" s="18" t="str">
        <f>IF($C80="","",IF(AND(M80="",N80="",P80=""),"",固定信息!$B$1))</f>
        <v/>
      </c>
      <c r="R80" s="18" t="str">
        <f t="array" ref="R80">IF(ISNUMBER(SEARCH("是",_xlfn.XLOOKUP(A80&amp;B80&amp;C80,盘货信息!$A:$A&amp;盘货信息!$B:$B&amp;盘货信息!$C:$C,盘货信息!$U:$U))),"【折扣】指定型号满2类享96折，满3类享94折","")</f>
        <v/>
      </c>
      <c r="S80" s="18" t="str">
        <f t="array" ref="S80">IF(_xlfn.XLOOKUP(A80&amp;B80&amp;C80,盘货信息!$A:$A&amp;盘货信息!$B:$B&amp;盘货信息!$C:$C,盘货信息!$Q:$Q)&lt;1,"","【红包】活动时间购机送"&amp;_xlfn.TEXTJOIN("",,IF(ISNUMBER(--MID(_xlfn.XLOOKUP(A80&amp;B80&amp;C80,盘货信息!$A:$A&amp;盘货信息!$B:$B&amp;盘货信息!$C:$C,盘货信息!$Q:$Q),_xlfn.SEQUENCE(LEN(_xlfn.XLOOKUP(A80&amp;B80&amp;C80,盘货信息!$A:$A&amp;盘货信息!$B:$B&amp;盘货信息!$C:$C,盘货信息!$Q:$Q))),1)),MID(_xlfn.XLOOKUP(A80&amp;B80&amp;C80,盘货信息!$A:$A&amp;盘货信息!$B:$B&amp;盘货信息!$C:$C,盘货信息!$Q:$Q),_xlfn.SEQUENCE(LEN(_xlfn.XLOOKUP(A80&amp;B80&amp;C80,盘货信息!$A:$A&amp;盘货信息!$B:$B&amp;盘货信息!$C:$C,盘货信息!$Q:$Q))),1),""))&amp;"元")</f>
        <v/>
      </c>
      <c r="T80" s="18" t="str">
        <f t="array" ref="T80">IF(ISNUMBER(SEARCH("是",_xlfn.XLOOKUP(A80&amp;B80&amp;C80,盘货信息!$A:$A&amp;盘货信息!$B:$B&amp;盘货信息!$C:$C,盘货信息!$T:$T))),"【瓜分】"&amp;固定信息!$B$7,"")</f>
        <v/>
      </c>
      <c r="U80" s="18" t="str">
        <f>IF($C80="","",IF(AND(R80="",S80="",T80=""),"",固定信息!$B$1))</f>
        <v/>
      </c>
      <c r="V80" s="18" t="str">
        <f t="array" ref="V80">IF(C80="","","【服务】"&amp;IF(_xlfn.XLOOKUP(A80&amp;B80&amp;C80,盘货信息!$A:$A&amp;盘货信息!$B:$B&amp;盘货信息!$C:$C,盘货信息!$V:$V)="","",_xlfn.XLOOKUP(A80&amp;B80&amp;C80,盘货信息!$A:$A&amp;盘货信息!$B:$B&amp;盘货信息!$C:$C,盘货信息!$V:$V)&amp;"免息,")&amp;IF(_xlfn.XLOOKUP(A80&amp;B80&amp;C80,盘货信息!$A:$A&amp;盘货信息!$B:$B&amp;盘货信息!$C:$C,盘货信息!$W:$W)="","",_xlfn.XLOOKUP(A80&amp;B80&amp;C80,盘货信息!$A:$A&amp;盘货信息!$B:$B&amp;盘货信息!$C:$C,盘货信息!$W:$W)&amp;"，")&amp;"送货入户，退换免运费")</f>
        <v/>
      </c>
    </row>
    <row r="81" customHeight="1" spans="1:22">
      <c r="A81" s="17" t="str">
        <f>IF(盘货信息!A81="","",盘货信息!A81)</f>
        <v/>
      </c>
      <c r="B81" s="20" t="str">
        <f>IF(盘货信息!B81="","",盘货信息!B81)</f>
        <v/>
      </c>
      <c r="C81" s="18" t="str">
        <f>IF(盘货信息!C81="","",盘货信息!C81)</f>
        <v/>
      </c>
      <c r="D81" s="18" t="str">
        <f ca="1" t="shared" si="1"/>
        <v/>
      </c>
      <c r="E81" s="18" t="str">
        <f>IF(C81="","",固定信息!$B$2)</f>
        <v/>
      </c>
      <c r="F81" s="18" t="str">
        <f t="array" ref="F81">IF(C81="","","【"&amp;C81&amp;"】"&amp;_xlfn.XLOOKUP(A81&amp;B81&amp;C81,盘货信息!$A:$A&amp;盘货信息!$B:$B&amp;盘货信息!$C:$C,盘货信息!$D:$D))</f>
        <v/>
      </c>
      <c r="G81" s="18" t="str">
        <f>IF(C81="","","【"&amp;"活动时间："&amp;固定信息!$B$3&amp;"】")</f>
        <v/>
      </c>
      <c r="H81" s="18" t="str">
        <f>IF($C81="","",固定信息!$B$1)</f>
        <v/>
      </c>
      <c r="I81" s="18"/>
      <c r="J81" s="18" t="str">
        <f t="array" ref="J81">_xlfn.XLOOKUP(A81&amp;B81&amp;C81,价格信息!$A:$A&amp;价格信息!$B:$B&amp;价格信息!$C:$C,价格信息!$D:$D)</f>
        <v/>
      </c>
      <c r="K81" s="31" t="str">
        <f t="array" ref="K81">IF(_xlfn.XLOOKUP(A81&amp;B81&amp;C81,价格信息!$A:$A&amp;价格信息!$B:$B&amp;价格信息!$C:$C,价格信息!$I:$I)="","","【优惠券链接】"&amp;固定信息!$B$6)</f>
        <v/>
      </c>
      <c r="L81" s="31" t="str">
        <f>IF($C81="","",固定信息!$B$1)</f>
        <v/>
      </c>
      <c r="M81" s="18" t="str">
        <f t="array" ref="M81">IF(_xlfn.XLOOKUP(A81&amp;B81&amp;C81,盘货信息!$A:$A&amp;盘货信息!$B:$B&amp;盘货信息!$C:$C,盘货信息!$O:$O)="","","【优惠券】领"&amp;INDEX(_wpsfn.REGEXP(_xlfn.XLOOKUP(A81&amp;B81&amp;C81,盘货信息!$A:$A&amp;盘货信息!$B:$B&amp;盘货信息!$C:$C,盘货信息!$O:$O),"\d+"),1,1)&amp;"元优惠券下单更优惠，优惠卷："&amp;_xlfn.XLOOKUP(A81&amp;B81&amp;C81,盘货信息!$A:$A&amp;盘货信息!$B:$B&amp;盘货信息!$C:$C,盘货信息!$P:$P))</f>
        <v/>
      </c>
      <c r="N81" s="18" t="str">
        <f t="array" ref="N81">IF(AND(ISNUMBER(_xlfn.XLOOKUP(A81&amp;B81&amp;C81,盘货信息!$A:$A&amp;盘货信息!$B:$B&amp;盘货信息!$C:$C,盘货信息!$I:$I)),_xlfn.XLOOKUP(A81&amp;B81&amp;C81,盘货信息!$A:$A&amp;盘货信息!$B:$B&amp;盘货信息!$C:$C,盘货信息!$I:$I)&gt;1),"【88VIP】立减"&amp;_xlfn.XLOOKUP(A81&amp;B81&amp;C81,盘货信息!$A:$A&amp;盘货信息!$B:$B&amp;盘货信息!$C:$C,盘货信息!$I:$I)&amp;"元","")</f>
        <v/>
      </c>
      <c r="O81" s="18" t="str">
        <f t="array" ref="O81">IF(_xlfn.XLOOKUP(A81&amp;B81&amp;C81,盘货信息!$A:$A&amp;盘货信息!$B:$B&amp;盘货信息!$C:$C,盘货信息!$K:$K)="","",IF(AND(_xlfn.XLOOKUP(A81&amp;B81&amp;C81,盘货信息!$A:$A&amp;盘货信息!$B:$B&amp;盘货信息!$C:$C,盘货信息!$G:$G)="不参加",_xlfn.XLOOKUP(A81&amp;B81&amp;C81,盘货信息!$A:$A&amp;盘货信息!$B:$B&amp;盘货信息!$C:$C,盘货信息!$H:$H)=""),"【以旧换新】"&amp;_xlfn.XLOOKUP(A81&amp;B81&amp;C81,盘货信息!$A:$A&amp;盘货信息!$B:$B&amp;盘货信息!$C:$C,盘货信息!$K:$K)&amp;"元以旧换新补贴（可无旧机换新）",""))</f>
        <v/>
      </c>
      <c r="P81" s="18" t="str">
        <f t="array" ref="P81">_xlfn.XLOOKUP(A81&amp;B81&amp;C81,赠品!$A:$A&amp;赠品!$B:$B&amp;赠品!$C:$C,赠品!$D:$D)</f>
        <v/>
      </c>
      <c r="Q81" s="18" t="str">
        <f>IF($C81="","",IF(AND(M81="",N81="",P81=""),"",固定信息!$B$1))</f>
        <v/>
      </c>
      <c r="R81" s="18" t="str">
        <f t="array" ref="R81">IF(ISNUMBER(SEARCH("是",_xlfn.XLOOKUP(A81&amp;B81&amp;C81,盘货信息!$A:$A&amp;盘货信息!$B:$B&amp;盘货信息!$C:$C,盘货信息!$U:$U))),"【折扣】指定型号满2类享96折，满3类享94折","")</f>
        <v/>
      </c>
      <c r="S81" s="18" t="str">
        <f t="array" ref="S81">IF(_xlfn.XLOOKUP(A81&amp;B81&amp;C81,盘货信息!$A:$A&amp;盘货信息!$B:$B&amp;盘货信息!$C:$C,盘货信息!$Q:$Q)&lt;1,"","【红包】活动时间购机送"&amp;_xlfn.TEXTJOIN("",,IF(ISNUMBER(--MID(_xlfn.XLOOKUP(A81&amp;B81&amp;C81,盘货信息!$A:$A&amp;盘货信息!$B:$B&amp;盘货信息!$C:$C,盘货信息!$Q:$Q),_xlfn.SEQUENCE(LEN(_xlfn.XLOOKUP(A81&amp;B81&amp;C81,盘货信息!$A:$A&amp;盘货信息!$B:$B&amp;盘货信息!$C:$C,盘货信息!$Q:$Q))),1)),MID(_xlfn.XLOOKUP(A81&amp;B81&amp;C81,盘货信息!$A:$A&amp;盘货信息!$B:$B&amp;盘货信息!$C:$C,盘货信息!$Q:$Q),_xlfn.SEQUENCE(LEN(_xlfn.XLOOKUP(A81&amp;B81&amp;C81,盘货信息!$A:$A&amp;盘货信息!$B:$B&amp;盘货信息!$C:$C,盘货信息!$Q:$Q))),1),""))&amp;"元")</f>
        <v/>
      </c>
      <c r="T81" s="18" t="str">
        <f t="array" ref="T81">IF(ISNUMBER(SEARCH("是",_xlfn.XLOOKUP(A81&amp;B81&amp;C81,盘货信息!$A:$A&amp;盘货信息!$B:$B&amp;盘货信息!$C:$C,盘货信息!$T:$T))),"【瓜分】"&amp;固定信息!$B$7,"")</f>
        <v/>
      </c>
      <c r="U81" s="18" t="str">
        <f>IF($C81="","",IF(AND(R81="",S81="",T81=""),"",固定信息!$B$1))</f>
        <v/>
      </c>
      <c r="V81" s="18" t="str">
        <f t="array" ref="V81">IF(C81="","","【服务】"&amp;IF(_xlfn.XLOOKUP(A81&amp;B81&amp;C81,盘货信息!$A:$A&amp;盘货信息!$B:$B&amp;盘货信息!$C:$C,盘货信息!$V:$V)="","",_xlfn.XLOOKUP(A81&amp;B81&amp;C81,盘货信息!$A:$A&amp;盘货信息!$B:$B&amp;盘货信息!$C:$C,盘货信息!$V:$V)&amp;"免息,")&amp;IF(_xlfn.XLOOKUP(A81&amp;B81&amp;C81,盘货信息!$A:$A&amp;盘货信息!$B:$B&amp;盘货信息!$C:$C,盘货信息!$W:$W)="","",_xlfn.XLOOKUP(A81&amp;B81&amp;C81,盘货信息!$A:$A&amp;盘货信息!$B:$B&amp;盘货信息!$C:$C,盘货信息!$W:$W)&amp;"，")&amp;"送货入户，退换免运费")</f>
        <v/>
      </c>
    </row>
    <row r="82" customHeight="1" spans="1:22">
      <c r="A82" s="17" t="str">
        <f>IF(盘货信息!A82="","",盘货信息!A82)</f>
        <v/>
      </c>
      <c r="B82" s="20" t="str">
        <f>IF(盘货信息!B82="","",盘货信息!B82)</f>
        <v/>
      </c>
      <c r="C82" s="18" t="str">
        <f>IF(盘货信息!C82="","",盘货信息!C82)</f>
        <v/>
      </c>
      <c r="D82" s="18" t="str">
        <f ca="1" t="shared" si="1"/>
        <v/>
      </c>
      <c r="E82" s="18" t="str">
        <f>IF(C82="","",固定信息!$B$2)</f>
        <v/>
      </c>
      <c r="F82" s="18" t="str">
        <f t="array" ref="F82">IF(C82="","","【"&amp;C82&amp;"】"&amp;_xlfn.XLOOKUP(A82&amp;B82&amp;C82,盘货信息!$A:$A&amp;盘货信息!$B:$B&amp;盘货信息!$C:$C,盘货信息!$D:$D))</f>
        <v/>
      </c>
      <c r="G82" s="18" t="str">
        <f>IF(C82="","","【"&amp;"活动时间："&amp;固定信息!$B$3&amp;"】")</f>
        <v/>
      </c>
      <c r="H82" s="18" t="str">
        <f>IF($C82="","",固定信息!$B$1)</f>
        <v/>
      </c>
      <c r="I82" s="18"/>
      <c r="J82" s="18" t="str">
        <f t="array" ref="J82">_xlfn.XLOOKUP(A82&amp;B82&amp;C82,价格信息!$A:$A&amp;价格信息!$B:$B&amp;价格信息!$C:$C,价格信息!$D:$D)</f>
        <v/>
      </c>
      <c r="K82" s="31" t="str">
        <f t="array" ref="K82">IF(_xlfn.XLOOKUP(A82&amp;B82&amp;C82,价格信息!$A:$A&amp;价格信息!$B:$B&amp;价格信息!$C:$C,价格信息!$I:$I)="","","【优惠券链接】"&amp;固定信息!$B$6)</f>
        <v/>
      </c>
      <c r="L82" s="31" t="str">
        <f>IF($C82="","",固定信息!$B$1)</f>
        <v/>
      </c>
      <c r="M82" s="18" t="str">
        <f t="array" ref="M82">IF(_xlfn.XLOOKUP(A82&amp;B82&amp;C82,盘货信息!$A:$A&amp;盘货信息!$B:$B&amp;盘货信息!$C:$C,盘货信息!$O:$O)="","","【优惠券】领"&amp;INDEX(_wpsfn.REGEXP(_xlfn.XLOOKUP(A82&amp;B82&amp;C82,盘货信息!$A:$A&amp;盘货信息!$B:$B&amp;盘货信息!$C:$C,盘货信息!$O:$O),"\d+"),1,1)&amp;"元优惠券下单更优惠，优惠卷："&amp;_xlfn.XLOOKUP(A82&amp;B82&amp;C82,盘货信息!$A:$A&amp;盘货信息!$B:$B&amp;盘货信息!$C:$C,盘货信息!$P:$P))</f>
        <v/>
      </c>
      <c r="N82" s="18" t="str">
        <f t="array" ref="N82">IF(AND(ISNUMBER(_xlfn.XLOOKUP(A82&amp;B82&amp;C82,盘货信息!$A:$A&amp;盘货信息!$B:$B&amp;盘货信息!$C:$C,盘货信息!$I:$I)),_xlfn.XLOOKUP(A82&amp;B82&amp;C82,盘货信息!$A:$A&amp;盘货信息!$B:$B&amp;盘货信息!$C:$C,盘货信息!$I:$I)&gt;1),"【88VIP】立减"&amp;_xlfn.XLOOKUP(A82&amp;B82&amp;C82,盘货信息!$A:$A&amp;盘货信息!$B:$B&amp;盘货信息!$C:$C,盘货信息!$I:$I)&amp;"元","")</f>
        <v/>
      </c>
      <c r="O82" s="18" t="str">
        <f t="array" ref="O82">IF(_xlfn.XLOOKUP(A82&amp;B82&amp;C82,盘货信息!$A:$A&amp;盘货信息!$B:$B&amp;盘货信息!$C:$C,盘货信息!$K:$K)="","",IF(AND(_xlfn.XLOOKUP(A82&amp;B82&amp;C82,盘货信息!$A:$A&amp;盘货信息!$B:$B&amp;盘货信息!$C:$C,盘货信息!$G:$G)="不参加",_xlfn.XLOOKUP(A82&amp;B82&amp;C82,盘货信息!$A:$A&amp;盘货信息!$B:$B&amp;盘货信息!$C:$C,盘货信息!$H:$H)=""),"【以旧换新】"&amp;_xlfn.XLOOKUP(A82&amp;B82&amp;C82,盘货信息!$A:$A&amp;盘货信息!$B:$B&amp;盘货信息!$C:$C,盘货信息!$K:$K)&amp;"元以旧换新补贴（可无旧机换新）",""))</f>
        <v/>
      </c>
      <c r="P82" s="18" t="str">
        <f t="array" ref="P82">_xlfn.XLOOKUP(A82&amp;B82&amp;C82,赠品!$A:$A&amp;赠品!$B:$B&amp;赠品!$C:$C,赠品!$D:$D)</f>
        <v/>
      </c>
      <c r="Q82" s="18" t="str">
        <f>IF($C82="","",IF(AND(M82="",N82="",P82=""),"",固定信息!$B$1))</f>
        <v/>
      </c>
      <c r="R82" s="18" t="str">
        <f t="array" ref="R82">IF(ISNUMBER(SEARCH("是",_xlfn.XLOOKUP(A82&amp;B82&amp;C82,盘货信息!$A:$A&amp;盘货信息!$B:$B&amp;盘货信息!$C:$C,盘货信息!$U:$U))),"【折扣】指定型号满2类享96折，满3类享94折","")</f>
        <v/>
      </c>
      <c r="S82" s="18" t="str">
        <f t="array" ref="S82">IF(_xlfn.XLOOKUP(A82&amp;B82&amp;C82,盘货信息!$A:$A&amp;盘货信息!$B:$B&amp;盘货信息!$C:$C,盘货信息!$Q:$Q)&lt;1,"","【红包】活动时间购机送"&amp;_xlfn.TEXTJOIN("",,IF(ISNUMBER(--MID(_xlfn.XLOOKUP(A82&amp;B82&amp;C82,盘货信息!$A:$A&amp;盘货信息!$B:$B&amp;盘货信息!$C:$C,盘货信息!$Q:$Q),_xlfn.SEQUENCE(LEN(_xlfn.XLOOKUP(A82&amp;B82&amp;C82,盘货信息!$A:$A&amp;盘货信息!$B:$B&amp;盘货信息!$C:$C,盘货信息!$Q:$Q))),1)),MID(_xlfn.XLOOKUP(A82&amp;B82&amp;C82,盘货信息!$A:$A&amp;盘货信息!$B:$B&amp;盘货信息!$C:$C,盘货信息!$Q:$Q),_xlfn.SEQUENCE(LEN(_xlfn.XLOOKUP(A82&amp;B82&amp;C82,盘货信息!$A:$A&amp;盘货信息!$B:$B&amp;盘货信息!$C:$C,盘货信息!$Q:$Q))),1),""))&amp;"元")</f>
        <v/>
      </c>
      <c r="T82" s="18" t="str">
        <f t="array" ref="T82">IF(ISNUMBER(SEARCH("是",_xlfn.XLOOKUP(A82&amp;B82&amp;C82,盘货信息!$A:$A&amp;盘货信息!$B:$B&amp;盘货信息!$C:$C,盘货信息!$T:$T))),"【瓜分】"&amp;固定信息!$B$7,"")</f>
        <v/>
      </c>
      <c r="U82" s="18" t="str">
        <f>IF($C82="","",IF(AND(R82="",S82="",T82=""),"",固定信息!$B$1))</f>
        <v/>
      </c>
      <c r="V82" s="18" t="str">
        <f t="array" ref="V82">IF(C82="","","【服务】"&amp;IF(_xlfn.XLOOKUP(A82&amp;B82&amp;C82,盘货信息!$A:$A&amp;盘货信息!$B:$B&amp;盘货信息!$C:$C,盘货信息!$V:$V)="","",_xlfn.XLOOKUP(A82&amp;B82&amp;C82,盘货信息!$A:$A&amp;盘货信息!$B:$B&amp;盘货信息!$C:$C,盘货信息!$V:$V)&amp;"免息,")&amp;IF(_xlfn.XLOOKUP(A82&amp;B82&amp;C82,盘货信息!$A:$A&amp;盘货信息!$B:$B&amp;盘货信息!$C:$C,盘货信息!$W:$W)="","",_xlfn.XLOOKUP(A82&amp;B82&amp;C82,盘货信息!$A:$A&amp;盘货信息!$B:$B&amp;盘货信息!$C:$C,盘货信息!$W:$W)&amp;"，")&amp;"送货入户，退换免运费")</f>
        <v/>
      </c>
    </row>
    <row r="83" customHeight="1" spans="1:22">
      <c r="A83" s="17" t="str">
        <f>IF(盘货信息!A83="","",盘货信息!A83)</f>
        <v/>
      </c>
      <c r="B83" s="20" t="str">
        <f>IF(盘货信息!B83="","",盘货信息!B83)</f>
        <v/>
      </c>
      <c r="C83" s="18" t="str">
        <f>IF(盘货信息!C83="","",盘货信息!C83)</f>
        <v/>
      </c>
      <c r="D83" s="18" t="str">
        <f ca="1" t="shared" si="1"/>
        <v/>
      </c>
      <c r="E83" s="18" t="str">
        <f>IF(C83="","",固定信息!$B$2)</f>
        <v/>
      </c>
      <c r="F83" s="18" t="str">
        <f t="array" ref="F83">IF(C83="","","【"&amp;C83&amp;"】"&amp;_xlfn.XLOOKUP(A83&amp;B83&amp;C83,盘货信息!$A:$A&amp;盘货信息!$B:$B&amp;盘货信息!$C:$C,盘货信息!$D:$D))</f>
        <v/>
      </c>
      <c r="G83" s="18" t="str">
        <f>IF(C83="","","【"&amp;"活动时间："&amp;固定信息!$B$3&amp;"】")</f>
        <v/>
      </c>
      <c r="H83" s="18" t="str">
        <f>IF($C83="","",固定信息!$B$1)</f>
        <v/>
      </c>
      <c r="I83" s="18"/>
      <c r="J83" s="18" t="str">
        <f t="array" ref="J83">_xlfn.XLOOKUP(A83&amp;B83&amp;C83,价格信息!$A:$A&amp;价格信息!$B:$B&amp;价格信息!$C:$C,价格信息!$D:$D)</f>
        <v/>
      </c>
      <c r="K83" s="31" t="str">
        <f t="array" ref="K83">IF(_xlfn.XLOOKUP(A83&amp;B83&amp;C83,价格信息!$A:$A&amp;价格信息!$B:$B&amp;价格信息!$C:$C,价格信息!$I:$I)="","","【优惠券链接】"&amp;固定信息!$B$6)</f>
        <v/>
      </c>
      <c r="L83" s="31" t="str">
        <f>IF($C83="","",固定信息!$B$1)</f>
        <v/>
      </c>
      <c r="M83" s="18" t="str">
        <f t="array" ref="M83">IF(_xlfn.XLOOKUP(A83&amp;B83&amp;C83,盘货信息!$A:$A&amp;盘货信息!$B:$B&amp;盘货信息!$C:$C,盘货信息!$O:$O)="","","【优惠券】领"&amp;INDEX(_wpsfn.REGEXP(_xlfn.XLOOKUP(A83&amp;B83&amp;C83,盘货信息!$A:$A&amp;盘货信息!$B:$B&amp;盘货信息!$C:$C,盘货信息!$O:$O),"\d+"),1,1)&amp;"元优惠券下单更优惠，优惠卷："&amp;_xlfn.XLOOKUP(A83&amp;B83&amp;C83,盘货信息!$A:$A&amp;盘货信息!$B:$B&amp;盘货信息!$C:$C,盘货信息!$P:$P))</f>
        <v/>
      </c>
      <c r="N83" s="18" t="str">
        <f t="array" ref="N83">IF(AND(ISNUMBER(_xlfn.XLOOKUP(A83&amp;B83&amp;C83,盘货信息!$A:$A&amp;盘货信息!$B:$B&amp;盘货信息!$C:$C,盘货信息!$I:$I)),_xlfn.XLOOKUP(A83&amp;B83&amp;C83,盘货信息!$A:$A&amp;盘货信息!$B:$B&amp;盘货信息!$C:$C,盘货信息!$I:$I)&gt;1),"【88VIP】立减"&amp;_xlfn.XLOOKUP(A83&amp;B83&amp;C83,盘货信息!$A:$A&amp;盘货信息!$B:$B&amp;盘货信息!$C:$C,盘货信息!$I:$I)&amp;"元","")</f>
        <v/>
      </c>
      <c r="O83" s="18" t="str">
        <f t="array" ref="O83">IF(_xlfn.XLOOKUP(A83&amp;B83&amp;C83,盘货信息!$A:$A&amp;盘货信息!$B:$B&amp;盘货信息!$C:$C,盘货信息!$K:$K)="","",IF(AND(_xlfn.XLOOKUP(A83&amp;B83&amp;C83,盘货信息!$A:$A&amp;盘货信息!$B:$B&amp;盘货信息!$C:$C,盘货信息!$G:$G)="不参加",_xlfn.XLOOKUP(A83&amp;B83&amp;C83,盘货信息!$A:$A&amp;盘货信息!$B:$B&amp;盘货信息!$C:$C,盘货信息!$H:$H)=""),"【以旧换新】"&amp;_xlfn.XLOOKUP(A83&amp;B83&amp;C83,盘货信息!$A:$A&amp;盘货信息!$B:$B&amp;盘货信息!$C:$C,盘货信息!$K:$K)&amp;"元以旧换新补贴（可无旧机换新）",""))</f>
        <v/>
      </c>
      <c r="P83" s="18" t="str">
        <f t="array" ref="P83">_xlfn.XLOOKUP(A83&amp;B83&amp;C83,赠品!$A:$A&amp;赠品!$B:$B&amp;赠品!$C:$C,赠品!$D:$D)</f>
        <v/>
      </c>
      <c r="Q83" s="18" t="str">
        <f>IF($C83="","",IF(AND(M83="",N83="",P83=""),"",固定信息!$B$1))</f>
        <v/>
      </c>
      <c r="R83" s="18" t="str">
        <f t="array" ref="R83">IF(ISNUMBER(SEARCH("是",_xlfn.XLOOKUP(A83&amp;B83&amp;C83,盘货信息!$A:$A&amp;盘货信息!$B:$B&amp;盘货信息!$C:$C,盘货信息!$U:$U))),"【折扣】指定型号满2类享96折，满3类享94折","")</f>
        <v/>
      </c>
      <c r="S83" s="18" t="str">
        <f t="array" ref="S83">IF(_xlfn.XLOOKUP(A83&amp;B83&amp;C83,盘货信息!$A:$A&amp;盘货信息!$B:$B&amp;盘货信息!$C:$C,盘货信息!$Q:$Q)&lt;1,"","【红包】活动时间购机送"&amp;_xlfn.TEXTJOIN("",,IF(ISNUMBER(--MID(_xlfn.XLOOKUP(A83&amp;B83&amp;C83,盘货信息!$A:$A&amp;盘货信息!$B:$B&amp;盘货信息!$C:$C,盘货信息!$Q:$Q),_xlfn.SEQUENCE(LEN(_xlfn.XLOOKUP(A83&amp;B83&amp;C83,盘货信息!$A:$A&amp;盘货信息!$B:$B&amp;盘货信息!$C:$C,盘货信息!$Q:$Q))),1)),MID(_xlfn.XLOOKUP(A83&amp;B83&amp;C83,盘货信息!$A:$A&amp;盘货信息!$B:$B&amp;盘货信息!$C:$C,盘货信息!$Q:$Q),_xlfn.SEQUENCE(LEN(_xlfn.XLOOKUP(A83&amp;B83&amp;C83,盘货信息!$A:$A&amp;盘货信息!$B:$B&amp;盘货信息!$C:$C,盘货信息!$Q:$Q))),1),""))&amp;"元")</f>
        <v/>
      </c>
      <c r="T83" s="18" t="str">
        <f t="array" ref="T83">IF(ISNUMBER(SEARCH("是",_xlfn.XLOOKUP(A83&amp;B83&amp;C83,盘货信息!$A:$A&amp;盘货信息!$B:$B&amp;盘货信息!$C:$C,盘货信息!$T:$T))),"【瓜分】"&amp;固定信息!$B$7,"")</f>
        <v/>
      </c>
      <c r="U83" s="18" t="str">
        <f>IF($C83="","",IF(AND(R83="",S83="",T83=""),"",固定信息!$B$1))</f>
        <v/>
      </c>
      <c r="V83" s="18" t="str">
        <f t="array" ref="V83">IF(C83="","","【服务】"&amp;IF(_xlfn.XLOOKUP(A83&amp;B83&amp;C83,盘货信息!$A:$A&amp;盘货信息!$B:$B&amp;盘货信息!$C:$C,盘货信息!$V:$V)="","",_xlfn.XLOOKUP(A83&amp;B83&amp;C83,盘货信息!$A:$A&amp;盘货信息!$B:$B&amp;盘货信息!$C:$C,盘货信息!$V:$V)&amp;"免息,")&amp;IF(_xlfn.XLOOKUP(A83&amp;B83&amp;C83,盘货信息!$A:$A&amp;盘货信息!$B:$B&amp;盘货信息!$C:$C,盘货信息!$W:$W)="","",_xlfn.XLOOKUP(A83&amp;B83&amp;C83,盘货信息!$A:$A&amp;盘货信息!$B:$B&amp;盘货信息!$C:$C,盘货信息!$W:$W)&amp;"，")&amp;"送货入户，退换免运费")</f>
        <v/>
      </c>
    </row>
    <row r="84" customHeight="1" spans="1:22">
      <c r="A84" s="17" t="str">
        <f>IF(盘货信息!A84="","",盘货信息!A84)</f>
        <v/>
      </c>
      <c r="B84" s="20" t="str">
        <f>IF(盘货信息!B84="","",盘货信息!B84)</f>
        <v/>
      </c>
      <c r="C84" s="18" t="str">
        <f>IF(盘货信息!C84="","",盘货信息!C84)</f>
        <v/>
      </c>
      <c r="D84" s="18" t="str">
        <f ca="1" t="shared" si="1"/>
        <v/>
      </c>
      <c r="E84" s="18" t="str">
        <f>IF(C84="","",固定信息!$B$2)</f>
        <v/>
      </c>
      <c r="F84" s="18" t="str">
        <f t="array" ref="F84">IF(C84="","","【"&amp;C84&amp;"】"&amp;_xlfn.XLOOKUP(A84&amp;B84&amp;C84,盘货信息!$A:$A&amp;盘货信息!$B:$B&amp;盘货信息!$C:$C,盘货信息!$D:$D))</f>
        <v/>
      </c>
      <c r="G84" s="18" t="str">
        <f>IF(C84="","","【"&amp;"活动时间："&amp;固定信息!$B$3&amp;"】")</f>
        <v/>
      </c>
      <c r="H84" s="18" t="str">
        <f>IF($C84="","",固定信息!$B$1)</f>
        <v/>
      </c>
      <c r="I84" s="18"/>
      <c r="J84" s="18" t="str">
        <f t="array" ref="J84">_xlfn.XLOOKUP(A84&amp;B84&amp;C84,价格信息!$A:$A&amp;价格信息!$B:$B&amp;价格信息!$C:$C,价格信息!$D:$D)</f>
        <v/>
      </c>
      <c r="K84" s="31" t="str">
        <f t="array" ref="K84">IF(_xlfn.XLOOKUP(A84&amp;B84&amp;C84,价格信息!$A:$A&amp;价格信息!$B:$B&amp;价格信息!$C:$C,价格信息!$I:$I)="","","【优惠券链接】"&amp;固定信息!$B$6)</f>
        <v/>
      </c>
      <c r="L84" s="31" t="str">
        <f>IF($C84="","",固定信息!$B$1)</f>
        <v/>
      </c>
      <c r="M84" s="18" t="str">
        <f t="array" ref="M84">IF(_xlfn.XLOOKUP(A84&amp;B84&amp;C84,盘货信息!$A:$A&amp;盘货信息!$B:$B&amp;盘货信息!$C:$C,盘货信息!$O:$O)="","","【优惠券】领"&amp;INDEX(_wpsfn.REGEXP(_xlfn.XLOOKUP(A84&amp;B84&amp;C84,盘货信息!$A:$A&amp;盘货信息!$B:$B&amp;盘货信息!$C:$C,盘货信息!$O:$O),"\d+"),1,1)&amp;"元优惠券下单更优惠，优惠卷："&amp;_xlfn.XLOOKUP(A84&amp;B84&amp;C84,盘货信息!$A:$A&amp;盘货信息!$B:$B&amp;盘货信息!$C:$C,盘货信息!$P:$P))</f>
        <v/>
      </c>
      <c r="N84" s="18" t="str">
        <f t="array" ref="N84">IF(AND(ISNUMBER(_xlfn.XLOOKUP(A84&amp;B84&amp;C84,盘货信息!$A:$A&amp;盘货信息!$B:$B&amp;盘货信息!$C:$C,盘货信息!$I:$I)),_xlfn.XLOOKUP(A84&amp;B84&amp;C84,盘货信息!$A:$A&amp;盘货信息!$B:$B&amp;盘货信息!$C:$C,盘货信息!$I:$I)&gt;1),"【88VIP】立减"&amp;_xlfn.XLOOKUP(A84&amp;B84&amp;C84,盘货信息!$A:$A&amp;盘货信息!$B:$B&amp;盘货信息!$C:$C,盘货信息!$I:$I)&amp;"元","")</f>
        <v/>
      </c>
      <c r="O84" s="18" t="str">
        <f t="array" ref="O84">IF(_xlfn.XLOOKUP(A84&amp;B84&amp;C84,盘货信息!$A:$A&amp;盘货信息!$B:$B&amp;盘货信息!$C:$C,盘货信息!$K:$K)="","",IF(AND(_xlfn.XLOOKUP(A84&amp;B84&amp;C84,盘货信息!$A:$A&amp;盘货信息!$B:$B&amp;盘货信息!$C:$C,盘货信息!$G:$G)="不参加",_xlfn.XLOOKUP(A84&amp;B84&amp;C84,盘货信息!$A:$A&amp;盘货信息!$B:$B&amp;盘货信息!$C:$C,盘货信息!$H:$H)=""),"【以旧换新】"&amp;_xlfn.XLOOKUP(A84&amp;B84&amp;C84,盘货信息!$A:$A&amp;盘货信息!$B:$B&amp;盘货信息!$C:$C,盘货信息!$K:$K)&amp;"元以旧换新补贴（可无旧机换新）",""))</f>
        <v/>
      </c>
      <c r="P84" s="18" t="str">
        <f t="array" ref="P84">_xlfn.XLOOKUP(A84&amp;B84&amp;C84,赠品!$A:$A&amp;赠品!$B:$B&amp;赠品!$C:$C,赠品!$D:$D)</f>
        <v/>
      </c>
      <c r="Q84" s="18" t="str">
        <f>IF($C84="","",IF(AND(M84="",N84="",P84=""),"",固定信息!$B$1))</f>
        <v/>
      </c>
      <c r="R84" s="18" t="str">
        <f t="array" ref="R84">IF(ISNUMBER(SEARCH("是",_xlfn.XLOOKUP(A84&amp;B84&amp;C84,盘货信息!$A:$A&amp;盘货信息!$B:$B&amp;盘货信息!$C:$C,盘货信息!$U:$U))),"【折扣】指定型号满2类享96折，满3类享94折","")</f>
        <v/>
      </c>
      <c r="S84" s="18" t="str">
        <f t="array" ref="S84">IF(_xlfn.XLOOKUP(A84&amp;B84&amp;C84,盘货信息!$A:$A&amp;盘货信息!$B:$B&amp;盘货信息!$C:$C,盘货信息!$Q:$Q)&lt;1,"","【红包】活动时间购机送"&amp;_xlfn.TEXTJOIN("",,IF(ISNUMBER(--MID(_xlfn.XLOOKUP(A84&amp;B84&amp;C84,盘货信息!$A:$A&amp;盘货信息!$B:$B&amp;盘货信息!$C:$C,盘货信息!$Q:$Q),_xlfn.SEQUENCE(LEN(_xlfn.XLOOKUP(A84&amp;B84&amp;C84,盘货信息!$A:$A&amp;盘货信息!$B:$B&amp;盘货信息!$C:$C,盘货信息!$Q:$Q))),1)),MID(_xlfn.XLOOKUP(A84&amp;B84&amp;C84,盘货信息!$A:$A&amp;盘货信息!$B:$B&amp;盘货信息!$C:$C,盘货信息!$Q:$Q),_xlfn.SEQUENCE(LEN(_xlfn.XLOOKUP(A84&amp;B84&amp;C84,盘货信息!$A:$A&amp;盘货信息!$B:$B&amp;盘货信息!$C:$C,盘货信息!$Q:$Q))),1),""))&amp;"元")</f>
        <v/>
      </c>
      <c r="T84" s="18" t="str">
        <f t="array" ref="T84">IF(ISNUMBER(SEARCH("是",_xlfn.XLOOKUP(A84&amp;B84&amp;C84,盘货信息!$A:$A&amp;盘货信息!$B:$B&amp;盘货信息!$C:$C,盘货信息!$T:$T))),"【瓜分】"&amp;固定信息!$B$7,"")</f>
        <v/>
      </c>
      <c r="U84" s="18" t="str">
        <f>IF($C84="","",IF(AND(R84="",S84="",T84=""),"",固定信息!$B$1))</f>
        <v/>
      </c>
      <c r="V84" s="18" t="str">
        <f t="array" ref="V84">IF(C84="","","【服务】"&amp;IF(_xlfn.XLOOKUP(A84&amp;B84&amp;C84,盘货信息!$A:$A&amp;盘货信息!$B:$B&amp;盘货信息!$C:$C,盘货信息!$V:$V)="","",_xlfn.XLOOKUP(A84&amp;B84&amp;C84,盘货信息!$A:$A&amp;盘货信息!$B:$B&amp;盘货信息!$C:$C,盘货信息!$V:$V)&amp;"免息,")&amp;IF(_xlfn.XLOOKUP(A84&amp;B84&amp;C84,盘货信息!$A:$A&amp;盘货信息!$B:$B&amp;盘货信息!$C:$C,盘货信息!$W:$W)="","",_xlfn.XLOOKUP(A84&amp;B84&amp;C84,盘货信息!$A:$A&amp;盘货信息!$B:$B&amp;盘货信息!$C:$C,盘货信息!$W:$W)&amp;"，")&amp;"送货入户，退换免运费")</f>
        <v/>
      </c>
    </row>
    <row r="85" customHeight="1" spans="1:22">
      <c r="A85" s="17" t="str">
        <f>IF(盘货信息!A85="","",盘货信息!A85)</f>
        <v/>
      </c>
      <c r="B85" s="20" t="str">
        <f>IF(盘货信息!B85="","",盘货信息!B85)</f>
        <v/>
      </c>
      <c r="C85" s="18" t="str">
        <f>IF(盘货信息!C85="","",盘货信息!C85)</f>
        <v/>
      </c>
      <c r="D85" s="18" t="str">
        <f ca="1" t="shared" si="1"/>
        <v/>
      </c>
      <c r="E85" s="18" t="str">
        <f>IF(C85="","",固定信息!$B$2)</f>
        <v/>
      </c>
      <c r="F85" s="18" t="str">
        <f t="array" ref="F85">IF(C85="","","【"&amp;C85&amp;"】"&amp;_xlfn.XLOOKUP(A85&amp;B85&amp;C85,盘货信息!$A:$A&amp;盘货信息!$B:$B&amp;盘货信息!$C:$C,盘货信息!$D:$D))</f>
        <v/>
      </c>
      <c r="G85" s="18" t="str">
        <f>IF(C85="","","【"&amp;"活动时间："&amp;固定信息!$B$3&amp;"】")</f>
        <v/>
      </c>
      <c r="H85" s="18" t="str">
        <f>IF($C85="","",固定信息!$B$1)</f>
        <v/>
      </c>
      <c r="I85" s="18"/>
      <c r="J85" s="18" t="str">
        <f t="array" ref="J85">_xlfn.XLOOKUP(A85&amp;B85&amp;C85,价格信息!$A:$A&amp;价格信息!$B:$B&amp;价格信息!$C:$C,价格信息!$D:$D)</f>
        <v/>
      </c>
      <c r="K85" s="31" t="str">
        <f t="array" ref="K85">IF(_xlfn.XLOOKUP(A85&amp;B85&amp;C85,价格信息!$A:$A&amp;价格信息!$B:$B&amp;价格信息!$C:$C,价格信息!$I:$I)="","","【优惠券链接】"&amp;固定信息!$B$6)</f>
        <v/>
      </c>
      <c r="L85" s="31" t="str">
        <f>IF($C85="","",固定信息!$B$1)</f>
        <v/>
      </c>
      <c r="M85" s="18" t="str">
        <f t="array" ref="M85">IF(_xlfn.XLOOKUP(A85&amp;B85&amp;C85,盘货信息!$A:$A&amp;盘货信息!$B:$B&amp;盘货信息!$C:$C,盘货信息!$O:$O)="","","【优惠券】领"&amp;INDEX(_wpsfn.REGEXP(_xlfn.XLOOKUP(A85&amp;B85&amp;C85,盘货信息!$A:$A&amp;盘货信息!$B:$B&amp;盘货信息!$C:$C,盘货信息!$O:$O),"\d+"),1,1)&amp;"元优惠券下单更优惠，优惠卷："&amp;_xlfn.XLOOKUP(A85&amp;B85&amp;C85,盘货信息!$A:$A&amp;盘货信息!$B:$B&amp;盘货信息!$C:$C,盘货信息!$P:$P))</f>
        <v/>
      </c>
      <c r="N85" s="18" t="str">
        <f t="array" ref="N85">IF(AND(ISNUMBER(_xlfn.XLOOKUP(A85&amp;B85&amp;C85,盘货信息!$A:$A&amp;盘货信息!$B:$B&amp;盘货信息!$C:$C,盘货信息!$I:$I)),_xlfn.XLOOKUP(A85&amp;B85&amp;C85,盘货信息!$A:$A&amp;盘货信息!$B:$B&amp;盘货信息!$C:$C,盘货信息!$I:$I)&gt;1),"【88VIP】立减"&amp;_xlfn.XLOOKUP(A85&amp;B85&amp;C85,盘货信息!$A:$A&amp;盘货信息!$B:$B&amp;盘货信息!$C:$C,盘货信息!$I:$I)&amp;"元","")</f>
        <v/>
      </c>
      <c r="O85" s="18" t="str">
        <f t="array" ref="O85">IF(_xlfn.XLOOKUP(A85&amp;B85&amp;C85,盘货信息!$A:$A&amp;盘货信息!$B:$B&amp;盘货信息!$C:$C,盘货信息!$K:$K)="","",IF(AND(_xlfn.XLOOKUP(A85&amp;B85&amp;C85,盘货信息!$A:$A&amp;盘货信息!$B:$B&amp;盘货信息!$C:$C,盘货信息!$G:$G)="不参加",_xlfn.XLOOKUP(A85&amp;B85&amp;C85,盘货信息!$A:$A&amp;盘货信息!$B:$B&amp;盘货信息!$C:$C,盘货信息!$H:$H)=""),"【以旧换新】"&amp;_xlfn.XLOOKUP(A85&amp;B85&amp;C85,盘货信息!$A:$A&amp;盘货信息!$B:$B&amp;盘货信息!$C:$C,盘货信息!$K:$K)&amp;"元以旧换新补贴（可无旧机换新）",""))</f>
        <v/>
      </c>
      <c r="P85" s="18" t="str">
        <f t="array" ref="P85">_xlfn.XLOOKUP(A85&amp;B85&amp;C85,赠品!$A:$A&amp;赠品!$B:$B&amp;赠品!$C:$C,赠品!$D:$D)</f>
        <v/>
      </c>
      <c r="Q85" s="18" t="str">
        <f>IF($C85="","",IF(AND(M85="",N85="",P85=""),"",固定信息!$B$1))</f>
        <v/>
      </c>
      <c r="R85" s="18" t="str">
        <f t="array" ref="R85">IF(ISNUMBER(SEARCH("是",_xlfn.XLOOKUP(A85&amp;B85&amp;C85,盘货信息!$A:$A&amp;盘货信息!$B:$B&amp;盘货信息!$C:$C,盘货信息!$U:$U))),"【折扣】指定型号满2类享96折，满3类享94折","")</f>
        <v/>
      </c>
      <c r="S85" s="18" t="str">
        <f t="array" ref="S85">IF(_xlfn.XLOOKUP(A85&amp;B85&amp;C85,盘货信息!$A:$A&amp;盘货信息!$B:$B&amp;盘货信息!$C:$C,盘货信息!$Q:$Q)&lt;1,"","【红包】活动时间购机送"&amp;_xlfn.TEXTJOIN("",,IF(ISNUMBER(--MID(_xlfn.XLOOKUP(A85&amp;B85&amp;C85,盘货信息!$A:$A&amp;盘货信息!$B:$B&amp;盘货信息!$C:$C,盘货信息!$Q:$Q),_xlfn.SEQUENCE(LEN(_xlfn.XLOOKUP(A85&amp;B85&amp;C85,盘货信息!$A:$A&amp;盘货信息!$B:$B&amp;盘货信息!$C:$C,盘货信息!$Q:$Q))),1)),MID(_xlfn.XLOOKUP(A85&amp;B85&amp;C85,盘货信息!$A:$A&amp;盘货信息!$B:$B&amp;盘货信息!$C:$C,盘货信息!$Q:$Q),_xlfn.SEQUENCE(LEN(_xlfn.XLOOKUP(A85&amp;B85&amp;C85,盘货信息!$A:$A&amp;盘货信息!$B:$B&amp;盘货信息!$C:$C,盘货信息!$Q:$Q))),1),""))&amp;"元")</f>
        <v/>
      </c>
      <c r="T85" s="18" t="str">
        <f t="array" ref="T85">IF(ISNUMBER(SEARCH("是",_xlfn.XLOOKUP(A85&amp;B85&amp;C85,盘货信息!$A:$A&amp;盘货信息!$B:$B&amp;盘货信息!$C:$C,盘货信息!$T:$T))),"【瓜分】"&amp;固定信息!$B$7,"")</f>
        <v/>
      </c>
      <c r="U85" s="18" t="str">
        <f>IF($C85="","",IF(AND(R85="",S85="",T85=""),"",固定信息!$B$1))</f>
        <v/>
      </c>
      <c r="V85" s="18" t="str">
        <f t="array" ref="V85">IF(C85="","","【服务】"&amp;IF(_xlfn.XLOOKUP(A85&amp;B85&amp;C85,盘货信息!$A:$A&amp;盘货信息!$B:$B&amp;盘货信息!$C:$C,盘货信息!$V:$V)="","",_xlfn.XLOOKUP(A85&amp;B85&amp;C85,盘货信息!$A:$A&amp;盘货信息!$B:$B&amp;盘货信息!$C:$C,盘货信息!$V:$V)&amp;"免息,")&amp;IF(_xlfn.XLOOKUP(A85&amp;B85&amp;C85,盘货信息!$A:$A&amp;盘货信息!$B:$B&amp;盘货信息!$C:$C,盘货信息!$W:$W)="","",_xlfn.XLOOKUP(A85&amp;B85&amp;C85,盘货信息!$A:$A&amp;盘货信息!$B:$B&amp;盘货信息!$C:$C,盘货信息!$W:$W)&amp;"，")&amp;"送货入户，退换免运费")</f>
        <v/>
      </c>
    </row>
    <row r="86" customHeight="1" spans="1:22">
      <c r="A86" s="17" t="str">
        <f>IF(盘货信息!A86="","",盘货信息!A86)</f>
        <v/>
      </c>
      <c r="B86" s="20" t="str">
        <f>IF(盘货信息!B86="","",盘货信息!B86)</f>
        <v/>
      </c>
      <c r="C86" s="18" t="str">
        <f>IF(盘货信息!C86="","",盘货信息!C86)</f>
        <v/>
      </c>
      <c r="D86" s="18" t="str">
        <f ca="1" t="shared" si="1"/>
        <v/>
      </c>
      <c r="E86" s="18" t="str">
        <f>IF(C86="","",固定信息!$B$2)</f>
        <v/>
      </c>
      <c r="F86" s="18" t="str">
        <f t="array" ref="F86">IF(C86="","","【"&amp;C86&amp;"】"&amp;_xlfn.XLOOKUP(A86&amp;B86&amp;C86,盘货信息!$A:$A&amp;盘货信息!$B:$B&amp;盘货信息!$C:$C,盘货信息!$D:$D))</f>
        <v/>
      </c>
      <c r="G86" s="18" t="str">
        <f>IF(C86="","","【"&amp;"活动时间："&amp;固定信息!$B$3&amp;"】")</f>
        <v/>
      </c>
      <c r="H86" s="18" t="str">
        <f>IF($C86="","",固定信息!$B$1)</f>
        <v/>
      </c>
      <c r="I86" s="18"/>
      <c r="J86" s="18" t="str">
        <f t="array" ref="J86">_xlfn.XLOOKUP(A86&amp;B86&amp;C86,价格信息!$A:$A&amp;价格信息!$B:$B&amp;价格信息!$C:$C,价格信息!$D:$D)</f>
        <v/>
      </c>
      <c r="K86" s="31" t="str">
        <f t="array" ref="K86">IF(_xlfn.XLOOKUP(A86&amp;B86&amp;C86,价格信息!$A:$A&amp;价格信息!$B:$B&amp;价格信息!$C:$C,价格信息!$I:$I)="","","【优惠券链接】"&amp;固定信息!$B$6)</f>
        <v/>
      </c>
      <c r="L86" s="31" t="str">
        <f>IF($C86="","",固定信息!$B$1)</f>
        <v/>
      </c>
      <c r="M86" s="18" t="str">
        <f t="array" ref="M86">IF(_xlfn.XLOOKUP(A86&amp;B86&amp;C86,盘货信息!$A:$A&amp;盘货信息!$B:$B&amp;盘货信息!$C:$C,盘货信息!$O:$O)="","","【优惠券】领"&amp;INDEX(_wpsfn.REGEXP(_xlfn.XLOOKUP(A86&amp;B86&amp;C86,盘货信息!$A:$A&amp;盘货信息!$B:$B&amp;盘货信息!$C:$C,盘货信息!$O:$O),"\d+"),1,1)&amp;"元优惠券下单更优惠，优惠卷："&amp;_xlfn.XLOOKUP(A86&amp;B86&amp;C86,盘货信息!$A:$A&amp;盘货信息!$B:$B&amp;盘货信息!$C:$C,盘货信息!$P:$P))</f>
        <v/>
      </c>
      <c r="N86" s="18" t="str">
        <f t="array" ref="N86">IF(AND(ISNUMBER(_xlfn.XLOOKUP(A86&amp;B86&amp;C86,盘货信息!$A:$A&amp;盘货信息!$B:$B&amp;盘货信息!$C:$C,盘货信息!$I:$I)),_xlfn.XLOOKUP(A86&amp;B86&amp;C86,盘货信息!$A:$A&amp;盘货信息!$B:$B&amp;盘货信息!$C:$C,盘货信息!$I:$I)&gt;1),"【88VIP】立减"&amp;_xlfn.XLOOKUP(A86&amp;B86&amp;C86,盘货信息!$A:$A&amp;盘货信息!$B:$B&amp;盘货信息!$C:$C,盘货信息!$I:$I)&amp;"元","")</f>
        <v/>
      </c>
      <c r="O86" s="18" t="str">
        <f t="array" ref="O86">IF(_xlfn.XLOOKUP(A86&amp;B86&amp;C86,盘货信息!$A:$A&amp;盘货信息!$B:$B&amp;盘货信息!$C:$C,盘货信息!$K:$K)="","",IF(AND(_xlfn.XLOOKUP(A86&amp;B86&amp;C86,盘货信息!$A:$A&amp;盘货信息!$B:$B&amp;盘货信息!$C:$C,盘货信息!$G:$G)="不参加",_xlfn.XLOOKUP(A86&amp;B86&amp;C86,盘货信息!$A:$A&amp;盘货信息!$B:$B&amp;盘货信息!$C:$C,盘货信息!$H:$H)=""),"【以旧换新】"&amp;_xlfn.XLOOKUP(A86&amp;B86&amp;C86,盘货信息!$A:$A&amp;盘货信息!$B:$B&amp;盘货信息!$C:$C,盘货信息!$K:$K)&amp;"元以旧换新补贴（可无旧机换新）",""))</f>
        <v/>
      </c>
      <c r="P86" s="18" t="str">
        <f t="array" ref="P86">_xlfn.XLOOKUP(A86&amp;B86&amp;C86,赠品!$A:$A&amp;赠品!$B:$B&amp;赠品!$C:$C,赠品!$D:$D)</f>
        <v/>
      </c>
      <c r="Q86" s="18" t="str">
        <f>IF($C86="","",IF(AND(M86="",N86="",P86=""),"",固定信息!$B$1))</f>
        <v/>
      </c>
      <c r="R86" s="18" t="str">
        <f t="array" ref="R86">IF(ISNUMBER(SEARCH("是",_xlfn.XLOOKUP(A86&amp;B86&amp;C86,盘货信息!$A:$A&amp;盘货信息!$B:$B&amp;盘货信息!$C:$C,盘货信息!$U:$U))),"【折扣】指定型号满2类享96折，满3类享94折","")</f>
        <v/>
      </c>
      <c r="S86" s="18" t="str">
        <f t="array" ref="S86">IF(_xlfn.XLOOKUP(A86&amp;B86&amp;C86,盘货信息!$A:$A&amp;盘货信息!$B:$B&amp;盘货信息!$C:$C,盘货信息!$Q:$Q)&lt;1,"","【红包】活动时间购机送"&amp;_xlfn.TEXTJOIN("",,IF(ISNUMBER(--MID(_xlfn.XLOOKUP(A86&amp;B86&amp;C86,盘货信息!$A:$A&amp;盘货信息!$B:$B&amp;盘货信息!$C:$C,盘货信息!$Q:$Q),_xlfn.SEQUENCE(LEN(_xlfn.XLOOKUP(A86&amp;B86&amp;C86,盘货信息!$A:$A&amp;盘货信息!$B:$B&amp;盘货信息!$C:$C,盘货信息!$Q:$Q))),1)),MID(_xlfn.XLOOKUP(A86&amp;B86&amp;C86,盘货信息!$A:$A&amp;盘货信息!$B:$B&amp;盘货信息!$C:$C,盘货信息!$Q:$Q),_xlfn.SEQUENCE(LEN(_xlfn.XLOOKUP(A86&amp;B86&amp;C86,盘货信息!$A:$A&amp;盘货信息!$B:$B&amp;盘货信息!$C:$C,盘货信息!$Q:$Q))),1),""))&amp;"元")</f>
        <v/>
      </c>
      <c r="T86" s="18" t="str">
        <f t="array" ref="T86">IF(ISNUMBER(SEARCH("是",_xlfn.XLOOKUP(A86&amp;B86&amp;C86,盘货信息!$A:$A&amp;盘货信息!$B:$B&amp;盘货信息!$C:$C,盘货信息!$T:$T))),"【瓜分】"&amp;固定信息!$B$7,"")</f>
        <v/>
      </c>
      <c r="U86" s="18" t="str">
        <f>IF($C86="","",IF(AND(R86="",S86="",T86=""),"",固定信息!$B$1))</f>
        <v/>
      </c>
      <c r="V86" s="18" t="str">
        <f t="array" ref="V86">IF(C86="","","【服务】"&amp;IF(_xlfn.XLOOKUP(A86&amp;B86&amp;C86,盘货信息!$A:$A&amp;盘货信息!$B:$B&amp;盘货信息!$C:$C,盘货信息!$V:$V)="","",_xlfn.XLOOKUP(A86&amp;B86&amp;C86,盘货信息!$A:$A&amp;盘货信息!$B:$B&amp;盘货信息!$C:$C,盘货信息!$V:$V)&amp;"免息,")&amp;IF(_xlfn.XLOOKUP(A86&amp;B86&amp;C86,盘货信息!$A:$A&amp;盘货信息!$B:$B&amp;盘货信息!$C:$C,盘货信息!$W:$W)="","",_xlfn.XLOOKUP(A86&amp;B86&amp;C86,盘货信息!$A:$A&amp;盘货信息!$B:$B&amp;盘货信息!$C:$C,盘货信息!$W:$W)&amp;"，")&amp;"送货入户，退换免运费")</f>
        <v/>
      </c>
    </row>
    <row r="87" customHeight="1" spans="1:22">
      <c r="A87" s="17" t="str">
        <f>IF(盘货信息!A87="","",盘货信息!A87)</f>
        <v/>
      </c>
      <c r="B87" s="20" t="str">
        <f>IF(盘货信息!B87="","",盘货信息!B87)</f>
        <v/>
      </c>
      <c r="C87" s="18" t="str">
        <f>IF(盘货信息!C87="","",盘货信息!C87)</f>
        <v/>
      </c>
      <c r="D87" s="18" t="str">
        <f ca="1" t="shared" si="1"/>
        <v/>
      </c>
      <c r="E87" s="18" t="str">
        <f>IF(C87="","",固定信息!$B$2)</f>
        <v/>
      </c>
      <c r="F87" s="18" t="str">
        <f t="array" ref="F87">IF(C87="","","【"&amp;C87&amp;"】"&amp;_xlfn.XLOOKUP(A87&amp;B87&amp;C87,盘货信息!$A:$A&amp;盘货信息!$B:$B&amp;盘货信息!$C:$C,盘货信息!$D:$D))</f>
        <v/>
      </c>
      <c r="G87" s="18" t="str">
        <f>IF(C87="","","【"&amp;"活动时间："&amp;固定信息!$B$3&amp;"】")</f>
        <v/>
      </c>
      <c r="H87" s="18" t="str">
        <f>IF($C87="","",固定信息!$B$1)</f>
        <v/>
      </c>
      <c r="I87" s="18"/>
      <c r="J87" s="18" t="str">
        <f t="array" ref="J87">_xlfn.XLOOKUP(A87&amp;B87&amp;C87,价格信息!$A:$A&amp;价格信息!$B:$B&amp;价格信息!$C:$C,价格信息!$D:$D)</f>
        <v/>
      </c>
      <c r="K87" s="31" t="str">
        <f t="array" ref="K87">IF(_xlfn.XLOOKUP(A87&amp;B87&amp;C87,价格信息!$A:$A&amp;价格信息!$B:$B&amp;价格信息!$C:$C,价格信息!$I:$I)="","","【优惠券链接】"&amp;固定信息!$B$6)</f>
        <v/>
      </c>
      <c r="L87" s="31" t="str">
        <f>IF($C87="","",固定信息!$B$1)</f>
        <v/>
      </c>
      <c r="M87" s="18" t="str">
        <f t="array" ref="M87">IF(_xlfn.XLOOKUP(A87&amp;B87&amp;C87,盘货信息!$A:$A&amp;盘货信息!$B:$B&amp;盘货信息!$C:$C,盘货信息!$O:$O)="","","【优惠券】领"&amp;INDEX(_wpsfn.REGEXP(_xlfn.XLOOKUP(A87&amp;B87&amp;C87,盘货信息!$A:$A&amp;盘货信息!$B:$B&amp;盘货信息!$C:$C,盘货信息!$O:$O),"\d+"),1,1)&amp;"元优惠券下单更优惠，优惠卷："&amp;_xlfn.XLOOKUP(A87&amp;B87&amp;C87,盘货信息!$A:$A&amp;盘货信息!$B:$B&amp;盘货信息!$C:$C,盘货信息!$P:$P))</f>
        <v/>
      </c>
      <c r="N87" s="18" t="str">
        <f t="array" ref="N87">IF(AND(ISNUMBER(_xlfn.XLOOKUP(A87&amp;B87&amp;C87,盘货信息!$A:$A&amp;盘货信息!$B:$B&amp;盘货信息!$C:$C,盘货信息!$I:$I)),_xlfn.XLOOKUP(A87&amp;B87&amp;C87,盘货信息!$A:$A&amp;盘货信息!$B:$B&amp;盘货信息!$C:$C,盘货信息!$I:$I)&gt;1),"【88VIP】立减"&amp;_xlfn.XLOOKUP(A87&amp;B87&amp;C87,盘货信息!$A:$A&amp;盘货信息!$B:$B&amp;盘货信息!$C:$C,盘货信息!$I:$I)&amp;"元","")</f>
        <v/>
      </c>
      <c r="O87" s="18" t="str">
        <f t="array" ref="O87">IF(_xlfn.XLOOKUP(A87&amp;B87&amp;C87,盘货信息!$A:$A&amp;盘货信息!$B:$B&amp;盘货信息!$C:$C,盘货信息!$K:$K)="","",IF(AND(_xlfn.XLOOKUP(A87&amp;B87&amp;C87,盘货信息!$A:$A&amp;盘货信息!$B:$B&amp;盘货信息!$C:$C,盘货信息!$G:$G)="不参加",_xlfn.XLOOKUP(A87&amp;B87&amp;C87,盘货信息!$A:$A&amp;盘货信息!$B:$B&amp;盘货信息!$C:$C,盘货信息!$H:$H)=""),"【以旧换新】"&amp;_xlfn.XLOOKUP(A87&amp;B87&amp;C87,盘货信息!$A:$A&amp;盘货信息!$B:$B&amp;盘货信息!$C:$C,盘货信息!$K:$K)&amp;"元以旧换新补贴（可无旧机换新）",""))</f>
        <v/>
      </c>
      <c r="P87" s="18" t="str">
        <f t="array" ref="P87">_xlfn.XLOOKUP(A87&amp;B87&amp;C87,赠品!$A:$A&amp;赠品!$B:$B&amp;赠品!$C:$C,赠品!$D:$D)</f>
        <v/>
      </c>
      <c r="Q87" s="18" t="str">
        <f>IF($C87="","",IF(AND(M87="",N87="",P87=""),"",固定信息!$B$1))</f>
        <v/>
      </c>
      <c r="R87" s="18" t="str">
        <f t="array" ref="R87">IF(ISNUMBER(SEARCH("是",_xlfn.XLOOKUP(A87&amp;B87&amp;C87,盘货信息!$A:$A&amp;盘货信息!$B:$B&amp;盘货信息!$C:$C,盘货信息!$U:$U))),"【折扣】指定型号满2类享96折，满3类享94折","")</f>
        <v/>
      </c>
      <c r="S87" s="18" t="str">
        <f t="array" ref="S87">IF(_xlfn.XLOOKUP(A87&amp;B87&amp;C87,盘货信息!$A:$A&amp;盘货信息!$B:$B&amp;盘货信息!$C:$C,盘货信息!$Q:$Q)&lt;1,"","【红包】活动时间购机送"&amp;_xlfn.TEXTJOIN("",,IF(ISNUMBER(--MID(_xlfn.XLOOKUP(A87&amp;B87&amp;C87,盘货信息!$A:$A&amp;盘货信息!$B:$B&amp;盘货信息!$C:$C,盘货信息!$Q:$Q),_xlfn.SEQUENCE(LEN(_xlfn.XLOOKUP(A87&amp;B87&amp;C87,盘货信息!$A:$A&amp;盘货信息!$B:$B&amp;盘货信息!$C:$C,盘货信息!$Q:$Q))),1)),MID(_xlfn.XLOOKUP(A87&amp;B87&amp;C87,盘货信息!$A:$A&amp;盘货信息!$B:$B&amp;盘货信息!$C:$C,盘货信息!$Q:$Q),_xlfn.SEQUENCE(LEN(_xlfn.XLOOKUP(A87&amp;B87&amp;C87,盘货信息!$A:$A&amp;盘货信息!$B:$B&amp;盘货信息!$C:$C,盘货信息!$Q:$Q))),1),""))&amp;"元")</f>
        <v/>
      </c>
      <c r="T87" s="18" t="str">
        <f t="array" ref="T87">IF(ISNUMBER(SEARCH("是",_xlfn.XLOOKUP(A87&amp;B87&amp;C87,盘货信息!$A:$A&amp;盘货信息!$B:$B&amp;盘货信息!$C:$C,盘货信息!$T:$T))),"【瓜分】"&amp;固定信息!$B$7,"")</f>
        <v/>
      </c>
      <c r="U87" s="18" t="str">
        <f>IF($C87="","",IF(AND(R87="",S87="",T87=""),"",固定信息!$B$1))</f>
        <v/>
      </c>
      <c r="V87" s="18" t="str">
        <f t="array" ref="V87">IF(C87="","","【服务】"&amp;IF(_xlfn.XLOOKUP(A87&amp;B87&amp;C87,盘货信息!$A:$A&amp;盘货信息!$B:$B&amp;盘货信息!$C:$C,盘货信息!$V:$V)="","",_xlfn.XLOOKUP(A87&amp;B87&amp;C87,盘货信息!$A:$A&amp;盘货信息!$B:$B&amp;盘货信息!$C:$C,盘货信息!$V:$V)&amp;"免息,")&amp;IF(_xlfn.XLOOKUP(A87&amp;B87&amp;C87,盘货信息!$A:$A&amp;盘货信息!$B:$B&amp;盘货信息!$C:$C,盘货信息!$W:$W)="","",_xlfn.XLOOKUP(A87&amp;B87&amp;C87,盘货信息!$A:$A&amp;盘货信息!$B:$B&amp;盘货信息!$C:$C,盘货信息!$W:$W)&amp;"，")&amp;"送货入户，退换免运费")</f>
        <v/>
      </c>
    </row>
    <row r="88" customHeight="1" spans="1:22">
      <c r="A88" s="17" t="str">
        <f>IF(盘货信息!A88="","",盘货信息!A88)</f>
        <v/>
      </c>
      <c r="B88" s="20" t="str">
        <f>IF(盘货信息!B88="","",盘货信息!B88)</f>
        <v/>
      </c>
      <c r="C88" s="18" t="str">
        <f>IF(盘货信息!C88="","",盘货信息!C88)</f>
        <v/>
      </c>
      <c r="D88" s="18" t="str">
        <f ca="1" t="shared" si="1"/>
        <v/>
      </c>
      <c r="E88" s="18" t="str">
        <f>IF(C88="","",固定信息!$B$2)</f>
        <v/>
      </c>
      <c r="F88" s="18" t="str">
        <f t="array" ref="F88">IF(C88="","","【"&amp;C88&amp;"】"&amp;_xlfn.XLOOKUP(A88&amp;B88&amp;C88,盘货信息!$A:$A&amp;盘货信息!$B:$B&amp;盘货信息!$C:$C,盘货信息!$D:$D))</f>
        <v/>
      </c>
      <c r="G88" s="18" t="str">
        <f>IF(C88="","","【"&amp;"活动时间："&amp;固定信息!$B$3&amp;"】")</f>
        <v/>
      </c>
      <c r="H88" s="18" t="str">
        <f>IF($C88="","",固定信息!$B$1)</f>
        <v/>
      </c>
      <c r="I88" s="18"/>
      <c r="J88" s="18" t="str">
        <f t="array" ref="J88">_xlfn.XLOOKUP(A88&amp;B88&amp;C88,价格信息!$A:$A&amp;价格信息!$B:$B&amp;价格信息!$C:$C,价格信息!$D:$D)</f>
        <v/>
      </c>
      <c r="K88" s="31" t="str">
        <f t="array" ref="K88">IF(_xlfn.XLOOKUP(A88&amp;B88&amp;C88,价格信息!$A:$A&amp;价格信息!$B:$B&amp;价格信息!$C:$C,价格信息!$I:$I)="","","【优惠券链接】"&amp;固定信息!$B$6)</f>
        <v/>
      </c>
      <c r="L88" s="31" t="str">
        <f>IF($C88="","",固定信息!$B$1)</f>
        <v/>
      </c>
      <c r="M88" s="18" t="str">
        <f t="array" ref="M88">IF(_xlfn.XLOOKUP(A88&amp;B88&amp;C88,盘货信息!$A:$A&amp;盘货信息!$B:$B&amp;盘货信息!$C:$C,盘货信息!$O:$O)="","","【优惠券】领"&amp;INDEX(_wpsfn.REGEXP(_xlfn.XLOOKUP(A88&amp;B88&amp;C88,盘货信息!$A:$A&amp;盘货信息!$B:$B&amp;盘货信息!$C:$C,盘货信息!$O:$O),"\d+"),1,1)&amp;"元优惠券下单更优惠，优惠卷："&amp;_xlfn.XLOOKUP(A88&amp;B88&amp;C88,盘货信息!$A:$A&amp;盘货信息!$B:$B&amp;盘货信息!$C:$C,盘货信息!$P:$P))</f>
        <v/>
      </c>
      <c r="N88" s="18" t="str">
        <f t="array" ref="N88">IF(AND(ISNUMBER(_xlfn.XLOOKUP(A88&amp;B88&amp;C88,盘货信息!$A:$A&amp;盘货信息!$B:$B&amp;盘货信息!$C:$C,盘货信息!$I:$I)),_xlfn.XLOOKUP(A88&amp;B88&amp;C88,盘货信息!$A:$A&amp;盘货信息!$B:$B&amp;盘货信息!$C:$C,盘货信息!$I:$I)&gt;1),"【88VIP】立减"&amp;_xlfn.XLOOKUP(A88&amp;B88&amp;C88,盘货信息!$A:$A&amp;盘货信息!$B:$B&amp;盘货信息!$C:$C,盘货信息!$I:$I)&amp;"元","")</f>
        <v/>
      </c>
      <c r="O88" s="18" t="str">
        <f t="array" ref="O88">IF(_xlfn.XLOOKUP(A88&amp;B88&amp;C88,盘货信息!$A:$A&amp;盘货信息!$B:$B&amp;盘货信息!$C:$C,盘货信息!$K:$K)="","",IF(AND(_xlfn.XLOOKUP(A88&amp;B88&amp;C88,盘货信息!$A:$A&amp;盘货信息!$B:$B&amp;盘货信息!$C:$C,盘货信息!$G:$G)="不参加",_xlfn.XLOOKUP(A88&amp;B88&amp;C88,盘货信息!$A:$A&amp;盘货信息!$B:$B&amp;盘货信息!$C:$C,盘货信息!$H:$H)=""),"【以旧换新】"&amp;_xlfn.XLOOKUP(A88&amp;B88&amp;C88,盘货信息!$A:$A&amp;盘货信息!$B:$B&amp;盘货信息!$C:$C,盘货信息!$K:$K)&amp;"元以旧换新补贴（可无旧机换新）",""))</f>
        <v/>
      </c>
      <c r="P88" s="18" t="str">
        <f t="array" ref="P88">_xlfn.XLOOKUP(A88&amp;B88&amp;C88,赠品!$A:$A&amp;赠品!$B:$B&amp;赠品!$C:$C,赠品!$D:$D)</f>
        <v/>
      </c>
      <c r="Q88" s="18" t="str">
        <f>IF($C88="","",IF(AND(M88="",N88="",P88=""),"",固定信息!$B$1))</f>
        <v/>
      </c>
      <c r="R88" s="18" t="str">
        <f t="array" ref="R88">IF(ISNUMBER(SEARCH("是",_xlfn.XLOOKUP(A88&amp;B88&amp;C88,盘货信息!$A:$A&amp;盘货信息!$B:$B&amp;盘货信息!$C:$C,盘货信息!$U:$U))),"【折扣】指定型号满2类享96折，满3类享94折","")</f>
        <v/>
      </c>
      <c r="S88" s="18" t="str">
        <f t="array" ref="S88">IF(_xlfn.XLOOKUP(A88&amp;B88&amp;C88,盘货信息!$A:$A&amp;盘货信息!$B:$B&amp;盘货信息!$C:$C,盘货信息!$Q:$Q)&lt;1,"","【红包】活动时间购机送"&amp;_xlfn.TEXTJOIN("",,IF(ISNUMBER(--MID(_xlfn.XLOOKUP(A88&amp;B88&amp;C88,盘货信息!$A:$A&amp;盘货信息!$B:$B&amp;盘货信息!$C:$C,盘货信息!$Q:$Q),_xlfn.SEQUENCE(LEN(_xlfn.XLOOKUP(A88&amp;B88&amp;C88,盘货信息!$A:$A&amp;盘货信息!$B:$B&amp;盘货信息!$C:$C,盘货信息!$Q:$Q))),1)),MID(_xlfn.XLOOKUP(A88&amp;B88&amp;C88,盘货信息!$A:$A&amp;盘货信息!$B:$B&amp;盘货信息!$C:$C,盘货信息!$Q:$Q),_xlfn.SEQUENCE(LEN(_xlfn.XLOOKUP(A88&amp;B88&amp;C88,盘货信息!$A:$A&amp;盘货信息!$B:$B&amp;盘货信息!$C:$C,盘货信息!$Q:$Q))),1),""))&amp;"元")</f>
        <v/>
      </c>
      <c r="T88" s="18" t="str">
        <f t="array" ref="T88">IF(ISNUMBER(SEARCH("是",_xlfn.XLOOKUP(A88&amp;B88&amp;C88,盘货信息!$A:$A&amp;盘货信息!$B:$B&amp;盘货信息!$C:$C,盘货信息!$T:$T))),"【瓜分】"&amp;固定信息!$B$7,"")</f>
        <v/>
      </c>
      <c r="U88" s="18" t="str">
        <f>IF($C88="","",IF(AND(R88="",S88="",T88=""),"",固定信息!$B$1))</f>
        <v/>
      </c>
      <c r="V88" s="18" t="str">
        <f t="array" ref="V88">IF(C88="","","【服务】"&amp;IF(_xlfn.XLOOKUP(A88&amp;B88&amp;C88,盘货信息!$A:$A&amp;盘货信息!$B:$B&amp;盘货信息!$C:$C,盘货信息!$V:$V)="","",_xlfn.XLOOKUP(A88&amp;B88&amp;C88,盘货信息!$A:$A&amp;盘货信息!$B:$B&amp;盘货信息!$C:$C,盘货信息!$V:$V)&amp;"免息,")&amp;IF(_xlfn.XLOOKUP(A88&amp;B88&amp;C88,盘货信息!$A:$A&amp;盘货信息!$B:$B&amp;盘货信息!$C:$C,盘货信息!$W:$W)="","",_xlfn.XLOOKUP(A88&amp;B88&amp;C88,盘货信息!$A:$A&amp;盘货信息!$B:$B&amp;盘货信息!$C:$C,盘货信息!$W:$W)&amp;"，")&amp;"送货入户，退换免运费")</f>
        <v/>
      </c>
    </row>
    <row r="89" customHeight="1" spans="1:22">
      <c r="A89" s="17" t="str">
        <f>IF(盘货信息!A89="","",盘货信息!A89)</f>
        <v/>
      </c>
      <c r="B89" s="20" t="str">
        <f>IF(盘货信息!B89="","",盘货信息!B89)</f>
        <v/>
      </c>
      <c r="C89" s="18" t="str">
        <f>IF(盘货信息!C89="","",盘货信息!C89)</f>
        <v/>
      </c>
      <c r="D89" s="18" t="str">
        <f ca="1" t="shared" si="1"/>
        <v/>
      </c>
      <c r="E89" s="18" t="str">
        <f>IF(C89="","",固定信息!$B$2)</f>
        <v/>
      </c>
      <c r="F89" s="18" t="str">
        <f t="array" ref="F89">IF(C89="","","【"&amp;C89&amp;"】"&amp;_xlfn.XLOOKUP(A89&amp;B89&amp;C89,盘货信息!$A:$A&amp;盘货信息!$B:$B&amp;盘货信息!$C:$C,盘货信息!$D:$D))</f>
        <v/>
      </c>
      <c r="G89" s="18" t="str">
        <f>IF(C89="","","【"&amp;"活动时间："&amp;固定信息!$B$3&amp;"】")</f>
        <v/>
      </c>
      <c r="H89" s="18" t="str">
        <f>IF($C89="","",固定信息!$B$1)</f>
        <v/>
      </c>
      <c r="I89" s="18"/>
      <c r="J89" s="18" t="str">
        <f t="array" ref="J89">_xlfn.XLOOKUP(A89&amp;B89&amp;C89,价格信息!$A:$A&amp;价格信息!$B:$B&amp;价格信息!$C:$C,价格信息!$D:$D)</f>
        <v/>
      </c>
      <c r="K89" s="31" t="str">
        <f t="array" ref="K89">IF(_xlfn.XLOOKUP(A89&amp;B89&amp;C89,价格信息!$A:$A&amp;价格信息!$B:$B&amp;价格信息!$C:$C,价格信息!$I:$I)="","","【优惠券链接】"&amp;固定信息!$B$6)</f>
        <v/>
      </c>
      <c r="L89" s="31" t="str">
        <f>IF($C89="","",固定信息!$B$1)</f>
        <v/>
      </c>
      <c r="M89" s="18" t="str">
        <f t="array" ref="M89">IF(_xlfn.XLOOKUP(A89&amp;B89&amp;C89,盘货信息!$A:$A&amp;盘货信息!$B:$B&amp;盘货信息!$C:$C,盘货信息!$O:$O)="","","【优惠券】领"&amp;INDEX(_wpsfn.REGEXP(_xlfn.XLOOKUP(A89&amp;B89&amp;C89,盘货信息!$A:$A&amp;盘货信息!$B:$B&amp;盘货信息!$C:$C,盘货信息!$O:$O),"\d+"),1,1)&amp;"元优惠券下单更优惠，优惠卷："&amp;_xlfn.XLOOKUP(A89&amp;B89&amp;C89,盘货信息!$A:$A&amp;盘货信息!$B:$B&amp;盘货信息!$C:$C,盘货信息!$P:$P))</f>
        <v/>
      </c>
      <c r="N89" s="18" t="str">
        <f t="array" ref="N89">IF(AND(ISNUMBER(_xlfn.XLOOKUP(A89&amp;B89&amp;C89,盘货信息!$A:$A&amp;盘货信息!$B:$B&amp;盘货信息!$C:$C,盘货信息!$I:$I)),_xlfn.XLOOKUP(A89&amp;B89&amp;C89,盘货信息!$A:$A&amp;盘货信息!$B:$B&amp;盘货信息!$C:$C,盘货信息!$I:$I)&gt;1),"【88VIP】立减"&amp;_xlfn.XLOOKUP(A89&amp;B89&amp;C89,盘货信息!$A:$A&amp;盘货信息!$B:$B&amp;盘货信息!$C:$C,盘货信息!$I:$I)&amp;"元","")</f>
        <v/>
      </c>
      <c r="O89" s="18" t="str">
        <f t="array" ref="O89">IF(_xlfn.XLOOKUP(A89&amp;B89&amp;C89,盘货信息!$A:$A&amp;盘货信息!$B:$B&amp;盘货信息!$C:$C,盘货信息!$K:$K)="","",IF(AND(_xlfn.XLOOKUP(A89&amp;B89&amp;C89,盘货信息!$A:$A&amp;盘货信息!$B:$B&amp;盘货信息!$C:$C,盘货信息!$G:$G)="不参加",_xlfn.XLOOKUP(A89&amp;B89&amp;C89,盘货信息!$A:$A&amp;盘货信息!$B:$B&amp;盘货信息!$C:$C,盘货信息!$H:$H)=""),"【以旧换新】"&amp;_xlfn.XLOOKUP(A89&amp;B89&amp;C89,盘货信息!$A:$A&amp;盘货信息!$B:$B&amp;盘货信息!$C:$C,盘货信息!$K:$K)&amp;"元以旧换新补贴（可无旧机换新）",""))</f>
        <v/>
      </c>
      <c r="P89" s="18" t="str">
        <f t="array" ref="P89">_xlfn.XLOOKUP(A89&amp;B89&amp;C89,赠品!$A:$A&amp;赠品!$B:$B&amp;赠品!$C:$C,赠品!$D:$D)</f>
        <v/>
      </c>
      <c r="Q89" s="18" t="str">
        <f>IF($C89="","",IF(AND(M89="",N89="",P89=""),"",固定信息!$B$1))</f>
        <v/>
      </c>
      <c r="R89" s="18" t="str">
        <f t="array" ref="R89">IF(ISNUMBER(SEARCH("是",_xlfn.XLOOKUP(A89&amp;B89&amp;C89,盘货信息!$A:$A&amp;盘货信息!$B:$B&amp;盘货信息!$C:$C,盘货信息!$U:$U))),"【折扣】指定型号满2类享96折，满3类享94折","")</f>
        <v/>
      </c>
      <c r="S89" s="18" t="str">
        <f t="array" ref="S89">IF(_xlfn.XLOOKUP(A89&amp;B89&amp;C89,盘货信息!$A:$A&amp;盘货信息!$B:$B&amp;盘货信息!$C:$C,盘货信息!$Q:$Q)&lt;1,"","【红包】活动时间购机送"&amp;_xlfn.TEXTJOIN("",,IF(ISNUMBER(--MID(_xlfn.XLOOKUP(A89&amp;B89&amp;C89,盘货信息!$A:$A&amp;盘货信息!$B:$B&amp;盘货信息!$C:$C,盘货信息!$Q:$Q),_xlfn.SEQUENCE(LEN(_xlfn.XLOOKUP(A89&amp;B89&amp;C89,盘货信息!$A:$A&amp;盘货信息!$B:$B&amp;盘货信息!$C:$C,盘货信息!$Q:$Q))),1)),MID(_xlfn.XLOOKUP(A89&amp;B89&amp;C89,盘货信息!$A:$A&amp;盘货信息!$B:$B&amp;盘货信息!$C:$C,盘货信息!$Q:$Q),_xlfn.SEQUENCE(LEN(_xlfn.XLOOKUP(A89&amp;B89&amp;C89,盘货信息!$A:$A&amp;盘货信息!$B:$B&amp;盘货信息!$C:$C,盘货信息!$Q:$Q))),1),""))&amp;"元")</f>
        <v/>
      </c>
      <c r="T89" s="18" t="str">
        <f t="array" ref="T89">IF(ISNUMBER(SEARCH("是",_xlfn.XLOOKUP(A89&amp;B89&amp;C89,盘货信息!$A:$A&amp;盘货信息!$B:$B&amp;盘货信息!$C:$C,盘货信息!$T:$T))),"【瓜分】"&amp;固定信息!$B$7,"")</f>
        <v/>
      </c>
      <c r="U89" s="18" t="str">
        <f>IF($C89="","",IF(AND(R89="",S89="",T89=""),"",固定信息!$B$1))</f>
        <v/>
      </c>
      <c r="V89" s="18" t="str">
        <f t="array" ref="V89">IF(C89="","","【服务】"&amp;IF(_xlfn.XLOOKUP(A89&amp;B89&amp;C89,盘货信息!$A:$A&amp;盘货信息!$B:$B&amp;盘货信息!$C:$C,盘货信息!$V:$V)="","",_xlfn.XLOOKUP(A89&amp;B89&amp;C89,盘货信息!$A:$A&amp;盘货信息!$B:$B&amp;盘货信息!$C:$C,盘货信息!$V:$V)&amp;"免息,")&amp;IF(_xlfn.XLOOKUP(A89&amp;B89&amp;C89,盘货信息!$A:$A&amp;盘货信息!$B:$B&amp;盘货信息!$C:$C,盘货信息!$W:$W)="","",_xlfn.XLOOKUP(A89&amp;B89&amp;C89,盘货信息!$A:$A&amp;盘货信息!$B:$B&amp;盘货信息!$C:$C,盘货信息!$W:$W)&amp;"，")&amp;"送货入户，退换免运费")</f>
        <v/>
      </c>
    </row>
    <row r="90" customHeight="1" spans="1:22">
      <c r="A90" s="17" t="str">
        <f>IF(盘货信息!A90="","",盘货信息!A90)</f>
        <v/>
      </c>
      <c r="B90" s="20" t="str">
        <f>IF(盘货信息!B90="","",盘货信息!B90)</f>
        <v/>
      </c>
      <c r="C90" s="18" t="str">
        <f>IF(盘货信息!C90="","",盘货信息!C90)</f>
        <v/>
      </c>
      <c r="D90" s="18" t="str">
        <f ca="1" t="shared" si="1"/>
        <v/>
      </c>
      <c r="E90" s="18" t="str">
        <f>IF(C90="","",固定信息!$B$2)</f>
        <v/>
      </c>
      <c r="F90" s="18" t="str">
        <f t="array" ref="F90">IF(C90="","","【"&amp;C90&amp;"】"&amp;_xlfn.XLOOKUP(A90&amp;B90&amp;C90,盘货信息!$A:$A&amp;盘货信息!$B:$B&amp;盘货信息!$C:$C,盘货信息!$D:$D))</f>
        <v/>
      </c>
      <c r="G90" s="18" t="str">
        <f>IF(C90="","","【"&amp;"活动时间："&amp;固定信息!$B$3&amp;"】")</f>
        <v/>
      </c>
      <c r="H90" s="18" t="str">
        <f>IF($C90="","",固定信息!$B$1)</f>
        <v/>
      </c>
      <c r="I90" s="18"/>
      <c r="J90" s="18" t="str">
        <f t="array" ref="J90">_xlfn.XLOOKUP(A90&amp;B90&amp;C90,价格信息!$A:$A&amp;价格信息!$B:$B&amp;价格信息!$C:$C,价格信息!$D:$D)</f>
        <v/>
      </c>
      <c r="K90" s="31" t="str">
        <f t="array" ref="K90">IF(_xlfn.XLOOKUP(A90&amp;B90&amp;C90,价格信息!$A:$A&amp;价格信息!$B:$B&amp;价格信息!$C:$C,价格信息!$I:$I)="","","【优惠券链接】"&amp;固定信息!$B$6)</f>
        <v/>
      </c>
      <c r="L90" s="31" t="str">
        <f>IF($C90="","",固定信息!$B$1)</f>
        <v/>
      </c>
      <c r="M90" s="18" t="str">
        <f t="array" ref="M90">IF(_xlfn.XLOOKUP(A90&amp;B90&amp;C90,盘货信息!$A:$A&amp;盘货信息!$B:$B&amp;盘货信息!$C:$C,盘货信息!$O:$O)="","","【优惠券】领"&amp;INDEX(_wpsfn.REGEXP(_xlfn.XLOOKUP(A90&amp;B90&amp;C90,盘货信息!$A:$A&amp;盘货信息!$B:$B&amp;盘货信息!$C:$C,盘货信息!$O:$O),"\d+"),1,1)&amp;"元优惠券下单更优惠，优惠卷："&amp;_xlfn.XLOOKUP(A90&amp;B90&amp;C90,盘货信息!$A:$A&amp;盘货信息!$B:$B&amp;盘货信息!$C:$C,盘货信息!$P:$P))</f>
        <v/>
      </c>
      <c r="N90" s="18" t="str">
        <f t="array" ref="N90">IF(AND(ISNUMBER(_xlfn.XLOOKUP(A90&amp;B90&amp;C90,盘货信息!$A:$A&amp;盘货信息!$B:$B&amp;盘货信息!$C:$C,盘货信息!$I:$I)),_xlfn.XLOOKUP(A90&amp;B90&amp;C90,盘货信息!$A:$A&amp;盘货信息!$B:$B&amp;盘货信息!$C:$C,盘货信息!$I:$I)&gt;1),"【88VIP】立减"&amp;_xlfn.XLOOKUP(A90&amp;B90&amp;C90,盘货信息!$A:$A&amp;盘货信息!$B:$B&amp;盘货信息!$C:$C,盘货信息!$I:$I)&amp;"元","")</f>
        <v/>
      </c>
      <c r="O90" s="18" t="str">
        <f t="array" ref="O90">IF(_xlfn.XLOOKUP(A90&amp;B90&amp;C90,盘货信息!$A:$A&amp;盘货信息!$B:$B&amp;盘货信息!$C:$C,盘货信息!$K:$K)="","",IF(AND(_xlfn.XLOOKUP(A90&amp;B90&amp;C90,盘货信息!$A:$A&amp;盘货信息!$B:$B&amp;盘货信息!$C:$C,盘货信息!$G:$G)="不参加",_xlfn.XLOOKUP(A90&amp;B90&amp;C90,盘货信息!$A:$A&amp;盘货信息!$B:$B&amp;盘货信息!$C:$C,盘货信息!$H:$H)=""),"【以旧换新】"&amp;_xlfn.XLOOKUP(A90&amp;B90&amp;C90,盘货信息!$A:$A&amp;盘货信息!$B:$B&amp;盘货信息!$C:$C,盘货信息!$K:$K)&amp;"元以旧换新补贴（可无旧机换新）",""))</f>
        <v/>
      </c>
      <c r="P90" s="18" t="str">
        <f t="array" ref="P90">_xlfn.XLOOKUP(A90&amp;B90&amp;C90,赠品!$A:$A&amp;赠品!$B:$B&amp;赠品!$C:$C,赠品!$D:$D)</f>
        <v/>
      </c>
      <c r="Q90" s="18" t="str">
        <f>IF($C90="","",IF(AND(M90="",N90="",P90=""),"",固定信息!$B$1))</f>
        <v/>
      </c>
      <c r="R90" s="18" t="str">
        <f t="array" ref="R90">IF(ISNUMBER(SEARCH("是",_xlfn.XLOOKUP(A90&amp;B90&amp;C90,盘货信息!$A:$A&amp;盘货信息!$B:$B&amp;盘货信息!$C:$C,盘货信息!$U:$U))),"【折扣】指定型号满2类享96折，满3类享94折","")</f>
        <v/>
      </c>
      <c r="S90" s="18" t="str">
        <f t="array" ref="S90">IF(_xlfn.XLOOKUP(A90&amp;B90&amp;C90,盘货信息!$A:$A&amp;盘货信息!$B:$B&amp;盘货信息!$C:$C,盘货信息!$Q:$Q)&lt;1,"","【红包】活动时间购机送"&amp;_xlfn.TEXTJOIN("",,IF(ISNUMBER(--MID(_xlfn.XLOOKUP(A90&amp;B90&amp;C90,盘货信息!$A:$A&amp;盘货信息!$B:$B&amp;盘货信息!$C:$C,盘货信息!$Q:$Q),_xlfn.SEQUENCE(LEN(_xlfn.XLOOKUP(A90&amp;B90&amp;C90,盘货信息!$A:$A&amp;盘货信息!$B:$B&amp;盘货信息!$C:$C,盘货信息!$Q:$Q))),1)),MID(_xlfn.XLOOKUP(A90&amp;B90&amp;C90,盘货信息!$A:$A&amp;盘货信息!$B:$B&amp;盘货信息!$C:$C,盘货信息!$Q:$Q),_xlfn.SEQUENCE(LEN(_xlfn.XLOOKUP(A90&amp;B90&amp;C90,盘货信息!$A:$A&amp;盘货信息!$B:$B&amp;盘货信息!$C:$C,盘货信息!$Q:$Q))),1),""))&amp;"元")</f>
        <v/>
      </c>
      <c r="T90" s="18" t="str">
        <f t="array" ref="T90">IF(ISNUMBER(SEARCH("是",_xlfn.XLOOKUP(A90&amp;B90&amp;C90,盘货信息!$A:$A&amp;盘货信息!$B:$B&amp;盘货信息!$C:$C,盘货信息!$T:$T))),"【瓜分】"&amp;固定信息!$B$7,"")</f>
        <v/>
      </c>
      <c r="U90" s="18" t="str">
        <f>IF($C90="","",IF(AND(R90="",S90="",T90=""),"",固定信息!$B$1))</f>
        <v/>
      </c>
      <c r="V90" s="18" t="str">
        <f t="array" ref="V90">IF(C90="","","【服务】"&amp;IF(_xlfn.XLOOKUP(A90&amp;B90&amp;C90,盘货信息!$A:$A&amp;盘货信息!$B:$B&amp;盘货信息!$C:$C,盘货信息!$V:$V)="","",_xlfn.XLOOKUP(A90&amp;B90&amp;C90,盘货信息!$A:$A&amp;盘货信息!$B:$B&amp;盘货信息!$C:$C,盘货信息!$V:$V)&amp;"免息,")&amp;IF(_xlfn.XLOOKUP(A90&amp;B90&amp;C90,盘货信息!$A:$A&amp;盘货信息!$B:$B&amp;盘货信息!$C:$C,盘货信息!$W:$W)="","",_xlfn.XLOOKUP(A90&amp;B90&amp;C90,盘货信息!$A:$A&amp;盘货信息!$B:$B&amp;盘货信息!$C:$C,盘货信息!$W:$W)&amp;"，")&amp;"送货入户，退换免运费")</f>
        <v/>
      </c>
    </row>
    <row r="91" customHeight="1" spans="1:22">
      <c r="A91" s="17" t="str">
        <f>IF(盘货信息!A91="","",盘货信息!A91)</f>
        <v/>
      </c>
      <c r="B91" s="20" t="str">
        <f>IF(盘货信息!B91="","",盘货信息!B91)</f>
        <v/>
      </c>
      <c r="C91" s="18" t="str">
        <f>IF(盘货信息!C91="","",盘货信息!C91)</f>
        <v/>
      </c>
      <c r="D91" s="18" t="str">
        <f ca="1" t="shared" si="1"/>
        <v/>
      </c>
      <c r="E91" s="18" t="str">
        <f>IF(C91="","",固定信息!$B$2)</f>
        <v/>
      </c>
      <c r="F91" s="18" t="str">
        <f t="array" ref="F91">IF(C91="","","【"&amp;C91&amp;"】"&amp;_xlfn.XLOOKUP(A91&amp;B91&amp;C91,盘货信息!$A:$A&amp;盘货信息!$B:$B&amp;盘货信息!$C:$C,盘货信息!$D:$D))</f>
        <v/>
      </c>
      <c r="G91" s="18" t="str">
        <f>IF(C91="","","【"&amp;"活动时间："&amp;固定信息!$B$3&amp;"】")</f>
        <v/>
      </c>
      <c r="H91" s="18" t="str">
        <f>IF($C91="","",固定信息!$B$1)</f>
        <v/>
      </c>
      <c r="I91" s="18"/>
      <c r="J91" s="18" t="str">
        <f t="array" ref="J91">_xlfn.XLOOKUP(A91&amp;B91&amp;C91,价格信息!$A:$A&amp;价格信息!$B:$B&amp;价格信息!$C:$C,价格信息!$D:$D)</f>
        <v/>
      </c>
      <c r="K91" s="31" t="str">
        <f t="array" ref="K91">IF(_xlfn.XLOOKUP(A91&amp;B91&amp;C91,价格信息!$A:$A&amp;价格信息!$B:$B&amp;价格信息!$C:$C,价格信息!$I:$I)="","","【优惠券链接】"&amp;固定信息!$B$6)</f>
        <v/>
      </c>
      <c r="L91" s="31" t="str">
        <f>IF($C91="","",固定信息!$B$1)</f>
        <v/>
      </c>
      <c r="M91" s="18" t="str">
        <f t="array" ref="M91">IF(_xlfn.XLOOKUP(A91&amp;B91&amp;C91,盘货信息!$A:$A&amp;盘货信息!$B:$B&amp;盘货信息!$C:$C,盘货信息!$O:$O)="","","【优惠券】领"&amp;INDEX(_wpsfn.REGEXP(_xlfn.XLOOKUP(A91&amp;B91&amp;C91,盘货信息!$A:$A&amp;盘货信息!$B:$B&amp;盘货信息!$C:$C,盘货信息!$O:$O),"\d+"),1,1)&amp;"元优惠券下单更优惠，优惠卷："&amp;_xlfn.XLOOKUP(A91&amp;B91&amp;C91,盘货信息!$A:$A&amp;盘货信息!$B:$B&amp;盘货信息!$C:$C,盘货信息!$P:$P))</f>
        <v/>
      </c>
      <c r="N91" s="18" t="str">
        <f t="array" ref="N91">IF(AND(ISNUMBER(_xlfn.XLOOKUP(A91&amp;B91&amp;C91,盘货信息!$A:$A&amp;盘货信息!$B:$B&amp;盘货信息!$C:$C,盘货信息!$I:$I)),_xlfn.XLOOKUP(A91&amp;B91&amp;C91,盘货信息!$A:$A&amp;盘货信息!$B:$B&amp;盘货信息!$C:$C,盘货信息!$I:$I)&gt;1),"【88VIP】立减"&amp;_xlfn.XLOOKUP(A91&amp;B91&amp;C91,盘货信息!$A:$A&amp;盘货信息!$B:$B&amp;盘货信息!$C:$C,盘货信息!$I:$I)&amp;"元","")</f>
        <v/>
      </c>
      <c r="O91" s="18" t="str">
        <f t="array" ref="O91">IF(_xlfn.XLOOKUP(A91&amp;B91&amp;C91,盘货信息!$A:$A&amp;盘货信息!$B:$B&amp;盘货信息!$C:$C,盘货信息!$K:$K)="","",IF(AND(_xlfn.XLOOKUP(A91&amp;B91&amp;C91,盘货信息!$A:$A&amp;盘货信息!$B:$B&amp;盘货信息!$C:$C,盘货信息!$G:$G)="不参加",_xlfn.XLOOKUP(A91&amp;B91&amp;C91,盘货信息!$A:$A&amp;盘货信息!$B:$B&amp;盘货信息!$C:$C,盘货信息!$H:$H)=""),"【以旧换新】"&amp;_xlfn.XLOOKUP(A91&amp;B91&amp;C91,盘货信息!$A:$A&amp;盘货信息!$B:$B&amp;盘货信息!$C:$C,盘货信息!$K:$K)&amp;"元以旧换新补贴（可无旧机换新）",""))</f>
        <v/>
      </c>
      <c r="P91" s="18" t="str">
        <f t="array" ref="P91">_xlfn.XLOOKUP(A91&amp;B91&amp;C91,赠品!$A:$A&amp;赠品!$B:$B&amp;赠品!$C:$C,赠品!$D:$D)</f>
        <v/>
      </c>
      <c r="Q91" s="18" t="str">
        <f>IF($C91="","",IF(AND(M91="",N91="",P91=""),"",固定信息!$B$1))</f>
        <v/>
      </c>
      <c r="R91" s="18" t="str">
        <f t="array" ref="R91">IF(ISNUMBER(SEARCH("是",_xlfn.XLOOKUP(A91&amp;B91&amp;C91,盘货信息!$A:$A&amp;盘货信息!$B:$B&amp;盘货信息!$C:$C,盘货信息!$U:$U))),"【折扣】指定型号满2类享96折，满3类享94折","")</f>
        <v/>
      </c>
      <c r="S91" s="18" t="str">
        <f t="array" ref="S91">IF(_xlfn.XLOOKUP(A91&amp;B91&amp;C91,盘货信息!$A:$A&amp;盘货信息!$B:$B&amp;盘货信息!$C:$C,盘货信息!$Q:$Q)&lt;1,"","【红包】活动时间购机送"&amp;_xlfn.TEXTJOIN("",,IF(ISNUMBER(--MID(_xlfn.XLOOKUP(A91&amp;B91&amp;C91,盘货信息!$A:$A&amp;盘货信息!$B:$B&amp;盘货信息!$C:$C,盘货信息!$Q:$Q),_xlfn.SEQUENCE(LEN(_xlfn.XLOOKUP(A91&amp;B91&amp;C91,盘货信息!$A:$A&amp;盘货信息!$B:$B&amp;盘货信息!$C:$C,盘货信息!$Q:$Q))),1)),MID(_xlfn.XLOOKUP(A91&amp;B91&amp;C91,盘货信息!$A:$A&amp;盘货信息!$B:$B&amp;盘货信息!$C:$C,盘货信息!$Q:$Q),_xlfn.SEQUENCE(LEN(_xlfn.XLOOKUP(A91&amp;B91&amp;C91,盘货信息!$A:$A&amp;盘货信息!$B:$B&amp;盘货信息!$C:$C,盘货信息!$Q:$Q))),1),""))&amp;"元")</f>
        <v/>
      </c>
      <c r="T91" s="18" t="str">
        <f t="array" ref="T91">IF(ISNUMBER(SEARCH("是",_xlfn.XLOOKUP(A91&amp;B91&amp;C91,盘货信息!$A:$A&amp;盘货信息!$B:$B&amp;盘货信息!$C:$C,盘货信息!$T:$T))),"【瓜分】"&amp;固定信息!$B$7,"")</f>
        <v/>
      </c>
      <c r="U91" s="18" t="str">
        <f>IF($C91="","",IF(AND(R91="",S91="",T91=""),"",固定信息!$B$1))</f>
        <v/>
      </c>
      <c r="V91" s="18" t="str">
        <f t="array" ref="V91">IF(C91="","","【服务】"&amp;IF(_xlfn.XLOOKUP(A91&amp;B91&amp;C91,盘货信息!$A:$A&amp;盘货信息!$B:$B&amp;盘货信息!$C:$C,盘货信息!$V:$V)="","",_xlfn.XLOOKUP(A91&amp;B91&amp;C91,盘货信息!$A:$A&amp;盘货信息!$B:$B&amp;盘货信息!$C:$C,盘货信息!$V:$V)&amp;"免息,")&amp;IF(_xlfn.XLOOKUP(A91&amp;B91&amp;C91,盘货信息!$A:$A&amp;盘货信息!$B:$B&amp;盘货信息!$C:$C,盘货信息!$W:$W)="","",_xlfn.XLOOKUP(A91&amp;B91&amp;C91,盘货信息!$A:$A&amp;盘货信息!$B:$B&amp;盘货信息!$C:$C,盘货信息!$W:$W)&amp;"，")&amp;"送货入户，退换免运费")</f>
        <v/>
      </c>
    </row>
    <row r="92" customHeight="1" spans="1:22">
      <c r="A92" s="17" t="str">
        <f>IF(盘货信息!A92="","",盘货信息!A92)</f>
        <v/>
      </c>
      <c r="B92" s="20" t="str">
        <f>IF(盘货信息!B92="","",盘货信息!B92)</f>
        <v/>
      </c>
      <c r="C92" s="18" t="str">
        <f>IF(盘货信息!C92="","",盘货信息!C92)</f>
        <v/>
      </c>
      <c r="D92" s="18" t="str">
        <f ca="1" t="shared" si="1"/>
        <v/>
      </c>
      <c r="E92" s="18" t="str">
        <f>IF(C92="","",固定信息!$B$2)</f>
        <v/>
      </c>
      <c r="F92" s="18" t="str">
        <f t="array" ref="F92">IF(C92="","","【"&amp;C92&amp;"】"&amp;_xlfn.XLOOKUP(A92&amp;B92&amp;C92,盘货信息!$A:$A&amp;盘货信息!$B:$B&amp;盘货信息!$C:$C,盘货信息!$D:$D))</f>
        <v/>
      </c>
      <c r="G92" s="18" t="str">
        <f>IF(C92="","","【"&amp;"活动时间："&amp;固定信息!$B$3&amp;"】")</f>
        <v/>
      </c>
      <c r="H92" s="18" t="str">
        <f>IF($C92="","",固定信息!$B$1)</f>
        <v/>
      </c>
      <c r="I92" s="18"/>
      <c r="J92" s="18" t="str">
        <f t="array" ref="J92">_xlfn.XLOOKUP(A92&amp;B92&amp;C92,价格信息!$A:$A&amp;价格信息!$B:$B&amp;价格信息!$C:$C,价格信息!$D:$D)</f>
        <v/>
      </c>
      <c r="K92" s="31" t="str">
        <f t="array" ref="K92">IF(_xlfn.XLOOKUP(A92&amp;B92&amp;C92,价格信息!$A:$A&amp;价格信息!$B:$B&amp;价格信息!$C:$C,价格信息!$I:$I)="","","【优惠券链接】"&amp;固定信息!$B$6)</f>
        <v/>
      </c>
      <c r="L92" s="31" t="str">
        <f>IF($C92="","",固定信息!$B$1)</f>
        <v/>
      </c>
      <c r="M92" s="18" t="str">
        <f t="array" ref="M92">IF(_xlfn.XLOOKUP(A92&amp;B92&amp;C92,盘货信息!$A:$A&amp;盘货信息!$B:$B&amp;盘货信息!$C:$C,盘货信息!$O:$O)="","","【优惠券】领"&amp;INDEX(_wpsfn.REGEXP(_xlfn.XLOOKUP(A92&amp;B92&amp;C92,盘货信息!$A:$A&amp;盘货信息!$B:$B&amp;盘货信息!$C:$C,盘货信息!$O:$O),"\d+"),1,1)&amp;"元优惠券下单更优惠，优惠卷："&amp;_xlfn.XLOOKUP(A92&amp;B92&amp;C92,盘货信息!$A:$A&amp;盘货信息!$B:$B&amp;盘货信息!$C:$C,盘货信息!$P:$P))</f>
        <v/>
      </c>
      <c r="N92" s="18" t="str">
        <f t="array" ref="N92">IF(AND(ISNUMBER(_xlfn.XLOOKUP(A92&amp;B92&amp;C92,盘货信息!$A:$A&amp;盘货信息!$B:$B&amp;盘货信息!$C:$C,盘货信息!$I:$I)),_xlfn.XLOOKUP(A92&amp;B92&amp;C92,盘货信息!$A:$A&amp;盘货信息!$B:$B&amp;盘货信息!$C:$C,盘货信息!$I:$I)&gt;1),"【88VIP】立减"&amp;_xlfn.XLOOKUP(A92&amp;B92&amp;C92,盘货信息!$A:$A&amp;盘货信息!$B:$B&amp;盘货信息!$C:$C,盘货信息!$I:$I)&amp;"元","")</f>
        <v/>
      </c>
      <c r="O92" s="18" t="str">
        <f t="array" ref="O92">IF(_xlfn.XLOOKUP(A92&amp;B92&amp;C92,盘货信息!$A:$A&amp;盘货信息!$B:$B&amp;盘货信息!$C:$C,盘货信息!$K:$K)="","",IF(AND(_xlfn.XLOOKUP(A92&amp;B92&amp;C92,盘货信息!$A:$A&amp;盘货信息!$B:$B&amp;盘货信息!$C:$C,盘货信息!$G:$G)="不参加",_xlfn.XLOOKUP(A92&amp;B92&amp;C92,盘货信息!$A:$A&amp;盘货信息!$B:$B&amp;盘货信息!$C:$C,盘货信息!$H:$H)=""),"【以旧换新】"&amp;_xlfn.XLOOKUP(A92&amp;B92&amp;C92,盘货信息!$A:$A&amp;盘货信息!$B:$B&amp;盘货信息!$C:$C,盘货信息!$K:$K)&amp;"元以旧换新补贴（可无旧机换新）",""))</f>
        <v/>
      </c>
      <c r="P92" s="18" t="str">
        <f t="array" ref="P92">_xlfn.XLOOKUP(A92&amp;B92&amp;C92,赠品!$A:$A&amp;赠品!$B:$B&amp;赠品!$C:$C,赠品!$D:$D)</f>
        <v/>
      </c>
      <c r="Q92" s="18" t="str">
        <f>IF($C92="","",IF(AND(M92="",N92="",P92=""),"",固定信息!$B$1))</f>
        <v/>
      </c>
      <c r="R92" s="18" t="str">
        <f t="array" ref="R92">IF(ISNUMBER(SEARCH("是",_xlfn.XLOOKUP(A92&amp;B92&amp;C92,盘货信息!$A:$A&amp;盘货信息!$B:$B&amp;盘货信息!$C:$C,盘货信息!$U:$U))),"【折扣】指定型号满2类享96折，满3类享94折","")</f>
        <v/>
      </c>
      <c r="S92" s="18" t="str">
        <f t="array" ref="S92">IF(_xlfn.XLOOKUP(A92&amp;B92&amp;C92,盘货信息!$A:$A&amp;盘货信息!$B:$B&amp;盘货信息!$C:$C,盘货信息!$Q:$Q)&lt;1,"","【红包】活动时间购机送"&amp;_xlfn.TEXTJOIN("",,IF(ISNUMBER(--MID(_xlfn.XLOOKUP(A92&amp;B92&amp;C92,盘货信息!$A:$A&amp;盘货信息!$B:$B&amp;盘货信息!$C:$C,盘货信息!$Q:$Q),_xlfn.SEQUENCE(LEN(_xlfn.XLOOKUP(A92&amp;B92&amp;C92,盘货信息!$A:$A&amp;盘货信息!$B:$B&amp;盘货信息!$C:$C,盘货信息!$Q:$Q))),1)),MID(_xlfn.XLOOKUP(A92&amp;B92&amp;C92,盘货信息!$A:$A&amp;盘货信息!$B:$B&amp;盘货信息!$C:$C,盘货信息!$Q:$Q),_xlfn.SEQUENCE(LEN(_xlfn.XLOOKUP(A92&amp;B92&amp;C92,盘货信息!$A:$A&amp;盘货信息!$B:$B&amp;盘货信息!$C:$C,盘货信息!$Q:$Q))),1),""))&amp;"元")</f>
        <v/>
      </c>
      <c r="T92" s="18" t="str">
        <f t="array" ref="T92">IF(ISNUMBER(SEARCH("是",_xlfn.XLOOKUP(A92&amp;B92&amp;C92,盘货信息!$A:$A&amp;盘货信息!$B:$B&amp;盘货信息!$C:$C,盘货信息!$T:$T))),"【瓜分】"&amp;固定信息!$B$7,"")</f>
        <v/>
      </c>
      <c r="U92" s="18" t="str">
        <f>IF($C92="","",IF(AND(R92="",S92="",T92=""),"",固定信息!$B$1))</f>
        <v/>
      </c>
      <c r="V92" s="18" t="str">
        <f t="array" ref="V92">IF(C92="","","【服务】"&amp;IF(_xlfn.XLOOKUP(A92&amp;B92&amp;C92,盘货信息!$A:$A&amp;盘货信息!$B:$B&amp;盘货信息!$C:$C,盘货信息!$V:$V)="","",_xlfn.XLOOKUP(A92&amp;B92&amp;C92,盘货信息!$A:$A&amp;盘货信息!$B:$B&amp;盘货信息!$C:$C,盘货信息!$V:$V)&amp;"免息,")&amp;IF(_xlfn.XLOOKUP(A92&amp;B92&amp;C92,盘货信息!$A:$A&amp;盘货信息!$B:$B&amp;盘货信息!$C:$C,盘货信息!$W:$W)="","",_xlfn.XLOOKUP(A92&amp;B92&amp;C92,盘货信息!$A:$A&amp;盘货信息!$B:$B&amp;盘货信息!$C:$C,盘货信息!$W:$W)&amp;"，")&amp;"送货入户，退换免运费")</f>
        <v/>
      </c>
    </row>
    <row r="93" customHeight="1" spans="1:22">
      <c r="A93" s="17" t="str">
        <f>IF(盘货信息!A93="","",盘货信息!A93)</f>
        <v/>
      </c>
      <c r="B93" s="20" t="str">
        <f>IF(盘货信息!B93="","",盘货信息!B93)</f>
        <v/>
      </c>
      <c r="C93" s="18" t="str">
        <f>IF(盘货信息!C93="","",盘货信息!C93)</f>
        <v/>
      </c>
      <c r="D93" s="18" t="str">
        <f ca="1" t="shared" si="1"/>
        <v/>
      </c>
      <c r="E93" s="18" t="str">
        <f>IF(C93="","",固定信息!$B$2)</f>
        <v/>
      </c>
      <c r="F93" s="18" t="str">
        <f t="array" ref="F93">IF(C93="","","【"&amp;C93&amp;"】"&amp;_xlfn.XLOOKUP(A93&amp;B93&amp;C93,盘货信息!$A:$A&amp;盘货信息!$B:$B&amp;盘货信息!$C:$C,盘货信息!$D:$D))</f>
        <v/>
      </c>
      <c r="G93" s="18" t="str">
        <f>IF(C93="","","【"&amp;"活动时间："&amp;固定信息!$B$3&amp;"】")</f>
        <v/>
      </c>
      <c r="H93" s="18" t="str">
        <f>IF($C93="","",固定信息!$B$1)</f>
        <v/>
      </c>
      <c r="I93" s="18"/>
      <c r="J93" s="18" t="str">
        <f t="array" ref="J93">_xlfn.XLOOKUP(A93&amp;B93&amp;C93,价格信息!$A:$A&amp;价格信息!$B:$B&amp;价格信息!$C:$C,价格信息!$D:$D)</f>
        <v/>
      </c>
      <c r="K93" s="31" t="str">
        <f t="array" ref="K93">IF(_xlfn.XLOOKUP(A93&amp;B93&amp;C93,价格信息!$A:$A&amp;价格信息!$B:$B&amp;价格信息!$C:$C,价格信息!$I:$I)="","","【优惠券链接】"&amp;固定信息!$B$6)</f>
        <v/>
      </c>
      <c r="L93" s="31" t="str">
        <f>IF($C93="","",固定信息!$B$1)</f>
        <v/>
      </c>
      <c r="M93" s="18" t="str">
        <f t="array" ref="M93">IF(_xlfn.XLOOKUP(A93&amp;B93&amp;C93,盘货信息!$A:$A&amp;盘货信息!$B:$B&amp;盘货信息!$C:$C,盘货信息!$O:$O)="","","【优惠券】领"&amp;INDEX(_wpsfn.REGEXP(_xlfn.XLOOKUP(A93&amp;B93&amp;C93,盘货信息!$A:$A&amp;盘货信息!$B:$B&amp;盘货信息!$C:$C,盘货信息!$O:$O),"\d+"),1,1)&amp;"元优惠券下单更优惠，优惠卷："&amp;_xlfn.XLOOKUP(A93&amp;B93&amp;C93,盘货信息!$A:$A&amp;盘货信息!$B:$B&amp;盘货信息!$C:$C,盘货信息!$P:$P))</f>
        <v/>
      </c>
      <c r="N93" s="18" t="str">
        <f t="array" ref="N93">IF(AND(ISNUMBER(_xlfn.XLOOKUP(A93&amp;B93&amp;C93,盘货信息!$A:$A&amp;盘货信息!$B:$B&amp;盘货信息!$C:$C,盘货信息!$I:$I)),_xlfn.XLOOKUP(A93&amp;B93&amp;C93,盘货信息!$A:$A&amp;盘货信息!$B:$B&amp;盘货信息!$C:$C,盘货信息!$I:$I)&gt;1),"【88VIP】立减"&amp;_xlfn.XLOOKUP(A93&amp;B93&amp;C93,盘货信息!$A:$A&amp;盘货信息!$B:$B&amp;盘货信息!$C:$C,盘货信息!$I:$I)&amp;"元","")</f>
        <v/>
      </c>
      <c r="O93" s="18" t="str">
        <f t="array" ref="O93">IF(_xlfn.XLOOKUP(A93&amp;B93&amp;C93,盘货信息!$A:$A&amp;盘货信息!$B:$B&amp;盘货信息!$C:$C,盘货信息!$K:$K)="","",IF(AND(_xlfn.XLOOKUP(A93&amp;B93&amp;C93,盘货信息!$A:$A&amp;盘货信息!$B:$B&amp;盘货信息!$C:$C,盘货信息!$G:$G)="不参加",_xlfn.XLOOKUP(A93&amp;B93&amp;C93,盘货信息!$A:$A&amp;盘货信息!$B:$B&amp;盘货信息!$C:$C,盘货信息!$H:$H)=""),"【以旧换新】"&amp;_xlfn.XLOOKUP(A93&amp;B93&amp;C93,盘货信息!$A:$A&amp;盘货信息!$B:$B&amp;盘货信息!$C:$C,盘货信息!$K:$K)&amp;"元以旧换新补贴（可无旧机换新）",""))</f>
        <v/>
      </c>
      <c r="P93" s="18" t="str">
        <f t="array" ref="P93">_xlfn.XLOOKUP(A93&amp;B93&amp;C93,赠品!$A:$A&amp;赠品!$B:$B&amp;赠品!$C:$C,赠品!$D:$D)</f>
        <v/>
      </c>
      <c r="Q93" s="18" t="str">
        <f>IF($C93="","",IF(AND(M93="",N93="",P93=""),"",固定信息!$B$1))</f>
        <v/>
      </c>
      <c r="R93" s="18" t="str">
        <f t="array" ref="R93">IF(ISNUMBER(SEARCH("是",_xlfn.XLOOKUP(A93&amp;B93&amp;C93,盘货信息!$A:$A&amp;盘货信息!$B:$B&amp;盘货信息!$C:$C,盘货信息!$U:$U))),"【折扣】指定型号满2类享96折，满3类享94折","")</f>
        <v/>
      </c>
      <c r="S93" s="18" t="str">
        <f t="array" ref="S93">IF(_xlfn.XLOOKUP(A93&amp;B93&amp;C93,盘货信息!$A:$A&amp;盘货信息!$B:$B&amp;盘货信息!$C:$C,盘货信息!$Q:$Q)&lt;1,"","【红包】活动时间购机送"&amp;_xlfn.TEXTJOIN("",,IF(ISNUMBER(--MID(_xlfn.XLOOKUP(A93&amp;B93&amp;C93,盘货信息!$A:$A&amp;盘货信息!$B:$B&amp;盘货信息!$C:$C,盘货信息!$Q:$Q),_xlfn.SEQUENCE(LEN(_xlfn.XLOOKUP(A93&amp;B93&amp;C93,盘货信息!$A:$A&amp;盘货信息!$B:$B&amp;盘货信息!$C:$C,盘货信息!$Q:$Q))),1)),MID(_xlfn.XLOOKUP(A93&amp;B93&amp;C93,盘货信息!$A:$A&amp;盘货信息!$B:$B&amp;盘货信息!$C:$C,盘货信息!$Q:$Q),_xlfn.SEQUENCE(LEN(_xlfn.XLOOKUP(A93&amp;B93&amp;C93,盘货信息!$A:$A&amp;盘货信息!$B:$B&amp;盘货信息!$C:$C,盘货信息!$Q:$Q))),1),""))&amp;"元")</f>
        <v/>
      </c>
      <c r="T93" s="18" t="str">
        <f t="array" ref="T93">IF(ISNUMBER(SEARCH("是",_xlfn.XLOOKUP(A93&amp;B93&amp;C93,盘货信息!$A:$A&amp;盘货信息!$B:$B&amp;盘货信息!$C:$C,盘货信息!$T:$T))),"【瓜分】"&amp;固定信息!$B$7,"")</f>
        <v/>
      </c>
      <c r="U93" s="18" t="str">
        <f>IF($C93="","",IF(AND(R93="",S93="",T93=""),"",固定信息!$B$1))</f>
        <v/>
      </c>
      <c r="V93" s="18" t="str">
        <f t="array" ref="V93">IF(C93="","","【服务】"&amp;IF(_xlfn.XLOOKUP(A93&amp;B93&amp;C93,盘货信息!$A:$A&amp;盘货信息!$B:$B&amp;盘货信息!$C:$C,盘货信息!$V:$V)="","",_xlfn.XLOOKUP(A93&amp;B93&amp;C93,盘货信息!$A:$A&amp;盘货信息!$B:$B&amp;盘货信息!$C:$C,盘货信息!$V:$V)&amp;"免息,")&amp;IF(_xlfn.XLOOKUP(A93&amp;B93&amp;C93,盘货信息!$A:$A&amp;盘货信息!$B:$B&amp;盘货信息!$C:$C,盘货信息!$W:$W)="","",_xlfn.XLOOKUP(A93&amp;B93&amp;C93,盘货信息!$A:$A&amp;盘货信息!$B:$B&amp;盘货信息!$C:$C,盘货信息!$W:$W)&amp;"，")&amp;"送货入户，退换免运费")</f>
        <v/>
      </c>
    </row>
    <row r="94" customHeight="1" spans="1:22">
      <c r="A94" s="17" t="str">
        <f>IF(盘货信息!A94="","",盘货信息!A94)</f>
        <v/>
      </c>
      <c r="B94" s="20" t="str">
        <f>IF(盘货信息!B94="","",盘货信息!B94)</f>
        <v/>
      </c>
      <c r="C94" s="20" t="str">
        <f>IF(盘货信息!C94="","",盘货信息!C94)</f>
        <v/>
      </c>
      <c r="D94" s="18" t="str">
        <f ca="1" t="shared" si="1"/>
        <v/>
      </c>
      <c r="E94" s="18" t="str">
        <f>IF(C94="","",固定信息!$B$2)</f>
        <v/>
      </c>
      <c r="F94" s="18" t="str">
        <f t="array" ref="F94">IF(C94="","","【"&amp;C94&amp;"】"&amp;_xlfn.XLOOKUP(A94&amp;B94&amp;C94,盘货信息!$A:$A&amp;盘货信息!$B:$B&amp;盘货信息!$C:$C,盘货信息!$D:$D))</f>
        <v/>
      </c>
      <c r="G94" s="18" t="str">
        <f>IF(C94="","","【"&amp;"活动时间："&amp;固定信息!$B$3&amp;"】")</f>
        <v/>
      </c>
      <c r="H94" s="18" t="str">
        <f>IF($C94="","",固定信息!$B$1)</f>
        <v/>
      </c>
      <c r="I94" s="18"/>
      <c r="J94" s="18" t="str">
        <f t="array" ref="J94">_xlfn.XLOOKUP(A94&amp;B94&amp;C94,价格信息!$A:$A&amp;价格信息!$B:$B&amp;价格信息!$C:$C,价格信息!$D:$D)</f>
        <v/>
      </c>
      <c r="K94" s="31" t="str">
        <f t="array" ref="K94">IF(_xlfn.XLOOKUP(A94&amp;B94&amp;C94,价格信息!$A:$A&amp;价格信息!$B:$B&amp;价格信息!$C:$C,价格信息!$I:$I)="","","【优惠券链接】"&amp;固定信息!$B$6)</f>
        <v/>
      </c>
      <c r="L94" s="31" t="str">
        <f>IF($C94="","",固定信息!$B$1)</f>
        <v/>
      </c>
      <c r="M94" s="18" t="str">
        <f t="array" ref="M94">IF(_xlfn.XLOOKUP(A94&amp;B94&amp;C94,盘货信息!$A:$A&amp;盘货信息!$B:$B&amp;盘货信息!$C:$C,盘货信息!$O:$O)="","","【优惠券】领"&amp;INDEX(_wpsfn.REGEXP(_xlfn.XLOOKUP(A94&amp;B94&amp;C94,盘货信息!$A:$A&amp;盘货信息!$B:$B&amp;盘货信息!$C:$C,盘货信息!$O:$O),"\d+"),1,1)&amp;"元优惠券下单更优惠，优惠卷："&amp;_xlfn.XLOOKUP(A94&amp;B94&amp;C94,盘货信息!$A:$A&amp;盘货信息!$B:$B&amp;盘货信息!$C:$C,盘货信息!$P:$P))</f>
        <v/>
      </c>
      <c r="N94" s="18" t="str">
        <f t="array" ref="N94">IF(AND(ISNUMBER(_xlfn.XLOOKUP(A94&amp;B94&amp;C94,盘货信息!$A:$A&amp;盘货信息!$B:$B&amp;盘货信息!$C:$C,盘货信息!$I:$I)),_xlfn.XLOOKUP(A94&amp;B94&amp;C94,盘货信息!$A:$A&amp;盘货信息!$B:$B&amp;盘货信息!$C:$C,盘货信息!$I:$I)&gt;1),"【88VIP】立减"&amp;_xlfn.XLOOKUP(A94&amp;B94&amp;C94,盘货信息!$A:$A&amp;盘货信息!$B:$B&amp;盘货信息!$C:$C,盘货信息!$I:$I)&amp;"元","")</f>
        <v/>
      </c>
      <c r="O94" s="18" t="str">
        <f t="array" ref="O94">IF(_xlfn.XLOOKUP(A94&amp;B94&amp;C94,盘货信息!$A:$A&amp;盘货信息!$B:$B&amp;盘货信息!$C:$C,盘货信息!$K:$K)="","",IF(AND(_xlfn.XLOOKUP(A94&amp;B94&amp;C94,盘货信息!$A:$A&amp;盘货信息!$B:$B&amp;盘货信息!$C:$C,盘货信息!$G:$G)="不参加",_xlfn.XLOOKUP(A94&amp;B94&amp;C94,盘货信息!$A:$A&amp;盘货信息!$B:$B&amp;盘货信息!$C:$C,盘货信息!$H:$H)=""),"【以旧换新】"&amp;_xlfn.XLOOKUP(A94&amp;B94&amp;C94,盘货信息!$A:$A&amp;盘货信息!$B:$B&amp;盘货信息!$C:$C,盘货信息!$K:$K)&amp;"元以旧换新补贴（可无旧机换新）",""))</f>
        <v/>
      </c>
      <c r="P94" s="18" t="str">
        <f t="array" ref="P94">_xlfn.XLOOKUP(A94&amp;B94&amp;C94,赠品!$A:$A&amp;赠品!$B:$B&amp;赠品!$C:$C,赠品!$D:$D)</f>
        <v/>
      </c>
      <c r="Q94" s="18" t="str">
        <f>IF($C94="","",IF(AND(M94="",N94="",P94=""),"",固定信息!$B$1))</f>
        <v/>
      </c>
      <c r="R94" s="18" t="str">
        <f t="array" ref="R94">IF(ISNUMBER(SEARCH("是",_xlfn.XLOOKUP(A94&amp;B94&amp;C94,盘货信息!$A:$A&amp;盘货信息!$B:$B&amp;盘货信息!$C:$C,盘货信息!$U:$U))),"【折扣】指定型号满2类享96折，满3类享94折","")</f>
        <v/>
      </c>
      <c r="S94" s="18" t="str">
        <f t="array" ref="S94">IF(_xlfn.XLOOKUP(A94&amp;B94&amp;C94,盘货信息!$A:$A&amp;盘货信息!$B:$B&amp;盘货信息!$C:$C,盘货信息!$Q:$Q)&lt;1,"","【红包】活动时间购机送"&amp;_xlfn.TEXTJOIN("",,IF(ISNUMBER(--MID(_xlfn.XLOOKUP(A94&amp;B94&amp;C94,盘货信息!$A:$A&amp;盘货信息!$B:$B&amp;盘货信息!$C:$C,盘货信息!$Q:$Q),_xlfn.SEQUENCE(LEN(_xlfn.XLOOKUP(A94&amp;B94&amp;C94,盘货信息!$A:$A&amp;盘货信息!$B:$B&amp;盘货信息!$C:$C,盘货信息!$Q:$Q))),1)),MID(_xlfn.XLOOKUP(A94&amp;B94&amp;C94,盘货信息!$A:$A&amp;盘货信息!$B:$B&amp;盘货信息!$C:$C,盘货信息!$Q:$Q),_xlfn.SEQUENCE(LEN(_xlfn.XLOOKUP(A94&amp;B94&amp;C94,盘货信息!$A:$A&amp;盘货信息!$B:$B&amp;盘货信息!$C:$C,盘货信息!$Q:$Q))),1),""))&amp;"元")</f>
        <v/>
      </c>
      <c r="T94" s="18" t="str">
        <f t="array" ref="T94">IF(ISNUMBER(SEARCH("是",_xlfn.XLOOKUP(A94&amp;B94&amp;C94,盘货信息!$A:$A&amp;盘货信息!$B:$B&amp;盘货信息!$C:$C,盘货信息!$T:$T))),"【瓜分】"&amp;固定信息!$B$7,"")</f>
        <v/>
      </c>
      <c r="U94" s="18" t="str">
        <f>IF($C94="","",IF(AND(R94="",S94="",T94=""),"",固定信息!$B$1))</f>
        <v/>
      </c>
      <c r="V94" s="18" t="str">
        <f t="array" ref="V94">IF(C94="","","【服务】"&amp;IF(_xlfn.XLOOKUP(A94&amp;B94&amp;C94,盘货信息!$A:$A&amp;盘货信息!$B:$B&amp;盘货信息!$C:$C,盘货信息!$V:$V)="","",_xlfn.XLOOKUP(A94&amp;B94&amp;C94,盘货信息!$A:$A&amp;盘货信息!$B:$B&amp;盘货信息!$C:$C,盘货信息!$V:$V)&amp;"免息,")&amp;IF(_xlfn.XLOOKUP(A94&amp;B94&amp;C94,盘货信息!$A:$A&amp;盘货信息!$B:$B&amp;盘货信息!$C:$C,盘货信息!$W:$W)="","",_xlfn.XLOOKUP(A94&amp;B94&amp;C94,盘货信息!$A:$A&amp;盘货信息!$B:$B&amp;盘货信息!$C:$C,盘货信息!$W:$W)&amp;"，")&amp;"送货入户，退换免运费")</f>
        <v/>
      </c>
    </row>
    <row r="95" customHeight="1" spans="1:22">
      <c r="A95" s="17" t="str">
        <f>IF(盘货信息!A95="","",盘货信息!A95)</f>
        <v/>
      </c>
      <c r="B95" s="20" t="str">
        <f>IF(盘货信息!B95="","",盘货信息!B95)</f>
        <v/>
      </c>
      <c r="C95" s="18" t="str">
        <f>IF(盘货信息!C95="","",盘货信息!C95)</f>
        <v/>
      </c>
      <c r="D95" s="18" t="str">
        <f ca="1" t="shared" si="1"/>
        <v/>
      </c>
      <c r="E95" s="18" t="str">
        <f>IF(C95="","",固定信息!$B$2)</f>
        <v/>
      </c>
      <c r="F95" s="18" t="str">
        <f t="array" ref="F95">IF(C95="","","【"&amp;C95&amp;"】"&amp;_xlfn.XLOOKUP(A95&amp;B95&amp;C95,盘货信息!$A:$A&amp;盘货信息!$B:$B&amp;盘货信息!$C:$C,盘货信息!$D:$D))</f>
        <v/>
      </c>
      <c r="G95" s="18" t="str">
        <f>IF(C95="","","【"&amp;"活动时间："&amp;固定信息!$B$3&amp;"】")</f>
        <v/>
      </c>
      <c r="H95" s="18" t="str">
        <f>IF($C95="","",固定信息!$B$1)</f>
        <v/>
      </c>
      <c r="I95" s="18"/>
      <c r="J95" s="18" t="str">
        <f t="array" ref="J95">_xlfn.XLOOKUP(A95&amp;B95&amp;C95,价格信息!$A:$A&amp;价格信息!$B:$B&amp;价格信息!$C:$C,价格信息!$D:$D)</f>
        <v/>
      </c>
      <c r="K95" s="31" t="str">
        <f t="array" ref="K95">IF(_xlfn.XLOOKUP(A95&amp;B95&amp;C95,价格信息!$A:$A&amp;价格信息!$B:$B&amp;价格信息!$C:$C,价格信息!$I:$I)="","","【优惠券链接】"&amp;固定信息!$B$6)</f>
        <v/>
      </c>
      <c r="L95" s="31" t="str">
        <f>IF($C95="","",固定信息!$B$1)</f>
        <v/>
      </c>
      <c r="M95" s="18" t="str">
        <f t="array" ref="M95">IF(_xlfn.XLOOKUP(A95&amp;B95&amp;C95,盘货信息!$A:$A&amp;盘货信息!$B:$B&amp;盘货信息!$C:$C,盘货信息!$O:$O)="","","【优惠券】领"&amp;INDEX(_wpsfn.REGEXP(_xlfn.XLOOKUP(A95&amp;B95&amp;C95,盘货信息!$A:$A&amp;盘货信息!$B:$B&amp;盘货信息!$C:$C,盘货信息!$O:$O),"\d+"),1,1)&amp;"元优惠券下单更优惠，优惠卷："&amp;_xlfn.XLOOKUP(A95&amp;B95&amp;C95,盘货信息!$A:$A&amp;盘货信息!$B:$B&amp;盘货信息!$C:$C,盘货信息!$P:$P))</f>
        <v/>
      </c>
      <c r="N95" s="18" t="str">
        <f t="array" ref="N95">IF(AND(ISNUMBER(_xlfn.XLOOKUP(A95&amp;B95&amp;C95,盘货信息!$A:$A&amp;盘货信息!$B:$B&amp;盘货信息!$C:$C,盘货信息!$I:$I)),_xlfn.XLOOKUP(A95&amp;B95&amp;C95,盘货信息!$A:$A&amp;盘货信息!$B:$B&amp;盘货信息!$C:$C,盘货信息!$I:$I)&gt;1),"【88VIP】立减"&amp;_xlfn.XLOOKUP(A95&amp;B95&amp;C95,盘货信息!$A:$A&amp;盘货信息!$B:$B&amp;盘货信息!$C:$C,盘货信息!$I:$I)&amp;"元","")</f>
        <v/>
      </c>
      <c r="O95" s="18" t="str">
        <f t="array" ref="O95">IF(_xlfn.XLOOKUP(A95&amp;B95&amp;C95,盘货信息!$A:$A&amp;盘货信息!$B:$B&amp;盘货信息!$C:$C,盘货信息!$K:$K)="","",IF(AND(_xlfn.XLOOKUP(A95&amp;B95&amp;C95,盘货信息!$A:$A&amp;盘货信息!$B:$B&amp;盘货信息!$C:$C,盘货信息!$G:$G)="不参加",_xlfn.XLOOKUP(A95&amp;B95&amp;C95,盘货信息!$A:$A&amp;盘货信息!$B:$B&amp;盘货信息!$C:$C,盘货信息!$H:$H)=""),"【以旧换新】"&amp;_xlfn.XLOOKUP(A95&amp;B95&amp;C95,盘货信息!$A:$A&amp;盘货信息!$B:$B&amp;盘货信息!$C:$C,盘货信息!$K:$K)&amp;"元以旧换新补贴（可无旧机换新）",""))</f>
        <v/>
      </c>
      <c r="P95" s="18" t="str">
        <f t="array" ref="P95">_xlfn.XLOOKUP(A95&amp;B95&amp;C95,赠品!$A:$A&amp;赠品!$B:$B&amp;赠品!$C:$C,赠品!$D:$D)</f>
        <v/>
      </c>
      <c r="Q95" s="18" t="str">
        <f>IF($C95="","",IF(AND(M95="",N95="",P95=""),"",固定信息!$B$1))</f>
        <v/>
      </c>
      <c r="R95" s="18" t="str">
        <f t="array" ref="R95">IF(ISNUMBER(SEARCH("是",_xlfn.XLOOKUP(A95&amp;B95&amp;C95,盘货信息!$A:$A&amp;盘货信息!$B:$B&amp;盘货信息!$C:$C,盘货信息!$U:$U))),"【折扣】指定型号满2类享96折，满3类享94折","")</f>
        <v/>
      </c>
      <c r="S95" s="18" t="str">
        <f t="array" ref="S95">IF(_xlfn.XLOOKUP(A95&amp;B95&amp;C95,盘货信息!$A:$A&amp;盘货信息!$B:$B&amp;盘货信息!$C:$C,盘货信息!$Q:$Q)&lt;1,"","【红包】活动时间购机送"&amp;_xlfn.TEXTJOIN("",,IF(ISNUMBER(--MID(_xlfn.XLOOKUP(A95&amp;B95&amp;C95,盘货信息!$A:$A&amp;盘货信息!$B:$B&amp;盘货信息!$C:$C,盘货信息!$Q:$Q),_xlfn.SEQUENCE(LEN(_xlfn.XLOOKUP(A95&amp;B95&amp;C95,盘货信息!$A:$A&amp;盘货信息!$B:$B&amp;盘货信息!$C:$C,盘货信息!$Q:$Q))),1)),MID(_xlfn.XLOOKUP(A95&amp;B95&amp;C95,盘货信息!$A:$A&amp;盘货信息!$B:$B&amp;盘货信息!$C:$C,盘货信息!$Q:$Q),_xlfn.SEQUENCE(LEN(_xlfn.XLOOKUP(A95&amp;B95&amp;C95,盘货信息!$A:$A&amp;盘货信息!$B:$B&amp;盘货信息!$C:$C,盘货信息!$Q:$Q))),1),""))&amp;"元")</f>
        <v/>
      </c>
      <c r="T95" s="18" t="str">
        <f t="array" ref="T95">IF(ISNUMBER(SEARCH("是",_xlfn.XLOOKUP(A95&amp;B95&amp;C95,盘货信息!$A:$A&amp;盘货信息!$B:$B&amp;盘货信息!$C:$C,盘货信息!$T:$T))),"【瓜分】"&amp;固定信息!$B$7,"")</f>
        <v/>
      </c>
      <c r="U95" s="18" t="str">
        <f>IF($C95="","",IF(AND(R95="",S95="",T95=""),"",固定信息!$B$1))</f>
        <v/>
      </c>
      <c r="V95" s="18" t="str">
        <f t="array" ref="V95">IF(C95="","","【服务】"&amp;IF(_xlfn.XLOOKUP(A95&amp;B95&amp;C95,盘货信息!$A:$A&amp;盘货信息!$B:$B&amp;盘货信息!$C:$C,盘货信息!$V:$V)="","",_xlfn.XLOOKUP(A95&amp;B95&amp;C95,盘货信息!$A:$A&amp;盘货信息!$B:$B&amp;盘货信息!$C:$C,盘货信息!$V:$V)&amp;"免息,")&amp;IF(_xlfn.XLOOKUP(A95&amp;B95&amp;C95,盘货信息!$A:$A&amp;盘货信息!$B:$B&amp;盘货信息!$C:$C,盘货信息!$W:$W)="","",_xlfn.XLOOKUP(A95&amp;B95&amp;C95,盘货信息!$A:$A&amp;盘货信息!$B:$B&amp;盘货信息!$C:$C,盘货信息!$W:$W)&amp;"，")&amp;"送货入户，退换免运费")</f>
        <v/>
      </c>
    </row>
    <row r="96" customHeight="1" spans="1:22">
      <c r="A96" s="17" t="str">
        <f>IF(盘货信息!A96="","",盘货信息!A96)</f>
        <v/>
      </c>
      <c r="B96" s="20" t="str">
        <f>IF(盘货信息!B96="","",盘货信息!B96)</f>
        <v/>
      </c>
      <c r="C96" s="18" t="str">
        <f>IF(盘货信息!C96="","",盘货信息!C96)</f>
        <v/>
      </c>
      <c r="D96" s="18" t="str">
        <f ca="1" t="shared" si="1"/>
        <v/>
      </c>
      <c r="E96" s="18" t="str">
        <f>IF(C96="","",固定信息!$B$2)</f>
        <v/>
      </c>
      <c r="F96" s="18" t="str">
        <f t="array" ref="F96">IF(C96="","","【"&amp;C96&amp;"】"&amp;_xlfn.XLOOKUP(A96&amp;B96&amp;C96,盘货信息!$A:$A&amp;盘货信息!$B:$B&amp;盘货信息!$C:$C,盘货信息!$D:$D))</f>
        <v/>
      </c>
      <c r="G96" s="18" t="str">
        <f>IF(C96="","","【"&amp;"活动时间："&amp;固定信息!$B$3&amp;"】")</f>
        <v/>
      </c>
      <c r="H96" s="18" t="str">
        <f>IF($C96="","",固定信息!$B$1)</f>
        <v/>
      </c>
      <c r="I96" s="18"/>
      <c r="J96" s="18" t="str">
        <f t="array" ref="J96">_xlfn.XLOOKUP(A96&amp;B96&amp;C96,价格信息!$A:$A&amp;价格信息!$B:$B&amp;价格信息!$C:$C,价格信息!$D:$D)</f>
        <v/>
      </c>
      <c r="K96" s="31" t="str">
        <f t="array" ref="K96">IF(_xlfn.XLOOKUP(A96&amp;B96&amp;C96,价格信息!$A:$A&amp;价格信息!$B:$B&amp;价格信息!$C:$C,价格信息!$I:$I)="","","【优惠券链接】"&amp;固定信息!$B$6)</f>
        <v/>
      </c>
      <c r="L96" s="31" t="str">
        <f>IF($C96="","",固定信息!$B$1)</f>
        <v/>
      </c>
      <c r="M96" s="18" t="str">
        <f t="array" ref="M96">IF(_xlfn.XLOOKUP(A96&amp;B96&amp;C96,盘货信息!$A:$A&amp;盘货信息!$B:$B&amp;盘货信息!$C:$C,盘货信息!$O:$O)="","","【优惠券】领"&amp;INDEX(_wpsfn.REGEXP(_xlfn.XLOOKUP(A96&amp;B96&amp;C96,盘货信息!$A:$A&amp;盘货信息!$B:$B&amp;盘货信息!$C:$C,盘货信息!$O:$O),"\d+"),1,1)&amp;"元优惠券下单更优惠，优惠卷："&amp;_xlfn.XLOOKUP(A96&amp;B96&amp;C96,盘货信息!$A:$A&amp;盘货信息!$B:$B&amp;盘货信息!$C:$C,盘货信息!$P:$P))</f>
        <v/>
      </c>
      <c r="N96" s="18" t="str">
        <f t="array" ref="N96">IF(AND(ISNUMBER(_xlfn.XLOOKUP(A96&amp;B96&amp;C96,盘货信息!$A:$A&amp;盘货信息!$B:$B&amp;盘货信息!$C:$C,盘货信息!$I:$I)),_xlfn.XLOOKUP(A96&amp;B96&amp;C96,盘货信息!$A:$A&amp;盘货信息!$B:$B&amp;盘货信息!$C:$C,盘货信息!$I:$I)&gt;1),"【88VIP】立减"&amp;_xlfn.XLOOKUP(A96&amp;B96&amp;C96,盘货信息!$A:$A&amp;盘货信息!$B:$B&amp;盘货信息!$C:$C,盘货信息!$I:$I)&amp;"元","")</f>
        <v/>
      </c>
      <c r="O96" s="18" t="str">
        <f t="array" ref="O96">IF(_xlfn.XLOOKUP(A96&amp;B96&amp;C96,盘货信息!$A:$A&amp;盘货信息!$B:$B&amp;盘货信息!$C:$C,盘货信息!$K:$K)="","",IF(AND(_xlfn.XLOOKUP(A96&amp;B96&amp;C96,盘货信息!$A:$A&amp;盘货信息!$B:$B&amp;盘货信息!$C:$C,盘货信息!$G:$G)="不参加",_xlfn.XLOOKUP(A96&amp;B96&amp;C96,盘货信息!$A:$A&amp;盘货信息!$B:$B&amp;盘货信息!$C:$C,盘货信息!$H:$H)=""),"【以旧换新】"&amp;_xlfn.XLOOKUP(A96&amp;B96&amp;C96,盘货信息!$A:$A&amp;盘货信息!$B:$B&amp;盘货信息!$C:$C,盘货信息!$K:$K)&amp;"元以旧换新补贴（可无旧机换新）",""))</f>
        <v/>
      </c>
      <c r="P96" s="18" t="str">
        <f t="array" ref="P96">_xlfn.XLOOKUP(A96&amp;B96&amp;C96,赠品!$A:$A&amp;赠品!$B:$B&amp;赠品!$C:$C,赠品!$D:$D)</f>
        <v/>
      </c>
      <c r="Q96" s="18" t="str">
        <f>IF($C96="","",IF(AND(M96="",N96="",P96=""),"",固定信息!$B$1))</f>
        <v/>
      </c>
      <c r="R96" s="18" t="str">
        <f t="array" ref="R96">IF(ISNUMBER(SEARCH("是",_xlfn.XLOOKUP(A96&amp;B96&amp;C96,盘货信息!$A:$A&amp;盘货信息!$B:$B&amp;盘货信息!$C:$C,盘货信息!$U:$U))),"【折扣】指定型号满2类享96折，满3类享94折","")</f>
        <v/>
      </c>
      <c r="S96" s="18" t="str">
        <f t="array" ref="S96">IF(_xlfn.XLOOKUP(A96&amp;B96&amp;C96,盘货信息!$A:$A&amp;盘货信息!$B:$B&amp;盘货信息!$C:$C,盘货信息!$Q:$Q)&lt;1,"","【红包】活动时间购机送"&amp;_xlfn.TEXTJOIN("",,IF(ISNUMBER(--MID(_xlfn.XLOOKUP(A96&amp;B96&amp;C96,盘货信息!$A:$A&amp;盘货信息!$B:$B&amp;盘货信息!$C:$C,盘货信息!$Q:$Q),_xlfn.SEQUENCE(LEN(_xlfn.XLOOKUP(A96&amp;B96&amp;C96,盘货信息!$A:$A&amp;盘货信息!$B:$B&amp;盘货信息!$C:$C,盘货信息!$Q:$Q))),1)),MID(_xlfn.XLOOKUP(A96&amp;B96&amp;C96,盘货信息!$A:$A&amp;盘货信息!$B:$B&amp;盘货信息!$C:$C,盘货信息!$Q:$Q),_xlfn.SEQUENCE(LEN(_xlfn.XLOOKUP(A96&amp;B96&amp;C96,盘货信息!$A:$A&amp;盘货信息!$B:$B&amp;盘货信息!$C:$C,盘货信息!$Q:$Q))),1),""))&amp;"元")</f>
        <v/>
      </c>
      <c r="T96" s="18" t="str">
        <f t="array" ref="T96">IF(ISNUMBER(SEARCH("是",_xlfn.XLOOKUP(A96&amp;B96&amp;C96,盘货信息!$A:$A&amp;盘货信息!$B:$B&amp;盘货信息!$C:$C,盘货信息!$T:$T))),"【瓜分】"&amp;固定信息!$B$7,"")</f>
        <v/>
      </c>
      <c r="U96" s="18" t="str">
        <f>IF($C96="","",IF(AND(R96="",S96="",T96=""),"",固定信息!$B$1))</f>
        <v/>
      </c>
      <c r="V96" s="18" t="str">
        <f t="array" ref="V96">IF(C96="","","【服务】"&amp;IF(_xlfn.XLOOKUP(A96&amp;B96&amp;C96,盘货信息!$A:$A&amp;盘货信息!$B:$B&amp;盘货信息!$C:$C,盘货信息!$V:$V)="","",_xlfn.XLOOKUP(A96&amp;B96&amp;C96,盘货信息!$A:$A&amp;盘货信息!$B:$B&amp;盘货信息!$C:$C,盘货信息!$V:$V)&amp;"免息,")&amp;IF(_xlfn.XLOOKUP(A96&amp;B96&amp;C96,盘货信息!$A:$A&amp;盘货信息!$B:$B&amp;盘货信息!$C:$C,盘货信息!$W:$W)="","",_xlfn.XLOOKUP(A96&amp;B96&amp;C96,盘货信息!$A:$A&amp;盘货信息!$B:$B&amp;盘货信息!$C:$C,盘货信息!$W:$W)&amp;"，")&amp;"送货入户，退换免运费")</f>
        <v/>
      </c>
    </row>
    <row r="97" customHeight="1" spans="1:22">
      <c r="A97" s="17" t="str">
        <f>IF(盘货信息!A97="","",盘货信息!A97)</f>
        <v/>
      </c>
      <c r="B97" s="20" t="str">
        <f>IF(盘货信息!B97="","",盘货信息!B97)</f>
        <v/>
      </c>
      <c r="C97" s="18" t="str">
        <f>IF(盘货信息!C97="","",盘货信息!C97)</f>
        <v/>
      </c>
      <c r="D97" s="18" t="str">
        <f ca="1" t="shared" si="1"/>
        <v/>
      </c>
      <c r="E97" s="18" t="str">
        <f>IF(C97="","",固定信息!$B$2)</f>
        <v/>
      </c>
      <c r="F97" s="18" t="str">
        <f t="array" ref="F97">IF(C97="","","【"&amp;C97&amp;"】"&amp;_xlfn.XLOOKUP(A97&amp;B97&amp;C97,盘货信息!$A:$A&amp;盘货信息!$B:$B&amp;盘货信息!$C:$C,盘货信息!$D:$D))</f>
        <v/>
      </c>
      <c r="G97" s="18" t="str">
        <f>IF(C97="","","【"&amp;"活动时间："&amp;固定信息!$B$3&amp;"】")</f>
        <v/>
      </c>
      <c r="H97" s="18" t="str">
        <f>IF($C97="","",固定信息!$B$1)</f>
        <v/>
      </c>
      <c r="I97" s="18"/>
      <c r="J97" s="18" t="str">
        <f t="array" ref="J97">_xlfn.XLOOKUP(A97&amp;B97&amp;C97,价格信息!$A:$A&amp;价格信息!$B:$B&amp;价格信息!$C:$C,价格信息!$D:$D)</f>
        <v/>
      </c>
      <c r="K97" s="31" t="str">
        <f t="array" ref="K97">IF(_xlfn.XLOOKUP(A97&amp;B97&amp;C97,价格信息!$A:$A&amp;价格信息!$B:$B&amp;价格信息!$C:$C,价格信息!$I:$I)="","","【优惠券链接】"&amp;固定信息!$B$6)</f>
        <v/>
      </c>
      <c r="L97" s="31" t="str">
        <f>IF($C97="","",固定信息!$B$1)</f>
        <v/>
      </c>
      <c r="M97" s="18" t="str">
        <f t="array" ref="M97">IF(_xlfn.XLOOKUP(A97&amp;B97&amp;C97,盘货信息!$A:$A&amp;盘货信息!$B:$B&amp;盘货信息!$C:$C,盘货信息!$O:$O)="","","【优惠券】领"&amp;INDEX(_wpsfn.REGEXP(_xlfn.XLOOKUP(A97&amp;B97&amp;C97,盘货信息!$A:$A&amp;盘货信息!$B:$B&amp;盘货信息!$C:$C,盘货信息!$O:$O),"\d+"),1,1)&amp;"元优惠券下单更优惠，优惠卷："&amp;_xlfn.XLOOKUP(A97&amp;B97&amp;C97,盘货信息!$A:$A&amp;盘货信息!$B:$B&amp;盘货信息!$C:$C,盘货信息!$P:$P))</f>
        <v/>
      </c>
      <c r="N97" s="18" t="str">
        <f t="array" ref="N97">IF(AND(ISNUMBER(_xlfn.XLOOKUP(A97&amp;B97&amp;C97,盘货信息!$A:$A&amp;盘货信息!$B:$B&amp;盘货信息!$C:$C,盘货信息!$I:$I)),_xlfn.XLOOKUP(A97&amp;B97&amp;C97,盘货信息!$A:$A&amp;盘货信息!$B:$B&amp;盘货信息!$C:$C,盘货信息!$I:$I)&gt;1),"【88VIP】立减"&amp;_xlfn.XLOOKUP(A97&amp;B97&amp;C97,盘货信息!$A:$A&amp;盘货信息!$B:$B&amp;盘货信息!$C:$C,盘货信息!$I:$I)&amp;"元","")</f>
        <v/>
      </c>
      <c r="O97" s="18" t="str">
        <f t="array" ref="O97">IF(_xlfn.XLOOKUP(A97&amp;B97&amp;C97,盘货信息!$A:$A&amp;盘货信息!$B:$B&amp;盘货信息!$C:$C,盘货信息!$K:$K)="","",IF(AND(_xlfn.XLOOKUP(A97&amp;B97&amp;C97,盘货信息!$A:$A&amp;盘货信息!$B:$B&amp;盘货信息!$C:$C,盘货信息!$G:$G)="不参加",_xlfn.XLOOKUP(A97&amp;B97&amp;C97,盘货信息!$A:$A&amp;盘货信息!$B:$B&amp;盘货信息!$C:$C,盘货信息!$H:$H)=""),"【以旧换新】"&amp;_xlfn.XLOOKUP(A97&amp;B97&amp;C97,盘货信息!$A:$A&amp;盘货信息!$B:$B&amp;盘货信息!$C:$C,盘货信息!$K:$K)&amp;"元以旧换新补贴（可无旧机换新）",""))</f>
        <v/>
      </c>
      <c r="P97" s="18" t="str">
        <f t="array" ref="P97">_xlfn.XLOOKUP(A97&amp;B97&amp;C97,赠品!$A:$A&amp;赠品!$B:$B&amp;赠品!$C:$C,赠品!$D:$D)</f>
        <v/>
      </c>
      <c r="Q97" s="18" t="str">
        <f>IF($C97="","",IF(AND(M97="",N97="",P97=""),"",固定信息!$B$1))</f>
        <v/>
      </c>
      <c r="R97" s="18" t="str">
        <f t="array" ref="R97">IF(ISNUMBER(SEARCH("是",_xlfn.XLOOKUP(A97&amp;B97&amp;C97,盘货信息!$A:$A&amp;盘货信息!$B:$B&amp;盘货信息!$C:$C,盘货信息!$U:$U))),"【折扣】指定型号满2类享96折，满3类享94折","")</f>
        <v/>
      </c>
      <c r="S97" s="18" t="str">
        <f t="array" ref="S97">IF(_xlfn.XLOOKUP(A97&amp;B97&amp;C97,盘货信息!$A:$A&amp;盘货信息!$B:$B&amp;盘货信息!$C:$C,盘货信息!$Q:$Q)&lt;1,"","【红包】活动时间购机送"&amp;_xlfn.TEXTJOIN("",,IF(ISNUMBER(--MID(_xlfn.XLOOKUP(A97&amp;B97&amp;C97,盘货信息!$A:$A&amp;盘货信息!$B:$B&amp;盘货信息!$C:$C,盘货信息!$Q:$Q),_xlfn.SEQUENCE(LEN(_xlfn.XLOOKUP(A97&amp;B97&amp;C97,盘货信息!$A:$A&amp;盘货信息!$B:$B&amp;盘货信息!$C:$C,盘货信息!$Q:$Q))),1)),MID(_xlfn.XLOOKUP(A97&amp;B97&amp;C97,盘货信息!$A:$A&amp;盘货信息!$B:$B&amp;盘货信息!$C:$C,盘货信息!$Q:$Q),_xlfn.SEQUENCE(LEN(_xlfn.XLOOKUP(A97&amp;B97&amp;C97,盘货信息!$A:$A&amp;盘货信息!$B:$B&amp;盘货信息!$C:$C,盘货信息!$Q:$Q))),1),""))&amp;"元")</f>
        <v/>
      </c>
      <c r="T97" s="18" t="str">
        <f t="array" ref="T97">IF(ISNUMBER(SEARCH("是",_xlfn.XLOOKUP(A97&amp;B97&amp;C97,盘货信息!$A:$A&amp;盘货信息!$B:$B&amp;盘货信息!$C:$C,盘货信息!$T:$T))),"【瓜分】"&amp;固定信息!$B$7,"")</f>
        <v/>
      </c>
      <c r="U97" s="18" t="str">
        <f>IF($C97="","",IF(AND(R97="",S97="",T97=""),"",固定信息!$B$1))</f>
        <v/>
      </c>
      <c r="V97" s="18" t="str">
        <f t="array" ref="V97">IF(C97="","","【服务】"&amp;IF(_xlfn.XLOOKUP(A97&amp;B97&amp;C97,盘货信息!$A:$A&amp;盘货信息!$B:$B&amp;盘货信息!$C:$C,盘货信息!$V:$V)="","",_xlfn.XLOOKUP(A97&amp;B97&amp;C97,盘货信息!$A:$A&amp;盘货信息!$B:$B&amp;盘货信息!$C:$C,盘货信息!$V:$V)&amp;"免息,")&amp;IF(_xlfn.XLOOKUP(A97&amp;B97&amp;C97,盘货信息!$A:$A&amp;盘货信息!$B:$B&amp;盘货信息!$C:$C,盘货信息!$W:$W)="","",_xlfn.XLOOKUP(A97&amp;B97&amp;C97,盘货信息!$A:$A&amp;盘货信息!$B:$B&amp;盘货信息!$C:$C,盘货信息!$W:$W)&amp;"，")&amp;"送货入户，退换免运费")</f>
        <v/>
      </c>
    </row>
    <row r="98" customHeight="1" spans="1:22">
      <c r="A98" s="17" t="str">
        <f>IF(盘货信息!A98="","",盘货信息!A98)</f>
        <v/>
      </c>
      <c r="B98" s="20" t="str">
        <f>IF(盘货信息!B98="","",盘货信息!B98)</f>
        <v/>
      </c>
      <c r="C98" s="18" t="str">
        <f>IF(盘货信息!C98="","",盘货信息!C98)</f>
        <v/>
      </c>
      <c r="D98" s="18" t="str">
        <f ca="1" t="shared" si="1"/>
        <v/>
      </c>
      <c r="E98" s="18" t="str">
        <f>IF(C98="","",固定信息!$B$2)</f>
        <v/>
      </c>
      <c r="F98" s="18" t="str">
        <f t="array" ref="F98">IF(C98="","","【"&amp;C98&amp;"】"&amp;_xlfn.XLOOKUP(A98&amp;B98&amp;C98,盘货信息!$A:$A&amp;盘货信息!$B:$B&amp;盘货信息!$C:$C,盘货信息!$D:$D))</f>
        <v/>
      </c>
      <c r="G98" s="18" t="str">
        <f>IF(C98="","","【"&amp;"活动时间："&amp;固定信息!$B$3&amp;"】")</f>
        <v/>
      </c>
      <c r="H98" s="18" t="str">
        <f>IF($C98="","",固定信息!$B$1)</f>
        <v/>
      </c>
      <c r="I98" s="18"/>
      <c r="J98" s="18" t="str">
        <f t="array" ref="J98">_xlfn.XLOOKUP(A98&amp;B98&amp;C98,价格信息!$A:$A&amp;价格信息!$B:$B&amp;价格信息!$C:$C,价格信息!$D:$D)</f>
        <v/>
      </c>
      <c r="K98" s="31" t="str">
        <f t="array" ref="K98">IF(_xlfn.XLOOKUP(A98&amp;B98&amp;C98,价格信息!$A:$A&amp;价格信息!$B:$B&amp;价格信息!$C:$C,价格信息!$I:$I)="","","【优惠券链接】"&amp;固定信息!$B$6)</f>
        <v/>
      </c>
      <c r="L98" s="31" t="str">
        <f>IF($C98="","",固定信息!$B$1)</f>
        <v/>
      </c>
      <c r="M98" s="18" t="str">
        <f t="array" ref="M98">IF(_xlfn.XLOOKUP(A98&amp;B98&amp;C98,盘货信息!$A:$A&amp;盘货信息!$B:$B&amp;盘货信息!$C:$C,盘货信息!$O:$O)="","","【优惠券】领"&amp;INDEX(_wpsfn.REGEXP(_xlfn.XLOOKUP(A98&amp;B98&amp;C98,盘货信息!$A:$A&amp;盘货信息!$B:$B&amp;盘货信息!$C:$C,盘货信息!$O:$O),"\d+"),1,1)&amp;"元优惠券下单更优惠，优惠卷："&amp;_xlfn.XLOOKUP(A98&amp;B98&amp;C98,盘货信息!$A:$A&amp;盘货信息!$B:$B&amp;盘货信息!$C:$C,盘货信息!$P:$P))</f>
        <v/>
      </c>
      <c r="N98" s="18" t="str">
        <f t="array" ref="N98">IF(AND(ISNUMBER(_xlfn.XLOOKUP(A98&amp;B98&amp;C98,盘货信息!$A:$A&amp;盘货信息!$B:$B&amp;盘货信息!$C:$C,盘货信息!$I:$I)),_xlfn.XLOOKUP(A98&amp;B98&amp;C98,盘货信息!$A:$A&amp;盘货信息!$B:$B&amp;盘货信息!$C:$C,盘货信息!$I:$I)&gt;1),"【88VIP】立减"&amp;_xlfn.XLOOKUP(A98&amp;B98&amp;C98,盘货信息!$A:$A&amp;盘货信息!$B:$B&amp;盘货信息!$C:$C,盘货信息!$I:$I)&amp;"元","")</f>
        <v/>
      </c>
      <c r="O98" s="18" t="str">
        <f t="array" ref="O98">IF(_xlfn.XLOOKUP(A98&amp;B98&amp;C98,盘货信息!$A:$A&amp;盘货信息!$B:$B&amp;盘货信息!$C:$C,盘货信息!$K:$K)="","",IF(AND(_xlfn.XLOOKUP(A98&amp;B98&amp;C98,盘货信息!$A:$A&amp;盘货信息!$B:$B&amp;盘货信息!$C:$C,盘货信息!$G:$G)="不参加",_xlfn.XLOOKUP(A98&amp;B98&amp;C98,盘货信息!$A:$A&amp;盘货信息!$B:$B&amp;盘货信息!$C:$C,盘货信息!$H:$H)=""),"【以旧换新】"&amp;_xlfn.XLOOKUP(A98&amp;B98&amp;C98,盘货信息!$A:$A&amp;盘货信息!$B:$B&amp;盘货信息!$C:$C,盘货信息!$K:$K)&amp;"元以旧换新补贴（可无旧机换新）",""))</f>
        <v/>
      </c>
      <c r="P98" s="18" t="str">
        <f t="array" ref="P98">_xlfn.XLOOKUP(A98&amp;B98&amp;C98,赠品!$A:$A&amp;赠品!$B:$B&amp;赠品!$C:$C,赠品!$D:$D)</f>
        <v/>
      </c>
      <c r="Q98" s="18" t="str">
        <f>IF($C98="","",IF(AND(M98="",N98="",P98=""),"",固定信息!$B$1))</f>
        <v/>
      </c>
      <c r="R98" s="18" t="str">
        <f t="array" ref="R98">IF(ISNUMBER(SEARCH("是",_xlfn.XLOOKUP(A98&amp;B98&amp;C98,盘货信息!$A:$A&amp;盘货信息!$B:$B&amp;盘货信息!$C:$C,盘货信息!$U:$U))),"【折扣】指定型号满2类享96折，满3类享94折","")</f>
        <v/>
      </c>
      <c r="S98" s="18" t="str">
        <f t="array" ref="S98">IF(_xlfn.XLOOKUP(A98&amp;B98&amp;C98,盘货信息!$A:$A&amp;盘货信息!$B:$B&amp;盘货信息!$C:$C,盘货信息!$Q:$Q)&lt;1,"","【红包】活动时间购机送"&amp;_xlfn.TEXTJOIN("",,IF(ISNUMBER(--MID(_xlfn.XLOOKUP(A98&amp;B98&amp;C98,盘货信息!$A:$A&amp;盘货信息!$B:$B&amp;盘货信息!$C:$C,盘货信息!$Q:$Q),_xlfn.SEQUENCE(LEN(_xlfn.XLOOKUP(A98&amp;B98&amp;C98,盘货信息!$A:$A&amp;盘货信息!$B:$B&amp;盘货信息!$C:$C,盘货信息!$Q:$Q))),1)),MID(_xlfn.XLOOKUP(A98&amp;B98&amp;C98,盘货信息!$A:$A&amp;盘货信息!$B:$B&amp;盘货信息!$C:$C,盘货信息!$Q:$Q),_xlfn.SEQUENCE(LEN(_xlfn.XLOOKUP(A98&amp;B98&amp;C98,盘货信息!$A:$A&amp;盘货信息!$B:$B&amp;盘货信息!$C:$C,盘货信息!$Q:$Q))),1),""))&amp;"元")</f>
        <v/>
      </c>
      <c r="T98" s="18" t="str">
        <f t="array" ref="T98">IF(ISNUMBER(SEARCH("是",_xlfn.XLOOKUP(A98&amp;B98&amp;C98,盘货信息!$A:$A&amp;盘货信息!$B:$B&amp;盘货信息!$C:$C,盘货信息!$T:$T))),"【瓜分】"&amp;固定信息!$B$7,"")</f>
        <v/>
      </c>
      <c r="U98" s="18" t="str">
        <f>IF($C98="","",IF(AND(R98="",S98="",T98=""),"",固定信息!$B$1))</f>
        <v/>
      </c>
      <c r="V98" s="18" t="str">
        <f t="array" ref="V98">IF(C98="","","【服务】"&amp;IF(_xlfn.XLOOKUP(A98&amp;B98&amp;C98,盘货信息!$A:$A&amp;盘货信息!$B:$B&amp;盘货信息!$C:$C,盘货信息!$V:$V)="","",_xlfn.XLOOKUP(A98&amp;B98&amp;C98,盘货信息!$A:$A&amp;盘货信息!$B:$B&amp;盘货信息!$C:$C,盘货信息!$V:$V)&amp;"免息,")&amp;IF(_xlfn.XLOOKUP(A98&amp;B98&amp;C98,盘货信息!$A:$A&amp;盘货信息!$B:$B&amp;盘货信息!$C:$C,盘货信息!$W:$W)="","",_xlfn.XLOOKUP(A98&amp;B98&amp;C98,盘货信息!$A:$A&amp;盘货信息!$B:$B&amp;盘货信息!$C:$C,盘货信息!$W:$W)&amp;"，")&amp;"送货入户，退换免运费")</f>
        <v/>
      </c>
    </row>
    <row r="99" customHeight="1" spans="1:22">
      <c r="A99" s="17" t="str">
        <f>IF(盘货信息!A99="","",盘货信息!A99)</f>
        <v/>
      </c>
      <c r="B99" s="20" t="str">
        <f>IF(盘货信息!B99="","",盘货信息!B99)</f>
        <v/>
      </c>
      <c r="C99" s="18" t="str">
        <f>IF(盘货信息!C99="","",盘货信息!C99)</f>
        <v/>
      </c>
      <c r="D99" s="18" t="str">
        <f ca="1" t="shared" si="1"/>
        <v/>
      </c>
      <c r="E99" s="18" t="str">
        <f>IF(C99="","",固定信息!$B$2)</f>
        <v/>
      </c>
      <c r="F99" s="18" t="str">
        <f t="array" ref="F99">IF(C99="","","【"&amp;C99&amp;"】"&amp;_xlfn.XLOOKUP(A99&amp;B99&amp;C99,盘货信息!$A:$A&amp;盘货信息!$B:$B&amp;盘货信息!$C:$C,盘货信息!$D:$D))</f>
        <v/>
      </c>
      <c r="G99" s="18" t="str">
        <f>IF(C99="","","【"&amp;"活动时间："&amp;固定信息!$B$3&amp;"】")</f>
        <v/>
      </c>
      <c r="H99" s="18" t="str">
        <f>IF($C99="","",固定信息!$B$1)</f>
        <v/>
      </c>
      <c r="I99" s="18"/>
      <c r="J99" s="18" t="str">
        <f t="array" ref="J99">_xlfn.XLOOKUP(A99&amp;B99&amp;C99,价格信息!$A:$A&amp;价格信息!$B:$B&amp;价格信息!$C:$C,价格信息!$D:$D)</f>
        <v/>
      </c>
      <c r="K99" s="31" t="str">
        <f t="array" ref="K99">IF(_xlfn.XLOOKUP(A99&amp;B99&amp;C99,价格信息!$A:$A&amp;价格信息!$B:$B&amp;价格信息!$C:$C,价格信息!$I:$I)="","","【优惠券链接】"&amp;固定信息!$B$6)</f>
        <v/>
      </c>
      <c r="L99" s="31" t="str">
        <f>IF($C99="","",固定信息!$B$1)</f>
        <v/>
      </c>
      <c r="M99" s="18" t="str">
        <f t="array" ref="M99">IF(_xlfn.XLOOKUP(A99&amp;B99&amp;C99,盘货信息!$A:$A&amp;盘货信息!$B:$B&amp;盘货信息!$C:$C,盘货信息!$O:$O)="","","【优惠券】领"&amp;INDEX(_wpsfn.REGEXP(_xlfn.XLOOKUP(A99&amp;B99&amp;C99,盘货信息!$A:$A&amp;盘货信息!$B:$B&amp;盘货信息!$C:$C,盘货信息!$O:$O),"\d+"),1,1)&amp;"元优惠券下单更优惠，优惠卷："&amp;_xlfn.XLOOKUP(A99&amp;B99&amp;C99,盘货信息!$A:$A&amp;盘货信息!$B:$B&amp;盘货信息!$C:$C,盘货信息!$P:$P))</f>
        <v/>
      </c>
      <c r="N99" s="18" t="str">
        <f t="array" ref="N99">IF(AND(ISNUMBER(_xlfn.XLOOKUP(A99&amp;B99&amp;C99,盘货信息!$A:$A&amp;盘货信息!$B:$B&amp;盘货信息!$C:$C,盘货信息!$I:$I)),_xlfn.XLOOKUP(A99&amp;B99&amp;C99,盘货信息!$A:$A&amp;盘货信息!$B:$B&amp;盘货信息!$C:$C,盘货信息!$I:$I)&gt;1),"【88VIP】立减"&amp;_xlfn.XLOOKUP(A99&amp;B99&amp;C99,盘货信息!$A:$A&amp;盘货信息!$B:$B&amp;盘货信息!$C:$C,盘货信息!$I:$I)&amp;"元","")</f>
        <v/>
      </c>
      <c r="O99" s="18" t="str">
        <f t="array" ref="O99">IF(_xlfn.XLOOKUP(A99&amp;B99&amp;C99,盘货信息!$A:$A&amp;盘货信息!$B:$B&amp;盘货信息!$C:$C,盘货信息!$K:$K)="","",IF(AND(_xlfn.XLOOKUP(A99&amp;B99&amp;C99,盘货信息!$A:$A&amp;盘货信息!$B:$B&amp;盘货信息!$C:$C,盘货信息!$G:$G)="不参加",_xlfn.XLOOKUP(A99&amp;B99&amp;C99,盘货信息!$A:$A&amp;盘货信息!$B:$B&amp;盘货信息!$C:$C,盘货信息!$H:$H)=""),"【以旧换新】"&amp;_xlfn.XLOOKUP(A99&amp;B99&amp;C99,盘货信息!$A:$A&amp;盘货信息!$B:$B&amp;盘货信息!$C:$C,盘货信息!$K:$K)&amp;"元以旧换新补贴（可无旧机换新）",""))</f>
        <v/>
      </c>
      <c r="P99" s="18" t="str">
        <f t="array" ref="P99">_xlfn.XLOOKUP(A99&amp;B99&amp;C99,赠品!$A:$A&amp;赠品!$B:$B&amp;赠品!$C:$C,赠品!$D:$D)</f>
        <v/>
      </c>
      <c r="Q99" s="18" t="str">
        <f>IF($C99="","",IF(AND(M99="",N99="",P99=""),"",固定信息!$B$1))</f>
        <v/>
      </c>
      <c r="R99" s="18" t="str">
        <f t="array" ref="R99">IF(ISNUMBER(SEARCH("是",_xlfn.XLOOKUP(A99&amp;B99&amp;C99,盘货信息!$A:$A&amp;盘货信息!$B:$B&amp;盘货信息!$C:$C,盘货信息!$U:$U))),"【折扣】指定型号满2类享96折，满3类享94折","")</f>
        <v/>
      </c>
      <c r="S99" s="18" t="str">
        <f t="array" ref="S99">IF(_xlfn.XLOOKUP(A99&amp;B99&amp;C99,盘货信息!$A:$A&amp;盘货信息!$B:$B&amp;盘货信息!$C:$C,盘货信息!$Q:$Q)&lt;1,"","【红包】活动时间购机送"&amp;_xlfn.TEXTJOIN("",,IF(ISNUMBER(--MID(_xlfn.XLOOKUP(A99&amp;B99&amp;C99,盘货信息!$A:$A&amp;盘货信息!$B:$B&amp;盘货信息!$C:$C,盘货信息!$Q:$Q),_xlfn.SEQUENCE(LEN(_xlfn.XLOOKUP(A99&amp;B99&amp;C99,盘货信息!$A:$A&amp;盘货信息!$B:$B&amp;盘货信息!$C:$C,盘货信息!$Q:$Q))),1)),MID(_xlfn.XLOOKUP(A99&amp;B99&amp;C99,盘货信息!$A:$A&amp;盘货信息!$B:$B&amp;盘货信息!$C:$C,盘货信息!$Q:$Q),_xlfn.SEQUENCE(LEN(_xlfn.XLOOKUP(A99&amp;B99&amp;C99,盘货信息!$A:$A&amp;盘货信息!$B:$B&amp;盘货信息!$C:$C,盘货信息!$Q:$Q))),1),""))&amp;"元")</f>
        <v/>
      </c>
      <c r="T99" s="18" t="str">
        <f t="array" ref="T99">IF(ISNUMBER(SEARCH("是",_xlfn.XLOOKUP(A99&amp;B99&amp;C99,盘货信息!$A:$A&amp;盘货信息!$B:$B&amp;盘货信息!$C:$C,盘货信息!$T:$T))),"【瓜分】"&amp;固定信息!$B$7,"")</f>
        <v/>
      </c>
      <c r="U99" s="18" t="str">
        <f>IF($C99="","",IF(AND(R99="",S99="",T99=""),"",固定信息!$B$1))</f>
        <v/>
      </c>
      <c r="V99" s="18" t="str">
        <f t="array" ref="V99">IF(C99="","","【服务】"&amp;IF(_xlfn.XLOOKUP(A99&amp;B99&amp;C99,盘货信息!$A:$A&amp;盘货信息!$B:$B&amp;盘货信息!$C:$C,盘货信息!$V:$V)="","",_xlfn.XLOOKUP(A99&amp;B99&amp;C99,盘货信息!$A:$A&amp;盘货信息!$B:$B&amp;盘货信息!$C:$C,盘货信息!$V:$V)&amp;"免息,")&amp;IF(_xlfn.XLOOKUP(A99&amp;B99&amp;C99,盘货信息!$A:$A&amp;盘货信息!$B:$B&amp;盘货信息!$C:$C,盘货信息!$W:$W)="","",_xlfn.XLOOKUP(A99&amp;B99&amp;C99,盘货信息!$A:$A&amp;盘货信息!$B:$B&amp;盘货信息!$C:$C,盘货信息!$W:$W)&amp;"，")&amp;"送货入户，退换免运费")</f>
        <v/>
      </c>
    </row>
    <row r="100" customHeight="1" spans="1:22">
      <c r="A100" s="17" t="str">
        <f>IF(盘货信息!A100="","",盘货信息!A100)</f>
        <v/>
      </c>
      <c r="B100" s="20" t="str">
        <f>IF(盘货信息!B100="","",盘货信息!B100)</f>
        <v/>
      </c>
      <c r="C100" s="18" t="str">
        <f>IF(盘货信息!C100="","",盘货信息!C100)</f>
        <v/>
      </c>
      <c r="D100" s="18" t="str">
        <f ca="1" t="shared" si="1"/>
        <v/>
      </c>
      <c r="E100" s="18" t="str">
        <f>IF(C100="","",固定信息!$B$2)</f>
        <v/>
      </c>
      <c r="F100" s="18" t="str">
        <f t="array" ref="F100">IF(C100="","","【"&amp;C100&amp;"】"&amp;_xlfn.XLOOKUP(A100&amp;B100&amp;C100,盘货信息!$A:$A&amp;盘货信息!$B:$B&amp;盘货信息!$C:$C,盘货信息!$D:$D))</f>
        <v/>
      </c>
      <c r="G100" s="18" t="str">
        <f>IF(C100="","","【"&amp;"活动时间："&amp;固定信息!$B$3&amp;"】")</f>
        <v/>
      </c>
      <c r="H100" s="18" t="str">
        <f>IF($C100="","",固定信息!$B$1)</f>
        <v/>
      </c>
      <c r="I100" s="18"/>
      <c r="J100" s="18" t="str">
        <f t="array" ref="J100">_xlfn.XLOOKUP(A100&amp;B100&amp;C100,价格信息!$A:$A&amp;价格信息!$B:$B&amp;价格信息!$C:$C,价格信息!$D:$D)</f>
        <v/>
      </c>
      <c r="K100" s="31" t="str">
        <f t="array" ref="K100">IF(_xlfn.XLOOKUP(A100&amp;B100&amp;C100,价格信息!$A:$A&amp;价格信息!$B:$B&amp;价格信息!$C:$C,价格信息!$I:$I)="","","【优惠券链接】"&amp;固定信息!$B$6)</f>
        <v/>
      </c>
      <c r="L100" s="31" t="str">
        <f>IF($C100="","",固定信息!$B$1)</f>
        <v/>
      </c>
      <c r="M100" s="18" t="str">
        <f t="array" ref="M100">IF(_xlfn.XLOOKUP(A100&amp;B100&amp;C100,盘货信息!$A:$A&amp;盘货信息!$B:$B&amp;盘货信息!$C:$C,盘货信息!$O:$O)="","","【优惠券】领"&amp;INDEX(_wpsfn.REGEXP(_xlfn.XLOOKUP(A100&amp;B100&amp;C100,盘货信息!$A:$A&amp;盘货信息!$B:$B&amp;盘货信息!$C:$C,盘货信息!$O:$O),"\d+"),1,1)&amp;"元优惠券下单更优惠，优惠卷："&amp;_xlfn.XLOOKUP(A100&amp;B100&amp;C100,盘货信息!$A:$A&amp;盘货信息!$B:$B&amp;盘货信息!$C:$C,盘货信息!$P:$P))</f>
        <v/>
      </c>
      <c r="N100" s="18" t="str">
        <f t="array" ref="N100">IF(AND(ISNUMBER(_xlfn.XLOOKUP(A100&amp;B100&amp;C100,盘货信息!$A:$A&amp;盘货信息!$B:$B&amp;盘货信息!$C:$C,盘货信息!$I:$I)),_xlfn.XLOOKUP(A100&amp;B100&amp;C100,盘货信息!$A:$A&amp;盘货信息!$B:$B&amp;盘货信息!$C:$C,盘货信息!$I:$I)&gt;1),"【88VIP】立减"&amp;_xlfn.XLOOKUP(A100&amp;B100&amp;C100,盘货信息!$A:$A&amp;盘货信息!$B:$B&amp;盘货信息!$C:$C,盘货信息!$I:$I)&amp;"元","")</f>
        <v/>
      </c>
      <c r="O100" s="18" t="str">
        <f t="array" ref="O100">IF(_xlfn.XLOOKUP(A100&amp;B100&amp;C100,盘货信息!$A:$A&amp;盘货信息!$B:$B&amp;盘货信息!$C:$C,盘货信息!$K:$K)="","",IF(AND(_xlfn.XLOOKUP(A100&amp;B100&amp;C100,盘货信息!$A:$A&amp;盘货信息!$B:$B&amp;盘货信息!$C:$C,盘货信息!$G:$G)="不参加",_xlfn.XLOOKUP(A100&amp;B100&amp;C100,盘货信息!$A:$A&amp;盘货信息!$B:$B&amp;盘货信息!$C:$C,盘货信息!$H:$H)=""),"【以旧换新】"&amp;_xlfn.XLOOKUP(A100&amp;B100&amp;C100,盘货信息!$A:$A&amp;盘货信息!$B:$B&amp;盘货信息!$C:$C,盘货信息!$K:$K)&amp;"元以旧换新补贴（可无旧机换新）",""))</f>
        <v/>
      </c>
      <c r="P100" s="18" t="str">
        <f t="array" ref="P100">_xlfn.XLOOKUP(A100&amp;B100&amp;C100,赠品!$A:$A&amp;赠品!$B:$B&amp;赠品!$C:$C,赠品!$D:$D)</f>
        <v/>
      </c>
      <c r="Q100" s="18" t="str">
        <f>IF($C100="","",IF(AND(M100="",N100="",P100=""),"",固定信息!$B$1))</f>
        <v/>
      </c>
      <c r="R100" s="18" t="str">
        <f t="array" ref="R100">IF(ISNUMBER(SEARCH("是",_xlfn.XLOOKUP(A100&amp;B100&amp;C100,盘货信息!$A:$A&amp;盘货信息!$B:$B&amp;盘货信息!$C:$C,盘货信息!$U:$U))),"【折扣】指定型号满2类享96折，满3类享94折","")</f>
        <v/>
      </c>
      <c r="S100" s="18" t="str">
        <f t="array" ref="S100">IF(_xlfn.XLOOKUP(A100&amp;B100&amp;C100,盘货信息!$A:$A&amp;盘货信息!$B:$B&amp;盘货信息!$C:$C,盘货信息!$Q:$Q)&lt;1,"","【红包】活动时间购机送"&amp;_xlfn.TEXTJOIN("",,IF(ISNUMBER(--MID(_xlfn.XLOOKUP(A100&amp;B100&amp;C100,盘货信息!$A:$A&amp;盘货信息!$B:$B&amp;盘货信息!$C:$C,盘货信息!$Q:$Q),_xlfn.SEQUENCE(LEN(_xlfn.XLOOKUP(A100&amp;B100&amp;C100,盘货信息!$A:$A&amp;盘货信息!$B:$B&amp;盘货信息!$C:$C,盘货信息!$Q:$Q))),1)),MID(_xlfn.XLOOKUP(A100&amp;B100&amp;C100,盘货信息!$A:$A&amp;盘货信息!$B:$B&amp;盘货信息!$C:$C,盘货信息!$Q:$Q),_xlfn.SEQUENCE(LEN(_xlfn.XLOOKUP(A100&amp;B100&amp;C100,盘货信息!$A:$A&amp;盘货信息!$B:$B&amp;盘货信息!$C:$C,盘货信息!$Q:$Q))),1),""))&amp;"元")</f>
        <v/>
      </c>
      <c r="T100" s="18" t="str">
        <f t="array" ref="T100">IF(ISNUMBER(SEARCH("是",_xlfn.XLOOKUP(A100&amp;B100&amp;C100,盘货信息!$A:$A&amp;盘货信息!$B:$B&amp;盘货信息!$C:$C,盘货信息!$T:$T))),"【瓜分】"&amp;固定信息!$B$7,"")</f>
        <v/>
      </c>
      <c r="U100" s="18" t="str">
        <f>IF($C100="","",IF(AND(R100="",S100="",T100=""),"",固定信息!$B$1))</f>
        <v/>
      </c>
      <c r="V100" s="18" t="str">
        <f t="array" ref="V100">IF(C100="","","【服务】"&amp;IF(_xlfn.XLOOKUP(A100&amp;B100&amp;C100,盘货信息!$A:$A&amp;盘货信息!$B:$B&amp;盘货信息!$C:$C,盘货信息!$V:$V)="","",_xlfn.XLOOKUP(A100&amp;B100&amp;C100,盘货信息!$A:$A&amp;盘货信息!$B:$B&amp;盘货信息!$C:$C,盘货信息!$V:$V)&amp;"免息,")&amp;IF(_xlfn.XLOOKUP(A100&amp;B100&amp;C100,盘货信息!$A:$A&amp;盘货信息!$B:$B&amp;盘货信息!$C:$C,盘货信息!$W:$W)="","",_xlfn.XLOOKUP(A100&amp;B100&amp;C100,盘货信息!$A:$A&amp;盘货信息!$B:$B&amp;盘货信息!$C:$C,盘货信息!$W:$W)&amp;"，")&amp;"送货入户，退换免运费")</f>
        <v/>
      </c>
    </row>
    <row r="101" customHeight="1" spans="1:22">
      <c r="A101" s="17" t="str">
        <f>IF(盘货信息!A101="","",盘货信息!A101)</f>
        <v/>
      </c>
      <c r="B101" s="20" t="str">
        <f>IF(盘货信息!B101="","",盘货信息!B101)</f>
        <v/>
      </c>
      <c r="C101" s="18" t="str">
        <f>IF(盘货信息!C101="","",盘货信息!C101)</f>
        <v/>
      </c>
      <c r="D101" s="18" t="str">
        <f ca="1" t="shared" si="1"/>
        <v/>
      </c>
      <c r="E101" s="18" t="str">
        <f>IF(C101="","",固定信息!$B$2)</f>
        <v/>
      </c>
      <c r="F101" s="18" t="str">
        <f t="array" ref="F101">IF(C101="","","【"&amp;C101&amp;"】"&amp;_xlfn.XLOOKUP(A101&amp;B101&amp;C101,盘货信息!$A:$A&amp;盘货信息!$B:$B&amp;盘货信息!$C:$C,盘货信息!$D:$D))</f>
        <v/>
      </c>
      <c r="G101" s="18" t="str">
        <f>IF(C101="","","【"&amp;"活动时间："&amp;固定信息!$B$3&amp;"】")</f>
        <v/>
      </c>
      <c r="H101" s="18" t="str">
        <f>IF($C101="","",固定信息!$B$1)</f>
        <v/>
      </c>
      <c r="I101" s="18"/>
      <c r="J101" s="18" t="str">
        <f t="array" ref="J101">_xlfn.XLOOKUP(A101&amp;B101&amp;C101,价格信息!$A:$A&amp;价格信息!$B:$B&amp;价格信息!$C:$C,价格信息!$D:$D)</f>
        <v/>
      </c>
      <c r="K101" s="31" t="str">
        <f t="array" ref="K101">IF(_xlfn.XLOOKUP(A101&amp;B101&amp;C101,价格信息!$A:$A&amp;价格信息!$B:$B&amp;价格信息!$C:$C,价格信息!$I:$I)="","","【优惠券链接】"&amp;固定信息!$B$6)</f>
        <v/>
      </c>
      <c r="L101" s="31" t="str">
        <f>IF($C101="","",固定信息!$B$1)</f>
        <v/>
      </c>
      <c r="M101" s="18" t="str">
        <f t="array" ref="M101">IF(_xlfn.XLOOKUP(A101&amp;B101&amp;C101,盘货信息!$A:$A&amp;盘货信息!$B:$B&amp;盘货信息!$C:$C,盘货信息!$O:$O)="","","【优惠券】领"&amp;INDEX(_wpsfn.REGEXP(_xlfn.XLOOKUP(A101&amp;B101&amp;C101,盘货信息!$A:$A&amp;盘货信息!$B:$B&amp;盘货信息!$C:$C,盘货信息!$O:$O),"\d+"),1,1)&amp;"元优惠券下单更优惠，优惠卷："&amp;_xlfn.XLOOKUP(A101&amp;B101&amp;C101,盘货信息!$A:$A&amp;盘货信息!$B:$B&amp;盘货信息!$C:$C,盘货信息!$P:$P))</f>
        <v/>
      </c>
      <c r="N101" s="18" t="str">
        <f t="array" ref="N101">IF(AND(ISNUMBER(_xlfn.XLOOKUP(A101&amp;B101&amp;C101,盘货信息!$A:$A&amp;盘货信息!$B:$B&amp;盘货信息!$C:$C,盘货信息!$I:$I)),_xlfn.XLOOKUP(A101&amp;B101&amp;C101,盘货信息!$A:$A&amp;盘货信息!$B:$B&amp;盘货信息!$C:$C,盘货信息!$I:$I)&gt;1),"【88VIP】立减"&amp;_xlfn.XLOOKUP(A101&amp;B101&amp;C101,盘货信息!$A:$A&amp;盘货信息!$B:$B&amp;盘货信息!$C:$C,盘货信息!$I:$I)&amp;"元","")</f>
        <v/>
      </c>
      <c r="O101" s="18" t="str">
        <f t="array" ref="O101">IF(_xlfn.XLOOKUP(A101&amp;B101&amp;C101,盘货信息!$A:$A&amp;盘货信息!$B:$B&amp;盘货信息!$C:$C,盘货信息!$K:$K)="","",IF(AND(_xlfn.XLOOKUP(A101&amp;B101&amp;C101,盘货信息!$A:$A&amp;盘货信息!$B:$B&amp;盘货信息!$C:$C,盘货信息!$G:$G)="不参加",_xlfn.XLOOKUP(A101&amp;B101&amp;C101,盘货信息!$A:$A&amp;盘货信息!$B:$B&amp;盘货信息!$C:$C,盘货信息!$H:$H)=""),"【以旧换新】"&amp;_xlfn.XLOOKUP(A101&amp;B101&amp;C101,盘货信息!$A:$A&amp;盘货信息!$B:$B&amp;盘货信息!$C:$C,盘货信息!$K:$K)&amp;"元以旧换新补贴（可无旧机换新）",""))</f>
        <v/>
      </c>
      <c r="P101" s="18" t="str">
        <f t="array" ref="P101">_xlfn.XLOOKUP(A101&amp;B101&amp;C101,赠品!$A:$A&amp;赠品!$B:$B&amp;赠品!$C:$C,赠品!$D:$D)</f>
        <v/>
      </c>
      <c r="Q101" s="18" t="str">
        <f>IF($C101="","",IF(AND(M101="",N101="",P101=""),"",固定信息!$B$1))</f>
        <v/>
      </c>
      <c r="R101" s="18" t="str">
        <f t="array" ref="R101">IF(ISNUMBER(SEARCH("是",_xlfn.XLOOKUP(A101&amp;B101&amp;C101,盘货信息!$A:$A&amp;盘货信息!$B:$B&amp;盘货信息!$C:$C,盘货信息!$U:$U))),"【折扣】指定型号满2类享96折，满3类享94折","")</f>
        <v/>
      </c>
      <c r="S101" s="18" t="str">
        <f t="array" ref="S101">IF(_xlfn.XLOOKUP(A101&amp;B101&amp;C101,盘货信息!$A:$A&amp;盘货信息!$B:$B&amp;盘货信息!$C:$C,盘货信息!$Q:$Q)&lt;1,"","【红包】活动时间购机送"&amp;_xlfn.TEXTJOIN("",,IF(ISNUMBER(--MID(_xlfn.XLOOKUP(A101&amp;B101&amp;C101,盘货信息!$A:$A&amp;盘货信息!$B:$B&amp;盘货信息!$C:$C,盘货信息!$Q:$Q),_xlfn.SEQUENCE(LEN(_xlfn.XLOOKUP(A101&amp;B101&amp;C101,盘货信息!$A:$A&amp;盘货信息!$B:$B&amp;盘货信息!$C:$C,盘货信息!$Q:$Q))),1)),MID(_xlfn.XLOOKUP(A101&amp;B101&amp;C101,盘货信息!$A:$A&amp;盘货信息!$B:$B&amp;盘货信息!$C:$C,盘货信息!$Q:$Q),_xlfn.SEQUENCE(LEN(_xlfn.XLOOKUP(A101&amp;B101&amp;C101,盘货信息!$A:$A&amp;盘货信息!$B:$B&amp;盘货信息!$C:$C,盘货信息!$Q:$Q))),1),""))&amp;"元")</f>
        <v/>
      </c>
      <c r="T101" s="18" t="str">
        <f t="array" ref="T101">IF(ISNUMBER(SEARCH("是",_xlfn.XLOOKUP(A101&amp;B101&amp;C101,盘货信息!$A:$A&amp;盘货信息!$B:$B&amp;盘货信息!$C:$C,盘货信息!$T:$T))),"【瓜分】"&amp;固定信息!$B$7,"")</f>
        <v/>
      </c>
      <c r="U101" s="18" t="str">
        <f>IF($C101="","",IF(AND(R101="",S101="",T101=""),"",固定信息!$B$1))</f>
        <v/>
      </c>
      <c r="V101" s="18" t="str">
        <f t="array" ref="V101">IF(C101="","","【服务】"&amp;IF(_xlfn.XLOOKUP(A101&amp;B101&amp;C101,盘货信息!$A:$A&amp;盘货信息!$B:$B&amp;盘货信息!$C:$C,盘货信息!$V:$V)="","",_xlfn.XLOOKUP(A101&amp;B101&amp;C101,盘货信息!$A:$A&amp;盘货信息!$B:$B&amp;盘货信息!$C:$C,盘货信息!$V:$V)&amp;"免息,")&amp;IF(_xlfn.XLOOKUP(A101&amp;B101&amp;C101,盘货信息!$A:$A&amp;盘货信息!$B:$B&amp;盘货信息!$C:$C,盘货信息!$W:$W)="","",_xlfn.XLOOKUP(A101&amp;B101&amp;C101,盘货信息!$A:$A&amp;盘货信息!$B:$B&amp;盘货信息!$C:$C,盘货信息!$W:$W)&amp;"，")&amp;"送货入户，退换免运费")</f>
        <v/>
      </c>
    </row>
    <row r="102" customHeight="1" spans="1:22">
      <c r="A102" s="17" t="str">
        <f>IF(盘货信息!A102="","",盘货信息!A102)</f>
        <v/>
      </c>
      <c r="B102" s="20" t="str">
        <f>IF(盘货信息!B102="","",盘货信息!B102)</f>
        <v/>
      </c>
      <c r="C102" s="18" t="str">
        <f>IF(盘货信息!C102="","",盘货信息!C102)</f>
        <v/>
      </c>
      <c r="D102" s="18" t="str">
        <f ca="1" t="shared" si="1"/>
        <v/>
      </c>
      <c r="E102" s="18" t="str">
        <f>IF(C102="","",固定信息!$B$2)</f>
        <v/>
      </c>
      <c r="F102" s="18" t="str">
        <f t="array" ref="F102">IF(C102="","","【"&amp;C102&amp;"】"&amp;_xlfn.XLOOKUP(A102&amp;B102&amp;C102,盘货信息!$A:$A&amp;盘货信息!$B:$B&amp;盘货信息!$C:$C,盘货信息!$D:$D))</f>
        <v/>
      </c>
      <c r="G102" s="18" t="str">
        <f>IF(C102="","","【"&amp;"活动时间："&amp;固定信息!$B$3&amp;"】")</f>
        <v/>
      </c>
      <c r="H102" s="18" t="str">
        <f>IF($C102="","",固定信息!$B$1)</f>
        <v/>
      </c>
      <c r="I102" s="18"/>
      <c r="J102" s="18" t="str">
        <f t="array" ref="J102">_xlfn.XLOOKUP(A102&amp;B102&amp;C102,价格信息!$A:$A&amp;价格信息!$B:$B&amp;价格信息!$C:$C,价格信息!$D:$D)</f>
        <v/>
      </c>
      <c r="K102" s="31" t="str">
        <f t="array" ref="K102">IF(_xlfn.XLOOKUP(A102&amp;B102&amp;C102,价格信息!$A:$A&amp;价格信息!$B:$B&amp;价格信息!$C:$C,价格信息!$I:$I)="","","【优惠券链接】"&amp;固定信息!$B$6)</f>
        <v/>
      </c>
      <c r="L102" s="31" t="str">
        <f>IF($C102="","",固定信息!$B$1)</f>
        <v/>
      </c>
      <c r="M102" s="18" t="str">
        <f t="array" ref="M102">IF(_xlfn.XLOOKUP(A102&amp;B102&amp;C102,盘货信息!$A:$A&amp;盘货信息!$B:$B&amp;盘货信息!$C:$C,盘货信息!$O:$O)="","","【优惠券】领"&amp;INDEX(_wpsfn.REGEXP(_xlfn.XLOOKUP(A102&amp;B102&amp;C102,盘货信息!$A:$A&amp;盘货信息!$B:$B&amp;盘货信息!$C:$C,盘货信息!$O:$O),"\d+"),1,1)&amp;"元优惠券下单更优惠，优惠卷："&amp;_xlfn.XLOOKUP(A102&amp;B102&amp;C102,盘货信息!$A:$A&amp;盘货信息!$B:$B&amp;盘货信息!$C:$C,盘货信息!$P:$P))</f>
        <v/>
      </c>
      <c r="N102" s="18" t="str">
        <f t="array" ref="N102">IF(AND(ISNUMBER(_xlfn.XLOOKUP(A102&amp;B102&amp;C102,盘货信息!$A:$A&amp;盘货信息!$B:$B&amp;盘货信息!$C:$C,盘货信息!$I:$I)),_xlfn.XLOOKUP(A102&amp;B102&amp;C102,盘货信息!$A:$A&amp;盘货信息!$B:$B&amp;盘货信息!$C:$C,盘货信息!$I:$I)&gt;1),"【88VIP】立减"&amp;_xlfn.XLOOKUP(A102&amp;B102&amp;C102,盘货信息!$A:$A&amp;盘货信息!$B:$B&amp;盘货信息!$C:$C,盘货信息!$I:$I)&amp;"元","")</f>
        <v/>
      </c>
      <c r="O102" s="18" t="str">
        <f t="array" ref="O102">IF(_xlfn.XLOOKUP(A102&amp;B102&amp;C102,盘货信息!$A:$A&amp;盘货信息!$B:$B&amp;盘货信息!$C:$C,盘货信息!$K:$K)="","",IF(AND(_xlfn.XLOOKUP(A102&amp;B102&amp;C102,盘货信息!$A:$A&amp;盘货信息!$B:$B&amp;盘货信息!$C:$C,盘货信息!$G:$G)="不参加",_xlfn.XLOOKUP(A102&amp;B102&amp;C102,盘货信息!$A:$A&amp;盘货信息!$B:$B&amp;盘货信息!$C:$C,盘货信息!$H:$H)=""),"【以旧换新】"&amp;_xlfn.XLOOKUP(A102&amp;B102&amp;C102,盘货信息!$A:$A&amp;盘货信息!$B:$B&amp;盘货信息!$C:$C,盘货信息!$K:$K)&amp;"元以旧换新补贴（可无旧机换新）",""))</f>
        <v/>
      </c>
      <c r="P102" s="18" t="str">
        <f t="array" ref="P102">_xlfn.XLOOKUP(A102&amp;B102&amp;C102,赠品!$A:$A&amp;赠品!$B:$B&amp;赠品!$C:$C,赠品!$D:$D)</f>
        <v/>
      </c>
      <c r="Q102" s="18" t="str">
        <f>IF($C102="","",IF(AND(M102="",N102="",P102=""),"",固定信息!$B$1))</f>
        <v/>
      </c>
      <c r="R102" s="18" t="str">
        <f t="array" ref="R102">IF(ISNUMBER(SEARCH("是",_xlfn.XLOOKUP(A102&amp;B102&amp;C102,盘货信息!$A:$A&amp;盘货信息!$B:$B&amp;盘货信息!$C:$C,盘货信息!$U:$U))),"【折扣】指定型号满2类享96折，满3类享94折","")</f>
        <v/>
      </c>
      <c r="S102" s="18" t="str">
        <f t="array" ref="S102">IF(_xlfn.XLOOKUP(A102&amp;B102&amp;C102,盘货信息!$A:$A&amp;盘货信息!$B:$B&amp;盘货信息!$C:$C,盘货信息!$Q:$Q)&lt;1,"","【红包】活动时间购机送"&amp;_xlfn.TEXTJOIN("",,IF(ISNUMBER(--MID(_xlfn.XLOOKUP(A102&amp;B102&amp;C102,盘货信息!$A:$A&amp;盘货信息!$B:$B&amp;盘货信息!$C:$C,盘货信息!$Q:$Q),_xlfn.SEQUENCE(LEN(_xlfn.XLOOKUP(A102&amp;B102&amp;C102,盘货信息!$A:$A&amp;盘货信息!$B:$B&amp;盘货信息!$C:$C,盘货信息!$Q:$Q))),1)),MID(_xlfn.XLOOKUP(A102&amp;B102&amp;C102,盘货信息!$A:$A&amp;盘货信息!$B:$B&amp;盘货信息!$C:$C,盘货信息!$Q:$Q),_xlfn.SEQUENCE(LEN(_xlfn.XLOOKUP(A102&amp;B102&amp;C102,盘货信息!$A:$A&amp;盘货信息!$B:$B&amp;盘货信息!$C:$C,盘货信息!$Q:$Q))),1),""))&amp;"元")</f>
        <v/>
      </c>
      <c r="T102" s="18" t="str">
        <f t="array" ref="T102">IF(ISNUMBER(SEARCH("是",_xlfn.XLOOKUP(A102&amp;B102&amp;C102,盘货信息!$A:$A&amp;盘货信息!$B:$B&amp;盘货信息!$C:$C,盘货信息!$T:$T))),"【瓜分】"&amp;固定信息!$B$7,"")</f>
        <v/>
      </c>
      <c r="U102" s="18" t="str">
        <f>IF($C102="","",IF(AND(R102="",S102="",T102=""),"",固定信息!$B$1))</f>
        <v/>
      </c>
      <c r="V102" s="18" t="str">
        <f t="array" ref="V102">IF(C102="","","【服务】"&amp;IF(_xlfn.XLOOKUP(A102&amp;B102&amp;C102,盘货信息!$A:$A&amp;盘货信息!$B:$B&amp;盘货信息!$C:$C,盘货信息!$V:$V)="","",_xlfn.XLOOKUP(A102&amp;B102&amp;C102,盘货信息!$A:$A&amp;盘货信息!$B:$B&amp;盘货信息!$C:$C,盘货信息!$V:$V)&amp;"免息,")&amp;IF(_xlfn.XLOOKUP(A102&amp;B102&amp;C102,盘货信息!$A:$A&amp;盘货信息!$B:$B&amp;盘货信息!$C:$C,盘货信息!$W:$W)="","",_xlfn.XLOOKUP(A102&amp;B102&amp;C102,盘货信息!$A:$A&amp;盘货信息!$B:$B&amp;盘货信息!$C:$C,盘货信息!$W:$W)&amp;"，")&amp;"送货入户，退换免运费")</f>
        <v/>
      </c>
    </row>
    <row r="103" customHeight="1" spans="1:22">
      <c r="A103" s="17" t="str">
        <f>IF(盘货信息!A103="","",盘货信息!A103)</f>
        <v/>
      </c>
      <c r="B103" s="20" t="str">
        <f>IF(盘货信息!B103="","",盘货信息!B103)</f>
        <v/>
      </c>
      <c r="C103" s="18" t="str">
        <f>IF(盘货信息!C103="","",盘货信息!C103)</f>
        <v/>
      </c>
      <c r="D103" s="18" t="str">
        <f ca="1" t="shared" si="1"/>
        <v/>
      </c>
      <c r="E103" s="18" t="str">
        <f>IF(C103="","",固定信息!$B$2)</f>
        <v/>
      </c>
      <c r="F103" s="18" t="str">
        <f t="array" ref="F103">IF(C103="","","【"&amp;C103&amp;"】"&amp;_xlfn.XLOOKUP(A103&amp;B103&amp;C103,盘货信息!$A:$A&amp;盘货信息!$B:$B&amp;盘货信息!$C:$C,盘货信息!$D:$D))</f>
        <v/>
      </c>
      <c r="G103" s="18" t="str">
        <f>IF(C103="","","【"&amp;"活动时间："&amp;固定信息!$B$3&amp;"】")</f>
        <v/>
      </c>
      <c r="H103" s="18" t="str">
        <f>IF($C103="","",固定信息!$B$1)</f>
        <v/>
      </c>
      <c r="I103" s="18"/>
      <c r="J103" s="18" t="str">
        <f t="array" ref="J103">_xlfn.XLOOKUP(A103&amp;B103&amp;C103,价格信息!$A:$A&amp;价格信息!$B:$B&amp;价格信息!$C:$C,价格信息!$D:$D)</f>
        <v/>
      </c>
      <c r="K103" s="31" t="str">
        <f t="array" ref="K103">IF(_xlfn.XLOOKUP(A103&amp;B103&amp;C103,价格信息!$A:$A&amp;价格信息!$B:$B&amp;价格信息!$C:$C,价格信息!$I:$I)="","","【优惠券链接】"&amp;固定信息!$B$6)</f>
        <v/>
      </c>
      <c r="L103" s="31" t="str">
        <f>IF($C103="","",固定信息!$B$1)</f>
        <v/>
      </c>
      <c r="M103" s="18" t="str">
        <f t="array" ref="M103">IF(_xlfn.XLOOKUP(A103&amp;B103&amp;C103,盘货信息!$A:$A&amp;盘货信息!$B:$B&amp;盘货信息!$C:$C,盘货信息!$O:$O)="","","【优惠券】领"&amp;INDEX(_wpsfn.REGEXP(_xlfn.XLOOKUP(A103&amp;B103&amp;C103,盘货信息!$A:$A&amp;盘货信息!$B:$B&amp;盘货信息!$C:$C,盘货信息!$O:$O),"\d+"),1,1)&amp;"元优惠券下单更优惠，优惠卷："&amp;_xlfn.XLOOKUP(A103&amp;B103&amp;C103,盘货信息!$A:$A&amp;盘货信息!$B:$B&amp;盘货信息!$C:$C,盘货信息!$P:$P))</f>
        <v/>
      </c>
      <c r="N103" s="18" t="str">
        <f t="array" ref="N103">IF(AND(ISNUMBER(_xlfn.XLOOKUP(A103&amp;B103&amp;C103,盘货信息!$A:$A&amp;盘货信息!$B:$B&amp;盘货信息!$C:$C,盘货信息!$I:$I)),_xlfn.XLOOKUP(A103&amp;B103&amp;C103,盘货信息!$A:$A&amp;盘货信息!$B:$B&amp;盘货信息!$C:$C,盘货信息!$I:$I)&gt;1),"【88VIP】立减"&amp;_xlfn.XLOOKUP(A103&amp;B103&amp;C103,盘货信息!$A:$A&amp;盘货信息!$B:$B&amp;盘货信息!$C:$C,盘货信息!$I:$I)&amp;"元","")</f>
        <v/>
      </c>
      <c r="O103" s="18" t="str">
        <f t="array" ref="O103">IF(_xlfn.XLOOKUP(A103&amp;B103&amp;C103,盘货信息!$A:$A&amp;盘货信息!$B:$B&amp;盘货信息!$C:$C,盘货信息!$K:$K)="","",IF(AND(_xlfn.XLOOKUP(A103&amp;B103&amp;C103,盘货信息!$A:$A&amp;盘货信息!$B:$B&amp;盘货信息!$C:$C,盘货信息!$G:$G)="不参加",_xlfn.XLOOKUP(A103&amp;B103&amp;C103,盘货信息!$A:$A&amp;盘货信息!$B:$B&amp;盘货信息!$C:$C,盘货信息!$H:$H)=""),"【以旧换新】"&amp;_xlfn.XLOOKUP(A103&amp;B103&amp;C103,盘货信息!$A:$A&amp;盘货信息!$B:$B&amp;盘货信息!$C:$C,盘货信息!$K:$K)&amp;"元以旧换新补贴（可无旧机换新）",""))</f>
        <v/>
      </c>
      <c r="P103" s="18" t="str">
        <f t="array" ref="P103">_xlfn.XLOOKUP(A103&amp;B103&amp;C103,赠品!$A:$A&amp;赠品!$B:$B&amp;赠品!$C:$C,赠品!$D:$D)</f>
        <v/>
      </c>
      <c r="Q103" s="18" t="str">
        <f>IF($C103="","",IF(AND(M103="",N103="",P103=""),"",固定信息!$B$1))</f>
        <v/>
      </c>
      <c r="R103" s="18" t="str">
        <f t="array" ref="R103">IF(ISNUMBER(SEARCH("是",_xlfn.XLOOKUP(A103&amp;B103&amp;C103,盘货信息!$A:$A&amp;盘货信息!$B:$B&amp;盘货信息!$C:$C,盘货信息!$U:$U))),"【折扣】指定型号满2类享96折，满3类享94折","")</f>
        <v/>
      </c>
      <c r="S103" s="18" t="str">
        <f t="array" ref="S103">IF(_xlfn.XLOOKUP(A103&amp;B103&amp;C103,盘货信息!$A:$A&amp;盘货信息!$B:$B&amp;盘货信息!$C:$C,盘货信息!$Q:$Q)&lt;1,"","【红包】活动时间购机送"&amp;_xlfn.TEXTJOIN("",,IF(ISNUMBER(--MID(_xlfn.XLOOKUP(A103&amp;B103&amp;C103,盘货信息!$A:$A&amp;盘货信息!$B:$B&amp;盘货信息!$C:$C,盘货信息!$Q:$Q),_xlfn.SEQUENCE(LEN(_xlfn.XLOOKUP(A103&amp;B103&amp;C103,盘货信息!$A:$A&amp;盘货信息!$B:$B&amp;盘货信息!$C:$C,盘货信息!$Q:$Q))),1)),MID(_xlfn.XLOOKUP(A103&amp;B103&amp;C103,盘货信息!$A:$A&amp;盘货信息!$B:$B&amp;盘货信息!$C:$C,盘货信息!$Q:$Q),_xlfn.SEQUENCE(LEN(_xlfn.XLOOKUP(A103&amp;B103&amp;C103,盘货信息!$A:$A&amp;盘货信息!$B:$B&amp;盘货信息!$C:$C,盘货信息!$Q:$Q))),1),""))&amp;"元")</f>
        <v/>
      </c>
      <c r="T103" s="18" t="str">
        <f t="array" ref="T103">IF(ISNUMBER(SEARCH("是",_xlfn.XLOOKUP(A103&amp;B103&amp;C103,盘货信息!$A:$A&amp;盘货信息!$B:$B&amp;盘货信息!$C:$C,盘货信息!$T:$T))),"【瓜分】"&amp;固定信息!$B$7,"")</f>
        <v/>
      </c>
      <c r="U103" s="18" t="str">
        <f>IF($C103="","",IF(AND(R103="",S103="",T103=""),"",固定信息!$B$1))</f>
        <v/>
      </c>
      <c r="V103" s="18" t="str">
        <f t="array" ref="V103">IF(C103="","","【服务】"&amp;IF(_xlfn.XLOOKUP(A103&amp;B103&amp;C103,盘货信息!$A:$A&amp;盘货信息!$B:$B&amp;盘货信息!$C:$C,盘货信息!$V:$V)="","",_xlfn.XLOOKUP(A103&amp;B103&amp;C103,盘货信息!$A:$A&amp;盘货信息!$B:$B&amp;盘货信息!$C:$C,盘货信息!$V:$V)&amp;"免息,")&amp;IF(_xlfn.XLOOKUP(A103&amp;B103&amp;C103,盘货信息!$A:$A&amp;盘货信息!$B:$B&amp;盘货信息!$C:$C,盘货信息!$W:$W)="","",_xlfn.XLOOKUP(A103&amp;B103&amp;C103,盘货信息!$A:$A&amp;盘货信息!$B:$B&amp;盘货信息!$C:$C,盘货信息!$W:$W)&amp;"，")&amp;"送货入户，退换免运费")</f>
        <v/>
      </c>
    </row>
    <row r="104" customHeight="1" spans="1:22">
      <c r="A104" s="17" t="str">
        <f>IF(盘货信息!A104="","",盘货信息!A104)</f>
        <v/>
      </c>
      <c r="B104" s="20" t="str">
        <f>IF(盘货信息!B104="","",盘货信息!B104)</f>
        <v/>
      </c>
      <c r="C104" s="18" t="str">
        <f>IF(盘货信息!C104="","",盘货信息!C104)</f>
        <v/>
      </c>
      <c r="D104" s="18" t="str">
        <f ca="1" t="shared" si="1"/>
        <v/>
      </c>
      <c r="E104" s="18" t="str">
        <f>IF(C104="","",固定信息!$B$2)</f>
        <v/>
      </c>
      <c r="F104" s="18" t="str">
        <f t="array" ref="F104">IF(C104="","","【"&amp;C104&amp;"】"&amp;_xlfn.XLOOKUP(A104&amp;B104&amp;C104,盘货信息!$A:$A&amp;盘货信息!$B:$B&amp;盘货信息!$C:$C,盘货信息!$D:$D))</f>
        <v/>
      </c>
      <c r="G104" s="18" t="str">
        <f>IF(C104="","","【"&amp;"活动时间："&amp;固定信息!$B$3&amp;"】")</f>
        <v/>
      </c>
      <c r="H104" s="18" t="str">
        <f>IF($C104="","",固定信息!$B$1)</f>
        <v/>
      </c>
      <c r="I104" s="18"/>
      <c r="J104" s="18" t="str">
        <f t="array" ref="J104">_xlfn.XLOOKUP(A104&amp;B104&amp;C104,价格信息!$A:$A&amp;价格信息!$B:$B&amp;价格信息!$C:$C,价格信息!$D:$D)</f>
        <v/>
      </c>
      <c r="K104" s="31" t="str">
        <f t="array" ref="K104">IF(_xlfn.XLOOKUP(A104&amp;B104&amp;C104,价格信息!$A:$A&amp;价格信息!$B:$B&amp;价格信息!$C:$C,价格信息!$I:$I)="","","【优惠券链接】"&amp;固定信息!$B$6)</f>
        <v/>
      </c>
      <c r="L104" s="31" t="str">
        <f>IF($C104="","",固定信息!$B$1)</f>
        <v/>
      </c>
      <c r="M104" s="18" t="str">
        <f t="array" ref="M104">IF(_xlfn.XLOOKUP(A104&amp;B104&amp;C104,盘货信息!$A:$A&amp;盘货信息!$B:$B&amp;盘货信息!$C:$C,盘货信息!$O:$O)="","","【优惠券】领"&amp;INDEX(_wpsfn.REGEXP(_xlfn.XLOOKUP(A104&amp;B104&amp;C104,盘货信息!$A:$A&amp;盘货信息!$B:$B&amp;盘货信息!$C:$C,盘货信息!$O:$O),"\d+"),1,1)&amp;"元优惠券下单更优惠，优惠卷："&amp;_xlfn.XLOOKUP(A104&amp;B104&amp;C104,盘货信息!$A:$A&amp;盘货信息!$B:$B&amp;盘货信息!$C:$C,盘货信息!$P:$P))</f>
        <v/>
      </c>
      <c r="N104" s="18" t="str">
        <f t="array" ref="N104">IF(AND(ISNUMBER(_xlfn.XLOOKUP(A104&amp;B104&amp;C104,盘货信息!$A:$A&amp;盘货信息!$B:$B&amp;盘货信息!$C:$C,盘货信息!$I:$I)),_xlfn.XLOOKUP(A104&amp;B104&amp;C104,盘货信息!$A:$A&amp;盘货信息!$B:$B&amp;盘货信息!$C:$C,盘货信息!$I:$I)&gt;1),"【88VIP】立减"&amp;_xlfn.XLOOKUP(A104&amp;B104&amp;C104,盘货信息!$A:$A&amp;盘货信息!$B:$B&amp;盘货信息!$C:$C,盘货信息!$I:$I)&amp;"元","")</f>
        <v/>
      </c>
      <c r="O104" s="18" t="str">
        <f t="array" ref="O104">IF(_xlfn.XLOOKUP(A104&amp;B104&amp;C104,盘货信息!$A:$A&amp;盘货信息!$B:$B&amp;盘货信息!$C:$C,盘货信息!$K:$K)="","",IF(AND(_xlfn.XLOOKUP(A104&amp;B104&amp;C104,盘货信息!$A:$A&amp;盘货信息!$B:$B&amp;盘货信息!$C:$C,盘货信息!$G:$G)="不参加",_xlfn.XLOOKUP(A104&amp;B104&amp;C104,盘货信息!$A:$A&amp;盘货信息!$B:$B&amp;盘货信息!$C:$C,盘货信息!$H:$H)=""),"【以旧换新】"&amp;_xlfn.XLOOKUP(A104&amp;B104&amp;C104,盘货信息!$A:$A&amp;盘货信息!$B:$B&amp;盘货信息!$C:$C,盘货信息!$K:$K)&amp;"元以旧换新补贴（可无旧机换新）",""))</f>
        <v/>
      </c>
      <c r="P104" s="18" t="str">
        <f t="array" ref="P104">_xlfn.XLOOKUP(A104&amp;B104&amp;C104,赠品!$A:$A&amp;赠品!$B:$B&amp;赠品!$C:$C,赠品!$D:$D)</f>
        <v/>
      </c>
      <c r="Q104" s="18" t="str">
        <f>IF($C104="","",IF(AND(M104="",N104="",P104=""),"",固定信息!$B$1))</f>
        <v/>
      </c>
      <c r="R104" s="18" t="str">
        <f t="array" ref="R104">IF(ISNUMBER(SEARCH("是",_xlfn.XLOOKUP(A104&amp;B104&amp;C104,盘货信息!$A:$A&amp;盘货信息!$B:$B&amp;盘货信息!$C:$C,盘货信息!$U:$U))),"【折扣】指定型号满2类享96折，满3类享94折","")</f>
        <v/>
      </c>
      <c r="S104" s="18" t="str">
        <f t="array" ref="S104">IF(_xlfn.XLOOKUP(A104&amp;B104&amp;C104,盘货信息!$A:$A&amp;盘货信息!$B:$B&amp;盘货信息!$C:$C,盘货信息!$Q:$Q)&lt;1,"","【红包】活动时间购机送"&amp;_xlfn.TEXTJOIN("",,IF(ISNUMBER(--MID(_xlfn.XLOOKUP(A104&amp;B104&amp;C104,盘货信息!$A:$A&amp;盘货信息!$B:$B&amp;盘货信息!$C:$C,盘货信息!$Q:$Q),_xlfn.SEQUENCE(LEN(_xlfn.XLOOKUP(A104&amp;B104&amp;C104,盘货信息!$A:$A&amp;盘货信息!$B:$B&amp;盘货信息!$C:$C,盘货信息!$Q:$Q))),1)),MID(_xlfn.XLOOKUP(A104&amp;B104&amp;C104,盘货信息!$A:$A&amp;盘货信息!$B:$B&amp;盘货信息!$C:$C,盘货信息!$Q:$Q),_xlfn.SEQUENCE(LEN(_xlfn.XLOOKUP(A104&amp;B104&amp;C104,盘货信息!$A:$A&amp;盘货信息!$B:$B&amp;盘货信息!$C:$C,盘货信息!$Q:$Q))),1),""))&amp;"元")</f>
        <v/>
      </c>
      <c r="T104" s="18" t="str">
        <f t="array" ref="T104">IF(ISNUMBER(SEARCH("是",_xlfn.XLOOKUP(A104&amp;B104&amp;C104,盘货信息!$A:$A&amp;盘货信息!$B:$B&amp;盘货信息!$C:$C,盘货信息!$T:$T))),"【瓜分】"&amp;固定信息!$B$7,"")</f>
        <v/>
      </c>
      <c r="U104" s="18" t="str">
        <f>IF($C104="","",IF(AND(R104="",S104="",T104=""),"",固定信息!$B$1))</f>
        <v/>
      </c>
      <c r="V104" s="18" t="str">
        <f t="array" ref="V104">IF(C104="","","【服务】"&amp;IF(_xlfn.XLOOKUP(A104&amp;B104&amp;C104,盘货信息!$A:$A&amp;盘货信息!$B:$B&amp;盘货信息!$C:$C,盘货信息!$V:$V)="","",_xlfn.XLOOKUP(A104&amp;B104&amp;C104,盘货信息!$A:$A&amp;盘货信息!$B:$B&amp;盘货信息!$C:$C,盘货信息!$V:$V)&amp;"免息,")&amp;IF(_xlfn.XLOOKUP(A104&amp;B104&amp;C104,盘货信息!$A:$A&amp;盘货信息!$B:$B&amp;盘货信息!$C:$C,盘货信息!$W:$W)="","",_xlfn.XLOOKUP(A104&amp;B104&amp;C104,盘货信息!$A:$A&amp;盘货信息!$B:$B&amp;盘货信息!$C:$C,盘货信息!$W:$W)&amp;"，")&amp;"送货入户，退换免运费")</f>
        <v/>
      </c>
    </row>
    <row r="105" customHeight="1" spans="1:22">
      <c r="A105" s="17" t="str">
        <f>IF(盘货信息!A105="","",盘货信息!A105)</f>
        <v/>
      </c>
      <c r="B105" s="20" t="str">
        <f>IF(盘货信息!B105="","",盘货信息!B105)</f>
        <v/>
      </c>
      <c r="C105" s="18" t="str">
        <f>IF(盘货信息!C105="","",盘货信息!C105)</f>
        <v/>
      </c>
      <c r="D105" s="18" t="str">
        <f ca="1" t="shared" si="1"/>
        <v/>
      </c>
      <c r="E105" s="18" t="str">
        <f>IF(C105="","",固定信息!$B$2)</f>
        <v/>
      </c>
      <c r="F105" s="18" t="str">
        <f t="array" ref="F105">IF(C105="","","【"&amp;C105&amp;"】"&amp;_xlfn.XLOOKUP(A105&amp;B105&amp;C105,盘货信息!$A:$A&amp;盘货信息!$B:$B&amp;盘货信息!$C:$C,盘货信息!$D:$D))</f>
        <v/>
      </c>
      <c r="G105" s="18" t="str">
        <f>IF(C105="","","【"&amp;"活动时间："&amp;固定信息!$B$3&amp;"】")</f>
        <v/>
      </c>
      <c r="H105" s="18" t="str">
        <f>IF($C105="","",固定信息!$B$1)</f>
        <v/>
      </c>
      <c r="I105" s="18"/>
      <c r="J105" s="18" t="str">
        <f t="array" ref="J105">_xlfn.XLOOKUP(A105&amp;B105&amp;C105,价格信息!$A:$A&amp;价格信息!$B:$B&amp;价格信息!$C:$C,价格信息!$D:$D)</f>
        <v/>
      </c>
      <c r="K105" s="31" t="str">
        <f t="array" ref="K105">IF(_xlfn.XLOOKUP(A105&amp;B105&amp;C105,价格信息!$A:$A&amp;价格信息!$B:$B&amp;价格信息!$C:$C,价格信息!$I:$I)="","","【优惠券链接】"&amp;固定信息!$B$6)</f>
        <v/>
      </c>
      <c r="L105" s="31" t="str">
        <f>IF($C105="","",固定信息!$B$1)</f>
        <v/>
      </c>
      <c r="M105" s="18" t="str">
        <f t="array" ref="M105">IF(_xlfn.XLOOKUP(A105&amp;B105&amp;C105,盘货信息!$A:$A&amp;盘货信息!$B:$B&amp;盘货信息!$C:$C,盘货信息!$O:$O)="","","【优惠券】领"&amp;INDEX(_wpsfn.REGEXP(_xlfn.XLOOKUP(A105&amp;B105&amp;C105,盘货信息!$A:$A&amp;盘货信息!$B:$B&amp;盘货信息!$C:$C,盘货信息!$O:$O),"\d+"),1,1)&amp;"元优惠券下单更优惠，优惠卷："&amp;_xlfn.XLOOKUP(A105&amp;B105&amp;C105,盘货信息!$A:$A&amp;盘货信息!$B:$B&amp;盘货信息!$C:$C,盘货信息!$P:$P))</f>
        <v/>
      </c>
      <c r="N105" s="18" t="str">
        <f t="array" ref="N105">IF(AND(ISNUMBER(_xlfn.XLOOKUP(A105&amp;B105&amp;C105,盘货信息!$A:$A&amp;盘货信息!$B:$B&amp;盘货信息!$C:$C,盘货信息!$I:$I)),_xlfn.XLOOKUP(A105&amp;B105&amp;C105,盘货信息!$A:$A&amp;盘货信息!$B:$B&amp;盘货信息!$C:$C,盘货信息!$I:$I)&gt;1),"【88VIP】立减"&amp;_xlfn.XLOOKUP(A105&amp;B105&amp;C105,盘货信息!$A:$A&amp;盘货信息!$B:$B&amp;盘货信息!$C:$C,盘货信息!$I:$I)&amp;"元","")</f>
        <v/>
      </c>
      <c r="O105" s="18" t="str">
        <f t="array" ref="O105">IF(_xlfn.XLOOKUP(A105&amp;B105&amp;C105,盘货信息!$A:$A&amp;盘货信息!$B:$B&amp;盘货信息!$C:$C,盘货信息!$K:$K)="","",IF(AND(_xlfn.XLOOKUP(A105&amp;B105&amp;C105,盘货信息!$A:$A&amp;盘货信息!$B:$B&amp;盘货信息!$C:$C,盘货信息!$G:$G)="不参加",_xlfn.XLOOKUP(A105&amp;B105&amp;C105,盘货信息!$A:$A&amp;盘货信息!$B:$B&amp;盘货信息!$C:$C,盘货信息!$H:$H)=""),"【以旧换新】"&amp;_xlfn.XLOOKUP(A105&amp;B105&amp;C105,盘货信息!$A:$A&amp;盘货信息!$B:$B&amp;盘货信息!$C:$C,盘货信息!$K:$K)&amp;"元以旧换新补贴（可无旧机换新）",""))</f>
        <v/>
      </c>
      <c r="P105" s="18" t="str">
        <f t="array" ref="P105">_xlfn.XLOOKUP(A105&amp;B105&amp;C105,赠品!$A:$A&amp;赠品!$B:$B&amp;赠品!$C:$C,赠品!$D:$D)</f>
        <v/>
      </c>
      <c r="Q105" s="18" t="str">
        <f>IF($C105="","",IF(AND(M105="",N105="",P105=""),"",固定信息!$B$1))</f>
        <v/>
      </c>
      <c r="R105" s="18" t="str">
        <f t="array" ref="R105">IF(ISNUMBER(SEARCH("是",_xlfn.XLOOKUP(A105&amp;B105&amp;C105,盘货信息!$A:$A&amp;盘货信息!$B:$B&amp;盘货信息!$C:$C,盘货信息!$U:$U))),"【折扣】指定型号满2类享96折，满3类享94折","")</f>
        <v/>
      </c>
      <c r="S105" s="18" t="str">
        <f t="array" ref="S105">IF(_xlfn.XLOOKUP(A105&amp;B105&amp;C105,盘货信息!$A:$A&amp;盘货信息!$B:$B&amp;盘货信息!$C:$C,盘货信息!$Q:$Q)&lt;1,"","【红包】活动时间购机送"&amp;_xlfn.TEXTJOIN("",,IF(ISNUMBER(--MID(_xlfn.XLOOKUP(A105&amp;B105&amp;C105,盘货信息!$A:$A&amp;盘货信息!$B:$B&amp;盘货信息!$C:$C,盘货信息!$Q:$Q),_xlfn.SEQUENCE(LEN(_xlfn.XLOOKUP(A105&amp;B105&amp;C105,盘货信息!$A:$A&amp;盘货信息!$B:$B&amp;盘货信息!$C:$C,盘货信息!$Q:$Q))),1)),MID(_xlfn.XLOOKUP(A105&amp;B105&amp;C105,盘货信息!$A:$A&amp;盘货信息!$B:$B&amp;盘货信息!$C:$C,盘货信息!$Q:$Q),_xlfn.SEQUENCE(LEN(_xlfn.XLOOKUP(A105&amp;B105&amp;C105,盘货信息!$A:$A&amp;盘货信息!$B:$B&amp;盘货信息!$C:$C,盘货信息!$Q:$Q))),1),""))&amp;"元")</f>
        <v/>
      </c>
      <c r="T105" s="18" t="str">
        <f t="array" ref="T105">IF(ISNUMBER(SEARCH("是",_xlfn.XLOOKUP(A105&amp;B105&amp;C105,盘货信息!$A:$A&amp;盘货信息!$B:$B&amp;盘货信息!$C:$C,盘货信息!$T:$T))),"【瓜分】"&amp;固定信息!$B$7,"")</f>
        <v/>
      </c>
      <c r="U105" s="18" t="str">
        <f>IF($C105="","",IF(AND(R105="",S105="",T105=""),"",固定信息!$B$1))</f>
        <v/>
      </c>
      <c r="V105" s="18" t="str">
        <f t="array" ref="V105">IF(C105="","","【服务】"&amp;IF(_xlfn.XLOOKUP(A105&amp;B105&amp;C105,盘货信息!$A:$A&amp;盘货信息!$B:$B&amp;盘货信息!$C:$C,盘货信息!$V:$V)="","",_xlfn.XLOOKUP(A105&amp;B105&amp;C105,盘货信息!$A:$A&amp;盘货信息!$B:$B&amp;盘货信息!$C:$C,盘货信息!$V:$V)&amp;"免息,")&amp;IF(_xlfn.XLOOKUP(A105&amp;B105&amp;C105,盘货信息!$A:$A&amp;盘货信息!$B:$B&amp;盘货信息!$C:$C,盘货信息!$W:$W)="","",_xlfn.XLOOKUP(A105&amp;B105&amp;C105,盘货信息!$A:$A&amp;盘货信息!$B:$B&amp;盘货信息!$C:$C,盘货信息!$W:$W)&amp;"，")&amp;"送货入户，退换免运费")</f>
        <v/>
      </c>
    </row>
    <row r="106" customHeight="1" spans="1:22">
      <c r="A106" s="17" t="str">
        <f>IF(盘货信息!A106="","",盘货信息!A106)</f>
        <v/>
      </c>
      <c r="B106" s="20" t="str">
        <f>IF(盘货信息!B106="","",盘货信息!B106)</f>
        <v/>
      </c>
      <c r="C106" s="20" t="str">
        <f>IF(盘货信息!C106="","",盘货信息!C106)</f>
        <v/>
      </c>
      <c r="D106" s="18" t="str">
        <f ca="1" t="shared" si="1"/>
        <v/>
      </c>
      <c r="E106" s="18" t="str">
        <f>IF(C106="","",固定信息!$B$2)</f>
        <v/>
      </c>
      <c r="F106" s="18" t="str">
        <f t="array" ref="F106">IF(C106="","","【"&amp;C106&amp;"】"&amp;_xlfn.XLOOKUP(A106&amp;B106&amp;C106,盘货信息!$A:$A&amp;盘货信息!$B:$B&amp;盘货信息!$C:$C,盘货信息!$D:$D))</f>
        <v/>
      </c>
      <c r="G106" s="18" t="str">
        <f>IF(C106="","","【"&amp;"活动时间："&amp;固定信息!$B$3&amp;"】")</f>
        <v/>
      </c>
      <c r="H106" s="18" t="str">
        <f>IF($C106="","",固定信息!$B$1)</f>
        <v/>
      </c>
      <c r="I106" s="18"/>
      <c r="J106" s="18" t="str">
        <f t="array" ref="J106">_xlfn.XLOOKUP(A106&amp;B106&amp;C106,价格信息!$A:$A&amp;价格信息!$B:$B&amp;价格信息!$C:$C,价格信息!$D:$D)</f>
        <v/>
      </c>
      <c r="K106" s="31" t="str">
        <f t="array" ref="K106">IF(_xlfn.XLOOKUP(A106&amp;B106&amp;C106,价格信息!$A:$A&amp;价格信息!$B:$B&amp;价格信息!$C:$C,价格信息!$I:$I)="","","【优惠券链接】"&amp;固定信息!$B$6)</f>
        <v/>
      </c>
      <c r="L106" s="31" t="str">
        <f>IF($C106="","",固定信息!$B$1)</f>
        <v/>
      </c>
      <c r="M106" s="18" t="str">
        <f t="array" ref="M106">IF(_xlfn.XLOOKUP(A106&amp;B106&amp;C106,盘货信息!$A:$A&amp;盘货信息!$B:$B&amp;盘货信息!$C:$C,盘货信息!$O:$O)="","","【优惠券】领"&amp;INDEX(_wpsfn.REGEXP(_xlfn.XLOOKUP(A106&amp;B106&amp;C106,盘货信息!$A:$A&amp;盘货信息!$B:$B&amp;盘货信息!$C:$C,盘货信息!$O:$O),"\d+"),1,1)&amp;"元优惠券下单更优惠，优惠卷："&amp;_xlfn.XLOOKUP(A106&amp;B106&amp;C106,盘货信息!$A:$A&amp;盘货信息!$B:$B&amp;盘货信息!$C:$C,盘货信息!$P:$P))</f>
        <v/>
      </c>
      <c r="N106" s="18" t="str">
        <f t="array" ref="N106">IF(AND(ISNUMBER(_xlfn.XLOOKUP(A106&amp;B106&amp;C106,盘货信息!$A:$A&amp;盘货信息!$B:$B&amp;盘货信息!$C:$C,盘货信息!$I:$I)),_xlfn.XLOOKUP(A106&amp;B106&amp;C106,盘货信息!$A:$A&amp;盘货信息!$B:$B&amp;盘货信息!$C:$C,盘货信息!$I:$I)&gt;1),"【88VIP】立减"&amp;_xlfn.XLOOKUP(A106&amp;B106&amp;C106,盘货信息!$A:$A&amp;盘货信息!$B:$B&amp;盘货信息!$C:$C,盘货信息!$I:$I)&amp;"元","")</f>
        <v/>
      </c>
      <c r="O106" s="18" t="str">
        <f t="array" ref="O106">IF(_xlfn.XLOOKUP(A106&amp;B106&amp;C106,盘货信息!$A:$A&amp;盘货信息!$B:$B&amp;盘货信息!$C:$C,盘货信息!$K:$K)="","",IF(AND(_xlfn.XLOOKUP(A106&amp;B106&amp;C106,盘货信息!$A:$A&amp;盘货信息!$B:$B&amp;盘货信息!$C:$C,盘货信息!$G:$G)="不参加",_xlfn.XLOOKUP(A106&amp;B106&amp;C106,盘货信息!$A:$A&amp;盘货信息!$B:$B&amp;盘货信息!$C:$C,盘货信息!$H:$H)=""),"【以旧换新】"&amp;_xlfn.XLOOKUP(A106&amp;B106&amp;C106,盘货信息!$A:$A&amp;盘货信息!$B:$B&amp;盘货信息!$C:$C,盘货信息!$K:$K)&amp;"元以旧换新补贴（可无旧机换新）",""))</f>
        <v/>
      </c>
      <c r="P106" s="18" t="str">
        <f t="array" ref="P106">_xlfn.XLOOKUP(A106&amp;B106&amp;C106,赠品!$A:$A&amp;赠品!$B:$B&amp;赠品!$C:$C,赠品!$D:$D)</f>
        <v/>
      </c>
      <c r="Q106" s="18" t="str">
        <f>IF($C106="","",IF(AND(M106="",N106="",P106=""),"",固定信息!$B$1))</f>
        <v/>
      </c>
      <c r="R106" s="18" t="str">
        <f t="array" ref="R106">IF(ISNUMBER(SEARCH("是",_xlfn.XLOOKUP(A106&amp;B106&amp;C106,盘货信息!$A:$A&amp;盘货信息!$B:$B&amp;盘货信息!$C:$C,盘货信息!$U:$U))),"【折扣】指定型号满2类享96折，满3类享94折","")</f>
        <v/>
      </c>
      <c r="S106" s="18" t="str">
        <f t="array" ref="S106">IF(_xlfn.XLOOKUP(A106&amp;B106&amp;C106,盘货信息!$A:$A&amp;盘货信息!$B:$B&amp;盘货信息!$C:$C,盘货信息!$Q:$Q)&lt;1,"","【红包】活动时间购机送"&amp;_xlfn.TEXTJOIN("",,IF(ISNUMBER(--MID(_xlfn.XLOOKUP(A106&amp;B106&amp;C106,盘货信息!$A:$A&amp;盘货信息!$B:$B&amp;盘货信息!$C:$C,盘货信息!$Q:$Q),_xlfn.SEQUENCE(LEN(_xlfn.XLOOKUP(A106&amp;B106&amp;C106,盘货信息!$A:$A&amp;盘货信息!$B:$B&amp;盘货信息!$C:$C,盘货信息!$Q:$Q))),1)),MID(_xlfn.XLOOKUP(A106&amp;B106&amp;C106,盘货信息!$A:$A&amp;盘货信息!$B:$B&amp;盘货信息!$C:$C,盘货信息!$Q:$Q),_xlfn.SEQUENCE(LEN(_xlfn.XLOOKUP(A106&amp;B106&amp;C106,盘货信息!$A:$A&amp;盘货信息!$B:$B&amp;盘货信息!$C:$C,盘货信息!$Q:$Q))),1),""))&amp;"元")</f>
        <v/>
      </c>
      <c r="T106" s="18" t="str">
        <f t="array" ref="T106">IF(ISNUMBER(SEARCH("是",_xlfn.XLOOKUP(A106&amp;B106&amp;C106,盘货信息!$A:$A&amp;盘货信息!$B:$B&amp;盘货信息!$C:$C,盘货信息!$T:$T))),"【瓜分】"&amp;固定信息!$B$7,"")</f>
        <v/>
      </c>
      <c r="U106" s="18" t="str">
        <f>IF($C106="","",IF(AND(R106="",S106="",T106=""),"",固定信息!$B$1))</f>
        <v/>
      </c>
      <c r="V106" s="18" t="str">
        <f t="array" ref="V106">IF(C106="","","【服务】"&amp;IF(_xlfn.XLOOKUP(A106&amp;B106&amp;C106,盘货信息!$A:$A&amp;盘货信息!$B:$B&amp;盘货信息!$C:$C,盘货信息!$V:$V)="","",_xlfn.XLOOKUP(A106&amp;B106&amp;C106,盘货信息!$A:$A&amp;盘货信息!$B:$B&amp;盘货信息!$C:$C,盘货信息!$V:$V)&amp;"免息,")&amp;IF(_xlfn.XLOOKUP(A106&amp;B106&amp;C106,盘货信息!$A:$A&amp;盘货信息!$B:$B&amp;盘货信息!$C:$C,盘货信息!$W:$W)="","",_xlfn.XLOOKUP(A106&amp;B106&amp;C106,盘货信息!$A:$A&amp;盘货信息!$B:$B&amp;盘货信息!$C:$C,盘货信息!$W:$W)&amp;"，")&amp;"送货入户，退换免运费")</f>
        <v/>
      </c>
    </row>
    <row r="107" customHeight="1" spans="1:22">
      <c r="A107" s="17" t="str">
        <f>IF(盘货信息!A107="","",盘货信息!A107)</f>
        <v/>
      </c>
      <c r="B107" s="20" t="str">
        <f>IF(盘货信息!B107="","",盘货信息!B107)</f>
        <v/>
      </c>
      <c r="C107" s="20" t="str">
        <f>IF(盘货信息!C107="","",盘货信息!C107)</f>
        <v/>
      </c>
      <c r="D107" s="18" t="str">
        <f ca="1" t="shared" si="1"/>
        <v/>
      </c>
      <c r="E107" s="18" t="str">
        <f>IF(C107="","",固定信息!$B$2)</f>
        <v/>
      </c>
      <c r="F107" s="18" t="str">
        <f t="array" ref="F107">IF(C107="","","【"&amp;C107&amp;"】"&amp;_xlfn.XLOOKUP(A107&amp;B107&amp;C107,盘货信息!$A:$A&amp;盘货信息!$B:$B&amp;盘货信息!$C:$C,盘货信息!$D:$D))</f>
        <v/>
      </c>
      <c r="G107" s="18" t="str">
        <f>IF(C107="","","【"&amp;"活动时间："&amp;固定信息!$B$3&amp;"】")</f>
        <v/>
      </c>
      <c r="H107" s="18" t="str">
        <f>IF($C107="","",固定信息!$B$1)</f>
        <v/>
      </c>
      <c r="I107" s="18"/>
      <c r="J107" s="18" t="str">
        <f t="array" ref="J107">_xlfn.XLOOKUP(A107&amp;B107&amp;C107,价格信息!$A:$A&amp;价格信息!$B:$B&amp;价格信息!$C:$C,价格信息!$D:$D)</f>
        <v/>
      </c>
      <c r="K107" s="31" t="str">
        <f t="array" ref="K107">IF(_xlfn.XLOOKUP(A107&amp;B107&amp;C107,价格信息!$A:$A&amp;价格信息!$B:$B&amp;价格信息!$C:$C,价格信息!$I:$I)="","","【优惠券链接】"&amp;固定信息!$B$6)</f>
        <v/>
      </c>
      <c r="L107" s="31" t="str">
        <f>IF($C107="","",固定信息!$B$1)</f>
        <v/>
      </c>
      <c r="M107" s="18" t="str">
        <f t="array" ref="M107">IF(_xlfn.XLOOKUP(A107&amp;B107&amp;C107,盘货信息!$A:$A&amp;盘货信息!$B:$B&amp;盘货信息!$C:$C,盘货信息!$O:$O)="","","【优惠券】领"&amp;INDEX(_wpsfn.REGEXP(_xlfn.XLOOKUP(A107&amp;B107&amp;C107,盘货信息!$A:$A&amp;盘货信息!$B:$B&amp;盘货信息!$C:$C,盘货信息!$O:$O),"\d+"),1,1)&amp;"元优惠券下单更优惠，优惠卷："&amp;_xlfn.XLOOKUP(A107&amp;B107&amp;C107,盘货信息!$A:$A&amp;盘货信息!$B:$B&amp;盘货信息!$C:$C,盘货信息!$P:$P))</f>
        <v/>
      </c>
      <c r="N107" s="18" t="str">
        <f t="array" ref="N107">IF(AND(ISNUMBER(_xlfn.XLOOKUP(A107&amp;B107&amp;C107,盘货信息!$A:$A&amp;盘货信息!$B:$B&amp;盘货信息!$C:$C,盘货信息!$I:$I)),_xlfn.XLOOKUP(A107&amp;B107&amp;C107,盘货信息!$A:$A&amp;盘货信息!$B:$B&amp;盘货信息!$C:$C,盘货信息!$I:$I)&gt;1),"【88VIP】立减"&amp;_xlfn.XLOOKUP(A107&amp;B107&amp;C107,盘货信息!$A:$A&amp;盘货信息!$B:$B&amp;盘货信息!$C:$C,盘货信息!$I:$I)&amp;"元","")</f>
        <v/>
      </c>
      <c r="O107" s="18" t="str">
        <f t="array" ref="O107">IF(_xlfn.XLOOKUP(A107&amp;B107&amp;C107,盘货信息!$A:$A&amp;盘货信息!$B:$B&amp;盘货信息!$C:$C,盘货信息!$K:$K)="","",IF(AND(_xlfn.XLOOKUP(A107&amp;B107&amp;C107,盘货信息!$A:$A&amp;盘货信息!$B:$B&amp;盘货信息!$C:$C,盘货信息!$G:$G)="不参加",_xlfn.XLOOKUP(A107&amp;B107&amp;C107,盘货信息!$A:$A&amp;盘货信息!$B:$B&amp;盘货信息!$C:$C,盘货信息!$H:$H)=""),"【以旧换新】"&amp;_xlfn.XLOOKUP(A107&amp;B107&amp;C107,盘货信息!$A:$A&amp;盘货信息!$B:$B&amp;盘货信息!$C:$C,盘货信息!$K:$K)&amp;"元以旧换新补贴（可无旧机换新）",""))</f>
        <v/>
      </c>
      <c r="P107" s="18" t="str">
        <f t="array" ref="P107">_xlfn.XLOOKUP(A107&amp;B107&amp;C107,赠品!$A:$A&amp;赠品!$B:$B&amp;赠品!$C:$C,赠品!$D:$D)</f>
        <v/>
      </c>
      <c r="Q107" s="18" t="str">
        <f>IF($C107="","",IF(AND(M107="",N107="",P107=""),"",固定信息!$B$1))</f>
        <v/>
      </c>
      <c r="R107" s="18" t="str">
        <f t="array" ref="R107">IF(ISNUMBER(SEARCH("是",_xlfn.XLOOKUP(A107&amp;B107&amp;C107,盘货信息!$A:$A&amp;盘货信息!$B:$B&amp;盘货信息!$C:$C,盘货信息!$U:$U))),"【折扣】指定型号满2类享96折，满3类享94折","")</f>
        <v/>
      </c>
      <c r="S107" s="18" t="str">
        <f t="array" ref="S107">IF(_xlfn.XLOOKUP(A107&amp;B107&amp;C107,盘货信息!$A:$A&amp;盘货信息!$B:$B&amp;盘货信息!$C:$C,盘货信息!$Q:$Q)&lt;1,"","【红包】活动时间购机送"&amp;_xlfn.TEXTJOIN("",,IF(ISNUMBER(--MID(_xlfn.XLOOKUP(A107&amp;B107&amp;C107,盘货信息!$A:$A&amp;盘货信息!$B:$B&amp;盘货信息!$C:$C,盘货信息!$Q:$Q),_xlfn.SEQUENCE(LEN(_xlfn.XLOOKUP(A107&amp;B107&amp;C107,盘货信息!$A:$A&amp;盘货信息!$B:$B&amp;盘货信息!$C:$C,盘货信息!$Q:$Q))),1)),MID(_xlfn.XLOOKUP(A107&amp;B107&amp;C107,盘货信息!$A:$A&amp;盘货信息!$B:$B&amp;盘货信息!$C:$C,盘货信息!$Q:$Q),_xlfn.SEQUENCE(LEN(_xlfn.XLOOKUP(A107&amp;B107&amp;C107,盘货信息!$A:$A&amp;盘货信息!$B:$B&amp;盘货信息!$C:$C,盘货信息!$Q:$Q))),1),""))&amp;"元")</f>
        <v/>
      </c>
      <c r="T107" s="18" t="str">
        <f t="array" ref="T107">IF(ISNUMBER(SEARCH("是",_xlfn.XLOOKUP(A107&amp;B107&amp;C107,盘货信息!$A:$A&amp;盘货信息!$B:$B&amp;盘货信息!$C:$C,盘货信息!$T:$T))),"【瓜分】"&amp;固定信息!$B$7,"")</f>
        <v/>
      </c>
      <c r="U107" s="18" t="str">
        <f>IF($C107="","",IF(AND(R107="",S107="",T107=""),"",固定信息!$B$1))</f>
        <v/>
      </c>
      <c r="V107" s="18" t="str">
        <f t="array" ref="V107">IF(C107="","","【服务】"&amp;IF(_xlfn.XLOOKUP(A107&amp;B107&amp;C107,盘货信息!$A:$A&amp;盘货信息!$B:$B&amp;盘货信息!$C:$C,盘货信息!$V:$V)="","",_xlfn.XLOOKUP(A107&amp;B107&amp;C107,盘货信息!$A:$A&amp;盘货信息!$B:$B&amp;盘货信息!$C:$C,盘货信息!$V:$V)&amp;"免息,")&amp;IF(_xlfn.XLOOKUP(A107&amp;B107&amp;C107,盘货信息!$A:$A&amp;盘货信息!$B:$B&amp;盘货信息!$C:$C,盘货信息!$W:$W)="","",_xlfn.XLOOKUP(A107&amp;B107&amp;C107,盘货信息!$A:$A&amp;盘货信息!$B:$B&amp;盘货信息!$C:$C,盘货信息!$W:$W)&amp;"，")&amp;"送货入户，退换免运费")</f>
        <v/>
      </c>
    </row>
    <row r="108" customHeight="1" spans="1:22">
      <c r="A108" s="17" t="str">
        <f>IF(盘货信息!A108="","",盘货信息!A108)</f>
        <v/>
      </c>
      <c r="B108" s="20" t="str">
        <f>IF(盘货信息!B108="","",盘货信息!B108)</f>
        <v/>
      </c>
      <c r="C108" s="18" t="str">
        <f>IF(盘货信息!C108="","",盘货信息!C108)</f>
        <v/>
      </c>
      <c r="D108" s="18" t="str">
        <f ca="1" t="shared" si="1"/>
        <v/>
      </c>
      <c r="E108" s="18" t="str">
        <f>IF(C108="","",固定信息!$B$2)</f>
        <v/>
      </c>
      <c r="F108" s="18" t="str">
        <f t="array" ref="F108">IF(C108="","","【"&amp;C108&amp;"】"&amp;_xlfn.XLOOKUP(A108&amp;B108&amp;C108,盘货信息!$A:$A&amp;盘货信息!$B:$B&amp;盘货信息!$C:$C,盘货信息!$D:$D))</f>
        <v/>
      </c>
      <c r="G108" s="18" t="str">
        <f>IF(C108="","","【"&amp;"活动时间："&amp;固定信息!$B$3&amp;"】")</f>
        <v/>
      </c>
      <c r="H108" s="18" t="str">
        <f>IF($C108="","",固定信息!$B$1)</f>
        <v/>
      </c>
      <c r="I108" s="18"/>
      <c r="J108" s="18" t="str">
        <f t="array" ref="J108">_xlfn.XLOOKUP(A108&amp;B108&amp;C108,价格信息!$A:$A&amp;价格信息!$B:$B&amp;价格信息!$C:$C,价格信息!$D:$D)</f>
        <v/>
      </c>
      <c r="K108" s="31" t="str">
        <f t="array" ref="K108">IF(_xlfn.XLOOKUP(A108&amp;B108&amp;C108,价格信息!$A:$A&amp;价格信息!$B:$B&amp;价格信息!$C:$C,价格信息!$I:$I)="","","【优惠券链接】"&amp;固定信息!$B$6)</f>
        <v/>
      </c>
      <c r="L108" s="31" t="str">
        <f>IF($C108="","",固定信息!$B$1)</f>
        <v/>
      </c>
      <c r="M108" s="18" t="str">
        <f t="array" ref="M108">IF(_xlfn.XLOOKUP(A108&amp;B108&amp;C108,盘货信息!$A:$A&amp;盘货信息!$B:$B&amp;盘货信息!$C:$C,盘货信息!$O:$O)="","","【优惠券】领"&amp;INDEX(_wpsfn.REGEXP(_xlfn.XLOOKUP(A108&amp;B108&amp;C108,盘货信息!$A:$A&amp;盘货信息!$B:$B&amp;盘货信息!$C:$C,盘货信息!$O:$O),"\d+"),1,1)&amp;"元优惠券下单更优惠，优惠卷："&amp;_xlfn.XLOOKUP(A108&amp;B108&amp;C108,盘货信息!$A:$A&amp;盘货信息!$B:$B&amp;盘货信息!$C:$C,盘货信息!$P:$P))</f>
        <v/>
      </c>
      <c r="N108" s="18" t="str">
        <f t="array" ref="N108">IF(AND(ISNUMBER(_xlfn.XLOOKUP(A108&amp;B108&amp;C108,盘货信息!$A:$A&amp;盘货信息!$B:$B&amp;盘货信息!$C:$C,盘货信息!$I:$I)),_xlfn.XLOOKUP(A108&amp;B108&amp;C108,盘货信息!$A:$A&amp;盘货信息!$B:$B&amp;盘货信息!$C:$C,盘货信息!$I:$I)&gt;1),"【88VIP】立减"&amp;_xlfn.XLOOKUP(A108&amp;B108&amp;C108,盘货信息!$A:$A&amp;盘货信息!$B:$B&amp;盘货信息!$C:$C,盘货信息!$I:$I)&amp;"元","")</f>
        <v/>
      </c>
      <c r="O108" s="18" t="str">
        <f t="array" ref="O108">IF(_xlfn.XLOOKUP(A108&amp;B108&amp;C108,盘货信息!$A:$A&amp;盘货信息!$B:$B&amp;盘货信息!$C:$C,盘货信息!$K:$K)="","",IF(AND(_xlfn.XLOOKUP(A108&amp;B108&amp;C108,盘货信息!$A:$A&amp;盘货信息!$B:$B&amp;盘货信息!$C:$C,盘货信息!$G:$G)="不参加",_xlfn.XLOOKUP(A108&amp;B108&amp;C108,盘货信息!$A:$A&amp;盘货信息!$B:$B&amp;盘货信息!$C:$C,盘货信息!$H:$H)=""),"【以旧换新】"&amp;_xlfn.XLOOKUP(A108&amp;B108&amp;C108,盘货信息!$A:$A&amp;盘货信息!$B:$B&amp;盘货信息!$C:$C,盘货信息!$K:$K)&amp;"元以旧换新补贴（可无旧机换新）",""))</f>
        <v/>
      </c>
      <c r="P108" s="18" t="str">
        <f t="array" ref="P108">_xlfn.XLOOKUP(A108&amp;B108&amp;C108,赠品!$A:$A&amp;赠品!$B:$B&amp;赠品!$C:$C,赠品!$D:$D)</f>
        <v/>
      </c>
      <c r="Q108" s="18" t="str">
        <f>IF($C108="","",IF(AND(M108="",N108="",P108=""),"",固定信息!$B$1))</f>
        <v/>
      </c>
      <c r="R108" s="18" t="str">
        <f t="array" ref="R108">IF(ISNUMBER(SEARCH("是",_xlfn.XLOOKUP(A108&amp;B108&amp;C108,盘货信息!$A:$A&amp;盘货信息!$B:$B&amp;盘货信息!$C:$C,盘货信息!$U:$U))),"【折扣】指定型号满2类享96折，满3类享94折","")</f>
        <v/>
      </c>
      <c r="S108" s="18" t="str">
        <f t="array" ref="S108">IF(_xlfn.XLOOKUP(A108&amp;B108&amp;C108,盘货信息!$A:$A&amp;盘货信息!$B:$B&amp;盘货信息!$C:$C,盘货信息!$Q:$Q)&lt;1,"","【红包】活动时间购机送"&amp;_xlfn.TEXTJOIN("",,IF(ISNUMBER(--MID(_xlfn.XLOOKUP(A108&amp;B108&amp;C108,盘货信息!$A:$A&amp;盘货信息!$B:$B&amp;盘货信息!$C:$C,盘货信息!$Q:$Q),_xlfn.SEQUENCE(LEN(_xlfn.XLOOKUP(A108&amp;B108&amp;C108,盘货信息!$A:$A&amp;盘货信息!$B:$B&amp;盘货信息!$C:$C,盘货信息!$Q:$Q))),1)),MID(_xlfn.XLOOKUP(A108&amp;B108&amp;C108,盘货信息!$A:$A&amp;盘货信息!$B:$B&amp;盘货信息!$C:$C,盘货信息!$Q:$Q),_xlfn.SEQUENCE(LEN(_xlfn.XLOOKUP(A108&amp;B108&amp;C108,盘货信息!$A:$A&amp;盘货信息!$B:$B&amp;盘货信息!$C:$C,盘货信息!$Q:$Q))),1),""))&amp;"元")</f>
        <v/>
      </c>
      <c r="T108" s="18" t="str">
        <f t="array" ref="T108">IF(ISNUMBER(SEARCH("是",_xlfn.XLOOKUP(A108&amp;B108&amp;C108,盘货信息!$A:$A&amp;盘货信息!$B:$B&amp;盘货信息!$C:$C,盘货信息!$T:$T))),"【瓜分】"&amp;固定信息!$B$7,"")</f>
        <v/>
      </c>
      <c r="U108" s="18" t="str">
        <f>IF($C108="","",IF(AND(R108="",S108="",T108=""),"",固定信息!$B$1))</f>
        <v/>
      </c>
      <c r="V108" s="18" t="str">
        <f t="array" ref="V108">IF(C108="","","【服务】"&amp;IF(_xlfn.XLOOKUP(A108&amp;B108&amp;C108,盘货信息!$A:$A&amp;盘货信息!$B:$B&amp;盘货信息!$C:$C,盘货信息!$V:$V)="","",_xlfn.XLOOKUP(A108&amp;B108&amp;C108,盘货信息!$A:$A&amp;盘货信息!$B:$B&amp;盘货信息!$C:$C,盘货信息!$V:$V)&amp;"免息,")&amp;IF(_xlfn.XLOOKUP(A108&amp;B108&amp;C108,盘货信息!$A:$A&amp;盘货信息!$B:$B&amp;盘货信息!$C:$C,盘货信息!$W:$W)="","",_xlfn.XLOOKUP(A108&amp;B108&amp;C108,盘货信息!$A:$A&amp;盘货信息!$B:$B&amp;盘货信息!$C:$C,盘货信息!$W:$W)&amp;"，")&amp;"送货入户，退换免运费")</f>
        <v/>
      </c>
    </row>
    <row r="109" customHeight="1" spans="1:22">
      <c r="A109" s="17" t="str">
        <f>IF(盘货信息!A109="","",盘货信息!A109)</f>
        <v/>
      </c>
      <c r="B109" s="20" t="str">
        <f>IF(盘货信息!B109="","",盘货信息!B109)</f>
        <v/>
      </c>
      <c r="C109" s="20" t="str">
        <f>IF(盘货信息!C109="","",盘货信息!C109)</f>
        <v/>
      </c>
      <c r="D109" s="18" t="str">
        <f ca="1" t="shared" si="1"/>
        <v/>
      </c>
      <c r="E109" s="18" t="str">
        <f>IF(C109="","",固定信息!$B$2)</f>
        <v/>
      </c>
      <c r="F109" s="18" t="str">
        <f t="array" ref="F109">IF(C109="","","【"&amp;C109&amp;"】"&amp;_xlfn.XLOOKUP(A109&amp;B109&amp;C109,盘货信息!$A:$A&amp;盘货信息!$B:$B&amp;盘货信息!$C:$C,盘货信息!$D:$D))</f>
        <v/>
      </c>
      <c r="G109" s="18" t="str">
        <f>IF(C109="","","【"&amp;"活动时间："&amp;固定信息!$B$3&amp;"】")</f>
        <v/>
      </c>
      <c r="H109" s="18" t="str">
        <f>IF($C109="","",固定信息!$B$1)</f>
        <v/>
      </c>
      <c r="I109" s="18"/>
      <c r="J109" s="18" t="str">
        <f t="array" ref="J109">_xlfn.XLOOKUP(A109&amp;B109&amp;C109,价格信息!$A:$A&amp;价格信息!$B:$B&amp;价格信息!$C:$C,价格信息!$D:$D)</f>
        <v/>
      </c>
      <c r="K109" s="31" t="str">
        <f t="array" ref="K109">IF(_xlfn.XLOOKUP(A109&amp;B109&amp;C109,价格信息!$A:$A&amp;价格信息!$B:$B&amp;价格信息!$C:$C,价格信息!$I:$I)="","","【优惠券链接】"&amp;固定信息!$B$6)</f>
        <v/>
      </c>
      <c r="L109" s="31" t="str">
        <f>IF($C109="","",固定信息!$B$1)</f>
        <v/>
      </c>
      <c r="M109" s="18" t="str">
        <f t="array" ref="M109">IF(_xlfn.XLOOKUP(A109&amp;B109&amp;C109,盘货信息!$A:$A&amp;盘货信息!$B:$B&amp;盘货信息!$C:$C,盘货信息!$O:$O)="","","【优惠券】领"&amp;INDEX(_wpsfn.REGEXP(_xlfn.XLOOKUP(A109&amp;B109&amp;C109,盘货信息!$A:$A&amp;盘货信息!$B:$B&amp;盘货信息!$C:$C,盘货信息!$O:$O),"\d+"),1,1)&amp;"元优惠券下单更优惠，优惠卷："&amp;_xlfn.XLOOKUP(A109&amp;B109&amp;C109,盘货信息!$A:$A&amp;盘货信息!$B:$B&amp;盘货信息!$C:$C,盘货信息!$P:$P))</f>
        <v/>
      </c>
      <c r="N109" s="18" t="str">
        <f t="array" ref="N109">IF(AND(ISNUMBER(_xlfn.XLOOKUP(A109&amp;B109&amp;C109,盘货信息!$A:$A&amp;盘货信息!$B:$B&amp;盘货信息!$C:$C,盘货信息!$I:$I)),_xlfn.XLOOKUP(A109&amp;B109&amp;C109,盘货信息!$A:$A&amp;盘货信息!$B:$B&amp;盘货信息!$C:$C,盘货信息!$I:$I)&gt;1),"【88VIP】立减"&amp;_xlfn.XLOOKUP(A109&amp;B109&amp;C109,盘货信息!$A:$A&amp;盘货信息!$B:$B&amp;盘货信息!$C:$C,盘货信息!$I:$I)&amp;"元","")</f>
        <v/>
      </c>
      <c r="O109" s="18" t="str">
        <f t="array" ref="O109">IF(_xlfn.XLOOKUP(A109&amp;B109&amp;C109,盘货信息!$A:$A&amp;盘货信息!$B:$B&amp;盘货信息!$C:$C,盘货信息!$K:$K)="","",IF(AND(_xlfn.XLOOKUP(A109&amp;B109&amp;C109,盘货信息!$A:$A&amp;盘货信息!$B:$B&amp;盘货信息!$C:$C,盘货信息!$G:$G)="不参加",_xlfn.XLOOKUP(A109&amp;B109&amp;C109,盘货信息!$A:$A&amp;盘货信息!$B:$B&amp;盘货信息!$C:$C,盘货信息!$H:$H)=""),"【以旧换新】"&amp;_xlfn.XLOOKUP(A109&amp;B109&amp;C109,盘货信息!$A:$A&amp;盘货信息!$B:$B&amp;盘货信息!$C:$C,盘货信息!$K:$K)&amp;"元以旧换新补贴（可无旧机换新）",""))</f>
        <v/>
      </c>
      <c r="P109" s="18" t="str">
        <f t="array" ref="P109">_xlfn.XLOOKUP(A109&amp;B109&amp;C109,赠品!$A:$A&amp;赠品!$B:$B&amp;赠品!$C:$C,赠品!$D:$D)</f>
        <v/>
      </c>
      <c r="Q109" s="18" t="str">
        <f>IF($C109="","",IF(AND(M109="",N109="",P109=""),"",固定信息!$B$1))</f>
        <v/>
      </c>
      <c r="R109" s="18" t="str">
        <f t="array" ref="R109">IF(ISNUMBER(SEARCH("是",_xlfn.XLOOKUP(A109&amp;B109&amp;C109,盘货信息!$A:$A&amp;盘货信息!$B:$B&amp;盘货信息!$C:$C,盘货信息!$U:$U))),"【折扣】指定型号满2类享96折，满3类享94折","")</f>
        <v/>
      </c>
      <c r="S109" s="18" t="str">
        <f t="array" ref="S109">IF(_xlfn.XLOOKUP(A109&amp;B109&amp;C109,盘货信息!$A:$A&amp;盘货信息!$B:$B&amp;盘货信息!$C:$C,盘货信息!$Q:$Q)&lt;1,"","【红包】活动时间购机送"&amp;_xlfn.TEXTJOIN("",,IF(ISNUMBER(--MID(_xlfn.XLOOKUP(A109&amp;B109&amp;C109,盘货信息!$A:$A&amp;盘货信息!$B:$B&amp;盘货信息!$C:$C,盘货信息!$Q:$Q),_xlfn.SEQUENCE(LEN(_xlfn.XLOOKUP(A109&amp;B109&amp;C109,盘货信息!$A:$A&amp;盘货信息!$B:$B&amp;盘货信息!$C:$C,盘货信息!$Q:$Q))),1)),MID(_xlfn.XLOOKUP(A109&amp;B109&amp;C109,盘货信息!$A:$A&amp;盘货信息!$B:$B&amp;盘货信息!$C:$C,盘货信息!$Q:$Q),_xlfn.SEQUENCE(LEN(_xlfn.XLOOKUP(A109&amp;B109&amp;C109,盘货信息!$A:$A&amp;盘货信息!$B:$B&amp;盘货信息!$C:$C,盘货信息!$Q:$Q))),1),""))&amp;"元")</f>
        <v/>
      </c>
      <c r="T109" s="18" t="str">
        <f t="array" ref="T109">IF(ISNUMBER(SEARCH("是",_xlfn.XLOOKUP(A109&amp;B109&amp;C109,盘货信息!$A:$A&amp;盘货信息!$B:$B&amp;盘货信息!$C:$C,盘货信息!$T:$T))),"【瓜分】"&amp;固定信息!$B$7,"")</f>
        <v/>
      </c>
      <c r="U109" s="18" t="str">
        <f>IF($C109="","",IF(AND(R109="",S109="",T109=""),"",固定信息!$B$1))</f>
        <v/>
      </c>
      <c r="V109" s="18" t="str">
        <f t="array" ref="V109">IF(C109="","","【服务】"&amp;IF(_xlfn.XLOOKUP(A109&amp;B109&amp;C109,盘货信息!$A:$A&amp;盘货信息!$B:$B&amp;盘货信息!$C:$C,盘货信息!$V:$V)="","",_xlfn.XLOOKUP(A109&amp;B109&amp;C109,盘货信息!$A:$A&amp;盘货信息!$B:$B&amp;盘货信息!$C:$C,盘货信息!$V:$V)&amp;"免息,")&amp;IF(_xlfn.XLOOKUP(A109&amp;B109&amp;C109,盘货信息!$A:$A&amp;盘货信息!$B:$B&amp;盘货信息!$C:$C,盘货信息!$W:$W)="","",_xlfn.XLOOKUP(A109&amp;B109&amp;C109,盘货信息!$A:$A&amp;盘货信息!$B:$B&amp;盘货信息!$C:$C,盘货信息!$W:$W)&amp;"，")&amp;"送货入户，退换免运费")</f>
        <v/>
      </c>
    </row>
    <row r="110" customHeight="1" spans="1:22">
      <c r="A110" s="17" t="str">
        <f>IF(盘货信息!A110="","",盘货信息!A110)</f>
        <v/>
      </c>
      <c r="B110" s="20" t="str">
        <f>IF(盘货信息!B110="","",盘货信息!B110)</f>
        <v/>
      </c>
      <c r="C110" s="20" t="str">
        <f>IF(盘货信息!C110="","",盘货信息!C110)</f>
        <v/>
      </c>
      <c r="D110" s="18" t="str">
        <f ca="1" t="shared" si="1"/>
        <v/>
      </c>
      <c r="E110" s="18" t="str">
        <f>IF(C110="","",固定信息!$B$2)</f>
        <v/>
      </c>
      <c r="F110" s="18" t="str">
        <f t="array" ref="F110">IF(C110="","","【"&amp;C110&amp;"】"&amp;_xlfn.XLOOKUP(A110&amp;B110&amp;C110,盘货信息!$A:$A&amp;盘货信息!$B:$B&amp;盘货信息!$C:$C,盘货信息!$D:$D))</f>
        <v/>
      </c>
      <c r="G110" s="18" t="str">
        <f>IF(C110="","","【"&amp;"活动时间："&amp;固定信息!$B$3&amp;"】")</f>
        <v/>
      </c>
      <c r="H110" s="18" t="str">
        <f>IF($C110="","",固定信息!$B$1)</f>
        <v/>
      </c>
      <c r="I110" s="18"/>
      <c r="J110" s="18" t="str">
        <f t="array" ref="J110">_xlfn.XLOOKUP(A110&amp;B110&amp;C110,价格信息!$A:$A&amp;价格信息!$B:$B&amp;价格信息!$C:$C,价格信息!$D:$D)</f>
        <v/>
      </c>
      <c r="K110" s="31" t="str">
        <f t="array" ref="K110">IF(_xlfn.XLOOKUP(A110&amp;B110&amp;C110,价格信息!$A:$A&amp;价格信息!$B:$B&amp;价格信息!$C:$C,价格信息!$I:$I)="","","【优惠券链接】"&amp;固定信息!$B$6)</f>
        <v/>
      </c>
      <c r="L110" s="31" t="str">
        <f>IF($C110="","",固定信息!$B$1)</f>
        <v/>
      </c>
      <c r="M110" s="18" t="str">
        <f t="array" ref="M110">IF(_xlfn.XLOOKUP(A110&amp;B110&amp;C110,盘货信息!$A:$A&amp;盘货信息!$B:$B&amp;盘货信息!$C:$C,盘货信息!$O:$O)="","","【优惠券】领"&amp;INDEX(_wpsfn.REGEXP(_xlfn.XLOOKUP(A110&amp;B110&amp;C110,盘货信息!$A:$A&amp;盘货信息!$B:$B&amp;盘货信息!$C:$C,盘货信息!$O:$O),"\d+"),1,1)&amp;"元优惠券下单更优惠，优惠卷："&amp;_xlfn.XLOOKUP(A110&amp;B110&amp;C110,盘货信息!$A:$A&amp;盘货信息!$B:$B&amp;盘货信息!$C:$C,盘货信息!$P:$P))</f>
        <v/>
      </c>
      <c r="N110" s="18" t="str">
        <f t="array" ref="N110">IF(AND(ISNUMBER(_xlfn.XLOOKUP(A110&amp;B110&amp;C110,盘货信息!$A:$A&amp;盘货信息!$B:$B&amp;盘货信息!$C:$C,盘货信息!$I:$I)),_xlfn.XLOOKUP(A110&amp;B110&amp;C110,盘货信息!$A:$A&amp;盘货信息!$B:$B&amp;盘货信息!$C:$C,盘货信息!$I:$I)&gt;1),"【88VIP】立减"&amp;_xlfn.XLOOKUP(A110&amp;B110&amp;C110,盘货信息!$A:$A&amp;盘货信息!$B:$B&amp;盘货信息!$C:$C,盘货信息!$I:$I)&amp;"元","")</f>
        <v/>
      </c>
      <c r="O110" s="18" t="str">
        <f t="array" ref="O110">IF(_xlfn.XLOOKUP(A110&amp;B110&amp;C110,盘货信息!$A:$A&amp;盘货信息!$B:$B&amp;盘货信息!$C:$C,盘货信息!$K:$K)="","",IF(AND(_xlfn.XLOOKUP(A110&amp;B110&amp;C110,盘货信息!$A:$A&amp;盘货信息!$B:$B&amp;盘货信息!$C:$C,盘货信息!$G:$G)="不参加",_xlfn.XLOOKUP(A110&amp;B110&amp;C110,盘货信息!$A:$A&amp;盘货信息!$B:$B&amp;盘货信息!$C:$C,盘货信息!$H:$H)=""),"【以旧换新】"&amp;_xlfn.XLOOKUP(A110&amp;B110&amp;C110,盘货信息!$A:$A&amp;盘货信息!$B:$B&amp;盘货信息!$C:$C,盘货信息!$K:$K)&amp;"元以旧换新补贴（可无旧机换新）",""))</f>
        <v/>
      </c>
      <c r="P110" s="18" t="str">
        <f t="array" ref="P110">_xlfn.XLOOKUP(A110&amp;B110&amp;C110,赠品!$A:$A&amp;赠品!$B:$B&amp;赠品!$C:$C,赠品!$D:$D)</f>
        <v/>
      </c>
      <c r="Q110" s="18" t="str">
        <f>IF($C110="","",IF(AND(M110="",N110="",P110=""),"",固定信息!$B$1))</f>
        <v/>
      </c>
      <c r="R110" s="18" t="str">
        <f t="array" ref="R110">IF(ISNUMBER(SEARCH("是",_xlfn.XLOOKUP(A110&amp;B110&amp;C110,盘货信息!$A:$A&amp;盘货信息!$B:$B&amp;盘货信息!$C:$C,盘货信息!$U:$U))),"【折扣】指定型号满2类享96折，满3类享94折","")</f>
        <v/>
      </c>
      <c r="S110" s="18" t="str">
        <f t="array" ref="S110">IF(_xlfn.XLOOKUP(A110&amp;B110&amp;C110,盘货信息!$A:$A&amp;盘货信息!$B:$B&amp;盘货信息!$C:$C,盘货信息!$Q:$Q)&lt;1,"","【红包】活动时间购机送"&amp;_xlfn.TEXTJOIN("",,IF(ISNUMBER(--MID(_xlfn.XLOOKUP(A110&amp;B110&amp;C110,盘货信息!$A:$A&amp;盘货信息!$B:$B&amp;盘货信息!$C:$C,盘货信息!$Q:$Q),_xlfn.SEQUENCE(LEN(_xlfn.XLOOKUP(A110&amp;B110&amp;C110,盘货信息!$A:$A&amp;盘货信息!$B:$B&amp;盘货信息!$C:$C,盘货信息!$Q:$Q))),1)),MID(_xlfn.XLOOKUP(A110&amp;B110&amp;C110,盘货信息!$A:$A&amp;盘货信息!$B:$B&amp;盘货信息!$C:$C,盘货信息!$Q:$Q),_xlfn.SEQUENCE(LEN(_xlfn.XLOOKUP(A110&amp;B110&amp;C110,盘货信息!$A:$A&amp;盘货信息!$B:$B&amp;盘货信息!$C:$C,盘货信息!$Q:$Q))),1),""))&amp;"元")</f>
        <v/>
      </c>
      <c r="T110" s="18" t="str">
        <f t="array" ref="T110">IF(ISNUMBER(SEARCH("是",_xlfn.XLOOKUP(A110&amp;B110&amp;C110,盘货信息!$A:$A&amp;盘货信息!$B:$B&amp;盘货信息!$C:$C,盘货信息!$T:$T))),"【瓜分】"&amp;固定信息!$B$7,"")</f>
        <v/>
      </c>
      <c r="U110" s="18" t="str">
        <f>IF($C110="","",IF(AND(R110="",S110="",T110=""),"",固定信息!$B$1))</f>
        <v/>
      </c>
      <c r="V110" s="18" t="str">
        <f t="array" ref="V110">IF(C110="","","【服务】"&amp;IF(_xlfn.XLOOKUP(A110&amp;B110&amp;C110,盘货信息!$A:$A&amp;盘货信息!$B:$B&amp;盘货信息!$C:$C,盘货信息!$V:$V)="","",_xlfn.XLOOKUP(A110&amp;B110&amp;C110,盘货信息!$A:$A&amp;盘货信息!$B:$B&amp;盘货信息!$C:$C,盘货信息!$V:$V)&amp;"免息,")&amp;IF(_xlfn.XLOOKUP(A110&amp;B110&amp;C110,盘货信息!$A:$A&amp;盘货信息!$B:$B&amp;盘货信息!$C:$C,盘货信息!$W:$W)="","",_xlfn.XLOOKUP(A110&amp;B110&amp;C110,盘货信息!$A:$A&amp;盘货信息!$B:$B&amp;盘货信息!$C:$C,盘货信息!$W:$W)&amp;"，")&amp;"送货入户，退换免运费")</f>
        <v/>
      </c>
    </row>
    <row r="111" customHeight="1" spans="1:22">
      <c r="A111" s="17" t="str">
        <f>IF(盘货信息!A111="","",盘货信息!A111)</f>
        <v/>
      </c>
      <c r="B111" s="20" t="str">
        <f>IF(盘货信息!B111="","",盘货信息!B111)</f>
        <v/>
      </c>
      <c r="C111" s="18" t="str">
        <f>IF(盘货信息!C111="","",盘货信息!C111)</f>
        <v/>
      </c>
      <c r="D111" s="18" t="str">
        <f ca="1" t="shared" si="1"/>
        <v/>
      </c>
      <c r="E111" s="18" t="str">
        <f>IF(C111="","",固定信息!$B$2)</f>
        <v/>
      </c>
      <c r="F111" s="18" t="str">
        <f t="array" ref="F111">IF(C111="","","【"&amp;C111&amp;"】"&amp;_xlfn.XLOOKUP(A111&amp;B111&amp;C111,盘货信息!$A:$A&amp;盘货信息!$B:$B&amp;盘货信息!$C:$C,盘货信息!$D:$D))</f>
        <v/>
      </c>
      <c r="G111" s="18" t="str">
        <f>IF(C111="","","【"&amp;"活动时间："&amp;固定信息!$B$3&amp;"】")</f>
        <v/>
      </c>
      <c r="H111" s="18" t="str">
        <f>IF($C111="","",固定信息!$B$1)</f>
        <v/>
      </c>
      <c r="I111" s="18"/>
      <c r="J111" s="18" t="str">
        <f t="array" ref="J111">_xlfn.XLOOKUP(A111&amp;B111&amp;C111,价格信息!$A:$A&amp;价格信息!$B:$B&amp;价格信息!$C:$C,价格信息!$D:$D)</f>
        <v/>
      </c>
      <c r="K111" s="31" t="str">
        <f t="array" ref="K111">IF(_xlfn.XLOOKUP(A111&amp;B111&amp;C111,价格信息!$A:$A&amp;价格信息!$B:$B&amp;价格信息!$C:$C,价格信息!$I:$I)="","","【优惠券链接】"&amp;固定信息!$B$6)</f>
        <v/>
      </c>
      <c r="L111" s="31" t="str">
        <f>IF($C111="","",固定信息!$B$1)</f>
        <v/>
      </c>
      <c r="M111" s="18" t="str">
        <f t="array" ref="M111">IF(_xlfn.XLOOKUP(A111&amp;B111&amp;C111,盘货信息!$A:$A&amp;盘货信息!$B:$B&amp;盘货信息!$C:$C,盘货信息!$O:$O)="","","【优惠券】领"&amp;INDEX(_wpsfn.REGEXP(_xlfn.XLOOKUP(A111&amp;B111&amp;C111,盘货信息!$A:$A&amp;盘货信息!$B:$B&amp;盘货信息!$C:$C,盘货信息!$O:$O),"\d+"),1,1)&amp;"元优惠券下单更优惠，优惠卷："&amp;_xlfn.XLOOKUP(A111&amp;B111&amp;C111,盘货信息!$A:$A&amp;盘货信息!$B:$B&amp;盘货信息!$C:$C,盘货信息!$P:$P))</f>
        <v/>
      </c>
      <c r="N111" s="18" t="str">
        <f t="array" ref="N111">IF(AND(ISNUMBER(_xlfn.XLOOKUP(A111&amp;B111&amp;C111,盘货信息!$A:$A&amp;盘货信息!$B:$B&amp;盘货信息!$C:$C,盘货信息!$I:$I)),_xlfn.XLOOKUP(A111&amp;B111&amp;C111,盘货信息!$A:$A&amp;盘货信息!$B:$B&amp;盘货信息!$C:$C,盘货信息!$I:$I)&gt;1),"【88VIP】立减"&amp;_xlfn.XLOOKUP(A111&amp;B111&amp;C111,盘货信息!$A:$A&amp;盘货信息!$B:$B&amp;盘货信息!$C:$C,盘货信息!$I:$I)&amp;"元","")</f>
        <v/>
      </c>
      <c r="O111" s="18" t="str">
        <f t="array" ref="O111">IF(_xlfn.XLOOKUP(A111&amp;B111&amp;C111,盘货信息!$A:$A&amp;盘货信息!$B:$B&amp;盘货信息!$C:$C,盘货信息!$K:$K)="","",IF(AND(_xlfn.XLOOKUP(A111&amp;B111&amp;C111,盘货信息!$A:$A&amp;盘货信息!$B:$B&amp;盘货信息!$C:$C,盘货信息!$G:$G)="不参加",_xlfn.XLOOKUP(A111&amp;B111&amp;C111,盘货信息!$A:$A&amp;盘货信息!$B:$B&amp;盘货信息!$C:$C,盘货信息!$H:$H)=""),"【以旧换新】"&amp;_xlfn.XLOOKUP(A111&amp;B111&amp;C111,盘货信息!$A:$A&amp;盘货信息!$B:$B&amp;盘货信息!$C:$C,盘货信息!$K:$K)&amp;"元以旧换新补贴（可无旧机换新）",""))</f>
        <v/>
      </c>
      <c r="P111" s="18" t="str">
        <f t="array" ref="P111">_xlfn.XLOOKUP(A111&amp;B111&amp;C111,赠品!$A:$A&amp;赠品!$B:$B&amp;赠品!$C:$C,赠品!$D:$D)</f>
        <v/>
      </c>
      <c r="Q111" s="18" t="str">
        <f>IF($C111="","",IF(AND(M111="",N111="",P111=""),"",固定信息!$B$1))</f>
        <v/>
      </c>
      <c r="R111" s="18" t="str">
        <f t="array" ref="R111">IF(ISNUMBER(SEARCH("是",_xlfn.XLOOKUP(A111&amp;B111&amp;C111,盘货信息!$A:$A&amp;盘货信息!$B:$B&amp;盘货信息!$C:$C,盘货信息!$U:$U))),"【折扣】指定型号满2类享96折，满3类享94折","")</f>
        <v/>
      </c>
      <c r="S111" s="18" t="str">
        <f t="array" ref="S111">IF(_xlfn.XLOOKUP(A111&amp;B111&amp;C111,盘货信息!$A:$A&amp;盘货信息!$B:$B&amp;盘货信息!$C:$C,盘货信息!$Q:$Q)&lt;1,"","【红包】活动时间购机送"&amp;_xlfn.TEXTJOIN("",,IF(ISNUMBER(--MID(_xlfn.XLOOKUP(A111&amp;B111&amp;C111,盘货信息!$A:$A&amp;盘货信息!$B:$B&amp;盘货信息!$C:$C,盘货信息!$Q:$Q),_xlfn.SEQUENCE(LEN(_xlfn.XLOOKUP(A111&amp;B111&amp;C111,盘货信息!$A:$A&amp;盘货信息!$B:$B&amp;盘货信息!$C:$C,盘货信息!$Q:$Q))),1)),MID(_xlfn.XLOOKUP(A111&amp;B111&amp;C111,盘货信息!$A:$A&amp;盘货信息!$B:$B&amp;盘货信息!$C:$C,盘货信息!$Q:$Q),_xlfn.SEQUENCE(LEN(_xlfn.XLOOKUP(A111&amp;B111&amp;C111,盘货信息!$A:$A&amp;盘货信息!$B:$B&amp;盘货信息!$C:$C,盘货信息!$Q:$Q))),1),""))&amp;"元")</f>
        <v/>
      </c>
      <c r="T111" s="18" t="str">
        <f t="array" ref="T111">IF(ISNUMBER(SEARCH("是",_xlfn.XLOOKUP(A111&amp;B111&amp;C111,盘货信息!$A:$A&amp;盘货信息!$B:$B&amp;盘货信息!$C:$C,盘货信息!$T:$T))),"【瓜分】"&amp;固定信息!$B$7,"")</f>
        <v/>
      </c>
      <c r="U111" s="18" t="str">
        <f>IF($C111="","",IF(AND(R111="",S111="",T111=""),"",固定信息!$B$1))</f>
        <v/>
      </c>
      <c r="V111" s="18" t="str">
        <f t="array" ref="V111">IF(C111="","","【服务】"&amp;IF(_xlfn.XLOOKUP(A111&amp;B111&amp;C111,盘货信息!$A:$A&amp;盘货信息!$B:$B&amp;盘货信息!$C:$C,盘货信息!$V:$V)="","",_xlfn.XLOOKUP(A111&amp;B111&amp;C111,盘货信息!$A:$A&amp;盘货信息!$B:$B&amp;盘货信息!$C:$C,盘货信息!$V:$V)&amp;"免息,")&amp;IF(_xlfn.XLOOKUP(A111&amp;B111&amp;C111,盘货信息!$A:$A&amp;盘货信息!$B:$B&amp;盘货信息!$C:$C,盘货信息!$W:$W)="","",_xlfn.XLOOKUP(A111&amp;B111&amp;C111,盘货信息!$A:$A&amp;盘货信息!$B:$B&amp;盘货信息!$C:$C,盘货信息!$W:$W)&amp;"，")&amp;"送货入户，退换免运费")</f>
        <v/>
      </c>
    </row>
    <row r="112" customHeight="1" spans="1:22">
      <c r="A112" s="17" t="str">
        <f>IF(盘货信息!A112="","",盘货信息!A112)</f>
        <v/>
      </c>
      <c r="B112" s="20" t="str">
        <f>IF(盘货信息!B112="","",盘货信息!B112)</f>
        <v/>
      </c>
      <c r="C112" s="18" t="str">
        <f>IF(盘货信息!C112="","",盘货信息!C112)</f>
        <v/>
      </c>
      <c r="D112" s="18" t="str">
        <f ca="1" t="shared" si="1"/>
        <v/>
      </c>
      <c r="E112" s="18" t="str">
        <f>IF(C112="","",固定信息!$B$2)</f>
        <v/>
      </c>
      <c r="F112" s="18" t="str">
        <f t="array" ref="F112">IF(C112="","","【"&amp;C112&amp;"】"&amp;_xlfn.XLOOKUP(A112&amp;B112&amp;C112,盘货信息!$A:$A&amp;盘货信息!$B:$B&amp;盘货信息!$C:$C,盘货信息!$D:$D))</f>
        <v/>
      </c>
      <c r="G112" s="18" t="str">
        <f>IF(C112="","","【"&amp;"活动时间："&amp;固定信息!$B$3&amp;"】")</f>
        <v/>
      </c>
      <c r="H112" s="18" t="str">
        <f>IF($C112="","",固定信息!$B$1)</f>
        <v/>
      </c>
      <c r="I112" s="18"/>
      <c r="J112" s="18" t="str">
        <f t="array" ref="J112">_xlfn.XLOOKUP(A112&amp;B112&amp;C112,价格信息!$A:$A&amp;价格信息!$B:$B&amp;价格信息!$C:$C,价格信息!$D:$D)</f>
        <v/>
      </c>
      <c r="K112" s="31" t="str">
        <f t="array" ref="K112">IF(_xlfn.XLOOKUP(A112&amp;B112&amp;C112,价格信息!$A:$A&amp;价格信息!$B:$B&amp;价格信息!$C:$C,价格信息!$I:$I)="","","【优惠券链接】"&amp;固定信息!$B$6)</f>
        <v/>
      </c>
      <c r="L112" s="31" t="str">
        <f>IF($C112="","",固定信息!$B$1)</f>
        <v/>
      </c>
      <c r="M112" s="18" t="str">
        <f t="array" ref="M112">IF(_xlfn.XLOOKUP(A112&amp;B112&amp;C112,盘货信息!$A:$A&amp;盘货信息!$B:$B&amp;盘货信息!$C:$C,盘货信息!$O:$O)="","","【优惠券】领"&amp;INDEX(_wpsfn.REGEXP(_xlfn.XLOOKUP(A112&amp;B112&amp;C112,盘货信息!$A:$A&amp;盘货信息!$B:$B&amp;盘货信息!$C:$C,盘货信息!$O:$O),"\d+"),1,1)&amp;"元优惠券下单更优惠，优惠卷："&amp;_xlfn.XLOOKUP(A112&amp;B112&amp;C112,盘货信息!$A:$A&amp;盘货信息!$B:$B&amp;盘货信息!$C:$C,盘货信息!$P:$P))</f>
        <v/>
      </c>
      <c r="N112" s="18" t="str">
        <f t="array" ref="N112">IF(AND(ISNUMBER(_xlfn.XLOOKUP(A112&amp;B112&amp;C112,盘货信息!$A:$A&amp;盘货信息!$B:$B&amp;盘货信息!$C:$C,盘货信息!$I:$I)),_xlfn.XLOOKUP(A112&amp;B112&amp;C112,盘货信息!$A:$A&amp;盘货信息!$B:$B&amp;盘货信息!$C:$C,盘货信息!$I:$I)&gt;1),"【88VIP】立减"&amp;_xlfn.XLOOKUP(A112&amp;B112&amp;C112,盘货信息!$A:$A&amp;盘货信息!$B:$B&amp;盘货信息!$C:$C,盘货信息!$I:$I)&amp;"元","")</f>
        <v/>
      </c>
      <c r="O112" s="18" t="str">
        <f t="array" ref="O112">IF(_xlfn.XLOOKUP(A112&amp;B112&amp;C112,盘货信息!$A:$A&amp;盘货信息!$B:$B&amp;盘货信息!$C:$C,盘货信息!$K:$K)="","",IF(AND(_xlfn.XLOOKUP(A112&amp;B112&amp;C112,盘货信息!$A:$A&amp;盘货信息!$B:$B&amp;盘货信息!$C:$C,盘货信息!$G:$G)="不参加",_xlfn.XLOOKUP(A112&amp;B112&amp;C112,盘货信息!$A:$A&amp;盘货信息!$B:$B&amp;盘货信息!$C:$C,盘货信息!$H:$H)=""),"【以旧换新】"&amp;_xlfn.XLOOKUP(A112&amp;B112&amp;C112,盘货信息!$A:$A&amp;盘货信息!$B:$B&amp;盘货信息!$C:$C,盘货信息!$K:$K)&amp;"元以旧换新补贴（可无旧机换新）",""))</f>
        <v/>
      </c>
      <c r="P112" s="18" t="str">
        <f t="array" ref="P112">_xlfn.XLOOKUP(A112&amp;B112&amp;C112,赠品!$A:$A&amp;赠品!$B:$B&amp;赠品!$C:$C,赠品!$D:$D)</f>
        <v/>
      </c>
      <c r="Q112" s="18" t="str">
        <f>IF($C112="","",IF(AND(M112="",N112="",P112=""),"",固定信息!$B$1))</f>
        <v/>
      </c>
      <c r="R112" s="18" t="str">
        <f t="array" ref="R112">IF(ISNUMBER(SEARCH("是",_xlfn.XLOOKUP(A112&amp;B112&amp;C112,盘货信息!$A:$A&amp;盘货信息!$B:$B&amp;盘货信息!$C:$C,盘货信息!$U:$U))),"【折扣】指定型号满2类享96折，满3类享94折","")</f>
        <v/>
      </c>
      <c r="S112" s="18" t="str">
        <f t="array" ref="S112">IF(_xlfn.XLOOKUP(A112&amp;B112&amp;C112,盘货信息!$A:$A&amp;盘货信息!$B:$B&amp;盘货信息!$C:$C,盘货信息!$Q:$Q)&lt;1,"","【红包】活动时间购机送"&amp;_xlfn.TEXTJOIN("",,IF(ISNUMBER(--MID(_xlfn.XLOOKUP(A112&amp;B112&amp;C112,盘货信息!$A:$A&amp;盘货信息!$B:$B&amp;盘货信息!$C:$C,盘货信息!$Q:$Q),_xlfn.SEQUENCE(LEN(_xlfn.XLOOKUP(A112&amp;B112&amp;C112,盘货信息!$A:$A&amp;盘货信息!$B:$B&amp;盘货信息!$C:$C,盘货信息!$Q:$Q))),1)),MID(_xlfn.XLOOKUP(A112&amp;B112&amp;C112,盘货信息!$A:$A&amp;盘货信息!$B:$B&amp;盘货信息!$C:$C,盘货信息!$Q:$Q),_xlfn.SEQUENCE(LEN(_xlfn.XLOOKUP(A112&amp;B112&amp;C112,盘货信息!$A:$A&amp;盘货信息!$B:$B&amp;盘货信息!$C:$C,盘货信息!$Q:$Q))),1),""))&amp;"元")</f>
        <v/>
      </c>
      <c r="T112" s="18" t="str">
        <f t="array" ref="T112">IF(ISNUMBER(SEARCH("是",_xlfn.XLOOKUP(A112&amp;B112&amp;C112,盘货信息!$A:$A&amp;盘货信息!$B:$B&amp;盘货信息!$C:$C,盘货信息!$T:$T))),"【瓜分】"&amp;固定信息!$B$7,"")</f>
        <v/>
      </c>
      <c r="U112" s="18" t="str">
        <f>IF($C112="","",IF(AND(R112="",S112="",T112=""),"",固定信息!$B$1))</f>
        <v/>
      </c>
      <c r="V112" s="18" t="str">
        <f t="array" ref="V112">IF(C112="","","【服务】"&amp;IF(_xlfn.XLOOKUP(A112&amp;B112&amp;C112,盘货信息!$A:$A&amp;盘货信息!$B:$B&amp;盘货信息!$C:$C,盘货信息!$V:$V)="","",_xlfn.XLOOKUP(A112&amp;B112&amp;C112,盘货信息!$A:$A&amp;盘货信息!$B:$B&amp;盘货信息!$C:$C,盘货信息!$V:$V)&amp;"免息,")&amp;IF(_xlfn.XLOOKUP(A112&amp;B112&amp;C112,盘货信息!$A:$A&amp;盘货信息!$B:$B&amp;盘货信息!$C:$C,盘货信息!$W:$W)="","",_xlfn.XLOOKUP(A112&amp;B112&amp;C112,盘货信息!$A:$A&amp;盘货信息!$B:$B&amp;盘货信息!$C:$C,盘货信息!$W:$W)&amp;"，")&amp;"送货入户，退换免运费")</f>
        <v/>
      </c>
    </row>
    <row r="113" customHeight="1" spans="1:22">
      <c r="A113" s="17" t="str">
        <f>IF(盘货信息!A113="","",盘货信息!A113)</f>
        <v/>
      </c>
      <c r="B113" s="20" t="str">
        <f>IF(盘货信息!B113="","",盘货信息!B113)</f>
        <v/>
      </c>
      <c r="C113" s="18" t="str">
        <f>IF(盘货信息!C113="","",盘货信息!C113)</f>
        <v/>
      </c>
      <c r="D113" s="18" t="str">
        <f ca="1" t="shared" si="1"/>
        <v/>
      </c>
      <c r="E113" s="18" t="str">
        <f>IF(C113="","",固定信息!$B$2)</f>
        <v/>
      </c>
      <c r="F113" s="18" t="str">
        <f t="array" ref="F113">IF(C113="","","【"&amp;C113&amp;"】"&amp;_xlfn.XLOOKUP(A113&amp;B113&amp;C113,盘货信息!$A:$A&amp;盘货信息!$B:$B&amp;盘货信息!$C:$C,盘货信息!$D:$D))</f>
        <v/>
      </c>
      <c r="G113" s="18" t="str">
        <f>IF(C113="","","【"&amp;"活动时间："&amp;固定信息!$B$3&amp;"】")</f>
        <v/>
      </c>
      <c r="H113" s="18" t="str">
        <f>IF($C113="","",固定信息!$B$1)</f>
        <v/>
      </c>
      <c r="I113" s="18"/>
      <c r="J113" s="18" t="str">
        <f t="array" ref="J113">_xlfn.XLOOKUP(A113&amp;B113&amp;C113,价格信息!$A:$A&amp;价格信息!$B:$B&amp;价格信息!$C:$C,价格信息!$D:$D)</f>
        <v/>
      </c>
      <c r="K113" s="31" t="str">
        <f t="array" ref="K113">IF(_xlfn.XLOOKUP(A113&amp;B113&amp;C113,价格信息!$A:$A&amp;价格信息!$B:$B&amp;价格信息!$C:$C,价格信息!$I:$I)="","","【优惠券链接】"&amp;固定信息!$B$6)</f>
        <v/>
      </c>
      <c r="L113" s="31" t="str">
        <f>IF($C113="","",固定信息!$B$1)</f>
        <v/>
      </c>
      <c r="M113" s="18" t="str">
        <f t="array" ref="M113">IF(_xlfn.XLOOKUP(A113&amp;B113&amp;C113,盘货信息!$A:$A&amp;盘货信息!$B:$B&amp;盘货信息!$C:$C,盘货信息!$O:$O)="","","【优惠券】领"&amp;INDEX(_wpsfn.REGEXP(_xlfn.XLOOKUP(A113&amp;B113&amp;C113,盘货信息!$A:$A&amp;盘货信息!$B:$B&amp;盘货信息!$C:$C,盘货信息!$O:$O),"\d+"),1,1)&amp;"元优惠券下单更优惠，优惠卷："&amp;_xlfn.XLOOKUP(A113&amp;B113&amp;C113,盘货信息!$A:$A&amp;盘货信息!$B:$B&amp;盘货信息!$C:$C,盘货信息!$P:$P))</f>
        <v/>
      </c>
      <c r="N113" s="18" t="str">
        <f t="array" ref="N113">IF(AND(ISNUMBER(_xlfn.XLOOKUP(A113&amp;B113&amp;C113,盘货信息!$A:$A&amp;盘货信息!$B:$B&amp;盘货信息!$C:$C,盘货信息!$I:$I)),_xlfn.XLOOKUP(A113&amp;B113&amp;C113,盘货信息!$A:$A&amp;盘货信息!$B:$B&amp;盘货信息!$C:$C,盘货信息!$I:$I)&gt;1),"【88VIP】立减"&amp;_xlfn.XLOOKUP(A113&amp;B113&amp;C113,盘货信息!$A:$A&amp;盘货信息!$B:$B&amp;盘货信息!$C:$C,盘货信息!$I:$I)&amp;"元","")</f>
        <v/>
      </c>
      <c r="O113" s="18" t="str">
        <f t="array" ref="O113">IF(_xlfn.XLOOKUP(A113&amp;B113&amp;C113,盘货信息!$A:$A&amp;盘货信息!$B:$B&amp;盘货信息!$C:$C,盘货信息!$K:$K)="","",IF(AND(_xlfn.XLOOKUP(A113&amp;B113&amp;C113,盘货信息!$A:$A&amp;盘货信息!$B:$B&amp;盘货信息!$C:$C,盘货信息!$G:$G)="不参加",_xlfn.XLOOKUP(A113&amp;B113&amp;C113,盘货信息!$A:$A&amp;盘货信息!$B:$B&amp;盘货信息!$C:$C,盘货信息!$H:$H)=""),"【以旧换新】"&amp;_xlfn.XLOOKUP(A113&amp;B113&amp;C113,盘货信息!$A:$A&amp;盘货信息!$B:$B&amp;盘货信息!$C:$C,盘货信息!$K:$K)&amp;"元以旧换新补贴（可无旧机换新）",""))</f>
        <v/>
      </c>
      <c r="P113" s="18" t="str">
        <f t="array" ref="P113">_xlfn.XLOOKUP(A113&amp;B113&amp;C113,赠品!$A:$A&amp;赠品!$B:$B&amp;赠品!$C:$C,赠品!$D:$D)</f>
        <v/>
      </c>
      <c r="Q113" s="18" t="str">
        <f>IF($C113="","",IF(AND(M113="",N113="",P113=""),"",固定信息!$B$1))</f>
        <v/>
      </c>
      <c r="R113" s="18" t="str">
        <f t="array" ref="R113">IF(ISNUMBER(SEARCH("是",_xlfn.XLOOKUP(A113&amp;B113&amp;C113,盘货信息!$A:$A&amp;盘货信息!$B:$B&amp;盘货信息!$C:$C,盘货信息!$U:$U))),"【折扣】指定型号满2类享96折，满3类享94折","")</f>
        <v/>
      </c>
      <c r="S113" s="18" t="str">
        <f t="array" ref="S113">IF(_xlfn.XLOOKUP(A113&amp;B113&amp;C113,盘货信息!$A:$A&amp;盘货信息!$B:$B&amp;盘货信息!$C:$C,盘货信息!$Q:$Q)&lt;1,"","【红包】活动时间购机送"&amp;_xlfn.TEXTJOIN("",,IF(ISNUMBER(--MID(_xlfn.XLOOKUP(A113&amp;B113&amp;C113,盘货信息!$A:$A&amp;盘货信息!$B:$B&amp;盘货信息!$C:$C,盘货信息!$Q:$Q),_xlfn.SEQUENCE(LEN(_xlfn.XLOOKUP(A113&amp;B113&amp;C113,盘货信息!$A:$A&amp;盘货信息!$B:$B&amp;盘货信息!$C:$C,盘货信息!$Q:$Q))),1)),MID(_xlfn.XLOOKUP(A113&amp;B113&amp;C113,盘货信息!$A:$A&amp;盘货信息!$B:$B&amp;盘货信息!$C:$C,盘货信息!$Q:$Q),_xlfn.SEQUENCE(LEN(_xlfn.XLOOKUP(A113&amp;B113&amp;C113,盘货信息!$A:$A&amp;盘货信息!$B:$B&amp;盘货信息!$C:$C,盘货信息!$Q:$Q))),1),""))&amp;"元")</f>
        <v/>
      </c>
      <c r="T113" s="18" t="str">
        <f t="array" ref="T113">IF(ISNUMBER(SEARCH("是",_xlfn.XLOOKUP(A113&amp;B113&amp;C113,盘货信息!$A:$A&amp;盘货信息!$B:$B&amp;盘货信息!$C:$C,盘货信息!$T:$T))),"【瓜分】"&amp;固定信息!$B$7,"")</f>
        <v/>
      </c>
      <c r="U113" s="18" t="str">
        <f>IF($C113="","",IF(AND(R113="",S113="",T113=""),"",固定信息!$B$1))</f>
        <v/>
      </c>
      <c r="V113" s="18" t="str">
        <f t="array" ref="V113">IF(C113="","","【服务】"&amp;IF(_xlfn.XLOOKUP(A113&amp;B113&amp;C113,盘货信息!$A:$A&amp;盘货信息!$B:$B&amp;盘货信息!$C:$C,盘货信息!$V:$V)="","",_xlfn.XLOOKUP(A113&amp;B113&amp;C113,盘货信息!$A:$A&amp;盘货信息!$B:$B&amp;盘货信息!$C:$C,盘货信息!$V:$V)&amp;"免息,")&amp;IF(_xlfn.XLOOKUP(A113&amp;B113&amp;C113,盘货信息!$A:$A&amp;盘货信息!$B:$B&amp;盘货信息!$C:$C,盘货信息!$W:$W)="","",_xlfn.XLOOKUP(A113&amp;B113&amp;C113,盘货信息!$A:$A&amp;盘货信息!$B:$B&amp;盘货信息!$C:$C,盘货信息!$W:$W)&amp;"，")&amp;"送货入户，退换免运费")</f>
        <v/>
      </c>
    </row>
    <row r="114" customHeight="1" spans="1:22">
      <c r="A114" s="17" t="str">
        <f>IF(盘货信息!A114="","",盘货信息!A114)</f>
        <v/>
      </c>
      <c r="B114" s="20" t="str">
        <f>IF(盘货信息!B114="","",盘货信息!B114)</f>
        <v/>
      </c>
      <c r="C114" s="20" t="str">
        <f>IF(盘货信息!C114="","",盘货信息!C114)</f>
        <v/>
      </c>
      <c r="D114" s="18" t="str">
        <f ca="1" t="shared" si="1"/>
        <v/>
      </c>
      <c r="E114" s="18" t="str">
        <f>IF(C114="","",固定信息!$B$2)</f>
        <v/>
      </c>
      <c r="F114" s="18" t="str">
        <f t="array" ref="F114">IF(C114="","","【"&amp;C114&amp;"】"&amp;_xlfn.XLOOKUP(A114&amp;B114&amp;C114,盘货信息!$A:$A&amp;盘货信息!$B:$B&amp;盘货信息!$C:$C,盘货信息!$D:$D))</f>
        <v/>
      </c>
      <c r="G114" s="18" t="str">
        <f>IF(C114="","","【"&amp;"活动时间："&amp;固定信息!$B$3&amp;"】")</f>
        <v/>
      </c>
      <c r="H114" s="18" t="str">
        <f>IF($C114="","",固定信息!$B$1)</f>
        <v/>
      </c>
      <c r="I114" s="18"/>
      <c r="J114" s="18" t="str">
        <f t="array" ref="J114">_xlfn.XLOOKUP(A114&amp;B114&amp;C114,价格信息!$A:$A&amp;价格信息!$B:$B&amp;价格信息!$C:$C,价格信息!$D:$D)</f>
        <v/>
      </c>
      <c r="K114" s="31" t="str">
        <f t="array" ref="K114">IF(_xlfn.XLOOKUP(A114&amp;B114&amp;C114,价格信息!$A:$A&amp;价格信息!$B:$B&amp;价格信息!$C:$C,价格信息!$I:$I)="","","【优惠券链接】"&amp;固定信息!$B$6)</f>
        <v/>
      </c>
      <c r="L114" s="31" t="str">
        <f>IF($C114="","",固定信息!$B$1)</f>
        <v/>
      </c>
      <c r="M114" s="18" t="str">
        <f t="array" ref="M114">IF(_xlfn.XLOOKUP(A114&amp;B114&amp;C114,盘货信息!$A:$A&amp;盘货信息!$B:$B&amp;盘货信息!$C:$C,盘货信息!$O:$O)="","","【优惠券】领"&amp;INDEX(_wpsfn.REGEXP(_xlfn.XLOOKUP(A114&amp;B114&amp;C114,盘货信息!$A:$A&amp;盘货信息!$B:$B&amp;盘货信息!$C:$C,盘货信息!$O:$O),"\d+"),1,1)&amp;"元优惠券下单更优惠，优惠卷："&amp;_xlfn.XLOOKUP(A114&amp;B114&amp;C114,盘货信息!$A:$A&amp;盘货信息!$B:$B&amp;盘货信息!$C:$C,盘货信息!$P:$P))</f>
        <v/>
      </c>
      <c r="N114" s="18" t="str">
        <f t="array" ref="N114">IF(AND(ISNUMBER(_xlfn.XLOOKUP(A114&amp;B114&amp;C114,盘货信息!$A:$A&amp;盘货信息!$B:$B&amp;盘货信息!$C:$C,盘货信息!$I:$I)),_xlfn.XLOOKUP(A114&amp;B114&amp;C114,盘货信息!$A:$A&amp;盘货信息!$B:$B&amp;盘货信息!$C:$C,盘货信息!$I:$I)&gt;1),"【88VIP】立减"&amp;_xlfn.XLOOKUP(A114&amp;B114&amp;C114,盘货信息!$A:$A&amp;盘货信息!$B:$B&amp;盘货信息!$C:$C,盘货信息!$I:$I)&amp;"元","")</f>
        <v/>
      </c>
      <c r="O114" s="18" t="str">
        <f t="array" ref="O114">IF(_xlfn.XLOOKUP(A114&amp;B114&amp;C114,盘货信息!$A:$A&amp;盘货信息!$B:$B&amp;盘货信息!$C:$C,盘货信息!$K:$K)="","",IF(AND(_xlfn.XLOOKUP(A114&amp;B114&amp;C114,盘货信息!$A:$A&amp;盘货信息!$B:$B&amp;盘货信息!$C:$C,盘货信息!$G:$G)="不参加",_xlfn.XLOOKUP(A114&amp;B114&amp;C114,盘货信息!$A:$A&amp;盘货信息!$B:$B&amp;盘货信息!$C:$C,盘货信息!$H:$H)=""),"【以旧换新】"&amp;_xlfn.XLOOKUP(A114&amp;B114&amp;C114,盘货信息!$A:$A&amp;盘货信息!$B:$B&amp;盘货信息!$C:$C,盘货信息!$K:$K)&amp;"元以旧换新补贴（可无旧机换新）",""))</f>
        <v/>
      </c>
      <c r="P114" s="18" t="str">
        <f t="array" ref="P114">_xlfn.XLOOKUP(A114&amp;B114&amp;C114,赠品!$A:$A&amp;赠品!$B:$B&amp;赠品!$C:$C,赠品!$D:$D)</f>
        <v/>
      </c>
      <c r="Q114" s="18" t="str">
        <f>IF($C114="","",IF(AND(M114="",N114="",P114=""),"",固定信息!$B$1))</f>
        <v/>
      </c>
      <c r="R114" s="18" t="str">
        <f t="array" ref="R114">IF(ISNUMBER(SEARCH("是",_xlfn.XLOOKUP(A114&amp;B114&amp;C114,盘货信息!$A:$A&amp;盘货信息!$B:$B&amp;盘货信息!$C:$C,盘货信息!$U:$U))),"【折扣】指定型号满2类享96折，满3类享94折","")</f>
        <v/>
      </c>
      <c r="S114" s="18" t="str">
        <f t="array" ref="S114">IF(_xlfn.XLOOKUP(A114&amp;B114&amp;C114,盘货信息!$A:$A&amp;盘货信息!$B:$B&amp;盘货信息!$C:$C,盘货信息!$Q:$Q)&lt;1,"","【红包】活动时间购机送"&amp;_xlfn.TEXTJOIN("",,IF(ISNUMBER(--MID(_xlfn.XLOOKUP(A114&amp;B114&amp;C114,盘货信息!$A:$A&amp;盘货信息!$B:$B&amp;盘货信息!$C:$C,盘货信息!$Q:$Q),_xlfn.SEQUENCE(LEN(_xlfn.XLOOKUP(A114&amp;B114&amp;C114,盘货信息!$A:$A&amp;盘货信息!$B:$B&amp;盘货信息!$C:$C,盘货信息!$Q:$Q))),1)),MID(_xlfn.XLOOKUP(A114&amp;B114&amp;C114,盘货信息!$A:$A&amp;盘货信息!$B:$B&amp;盘货信息!$C:$C,盘货信息!$Q:$Q),_xlfn.SEQUENCE(LEN(_xlfn.XLOOKUP(A114&amp;B114&amp;C114,盘货信息!$A:$A&amp;盘货信息!$B:$B&amp;盘货信息!$C:$C,盘货信息!$Q:$Q))),1),""))&amp;"元")</f>
        <v/>
      </c>
      <c r="T114" s="18" t="str">
        <f t="array" ref="T114">IF(ISNUMBER(SEARCH("是",_xlfn.XLOOKUP(A114&amp;B114&amp;C114,盘货信息!$A:$A&amp;盘货信息!$B:$B&amp;盘货信息!$C:$C,盘货信息!$T:$T))),"【瓜分】"&amp;固定信息!$B$7,"")</f>
        <v/>
      </c>
      <c r="U114" s="18" t="str">
        <f>IF($C114="","",IF(AND(R114="",S114="",T114=""),"",固定信息!$B$1))</f>
        <v/>
      </c>
      <c r="V114" s="18" t="str">
        <f t="array" ref="V114">IF(C114="","","【服务】"&amp;IF(_xlfn.XLOOKUP(A114&amp;B114&amp;C114,盘货信息!$A:$A&amp;盘货信息!$B:$B&amp;盘货信息!$C:$C,盘货信息!$V:$V)="","",_xlfn.XLOOKUP(A114&amp;B114&amp;C114,盘货信息!$A:$A&amp;盘货信息!$B:$B&amp;盘货信息!$C:$C,盘货信息!$V:$V)&amp;"免息,")&amp;IF(_xlfn.XLOOKUP(A114&amp;B114&amp;C114,盘货信息!$A:$A&amp;盘货信息!$B:$B&amp;盘货信息!$C:$C,盘货信息!$W:$W)="","",_xlfn.XLOOKUP(A114&amp;B114&amp;C114,盘货信息!$A:$A&amp;盘货信息!$B:$B&amp;盘货信息!$C:$C,盘货信息!$W:$W)&amp;"，")&amp;"送货入户，退换免运费")</f>
        <v/>
      </c>
    </row>
    <row r="115" customHeight="1" spans="1:22">
      <c r="A115" s="17" t="str">
        <f>IF(盘货信息!A115="","",盘货信息!A115)</f>
        <v/>
      </c>
      <c r="B115" s="20" t="str">
        <f>IF(盘货信息!B115="","",盘货信息!B115)</f>
        <v/>
      </c>
      <c r="C115" s="20" t="str">
        <f>IF(盘货信息!C115="","",盘货信息!C115)</f>
        <v/>
      </c>
      <c r="D115" s="18" t="str">
        <f ca="1" t="shared" si="1"/>
        <v/>
      </c>
      <c r="E115" s="18" t="str">
        <f>IF(C115="","",固定信息!$B$2)</f>
        <v/>
      </c>
      <c r="F115" s="18" t="str">
        <f t="array" ref="F115">IF(C115="","","【"&amp;C115&amp;"】"&amp;_xlfn.XLOOKUP(A115&amp;B115&amp;C115,盘货信息!$A:$A&amp;盘货信息!$B:$B&amp;盘货信息!$C:$C,盘货信息!$D:$D))</f>
        <v/>
      </c>
      <c r="G115" s="18" t="str">
        <f>IF(C115="","","【"&amp;"活动时间："&amp;固定信息!$B$3&amp;"】")</f>
        <v/>
      </c>
      <c r="H115" s="18" t="str">
        <f>IF($C115="","",固定信息!$B$1)</f>
        <v/>
      </c>
      <c r="I115" s="18"/>
      <c r="J115" s="18" t="str">
        <f t="array" ref="J115">_xlfn.XLOOKUP(A115&amp;B115&amp;C115,价格信息!$A:$A&amp;价格信息!$B:$B&amp;价格信息!$C:$C,价格信息!$D:$D)</f>
        <v/>
      </c>
      <c r="K115" s="31" t="str">
        <f t="array" ref="K115">IF(_xlfn.XLOOKUP(A115&amp;B115&amp;C115,价格信息!$A:$A&amp;价格信息!$B:$B&amp;价格信息!$C:$C,价格信息!$I:$I)="","","【优惠券链接】"&amp;固定信息!$B$6)</f>
        <v/>
      </c>
      <c r="L115" s="31" t="str">
        <f>IF($C115="","",固定信息!$B$1)</f>
        <v/>
      </c>
      <c r="M115" s="18" t="str">
        <f t="array" ref="M115">IF(_xlfn.XLOOKUP(A115&amp;B115&amp;C115,盘货信息!$A:$A&amp;盘货信息!$B:$B&amp;盘货信息!$C:$C,盘货信息!$O:$O)="","","【优惠券】领"&amp;INDEX(_wpsfn.REGEXP(_xlfn.XLOOKUP(A115&amp;B115&amp;C115,盘货信息!$A:$A&amp;盘货信息!$B:$B&amp;盘货信息!$C:$C,盘货信息!$O:$O),"\d+"),1,1)&amp;"元优惠券下单更优惠，优惠卷："&amp;_xlfn.XLOOKUP(A115&amp;B115&amp;C115,盘货信息!$A:$A&amp;盘货信息!$B:$B&amp;盘货信息!$C:$C,盘货信息!$P:$P))</f>
        <v/>
      </c>
      <c r="N115" s="18" t="str">
        <f t="array" ref="N115">IF(AND(ISNUMBER(_xlfn.XLOOKUP(A115&amp;B115&amp;C115,盘货信息!$A:$A&amp;盘货信息!$B:$B&amp;盘货信息!$C:$C,盘货信息!$I:$I)),_xlfn.XLOOKUP(A115&amp;B115&amp;C115,盘货信息!$A:$A&amp;盘货信息!$B:$B&amp;盘货信息!$C:$C,盘货信息!$I:$I)&gt;1),"【88VIP】立减"&amp;_xlfn.XLOOKUP(A115&amp;B115&amp;C115,盘货信息!$A:$A&amp;盘货信息!$B:$B&amp;盘货信息!$C:$C,盘货信息!$I:$I)&amp;"元","")</f>
        <v/>
      </c>
      <c r="O115" s="18" t="str">
        <f t="array" ref="O115">IF(_xlfn.XLOOKUP(A115&amp;B115&amp;C115,盘货信息!$A:$A&amp;盘货信息!$B:$B&amp;盘货信息!$C:$C,盘货信息!$K:$K)="","",IF(AND(_xlfn.XLOOKUP(A115&amp;B115&amp;C115,盘货信息!$A:$A&amp;盘货信息!$B:$B&amp;盘货信息!$C:$C,盘货信息!$G:$G)="不参加",_xlfn.XLOOKUP(A115&amp;B115&amp;C115,盘货信息!$A:$A&amp;盘货信息!$B:$B&amp;盘货信息!$C:$C,盘货信息!$H:$H)=""),"【以旧换新】"&amp;_xlfn.XLOOKUP(A115&amp;B115&amp;C115,盘货信息!$A:$A&amp;盘货信息!$B:$B&amp;盘货信息!$C:$C,盘货信息!$K:$K)&amp;"元以旧换新补贴（可无旧机换新）",""))</f>
        <v/>
      </c>
      <c r="P115" s="18" t="str">
        <f t="array" ref="P115">_xlfn.XLOOKUP(A115&amp;B115&amp;C115,赠品!$A:$A&amp;赠品!$B:$B&amp;赠品!$C:$C,赠品!$D:$D)</f>
        <v/>
      </c>
      <c r="Q115" s="18" t="str">
        <f>IF($C115="","",IF(AND(M115="",N115="",P115=""),"",固定信息!$B$1))</f>
        <v/>
      </c>
      <c r="R115" s="18" t="str">
        <f t="array" ref="R115">IF(ISNUMBER(SEARCH("是",_xlfn.XLOOKUP(A115&amp;B115&amp;C115,盘货信息!$A:$A&amp;盘货信息!$B:$B&amp;盘货信息!$C:$C,盘货信息!$U:$U))),"【折扣】指定型号满2类享96折，满3类享94折","")</f>
        <v/>
      </c>
      <c r="S115" s="18" t="str">
        <f t="array" ref="S115">IF(_xlfn.XLOOKUP(A115&amp;B115&amp;C115,盘货信息!$A:$A&amp;盘货信息!$B:$B&amp;盘货信息!$C:$C,盘货信息!$Q:$Q)&lt;1,"","【红包】活动时间购机送"&amp;_xlfn.TEXTJOIN("",,IF(ISNUMBER(--MID(_xlfn.XLOOKUP(A115&amp;B115&amp;C115,盘货信息!$A:$A&amp;盘货信息!$B:$B&amp;盘货信息!$C:$C,盘货信息!$Q:$Q),_xlfn.SEQUENCE(LEN(_xlfn.XLOOKUP(A115&amp;B115&amp;C115,盘货信息!$A:$A&amp;盘货信息!$B:$B&amp;盘货信息!$C:$C,盘货信息!$Q:$Q))),1)),MID(_xlfn.XLOOKUP(A115&amp;B115&amp;C115,盘货信息!$A:$A&amp;盘货信息!$B:$B&amp;盘货信息!$C:$C,盘货信息!$Q:$Q),_xlfn.SEQUENCE(LEN(_xlfn.XLOOKUP(A115&amp;B115&amp;C115,盘货信息!$A:$A&amp;盘货信息!$B:$B&amp;盘货信息!$C:$C,盘货信息!$Q:$Q))),1),""))&amp;"元")</f>
        <v/>
      </c>
      <c r="T115" s="18" t="str">
        <f t="array" ref="T115">IF(ISNUMBER(SEARCH("是",_xlfn.XLOOKUP(A115&amp;B115&amp;C115,盘货信息!$A:$A&amp;盘货信息!$B:$B&amp;盘货信息!$C:$C,盘货信息!$T:$T))),"【瓜分】"&amp;固定信息!$B$7,"")</f>
        <v/>
      </c>
      <c r="U115" s="18" t="str">
        <f>IF($C115="","",IF(AND(R115="",S115="",T115=""),"",固定信息!$B$1))</f>
        <v/>
      </c>
      <c r="V115" s="18" t="str">
        <f t="array" ref="V115">IF(C115="","","【服务】"&amp;IF(_xlfn.XLOOKUP(A115&amp;B115&amp;C115,盘货信息!$A:$A&amp;盘货信息!$B:$B&amp;盘货信息!$C:$C,盘货信息!$V:$V)="","",_xlfn.XLOOKUP(A115&amp;B115&amp;C115,盘货信息!$A:$A&amp;盘货信息!$B:$B&amp;盘货信息!$C:$C,盘货信息!$V:$V)&amp;"免息,")&amp;IF(_xlfn.XLOOKUP(A115&amp;B115&amp;C115,盘货信息!$A:$A&amp;盘货信息!$B:$B&amp;盘货信息!$C:$C,盘货信息!$W:$W)="","",_xlfn.XLOOKUP(A115&amp;B115&amp;C115,盘货信息!$A:$A&amp;盘货信息!$B:$B&amp;盘货信息!$C:$C,盘货信息!$W:$W)&amp;"，")&amp;"送货入户，退换免运费")</f>
        <v/>
      </c>
    </row>
    <row r="116" customHeight="1" spans="1:22">
      <c r="A116" s="17" t="str">
        <f>IF(盘货信息!A116="","",盘货信息!A116)</f>
        <v/>
      </c>
      <c r="B116" s="20" t="str">
        <f>IF(盘货信息!B116="","",盘货信息!B116)</f>
        <v/>
      </c>
      <c r="C116" s="20" t="str">
        <f>IF(盘货信息!C116="","",盘货信息!C116)</f>
        <v/>
      </c>
      <c r="D116" s="18" t="str">
        <f ca="1" t="shared" si="1"/>
        <v/>
      </c>
      <c r="E116" s="18" t="str">
        <f>IF(C116="","",固定信息!$B$2)</f>
        <v/>
      </c>
      <c r="F116" s="18" t="str">
        <f t="array" ref="F116">IF(C116="","","【"&amp;C116&amp;"】"&amp;_xlfn.XLOOKUP(A116&amp;B116&amp;C116,盘货信息!$A:$A&amp;盘货信息!$B:$B&amp;盘货信息!$C:$C,盘货信息!$D:$D))</f>
        <v/>
      </c>
      <c r="G116" s="18" t="str">
        <f>IF(C116="","","【"&amp;"活动时间："&amp;固定信息!$B$3&amp;"】")</f>
        <v/>
      </c>
      <c r="H116" s="18" t="str">
        <f>IF($C116="","",固定信息!$B$1)</f>
        <v/>
      </c>
      <c r="I116" s="18"/>
      <c r="J116" s="18" t="str">
        <f t="array" ref="J116">_xlfn.XLOOKUP(A116&amp;B116&amp;C116,价格信息!$A:$A&amp;价格信息!$B:$B&amp;价格信息!$C:$C,价格信息!$D:$D)</f>
        <v/>
      </c>
      <c r="K116" s="31" t="str">
        <f t="array" ref="K116">IF(_xlfn.XLOOKUP(A116&amp;B116&amp;C116,价格信息!$A:$A&amp;价格信息!$B:$B&amp;价格信息!$C:$C,价格信息!$I:$I)="","","【优惠券链接】"&amp;固定信息!$B$6)</f>
        <v/>
      </c>
      <c r="L116" s="31" t="str">
        <f>IF($C116="","",固定信息!$B$1)</f>
        <v/>
      </c>
      <c r="M116" s="18" t="str">
        <f t="array" ref="M116">IF(_xlfn.XLOOKUP(A116&amp;B116&amp;C116,盘货信息!$A:$A&amp;盘货信息!$B:$B&amp;盘货信息!$C:$C,盘货信息!$O:$O)="","","【优惠券】领"&amp;INDEX(_wpsfn.REGEXP(_xlfn.XLOOKUP(A116&amp;B116&amp;C116,盘货信息!$A:$A&amp;盘货信息!$B:$B&amp;盘货信息!$C:$C,盘货信息!$O:$O),"\d+"),1,1)&amp;"元优惠券下单更优惠，优惠卷："&amp;_xlfn.XLOOKUP(A116&amp;B116&amp;C116,盘货信息!$A:$A&amp;盘货信息!$B:$B&amp;盘货信息!$C:$C,盘货信息!$P:$P))</f>
        <v/>
      </c>
      <c r="N116" s="18" t="str">
        <f t="array" ref="N116">IF(AND(ISNUMBER(_xlfn.XLOOKUP(A116&amp;B116&amp;C116,盘货信息!$A:$A&amp;盘货信息!$B:$B&amp;盘货信息!$C:$C,盘货信息!$I:$I)),_xlfn.XLOOKUP(A116&amp;B116&amp;C116,盘货信息!$A:$A&amp;盘货信息!$B:$B&amp;盘货信息!$C:$C,盘货信息!$I:$I)&gt;1),"【88VIP】立减"&amp;_xlfn.XLOOKUP(A116&amp;B116&amp;C116,盘货信息!$A:$A&amp;盘货信息!$B:$B&amp;盘货信息!$C:$C,盘货信息!$I:$I)&amp;"元","")</f>
        <v/>
      </c>
      <c r="O116" s="18" t="str">
        <f t="array" ref="O116">IF(_xlfn.XLOOKUP(A116&amp;B116&amp;C116,盘货信息!$A:$A&amp;盘货信息!$B:$B&amp;盘货信息!$C:$C,盘货信息!$K:$K)="","",IF(AND(_xlfn.XLOOKUP(A116&amp;B116&amp;C116,盘货信息!$A:$A&amp;盘货信息!$B:$B&amp;盘货信息!$C:$C,盘货信息!$G:$G)="不参加",_xlfn.XLOOKUP(A116&amp;B116&amp;C116,盘货信息!$A:$A&amp;盘货信息!$B:$B&amp;盘货信息!$C:$C,盘货信息!$H:$H)=""),"【以旧换新】"&amp;_xlfn.XLOOKUP(A116&amp;B116&amp;C116,盘货信息!$A:$A&amp;盘货信息!$B:$B&amp;盘货信息!$C:$C,盘货信息!$K:$K)&amp;"元以旧换新补贴（可无旧机换新）",""))</f>
        <v/>
      </c>
      <c r="P116" s="18" t="str">
        <f t="array" ref="P116">_xlfn.XLOOKUP(A116&amp;B116&amp;C116,赠品!$A:$A&amp;赠品!$B:$B&amp;赠品!$C:$C,赠品!$D:$D)</f>
        <v/>
      </c>
      <c r="Q116" s="18" t="str">
        <f>IF($C116="","",IF(AND(M116="",N116="",P116=""),"",固定信息!$B$1))</f>
        <v/>
      </c>
      <c r="R116" s="18" t="str">
        <f t="array" ref="R116">IF(ISNUMBER(SEARCH("是",_xlfn.XLOOKUP(A116&amp;B116&amp;C116,盘货信息!$A:$A&amp;盘货信息!$B:$B&amp;盘货信息!$C:$C,盘货信息!$U:$U))),"【折扣】指定型号满2类享96折，满3类享94折","")</f>
        <v/>
      </c>
      <c r="S116" s="18" t="str">
        <f t="array" ref="S116">IF(_xlfn.XLOOKUP(A116&amp;B116&amp;C116,盘货信息!$A:$A&amp;盘货信息!$B:$B&amp;盘货信息!$C:$C,盘货信息!$Q:$Q)&lt;1,"","【红包】活动时间购机送"&amp;_xlfn.TEXTJOIN("",,IF(ISNUMBER(--MID(_xlfn.XLOOKUP(A116&amp;B116&amp;C116,盘货信息!$A:$A&amp;盘货信息!$B:$B&amp;盘货信息!$C:$C,盘货信息!$Q:$Q),_xlfn.SEQUENCE(LEN(_xlfn.XLOOKUP(A116&amp;B116&amp;C116,盘货信息!$A:$A&amp;盘货信息!$B:$B&amp;盘货信息!$C:$C,盘货信息!$Q:$Q))),1)),MID(_xlfn.XLOOKUP(A116&amp;B116&amp;C116,盘货信息!$A:$A&amp;盘货信息!$B:$B&amp;盘货信息!$C:$C,盘货信息!$Q:$Q),_xlfn.SEQUENCE(LEN(_xlfn.XLOOKUP(A116&amp;B116&amp;C116,盘货信息!$A:$A&amp;盘货信息!$B:$B&amp;盘货信息!$C:$C,盘货信息!$Q:$Q))),1),""))&amp;"元")</f>
        <v/>
      </c>
      <c r="T116" s="18" t="str">
        <f t="array" ref="T116">IF(ISNUMBER(SEARCH("是",_xlfn.XLOOKUP(A116&amp;B116&amp;C116,盘货信息!$A:$A&amp;盘货信息!$B:$B&amp;盘货信息!$C:$C,盘货信息!$T:$T))),"【瓜分】"&amp;固定信息!$B$7,"")</f>
        <v/>
      </c>
      <c r="U116" s="18" t="str">
        <f>IF($C116="","",IF(AND(R116="",S116="",T116=""),"",固定信息!$B$1))</f>
        <v/>
      </c>
      <c r="V116" s="18" t="str">
        <f t="array" ref="V116">IF(C116="","","【服务】"&amp;IF(_xlfn.XLOOKUP(A116&amp;B116&amp;C116,盘货信息!$A:$A&amp;盘货信息!$B:$B&amp;盘货信息!$C:$C,盘货信息!$V:$V)="","",_xlfn.XLOOKUP(A116&amp;B116&amp;C116,盘货信息!$A:$A&amp;盘货信息!$B:$B&amp;盘货信息!$C:$C,盘货信息!$V:$V)&amp;"免息,")&amp;IF(_xlfn.XLOOKUP(A116&amp;B116&amp;C116,盘货信息!$A:$A&amp;盘货信息!$B:$B&amp;盘货信息!$C:$C,盘货信息!$W:$W)="","",_xlfn.XLOOKUP(A116&amp;B116&amp;C116,盘货信息!$A:$A&amp;盘货信息!$B:$B&amp;盘货信息!$C:$C,盘货信息!$W:$W)&amp;"，")&amp;"送货入户，退换免运费")</f>
        <v/>
      </c>
    </row>
    <row r="117" customHeight="1" spans="1:22">
      <c r="A117" s="17" t="str">
        <f>IF(盘货信息!A117="","",盘货信息!A117)</f>
        <v/>
      </c>
      <c r="B117" s="20" t="str">
        <f>IF(盘货信息!B117="","",盘货信息!B117)</f>
        <v/>
      </c>
      <c r="C117" s="21" t="str">
        <f>IF(盘货信息!C117="","",盘货信息!C117)</f>
        <v/>
      </c>
      <c r="D117" s="18" t="str">
        <f ca="1" t="shared" si="1"/>
        <v/>
      </c>
      <c r="E117" s="18" t="str">
        <f>IF(C117="","",固定信息!$B$2)</f>
        <v/>
      </c>
      <c r="F117" s="18" t="str">
        <f t="array" ref="F117">IF(C117="","","【"&amp;C117&amp;"】"&amp;_xlfn.XLOOKUP(A117&amp;B117&amp;C117,盘货信息!$A:$A&amp;盘货信息!$B:$B&amp;盘货信息!$C:$C,盘货信息!$D:$D))</f>
        <v/>
      </c>
      <c r="G117" s="18" t="str">
        <f>IF(C117="","","【"&amp;"活动时间："&amp;固定信息!$B$3&amp;"】")</f>
        <v/>
      </c>
      <c r="H117" s="18" t="str">
        <f>IF($C117="","",固定信息!$B$1)</f>
        <v/>
      </c>
      <c r="I117" s="18"/>
      <c r="J117" s="18" t="str">
        <f t="array" ref="J117">_xlfn.XLOOKUP(A117&amp;B117&amp;C117,价格信息!$A:$A&amp;价格信息!$B:$B&amp;价格信息!$C:$C,价格信息!$D:$D)</f>
        <v/>
      </c>
      <c r="K117" s="31" t="str">
        <f t="array" ref="K117">IF(_xlfn.XLOOKUP(A117&amp;B117&amp;C117,价格信息!$A:$A&amp;价格信息!$B:$B&amp;价格信息!$C:$C,价格信息!$I:$I)="","","【优惠券链接】"&amp;固定信息!$B$6)</f>
        <v/>
      </c>
      <c r="L117" s="31" t="str">
        <f>IF($C117="","",固定信息!$B$1)</f>
        <v/>
      </c>
      <c r="M117" s="18" t="str">
        <f t="array" ref="M117">IF(_xlfn.XLOOKUP(A117&amp;B117&amp;C117,盘货信息!$A:$A&amp;盘货信息!$B:$B&amp;盘货信息!$C:$C,盘货信息!$O:$O)="","","【优惠券】领"&amp;INDEX(_wpsfn.REGEXP(_xlfn.XLOOKUP(A117&amp;B117&amp;C117,盘货信息!$A:$A&amp;盘货信息!$B:$B&amp;盘货信息!$C:$C,盘货信息!$O:$O),"\d+"),1,1)&amp;"元优惠券下单更优惠，优惠卷："&amp;_xlfn.XLOOKUP(A117&amp;B117&amp;C117,盘货信息!$A:$A&amp;盘货信息!$B:$B&amp;盘货信息!$C:$C,盘货信息!$P:$P))</f>
        <v/>
      </c>
      <c r="N117" s="18" t="str">
        <f t="array" ref="N117">IF(AND(ISNUMBER(_xlfn.XLOOKUP(A117&amp;B117&amp;C117,盘货信息!$A:$A&amp;盘货信息!$B:$B&amp;盘货信息!$C:$C,盘货信息!$I:$I)),_xlfn.XLOOKUP(A117&amp;B117&amp;C117,盘货信息!$A:$A&amp;盘货信息!$B:$B&amp;盘货信息!$C:$C,盘货信息!$I:$I)&gt;1),"【88VIP】立减"&amp;_xlfn.XLOOKUP(A117&amp;B117&amp;C117,盘货信息!$A:$A&amp;盘货信息!$B:$B&amp;盘货信息!$C:$C,盘货信息!$I:$I)&amp;"元","")</f>
        <v/>
      </c>
      <c r="O117" s="18" t="str">
        <f t="array" ref="O117">IF(_xlfn.XLOOKUP(A117&amp;B117&amp;C117,盘货信息!$A:$A&amp;盘货信息!$B:$B&amp;盘货信息!$C:$C,盘货信息!$K:$K)="","",IF(AND(_xlfn.XLOOKUP(A117&amp;B117&amp;C117,盘货信息!$A:$A&amp;盘货信息!$B:$B&amp;盘货信息!$C:$C,盘货信息!$G:$G)="不参加",_xlfn.XLOOKUP(A117&amp;B117&amp;C117,盘货信息!$A:$A&amp;盘货信息!$B:$B&amp;盘货信息!$C:$C,盘货信息!$H:$H)=""),"【以旧换新】"&amp;_xlfn.XLOOKUP(A117&amp;B117&amp;C117,盘货信息!$A:$A&amp;盘货信息!$B:$B&amp;盘货信息!$C:$C,盘货信息!$K:$K)&amp;"元以旧换新补贴（可无旧机换新）",""))</f>
        <v/>
      </c>
      <c r="P117" s="18" t="str">
        <f t="array" ref="P117">_xlfn.XLOOKUP(A117&amp;B117&amp;C117,赠品!$A:$A&amp;赠品!$B:$B&amp;赠品!$C:$C,赠品!$D:$D)</f>
        <v/>
      </c>
      <c r="Q117" s="18" t="str">
        <f>IF($C117="","",IF(AND(M117="",N117="",P117=""),"",固定信息!$B$1))</f>
        <v/>
      </c>
      <c r="R117" s="18" t="str">
        <f t="array" ref="R117">IF(ISNUMBER(SEARCH("是",_xlfn.XLOOKUP(A117&amp;B117&amp;C117,盘货信息!$A:$A&amp;盘货信息!$B:$B&amp;盘货信息!$C:$C,盘货信息!$U:$U))),"【折扣】指定型号满2类享96折，满3类享94折","")</f>
        <v/>
      </c>
      <c r="S117" s="18" t="str">
        <f t="array" ref="S117">IF(_xlfn.XLOOKUP(A117&amp;B117&amp;C117,盘货信息!$A:$A&amp;盘货信息!$B:$B&amp;盘货信息!$C:$C,盘货信息!$Q:$Q)&lt;1,"","【红包】活动时间购机送"&amp;_xlfn.TEXTJOIN("",,IF(ISNUMBER(--MID(_xlfn.XLOOKUP(A117&amp;B117&amp;C117,盘货信息!$A:$A&amp;盘货信息!$B:$B&amp;盘货信息!$C:$C,盘货信息!$Q:$Q),_xlfn.SEQUENCE(LEN(_xlfn.XLOOKUP(A117&amp;B117&amp;C117,盘货信息!$A:$A&amp;盘货信息!$B:$B&amp;盘货信息!$C:$C,盘货信息!$Q:$Q))),1)),MID(_xlfn.XLOOKUP(A117&amp;B117&amp;C117,盘货信息!$A:$A&amp;盘货信息!$B:$B&amp;盘货信息!$C:$C,盘货信息!$Q:$Q),_xlfn.SEQUENCE(LEN(_xlfn.XLOOKUP(A117&amp;B117&amp;C117,盘货信息!$A:$A&amp;盘货信息!$B:$B&amp;盘货信息!$C:$C,盘货信息!$Q:$Q))),1),""))&amp;"元")</f>
        <v/>
      </c>
      <c r="T117" s="18" t="str">
        <f t="array" ref="T117">IF(ISNUMBER(SEARCH("是",_xlfn.XLOOKUP(A117&amp;B117&amp;C117,盘货信息!$A:$A&amp;盘货信息!$B:$B&amp;盘货信息!$C:$C,盘货信息!$T:$T))),"【瓜分】"&amp;固定信息!$B$7,"")</f>
        <v/>
      </c>
      <c r="U117" s="18" t="str">
        <f>IF($C117="","",IF(AND(R117="",S117="",T117=""),"",固定信息!$B$1))</f>
        <v/>
      </c>
      <c r="V117" s="18" t="str">
        <f t="array" ref="V117">IF(C117="","","【服务】"&amp;IF(_xlfn.XLOOKUP(A117&amp;B117&amp;C117,盘货信息!$A:$A&amp;盘货信息!$B:$B&amp;盘货信息!$C:$C,盘货信息!$V:$V)="","",_xlfn.XLOOKUP(A117&amp;B117&amp;C117,盘货信息!$A:$A&amp;盘货信息!$B:$B&amp;盘货信息!$C:$C,盘货信息!$V:$V)&amp;"免息,")&amp;IF(_xlfn.XLOOKUP(A117&amp;B117&amp;C117,盘货信息!$A:$A&amp;盘货信息!$B:$B&amp;盘货信息!$C:$C,盘货信息!$W:$W)="","",_xlfn.XLOOKUP(A117&amp;B117&amp;C117,盘货信息!$A:$A&amp;盘货信息!$B:$B&amp;盘货信息!$C:$C,盘货信息!$W:$W)&amp;"，")&amp;"送货入户，退换免运费")</f>
        <v/>
      </c>
    </row>
    <row r="118" customHeight="1" spans="1:22">
      <c r="A118" s="17" t="str">
        <f>IF(盘货信息!A118="","",盘货信息!A118)</f>
        <v/>
      </c>
      <c r="B118" s="20" t="str">
        <f>IF(盘货信息!B118="","",盘货信息!B118)</f>
        <v/>
      </c>
      <c r="C118" s="20" t="str">
        <f>IF(盘货信息!C118="","",盘货信息!C118)</f>
        <v/>
      </c>
      <c r="D118" s="18" t="str">
        <f ca="1" t="shared" si="1"/>
        <v/>
      </c>
      <c r="E118" s="18" t="str">
        <f>IF(C118="","",固定信息!$B$2)</f>
        <v/>
      </c>
      <c r="F118" s="18" t="str">
        <f t="array" ref="F118">IF(C118="","","【"&amp;C118&amp;"】"&amp;_xlfn.XLOOKUP(A118&amp;B118&amp;C118,盘货信息!$A:$A&amp;盘货信息!$B:$B&amp;盘货信息!$C:$C,盘货信息!$D:$D))</f>
        <v/>
      </c>
      <c r="G118" s="18" t="str">
        <f>IF(C118="","","【"&amp;"活动时间："&amp;固定信息!$B$3&amp;"】")</f>
        <v/>
      </c>
      <c r="H118" s="18" t="str">
        <f>IF($C118="","",固定信息!$B$1)</f>
        <v/>
      </c>
      <c r="I118" s="18"/>
      <c r="J118" s="18" t="str">
        <f t="array" ref="J118">_xlfn.XLOOKUP(A118&amp;B118&amp;C118,价格信息!$A:$A&amp;价格信息!$B:$B&amp;价格信息!$C:$C,价格信息!$D:$D)</f>
        <v/>
      </c>
      <c r="K118" s="31" t="str">
        <f t="array" ref="K118">IF(_xlfn.XLOOKUP(A118&amp;B118&amp;C118,价格信息!$A:$A&amp;价格信息!$B:$B&amp;价格信息!$C:$C,价格信息!$I:$I)="","","【优惠券链接】"&amp;固定信息!$B$6)</f>
        <v/>
      </c>
      <c r="L118" s="31" t="str">
        <f>IF($C118="","",固定信息!$B$1)</f>
        <v/>
      </c>
      <c r="M118" s="18" t="str">
        <f t="array" ref="M118">IF(_xlfn.XLOOKUP(A118&amp;B118&amp;C118,盘货信息!$A:$A&amp;盘货信息!$B:$B&amp;盘货信息!$C:$C,盘货信息!$O:$O)="","","【优惠券】领"&amp;INDEX(_wpsfn.REGEXP(_xlfn.XLOOKUP(A118&amp;B118&amp;C118,盘货信息!$A:$A&amp;盘货信息!$B:$B&amp;盘货信息!$C:$C,盘货信息!$O:$O),"\d+"),1,1)&amp;"元优惠券下单更优惠，优惠卷："&amp;_xlfn.XLOOKUP(A118&amp;B118&amp;C118,盘货信息!$A:$A&amp;盘货信息!$B:$B&amp;盘货信息!$C:$C,盘货信息!$P:$P))</f>
        <v/>
      </c>
      <c r="N118" s="18" t="str">
        <f t="array" ref="N118">IF(AND(ISNUMBER(_xlfn.XLOOKUP(A118&amp;B118&amp;C118,盘货信息!$A:$A&amp;盘货信息!$B:$B&amp;盘货信息!$C:$C,盘货信息!$I:$I)),_xlfn.XLOOKUP(A118&amp;B118&amp;C118,盘货信息!$A:$A&amp;盘货信息!$B:$B&amp;盘货信息!$C:$C,盘货信息!$I:$I)&gt;1),"【88VIP】立减"&amp;_xlfn.XLOOKUP(A118&amp;B118&amp;C118,盘货信息!$A:$A&amp;盘货信息!$B:$B&amp;盘货信息!$C:$C,盘货信息!$I:$I)&amp;"元","")</f>
        <v/>
      </c>
      <c r="O118" s="18" t="str">
        <f t="array" ref="O118">IF(_xlfn.XLOOKUP(A118&amp;B118&amp;C118,盘货信息!$A:$A&amp;盘货信息!$B:$B&amp;盘货信息!$C:$C,盘货信息!$K:$K)="","",IF(AND(_xlfn.XLOOKUP(A118&amp;B118&amp;C118,盘货信息!$A:$A&amp;盘货信息!$B:$B&amp;盘货信息!$C:$C,盘货信息!$G:$G)="不参加",_xlfn.XLOOKUP(A118&amp;B118&amp;C118,盘货信息!$A:$A&amp;盘货信息!$B:$B&amp;盘货信息!$C:$C,盘货信息!$H:$H)=""),"【以旧换新】"&amp;_xlfn.XLOOKUP(A118&amp;B118&amp;C118,盘货信息!$A:$A&amp;盘货信息!$B:$B&amp;盘货信息!$C:$C,盘货信息!$K:$K)&amp;"元以旧换新补贴（可无旧机换新）",""))</f>
        <v/>
      </c>
      <c r="P118" s="18" t="str">
        <f t="array" ref="P118">_xlfn.XLOOKUP(A118&amp;B118&amp;C118,赠品!$A:$A&amp;赠品!$B:$B&amp;赠品!$C:$C,赠品!$D:$D)</f>
        <v/>
      </c>
      <c r="Q118" s="18" t="str">
        <f>IF($C118="","",IF(AND(M118="",N118="",P118=""),"",固定信息!$B$1))</f>
        <v/>
      </c>
      <c r="R118" s="18" t="str">
        <f t="array" ref="R118">IF(ISNUMBER(SEARCH("是",_xlfn.XLOOKUP(A118&amp;B118&amp;C118,盘货信息!$A:$A&amp;盘货信息!$B:$B&amp;盘货信息!$C:$C,盘货信息!$U:$U))),"【折扣】指定型号满2类享96折，满3类享94折","")</f>
        <v/>
      </c>
      <c r="S118" s="18" t="str">
        <f t="array" ref="S118">IF(_xlfn.XLOOKUP(A118&amp;B118&amp;C118,盘货信息!$A:$A&amp;盘货信息!$B:$B&amp;盘货信息!$C:$C,盘货信息!$Q:$Q)&lt;1,"","【红包】活动时间购机送"&amp;_xlfn.TEXTJOIN("",,IF(ISNUMBER(--MID(_xlfn.XLOOKUP(A118&amp;B118&amp;C118,盘货信息!$A:$A&amp;盘货信息!$B:$B&amp;盘货信息!$C:$C,盘货信息!$Q:$Q),_xlfn.SEQUENCE(LEN(_xlfn.XLOOKUP(A118&amp;B118&amp;C118,盘货信息!$A:$A&amp;盘货信息!$B:$B&amp;盘货信息!$C:$C,盘货信息!$Q:$Q))),1)),MID(_xlfn.XLOOKUP(A118&amp;B118&amp;C118,盘货信息!$A:$A&amp;盘货信息!$B:$B&amp;盘货信息!$C:$C,盘货信息!$Q:$Q),_xlfn.SEQUENCE(LEN(_xlfn.XLOOKUP(A118&amp;B118&amp;C118,盘货信息!$A:$A&amp;盘货信息!$B:$B&amp;盘货信息!$C:$C,盘货信息!$Q:$Q))),1),""))&amp;"元")</f>
        <v/>
      </c>
      <c r="T118" s="18" t="str">
        <f t="array" ref="T118">IF(ISNUMBER(SEARCH("是",_xlfn.XLOOKUP(A118&amp;B118&amp;C118,盘货信息!$A:$A&amp;盘货信息!$B:$B&amp;盘货信息!$C:$C,盘货信息!$T:$T))),"【瓜分】"&amp;固定信息!$B$7,"")</f>
        <v/>
      </c>
      <c r="U118" s="18" t="str">
        <f>IF($C118="","",IF(AND(R118="",S118="",T118=""),"",固定信息!$B$1))</f>
        <v/>
      </c>
      <c r="V118" s="18" t="str">
        <f t="array" ref="V118">IF(C118="","","【服务】"&amp;IF(_xlfn.XLOOKUP(A118&amp;B118&amp;C118,盘货信息!$A:$A&amp;盘货信息!$B:$B&amp;盘货信息!$C:$C,盘货信息!$V:$V)="","",_xlfn.XLOOKUP(A118&amp;B118&amp;C118,盘货信息!$A:$A&amp;盘货信息!$B:$B&amp;盘货信息!$C:$C,盘货信息!$V:$V)&amp;"免息,")&amp;IF(_xlfn.XLOOKUP(A118&amp;B118&amp;C118,盘货信息!$A:$A&amp;盘货信息!$B:$B&amp;盘货信息!$C:$C,盘货信息!$W:$W)="","",_xlfn.XLOOKUP(A118&amp;B118&amp;C118,盘货信息!$A:$A&amp;盘货信息!$B:$B&amp;盘货信息!$C:$C,盘货信息!$W:$W)&amp;"，")&amp;"送货入户，退换免运费")</f>
        <v/>
      </c>
    </row>
    <row r="119" customHeight="1" spans="1:22">
      <c r="A119" s="17" t="str">
        <f>IF(盘货信息!A119="","",盘货信息!A119)</f>
        <v/>
      </c>
      <c r="B119" s="20" t="str">
        <f>IF(盘货信息!B119="","",盘货信息!B119)</f>
        <v/>
      </c>
      <c r="C119" s="20" t="str">
        <f>IF(盘货信息!C119="","",盘货信息!C119)</f>
        <v/>
      </c>
      <c r="D119" s="18" t="str">
        <f ca="1" t="shared" si="1"/>
        <v/>
      </c>
      <c r="E119" s="18" t="str">
        <f>IF(C119="","",固定信息!$B$2)</f>
        <v/>
      </c>
      <c r="F119" s="18" t="str">
        <f t="array" ref="F119">IF(C119="","","【"&amp;C119&amp;"】"&amp;_xlfn.XLOOKUP(A119&amp;B119&amp;C119,盘货信息!$A:$A&amp;盘货信息!$B:$B&amp;盘货信息!$C:$C,盘货信息!$D:$D))</f>
        <v/>
      </c>
      <c r="G119" s="18" t="str">
        <f>IF(C119="","","【"&amp;"活动时间："&amp;固定信息!$B$3&amp;"】")</f>
        <v/>
      </c>
      <c r="H119" s="18" t="str">
        <f>IF($C119="","",固定信息!$B$1)</f>
        <v/>
      </c>
      <c r="I119" s="18"/>
      <c r="J119" s="18" t="str">
        <f t="array" ref="J119">_xlfn.XLOOKUP(A119&amp;B119&amp;C119,价格信息!$A:$A&amp;价格信息!$B:$B&amp;价格信息!$C:$C,价格信息!$D:$D)</f>
        <v/>
      </c>
      <c r="K119" s="31" t="str">
        <f t="array" ref="K119">IF(_xlfn.XLOOKUP(A119&amp;B119&amp;C119,价格信息!$A:$A&amp;价格信息!$B:$B&amp;价格信息!$C:$C,价格信息!$I:$I)="","","【优惠券链接】"&amp;固定信息!$B$6)</f>
        <v/>
      </c>
      <c r="L119" s="31" t="str">
        <f>IF($C119="","",固定信息!$B$1)</f>
        <v/>
      </c>
      <c r="M119" s="18" t="str">
        <f t="array" ref="M119">IF(_xlfn.XLOOKUP(A119&amp;B119&amp;C119,盘货信息!$A:$A&amp;盘货信息!$B:$B&amp;盘货信息!$C:$C,盘货信息!$O:$O)="","","【优惠券】领"&amp;INDEX(_wpsfn.REGEXP(_xlfn.XLOOKUP(A119&amp;B119&amp;C119,盘货信息!$A:$A&amp;盘货信息!$B:$B&amp;盘货信息!$C:$C,盘货信息!$O:$O),"\d+"),1,1)&amp;"元优惠券下单更优惠，优惠卷："&amp;_xlfn.XLOOKUP(A119&amp;B119&amp;C119,盘货信息!$A:$A&amp;盘货信息!$B:$B&amp;盘货信息!$C:$C,盘货信息!$P:$P))</f>
        <v/>
      </c>
      <c r="N119" s="18" t="str">
        <f t="array" ref="N119">IF(AND(ISNUMBER(_xlfn.XLOOKUP(A119&amp;B119&amp;C119,盘货信息!$A:$A&amp;盘货信息!$B:$B&amp;盘货信息!$C:$C,盘货信息!$I:$I)),_xlfn.XLOOKUP(A119&amp;B119&amp;C119,盘货信息!$A:$A&amp;盘货信息!$B:$B&amp;盘货信息!$C:$C,盘货信息!$I:$I)&gt;1),"【88VIP】立减"&amp;_xlfn.XLOOKUP(A119&amp;B119&amp;C119,盘货信息!$A:$A&amp;盘货信息!$B:$B&amp;盘货信息!$C:$C,盘货信息!$I:$I)&amp;"元","")</f>
        <v/>
      </c>
      <c r="O119" s="18" t="str">
        <f t="array" ref="O119">IF(_xlfn.XLOOKUP(A119&amp;B119&amp;C119,盘货信息!$A:$A&amp;盘货信息!$B:$B&amp;盘货信息!$C:$C,盘货信息!$K:$K)="","",IF(AND(_xlfn.XLOOKUP(A119&amp;B119&amp;C119,盘货信息!$A:$A&amp;盘货信息!$B:$B&amp;盘货信息!$C:$C,盘货信息!$G:$G)="不参加",_xlfn.XLOOKUP(A119&amp;B119&amp;C119,盘货信息!$A:$A&amp;盘货信息!$B:$B&amp;盘货信息!$C:$C,盘货信息!$H:$H)=""),"【以旧换新】"&amp;_xlfn.XLOOKUP(A119&amp;B119&amp;C119,盘货信息!$A:$A&amp;盘货信息!$B:$B&amp;盘货信息!$C:$C,盘货信息!$K:$K)&amp;"元以旧换新补贴（可无旧机换新）",""))</f>
        <v/>
      </c>
      <c r="P119" s="18" t="str">
        <f t="array" ref="P119">_xlfn.XLOOKUP(A119&amp;B119&amp;C119,赠品!$A:$A&amp;赠品!$B:$B&amp;赠品!$C:$C,赠品!$D:$D)</f>
        <v/>
      </c>
      <c r="Q119" s="18" t="str">
        <f>IF($C119="","",IF(AND(M119="",N119="",P119=""),"",固定信息!$B$1))</f>
        <v/>
      </c>
      <c r="R119" s="18" t="str">
        <f t="array" ref="R119">IF(ISNUMBER(SEARCH("是",_xlfn.XLOOKUP(A119&amp;B119&amp;C119,盘货信息!$A:$A&amp;盘货信息!$B:$B&amp;盘货信息!$C:$C,盘货信息!$U:$U))),"【折扣】指定型号满2类享96折，满3类享94折","")</f>
        <v/>
      </c>
      <c r="S119" s="18" t="str">
        <f t="array" ref="S119">IF(_xlfn.XLOOKUP(A119&amp;B119&amp;C119,盘货信息!$A:$A&amp;盘货信息!$B:$B&amp;盘货信息!$C:$C,盘货信息!$Q:$Q)&lt;1,"","【红包】活动时间购机送"&amp;_xlfn.TEXTJOIN("",,IF(ISNUMBER(--MID(_xlfn.XLOOKUP(A119&amp;B119&amp;C119,盘货信息!$A:$A&amp;盘货信息!$B:$B&amp;盘货信息!$C:$C,盘货信息!$Q:$Q),_xlfn.SEQUENCE(LEN(_xlfn.XLOOKUP(A119&amp;B119&amp;C119,盘货信息!$A:$A&amp;盘货信息!$B:$B&amp;盘货信息!$C:$C,盘货信息!$Q:$Q))),1)),MID(_xlfn.XLOOKUP(A119&amp;B119&amp;C119,盘货信息!$A:$A&amp;盘货信息!$B:$B&amp;盘货信息!$C:$C,盘货信息!$Q:$Q),_xlfn.SEQUENCE(LEN(_xlfn.XLOOKUP(A119&amp;B119&amp;C119,盘货信息!$A:$A&amp;盘货信息!$B:$B&amp;盘货信息!$C:$C,盘货信息!$Q:$Q))),1),""))&amp;"元")</f>
        <v/>
      </c>
      <c r="T119" s="18" t="str">
        <f t="array" ref="T119">IF(ISNUMBER(SEARCH("是",_xlfn.XLOOKUP(A119&amp;B119&amp;C119,盘货信息!$A:$A&amp;盘货信息!$B:$B&amp;盘货信息!$C:$C,盘货信息!$T:$T))),"【瓜分】"&amp;固定信息!$B$7,"")</f>
        <v/>
      </c>
      <c r="U119" s="18" t="str">
        <f>IF($C119="","",IF(AND(R119="",S119="",T119=""),"",固定信息!$B$1))</f>
        <v/>
      </c>
      <c r="V119" s="18" t="str">
        <f t="array" ref="V119">IF(C119="","","【服务】"&amp;IF(_xlfn.XLOOKUP(A119&amp;B119&amp;C119,盘货信息!$A:$A&amp;盘货信息!$B:$B&amp;盘货信息!$C:$C,盘货信息!$V:$V)="","",_xlfn.XLOOKUP(A119&amp;B119&amp;C119,盘货信息!$A:$A&amp;盘货信息!$B:$B&amp;盘货信息!$C:$C,盘货信息!$V:$V)&amp;"免息,")&amp;IF(_xlfn.XLOOKUP(A119&amp;B119&amp;C119,盘货信息!$A:$A&amp;盘货信息!$B:$B&amp;盘货信息!$C:$C,盘货信息!$W:$W)="","",_xlfn.XLOOKUP(A119&amp;B119&amp;C119,盘货信息!$A:$A&amp;盘货信息!$B:$B&amp;盘货信息!$C:$C,盘货信息!$W:$W)&amp;"，")&amp;"送货入户，退换免运费")</f>
        <v/>
      </c>
    </row>
    <row r="120" customHeight="1" spans="1:22">
      <c r="A120" s="17" t="str">
        <f>IF(盘货信息!A120="","",盘货信息!A120)</f>
        <v/>
      </c>
      <c r="B120" s="20" t="str">
        <f>IF(盘货信息!B120="","",盘货信息!B120)</f>
        <v/>
      </c>
      <c r="C120" s="18" t="str">
        <f>IF(盘货信息!C120="","",盘货信息!C120)</f>
        <v/>
      </c>
      <c r="D120" s="18" t="str">
        <f ca="1" t="shared" si="1"/>
        <v/>
      </c>
      <c r="E120" s="18" t="str">
        <f>IF(C120="","",固定信息!$B$2)</f>
        <v/>
      </c>
      <c r="F120" s="18" t="str">
        <f t="array" ref="F120">IF(C120="","","【"&amp;C120&amp;"】"&amp;_xlfn.XLOOKUP(A120&amp;B120&amp;C120,盘货信息!$A:$A&amp;盘货信息!$B:$B&amp;盘货信息!$C:$C,盘货信息!$D:$D))</f>
        <v/>
      </c>
      <c r="G120" s="18" t="str">
        <f>IF(C120="","","【"&amp;"活动时间："&amp;固定信息!$B$3&amp;"】")</f>
        <v/>
      </c>
      <c r="H120" s="18" t="str">
        <f>IF($C120="","",固定信息!$B$1)</f>
        <v/>
      </c>
      <c r="I120" s="18"/>
      <c r="J120" s="18" t="str">
        <f t="array" ref="J120">_xlfn.XLOOKUP(A120&amp;B120&amp;C120,价格信息!$A:$A&amp;价格信息!$B:$B&amp;价格信息!$C:$C,价格信息!$D:$D)</f>
        <v/>
      </c>
      <c r="K120" s="31" t="str">
        <f t="array" ref="K120">IF(_xlfn.XLOOKUP(A120&amp;B120&amp;C120,价格信息!$A:$A&amp;价格信息!$B:$B&amp;价格信息!$C:$C,价格信息!$I:$I)="","","【优惠券链接】"&amp;固定信息!$B$6)</f>
        <v/>
      </c>
      <c r="L120" s="31" t="str">
        <f>IF($C120="","",固定信息!$B$1)</f>
        <v/>
      </c>
      <c r="M120" s="18" t="str">
        <f t="array" ref="M120">IF(_xlfn.XLOOKUP(A120&amp;B120&amp;C120,盘货信息!$A:$A&amp;盘货信息!$B:$B&amp;盘货信息!$C:$C,盘货信息!$O:$O)="","","【优惠券】领"&amp;INDEX(_wpsfn.REGEXP(_xlfn.XLOOKUP(A120&amp;B120&amp;C120,盘货信息!$A:$A&amp;盘货信息!$B:$B&amp;盘货信息!$C:$C,盘货信息!$O:$O),"\d+"),1,1)&amp;"元优惠券下单更优惠，优惠卷："&amp;_xlfn.XLOOKUP(A120&amp;B120&amp;C120,盘货信息!$A:$A&amp;盘货信息!$B:$B&amp;盘货信息!$C:$C,盘货信息!$P:$P))</f>
        <v/>
      </c>
      <c r="N120" s="18" t="str">
        <f t="array" ref="N120">IF(AND(ISNUMBER(_xlfn.XLOOKUP(A120&amp;B120&amp;C120,盘货信息!$A:$A&amp;盘货信息!$B:$B&amp;盘货信息!$C:$C,盘货信息!$I:$I)),_xlfn.XLOOKUP(A120&amp;B120&amp;C120,盘货信息!$A:$A&amp;盘货信息!$B:$B&amp;盘货信息!$C:$C,盘货信息!$I:$I)&gt;1),"【88VIP】立减"&amp;_xlfn.XLOOKUP(A120&amp;B120&amp;C120,盘货信息!$A:$A&amp;盘货信息!$B:$B&amp;盘货信息!$C:$C,盘货信息!$I:$I)&amp;"元","")</f>
        <v/>
      </c>
      <c r="O120" s="18" t="str">
        <f t="array" ref="O120">IF(_xlfn.XLOOKUP(A120&amp;B120&amp;C120,盘货信息!$A:$A&amp;盘货信息!$B:$B&amp;盘货信息!$C:$C,盘货信息!$K:$K)="","",IF(AND(_xlfn.XLOOKUP(A120&amp;B120&amp;C120,盘货信息!$A:$A&amp;盘货信息!$B:$B&amp;盘货信息!$C:$C,盘货信息!$G:$G)="不参加",_xlfn.XLOOKUP(A120&amp;B120&amp;C120,盘货信息!$A:$A&amp;盘货信息!$B:$B&amp;盘货信息!$C:$C,盘货信息!$H:$H)=""),"【以旧换新】"&amp;_xlfn.XLOOKUP(A120&amp;B120&amp;C120,盘货信息!$A:$A&amp;盘货信息!$B:$B&amp;盘货信息!$C:$C,盘货信息!$K:$K)&amp;"元以旧换新补贴（可无旧机换新）",""))</f>
        <v/>
      </c>
      <c r="P120" s="18" t="str">
        <f t="array" ref="P120">_xlfn.XLOOKUP(A120&amp;B120&amp;C120,赠品!$A:$A&amp;赠品!$B:$B&amp;赠品!$C:$C,赠品!$D:$D)</f>
        <v/>
      </c>
      <c r="Q120" s="18" t="str">
        <f>IF($C120="","",IF(AND(M120="",N120="",P120=""),"",固定信息!$B$1))</f>
        <v/>
      </c>
      <c r="R120" s="18" t="str">
        <f t="array" ref="R120">IF(ISNUMBER(SEARCH("是",_xlfn.XLOOKUP(A120&amp;B120&amp;C120,盘货信息!$A:$A&amp;盘货信息!$B:$B&amp;盘货信息!$C:$C,盘货信息!$U:$U))),"【折扣】指定型号满2类享96折，满3类享94折","")</f>
        <v/>
      </c>
      <c r="S120" s="18" t="str">
        <f t="array" ref="S120">IF(_xlfn.XLOOKUP(A120&amp;B120&amp;C120,盘货信息!$A:$A&amp;盘货信息!$B:$B&amp;盘货信息!$C:$C,盘货信息!$Q:$Q)&lt;1,"","【红包】活动时间购机送"&amp;_xlfn.TEXTJOIN("",,IF(ISNUMBER(--MID(_xlfn.XLOOKUP(A120&amp;B120&amp;C120,盘货信息!$A:$A&amp;盘货信息!$B:$B&amp;盘货信息!$C:$C,盘货信息!$Q:$Q),_xlfn.SEQUENCE(LEN(_xlfn.XLOOKUP(A120&amp;B120&amp;C120,盘货信息!$A:$A&amp;盘货信息!$B:$B&amp;盘货信息!$C:$C,盘货信息!$Q:$Q))),1)),MID(_xlfn.XLOOKUP(A120&amp;B120&amp;C120,盘货信息!$A:$A&amp;盘货信息!$B:$B&amp;盘货信息!$C:$C,盘货信息!$Q:$Q),_xlfn.SEQUENCE(LEN(_xlfn.XLOOKUP(A120&amp;B120&amp;C120,盘货信息!$A:$A&amp;盘货信息!$B:$B&amp;盘货信息!$C:$C,盘货信息!$Q:$Q))),1),""))&amp;"元")</f>
        <v/>
      </c>
      <c r="T120" s="18" t="str">
        <f t="array" ref="T120">IF(ISNUMBER(SEARCH("是",_xlfn.XLOOKUP(A120&amp;B120&amp;C120,盘货信息!$A:$A&amp;盘货信息!$B:$B&amp;盘货信息!$C:$C,盘货信息!$T:$T))),"【瓜分】"&amp;固定信息!$B$7,"")</f>
        <v/>
      </c>
      <c r="U120" s="18" t="str">
        <f>IF($C120="","",IF(AND(R120="",S120="",T120=""),"",固定信息!$B$1))</f>
        <v/>
      </c>
      <c r="V120" s="18" t="str">
        <f t="array" ref="V120">IF(C120="","","【服务】"&amp;IF(_xlfn.XLOOKUP(A120&amp;B120&amp;C120,盘货信息!$A:$A&amp;盘货信息!$B:$B&amp;盘货信息!$C:$C,盘货信息!$V:$V)="","",_xlfn.XLOOKUP(A120&amp;B120&amp;C120,盘货信息!$A:$A&amp;盘货信息!$B:$B&amp;盘货信息!$C:$C,盘货信息!$V:$V)&amp;"免息,")&amp;IF(_xlfn.XLOOKUP(A120&amp;B120&amp;C120,盘货信息!$A:$A&amp;盘货信息!$B:$B&amp;盘货信息!$C:$C,盘货信息!$W:$W)="","",_xlfn.XLOOKUP(A120&amp;B120&amp;C120,盘货信息!$A:$A&amp;盘货信息!$B:$B&amp;盘货信息!$C:$C,盘货信息!$W:$W)&amp;"，")&amp;"送货入户，退换免运费")</f>
        <v/>
      </c>
    </row>
    <row r="121" customHeight="1" spans="1:22">
      <c r="A121" s="17" t="str">
        <f>IF(盘货信息!A121="","",盘货信息!A121)</f>
        <v/>
      </c>
      <c r="B121" s="20" t="str">
        <f>IF(盘货信息!B121="","",盘货信息!B121)</f>
        <v/>
      </c>
      <c r="C121" s="18" t="str">
        <f>IF(盘货信息!C121="","",盘货信息!C121)</f>
        <v/>
      </c>
      <c r="D121" s="18" t="str">
        <f ca="1" t="shared" si="1"/>
        <v/>
      </c>
      <c r="E121" s="18" t="str">
        <f>IF(C121="","",固定信息!$B$2)</f>
        <v/>
      </c>
      <c r="F121" s="18" t="str">
        <f t="array" ref="F121">IF(C121="","","【"&amp;C121&amp;"】"&amp;_xlfn.XLOOKUP(A121&amp;B121&amp;C121,盘货信息!$A:$A&amp;盘货信息!$B:$B&amp;盘货信息!$C:$C,盘货信息!$D:$D))</f>
        <v/>
      </c>
      <c r="G121" s="18" t="str">
        <f>IF(C121="","","【"&amp;"活动时间："&amp;固定信息!$B$3&amp;"】")</f>
        <v/>
      </c>
      <c r="H121" s="18" t="str">
        <f>IF($C121="","",固定信息!$B$1)</f>
        <v/>
      </c>
      <c r="I121" s="18"/>
      <c r="J121" s="18" t="str">
        <f t="array" ref="J121">_xlfn.XLOOKUP(A121&amp;B121&amp;C121,价格信息!$A:$A&amp;价格信息!$B:$B&amp;价格信息!$C:$C,价格信息!$D:$D)</f>
        <v/>
      </c>
      <c r="K121" s="31" t="str">
        <f t="array" ref="K121">IF(_xlfn.XLOOKUP(A121&amp;B121&amp;C121,价格信息!$A:$A&amp;价格信息!$B:$B&amp;价格信息!$C:$C,价格信息!$I:$I)="","","【优惠券链接】"&amp;固定信息!$B$6)</f>
        <v/>
      </c>
      <c r="L121" s="31" t="str">
        <f>IF($C121="","",固定信息!$B$1)</f>
        <v/>
      </c>
      <c r="M121" s="18" t="str">
        <f t="array" ref="M121">IF(_xlfn.XLOOKUP(A121&amp;B121&amp;C121,盘货信息!$A:$A&amp;盘货信息!$B:$B&amp;盘货信息!$C:$C,盘货信息!$O:$O)="","","【优惠券】领"&amp;INDEX(_wpsfn.REGEXP(_xlfn.XLOOKUP(A121&amp;B121&amp;C121,盘货信息!$A:$A&amp;盘货信息!$B:$B&amp;盘货信息!$C:$C,盘货信息!$O:$O),"\d+"),1,1)&amp;"元优惠券下单更优惠，优惠卷："&amp;_xlfn.XLOOKUP(A121&amp;B121&amp;C121,盘货信息!$A:$A&amp;盘货信息!$B:$B&amp;盘货信息!$C:$C,盘货信息!$P:$P))</f>
        <v/>
      </c>
      <c r="N121" s="18" t="str">
        <f t="array" ref="N121">IF(AND(ISNUMBER(_xlfn.XLOOKUP(A121&amp;B121&amp;C121,盘货信息!$A:$A&amp;盘货信息!$B:$B&amp;盘货信息!$C:$C,盘货信息!$I:$I)),_xlfn.XLOOKUP(A121&amp;B121&amp;C121,盘货信息!$A:$A&amp;盘货信息!$B:$B&amp;盘货信息!$C:$C,盘货信息!$I:$I)&gt;1),"【88VIP】立减"&amp;_xlfn.XLOOKUP(A121&amp;B121&amp;C121,盘货信息!$A:$A&amp;盘货信息!$B:$B&amp;盘货信息!$C:$C,盘货信息!$I:$I)&amp;"元","")</f>
        <v/>
      </c>
      <c r="O121" s="18" t="str">
        <f t="array" ref="O121">IF(_xlfn.XLOOKUP(A121&amp;B121&amp;C121,盘货信息!$A:$A&amp;盘货信息!$B:$B&amp;盘货信息!$C:$C,盘货信息!$K:$K)="","",IF(AND(_xlfn.XLOOKUP(A121&amp;B121&amp;C121,盘货信息!$A:$A&amp;盘货信息!$B:$B&amp;盘货信息!$C:$C,盘货信息!$G:$G)="不参加",_xlfn.XLOOKUP(A121&amp;B121&amp;C121,盘货信息!$A:$A&amp;盘货信息!$B:$B&amp;盘货信息!$C:$C,盘货信息!$H:$H)=""),"【以旧换新】"&amp;_xlfn.XLOOKUP(A121&amp;B121&amp;C121,盘货信息!$A:$A&amp;盘货信息!$B:$B&amp;盘货信息!$C:$C,盘货信息!$K:$K)&amp;"元以旧换新补贴（可无旧机换新）",""))</f>
        <v/>
      </c>
      <c r="P121" s="18" t="str">
        <f t="array" ref="P121">_xlfn.XLOOKUP(A121&amp;B121&amp;C121,赠品!$A:$A&amp;赠品!$B:$B&amp;赠品!$C:$C,赠品!$D:$D)</f>
        <v/>
      </c>
      <c r="Q121" s="18" t="str">
        <f>IF($C121="","",IF(AND(M121="",N121="",P121=""),"",固定信息!$B$1))</f>
        <v/>
      </c>
      <c r="R121" s="18" t="str">
        <f t="array" ref="R121">IF(ISNUMBER(SEARCH("是",_xlfn.XLOOKUP(A121&amp;B121&amp;C121,盘货信息!$A:$A&amp;盘货信息!$B:$B&amp;盘货信息!$C:$C,盘货信息!$U:$U))),"【折扣】指定型号满2类享96折，满3类享94折","")</f>
        <v/>
      </c>
      <c r="S121" s="18" t="str">
        <f t="array" ref="S121">IF(_xlfn.XLOOKUP(A121&amp;B121&amp;C121,盘货信息!$A:$A&amp;盘货信息!$B:$B&amp;盘货信息!$C:$C,盘货信息!$Q:$Q)&lt;1,"","【红包】活动时间购机送"&amp;_xlfn.TEXTJOIN("",,IF(ISNUMBER(--MID(_xlfn.XLOOKUP(A121&amp;B121&amp;C121,盘货信息!$A:$A&amp;盘货信息!$B:$B&amp;盘货信息!$C:$C,盘货信息!$Q:$Q),_xlfn.SEQUENCE(LEN(_xlfn.XLOOKUP(A121&amp;B121&amp;C121,盘货信息!$A:$A&amp;盘货信息!$B:$B&amp;盘货信息!$C:$C,盘货信息!$Q:$Q))),1)),MID(_xlfn.XLOOKUP(A121&amp;B121&amp;C121,盘货信息!$A:$A&amp;盘货信息!$B:$B&amp;盘货信息!$C:$C,盘货信息!$Q:$Q),_xlfn.SEQUENCE(LEN(_xlfn.XLOOKUP(A121&amp;B121&amp;C121,盘货信息!$A:$A&amp;盘货信息!$B:$B&amp;盘货信息!$C:$C,盘货信息!$Q:$Q))),1),""))&amp;"元")</f>
        <v/>
      </c>
      <c r="T121" s="18" t="str">
        <f t="array" ref="T121">IF(ISNUMBER(SEARCH("是",_xlfn.XLOOKUP(A121&amp;B121&amp;C121,盘货信息!$A:$A&amp;盘货信息!$B:$B&amp;盘货信息!$C:$C,盘货信息!$T:$T))),"【瓜分】"&amp;固定信息!$B$7,"")</f>
        <v/>
      </c>
      <c r="U121" s="18" t="str">
        <f>IF($C121="","",IF(AND(R121="",S121="",T121=""),"",固定信息!$B$1))</f>
        <v/>
      </c>
      <c r="V121" s="18" t="str">
        <f t="array" ref="V121">IF(C121="","","【服务】"&amp;IF(_xlfn.XLOOKUP(A121&amp;B121&amp;C121,盘货信息!$A:$A&amp;盘货信息!$B:$B&amp;盘货信息!$C:$C,盘货信息!$V:$V)="","",_xlfn.XLOOKUP(A121&amp;B121&amp;C121,盘货信息!$A:$A&amp;盘货信息!$B:$B&amp;盘货信息!$C:$C,盘货信息!$V:$V)&amp;"免息,")&amp;IF(_xlfn.XLOOKUP(A121&amp;B121&amp;C121,盘货信息!$A:$A&amp;盘货信息!$B:$B&amp;盘货信息!$C:$C,盘货信息!$W:$W)="","",_xlfn.XLOOKUP(A121&amp;B121&amp;C121,盘货信息!$A:$A&amp;盘货信息!$B:$B&amp;盘货信息!$C:$C,盘货信息!$W:$W)&amp;"，")&amp;"送货入户，退换免运费")</f>
        <v/>
      </c>
    </row>
    <row r="122" customHeight="1" spans="1:22">
      <c r="A122" s="17" t="str">
        <f>IF(盘货信息!A122="","",盘货信息!A122)</f>
        <v/>
      </c>
      <c r="B122" s="20" t="str">
        <f>IF(盘货信息!B122="","",盘货信息!B122)</f>
        <v/>
      </c>
      <c r="C122" s="18" t="str">
        <f>IF(盘货信息!C122="","",盘货信息!C122)</f>
        <v/>
      </c>
      <c r="D122" s="18" t="str">
        <f ca="1" t="shared" si="1"/>
        <v/>
      </c>
      <c r="E122" s="18" t="str">
        <f>IF(C122="","",固定信息!$B$2)</f>
        <v/>
      </c>
      <c r="F122" s="18" t="str">
        <f t="array" ref="F122">IF(C122="","","【"&amp;C122&amp;"】"&amp;_xlfn.XLOOKUP(A122&amp;B122&amp;C122,盘货信息!$A:$A&amp;盘货信息!$B:$B&amp;盘货信息!$C:$C,盘货信息!$D:$D))</f>
        <v/>
      </c>
      <c r="G122" s="18" t="str">
        <f>IF(C122="","","【"&amp;"活动时间："&amp;固定信息!$B$3&amp;"】")</f>
        <v/>
      </c>
      <c r="H122" s="18" t="str">
        <f>IF($C122="","",固定信息!$B$1)</f>
        <v/>
      </c>
      <c r="I122" s="18"/>
      <c r="J122" s="18" t="str">
        <f t="array" ref="J122">_xlfn.XLOOKUP(A122&amp;B122&amp;C122,价格信息!$A:$A&amp;价格信息!$B:$B&amp;价格信息!$C:$C,价格信息!$D:$D)</f>
        <v/>
      </c>
      <c r="K122" s="31" t="str">
        <f t="array" ref="K122">IF(_xlfn.XLOOKUP(A122&amp;B122&amp;C122,价格信息!$A:$A&amp;价格信息!$B:$B&amp;价格信息!$C:$C,价格信息!$I:$I)="","","【优惠券链接】"&amp;固定信息!$B$6)</f>
        <v/>
      </c>
      <c r="L122" s="31" t="str">
        <f>IF($C122="","",固定信息!$B$1)</f>
        <v/>
      </c>
      <c r="M122" s="18" t="str">
        <f t="array" ref="M122">IF(_xlfn.XLOOKUP(A122&amp;B122&amp;C122,盘货信息!$A:$A&amp;盘货信息!$B:$B&amp;盘货信息!$C:$C,盘货信息!$O:$O)="","","【优惠券】领"&amp;INDEX(_wpsfn.REGEXP(_xlfn.XLOOKUP(A122&amp;B122&amp;C122,盘货信息!$A:$A&amp;盘货信息!$B:$B&amp;盘货信息!$C:$C,盘货信息!$O:$O),"\d+"),1,1)&amp;"元优惠券下单更优惠，优惠卷："&amp;_xlfn.XLOOKUP(A122&amp;B122&amp;C122,盘货信息!$A:$A&amp;盘货信息!$B:$B&amp;盘货信息!$C:$C,盘货信息!$P:$P))</f>
        <v/>
      </c>
      <c r="N122" s="18" t="str">
        <f t="array" ref="N122">IF(AND(ISNUMBER(_xlfn.XLOOKUP(A122&amp;B122&amp;C122,盘货信息!$A:$A&amp;盘货信息!$B:$B&amp;盘货信息!$C:$C,盘货信息!$I:$I)),_xlfn.XLOOKUP(A122&amp;B122&amp;C122,盘货信息!$A:$A&amp;盘货信息!$B:$B&amp;盘货信息!$C:$C,盘货信息!$I:$I)&gt;1),"【88VIP】立减"&amp;_xlfn.XLOOKUP(A122&amp;B122&amp;C122,盘货信息!$A:$A&amp;盘货信息!$B:$B&amp;盘货信息!$C:$C,盘货信息!$I:$I)&amp;"元","")</f>
        <v/>
      </c>
      <c r="O122" s="18" t="str">
        <f t="array" ref="O122">IF(_xlfn.XLOOKUP(A122&amp;B122&amp;C122,盘货信息!$A:$A&amp;盘货信息!$B:$B&amp;盘货信息!$C:$C,盘货信息!$K:$K)="","",IF(AND(_xlfn.XLOOKUP(A122&amp;B122&amp;C122,盘货信息!$A:$A&amp;盘货信息!$B:$B&amp;盘货信息!$C:$C,盘货信息!$G:$G)="不参加",_xlfn.XLOOKUP(A122&amp;B122&amp;C122,盘货信息!$A:$A&amp;盘货信息!$B:$B&amp;盘货信息!$C:$C,盘货信息!$H:$H)=""),"【以旧换新】"&amp;_xlfn.XLOOKUP(A122&amp;B122&amp;C122,盘货信息!$A:$A&amp;盘货信息!$B:$B&amp;盘货信息!$C:$C,盘货信息!$K:$K)&amp;"元以旧换新补贴（可无旧机换新）",""))</f>
        <v/>
      </c>
      <c r="P122" s="18" t="str">
        <f t="array" ref="P122">_xlfn.XLOOKUP(A122&amp;B122&amp;C122,赠品!$A:$A&amp;赠品!$B:$B&amp;赠品!$C:$C,赠品!$D:$D)</f>
        <v/>
      </c>
      <c r="Q122" s="18" t="str">
        <f>IF($C122="","",IF(AND(M122="",N122="",P122=""),"",固定信息!$B$1))</f>
        <v/>
      </c>
      <c r="R122" s="18" t="str">
        <f t="array" ref="R122">IF(ISNUMBER(SEARCH("是",_xlfn.XLOOKUP(A122&amp;B122&amp;C122,盘货信息!$A:$A&amp;盘货信息!$B:$B&amp;盘货信息!$C:$C,盘货信息!$U:$U))),"【折扣】指定型号满2类享96折，满3类享94折","")</f>
        <v/>
      </c>
      <c r="S122" s="18" t="str">
        <f t="array" ref="S122">IF(_xlfn.XLOOKUP(A122&amp;B122&amp;C122,盘货信息!$A:$A&amp;盘货信息!$B:$B&amp;盘货信息!$C:$C,盘货信息!$Q:$Q)&lt;1,"","【红包】活动时间购机送"&amp;_xlfn.TEXTJOIN("",,IF(ISNUMBER(--MID(_xlfn.XLOOKUP(A122&amp;B122&amp;C122,盘货信息!$A:$A&amp;盘货信息!$B:$B&amp;盘货信息!$C:$C,盘货信息!$Q:$Q),_xlfn.SEQUENCE(LEN(_xlfn.XLOOKUP(A122&amp;B122&amp;C122,盘货信息!$A:$A&amp;盘货信息!$B:$B&amp;盘货信息!$C:$C,盘货信息!$Q:$Q))),1)),MID(_xlfn.XLOOKUP(A122&amp;B122&amp;C122,盘货信息!$A:$A&amp;盘货信息!$B:$B&amp;盘货信息!$C:$C,盘货信息!$Q:$Q),_xlfn.SEQUENCE(LEN(_xlfn.XLOOKUP(A122&amp;B122&amp;C122,盘货信息!$A:$A&amp;盘货信息!$B:$B&amp;盘货信息!$C:$C,盘货信息!$Q:$Q))),1),""))&amp;"元")</f>
        <v/>
      </c>
      <c r="T122" s="18" t="str">
        <f t="array" ref="T122">IF(ISNUMBER(SEARCH("是",_xlfn.XLOOKUP(A122&amp;B122&amp;C122,盘货信息!$A:$A&amp;盘货信息!$B:$B&amp;盘货信息!$C:$C,盘货信息!$T:$T))),"【瓜分】"&amp;固定信息!$B$7,"")</f>
        <v/>
      </c>
      <c r="U122" s="18" t="str">
        <f>IF($C122="","",IF(AND(R122="",S122="",T122=""),"",固定信息!$B$1))</f>
        <v/>
      </c>
      <c r="V122" s="18" t="str">
        <f t="array" ref="V122">IF(C122="","","【服务】"&amp;IF(_xlfn.XLOOKUP(A122&amp;B122&amp;C122,盘货信息!$A:$A&amp;盘货信息!$B:$B&amp;盘货信息!$C:$C,盘货信息!$V:$V)="","",_xlfn.XLOOKUP(A122&amp;B122&amp;C122,盘货信息!$A:$A&amp;盘货信息!$B:$B&amp;盘货信息!$C:$C,盘货信息!$V:$V)&amp;"免息,")&amp;IF(_xlfn.XLOOKUP(A122&amp;B122&amp;C122,盘货信息!$A:$A&amp;盘货信息!$B:$B&amp;盘货信息!$C:$C,盘货信息!$W:$W)="","",_xlfn.XLOOKUP(A122&amp;B122&amp;C122,盘货信息!$A:$A&amp;盘货信息!$B:$B&amp;盘货信息!$C:$C,盘货信息!$W:$W)&amp;"，")&amp;"送货入户，退换免运费")</f>
        <v/>
      </c>
    </row>
    <row r="123" customHeight="1" spans="1:22">
      <c r="A123" s="17" t="str">
        <f>IF(盘货信息!A123="","",盘货信息!A123)</f>
        <v/>
      </c>
      <c r="B123" s="20" t="str">
        <f>IF(盘货信息!B123="","",盘货信息!B123)</f>
        <v/>
      </c>
      <c r="C123" s="18" t="str">
        <f>IF(盘货信息!C123="","",盘货信息!C123)</f>
        <v/>
      </c>
      <c r="D123" s="18" t="str">
        <f ca="1" t="shared" si="1"/>
        <v/>
      </c>
      <c r="E123" s="18" t="str">
        <f>IF(C123="","",固定信息!$B$2)</f>
        <v/>
      </c>
      <c r="F123" s="18" t="str">
        <f t="array" ref="F123">IF(C123="","","【"&amp;C123&amp;"】"&amp;_xlfn.XLOOKUP(A123&amp;B123&amp;C123,盘货信息!$A:$A&amp;盘货信息!$B:$B&amp;盘货信息!$C:$C,盘货信息!$D:$D))</f>
        <v/>
      </c>
      <c r="G123" s="18" t="str">
        <f>IF(C123="","","【"&amp;"活动时间："&amp;固定信息!$B$3&amp;"】")</f>
        <v/>
      </c>
      <c r="H123" s="18" t="str">
        <f>IF($C123="","",固定信息!$B$1)</f>
        <v/>
      </c>
      <c r="I123" s="18"/>
      <c r="J123" s="18" t="str">
        <f t="array" ref="J123">_xlfn.XLOOKUP(A123&amp;B123&amp;C123,价格信息!$A:$A&amp;价格信息!$B:$B&amp;价格信息!$C:$C,价格信息!$D:$D)</f>
        <v/>
      </c>
      <c r="K123" s="31" t="str">
        <f t="array" ref="K123">IF(_xlfn.XLOOKUP(A123&amp;B123&amp;C123,价格信息!$A:$A&amp;价格信息!$B:$B&amp;价格信息!$C:$C,价格信息!$I:$I)="","","【优惠券链接】"&amp;固定信息!$B$6)</f>
        <v/>
      </c>
      <c r="L123" s="31" t="str">
        <f>IF($C123="","",固定信息!$B$1)</f>
        <v/>
      </c>
      <c r="M123" s="18" t="str">
        <f t="array" ref="M123">IF(_xlfn.XLOOKUP(A123&amp;B123&amp;C123,盘货信息!$A:$A&amp;盘货信息!$B:$B&amp;盘货信息!$C:$C,盘货信息!$O:$O)="","","【优惠券】领"&amp;INDEX(_wpsfn.REGEXP(_xlfn.XLOOKUP(A123&amp;B123&amp;C123,盘货信息!$A:$A&amp;盘货信息!$B:$B&amp;盘货信息!$C:$C,盘货信息!$O:$O),"\d+"),1,1)&amp;"元优惠券下单更优惠，优惠卷："&amp;_xlfn.XLOOKUP(A123&amp;B123&amp;C123,盘货信息!$A:$A&amp;盘货信息!$B:$B&amp;盘货信息!$C:$C,盘货信息!$P:$P))</f>
        <v/>
      </c>
      <c r="N123" s="18" t="str">
        <f t="array" ref="N123">IF(AND(ISNUMBER(_xlfn.XLOOKUP(A123&amp;B123&amp;C123,盘货信息!$A:$A&amp;盘货信息!$B:$B&amp;盘货信息!$C:$C,盘货信息!$I:$I)),_xlfn.XLOOKUP(A123&amp;B123&amp;C123,盘货信息!$A:$A&amp;盘货信息!$B:$B&amp;盘货信息!$C:$C,盘货信息!$I:$I)&gt;1),"【88VIP】立减"&amp;_xlfn.XLOOKUP(A123&amp;B123&amp;C123,盘货信息!$A:$A&amp;盘货信息!$B:$B&amp;盘货信息!$C:$C,盘货信息!$I:$I)&amp;"元","")</f>
        <v/>
      </c>
      <c r="O123" s="18" t="str">
        <f t="array" ref="O123">IF(_xlfn.XLOOKUP(A123&amp;B123&amp;C123,盘货信息!$A:$A&amp;盘货信息!$B:$B&amp;盘货信息!$C:$C,盘货信息!$K:$K)="","",IF(AND(_xlfn.XLOOKUP(A123&amp;B123&amp;C123,盘货信息!$A:$A&amp;盘货信息!$B:$B&amp;盘货信息!$C:$C,盘货信息!$G:$G)="不参加",_xlfn.XLOOKUP(A123&amp;B123&amp;C123,盘货信息!$A:$A&amp;盘货信息!$B:$B&amp;盘货信息!$C:$C,盘货信息!$H:$H)=""),"【以旧换新】"&amp;_xlfn.XLOOKUP(A123&amp;B123&amp;C123,盘货信息!$A:$A&amp;盘货信息!$B:$B&amp;盘货信息!$C:$C,盘货信息!$K:$K)&amp;"元以旧换新补贴（可无旧机换新）",""))</f>
        <v/>
      </c>
      <c r="P123" s="18" t="str">
        <f t="array" ref="P123">_xlfn.XLOOKUP(A123&amp;B123&amp;C123,赠品!$A:$A&amp;赠品!$B:$B&amp;赠品!$C:$C,赠品!$D:$D)</f>
        <v/>
      </c>
      <c r="Q123" s="18" t="str">
        <f>IF($C123="","",IF(AND(M123="",N123="",P123=""),"",固定信息!$B$1))</f>
        <v/>
      </c>
      <c r="R123" s="18" t="str">
        <f t="array" ref="R123">IF(ISNUMBER(SEARCH("是",_xlfn.XLOOKUP(A123&amp;B123&amp;C123,盘货信息!$A:$A&amp;盘货信息!$B:$B&amp;盘货信息!$C:$C,盘货信息!$U:$U))),"【折扣】指定型号满2类享96折，满3类享94折","")</f>
        <v/>
      </c>
      <c r="S123" s="18" t="str">
        <f t="array" ref="S123">IF(_xlfn.XLOOKUP(A123&amp;B123&amp;C123,盘货信息!$A:$A&amp;盘货信息!$B:$B&amp;盘货信息!$C:$C,盘货信息!$Q:$Q)&lt;1,"","【红包】活动时间购机送"&amp;_xlfn.TEXTJOIN("",,IF(ISNUMBER(--MID(_xlfn.XLOOKUP(A123&amp;B123&amp;C123,盘货信息!$A:$A&amp;盘货信息!$B:$B&amp;盘货信息!$C:$C,盘货信息!$Q:$Q),_xlfn.SEQUENCE(LEN(_xlfn.XLOOKUP(A123&amp;B123&amp;C123,盘货信息!$A:$A&amp;盘货信息!$B:$B&amp;盘货信息!$C:$C,盘货信息!$Q:$Q))),1)),MID(_xlfn.XLOOKUP(A123&amp;B123&amp;C123,盘货信息!$A:$A&amp;盘货信息!$B:$B&amp;盘货信息!$C:$C,盘货信息!$Q:$Q),_xlfn.SEQUENCE(LEN(_xlfn.XLOOKUP(A123&amp;B123&amp;C123,盘货信息!$A:$A&amp;盘货信息!$B:$B&amp;盘货信息!$C:$C,盘货信息!$Q:$Q))),1),""))&amp;"元")</f>
        <v/>
      </c>
      <c r="T123" s="18" t="str">
        <f t="array" ref="T123">IF(ISNUMBER(SEARCH("是",_xlfn.XLOOKUP(A123&amp;B123&amp;C123,盘货信息!$A:$A&amp;盘货信息!$B:$B&amp;盘货信息!$C:$C,盘货信息!$T:$T))),"【瓜分】"&amp;固定信息!$B$7,"")</f>
        <v/>
      </c>
      <c r="U123" s="18" t="str">
        <f>IF($C123="","",IF(AND(R123="",S123="",T123=""),"",固定信息!$B$1))</f>
        <v/>
      </c>
      <c r="V123" s="18" t="str">
        <f t="array" ref="V123">IF(C123="","","【服务】"&amp;IF(_xlfn.XLOOKUP(A123&amp;B123&amp;C123,盘货信息!$A:$A&amp;盘货信息!$B:$B&amp;盘货信息!$C:$C,盘货信息!$V:$V)="","",_xlfn.XLOOKUP(A123&amp;B123&amp;C123,盘货信息!$A:$A&amp;盘货信息!$B:$B&amp;盘货信息!$C:$C,盘货信息!$V:$V)&amp;"免息,")&amp;IF(_xlfn.XLOOKUP(A123&amp;B123&amp;C123,盘货信息!$A:$A&amp;盘货信息!$B:$B&amp;盘货信息!$C:$C,盘货信息!$W:$W)="","",_xlfn.XLOOKUP(A123&amp;B123&amp;C123,盘货信息!$A:$A&amp;盘货信息!$B:$B&amp;盘货信息!$C:$C,盘货信息!$W:$W)&amp;"，")&amp;"送货入户，退换免运费")</f>
        <v/>
      </c>
    </row>
    <row r="124" customHeight="1" spans="1:22">
      <c r="A124" s="17" t="str">
        <f>IF(盘货信息!A124="","",盘货信息!A124)</f>
        <v/>
      </c>
      <c r="B124" s="20" t="str">
        <f>IF(盘货信息!B124="","",盘货信息!B124)</f>
        <v/>
      </c>
      <c r="C124" s="20" t="str">
        <f>IF(盘货信息!C124="","",盘货信息!C124)</f>
        <v/>
      </c>
      <c r="D124" s="18" t="str">
        <f ca="1" t="shared" si="1"/>
        <v/>
      </c>
      <c r="E124" s="18" t="str">
        <f>IF(C124="","",固定信息!$B$2)</f>
        <v/>
      </c>
      <c r="F124" s="18" t="str">
        <f t="array" ref="F124">IF(C124="","","【"&amp;C124&amp;"】"&amp;_xlfn.XLOOKUP(A124&amp;B124&amp;C124,盘货信息!$A:$A&amp;盘货信息!$B:$B&amp;盘货信息!$C:$C,盘货信息!$D:$D))</f>
        <v/>
      </c>
      <c r="G124" s="18" t="str">
        <f>IF(C124="","","【"&amp;"活动时间："&amp;固定信息!$B$3&amp;"】")</f>
        <v/>
      </c>
      <c r="H124" s="18" t="str">
        <f>IF($C124="","",固定信息!$B$1)</f>
        <v/>
      </c>
      <c r="I124" s="18"/>
      <c r="J124" s="18" t="str">
        <f t="array" ref="J124">_xlfn.XLOOKUP(A124&amp;B124&amp;C124,价格信息!$A:$A&amp;价格信息!$B:$B&amp;价格信息!$C:$C,价格信息!$D:$D)</f>
        <v/>
      </c>
      <c r="K124" s="31" t="str">
        <f t="array" ref="K124">IF(_xlfn.XLOOKUP(A124&amp;B124&amp;C124,价格信息!$A:$A&amp;价格信息!$B:$B&amp;价格信息!$C:$C,价格信息!$I:$I)="","","【优惠券链接】"&amp;固定信息!$B$6)</f>
        <v/>
      </c>
      <c r="L124" s="31" t="str">
        <f>IF($C124="","",固定信息!$B$1)</f>
        <v/>
      </c>
      <c r="M124" s="18" t="str">
        <f t="array" ref="M124">IF(_xlfn.XLOOKUP(A124&amp;B124&amp;C124,盘货信息!$A:$A&amp;盘货信息!$B:$B&amp;盘货信息!$C:$C,盘货信息!$O:$O)="","","【优惠券】领"&amp;INDEX(_wpsfn.REGEXP(_xlfn.XLOOKUP(A124&amp;B124&amp;C124,盘货信息!$A:$A&amp;盘货信息!$B:$B&amp;盘货信息!$C:$C,盘货信息!$O:$O),"\d+"),1,1)&amp;"元优惠券下单更优惠，优惠卷："&amp;_xlfn.XLOOKUP(A124&amp;B124&amp;C124,盘货信息!$A:$A&amp;盘货信息!$B:$B&amp;盘货信息!$C:$C,盘货信息!$P:$P))</f>
        <v/>
      </c>
      <c r="N124" s="18" t="str">
        <f t="array" ref="N124">IF(AND(ISNUMBER(_xlfn.XLOOKUP(A124&amp;B124&amp;C124,盘货信息!$A:$A&amp;盘货信息!$B:$B&amp;盘货信息!$C:$C,盘货信息!$I:$I)),_xlfn.XLOOKUP(A124&amp;B124&amp;C124,盘货信息!$A:$A&amp;盘货信息!$B:$B&amp;盘货信息!$C:$C,盘货信息!$I:$I)&gt;1),"【88VIP】立减"&amp;_xlfn.XLOOKUP(A124&amp;B124&amp;C124,盘货信息!$A:$A&amp;盘货信息!$B:$B&amp;盘货信息!$C:$C,盘货信息!$I:$I)&amp;"元","")</f>
        <v/>
      </c>
      <c r="O124" s="18" t="str">
        <f t="array" ref="O124">IF(_xlfn.XLOOKUP(A124&amp;B124&amp;C124,盘货信息!$A:$A&amp;盘货信息!$B:$B&amp;盘货信息!$C:$C,盘货信息!$K:$K)="","",IF(AND(_xlfn.XLOOKUP(A124&amp;B124&amp;C124,盘货信息!$A:$A&amp;盘货信息!$B:$B&amp;盘货信息!$C:$C,盘货信息!$G:$G)="不参加",_xlfn.XLOOKUP(A124&amp;B124&amp;C124,盘货信息!$A:$A&amp;盘货信息!$B:$B&amp;盘货信息!$C:$C,盘货信息!$H:$H)=""),"【以旧换新】"&amp;_xlfn.XLOOKUP(A124&amp;B124&amp;C124,盘货信息!$A:$A&amp;盘货信息!$B:$B&amp;盘货信息!$C:$C,盘货信息!$K:$K)&amp;"元以旧换新补贴（可无旧机换新）",""))</f>
        <v/>
      </c>
      <c r="P124" s="18" t="str">
        <f t="array" ref="P124">_xlfn.XLOOKUP(A124&amp;B124&amp;C124,赠品!$A:$A&amp;赠品!$B:$B&amp;赠品!$C:$C,赠品!$D:$D)</f>
        <v/>
      </c>
      <c r="Q124" s="18" t="str">
        <f>IF($C124="","",IF(AND(M124="",N124="",P124=""),"",固定信息!$B$1))</f>
        <v/>
      </c>
      <c r="R124" s="18" t="str">
        <f t="array" ref="R124">IF(ISNUMBER(SEARCH("是",_xlfn.XLOOKUP(A124&amp;B124&amp;C124,盘货信息!$A:$A&amp;盘货信息!$B:$B&amp;盘货信息!$C:$C,盘货信息!$U:$U))),"【折扣】指定型号满2类享96折，满3类享94折","")</f>
        <v/>
      </c>
      <c r="S124" s="18" t="str">
        <f t="array" ref="S124">IF(_xlfn.XLOOKUP(A124&amp;B124&amp;C124,盘货信息!$A:$A&amp;盘货信息!$B:$B&amp;盘货信息!$C:$C,盘货信息!$Q:$Q)&lt;1,"","【红包】活动时间购机送"&amp;_xlfn.TEXTJOIN("",,IF(ISNUMBER(--MID(_xlfn.XLOOKUP(A124&amp;B124&amp;C124,盘货信息!$A:$A&amp;盘货信息!$B:$B&amp;盘货信息!$C:$C,盘货信息!$Q:$Q),_xlfn.SEQUENCE(LEN(_xlfn.XLOOKUP(A124&amp;B124&amp;C124,盘货信息!$A:$A&amp;盘货信息!$B:$B&amp;盘货信息!$C:$C,盘货信息!$Q:$Q))),1)),MID(_xlfn.XLOOKUP(A124&amp;B124&amp;C124,盘货信息!$A:$A&amp;盘货信息!$B:$B&amp;盘货信息!$C:$C,盘货信息!$Q:$Q),_xlfn.SEQUENCE(LEN(_xlfn.XLOOKUP(A124&amp;B124&amp;C124,盘货信息!$A:$A&amp;盘货信息!$B:$B&amp;盘货信息!$C:$C,盘货信息!$Q:$Q))),1),""))&amp;"元")</f>
        <v/>
      </c>
      <c r="T124" s="18" t="str">
        <f t="array" ref="T124">IF(ISNUMBER(SEARCH("是",_xlfn.XLOOKUP(A124&amp;B124&amp;C124,盘货信息!$A:$A&amp;盘货信息!$B:$B&amp;盘货信息!$C:$C,盘货信息!$T:$T))),"【瓜分】"&amp;固定信息!$B$7,"")</f>
        <v/>
      </c>
      <c r="U124" s="18" t="str">
        <f>IF($C124="","",IF(AND(R124="",S124="",T124=""),"",固定信息!$B$1))</f>
        <v/>
      </c>
      <c r="V124" s="18" t="str">
        <f t="array" ref="V124">IF(C124="","","【服务】"&amp;IF(_xlfn.XLOOKUP(A124&amp;B124&amp;C124,盘货信息!$A:$A&amp;盘货信息!$B:$B&amp;盘货信息!$C:$C,盘货信息!$V:$V)="","",_xlfn.XLOOKUP(A124&amp;B124&amp;C124,盘货信息!$A:$A&amp;盘货信息!$B:$B&amp;盘货信息!$C:$C,盘货信息!$V:$V)&amp;"免息,")&amp;IF(_xlfn.XLOOKUP(A124&amp;B124&amp;C124,盘货信息!$A:$A&amp;盘货信息!$B:$B&amp;盘货信息!$C:$C,盘货信息!$W:$W)="","",_xlfn.XLOOKUP(A124&amp;B124&amp;C124,盘货信息!$A:$A&amp;盘货信息!$B:$B&amp;盘货信息!$C:$C,盘货信息!$W:$W)&amp;"，")&amp;"送货入户，退换免运费")</f>
        <v/>
      </c>
    </row>
    <row r="125" customHeight="1" spans="1:22">
      <c r="A125" s="17" t="str">
        <f>IF(盘货信息!A125="","",盘货信息!A125)</f>
        <v/>
      </c>
      <c r="B125" s="20" t="str">
        <f>IF(盘货信息!B125="","",盘货信息!B125)</f>
        <v/>
      </c>
      <c r="C125" s="20" t="str">
        <f>IF(盘货信息!C125="","",盘货信息!C125)</f>
        <v/>
      </c>
      <c r="D125" s="18" t="str">
        <f ca="1" t="shared" si="1"/>
        <v/>
      </c>
      <c r="E125" s="18" t="str">
        <f>IF(C125="","",固定信息!$B$2)</f>
        <v/>
      </c>
      <c r="F125" s="18" t="str">
        <f t="array" ref="F125">IF(C125="","","【"&amp;C125&amp;"】"&amp;_xlfn.XLOOKUP(A125&amp;B125&amp;C125,盘货信息!$A:$A&amp;盘货信息!$B:$B&amp;盘货信息!$C:$C,盘货信息!$D:$D))</f>
        <v/>
      </c>
      <c r="G125" s="18" t="str">
        <f>IF(C125="","","【"&amp;"活动时间："&amp;固定信息!$B$3&amp;"】")</f>
        <v/>
      </c>
      <c r="H125" s="18" t="str">
        <f>IF($C125="","",固定信息!$B$1)</f>
        <v/>
      </c>
      <c r="I125" s="18"/>
      <c r="J125" s="18" t="str">
        <f t="array" ref="J125">_xlfn.XLOOKUP(A125&amp;B125&amp;C125,价格信息!$A:$A&amp;价格信息!$B:$B&amp;价格信息!$C:$C,价格信息!$D:$D)</f>
        <v/>
      </c>
      <c r="K125" s="31" t="str">
        <f t="array" ref="K125">IF(_xlfn.XLOOKUP(A125&amp;B125&amp;C125,价格信息!$A:$A&amp;价格信息!$B:$B&amp;价格信息!$C:$C,价格信息!$I:$I)="","","【优惠券链接】"&amp;固定信息!$B$6)</f>
        <v/>
      </c>
      <c r="L125" s="31" t="str">
        <f>IF($C125="","",固定信息!$B$1)</f>
        <v/>
      </c>
      <c r="M125" s="18" t="str">
        <f t="array" ref="M125">IF(_xlfn.XLOOKUP(A125&amp;B125&amp;C125,盘货信息!$A:$A&amp;盘货信息!$B:$B&amp;盘货信息!$C:$C,盘货信息!$O:$O)="","","【优惠券】领"&amp;INDEX(_wpsfn.REGEXP(_xlfn.XLOOKUP(A125&amp;B125&amp;C125,盘货信息!$A:$A&amp;盘货信息!$B:$B&amp;盘货信息!$C:$C,盘货信息!$O:$O),"\d+"),1,1)&amp;"元优惠券下单更优惠，优惠卷："&amp;_xlfn.XLOOKUP(A125&amp;B125&amp;C125,盘货信息!$A:$A&amp;盘货信息!$B:$B&amp;盘货信息!$C:$C,盘货信息!$P:$P))</f>
        <v/>
      </c>
      <c r="N125" s="18" t="str">
        <f t="array" ref="N125">IF(AND(ISNUMBER(_xlfn.XLOOKUP(A125&amp;B125&amp;C125,盘货信息!$A:$A&amp;盘货信息!$B:$B&amp;盘货信息!$C:$C,盘货信息!$I:$I)),_xlfn.XLOOKUP(A125&amp;B125&amp;C125,盘货信息!$A:$A&amp;盘货信息!$B:$B&amp;盘货信息!$C:$C,盘货信息!$I:$I)&gt;1),"【88VIP】立减"&amp;_xlfn.XLOOKUP(A125&amp;B125&amp;C125,盘货信息!$A:$A&amp;盘货信息!$B:$B&amp;盘货信息!$C:$C,盘货信息!$I:$I)&amp;"元","")</f>
        <v/>
      </c>
      <c r="O125" s="18" t="str">
        <f t="array" ref="O125">IF(_xlfn.XLOOKUP(A125&amp;B125&amp;C125,盘货信息!$A:$A&amp;盘货信息!$B:$B&amp;盘货信息!$C:$C,盘货信息!$K:$K)="","",IF(AND(_xlfn.XLOOKUP(A125&amp;B125&amp;C125,盘货信息!$A:$A&amp;盘货信息!$B:$B&amp;盘货信息!$C:$C,盘货信息!$G:$G)="不参加",_xlfn.XLOOKUP(A125&amp;B125&amp;C125,盘货信息!$A:$A&amp;盘货信息!$B:$B&amp;盘货信息!$C:$C,盘货信息!$H:$H)=""),"【以旧换新】"&amp;_xlfn.XLOOKUP(A125&amp;B125&amp;C125,盘货信息!$A:$A&amp;盘货信息!$B:$B&amp;盘货信息!$C:$C,盘货信息!$K:$K)&amp;"元以旧换新补贴（可无旧机换新）",""))</f>
        <v/>
      </c>
      <c r="P125" s="18" t="str">
        <f t="array" ref="P125">_xlfn.XLOOKUP(A125&amp;B125&amp;C125,赠品!$A:$A&amp;赠品!$B:$B&amp;赠品!$C:$C,赠品!$D:$D)</f>
        <v/>
      </c>
      <c r="Q125" s="18" t="str">
        <f>IF($C125="","",IF(AND(M125="",N125="",P125=""),"",固定信息!$B$1))</f>
        <v/>
      </c>
      <c r="R125" s="18" t="str">
        <f t="array" ref="R125">IF(ISNUMBER(SEARCH("是",_xlfn.XLOOKUP(A125&amp;B125&amp;C125,盘货信息!$A:$A&amp;盘货信息!$B:$B&amp;盘货信息!$C:$C,盘货信息!$U:$U))),"【折扣】指定型号满2类享96折，满3类享94折","")</f>
        <v/>
      </c>
      <c r="S125" s="18" t="str">
        <f t="array" ref="S125">IF(_xlfn.XLOOKUP(A125&amp;B125&amp;C125,盘货信息!$A:$A&amp;盘货信息!$B:$B&amp;盘货信息!$C:$C,盘货信息!$Q:$Q)&lt;1,"","【红包】活动时间购机送"&amp;_xlfn.TEXTJOIN("",,IF(ISNUMBER(--MID(_xlfn.XLOOKUP(A125&amp;B125&amp;C125,盘货信息!$A:$A&amp;盘货信息!$B:$B&amp;盘货信息!$C:$C,盘货信息!$Q:$Q),_xlfn.SEQUENCE(LEN(_xlfn.XLOOKUP(A125&amp;B125&amp;C125,盘货信息!$A:$A&amp;盘货信息!$B:$B&amp;盘货信息!$C:$C,盘货信息!$Q:$Q))),1)),MID(_xlfn.XLOOKUP(A125&amp;B125&amp;C125,盘货信息!$A:$A&amp;盘货信息!$B:$B&amp;盘货信息!$C:$C,盘货信息!$Q:$Q),_xlfn.SEQUENCE(LEN(_xlfn.XLOOKUP(A125&amp;B125&amp;C125,盘货信息!$A:$A&amp;盘货信息!$B:$B&amp;盘货信息!$C:$C,盘货信息!$Q:$Q))),1),""))&amp;"元")</f>
        <v/>
      </c>
      <c r="T125" s="18" t="str">
        <f t="array" ref="T125">IF(ISNUMBER(SEARCH("是",_xlfn.XLOOKUP(A125&amp;B125&amp;C125,盘货信息!$A:$A&amp;盘货信息!$B:$B&amp;盘货信息!$C:$C,盘货信息!$T:$T))),"【瓜分】"&amp;固定信息!$B$7,"")</f>
        <v/>
      </c>
      <c r="U125" s="18" t="str">
        <f>IF($C125="","",IF(AND(R125="",S125="",T125=""),"",固定信息!$B$1))</f>
        <v/>
      </c>
      <c r="V125" s="18" t="str">
        <f t="array" ref="V125">IF(C125="","","【服务】"&amp;IF(_xlfn.XLOOKUP(A125&amp;B125&amp;C125,盘货信息!$A:$A&amp;盘货信息!$B:$B&amp;盘货信息!$C:$C,盘货信息!$V:$V)="","",_xlfn.XLOOKUP(A125&amp;B125&amp;C125,盘货信息!$A:$A&amp;盘货信息!$B:$B&amp;盘货信息!$C:$C,盘货信息!$V:$V)&amp;"免息,")&amp;IF(_xlfn.XLOOKUP(A125&amp;B125&amp;C125,盘货信息!$A:$A&amp;盘货信息!$B:$B&amp;盘货信息!$C:$C,盘货信息!$W:$W)="","",_xlfn.XLOOKUP(A125&amp;B125&amp;C125,盘货信息!$A:$A&amp;盘货信息!$B:$B&amp;盘货信息!$C:$C,盘货信息!$W:$W)&amp;"，")&amp;"送货入户，退换免运费")</f>
        <v/>
      </c>
    </row>
    <row r="126" customHeight="1" spans="1:22">
      <c r="A126" s="17" t="str">
        <f>IF(盘货信息!A126="","",盘货信息!A126)</f>
        <v/>
      </c>
      <c r="B126" s="20" t="str">
        <f>IF(盘货信息!B126="","",盘货信息!B126)</f>
        <v/>
      </c>
      <c r="C126" s="20" t="str">
        <f>IF(盘货信息!C126="","",盘货信息!C126)</f>
        <v/>
      </c>
      <c r="D126" s="18" t="str">
        <f ca="1" t="shared" si="1"/>
        <v/>
      </c>
      <c r="E126" s="18" t="str">
        <f>IF(C126="","",固定信息!$B$2)</f>
        <v/>
      </c>
      <c r="F126" s="18" t="str">
        <f t="array" ref="F126">IF(C126="","","【"&amp;C126&amp;"】"&amp;_xlfn.XLOOKUP(A126&amp;B126&amp;C126,盘货信息!$A:$A&amp;盘货信息!$B:$B&amp;盘货信息!$C:$C,盘货信息!$D:$D))</f>
        <v/>
      </c>
      <c r="G126" s="18" t="str">
        <f>IF(C126="","","【"&amp;"活动时间："&amp;固定信息!$B$3&amp;"】")</f>
        <v/>
      </c>
      <c r="H126" s="18" t="str">
        <f>IF($C126="","",固定信息!$B$1)</f>
        <v/>
      </c>
      <c r="I126" s="18"/>
      <c r="J126" s="18" t="str">
        <f t="array" ref="J126">_xlfn.XLOOKUP(A126&amp;B126&amp;C126,价格信息!$A:$A&amp;价格信息!$B:$B&amp;价格信息!$C:$C,价格信息!$D:$D)</f>
        <v/>
      </c>
      <c r="K126" s="31" t="str">
        <f t="array" ref="K126">IF(_xlfn.XLOOKUP(A126&amp;B126&amp;C126,价格信息!$A:$A&amp;价格信息!$B:$B&amp;价格信息!$C:$C,价格信息!$I:$I)="","","【优惠券链接】"&amp;固定信息!$B$6)</f>
        <v/>
      </c>
      <c r="L126" s="31" t="str">
        <f>IF($C126="","",固定信息!$B$1)</f>
        <v/>
      </c>
      <c r="M126" s="18" t="str">
        <f t="array" ref="M126">IF(_xlfn.XLOOKUP(A126&amp;B126&amp;C126,盘货信息!$A:$A&amp;盘货信息!$B:$B&amp;盘货信息!$C:$C,盘货信息!$O:$O)="","","【优惠券】领"&amp;INDEX(_wpsfn.REGEXP(_xlfn.XLOOKUP(A126&amp;B126&amp;C126,盘货信息!$A:$A&amp;盘货信息!$B:$B&amp;盘货信息!$C:$C,盘货信息!$O:$O),"\d+"),1,1)&amp;"元优惠券下单更优惠，优惠卷："&amp;_xlfn.XLOOKUP(A126&amp;B126&amp;C126,盘货信息!$A:$A&amp;盘货信息!$B:$B&amp;盘货信息!$C:$C,盘货信息!$P:$P))</f>
        <v/>
      </c>
      <c r="N126" s="18" t="str">
        <f t="array" ref="N126">IF(AND(ISNUMBER(_xlfn.XLOOKUP(A126&amp;B126&amp;C126,盘货信息!$A:$A&amp;盘货信息!$B:$B&amp;盘货信息!$C:$C,盘货信息!$I:$I)),_xlfn.XLOOKUP(A126&amp;B126&amp;C126,盘货信息!$A:$A&amp;盘货信息!$B:$B&amp;盘货信息!$C:$C,盘货信息!$I:$I)&gt;1),"【88VIP】立减"&amp;_xlfn.XLOOKUP(A126&amp;B126&amp;C126,盘货信息!$A:$A&amp;盘货信息!$B:$B&amp;盘货信息!$C:$C,盘货信息!$I:$I)&amp;"元","")</f>
        <v/>
      </c>
      <c r="O126" s="18" t="str">
        <f t="array" ref="O126">IF(_xlfn.XLOOKUP(A126&amp;B126&amp;C126,盘货信息!$A:$A&amp;盘货信息!$B:$B&amp;盘货信息!$C:$C,盘货信息!$K:$K)="","",IF(AND(_xlfn.XLOOKUP(A126&amp;B126&amp;C126,盘货信息!$A:$A&amp;盘货信息!$B:$B&amp;盘货信息!$C:$C,盘货信息!$G:$G)="不参加",_xlfn.XLOOKUP(A126&amp;B126&amp;C126,盘货信息!$A:$A&amp;盘货信息!$B:$B&amp;盘货信息!$C:$C,盘货信息!$H:$H)=""),"【以旧换新】"&amp;_xlfn.XLOOKUP(A126&amp;B126&amp;C126,盘货信息!$A:$A&amp;盘货信息!$B:$B&amp;盘货信息!$C:$C,盘货信息!$K:$K)&amp;"元以旧换新补贴（可无旧机换新）",""))</f>
        <v/>
      </c>
      <c r="P126" s="18" t="str">
        <f t="array" ref="P126">_xlfn.XLOOKUP(A126&amp;B126&amp;C126,赠品!$A:$A&amp;赠品!$B:$B&amp;赠品!$C:$C,赠品!$D:$D)</f>
        <v/>
      </c>
      <c r="Q126" s="18" t="str">
        <f>IF($C126="","",IF(AND(M126="",N126="",P126=""),"",固定信息!$B$1))</f>
        <v/>
      </c>
      <c r="R126" s="18" t="str">
        <f t="array" ref="R126">IF(ISNUMBER(SEARCH("是",_xlfn.XLOOKUP(A126&amp;B126&amp;C126,盘货信息!$A:$A&amp;盘货信息!$B:$B&amp;盘货信息!$C:$C,盘货信息!$U:$U))),"【折扣】指定型号满2类享96折，满3类享94折","")</f>
        <v/>
      </c>
      <c r="S126" s="18" t="str">
        <f t="array" ref="S126">IF(_xlfn.XLOOKUP(A126&amp;B126&amp;C126,盘货信息!$A:$A&amp;盘货信息!$B:$B&amp;盘货信息!$C:$C,盘货信息!$Q:$Q)&lt;1,"","【红包】活动时间购机送"&amp;_xlfn.TEXTJOIN("",,IF(ISNUMBER(--MID(_xlfn.XLOOKUP(A126&amp;B126&amp;C126,盘货信息!$A:$A&amp;盘货信息!$B:$B&amp;盘货信息!$C:$C,盘货信息!$Q:$Q),_xlfn.SEQUENCE(LEN(_xlfn.XLOOKUP(A126&amp;B126&amp;C126,盘货信息!$A:$A&amp;盘货信息!$B:$B&amp;盘货信息!$C:$C,盘货信息!$Q:$Q))),1)),MID(_xlfn.XLOOKUP(A126&amp;B126&amp;C126,盘货信息!$A:$A&amp;盘货信息!$B:$B&amp;盘货信息!$C:$C,盘货信息!$Q:$Q),_xlfn.SEQUENCE(LEN(_xlfn.XLOOKUP(A126&amp;B126&amp;C126,盘货信息!$A:$A&amp;盘货信息!$B:$B&amp;盘货信息!$C:$C,盘货信息!$Q:$Q))),1),""))&amp;"元")</f>
        <v/>
      </c>
      <c r="T126" s="18" t="str">
        <f t="array" ref="T126">IF(ISNUMBER(SEARCH("是",_xlfn.XLOOKUP(A126&amp;B126&amp;C126,盘货信息!$A:$A&amp;盘货信息!$B:$B&amp;盘货信息!$C:$C,盘货信息!$T:$T))),"【瓜分】"&amp;固定信息!$B$7,"")</f>
        <v/>
      </c>
      <c r="U126" s="18" t="str">
        <f>IF($C126="","",IF(AND(R126="",S126="",T126=""),"",固定信息!$B$1))</f>
        <v/>
      </c>
      <c r="V126" s="18" t="str">
        <f t="array" ref="V126">IF(C126="","","【服务】"&amp;IF(_xlfn.XLOOKUP(A126&amp;B126&amp;C126,盘货信息!$A:$A&amp;盘货信息!$B:$B&amp;盘货信息!$C:$C,盘货信息!$V:$V)="","",_xlfn.XLOOKUP(A126&amp;B126&amp;C126,盘货信息!$A:$A&amp;盘货信息!$B:$B&amp;盘货信息!$C:$C,盘货信息!$V:$V)&amp;"免息,")&amp;IF(_xlfn.XLOOKUP(A126&amp;B126&amp;C126,盘货信息!$A:$A&amp;盘货信息!$B:$B&amp;盘货信息!$C:$C,盘货信息!$W:$W)="","",_xlfn.XLOOKUP(A126&amp;B126&amp;C126,盘货信息!$A:$A&amp;盘货信息!$B:$B&amp;盘货信息!$C:$C,盘货信息!$W:$W)&amp;"，")&amp;"送货入户，退换免运费")</f>
        <v/>
      </c>
    </row>
    <row r="127" customHeight="1" spans="1:22">
      <c r="A127" s="17" t="str">
        <f>IF(盘货信息!A127="","",盘货信息!A127)</f>
        <v/>
      </c>
      <c r="B127" s="20" t="str">
        <f>IF(盘货信息!B127="","",盘货信息!B127)</f>
        <v/>
      </c>
      <c r="C127" s="20" t="str">
        <f>IF(盘货信息!C127="","",盘货信息!C127)</f>
        <v/>
      </c>
      <c r="D127" s="18" t="str">
        <f ca="1" t="shared" si="1"/>
        <v/>
      </c>
      <c r="E127" s="18" t="str">
        <f>IF(C127="","",固定信息!$B$2)</f>
        <v/>
      </c>
      <c r="F127" s="18" t="str">
        <f t="array" ref="F127">IF(C127="","","【"&amp;C127&amp;"】"&amp;_xlfn.XLOOKUP(A127&amp;B127&amp;C127,盘货信息!$A:$A&amp;盘货信息!$B:$B&amp;盘货信息!$C:$C,盘货信息!$D:$D))</f>
        <v/>
      </c>
      <c r="G127" s="18" t="str">
        <f>IF(C127="","","【"&amp;"活动时间："&amp;固定信息!$B$3&amp;"】")</f>
        <v/>
      </c>
      <c r="H127" s="18" t="str">
        <f>IF($C127="","",固定信息!$B$1)</f>
        <v/>
      </c>
      <c r="I127" s="18"/>
      <c r="J127" s="18" t="str">
        <f t="array" ref="J127">_xlfn.XLOOKUP(A127&amp;B127&amp;C127,价格信息!$A:$A&amp;价格信息!$B:$B&amp;价格信息!$C:$C,价格信息!$D:$D)</f>
        <v/>
      </c>
      <c r="K127" s="31" t="str">
        <f t="array" ref="K127">IF(_xlfn.XLOOKUP(A127&amp;B127&amp;C127,价格信息!$A:$A&amp;价格信息!$B:$B&amp;价格信息!$C:$C,价格信息!$I:$I)="","","【优惠券链接】"&amp;固定信息!$B$6)</f>
        <v/>
      </c>
      <c r="L127" s="31" t="str">
        <f>IF($C127="","",固定信息!$B$1)</f>
        <v/>
      </c>
      <c r="M127" s="18" t="str">
        <f t="array" ref="M127">IF(_xlfn.XLOOKUP(A127&amp;B127&amp;C127,盘货信息!$A:$A&amp;盘货信息!$B:$B&amp;盘货信息!$C:$C,盘货信息!$O:$O)="","","【优惠券】领"&amp;INDEX(_wpsfn.REGEXP(_xlfn.XLOOKUP(A127&amp;B127&amp;C127,盘货信息!$A:$A&amp;盘货信息!$B:$B&amp;盘货信息!$C:$C,盘货信息!$O:$O),"\d+"),1,1)&amp;"元优惠券下单更优惠，优惠卷："&amp;_xlfn.XLOOKUP(A127&amp;B127&amp;C127,盘货信息!$A:$A&amp;盘货信息!$B:$B&amp;盘货信息!$C:$C,盘货信息!$P:$P))</f>
        <v/>
      </c>
      <c r="N127" s="18" t="str">
        <f t="array" ref="N127">IF(AND(ISNUMBER(_xlfn.XLOOKUP(A127&amp;B127&amp;C127,盘货信息!$A:$A&amp;盘货信息!$B:$B&amp;盘货信息!$C:$C,盘货信息!$I:$I)),_xlfn.XLOOKUP(A127&amp;B127&amp;C127,盘货信息!$A:$A&amp;盘货信息!$B:$B&amp;盘货信息!$C:$C,盘货信息!$I:$I)&gt;1),"【88VIP】立减"&amp;_xlfn.XLOOKUP(A127&amp;B127&amp;C127,盘货信息!$A:$A&amp;盘货信息!$B:$B&amp;盘货信息!$C:$C,盘货信息!$I:$I)&amp;"元","")</f>
        <v/>
      </c>
      <c r="O127" s="18" t="str">
        <f t="array" ref="O127">IF(_xlfn.XLOOKUP(A127&amp;B127&amp;C127,盘货信息!$A:$A&amp;盘货信息!$B:$B&amp;盘货信息!$C:$C,盘货信息!$K:$K)="","",IF(AND(_xlfn.XLOOKUP(A127&amp;B127&amp;C127,盘货信息!$A:$A&amp;盘货信息!$B:$B&amp;盘货信息!$C:$C,盘货信息!$G:$G)="不参加",_xlfn.XLOOKUP(A127&amp;B127&amp;C127,盘货信息!$A:$A&amp;盘货信息!$B:$B&amp;盘货信息!$C:$C,盘货信息!$H:$H)=""),"【以旧换新】"&amp;_xlfn.XLOOKUP(A127&amp;B127&amp;C127,盘货信息!$A:$A&amp;盘货信息!$B:$B&amp;盘货信息!$C:$C,盘货信息!$K:$K)&amp;"元以旧换新补贴（可无旧机换新）",""))</f>
        <v/>
      </c>
      <c r="P127" s="18" t="str">
        <f t="array" ref="P127">_xlfn.XLOOKUP(A127&amp;B127&amp;C127,赠品!$A:$A&amp;赠品!$B:$B&amp;赠品!$C:$C,赠品!$D:$D)</f>
        <v/>
      </c>
      <c r="Q127" s="18" t="str">
        <f>IF($C127="","",IF(AND(M127="",N127="",P127=""),"",固定信息!$B$1))</f>
        <v/>
      </c>
      <c r="R127" s="18" t="str">
        <f t="array" ref="R127">IF(ISNUMBER(SEARCH("是",_xlfn.XLOOKUP(A127&amp;B127&amp;C127,盘货信息!$A:$A&amp;盘货信息!$B:$B&amp;盘货信息!$C:$C,盘货信息!$U:$U))),"【折扣】指定型号满2类享96折，满3类享94折","")</f>
        <v/>
      </c>
      <c r="S127" s="18" t="str">
        <f t="array" ref="S127">IF(_xlfn.XLOOKUP(A127&amp;B127&amp;C127,盘货信息!$A:$A&amp;盘货信息!$B:$B&amp;盘货信息!$C:$C,盘货信息!$Q:$Q)&lt;1,"","【红包】活动时间购机送"&amp;_xlfn.TEXTJOIN("",,IF(ISNUMBER(--MID(_xlfn.XLOOKUP(A127&amp;B127&amp;C127,盘货信息!$A:$A&amp;盘货信息!$B:$B&amp;盘货信息!$C:$C,盘货信息!$Q:$Q),_xlfn.SEQUENCE(LEN(_xlfn.XLOOKUP(A127&amp;B127&amp;C127,盘货信息!$A:$A&amp;盘货信息!$B:$B&amp;盘货信息!$C:$C,盘货信息!$Q:$Q))),1)),MID(_xlfn.XLOOKUP(A127&amp;B127&amp;C127,盘货信息!$A:$A&amp;盘货信息!$B:$B&amp;盘货信息!$C:$C,盘货信息!$Q:$Q),_xlfn.SEQUENCE(LEN(_xlfn.XLOOKUP(A127&amp;B127&amp;C127,盘货信息!$A:$A&amp;盘货信息!$B:$B&amp;盘货信息!$C:$C,盘货信息!$Q:$Q))),1),""))&amp;"元")</f>
        <v/>
      </c>
      <c r="T127" s="18" t="str">
        <f t="array" ref="T127">IF(ISNUMBER(SEARCH("是",_xlfn.XLOOKUP(A127&amp;B127&amp;C127,盘货信息!$A:$A&amp;盘货信息!$B:$B&amp;盘货信息!$C:$C,盘货信息!$T:$T))),"【瓜分】"&amp;固定信息!$B$7,"")</f>
        <v/>
      </c>
      <c r="U127" s="18" t="str">
        <f>IF($C127="","",IF(AND(R127="",S127="",T127=""),"",固定信息!$B$1))</f>
        <v/>
      </c>
      <c r="V127" s="18" t="str">
        <f t="array" ref="V127">IF(C127="","","【服务】"&amp;IF(_xlfn.XLOOKUP(A127&amp;B127&amp;C127,盘货信息!$A:$A&amp;盘货信息!$B:$B&amp;盘货信息!$C:$C,盘货信息!$V:$V)="","",_xlfn.XLOOKUP(A127&amp;B127&amp;C127,盘货信息!$A:$A&amp;盘货信息!$B:$B&amp;盘货信息!$C:$C,盘货信息!$V:$V)&amp;"免息,")&amp;IF(_xlfn.XLOOKUP(A127&amp;B127&amp;C127,盘货信息!$A:$A&amp;盘货信息!$B:$B&amp;盘货信息!$C:$C,盘货信息!$W:$W)="","",_xlfn.XLOOKUP(A127&amp;B127&amp;C127,盘货信息!$A:$A&amp;盘货信息!$B:$B&amp;盘货信息!$C:$C,盘货信息!$W:$W)&amp;"，")&amp;"送货入户，退换免运费")</f>
        <v/>
      </c>
    </row>
    <row r="128" customHeight="1" spans="1:22">
      <c r="A128" s="17" t="str">
        <f>IF(盘货信息!A128="","",盘货信息!A128)</f>
        <v/>
      </c>
      <c r="B128" s="20" t="str">
        <f>IF(盘货信息!B128="","",盘货信息!B128)</f>
        <v/>
      </c>
      <c r="C128" s="20" t="str">
        <f>IF(盘货信息!C128="","",盘货信息!C128)</f>
        <v/>
      </c>
      <c r="D128" s="18" t="str">
        <f ca="1" t="shared" si="1"/>
        <v/>
      </c>
      <c r="E128" s="18" t="str">
        <f>IF(C128="","",固定信息!$B$2)</f>
        <v/>
      </c>
      <c r="F128" s="18" t="str">
        <f t="array" ref="F128">IF(C128="","","【"&amp;C128&amp;"】"&amp;_xlfn.XLOOKUP(A128&amp;B128&amp;C128,盘货信息!$A:$A&amp;盘货信息!$B:$B&amp;盘货信息!$C:$C,盘货信息!$D:$D))</f>
        <v/>
      </c>
      <c r="G128" s="18" t="str">
        <f>IF(C128="","","【"&amp;"活动时间："&amp;固定信息!$B$3&amp;"】")</f>
        <v/>
      </c>
      <c r="H128" s="18" t="str">
        <f>IF($C128="","",固定信息!$B$1)</f>
        <v/>
      </c>
      <c r="I128" s="18"/>
      <c r="J128" s="18" t="str">
        <f t="array" ref="J128">_xlfn.XLOOKUP(A128&amp;B128&amp;C128,价格信息!$A:$A&amp;价格信息!$B:$B&amp;价格信息!$C:$C,价格信息!$D:$D)</f>
        <v/>
      </c>
      <c r="K128" s="31" t="str">
        <f t="array" ref="K128">IF(_xlfn.XLOOKUP(A128&amp;B128&amp;C128,价格信息!$A:$A&amp;价格信息!$B:$B&amp;价格信息!$C:$C,价格信息!$I:$I)="","","【优惠券链接】"&amp;固定信息!$B$6)</f>
        <v/>
      </c>
      <c r="L128" s="31" t="str">
        <f>IF($C128="","",固定信息!$B$1)</f>
        <v/>
      </c>
      <c r="M128" s="18" t="str">
        <f t="array" ref="M128">IF(_xlfn.XLOOKUP(A128&amp;B128&amp;C128,盘货信息!$A:$A&amp;盘货信息!$B:$B&amp;盘货信息!$C:$C,盘货信息!$O:$O)="","","【优惠券】领"&amp;INDEX(_wpsfn.REGEXP(_xlfn.XLOOKUP(A128&amp;B128&amp;C128,盘货信息!$A:$A&amp;盘货信息!$B:$B&amp;盘货信息!$C:$C,盘货信息!$O:$O),"\d+"),1,1)&amp;"元优惠券下单更优惠，优惠卷："&amp;_xlfn.XLOOKUP(A128&amp;B128&amp;C128,盘货信息!$A:$A&amp;盘货信息!$B:$B&amp;盘货信息!$C:$C,盘货信息!$P:$P))</f>
        <v/>
      </c>
      <c r="N128" s="18" t="str">
        <f t="array" ref="N128">IF(AND(ISNUMBER(_xlfn.XLOOKUP(A128&amp;B128&amp;C128,盘货信息!$A:$A&amp;盘货信息!$B:$B&amp;盘货信息!$C:$C,盘货信息!$I:$I)),_xlfn.XLOOKUP(A128&amp;B128&amp;C128,盘货信息!$A:$A&amp;盘货信息!$B:$B&amp;盘货信息!$C:$C,盘货信息!$I:$I)&gt;1),"【88VIP】立减"&amp;_xlfn.XLOOKUP(A128&amp;B128&amp;C128,盘货信息!$A:$A&amp;盘货信息!$B:$B&amp;盘货信息!$C:$C,盘货信息!$I:$I)&amp;"元","")</f>
        <v/>
      </c>
      <c r="O128" s="18" t="str">
        <f t="array" ref="O128">IF(_xlfn.XLOOKUP(A128&amp;B128&amp;C128,盘货信息!$A:$A&amp;盘货信息!$B:$B&amp;盘货信息!$C:$C,盘货信息!$K:$K)="","",IF(AND(_xlfn.XLOOKUP(A128&amp;B128&amp;C128,盘货信息!$A:$A&amp;盘货信息!$B:$B&amp;盘货信息!$C:$C,盘货信息!$G:$G)="不参加",_xlfn.XLOOKUP(A128&amp;B128&amp;C128,盘货信息!$A:$A&amp;盘货信息!$B:$B&amp;盘货信息!$C:$C,盘货信息!$H:$H)=""),"【以旧换新】"&amp;_xlfn.XLOOKUP(A128&amp;B128&amp;C128,盘货信息!$A:$A&amp;盘货信息!$B:$B&amp;盘货信息!$C:$C,盘货信息!$K:$K)&amp;"元以旧换新补贴（可无旧机换新）",""))</f>
        <v/>
      </c>
      <c r="P128" s="18" t="str">
        <f t="array" ref="P128">_xlfn.XLOOKUP(A128&amp;B128&amp;C128,赠品!$A:$A&amp;赠品!$B:$B&amp;赠品!$C:$C,赠品!$D:$D)</f>
        <v/>
      </c>
      <c r="Q128" s="18" t="str">
        <f>IF($C128="","",IF(AND(M128="",N128="",P128=""),"",固定信息!$B$1))</f>
        <v/>
      </c>
      <c r="R128" s="18" t="str">
        <f t="array" ref="R128">IF(ISNUMBER(SEARCH("是",_xlfn.XLOOKUP(A128&amp;B128&amp;C128,盘货信息!$A:$A&amp;盘货信息!$B:$B&amp;盘货信息!$C:$C,盘货信息!$U:$U))),"【折扣】指定型号满2类享96折，满3类享94折","")</f>
        <v/>
      </c>
      <c r="S128" s="18" t="str">
        <f t="array" ref="S128">IF(_xlfn.XLOOKUP(A128&amp;B128&amp;C128,盘货信息!$A:$A&amp;盘货信息!$B:$B&amp;盘货信息!$C:$C,盘货信息!$Q:$Q)&lt;1,"","【红包】活动时间购机送"&amp;_xlfn.TEXTJOIN("",,IF(ISNUMBER(--MID(_xlfn.XLOOKUP(A128&amp;B128&amp;C128,盘货信息!$A:$A&amp;盘货信息!$B:$B&amp;盘货信息!$C:$C,盘货信息!$Q:$Q),_xlfn.SEQUENCE(LEN(_xlfn.XLOOKUP(A128&amp;B128&amp;C128,盘货信息!$A:$A&amp;盘货信息!$B:$B&amp;盘货信息!$C:$C,盘货信息!$Q:$Q))),1)),MID(_xlfn.XLOOKUP(A128&amp;B128&amp;C128,盘货信息!$A:$A&amp;盘货信息!$B:$B&amp;盘货信息!$C:$C,盘货信息!$Q:$Q),_xlfn.SEQUENCE(LEN(_xlfn.XLOOKUP(A128&amp;B128&amp;C128,盘货信息!$A:$A&amp;盘货信息!$B:$B&amp;盘货信息!$C:$C,盘货信息!$Q:$Q))),1),""))&amp;"元")</f>
        <v/>
      </c>
      <c r="T128" s="18" t="str">
        <f t="array" ref="T128">IF(ISNUMBER(SEARCH("是",_xlfn.XLOOKUP(A128&amp;B128&amp;C128,盘货信息!$A:$A&amp;盘货信息!$B:$B&amp;盘货信息!$C:$C,盘货信息!$T:$T))),"【瓜分】"&amp;固定信息!$B$7,"")</f>
        <v/>
      </c>
      <c r="U128" s="18" t="str">
        <f>IF($C128="","",IF(AND(R128="",S128="",T128=""),"",固定信息!$B$1))</f>
        <v/>
      </c>
      <c r="V128" s="18" t="str">
        <f t="array" ref="V128">IF(C128="","","【服务】"&amp;IF(_xlfn.XLOOKUP(A128&amp;B128&amp;C128,盘货信息!$A:$A&amp;盘货信息!$B:$B&amp;盘货信息!$C:$C,盘货信息!$V:$V)="","",_xlfn.XLOOKUP(A128&amp;B128&amp;C128,盘货信息!$A:$A&amp;盘货信息!$B:$B&amp;盘货信息!$C:$C,盘货信息!$V:$V)&amp;"免息,")&amp;IF(_xlfn.XLOOKUP(A128&amp;B128&amp;C128,盘货信息!$A:$A&amp;盘货信息!$B:$B&amp;盘货信息!$C:$C,盘货信息!$W:$W)="","",_xlfn.XLOOKUP(A128&amp;B128&amp;C128,盘货信息!$A:$A&amp;盘货信息!$B:$B&amp;盘货信息!$C:$C,盘货信息!$W:$W)&amp;"，")&amp;"送货入户，退换免运费")</f>
        <v/>
      </c>
    </row>
    <row r="129" customHeight="1" spans="1:22">
      <c r="A129" s="17" t="str">
        <f>IF(盘货信息!A129="","",盘货信息!A129)</f>
        <v/>
      </c>
      <c r="B129" s="20" t="str">
        <f>IF(盘货信息!B129="","",盘货信息!B129)</f>
        <v/>
      </c>
      <c r="C129" s="20" t="str">
        <f>IF(盘货信息!C129="","",盘货信息!C129)</f>
        <v/>
      </c>
      <c r="D129" s="18" t="str">
        <f ca="1" t="shared" si="1"/>
        <v/>
      </c>
      <c r="E129" s="18" t="str">
        <f>IF(C129="","",固定信息!$B$2)</f>
        <v/>
      </c>
      <c r="F129" s="18" t="str">
        <f t="array" ref="F129">IF(C129="","","【"&amp;C129&amp;"】"&amp;_xlfn.XLOOKUP(A129&amp;B129&amp;C129,盘货信息!$A:$A&amp;盘货信息!$B:$B&amp;盘货信息!$C:$C,盘货信息!$D:$D))</f>
        <v/>
      </c>
      <c r="G129" s="18" t="str">
        <f>IF(C129="","","【"&amp;"活动时间："&amp;固定信息!$B$3&amp;"】")</f>
        <v/>
      </c>
      <c r="H129" s="18" t="str">
        <f>IF($C129="","",固定信息!$B$1)</f>
        <v/>
      </c>
      <c r="I129" s="18"/>
      <c r="J129" s="18" t="str">
        <f t="array" ref="J129">_xlfn.XLOOKUP(A129&amp;B129&amp;C129,价格信息!$A:$A&amp;价格信息!$B:$B&amp;价格信息!$C:$C,价格信息!$D:$D)</f>
        <v/>
      </c>
      <c r="K129" s="31" t="str">
        <f t="array" ref="K129">IF(_xlfn.XLOOKUP(A129&amp;B129&amp;C129,价格信息!$A:$A&amp;价格信息!$B:$B&amp;价格信息!$C:$C,价格信息!$I:$I)="","","【优惠券链接】"&amp;固定信息!$B$6)</f>
        <v/>
      </c>
      <c r="L129" s="31" t="str">
        <f>IF($C129="","",固定信息!$B$1)</f>
        <v/>
      </c>
      <c r="M129" s="18" t="str">
        <f t="array" ref="M129">IF(_xlfn.XLOOKUP(A129&amp;B129&amp;C129,盘货信息!$A:$A&amp;盘货信息!$B:$B&amp;盘货信息!$C:$C,盘货信息!$O:$O)="","","【优惠券】领"&amp;INDEX(_wpsfn.REGEXP(_xlfn.XLOOKUP(A129&amp;B129&amp;C129,盘货信息!$A:$A&amp;盘货信息!$B:$B&amp;盘货信息!$C:$C,盘货信息!$O:$O),"\d+"),1,1)&amp;"元优惠券下单更优惠，优惠卷："&amp;_xlfn.XLOOKUP(A129&amp;B129&amp;C129,盘货信息!$A:$A&amp;盘货信息!$B:$B&amp;盘货信息!$C:$C,盘货信息!$P:$P))</f>
        <v/>
      </c>
      <c r="N129" s="18" t="str">
        <f t="array" ref="N129">IF(AND(ISNUMBER(_xlfn.XLOOKUP(A129&amp;B129&amp;C129,盘货信息!$A:$A&amp;盘货信息!$B:$B&amp;盘货信息!$C:$C,盘货信息!$I:$I)),_xlfn.XLOOKUP(A129&amp;B129&amp;C129,盘货信息!$A:$A&amp;盘货信息!$B:$B&amp;盘货信息!$C:$C,盘货信息!$I:$I)&gt;1),"【88VIP】立减"&amp;_xlfn.XLOOKUP(A129&amp;B129&amp;C129,盘货信息!$A:$A&amp;盘货信息!$B:$B&amp;盘货信息!$C:$C,盘货信息!$I:$I)&amp;"元","")</f>
        <v/>
      </c>
      <c r="O129" s="18" t="str">
        <f t="array" ref="O129">IF(_xlfn.XLOOKUP(A129&amp;B129&amp;C129,盘货信息!$A:$A&amp;盘货信息!$B:$B&amp;盘货信息!$C:$C,盘货信息!$K:$K)="","",IF(AND(_xlfn.XLOOKUP(A129&amp;B129&amp;C129,盘货信息!$A:$A&amp;盘货信息!$B:$B&amp;盘货信息!$C:$C,盘货信息!$G:$G)="不参加",_xlfn.XLOOKUP(A129&amp;B129&amp;C129,盘货信息!$A:$A&amp;盘货信息!$B:$B&amp;盘货信息!$C:$C,盘货信息!$H:$H)=""),"【以旧换新】"&amp;_xlfn.XLOOKUP(A129&amp;B129&amp;C129,盘货信息!$A:$A&amp;盘货信息!$B:$B&amp;盘货信息!$C:$C,盘货信息!$K:$K)&amp;"元以旧换新补贴（可无旧机换新）",""))</f>
        <v/>
      </c>
      <c r="P129" s="18" t="str">
        <f t="array" ref="P129">_xlfn.XLOOKUP(A129&amp;B129&amp;C129,赠品!$A:$A&amp;赠品!$B:$B&amp;赠品!$C:$C,赠品!$D:$D)</f>
        <v/>
      </c>
      <c r="Q129" s="18" t="str">
        <f>IF($C129="","",IF(AND(M129="",N129="",P129=""),"",固定信息!$B$1))</f>
        <v/>
      </c>
      <c r="R129" s="18" t="str">
        <f t="array" ref="R129">IF(ISNUMBER(SEARCH("是",_xlfn.XLOOKUP(A129&amp;B129&amp;C129,盘货信息!$A:$A&amp;盘货信息!$B:$B&amp;盘货信息!$C:$C,盘货信息!$U:$U))),"【折扣】指定型号满2类享96折，满3类享94折","")</f>
        <v/>
      </c>
      <c r="S129" s="18" t="str">
        <f t="array" ref="S129">IF(_xlfn.XLOOKUP(A129&amp;B129&amp;C129,盘货信息!$A:$A&amp;盘货信息!$B:$B&amp;盘货信息!$C:$C,盘货信息!$Q:$Q)&lt;1,"","【红包】活动时间购机送"&amp;_xlfn.TEXTJOIN("",,IF(ISNUMBER(--MID(_xlfn.XLOOKUP(A129&amp;B129&amp;C129,盘货信息!$A:$A&amp;盘货信息!$B:$B&amp;盘货信息!$C:$C,盘货信息!$Q:$Q),_xlfn.SEQUENCE(LEN(_xlfn.XLOOKUP(A129&amp;B129&amp;C129,盘货信息!$A:$A&amp;盘货信息!$B:$B&amp;盘货信息!$C:$C,盘货信息!$Q:$Q))),1)),MID(_xlfn.XLOOKUP(A129&amp;B129&amp;C129,盘货信息!$A:$A&amp;盘货信息!$B:$B&amp;盘货信息!$C:$C,盘货信息!$Q:$Q),_xlfn.SEQUENCE(LEN(_xlfn.XLOOKUP(A129&amp;B129&amp;C129,盘货信息!$A:$A&amp;盘货信息!$B:$B&amp;盘货信息!$C:$C,盘货信息!$Q:$Q))),1),""))&amp;"元")</f>
        <v/>
      </c>
      <c r="T129" s="18" t="str">
        <f t="array" ref="T129">IF(ISNUMBER(SEARCH("是",_xlfn.XLOOKUP(A129&amp;B129&amp;C129,盘货信息!$A:$A&amp;盘货信息!$B:$B&amp;盘货信息!$C:$C,盘货信息!$T:$T))),"【瓜分】"&amp;固定信息!$B$7,"")</f>
        <v/>
      </c>
      <c r="U129" s="18" t="str">
        <f>IF($C129="","",IF(AND(R129="",S129="",T129=""),"",固定信息!$B$1))</f>
        <v/>
      </c>
      <c r="V129" s="18" t="str">
        <f t="array" ref="V129">IF(C129="","","【服务】"&amp;IF(_xlfn.XLOOKUP(A129&amp;B129&amp;C129,盘货信息!$A:$A&amp;盘货信息!$B:$B&amp;盘货信息!$C:$C,盘货信息!$V:$V)="","",_xlfn.XLOOKUP(A129&amp;B129&amp;C129,盘货信息!$A:$A&amp;盘货信息!$B:$B&amp;盘货信息!$C:$C,盘货信息!$V:$V)&amp;"免息,")&amp;IF(_xlfn.XLOOKUP(A129&amp;B129&amp;C129,盘货信息!$A:$A&amp;盘货信息!$B:$B&amp;盘货信息!$C:$C,盘货信息!$W:$W)="","",_xlfn.XLOOKUP(A129&amp;B129&amp;C129,盘货信息!$A:$A&amp;盘货信息!$B:$B&amp;盘货信息!$C:$C,盘货信息!$W:$W)&amp;"，")&amp;"送货入户，退换免运费")</f>
        <v/>
      </c>
    </row>
    <row r="130" customHeight="1" spans="1:22">
      <c r="A130" s="17" t="str">
        <f>IF(盘货信息!A130="","",盘货信息!A130)</f>
        <v/>
      </c>
      <c r="B130" s="20" t="str">
        <f>IF(盘货信息!B130="","",盘货信息!B130)</f>
        <v/>
      </c>
      <c r="C130" s="20" t="str">
        <f>IF(盘货信息!C130="","",盘货信息!C130)</f>
        <v/>
      </c>
      <c r="D130" s="18" t="str">
        <f ca="1" t="shared" ref="D130:D193" si="2">_xlfn.TEXTJOIN(CHAR(10),TRUE,OFFSET(INDIRECT("RC",FALSE),0,1,1,30))</f>
        <v/>
      </c>
      <c r="E130" s="18" t="str">
        <f>IF(C130="","",固定信息!$B$2)</f>
        <v/>
      </c>
      <c r="F130" s="18" t="str">
        <f t="array" ref="F130">IF(C130="","","【"&amp;C130&amp;"】"&amp;_xlfn.XLOOKUP(A130&amp;B130&amp;C130,盘货信息!$A:$A&amp;盘货信息!$B:$B&amp;盘货信息!$C:$C,盘货信息!$D:$D))</f>
        <v/>
      </c>
      <c r="G130" s="18" t="str">
        <f>IF(C130="","","【"&amp;"活动时间："&amp;固定信息!$B$3&amp;"】")</f>
        <v/>
      </c>
      <c r="H130" s="18" t="str">
        <f>IF($C130="","",固定信息!$B$1)</f>
        <v/>
      </c>
      <c r="I130" s="18"/>
      <c r="J130" s="18" t="str">
        <f t="array" ref="J130">_xlfn.XLOOKUP(A130&amp;B130&amp;C130,价格信息!$A:$A&amp;价格信息!$B:$B&amp;价格信息!$C:$C,价格信息!$D:$D)</f>
        <v/>
      </c>
      <c r="K130" s="31" t="str">
        <f t="array" ref="K130">IF(_xlfn.XLOOKUP(A130&amp;B130&amp;C130,价格信息!$A:$A&amp;价格信息!$B:$B&amp;价格信息!$C:$C,价格信息!$I:$I)="","","【优惠券链接】"&amp;固定信息!$B$6)</f>
        <v/>
      </c>
      <c r="L130" s="31" t="str">
        <f>IF($C130="","",固定信息!$B$1)</f>
        <v/>
      </c>
      <c r="M130" s="18" t="str">
        <f t="array" ref="M130">IF(_xlfn.XLOOKUP(A130&amp;B130&amp;C130,盘货信息!$A:$A&amp;盘货信息!$B:$B&amp;盘货信息!$C:$C,盘货信息!$O:$O)="","","【优惠券】领"&amp;INDEX(_wpsfn.REGEXP(_xlfn.XLOOKUP(A130&amp;B130&amp;C130,盘货信息!$A:$A&amp;盘货信息!$B:$B&amp;盘货信息!$C:$C,盘货信息!$O:$O),"\d+"),1,1)&amp;"元优惠券下单更优惠，优惠卷："&amp;_xlfn.XLOOKUP(A130&amp;B130&amp;C130,盘货信息!$A:$A&amp;盘货信息!$B:$B&amp;盘货信息!$C:$C,盘货信息!$P:$P))</f>
        <v/>
      </c>
      <c r="N130" s="18" t="str">
        <f t="array" ref="N130">IF(AND(ISNUMBER(_xlfn.XLOOKUP(A130&amp;B130&amp;C130,盘货信息!$A:$A&amp;盘货信息!$B:$B&amp;盘货信息!$C:$C,盘货信息!$I:$I)),_xlfn.XLOOKUP(A130&amp;B130&amp;C130,盘货信息!$A:$A&amp;盘货信息!$B:$B&amp;盘货信息!$C:$C,盘货信息!$I:$I)&gt;1),"【88VIP】立减"&amp;_xlfn.XLOOKUP(A130&amp;B130&amp;C130,盘货信息!$A:$A&amp;盘货信息!$B:$B&amp;盘货信息!$C:$C,盘货信息!$I:$I)&amp;"元","")</f>
        <v/>
      </c>
      <c r="O130" s="18" t="str">
        <f t="array" ref="O130">IF(_xlfn.XLOOKUP(A130&amp;B130&amp;C130,盘货信息!$A:$A&amp;盘货信息!$B:$B&amp;盘货信息!$C:$C,盘货信息!$K:$K)="","",IF(AND(_xlfn.XLOOKUP(A130&amp;B130&amp;C130,盘货信息!$A:$A&amp;盘货信息!$B:$B&amp;盘货信息!$C:$C,盘货信息!$G:$G)="不参加",_xlfn.XLOOKUP(A130&amp;B130&amp;C130,盘货信息!$A:$A&amp;盘货信息!$B:$B&amp;盘货信息!$C:$C,盘货信息!$H:$H)=""),"【以旧换新】"&amp;_xlfn.XLOOKUP(A130&amp;B130&amp;C130,盘货信息!$A:$A&amp;盘货信息!$B:$B&amp;盘货信息!$C:$C,盘货信息!$K:$K)&amp;"元以旧换新补贴（可无旧机换新）",""))</f>
        <v/>
      </c>
      <c r="P130" s="18" t="str">
        <f t="array" ref="P130">_xlfn.XLOOKUP(A130&amp;B130&amp;C130,赠品!$A:$A&amp;赠品!$B:$B&amp;赠品!$C:$C,赠品!$D:$D)</f>
        <v/>
      </c>
      <c r="Q130" s="18" t="str">
        <f>IF($C130="","",IF(AND(M130="",N130="",P130=""),"",固定信息!$B$1))</f>
        <v/>
      </c>
      <c r="R130" s="18" t="str">
        <f t="array" ref="R130">IF(ISNUMBER(SEARCH("是",_xlfn.XLOOKUP(A130&amp;B130&amp;C130,盘货信息!$A:$A&amp;盘货信息!$B:$B&amp;盘货信息!$C:$C,盘货信息!$U:$U))),"【折扣】指定型号满2类享96折，满3类享94折","")</f>
        <v/>
      </c>
      <c r="S130" s="18" t="str">
        <f t="array" ref="S130">IF(_xlfn.XLOOKUP(A130&amp;B130&amp;C130,盘货信息!$A:$A&amp;盘货信息!$B:$B&amp;盘货信息!$C:$C,盘货信息!$Q:$Q)&lt;1,"","【红包】活动时间购机送"&amp;_xlfn.TEXTJOIN("",,IF(ISNUMBER(--MID(_xlfn.XLOOKUP(A130&amp;B130&amp;C130,盘货信息!$A:$A&amp;盘货信息!$B:$B&amp;盘货信息!$C:$C,盘货信息!$Q:$Q),_xlfn.SEQUENCE(LEN(_xlfn.XLOOKUP(A130&amp;B130&amp;C130,盘货信息!$A:$A&amp;盘货信息!$B:$B&amp;盘货信息!$C:$C,盘货信息!$Q:$Q))),1)),MID(_xlfn.XLOOKUP(A130&amp;B130&amp;C130,盘货信息!$A:$A&amp;盘货信息!$B:$B&amp;盘货信息!$C:$C,盘货信息!$Q:$Q),_xlfn.SEQUENCE(LEN(_xlfn.XLOOKUP(A130&amp;B130&amp;C130,盘货信息!$A:$A&amp;盘货信息!$B:$B&amp;盘货信息!$C:$C,盘货信息!$Q:$Q))),1),""))&amp;"元")</f>
        <v/>
      </c>
      <c r="T130" s="18" t="str">
        <f t="array" ref="T130">IF(ISNUMBER(SEARCH("是",_xlfn.XLOOKUP(A130&amp;B130&amp;C130,盘货信息!$A:$A&amp;盘货信息!$B:$B&amp;盘货信息!$C:$C,盘货信息!$T:$T))),"【瓜分】"&amp;固定信息!$B$7,"")</f>
        <v/>
      </c>
      <c r="U130" s="18" t="str">
        <f>IF($C130="","",IF(AND(R130="",S130="",T130=""),"",固定信息!$B$1))</f>
        <v/>
      </c>
      <c r="V130" s="18" t="str">
        <f t="array" ref="V130">IF(C130="","","【服务】"&amp;IF(_xlfn.XLOOKUP(A130&amp;B130&amp;C130,盘货信息!$A:$A&amp;盘货信息!$B:$B&amp;盘货信息!$C:$C,盘货信息!$V:$V)="","",_xlfn.XLOOKUP(A130&amp;B130&amp;C130,盘货信息!$A:$A&amp;盘货信息!$B:$B&amp;盘货信息!$C:$C,盘货信息!$V:$V)&amp;"免息,")&amp;IF(_xlfn.XLOOKUP(A130&amp;B130&amp;C130,盘货信息!$A:$A&amp;盘货信息!$B:$B&amp;盘货信息!$C:$C,盘货信息!$W:$W)="","",_xlfn.XLOOKUP(A130&amp;B130&amp;C130,盘货信息!$A:$A&amp;盘货信息!$B:$B&amp;盘货信息!$C:$C,盘货信息!$W:$W)&amp;"，")&amp;"送货入户，退换免运费")</f>
        <v/>
      </c>
    </row>
    <row r="131" customHeight="1" spans="1:22">
      <c r="A131" s="17" t="str">
        <f>IF(盘货信息!A131="","",盘货信息!A131)</f>
        <v/>
      </c>
      <c r="B131" s="20" t="str">
        <f>IF(盘货信息!B131="","",盘货信息!B131)</f>
        <v/>
      </c>
      <c r="C131" s="20" t="str">
        <f>IF(盘货信息!C131="","",盘货信息!C131)</f>
        <v/>
      </c>
      <c r="D131" s="18" t="str">
        <f ca="1" t="shared" si="2"/>
        <v/>
      </c>
      <c r="E131" s="18" t="str">
        <f>IF(C131="","",固定信息!$B$2)</f>
        <v/>
      </c>
      <c r="F131" s="18" t="str">
        <f t="array" ref="F131">IF(C131="","","【"&amp;C131&amp;"】"&amp;_xlfn.XLOOKUP(A131&amp;B131&amp;C131,盘货信息!$A:$A&amp;盘货信息!$B:$B&amp;盘货信息!$C:$C,盘货信息!$D:$D))</f>
        <v/>
      </c>
      <c r="G131" s="18" t="str">
        <f>IF(C131="","","【"&amp;"活动时间："&amp;固定信息!$B$3&amp;"】")</f>
        <v/>
      </c>
      <c r="H131" s="18" t="str">
        <f>IF($C131="","",固定信息!$B$1)</f>
        <v/>
      </c>
      <c r="I131" s="18"/>
      <c r="J131" s="18" t="str">
        <f t="array" ref="J131">_xlfn.XLOOKUP(A131&amp;B131&amp;C131,价格信息!$A:$A&amp;价格信息!$B:$B&amp;价格信息!$C:$C,价格信息!$D:$D)</f>
        <v/>
      </c>
      <c r="K131" s="31" t="str">
        <f t="array" ref="K131">IF(_xlfn.XLOOKUP(A131&amp;B131&amp;C131,价格信息!$A:$A&amp;价格信息!$B:$B&amp;价格信息!$C:$C,价格信息!$I:$I)="","","【优惠券链接】"&amp;固定信息!$B$6)</f>
        <v/>
      </c>
      <c r="L131" s="31" t="str">
        <f>IF($C131="","",固定信息!$B$1)</f>
        <v/>
      </c>
      <c r="M131" s="18" t="str">
        <f t="array" ref="M131">IF(_xlfn.XLOOKUP(A131&amp;B131&amp;C131,盘货信息!$A:$A&amp;盘货信息!$B:$B&amp;盘货信息!$C:$C,盘货信息!$O:$O)="","","【优惠券】领"&amp;INDEX(_wpsfn.REGEXP(_xlfn.XLOOKUP(A131&amp;B131&amp;C131,盘货信息!$A:$A&amp;盘货信息!$B:$B&amp;盘货信息!$C:$C,盘货信息!$O:$O),"\d+"),1,1)&amp;"元优惠券下单更优惠，优惠卷："&amp;_xlfn.XLOOKUP(A131&amp;B131&amp;C131,盘货信息!$A:$A&amp;盘货信息!$B:$B&amp;盘货信息!$C:$C,盘货信息!$P:$P))</f>
        <v/>
      </c>
      <c r="N131" s="18" t="str">
        <f t="array" ref="N131">IF(AND(ISNUMBER(_xlfn.XLOOKUP(A131&amp;B131&amp;C131,盘货信息!$A:$A&amp;盘货信息!$B:$B&amp;盘货信息!$C:$C,盘货信息!$I:$I)),_xlfn.XLOOKUP(A131&amp;B131&amp;C131,盘货信息!$A:$A&amp;盘货信息!$B:$B&amp;盘货信息!$C:$C,盘货信息!$I:$I)&gt;1),"【88VIP】立减"&amp;_xlfn.XLOOKUP(A131&amp;B131&amp;C131,盘货信息!$A:$A&amp;盘货信息!$B:$B&amp;盘货信息!$C:$C,盘货信息!$I:$I)&amp;"元","")</f>
        <v/>
      </c>
      <c r="O131" s="18" t="str">
        <f t="array" ref="O131">IF(_xlfn.XLOOKUP(A131&amp;B131&amp;C131,盘货信息!$A:$A&amp;盘货信息!$B:$B&amp;盘货信息!$C:$C,盘货信息!$K:$K)="","",IF(AND(_xlfn.XLOOKUP(A131&amp;B131&amp;C131,盘货信息!$A:$A&amp;盘货信息!$B:$B&amp;盘货信息!$C:$C,盘货信息!$G:$G)="不参加",_xlfn.XLOOKUP(A131&amp;B131&amp;C131,盘货信息!$A:$A&amp;盘货信息!$B:$B&amp;盘货信息!$C:$C,盘货信息!$H:$H)=""),"【以旧换新】"&amp;_xlfn.XLOOKUP(A131&amp;B131&amp;C131,盘货信息!$A:$A&amp;盘货信息!$B:$B&amp;盘货信息!$C:$C,盘货信息!$K:$K)&amp;"元以旧换新补贴（可无旧机换新）",""))</f>
        <v/>
      </c>
      <c r="P131" s="18" t="str">
        <f t="array" ref="P131">_xlfn.XLOOKUP(A131&amp;B131&amp;C131,赠品!$A:$A&amp;赠品!$B:$B&amp;赠品!$C:$C,赠品!$D:$D)</f>
        <v/>
      </c>
      <c r="Q131" s="18" t="str">
        <f>IF($C131="","",IF(AND(M131="",N131="",P131=""),"",固定信息!$B$1))</f>
        <v/>
      </c>
      <c r="R131" s="18" t="str">
        <f t="array" ref="R131">IF(ISNUMBER(SEARCH("是",_xlfn.XLOOKUP(A131&amp;B131&amp;C131,盘货信息!$A:$A&amp;盘货信息!$B:$B&amp;盘货信息!$C:$C,盘货信息!$U:$U))),"【折扣】指定型号满2类享96折，满3类享94折","")</f>
        <v/>
      </c>
      <c r="S131" s="18" t="str">
        <f t="array" ref="S131">IF(_xlfn.XLOOKUP(A131&amp;B131&amp;C131,盘货信息!$A:$A&amp;盘货信息!$B:$B&amp;盘货信息!$C:$C,盘货信息!$Q:$Q)&lt;1,"","【红包】活动时间购机送"&amp;_xlfn.TEXTJOIN("",,IF(ISNUMBER(--MID(_xlfn.XLOOKUP(A131&amp;B131&amp;C131,盘货信息!$A:$A&amp;盘货信息!$B:$B&amp;盘货信息!$C:$C,盘货信息!$Q:$Q),_xlfn.SEQUENCE(LEN(_xlfn.XLOOKUP(A131&amp;B131&amp;C131,盘货信息!$A:$A&amp;盘货信息!$B:$B&amp;盘货信息!$C:$C,盘货信息!$Q:$Q))),1)),MID(_xlfn.XLOOKUP(A131&amp;B131&amp;C131,盘货信息!$A:$A&amp;盘货信息!$B:$B&amp;盘货信息!$C:$C,盘货信息!$Q:$Q),_xlfn.SEQUENCE(LEN(_xlfn.XLOOKUP(A131&amp;B131&amp;C131,盘货信息!$A:$A&amp;盘货信息!$B:$B&amp;盘货信息!$C:$C,盘货信息!$Q:$Q))),1),""))&amp;"元")</f>
        <v/>
      </c>
      <c r="T131" s="18" t="str">
        <f t="array" ref="T131">IF(ISNUMBER(SEARCH("是",_xlfn.XLOOKUP(A131&amp;B131&amp;C131,盘货信息!$A:$A&amp;盘货信息!$B:$B&amp;盘货信息!$C:$C,盘货信息!$T:$T))),"【瓜分】"&amp;固定信息!$B$7,"")</f>
        <v/>
      </c>
      <c r="U131" s="18" t="str">
        <f>IF($C131="","",IF(AND(R131="",S131="",T131=""),"",固定信息!$B$1))</f>
        <v/>
      </c>
      <c r="V131" s="18" t="str">
        <f t="array" ref="V131">IF(C131="","","【服务】"&amp;IF(_xlfn.XLOOKUP(A131&amp;B131&amp;C131,盘货信息!$A:$A&amp;盘货信息!$B:$B&amp;盘货信息!$C:$C,盘货信息!$V:$V)="","",_xlfn.XLOOKUP(A131&amp;B131&amp;C131,盘货信息!$A:$A&amp;盘货信息!$B:$B&amp;盘货信息!$C:$C,盘货信息!$V:$V)&amp;"免息,")&amp;IF(_xlfn.XLOOKUP(A131&amp;B131&amp;C131,盘货信息!$A:$A&amp;盘货信息!$B:$B&amp;盘货信息!$C:$C,盘货信息!$W:$W)="","",_xlfn.XLOOKUP(A131&amp;B131&amp;C131,盘货信息!$A:$A&amp;盘货信息!$B:$B&amp;盘货信息!$C:$C,盘货信息!$W:$W)&amp;"，")&amp;"送货入户，退换免运费")</f>
        <v/>
      </c>
    </row>
    <row r="132" customHeight="1" spans="1:22">
      <c r="A132" s="17" t="str">
        <f>IF(盘货信息!A132="","",盘货信息!A132)</f>
        <v/>
      </c>
      <c r="B132" s="20" t="str">
        <f>IF(盘货信息!B132="","",盘货信息!B132)</f>
        <v/>
      </c>
      <c r="C132" s="20" t="str">
        <f>IF(盘货信息!C132="","",盘货信息!C132)</f>
        <v/>
      </c>
      <c r="D132" s="18" t="str">
        <f ca="1" t="shared" si="2"/>
        <v/>
      </c>
      <c r="E132" s="18" t="str">
        <f>IF(C132="","",固定信息!$B$2)</f>
        <v/>
      </c>
      <c r="F132" s="18" t="str">
        <f t="array" ref="F132">IF(C132="","","【"&amp;C132&amp;"】"&amp;_xlfn.XLOOKUP(A132&amp;B132&amp;C132,盘货信息!$A:$A&amp;盘货信息!$B:$B&amp;盘货信息!$C:$C,盘货信息!$D:$D))</f>
        <v/>
      </c>
      <c r="G132" s="18" t="str">
        <f>IF(C132="","","【"&amp;"活动时间："&amp;固定信息!$B$3&amp;"】")</f>
        <v/>
      </c>
      <c r="H132" s="18" t="str">
        <f>IF($C132="","",固定信息!$B$1)</f>
        <v/>
      </c>
      <c r="I132" s="18"/>
      <c r="J132" s="18" t="str">
        <f t="array" ref="J132">_xlfn.XLOOKUP(A132&amp;B132&amp;C132,价格信息!$A:$A&amp;价格信息!$B:$B&amp;价格信息!$C:$C,价格信息!$D:$D)</f>
        <v/>
      </c>
      <c r="K132" s="31" t="str">
        <f t="array" ref="K132">IF(_xlfn.XLOOKUP(A132&amp;B132&amp;C132,价格信息!$A:$A&amp;价格信息!$B:$B&amp;价格信息!$C:$C,价格信息!$I:$I)="","","【优惠券链接】"&amp;固定信息!$B$6)</f>
        <v/>
      </c>
      <c r="L132" s="31" t="str">
        <f>IF($C132="","",固定信息!$B$1)</f>
        <v/>
      </c>
      <c r="M132" s="18" t="str">
        <f t="array" ref="M132">IF(_xlfn.XLOOKUP(A132&amp;B132&amp;C132,盘货信息!$A:$A&amp;盘货信息!$B:$B&amp;盘货信息!$C:$C,盘货信息!$O:$O)="","","【优惠券】领"&amp;INDEX(_wpsfn.REGEXP(_xlfn.XLOOKUP(A132&amp;B132&amp;C132,盘货信息!$A:$A&amp;盘货信息!$B:$B&amp;盘货信息!$C:$C,盘货信息!$O:$O),"\d+"),1,1)&amp;"元优惠券下单更优惠，优惠卷："&amp;_xlfn.XLOOKUP(A132&amp;B132&amp;C132,盘货信息!$A:$A&amp;盘货信息!$B:$B&amp;盘货信息!$C:$C,盘货信息!$P:$P))</f>
        <v/>
      </c>
      <c r="N132" s="18" t="str">
        <f t="array" ref="N132">IF(AND(ISNUMBER(_xlfn.XLOOKUP(A132&amp;B132&amp;C132,盘货信息!$A:$A&amp;盘货信息!$B:$B&amp;盘货信息!$C:$C,盘货信息!$I:$I)),_xlfn.XLOOKUP(A132&amp;B132&amp;C132,盘货信息!$A:$A&amp;盘货信息!$B:$B&amp;盘货信息!$C:$C,盘货信息!$I:$I)&gt;1),"【88VIP】立减"&amp;_xlfn.XLOOKUP(A132&amp;B132&amp;C132,盘货信息!$A:$A&amp;盘货信息!$B:$B&amp;盘货信息!$C:$C,盘货信息!$I:$I)&amp;"元","")</f>
        <v/>
      </c>
      <c r="O132" s="18" t="str">
        <f t="array" ref="O132">IF(_xlfn.XLOOKUP(A132&amp;B132&amp;C132,盘货信息!$A:$A&amp;盘货信息!$B:$B&amp;盘货信息!$C:$C,盘货信息!$K:$K)="","",IF(AND(_xlfn.XLOOKUP(A132&amp;B132&amp;C132,盘货信息!$A:$A&amp;盘货信息!$B:$B&amp;盘货信息!$C:$C,盘货信息!$G:$G)="不参加",_xlfn.XLOOKUP(A132&amp;B132&amp;C132,盘货信息!$A:$A&amp;盘货信息!$B:$B&amp;盘货信息!$C:$C,盘货信息!$H:$H)=""),"【以旧换新】"&amp;_xlfn.XLOOKUP(A132&amp;B132&amp;C132,盘货信息!$A:$A&amp;盘货信息!$B:$B&amp;盘货信息!$C:$C,盘货信息!$K:$K)&amp;"元以旧换新补贴（可无旧机换新）",""))</f>
        <v/>
      </c>
      <c r="P132" s="18" t="str">
        <f t="array" ref="P132">_xlfn.XLOOKUP(A132&amp;B132&amp;C132,赠品!$A:$A&amp;赠品!$B:$B&amp;赠品!$C:$C,赠品!$D:$D)</f>
        <v/>
      </c>
      <c r="Q132" s="18" t="str">
        <f>IF($C132="","",IF(AND(M132="",N132="",P132=""),"",固定信息!$B$1))</f>
        <v/>
      </c>
      <c r="R132" s="18" t="str">
        <f t="array" ref="R132">IF(ISNUMBER(SEARCH("是",_xlfn.XLOOKUP(A132&amp;B132&amp;C132,盘货信息!$A:$A&amp;盘货信息!$B:$B&amp;盘货信息!$C:$C,盘货信息!$U:$U))),"【折扣】指定型号满2类享96折，满3类享94折","")</f>
        <v/>
      </c>
      <c r="S132" s="18" t="str">
        <f t="array" ref="S132">IF(_xlfn.XLOOKUP(A132&amp;B132&amp;C132,盘货信息!$A:$A&amp;盘货信息!$B:$B&amp;盘货信息!$C:$C,盘货信息!$Q:$Q)&lt;1,"","【红包】活动时间购机送"&amp;_xlfn.TEXTJOIN("",,IF(ISNUMBER(--MID(_xlfn.XLOOKUP(A132&amp;B132&amp;C132,盘货信息!$A:$A&amp;盘货信息!$B:$B&amp;盘货信息!$C:$C,盘货信息!$Q:$Q),_xlfn.SEQUENCE(LEN(_xlfn.XLOOKUP(A132&amp;B132&amp;C132,盘货信息!$A:$A&amp;盘货信息!$B:$B&amp;盘货信息!$C:$C,盘货信息!$Q:$Q))),1)),MID(_xlfn.XLOOKUP(A132&amp;B132&amp;C132,盘货信息!$A:$A&amp;盘货信息!$B:$B&amp;盘货信息!$C:$C,盘货信息!$Q:$Q),_xlfn.SEQUENCE(LEN(_xlfn.XLOOKUP(A132&amp;B132&amp;C132,盘货信息!$A:$A&amp;盘货信息!$B:$B&amp;盘货信息!$C:$C,盘货信息!$Q:$Q))),1),""))&amp;"元")</f>
        <v/>
      </c>
      <c r="T132" s="18" t="str">
        <f t="array" ref="T132">IF(ISNUMBER(SEARCH("是",_xlfn.XLOOKUP(A132&amp;B132&amp;C132,盘货信息!$A:$A&amp;盘货信息!$B:$B&amp;盘货信息!$C:$C,盘货信息!$T:$T))),"【瓜分】"&amp;固定信息!$B$7,"")</f>
        <v/>
      </c>
      <c r="U132" s="18" t="str">
        <f>IF($C132="","",IF(AND(R132="",S132="",T132=""),"",固定信息!$B$1))</f>
        <v/>
      </c>
      <c r="V132" s="18" t="str">
        <f t="array" ref="V132">IF(C132="","","【服务】"&amp;IF(_xlfn.XLOOKUP(A132&amp;B132&amp;C132,盘货信息!$A:$A&amp;盘货信息!$B:$B&amp;盘货信息!$C:$C,盘货信息!$V:$V)="","",_xlfn.XLOOKUP(A132&amp;B132&amp;C132,盘货信息!$A:$A&amp;盘货信息!$B:$B&amp;盘货信息!$C:$C,盘货信息!$V:$V)&amp;"免息,")&amp;IF(_xlfn.XLOOKUP(A132&amp;B132&amp;C132,盘货信息!$A:$A&amp;盘货信息!$B:$B&amp;盘货信息!$C:$C,盘货信息!$W:$W)="","",_xlfn.XLOOKUP(A132&amp;B132&amp;C132,盘货信息!$A:$A&amp;盘货信息!$B:$B&amp;盘货信息!$C:$C,盘货信息!$W:$W)&amp;"，")&amp;"送货入户，退换免运费")</f>
        <v/>
      </c>
    </row>
    <row r="133" customHeight="1" spans="1:22">
      <c r="A133" s="17" t="str">
        <f>IF(盘货信息!A133="","",盘货信息!A133)</f>
        <v/>
      </c>
      <c r="B133" s="20" t="str">
        <f>IF(盘货信息!B133="","",盘货信息!B133)</f>
        <v/>
      </c>
      <c r="C133" s="20" t="str">
        <f>IF(盘货信息!C133="","",盘货信息!C133)</f>
        <v/>
      </c>
      <c r="D133" s="18" t="str">
        <f ca="1" t="shared" si="2"/>
        <v/>
      </c>
      <c r="E133" s="18" t="str">
        <f>IF(C133="","",固定信息!$B$2)</f>
        <v/>
      </c>
      <c r="F133" s="18" t="str">
        <f t="array" ref="F133">IF(C133="","","【"&amp;C133&amp;"】"&amp;_xlfn.XLOOKUP(A133&amp;B133&amp;C133,盘货信息!$A:$A&amp;盘货信息!$B:$B&amp;盘货信息!$C:$C,盘货信息!$D:$D))</f>
        <v/>
      </c>
      <c r="G133" s="18" t="str">
        <f>IF(C133="","","【"&amp;"活动时间："&amp;固定信息!$B$3&amp;"】")</f>
        <v/>
      </c>
      <c r="H133" s="18" t="str">
        <f>IF($C133="","",固定信息!$B$1)</f>
        <v/>
      </c>
      <c r="I133" s="18"/>
      <c r="J133" s="18" t="str">
        <f t="array" ref="J133">_xlfn.XLOOKUP(A133&amp;B133&amp;C133,价格信息!$A:$A&amp;价格信息!$B:$B&amp;价格信息!$C:$C,价格信息!$D:$D)</f>
        <v/>
      </c>
      <c r="K133" s="31" t="str">
        <f t="array" ref="K133">IF(_xlfn.XLOOKUP(A133&amp;B133&amp;C133,价格信息!$A:$A&amp;价格信息!$B:$B&amp;价格信息!$C:$C,价格信息!$I:$I)="","","【优惠券链接】"&amp;固定信息!$B$6)</f>
        <v/>
      </c>
      <c r="L133" s="31" t="str">
        <f>IF($C133="","",固定信息!$B$1)</f>
        <v/>
      </c>
      <c r="M133" s="18" t="str">
        <f t="array" ref="M133">IF(_xlfn.XLOOKUP(A133&amp;B133&amp;C133,盘货信息!$A:$A&amp;盘货信息!$B:$B&amp;盘货信息!$C:$C,盘货信息!$O:$O)="","","【优惠券】领"&amp;INDEX(_wpsfn.REGEXP(_xlfn.XLOOKUP(A133&amp;B133&amp;C133,盘货信息!$A:$A&amp;盘货信息!$B:$B&amp;盘货信息!$C:$C,盘货信息!$O:$O),"\d+"),1,1)&amp;"元优惠券下单更优惠，优惠卷："&amp;_xlfn.XLOOKUP(A133&amp;B133&amp;C133,盘货信息!$A:$A&amp;盘货信息!$B:$B&amp;盘货信息!$C:$C,盘货信息!$P:$P))</f>
        <v/>
      </c>
      <c r="N133" s="18" t="str">
        <f t="array" ref="N133">IF(AND(ISNUMBER(_xlfn.XLOOKUP(A133&amp;B133&amp;C133,盘货信息!$A:$A&amp;盘货信息!$B:$B&amp;盘货信息!$C:$C,盘货信息!$I:$I)),_xlfn.XLOOKUP(A133&amp;B133&amp;C133,盘货信息!$A:$A&amp;盘货信息!$B:$B&amp;盘货信息!$C:$C,盘货信息!$I:$I)&gt;1),"【88VIP】立减"&amp;_xlfn.XLOOKUP(A133&amp;B133&amp;C133,盘货信息!$A:$A&amp;盘货信息!$B:$B&amp;盘货信息!$C:$C,盘货信息!$I:$I)&amp;"元","")</f>
        <v/>
      </c>
      <c r="O133" s="18" t="str">
        <f t="array" ref="O133">IF(_xlfn.XLOOKUP(A133&amp;B133&amp;C133,盘货信息!$A:$A&amp;盘货信息!$B:$B&amp;盘货信息!$C:$C,盘货信息!$K:$K)="","",IF(AND(_xlfn.XLOOKUP(A133&amp;B133&amp;C133,盘货信息!$A:$A&amp;盘货信息!$B:$B&amp;盘货信息!$C:$C,盘货信息!$G:$G)="不参加",_xlfn.XLOOKUP(A133&amp;B133&amp;C133,盘货信息!$A:$A&amp;盘货信息!$B:$B&amp;盘货信息!$C:$C,盘货信息!$H:$H)=""),"【以旧换新】"&amp;_xlfn.XLOOKUP(A133&amp;B133&amp;C133,盘货信息!$A:$A&amp;盘货信息!$B:$B&amp;盘货信息!$C:$C,盘货信息!$K:$K)&amp;"元以旧换新补贴（可无旧机换新）",""))</f>
        <v/>
      </c>
      <c r="P133" s="18" t="str">
        <f t="array" ref="P133">_xlfn.XLOOKUP(A133&amp;B133&amp;C133,赠品!$A:$A&amp;赠品!$B:$B&amp;赠品!$C:$C,赠品!$D:$D)</f>
        <v/>
      </c>
      <c r="Q133" s="18" t="str">
        <f>IF($C133="","",IF(AND(M133="",N133="",P133=""),"",固定信息!$B$1))</f>
        <v/>
      </c>
      <c r="R133" s="18" t="str">
        <f t="array" ref="R133">IF(ISNUMBER(SEARCH("是",_xlfn.XLOOKUP(A133&amp;B133&amp;C133,盘货信息!$A:$A&amp;盘货信息!$B:$B&amp;盘货信息!$C:$C,盘货信息!$U:$U))),"【折扣】指定型号满2类享96折，满3类享94折","")</f>
        <v/>
      </c>
      <c r="S133" s="18" t="str">
        <f t="array" ref="S133">IF(_xlfn.XLOOKUP(A133&amp;B133&amp;C133,盘货信息!$A:$A&amp;盘货信息!$B:$B&amp;盘货信息!$C:$C,盘货信息!$Q:$Q)&lt;1,"","【红包】活动时间购机送"&amp;_xlfn.TEXTJOIN("",,IF(ISNUMBER(--MID(_xlfn.XLOOKUP(A133&amp;B133&amp;C133,盘货信息!$A:$A&amp;盘货信息!$B:$B&amp;盘货信息!$C:$C,盘货信息!$Q:$Q),_xlfn.SEQUENCE(LEN(_xlfn.XLOOKUP(A133&amp;B133&amp;C133,盘货信息!$A:$A&amp;盘货信息!$B:$B&amp;盘货信息!$C:$C,盘货信息!$Q:$Q))),1)),MID(_xlfn.XLOOKUP(A133&amp;B133&amp;C133,盘货信息!$A:$A&amp;盘货信息!$B:$B&amp;盘货信息!$C:$C,盘货信息!$Q:$Q),_xlfn.SEQUENCE(LEN(_xlfn.XLOOKUP(A133&amp;B133&amp;C133,盘货信息!$A:$A&amp;盘货信息!$B:$B&amp;盘货信息!$C:$C,盘货信息!$Q:$Q))),1),""))&amp;"元")</f>
        <v/>
      </c>
      <c r="T133" s="18" t="str">
        <f t="array" ref="T133">IF(ISNUMBER(SEARCH("是",_xlfn.XLOOKUP(A133&amp;B133&amp;C133,盘货信息!$A:$A&amp;盘货信息!$B:$B&amp;盘货信息!$C:$C,盘货信息!$T:$T))),"【瓜分】"&amp;固定信息!$B$7,"")</f>
        <v/>
      </c>
      <c r="U133" s="18" t="str">
        <f>IF($C133="","",IF(AND(R133="",S133="",T133=""),"",固定信息!$B$1))</f>
        <v/>
      </c>
      <c r="V133" s="18" t="str">
        <f t="array" ref="V133">IF(C133="","","【服务】"&amp;IF(_xlfn.XLOOKUP(A133&amp;B133&amp;C133,盘货信息!$A:$A&amp;盘货信息!$B:$B&amp;盘货信息!$C:$C,盘货信息!$V:$V)="","",_xlfn.XLOOKUP(A133&amp;B133&amp;C133,盘货信息!$A:$A&amp;盘货信息!$B:$B&amp;盘货信息!$C:$C,盘货信息!$V:$V)&amp;"免息,")&amp;IF(_xlfn.XLOOKUP(A133&amp;B133&amp;C133,盘货信息!$A:$A&amp;盘货信息!$B:$B&amp;盘货信息!$C:$C,盘货信息!$W:$W)="","",_xlfn.XLOOKUP(A133&amp;B133&amp;C133,盘货信息!$A:$A&amp;盘货信息!$B:$B&amp;盘货信息!$C:$C,盘货信息!$W:$W)&amp;"，")&amp;"送货入户，退换免运费")</f>
        <v/>
      </c>
    </row>
    <row r="134" customHeight="1" spans="1:22">
      <c r="A134" s="17" t="str">
        <f>IF(盘货信息!A134="","",盘货信息!A134)</f>
        <v/>
      </c>
      <c r="B134" s="20" t="str">
        <f>IF(盘货信息!B134="","",盘货信息!B134)</f>
        <v/>
      </c>
      <c r="C134" s="20" t="str">
        <f>IF(盘货信息!C134="","",盘货信息!C134)</f>
        <v/>
      </c>
      <c r="D134" s="18" t="str">
        <f ca="1" t="shared" si="2"/>
        <v/>
      </c>
      <c r="E134" s="18" t="str">
        <f>IF(C134="","",固定信息!$B$2)</f>
        <v/>
      </c>
      <c r="F134" s="18" t="str">
        <f t="array" ref="F134">IF(C134="","","【"&amp;C134&amp;"】"&amp;_xlfn.XLOOKUP(A134&amp;B134&amp;C134,盘货信息!$A:$A&amp;盘货信息!$B:$B&amp;盘货信息!$C:$C,盘货信息!$D:$D))</f>
        <v/>
      </c>
      <c r="G134" s="18" t="str">
        <f>IF(C134="","","【"&amp;"活动时间："&amp;固定信息!$B$3&amp;"】")</f>
        <v/>
      </c>
      <c r="H134" s="18" t="str">
        <f>IF($C134="","",固定信息!$B$1)</f>
        <v/>
      </c>
      <c r="I134" s="18"/>
      <c r="J134" s="18" t="str">
        <f t="array" ref="J134">_xlfn.XLOOKUP(A134&amp;B134&amp;C134,价格信息!$A:$A&amp;价格信息!$B:$B&amp;价格信息!$C:$C,价格信息!$D:$D)</f>
        <v/>
      </c>
      <c r="K134" s="31" t="str">
        <f t="array" ref="K134">IF(_xlfn.XLOOKUP(A134&amp;B134&amp;C134,价格信息!$A:$A&amp;价格信息!$B:$B&amp;价格信息!$C:$C,价格信息!$I:$I)="","","【优惠券链接】"&amp;固定信息!$B$6)</f>
        <v/>
      </c>
      <c r="L134" s="31" t="str">
        <f>IF($C134="","",固定信息!$B$1)</f>
        <v/>
      </c>
      <c r="M134" s="18" t="str">
        <f t="array" ref="M134">IF(_xlfn.XLOOKUP(A134&amp;B134&amp;C134,盘货信息!$A:$A&amp;盘货信息!$B:$B&amp;盘货信息!$C:$C,盘货信息!$O:$O)="","","【优惠券】领"&amp;INDEX(_wpsfn.REGEXP(_xlfn.XLOOKUP(A134&amp;B134&amp;C134,盘货信息!$A:$A&amp;盘货信息!$B:$B&amp;盘货信息!$C:$C,盘货信息!$O:$O),"\d+"),1,1)&amp;"元优惠券下单更优惠，优惠卷："&amp;_xlfn.XLOOKUP(A134&amp;B134&amp;C134,盘货信息!$A:$A&amp;盘货信息!$B:$B&amp;盘货信息!$C:$C,盘货信息!$P:$P))</f>
        <v/>
      </c>
      <c r="N134" s="18" t="str">
        <f t="array" ref="N134">IF(AND(ISNUMBER(_xlfn.XLOOKUP(A134&amp;B134&amp;C134,盘货信息!$A:$A&amp;盘货信息!$B:$B&amp;盘货信息!$C:$C,盘货信息!$I:$I)),_xlfn.XLOOKUP(A134&amp;B134&amp;C134,盘货信息!$A:$A&amp;盘货信息!$B:$B&amp;盘货信息!$C:$C,盘货信息!$I:$I)&gt;1),"【88VIP】立减"&amp;_xlfn.XLOOKUP(A134&amp;B134&amp;C134,盘货信息!$A:$A&amp;盘货信息!$B:$B&amp;盘货信息!$C:$C,盘货信息!$I:$I)&amp;"元","")</f>
        <v/>
      </c>
      <c r="O134" s="18" t="str">
        <f t="array" ref="O134">IF(_xlfn.XLOOKUP(A134&amp;B134&amp;C134,盘货信息!$A:$A&amp;盘货信息!$B:$B&amp;盘货信息!$C:$C,盘货信息!$K:$K)="","",IF(AND(_xlfn.XLOOKUP(A134&amp;B134&amp;C134,盘货信息!$A:$A&amp;盘货信息!$B:$B&amp;盘货信息!$C:$C,盘货信息!$G:$G)="不参加",_xlfn.XLOOKUP(A134&amp;B134&amp;C134,盘货信息!$A:$A&amp;盘货信息!$B:$B&amp;盘货信息!$C:$C,盘货信息!$H:$H)=""),"【以旧换新】"&amp;_xlfn.XLOOKUP(A134&amp;B134&amp;C134,盘货信息!$A:$A&amp;盘货信息!$B:$B&amp;盘货信息!$C:$C,盘货信息!$K:$K)&amp;"元以旧换新补贴（可无旧机换新）",""))</f>
        <v/>
      </c>
      <c r="P134" s="18" t="str">
        <f t="array" ref="P134">_xlfn.XLOOKUP(A134&amp;B134&amp;C134,赠品!$A:$A&amp;赠品!$B:$B&amp;赠品!$C:$C,赠品!$D:$D)</f>
        <v/>
      </c>
      <c r="Q134" s="18" t="str">
        <f>IF($C134="","",IF(AND(M134="",N134="",P134=""),"",固定信息!$B$1))</f>
        <v/>
      </c>
      <c r="R134" s="18" t="str">
        <f t="array" ref="R134">IF(ISNUMBER(SEARCH("是",_xlfn.XLOOKUP(A134&amp;B134&amp;C134,盘货信息!$A:$A&amp;盘货信息!$B:$B&amp;盘货信息!$C:$C,盘货信息!$U:$U))),"【折扣】指定型号满2类享96折，满3类享94折","")</f>
        <v/>
      </c>
      <c r="S134" s="18" t="str">
        <f t="array" ref="S134">IF(_xlfn.XLOOKUP(A134&amp;B134&amp;C134,盘货信息!$A:$A&amp;盘货信息!$B:$B&amp;盘货信息!$C:$C,盘货信息!$Q:$Q)&lt;1,"","【红包】活动时间购机送"&amp;_xlfn.TEXTJOIN("",,IF(ISNUMBER(--MID(_xlfn.XLOOKUP(A134&amp;B134&amp;C134,盘货信息!$A:$A&amp;盘货信息!$B:$B&amp;盘货信息!$C:$C,盘货信息!$Q:$Q),_xlfn.SEQUENCE(LEN(_xlfn.XLOOKUP(A134&amp;B134&amp;C134,盘货信息!$A:$A&amp;盘货信息!$B:$B&amp;盘货信息!$C:$C,盘货信息!$Q:$Q))),1)),MID(_xlfn.XLOOKUP(A134&amp;B134&amp;C134,盘货信息!$A:$A&amp;盘货信息!$B:$B&amp;盘货信息!$C:$C,盘货信息!$Q:$Q),_xlfn.SEQUENCE(LEN(_xlfn.XLOOKUP(A134&amp;B134&amp;C134,盘货信息!$A:$A&amp;盘货信息!$B:$B&amp;盘货信息!$C:$C,盘货信息!$Q:$Q))),1),""))&amp;"元")</f>
        <v/>
      </c>
      <c r="T134" s="18" t="str">
        <f t="array" ref="T134">IF(ISNUMBER(SEARCH("是",_xlfn.XLOOKUP(A134&amp;B134&amp;C134,盘货信息!$A:$A&amp;盘货信息!$B:$B&amp;盘货信息!$C:$C,盘货信息!$T:$T))),"【瓜分】"&amp;固定信息!$B$7,"")</f>
        <v/>
      </c>
      <c r="U134" s="18" t="str">
        <f>IF($C134="","",IF(AND(R134="",S134="",T134=""),"",固定信息!$B$1))</f>
        <v/>
      </c>
      <c r="V134" s="18" t="str">
        <f t="array" ref="V134">IF(C134="","","【服务】"&amp;IF(_xlfn.XLOOKUP(A134&amp;B134&amp;C134,盘货信息!$A:$A&amp;盘货信息!$B:$B&amp;盘货信息!$C:$C,盘货信息!$V:$V)="","",_xlfn.XLOOKUP(A134&amp;B134&amp;C134,盘货信息!$A:$A&amp;盘货信息!$B:$B&amp;盘货信息!$C:$C,盘货信息!$V:$V)&amp;"免息,")&amp;IF(_xlfn.XLOOKUP(A134&amp;B134&amp;C134,盘货信息!$A:$A&amp;盘货信息!$B:$B&amp;盘货信息!$C:$C,盘货信息!$W:$W)="","",_xlfn.XLOOKUP(A134&amp;B134&amp;C134,盘货信息!$A:$A&amp;盘货信息!$B:$B&amp;盘货信息!$C:$C,盘货信息!$W:$W)&amp;"，")&amp;"送货入户，退换免运费")</f>
        <v/>
      </c>
    </row>
    <row r="135" customHeight="1" spans="1:22">
      <c r="A135" s="17" t="str">
        <f>IF(盘货信息!A135="","",盘货信息!A135)</f>
        <v/>
      </c>
      <c r="B135" s="20" t="str">
        <f>IF(盘货信息!B135="","",盘货信息!B135)</f>
        <v/>
      </c>
      <c r="C135" s="20" t="str">
        <f>IF(盘货信息!C135="","",盘货信息!C135)</f>
        <v/>
      </c>
      <c r="D135" s="18" t="str">
        <f ca="1" t="shared" si="2"/>
        <v/>
      </c>
      <c r="E135" s="18" t="str">
        <f>IF(C135="","",固定信息!$B$2)</f>
        <v/>
      </c>
      <c r="F135" s="18" t="str">
        <f t="array" ref="F135">IF(C135="","","【"&amp;C135&amp;"】"&amp;_xlfn.XLOOKUP(A135&amp;B135&amp;C135,盘货信息!$A:$A&amp;盘货信息!$B:$B&amp;盘货信息!$C:$C,盘货信息!$D:$D))</f>
        <v/>
      </c>
      <c r="G135" s="18" t="str">
        <f>IF(C135="","","【"&amp;"活动时间："&amp;固定信息!$B$3&amp;"】")</f>
        <v/>
      </c>
      <c r="H135" s="18" t="str">
        <f>IF($C135="","",固定信息!$B$1)</f>
        <v/>
      </c>
      <c r="I135" s="18"/>
      <c r="J135" s="18" t="str">
        <f t="array" ref="J135">_xlfn.XLOOKUP(A135&amp;B135&amp;C135,价格信息!$A:$A&amp;价格信息!$B:$B&amp;价格信息!$C:$C,价格信息!$D:$D)</f>
        <v/>
      </c>
      <c r="K135" s="31" t="str">
        <f t="array" ref="K135">IF(_xlfn.XLOOKUP(A135&amp;B135&amp;C135,价格信息!$A:$A&amp;价格信息!$B:$B&amp;价格信息!$C:$C,价格信息!$I:$I)="","","【优惠券链接】"&amp;固定信息!$B$6)</f>
        <v/>
      </c>
      <c r="L135" s="31" t="str">
        <f>IF($C135="","",固定信息!$B$1)</f>
        <v/>
      </c>
      <c r="M135" s="18" t="str">
        <f t="array" ref="M135">IF(_xlfn.XLOOKUP(A135&amp;B135&amp;C135,盘货信息!$A:$A&amp;盘货信息!$B:$B&amp;盘货信息!$C:$C,盘货信息!$O:$O)="","","【优惠券】领"&amp;INDEX(_wpsfn.REGEXP(_xlfn.XLOOKUP(A135&amp;B135&amp;C135,盘货信息!$A:$A&amp;盘货信息!$B:$B&amp;盘货信息!$C:$C,盘货信息!$O:$O),"\d+"),1,1)&amp;"元优惠券下单更优惠，优惠卷："&amp;_xlfn.XLOOKUP(A135&amp;B135&amp;C135,盘货信息!$A:$A&amp;盘货信息!$B:$B&amp;盘货信息!$C:$C,盘货信息!$P:$P))</f>
        <v/>
      </c>
      <c r="N135" s="18" t="str">
        <f t="array" ref="N135">IF(AND(ISNUMBER(_xlfn.XLOOKUP(A135&amp;B135&amp;C135,盘货信息!$A:$A&amp;盘货信息!$B:$B&amp;盘货信息!$C:$C,盘货信息!$I:$I)),_xlfn.XLOOKUP(A135&amp;B135&amp;C135,盘货信息!$A:$A&amp;盘货信息!$B:$B&amp;盘货信息!$C:$C,盘货信息!$I:$I)&gt;1),"【88VIP】立减"&amp;_xlfn.XLOOKUP(A135&amp;B135&amp;C135,盘货信息!$A:$A&amp;盘货信息!$B:$B&amp;盘货信息!$C:$C,盘货信息!$I:$I)&amp;"元","")</f>
        <v/>
      </c>
      <c r="O135" s="18" t="str">
        <f t="array" ref="O135">IF(_xlfn.XLOOKUP(A135&amp;B135&amp;C135,盘货信息!$A:$A&amp;盘货信息!$B:$B&amp;盘货信息!$C:$C,盘货信息!$K:$K)="","",IF(AND(_xlfn.XLOOKUP(A135&amp;B135&amp;C135,盘货信息!$A:$A&amp;盘货信息!$B:$B&amp;盘货信息!$C:$C,盘货信息!$G:$G)="不参加",_xlfn.XLOOKUP(A135&amp;B135&amp;C135,盘货信息!$A:$A&amp;盘货信息!$B:$B&amp;盘货信息!$C:$C,盘货信息!$H:$H)=""),"【以旧换新】"&amp;_xlfn.XLOOKUP(A135&amp;B135&amp;C135,盘货信息!$A:$A&amp;盘货信息!$B:$B&amp;盘货信息!$C:$C,盘货信息!$K:$K)&amp;"元以旧换新补贴（可无旧机换新）",""))</f>
        <v/>
      </c>
      <c r="P135" s="18" t="str">
        <f t="array" ref="P135">_xlfn.XLOOKUP(A135&amp;B135&amp;C135,赠品!$A:$A&amp;赠品!$B:$B&amp;赠品!$C:$C,赠品!$D:$D)</f>
        <v/>
      </c>
      <c r="Q135" s="18" t="str">
        <f>IF($C135="","",IF(AND(M135="",N135="",P135=""),"",固定信息!$B$1))</f>
        <v/>
      </c>
      <c r="R135" s="18" t="str">
        <f t="array" ref="R135">IF(ISNUMBER(SEARCH("是",_xlfn.XLOOKUP(A135&amp;B135&amp;C135,盘货信息!$A:$A&amp;盘货信息!$B:$B&amp;盘货信息!$C:$C,盘货信息!$U:$U))),"【折扣】指定型号满2类享96折，满3类享94折","")</f>
        <v/>
      </c>
      <c r="S135" s="18" t="str">
        <f t="array" ref="S135">IF(_xlfn.XLOOKUP(A135&amp;B135&amp;C135,盘货信息!$A:$A&amp;盘货信息!$B:$B&amp;盘货信息!$C:$C,盘货信息!$Q:$Q)&lt;1,"","【红包】活动时间购机送"&amp;_xlfn.TEXTJOIN("",,IF(ISNUMBER(--MID(_xlfn.XLOOKUP(A135&amp;B135&amp;C135,盘货信息!$A:$A&amp;盘货信息!$B:$B&amp;盘货信息!$C:$C,盘货信息!$Q:$Q),_xlfn.SEQUENCE(LEN(_xlfn.XLOOKUP(A135&amp;B135&amp;C135,盘货信息!$A:$A&amp;盘货信息!$B:$B&amp;盘货信息!$C:$C,盘货信息!$Q:$Q))),1)),MID(_xlfn.XLOOKUP(A135&amp;B135&amp;C135,盘货信息!$A:$A&amp;盘货信息!$B:$B&amp;盘货信息!$C:$C,盘货信息!$Q:$Q),_xlfn.SEQUENCE(LEN(_xlfn.XLOOKUP(A135&amp;B135&amp;C135,盘货信息!$A:$A&amp;盘货信息!$B:$B&amp;盘货信息!$C:$C,盘货信息!$Q:$Q))),1),""))&amp;"元")</f>
        <v/>
      </c>
      <c r="T135" s="18" t="str">
        <f t="array" ref="T135">IF(ISNUMBER(SEARCH("是",_xlfn.XLOOKUP(A135&amp;B135&amp;C135,盘货信息!$A:$A&amp;盘货信息!$B:$B&amp;盘货信息!$C:$C,盘货信息!$T:$T))),"【瓜分】"&amp;固定信息!$B$7,"")</f>
        <v/>
      </c>
      <c r="U135" s="18" t="str">
        <f>IF($C135="","",IF(AND(R135="",S135="",T135=""),"",固定信息!$B$1))</f>
        <v/>
      </c>
      <c r="V135" s="18" t="str">
        <f t="array" ref="V135">IF(C135="","","【服务】"&amp;IF(_xlfn.XLOOKUP(A135&amp;B135&amp;C135,盘货信息!$A:$A&amp;盘货信息!$B:$B&amp;盘货信息!$C:$C,盘货信息!$V:$V)="","",_xlfn.XLOOKUP(A135&amp;B135&amp;C135,盘货信息!$A:$A&amp;盘货信息!$B:$B&amp;盘货信息!$C:$C,盘货信息!$V:$V)&amp;"免息,")&amp;IF(_xlfn.XLOOKUP(A135&amp;B135&amp;C135,盘货信息!$A:$A&amp;盘货信息!$B:$B&amp;盘货信息!$C:$C,盘货信息!$W:$W)="","",_xlfn.XLOOKUP(A135&amp;B135&amp;C135,盘货信息!$A:$A&amp;盘货信息!$B:$B&amp;盘货信息!$C:$C,盘货信息!$W:$W)&amp;"，")&amp;"送货入户，退换免运费")</f>
        <v/>
      </c>
    </row>
    <row r="136" customHeight="1" spans="1:22">
      <c r="A136" s="17" t="str">
        <f>IF(盘货信息!A136="","",盘货信息!A136)</f>
        <v/>
      </c>
      <c r="B136" s="20" t="str">
        <f>IF(盘货信息!B136="","",盘货信息!B136)</f>
        <v/>
      </c>
      <c r="C136" s="20" t="str">
        <f>IF(盘货信息!C136="","",盘货信息!C136)</f>
        <v/>
      </c>
      <c r="D136" s="18" t="str">
        <f ca="1" t="shared" si="2"/>
        <v/>
      </c>
      <c r="E136" s="18" t="str">
        <f>IF(C136="","",固定信息!$B$2)</f>
        <v/>
      </c>
      <c r="F136" s="18" t="str">
        <f t="array" ref="F136">IF(C136="","","【"&amp;C136&amp;"】"&amp;_xlfn.XLOOKUP(A136&amp;B136&amp;C136,盘货信息!$A:$A&amp;盘货信息!$B:$B&amp;盘货信息!$C:$C,盘货信息!$D:$D))</f>
        <v/>
      </c>
      <c r="G136" s="18" t="str">
        <f>IF(C136="","","【"&amp;"活动时间："&amp;固定信息!$B$3&amp;"】")</f>
        <v/>
      </c>
      <c r="H136" s="18" t="str">
        <f>IF($C136="","",固定信息!$B$1)</f>
        <v/>
      </c>
      <c r="I136" s="18"/>
      <c r="J136" s="18" t="str">
        <f t="array" ref="J136">_xlfn.XLOOKUP(A136&amp;B136&amp;C136,价格信息!$A:$A&amp;价格信息!$B:$B&amp;价格信息!$C:$C,价格信息!$D:$D)</f>
        <v/>
      </c>
      <c r="K136" s="31" t="str">
        <f t="array" ref="K136">IF(_xlfn.XLOOKUP(A136&amp;B136&amp;C136,价格信息!$A:$A&amp;价格信息!$B:$B&amp;价格信息!$C:$C,价格信息!$I:$I)="","","【优惠券链接】"&amp;固定信息!$B$6)</f>
        <v/>
      </c>
      <c r="L136" s="31" t="str">
        <f>IF($C136="","",固定信息!$B$1)</f>
        <v/>
      </c>
      <c r="M136" s="18" t="str">
        <f t="array" ref="M136">IF(_xlfn.XLOOKUP(A136&amp;B136&amp;C136,盘货信息!$A:$A&amp;盘货信息!$B:$B&amp;盘货信息!$C:$C,盘货信息!$O:$O)="","","【优惠券】领"&amp;INDEX(_wpsfn.REGEXP(_xlfn.XLOOKUP(A136&amp;B136&amp;C136,盘货信息!$A:$A&amp;盘货信息!$B:$B&amp;盘货信息!$C:$C,盘货信息!$O:$O),"\d+"),1,1)&amp;"元优惠券下单更优惠，优惠卷："&amp;_xlfn.XLOOKUP(A136&amp;B136&amp;C136,盘货信息!$A:$A&amp;盘货信息!$B:$B&amp;盘货信息!$C:$C,盘货信息!$P:$P))</f>
        <v/>
      </c>
      <c r="N136" s="18" t="str">
        <f t="array" ref="N136">IF(AND(ISNUMBER(_xlfn.XLOOKUP(A136&amp;B136&amp;C136,盘货信息!$A:$A&amp;盘货信息!$B:$B&amp;盘货信息!$C:$C,盘货信息!$I:$I)),_xlfn.XLOOKUP(A136&amp;B136&amp;C136,盘货信息!$A:$A&amp;盘货信息!$B:$B&amp;盘货信息!$C:$C,盘货信息!$I:$I)&gt;1),"【88VIP】立减"&amp;_xlfn.XLOOKUP(A136&amp;B136&amp;C136,盘货信息!$A:$A&amp;盘货信息!$B:$B&amp;盘货信息!$C:$C,盘货信息!$I:$I)&amp;"元","")</f>
        <v/>
      </c>
      <c r="O136" s="18" t="str">
        <f t="array" ref="O136">IF(_xlfn.XLOOKUP(A136&amp;B136&amp;C136,盘货信息!$A:$A&amp;盘货信息!$B:$B&amp;盘货信息!$C:$C,盘货信息!$K:$K)="","",IF(AND(_xlfn.XLOOKUP(A136&amp;B136&amp;C136,盘货信息!$A:$A&amp;盘货信息!$B:$B&amp;盘货信息!$C:$C,盘货信息!$G:$G)="不参加",_xlfn.XLOOKUP(A136&amp;B136&amp;C136,盘货信息!$A:$A&amp;盘货信息!$B:$B&amp;盘货信息!$C:$C,盘货信息!$H:$H)=""),"【以旧换新】"&amp;_xlfn.XLOOKUP(A136&amp;B136&amp;C136,盘货信息!$A:$A&amp;盘货信息!$B:$B&amp;盘货信息!$C:$C,盘货信息!$K:$K)&amp;"元以旧换新补贴（可无旧机换新）",""))</f>
        <v/>
      </c>
      <c r="P136" s="18" t="str">
        <f t="array" ref="P136">_xlfn.XLOOKUP(A136&amp;B136&amp;C136,赠品!$A:$A&amp;赠品!$B:$B&amp;赠品!$C:$C,赠品!$D:$D)</f>
        <v/>
      </c>
      <c r="Q136" s="18" t="str">
        <f>IF($C136="","",IF(AND(M136="",N136="",P136=""),"",固定信息!$B$1))</f>
        <v/>
      </c>
      <c r="R136" s="18" t="str">
        <f t="array" ref="R136">IF(ISNUMBER(SEARCH("是",_xlfn.XLOOKUP(A136&amp;B136&amp;C136,盘货信息!$A:$A&amp;盘货信息!$B:$B&amp;盘货信息!$C:$C,盘货信息!$U:$U))),"【折扣】指定型号满2类享96折，满3类享94折","")</f>
        <v/>
      </c>
      <c r="S136" s="18" t="str">
        <f t="array" ref="S136">IF(_xlfn.XLOOKUP(A136&amp;B136&amp;C136,盘货信息!$A:$A&amp;盘货信息!$B:$B&amp;盘货信息!$C:$C,盘货信息!$Q:$Q)&lt;1,"","【红包】活动时间购机送"&amp;_xlfn.TEXTJOIN("",,IF(ISNUMBER(--MID(_xlfn.XLOOKUP(A136&amp;B136&amp;C136,盘货信息!$A:$A&amp;盘货信息!$B:$B&amp;盘货信息!$C:$C,盘货信息!$Q:$Q),_xlfn.SEQUENCE(LEN(_xlfn.XLOOKUP(A136&amp;B136&amp;C136,盘货信息!$A:$A&amp;盘货信息!$B:$B&amp;盘货信息!$C:$C,盘货信息!$Q:$Q))),1)),MID(_xlfn.XLOOKUP(A136&amp;B136&amp;C136,盘货信息!$A:$A&amp;盘货信息!$B:$B&amp;盘货信息!$C:$C,盘货信息!$Q:$Q),_xlfn.SEQUENCE(LEN(_xlfn.XLOOKUP(A136&amp;B136&amp;C136,盘货信息!$A:$A&amp;盘货信息!$B:$B&amp;盘货信息!$C:$C,盘货信息!$Q:$Q))),1),""))&amp;"元")</f>
        <v/>
      </c>
      <c r="T136" s="18" t="str">
        <f t="array" ref="T136">IF(ISNUMBER(SEARCH("是",_xlfn.XLOOKUP(A136&amp;B136&amp;C136,盘货信息!$A:$A&amp;盘货信息!$B:$B&amp;盘货信息!$C:$C,盘货信息!$T:$T))),"【瓜分】"&amp;固定信息!$B$7,"")</f>
        <v/>
      </c>
      <c r="U136" s="18" t="str">
        <f>IF($C136="","",IF(AND(R136="",S136="",T136=""),"",固定信息!$B$1))</f>
        <v/>
      </c>
      <c r="V136" s="18" t="str">
        <f t="array" ref="V136">IF(C136="","","【服务】"&amp;IF(_xlfn.XLOOKUP(A136&amp;B136&amp;C136,盘货信息!$A:$A&amp;盘货信息!$B:$B&amp;盘货信息!$C:$C,盘货信息!$V:$V)="","",_xlfn.XLOOKUP(A136&amp;B136&amp;C136,盘货信息!$A:$A&amp;盘货信息!$B:$B&amp;盘货信息!$C:$C,盘货信息!$V:$V)&amp;"免息,")&amp;IF(_xlfn.XLOOKUP(A136&amp;B136&amp;C136,盘货信息!$A:$A&amp;盘货信息!$B:$B&amp;盘货信息!$C:$C,盘货信息!$W:$W)="","",_xlfn.XLOOKUP(A136&amp;B136&amp;C136,盘货信息!$A:$A&amp;盘货信息!$B:$B&amp;盘货信息!$C:$C,盘货信息!$W:$W)&amp;"，")&amp;"送货入户，退换免运费")</f>
        <v/>
      </c>
    </row>
    <row r="137" customHeight="1" spans="1:22">
      <c r="A137" s="17" t="str">
        <f>IF(盘货信息!A137="","",盘货信息!A137)</f>
        <v/>
      </c>
      <c r="B137" s="20" t="str">
        <f>IF(盘货信息!B137="","",盘货信息!B137)</f>
        <v/>
      </c>
      <c r="C137" s="18" t="str">
        <f>IF(盘货信息!C137="","",盘货信息!C137)</f>
        <v/>
      </c>
      <c r="D137" s="18" t="str">
        <f ca="1" t="shared" si="2"/>
        <v/>
      </c>
      <c r="E137" s="18" t="str">
        <f>IF(C137="","",固定信息!$B$2)</f>
        <v/>
      </c>
      <c r="F137" s="18" t="str">
        <f t="array" ref="F137">IF(C137="","","【"&amp;C137&amp;"】"&amp;_xlfn.XLOOKUP(A137&amp;B137&amp;C137,盘货信息!$A:$A&amp;盘货信息!$B:$B&amp;盘货信息!$C:$C,盘货信息!$D:$D))</f>
        <v/>
      </c>
      <c r="G137" s="18" t="str">
        <f>IF(C137="","","【"&amp;"活动时间："&amp;固定信息!$B$3&amp;"】")</f>
        <v/>
      </c>
      <c r="H137" s="18" t="str">
        <f>IF($C137="","",固定信息!$B$1)</f>
        <v/>
      </c>
      <c r="I137" s="18"/>
      <c r="J137" s="18" t="str">
        <f t="array" ref="J137">_xlfn.XLOOKUP(A137&amp;B137&amp;C137,价格信息!$A:$A&amp;价格信息!$B:$B&amp;价格信息!$C:$C,价格信息!$D:$D)</f>
        <v/>
      </c>
      <c r="K137" s="31" t="str">
        <f t="array" ref="K137">IF(_xlfn.XLOOKUP(A137&amp;B137&amp;C137,价格信息!$A:$A&amp;价格信息!$B:$B&amp;价格信息!$C:$C,价格信息!$I:$I)="","","【优惠券链接】"&amp;固定信息!$B$6)</f>
        <v/>
      </c>
      <c r="L137" s="31" t="str">
        <f>IF($C137="","",固定信息!$B$1)</f>
        <v/>
      </c>
      <c r="M137" s="18" t="str">
        <f t="array" ref="M137">IF(_xlfn.XLOOKUP(A137&amp;B137&amp;C137,盘货信息!$A:$A&amp;盘货信息!$B:$B&amp;盘货信息!$C:$C,盘货信息!$O:$O)="","","【优惠券】领"&amp;INDEX(_wpsfn.REGEXP(_xlfn.XLOOKUP(A137&amp;B137&amp;C137,盘货信息!$A:$A&amp;盘货信息!$B:$B&amp;盘货信息!$C:$C,盘货信息!$O:$O),"\d+"),1,1)&amp;"元优惠券下单更优惠，优惠卷："&amp;_xlfn.XLOOKUP(A137&amp;B137&amp;C137,盘货信息!$A:$A&amp;盘货信息!$B:$B&amp;盘货信息!$C:$C,盘货信息!$P:$P))</f>
        <v/>
      </c>
      <c r="N137" s="18" t="str">
        <f t="array" ref="N137">IF(AND(ISNUMBER(_xlfn.XLOOKUP(A137&amp;B137&amp;C137,盘货信息!$A:$A&amp;盘货信息!$B:$B&amp;盘货信息!$C:$C,盘货信息!$I:$I)),_xlfn.XLOOKUP(A137&amp;B137&amp;C137,盘货信息!$A:$A&amp;盘货信息!$B:$B&amp;盘货信息!$C:$C,盘货信息!$I:$I)&gt;1),"【88VIP】立减"&amp;_xlfn.XLOOKUP(A137&amp;B137&amp;C137,盘货信息!$A:$A&amp;盘货信息!$B:$B&amp;盘货信息!$C:$C,盘货信息!$I:$I)&amp;"元","")</f>
        <v/>
      </c>
      <c r="O137" s="18" t="str">
        <f t="array" ref="O137">IF(_xlfn.XLOOKUP(A137&amp;B137&amp;C137,盘货信息!$A:$A&amp;盘货信息!$B:$B&amp;盘货信息!$C:$C,盘货信息!$K:$K)="","",IF(AND(_xlfn.XLOOKUP(A137&amp;B137&amp;C137,盘货信息!$A:$A&amp;盘货信息!$B:$B&amp;盘货信息!$C:$C,盘货信息!$G:$G)="不参加",_xlfn.XLOOKUP(A137&amp;B137&amp;C137,盘货信息!$A:$A&amp;盘货信息!$B:$B&amp;盘货信息!$C:$C,盘货信息!$H:$H)=""),"【以旧换新】"&amp;_xlfn.XLOOKUP(A137&amp;B137&amp;C137,盘货信息!$A:$A&amp;盘货信息!$B:$B&amp;盘货信息!$C:$C,盘货信息!$K:$K)&amp;"元以旧换新补贴（可无旧机换新）",""))</f>
        <v/>
      </c>
      <c r="P137" s="18" t="str">
        <f t="array" ref="P137">_xlfn.XLOOKUP(A137&amp;B137&amp;C137,赠品!$A:$A&amp;赠品!$B:$B&amp;赠品!$C:$C,赠品!$D:$D)</f>
        <v/>
      </c>
      <c r="Q137" s="18" t="str">
        <f>IF($C137="","",IF(AND(M137="",N137="",P137=""),"",固定信息!$B$1))</f>
        <v/>
      </c>
      <c r="R137" s="18" t="str">
        <f t="array" ref="R137">IF(ISNUMBER(SEARCH("是",_xlfn.XLOOKUP(A137&amp;B137&amp;C137,盘货信息!$A:$A&amp;盘货信息!$B:$B&amp;盘货信息!$C:$C,盘货信息!$U:$U))),"【折扣】指定型号满2类享96折，满3类享94折","")</f>
        <v/>
      </c>
      <c r="S137" s="18" t="str">
        <f t="array" ref="S137">IF(_xlfn.XLOOKUP(A137&amp;B137&amp;C137,盘货信息!$A:$A&amp;盘货信息!$B:$B&amp;盘货信息!$C:$C,盘货信息!$Q:$Q)&lt;1,"","【红包】活动时间购机送"&amp;_xlfn.TEXTJOIN("",,IF(ISNUMBER(--MID(_xlfn.XLOOKUP(A137&amp;B137&amp;C137,盘货信息!$A:$A&amp;盘货信息!$B:$B&amp;盘货信息!$C:$C,盘货信息!$Q:$Q),_xlfn.SEQUENCE(LEN(_xlfn.XLOOKUP(A137&amp;B137&amp;C137,盘货信息!$A:$A&amp;盘货信息!$B:$B&amp;盘货信息!$C:$C,盘货信息!$Q:$Q))),1)),MID(_xlfn.XLOOKUP(A137&amp;B137&amp;C137,盘货信息!$A:$A&amp;盘货信息!$B:$B&amp;盘货信息!$C:$C,盘货信息!$Q:$Q),_xlfn.SEQUENCE(LEN(_xlfn.XLOOKUP(A137&amp;B137&amp;C137,盘货信息!$A:$A&amp;盘货信息!$B:$B&amp;盘货信息!$C:$C,盘货信息!$Q:$Q))),1),""))&amp;"元")</f>
        <v/>
      </c>
      <c r="T137" s="18" t="str">
        <f t="array" ref="T137">IF(ISNUMBER(SEARCH("是",_xlfn.XLOOKUP(A137&amp;B137&amp;C137,盘货信息!$A:$A&amp;盘货信息!$B:$B&amp;盘货信息!$C:$C,盘货信息!$T:$T))),"【瓜分】"&amp;固定信息!$B$7,"")</f>
        <v/>
      </c>
      <c r="U137" s="18" t="str">
        <f>IF($C137="","",IF(AND(R137="",S137="",T137=""),"",固定信息!$B$1))</f>
        <v/>
      </c>
      <c r="V137" s="18" t="str">
        <f t="array" ref="V137">IF(C137="","","【服务】"&amp;IF(_xlfn.XLOOKUP(A137&amp;B137&amp;C137,盘货信息!$A:$A&amp;盘货信息!$B:$B&amp;盘货信息!$C:$C,盘货信息!$V:$V)="","",_xlfn.XLOOKUP(A137&amp;B137&amp;C137,盘货信息!$A:$A&amp;盘货信息!$B:$B&amp;盘货信息!$C:$C,盘货信息!$V:$V)&amp;"免息,")&amp;IF(_xlfn.XLOOKUP(A137&amp;B137&amp;C137,盘货信息!$A:$A&amp;盘货信息!$B:$B&amp;盘货信息!$C:$C,盘货信息!$W:$W)="","",_xlfn.XLOOKUP(A137&amp;B137&amp;C137,盘货信息!$A:$A&amp;盘货信息!$B:$B&amp;盘货信息!$C:$C,盘货信息!$W:$W)&amp;"，")&amp;"送货入户，退换免运费")</f>
        <v/>
      </c>
    </row>
    <row r="138" customHeight="1" spans="1:22">
      <c r="A138" s="17" t="str">
        <f>IF(盘货信息!A138="","",盘货信息!A138)</f>
        <v/>
      </c>
      <c r="B138" s="20" t="str">
        <f>IF(盘货信息!B138="","",盘货信息!B138)</f>
        <v/>
      </c>
      <c r="C138" s="20" t="str">
        <f>IF(盘货信息!C138="","",盘货信息!C138)</f>
        <v/>
      </c>
      <c r="D138" s="18" t="str">
        <f ca="1" t="shared" si="2"/>
        <v/>
      </c>
      <c r="E138" s="18" t="str">
        <f>IF(C138="","",固定信息!$B$2)</f>
        <v/>
      </c>
      <c r="F138" s="18" t="str">
        <f t="array" ref="F138">IF(C138="","","【"&amp;C138&amp;"】"&amp;_xlfn.XLOOKUP(A138&amp;B138&amp;C138,盘货信息!$A:$A&amp;盘货信息!$B:$B&amp;盘货信息!$C:$C,盘货信息!$D:$D))</f>
        <v/>
      </c>
      <c r="G138" s="18" t="str">
        <f>IF(C138="","","【"&amp;"活动时间："&amp;固定信息!$B$3&amp;"】")</f>
        <v/>
      </c>
      <c r="H138" s="18" t="str">
        <f>IF($C138="","",固定信息!$B$1)</f>
        <v/>
      </c>
      <c r="I138" s="18"/>
      <c r="J138" s="18" t="str">
        <f t="array" ref="J138">_xlfn.XLOOKUP(A138&amp;B138&amp;C138,价格信息!$A:$A&amp;价格信息!$B:$B&amp;价格信息!$C:$C,价格信息!$D:$D)</f>
        <v/>
      </c>
      <c r="K138" s="31" t="str">
        <f t="array" ref="K138">IF(_xlfn.XLOOKUP(A138&amp;B138&amp;C138,价格信息!$A:$A&amp;价格信息!$B:$B&amp;价格信息!$C:$C,价格信息!$I:$I)="","","【优惠券链接】"&amp;固定信息!$B$6)</f>
        <v/>
      </c>
      <c r="L138" s="31" t="str">
        <f>IF($C138="","",固定信息!$B$1)</f>
        <v/>
      </c>
      <c r="M138" s="18" t="str">
        <f t="array" ref="M138">IF(_xlfn.XLOOKUP(A138&amp;B138&amp;C138,盘货信息!$A:$A&amp;盘货信息!$B:$B&amp;盘货信息!$C:$C,盘货信息!$O:$O)="","","【优惠券】领"&amp;INDEX(_wpsfn.REGEXP(_xlfn.XLOOKUP(A138&amp;B138&amp;C138,盘货信息!$A:$A&amp;盘货信息!$B:$B&amp;盘货信息!$C:$C,盘货信息!$O:$O),"\d+"),1,1)&amp;"元优惠券下单更优惠，优惠卷："&amp;_xlfn.XLOOKUP(A138&amp;B138&amp;C138,盘货信息!$A:$A&amp;盘货信息!$B:$B&amp;盘货信息!$C:$C,盘货信息!$P:$P))</f>
        <v/>
      </c>
      <c r="N138" s="18" t="str">
        <f t="array" ref="N138">IF(AND(ISNUMBER(_xlfn.XLOOKUP(A138&amp;B138&amp;C138,盘货信息!$A:$A&amp;盘货信息!$B:$B&amp;盘货信息!$C:$C,盘货信息!$I:$I)),_xlfn.XLOOKUP(A138&amp;B138&amp;C138,盘货信息!$A:$A&amp;盘货信息!$B:$B&amp;盘货信息!$C:$C,盘货信息!$I:$I)&gt;1),"【88VIP】立减"&amp;_xlfn.XLOOKUP(A138&amp;B138&amp;C138,盘货信息!$A:$A&amp;盘货信息!$B:$B&amp;盘货信息!$C:$C,盘货信息!$I:$I)&amp;"元","")</f>
        <v/>
      </c>
      <c r="O138" s="18" t="str">
        <f t="array" ref="O138">IF(_xlfn.XLOOKUP(A138&amp;B138&amp;C138,盘货信息!$A:$A&amp;盘货信息!$B:$B&amp;盘货信息!$C:$C,盘货信息!$K:$K)="","",IF(AND(_xlfn.XLOOKUP(A138&amp;B138&amp;C138,盘货信息!$A:$A&amp;盘货信息!$B:$B&amp;盘货信息!$C:$C,盘货信息!$G:$G)="不参加",_xlfn.XLOOKUP(A138&amp;B138&amp;C138,盘货信息!$A:$A&amp;盘货信息!$B:$B&amp;盘货信息!$C:$C,盘货信息!$H:$H)=""),"【以旧换新】"&amp;_xlfn.XLOOKUP(A138&amp;B138&amp;C138,盘货信息!$A:$A&amp;盘货信息!$B:$B&amp;盘货信息!$C:$C,盘货信息!$K:$K)&amp;"元以旧换新补贴（可无旧机换新）",""))</f>
        <v/>
      </c>
      <c r="P138" s="18" t="str">
        <f t="array" ref="P138">_xlfn.XLOOKUP(A138&amp;B138&amp;C138,赠品!$A:$A&amp;赠品!$B:$B&amp;赠品!$C:$C,赠品!$D:$D)</f>
        <v/>
      </c>
      <c r="Q138" s="18" t="str">
        <f>IF($C138="","",IF(AND(M138="",N138="",P138=""),"",固定信息!$B$1))</f>
        <v/>
      </c>
      <c r="R138" s="18" t="str">
        <f t="array" ref="R138">IF(ISNUMBER(SEARCH("是",_xlfn.XLOOKUP(A138&amp;B138&amp;C138,盘货信息!$A:$A&amp;盘货信息!$B:$B&amp;盘货信息!$C:$C,盘货信息!$U:$U))),"【折扣】指定型号满2类享96折，满3类享94折","")</f>
        <v/>
      </c>
      <c r="S138" s="18" t="str">
        <f t="array" ref="S138">IF(_xlfn.XLOOKUP(A138&amp;B138&amp;C138,盘货信息!$A:$A&amp;盘货信息!$B:$B&amp;盘货信息!$C:$C,盘货信息!$Q:$Q)&lt;1,"","【红包】活动时间购机送"&amp;_xlfn.TEXTJOIN("",,IF(ISNUMBER(--MID(_xlfn.XLOOKUP(A138&amp;B138&amp;C138,盘货信息!$A:$A&amp;盘货信息!$B:$B&amp;盘货信息!$C:$C,盘货信息!$Q:$Q),_xlfn.SEQUENCE(LEN(_xlfn.XLOOKUP(A138&amp;B138&amp;C138,盘货信息!$A:$A&amp;盘货信息!$B:$B&amp;盘货信息!$C:$C,盘货信息!$Q:$Q))),1)),MID(_xlfn.XLOOKUP(A138&amp;B138&amp;C138,盘货信息!$A:$A&amp;盘货信息!$B:$B&amp;盘货信息!$C:$C,盘货信息!$Q:$Q),_xlfn.SEQUENCE(LEN(_xlfn.XLOOKUP(A138&amp;B138&amp;C138,盘货信息!$A:$A&amp;盘货信息!$B:$B&amp;盘货信息!$C:$C,盘货信息!$Q:$Q))),1),""))&amp;"元")</f>
        <v/>
      </c>
      <c r="T138" s="18" t="str">
        <f t="array" ref="T138">IF(ISNUMBER(SEARCH("是",_xlfn.XLOOKUP(A138&amp;B138&amp;C138,盘货信息!$A:$A&amp;盘货信息!$B:$B&amp;盘货信息!$C:$C,盘货信息!$T:$T))),"【瓜分】"&amp;固定信息!$B$7,"")</f>
        <v/>
      </c>
      <c r="U138" s="18" t="str">
        <f>IF($C138="","",IF(AND(R138="",S138="",T138=""),"",固定信息!$B$1))</f>
        <v/>
      </c>
      <c r="V138" s="18" t="str">
        <f t="array" ref="V138">IF(C138="","","【服务】"&amp;IF(_xlfn.XLOOKUP(A138&amp;B138&amp;C138,盘货信息!$A:$A&amp;盘货信息!$B:$B&amp;盘货信息!$C:$C,盘货信息!$V:$V)="","",_xlfn.XLOOKUP(A138&amp;B138&amp;C138,盘货信息!$A:$A&amp;盘货信息!$B:$B&amp;盘货信息!$C:$C,盘货信息!$V:$V)&amp;"免息,")&amp;IF(_xlfn.XLOOKUP(A138&amp;B138&amp;C138,盘货信息!$A:$A&amp;盘货信息!$B:$B&amp;盘货信息!$C:$C,盘货信息!$W:$W)="","",_xlfn.XLOOKUP(A138&amp;B138&amp;C138,盘货信息!$A:$A&amp;盘货信息!$B:$B&amp;盘货信息!$C:$C,盘货信息!$W:$W)&amp;"，")&amp;"送货入户，退换免运费")</f>
        <v/>
      </c>
    </row>
    <row r="139" customHeight="1" spans="1:22">
      <c r="A139" s="17" t="str">
        <f>IF(盘货信息!A139="","",盘货信息!A139)</f>
        <v/>
      </c>
      <c r="B139" s="20" t="str">
        <f>IF(盘货信息!B139="","",盘货信息!B139)</f>
        <v/>
      </c>
      <c r="C139" s="18" t="str">
        <f>IF(盘货信息!C139="","",盘货信息!C139)</f>
        <v/>
      </c>
      <c r="D139" s="18" t="str">
        <f ca="1" t="shared" si="2"/>
        <v/>
      </c>
      <c r="E139" s="18" t="str">
        <f>IF(C139="","",固定信息!$B$2)</f>
        <v/>
      </c>
      <c r="F139" s="18" t="str">
        <f t="array" ref="F139">IF(C139="","","【"&amp;C139&amp;"】"&amp;_xlfn.XLOOKUP(A139&amp;B139&amp;C139,盘货信息!$A:$A&amp;盘货信息!$B:$B&amp;盘货信息!$C:$C,盘货信息!$D:$D))</f>
        <v/>
      </c>
      <c r="G139" s="18" t="str">
        <f>IF(C139="","","【"&amp;"活动时间："&amp;固定信息!$B$3&amp;"】")</f>
        <v/>
      </c>
      <c r="H139" s="18" t="str">
        <f>IF($C139="","",固定信息!$B$1)</f>
        <v/>
      </c>
      <c r="I139" s="18"/>
      <c r="J139" s="18" t="str">
        <f t="array" ref="J139">_xlfn.XLOOKUP(A139&amp;B139&amp;C139,价格信息!$A:$A&amp;价格信息!$B:$B&amp;价格信息!$C:$C,价格信息!$D:$D)</f>
        <v/>
      </c>
      <c r="K139" s="31" t="str">
        <f t="array" ref="K139">IF(_xlfn.XLOOKUP(A139&amp;B139&amp;C139,价格信息!$A:$A&amp;价格信息!$B:$B&amp;价格信息!$C:$C,价格信息!$I:$I)="","","【优惠券链接】"&amp;固定信息!$B$6)</f>
        <v/>
      </c>
      <c r="L139" s="31" t="str">
        <f>IF($C139="","",固定信息!$B$1)</f>
        <v/>
      </c>
      <c r="M139" s="18" t="str">
        <f t="array" ref="M139">IF(_xlfn.XLOOKUP(A139&amp;B139&amp;C139,盘货信息!$A:$A&amp;盘货信息!$B:$B&amp;盘货信息!$C:$C,盘货信息!$O:$O)="","","【优惠券】领"&amp;INDEX(_wpsfn.REGEXP(_xlfn.XLOOKUP(A139&amp;B139&amp;C139,盘货信息!$A:$A&amp;盘货信息!$B:$B&amp;盘货信息!$C:$C,盘货信息!$O:$O),"\d+"),1,1)&amp;"元优惠券下单更优惠，优惠卷："&amp;_xlfn.XLOOKUP(A139&amp;B139&amp;C139,盘货信息!$A:$A&amp;盘货信息!$B:$B&amp;盘货信息!$C:$C,盘货信息!$P:$P))</f>
        <v/>
      </c>
      <c r="N139" s="18" t="str">
        <f t="array" ref="N139">IF(AND(ISNUMBER(_xlfn.XLOOKUP(A139&amp;B139&amp;C139,盘货信息!$A:$A&amp;盘货信息!$B:$B&amp;盘货信息!$C:$C,盘货信息!$I:$I)),_xlfn.XLOOKUP(A139&amp;B139&amp;C139,盘货信息!$A:$A&amp;盘货信息!$B:$B&amp;盘货信息!$C:$C,盘货信息!$I:$I)&gt;1),"【88VIP】立减"&amp;_xlfn.XLOOKUP(A139&amp;B139&amp;C139,盘货信息!$A:$A&amp;盘货信息!$B:$B&amp;盘货信息!$C:$C,盘货信息!$I:$I)&amp;"元","")</f>
        <v/>
      </c>
      <c r="O139" s="18" t="str">
        <f t="array" ref="O139">IF(_xlfn.XLOOKUP(A139&amp;B139&amp;C139,盘货信息!$A:$A&amp;盘货信息!$B:$B&amp;盘货信息!$C:$C,盘货信息!$K:$K)="","",IF(AND(_xlfn.XLOOKUP(A139&amp;B139&amp;C139,盘货信息!$A:$A&amp;盘货信息!$B:$B&amp;盘货信息!$C:$C,盘货信息!$G:$G)="不参加",_xlfn.XLOOKUP(A139&amp;B139&amp;C139,盘货信息!$A:$A&amp;盘货信息!$B:$B&amp;盘货信息!$C:$C,盘货信息!$H:$H)=""),"【以旧换新】"&amp;_xlfn.XLOOKUP(A139&amp;B139&amp;C139,盘货信息!$A:$A&amp;盘货信息!$B:$B&amp;盘货信息!$C:$C,盘货信息!$K:$K)&amp;"元以旧换新补贴（可无旧机换新）",""))</f>
        <v/>
      </c>
      <c r="P139" s="18" t="str">
        <f t="array" ref="P139">_xlfn.XLOOKUP(A139&amp;B139&amp;C139,赠品!$A:$A&amp;赠品!$B:$B&amp;赠品!$C:$C,赠品!$D:$D)</f>
        <v/>
      </c>
      <c r="Q139" s="18" t="str">
        <f>IF($C139="","",IF(AND(M139="",N139="",P139=""),"",固定信息!$B$1))</f>
        <v/>
      </c>
      <c r="R139" s="18" t="str">
        <f t="array" ref="R139">IF(ISNUMBER(SEARCH("是",_xlfn.XLOOKUP(A139&amp;B139&amp;C139,盘货信息!$A:$A&amp;盘货信息!$B:$B&amp;盘货信息!$C:$C,盘货信息!$U:$U))),"【折扣】指定型号满2类享96折，满3类享94折","")</f>
        <v/>
      </c>
      <c r="S139" s="18" t="str">
        <f t="array" ref="S139">IF(_xlfn.XLOOKUP(A139&amp;B139&amp;C139,盘货信息!$A:$A&amp;盘货信息!$B:$B&amp;盘货信息!$C:$C,盘货信息!$Q:$Q)&lt;1,"","【红包】活动时间购机送"&amp;_xlfn.TEXTJOIN("",,IF(ISNUMBER(--MID(_xlfn.XLOOKUP(A139&amp;B139&amp;C139,盘货信息!$A:$A&amp;盘货信息!$B:$B&amp;盘货信息!$C:$C,盘货信息!$Q:$Q),_xlfn.SEQUENCE(LEN(_xlfn.XLOOKUP(A139&amp;B139&amp;C139,盘货信息!$A:$A&amp;盘货信息!$B:$B&amp;盘货信息!$C:$C,盘货信息!$Q:$Q))),1)),MID(_xlfn.XLOOKUP(A139&amp;B139&amp;C139,盘货信息!$A:$A&amp;盘货信息!$B:$B&amp;盘货信息!$C:$C,盘货信息!$Q:$Q),_xlfn.SEQUENCE(LEN(_xlfn.XLOOKUP(A139&amp;B139&amp;C139,盘货信息!$A:$A&amp;盘货信息!$B:$B&amp;盘货信息!$C:$C,盘货信息!$Q:$Q))),1),""))&amp;"元")</f>
        <v/>
      </c>
      <c r="T139" s="18" t="str">
        <f t="array" ref="T139">IF(ISNUMBER(SEARCH("是",_xlfn.XLOOKUP(A139&amp;B139&amp;C139,盘货信息!$A:$A&amp;盘货信息!$B:$B&amp;盘货信息!$C:$C,盘货信息!$T:$T))),"【瓜分】"&amp;固定信息!$B$7,"")</f>
        <v/>
      </c>
      <c r="U139" s="18" t="str">
        <f>IF($C139="","",IF(AND(R139="",S139="",T139=""),"",固定信息!$B$1))</f>
        <v/>
      </c>
      <c r="V139" s="18" t="str">
        <f t="array" ref="V139">IF(C139="","","【服务】"&amp;IF(_xlfn.XLOOKUP(A139&amp;B139&amp;C139,盘货信息!$A:$A&amp;盘货信息!$B:$B&amp;盘货信息!$C:$C,盘货信息!$V:$V)="","",_xlfn.XLOOKUP(A139&amp;B139&amp;C139,盘货信息!$A:$A&amp;盘货信息!$B:$B&amp;盘货信息!$C:$C,盘货信息!$V:$V)&amp;"免息,")&amp;IF(_xlfn.XLOOKUP(A139&amp;B139&amp;C139,盘货信息!$A:$A&amp;盘货信息!$B:$B&amp;盘货信息!$C:$C,盘货信息!$W:$W)="","",_xlfn.XLOOKUP(A139&amp;B139&amp;C139,盘货信息!$A:$A&amp;盘货信息!$B:$B&amp;盘货信息!$C:$C,盘货信息!$W:$W)&amp;"，")&amp;"送货入户，退换免运费")</f>
        <v/>
      </c>
    </row>
    <row r="140" customHeight="1" spans="1:22">
      <c r="A140" s="17" t="str">
        <f>IF(盘货信息!A140="","",盘货信息!A140)</f>
        <v/>
      </c>
      <c r="B140" s="20" t="str">
        <f>IF(盘货信息!B140="","",盘货信息!B140)</f>
        <v/>
      </c>
      <c r="C140" s="18" t="str">
        <f>IF(盘货信息!C140="","",盘货信息!C140)</f>
        <v/>
      </c>
      <c r="D140" s="18" t="str">
        <f ca="1" t="shared" si="2"/>
        <v/>
      </c>
      <c r="E140" s="18" t="str">
        <f>IF(C140="","",固定信息!$B$2)</f>
        <v/>
      </c>
      <c r="F140" s="18" t="str">
        <f t="array" ref="F140">IF(C140="","","【"&amp;C140&amp;"】"&amp;_xlfn.XLOOKUP(A140&amp;B140&amp;C140,盘货信息!$A:$A&amp;盘货信息!$B:$B&amp;盘货信息!$C:$C,盘货信息!$D:$D))</f>
        <v/>
      </c>
      <c r="G140" s="18" t="str">
        <f>IF(C140="","","【"&amp;"活动时间："&amp;固定信息!$B$3&amp;"】")</f>
        <v/>
      </c>
      <c r="H140" s="18" t="str">
        <f>IF($C140="","",固定信息!$B$1)</f>
        <v/>
      </c>
      <c r="I140" s="18"/>
      <c r="J140" s="18" t="str">
        <f t="array" ref="J140">_xlfn.XLOOKUP(A140&amp;B140&amp;C140,价格信息!$A:$A&amp;价格信息!$B:$B&amp;价格信息!$C:$C,价格信息!$D:$D)</f>
        <v/>
      </c>
      <c r="K140" s="31" t="str">
        <f t="array" ref="K140">IF(_xlfn.XLOOKUP(A140&amp;B140&amp;C140,价格信息!$A:$A&amp;价格信息!$B:$B&amp;价格信息!$C:$C,价格信息!$I:$I)="","","【优惠券链接】"&amp;固定信息!$B$6)</f>
        <v/>
      </c>
      <c r="L140" s="31" t="str">
        <f>IF($C140="","",固定信息!$B$1)</f>
        <v/>
      </c>
      <c r="M140" s="18" t="str">
        <f t="array" ref="M140">IF(_xlfn.XLOOKUP(A140&amp;B140&amp;C140,盘货信息!$A:$A&amp;盘货信息!$B:$B&amp;盘货信息!$C:$C,盘货信息!$O:$O)="","","【优惠券】领"&amp;INDEX(_wpsfn.REGEXP(_xlfn.XLOOKUP(A140&amp;B140&amp;C140,盘货信息!$A:$A&amp;盘货信息!$B:$B&amp;盘货信息!$C:$C,盘货信息!$O:$O),"\d+"),1,1)&amp;"元优惠券下单更优惠，优惠卷："&amp;_xlfn.XLOOKUP(A140&amp;B140&amp;C140,盘货信息!$A:$A&amp;盘货信息!$B:$B&amp;盘货信息!$C:$C,盘货信息!$P:$P))</f>
        <v/>
      </c>
      <c r="N140" s="18" t="str">
        <f t="array" ref="N140">IF(AND(ISNUMBER(_xlfn.XLOOKUP(A140&amp;B140&amp;C140,盘货信息!$A:$A&amp;盘货信息!$B:$B&amp;盘货信息!$C:$C,盘货信息!$I:$I)),_xlfn.XLOOKUP(A140&amp;B140&amp;C140,盘货信息!$A:$A&amp;盘货信息!$B:$B&amp;盘货信息!$C:$C,盘货信息!$I:$I)&gt;1),"【88VIP】立减"&amp;_xlfn.XLOOKUP(A140&amp;B140&amp;C140,盘货信息!$A:$A&amp;盘货信息!$B:$B&amp;盘货信息!$C:$C,盘货信息!$I:$I)&amp;"元","")</f>
        <v/>
      </c>
      <c r="O140" s="18" t="str">
        <f t="array" ref="O140">IF(_xlfn.XLOOKUP(A140&amp;B140&amp;C140,盘货信息!$A:$A&amp;盘货信息!$B:$B&amp;盘货信息!$C:$C,盘货信息!$K:$K)="","",IF(AND(_xlfn.XLOOKUP(A140&amp;B140&amp;C140,盘货信息!$A:$A&amp;盘货信息!$B:$B&amp;盘货信息!$C:$C,盘货信息!$G:$G)="不参加",_xlfn.XLOOKUP(A140&amp;B140&amp;C140,盘货信息!$A:$A&amp;盘货信息!$B:$B&amp;盘货信息!$C:$C,盘货信息!$H:$H)=""),"【以旧换新】"&amp;_xlfn.XLOOKUP(A140&amp;B140&amp;C140,盘货信息!$A:$A&amp;盘货信息!$B:$B&amp;盘货信息!$C:$C,盘货信息!$K:$K)&amp;"元以旧换新补贴（可无旧机换新）",""))</f>
        <v/>
      </c>
      <c r="P140" s="18" t="str">
        <f t="array" ref="P140">_xlfn.XLOOKUP(A140&amp;B140&amp;C140,赠品!$A:$A&amp;赠品!$B:$B&amp;赠品!$C:$C,赠品!$D:$D)</f>
        <v/>
      </c>
      <c r="Q140" s="18" t="str">
        <f>IF($C140="","",IF(AND(M140="",N140="",P140=""),"",固定信息!$B$1))</f>
        <v/>
      </c>
      <c r="R140" s="18" t="str">
        <f t="array" ref="R140">IF(ISNUMBER(SEARCH("是",_xlfn.XLOOKUP(A140&amp;B140&amp;C140,盘货信息!$A:$A&amp;盘货信息!$B:$B&amp;盘货信息!$C:$C,盘货信息!$U:$U))),"【折扣】指定型号满2类享96折，满3类享94折","")</f>
        <v/>
      </c>
      <c r="S140" s="18" t="str">
        <f t="array" ref="S140">IF(_xlfn.XLOOKUP(A140&amp;B140&amp;C140,盘货信息!$A:$A&amp;盘货信息!$B:$B&amp;盘货信息!$C:$C,盘货信息!$Q:$Q)&lt;1,"","【红包】活动时间购机送"&amp;_xlfn.TEXTJOIN("",,IF(ISNUMBER(--MID(_xlfn.XLOOKUP(A140&amp;B140&amp;C140,盘货信息!$A:$A&amp;盘货信息!$B:$B&amp;盘货信息!$C:$C,盘货信息!$Q:$Q),_xlfn.SEQUENCE(LEN(_xlfn.XLOOKUP(A140&amp;B140&amp;C140,盘货信息!$A:$A&amp;盘货信息!$B:$B&amp;盘货信息!$C:$C,盘货信息!$Q:$Q))),1)),MID(_xlfn.XLOOKUP(A140&amp;B140&amp;C140,盘货信息!$A:$A&amp;盘货信息!$B:$B&amp;盘货信息!$C:$C,盘货信息!$Q:$Q),_xlfn.SEQUENCE(LEN(_xlfn.XLOOKUP(A140&amp;B140&amp;C140,盘货信息!$A:$A&amp;盘货信息!$B:$B&amp;盘货信息!$C:$C,盘货信息!$Q:$Q))),1),""))&amp;"元")</f>
        <v/>
      </c>
      <c r="T140" s="18" t="str">
        <f t="array" ref="T140">IF(ISNUMBER(SEARCH("是",_xlfn.XLOOKUP(A140&amp;B140&amp;C140,盘货信息!$A:$A&amp;盘货信息!$B:$B&amp;盘货信息!$C:$C,盘货信息!$T:$T))),"【瓜分】"&amp;固定信息!$B$7,"")</f>
        <v/>
      </c>
      <c r="U140" s="18" t="str">
        <f>IF($C140="","",IF(AND(R140="",S140="",T140=""),"",固定信息!$B$1))</f>
        <v/>
      </c>
      <c r="V140" s="18" t="str">
        <f t="array" ref="V140">IF(C140="","","【服务】"&amp;IF(_xlfn.XLOOKUP(A140&amp;B140&amp;C140,盘货信息!$A:$A&amp;盘货信息!$B:$B&amp;盘货信息!$C:$C,盘货信息!$V:$V)="","",_xlfn.XLOOKUP(A140&amp;B140&amp;C140,盘货信息!$A:$A&amp;盘货信息!$B:$B&amp;盘货信息!$C:$C,盘货信息!$V:$V)&amp;"免息,")&amp;IF(_xlfn.XLOOKUP(A140&amp;B140&amp;C140,盘货信息!$A:$A&amp;盘货信息!$B:$B&amp;盘货信息!$C:$C,盘货信息!$W:$W)="","",_xlfn.XLOOKUP(A140&amp;B140&amp;C140,盘货信息!$A:$A&amp;盘货信息!$B:$B&amp;盘货信息!$C:$C,盘货信息!$W:$W)&amp;"，")&amp;"送货入户，退换免运费")</f>
        <v/>
      </c>
    </row>
    <row r="141" customHeight="1" spans="1:22">
      <c r="A141" s="17" t="str">
        <f>IF(盘货信息!A141="","",盘货信息!A141)</f>
        <v/>
      </c>
      <c r="B141" s="20" t="str">
        <f>IF(盘货信息!B141="","",盘货信息!B141)</f>
        <v/>
      </c>
      <c r="C141" s="18" t="str">
        <f>IF(盘货信息!C141="","",盘货信息!C141)</f>
        <v/>
      </c>
      <c r="D141" s="18" t="str">
        <f ca="1" t="shared" si="2"/>
        <v/>
      </c>
      <c r="E141" s="18" t="str">
        <f>IF(C141="","",固定信息!$B$2)</f>
        <v/>
      </c>
      <c r="F141" s="18" t="str">
        <f t="array" ref="F141">IF(C141="","","【"&amp;C141&amp;"】"&amp;_xlfn.XLOOKUP(A141&amp;B141&amp;C141,盘货信息!$A:$A&amp;盘货信息!$B:$B&amp;盘货信息!$C:$C,盘货信息!$D:$D))</f>
        <v/>
      </c>
      <c r="G141" s="18" t="str">
        <f>IF(C141="","","【"&amp;"活动时间："&amp;固定信息!$B$3&amp;"】")</f>
        <v/>
      </c>
      <c r="H141" s="18" t="str">
        <f>IF($C141="","",固定信息!$B$1)</f>
        <v/>
      </c>
      <c r="I141" s="18"/>
      <c r="J141" s="18" t="str">
        <f t="array" ref="J141">_xlfn.XLOOKUP(A141&amp;B141&amp;C141,价格信息!$A:$A&amp;价格信息!$B:$B&amp;价格信息!$C:$C,价格信息!$D:$D)</f>
        <v/>
      </c>
      <c r="K141" s="31" t="str">
        <f t="array" ref="K141">IF(_xlfn.XLOOKUP(A141&amp;B141&amp;C141,价格信息!$A:$A&amp;价格信息!$B:$B&amp;价格信息!$C:$C,价格信息!$I:$I)="","","【优惠券链接】"&amp;固定信息!$B$6)</f>
        <v/>
      </c>
      <c r="L141" s="31" t="str">
        <f>IF($C141="","",固定信息!$B$1)</f>
        <v/>
      </c>
      <c r="M141" s="18" t="str">
        <f t="array" ref="M141">IF(_xlfn.XLOOKUP(A141&amp;B141&amp;C141,盘货信息!$A:$A&amp;盘货信息!$B:$B&amp;盘货信息!$C:$C,盘货信息!$O:$O)="","","【优惠券】领"&amp;INDEX(_wpsfn.REGEXP(_xlfn.XLOOKUP(A141&amp;B141&amp;C141,盘货信息!$A:$A&amp;盘货信息!$B:$B&amp;盘货信息!$C:$C,盘货信息!$O:$O),"\d+"),1,1)&amp;"元优惠券下单更优惠，优惠卷："&amp;_xlfn.XLOOKUP(A141&amp;B141&amp;C141,盘货信息!$A:$A&amp;盘货信息!$B:$B&amp;盘货信息!$C:$C,盘货信息!$P:$P))</f>
        <v/>
      </c>
      <c r="N141" s="18" t="str">
        <f t="array" ref="N141">IF(AND(ISNUMBER(_xlfn.XLOOKUP(A141&amp;B141&amp;C141,盘货信息!$A:$A&amp;盘货信息!$B:$B&amp;盘货信息!$C:$C,盘货信息!$I:$I)),_xlfn.XLOOKUP(A141&amp;B141&amp;C141,盘货信息!$A:$A&amp;盘货信息!$B:$B&amp;盘货信息!$C:$C,盘货信息!$I:$I)&gt;1),"【88VIP】立减"&amp;_xlfn.XLOOKUP(A141&amp;B141&amp;C141,盘货信息!$A:$A&amp;盘货信息!$B:$B&amp;盘货信息!$C:$C,盘货信息!$I:$I)&amp;"元","")</f>
        <v/>
      </c>
      <c r="O141" s="18" t="str">
        <f t="array" ref="O141">IF(_xlfn.XLOOKUP(A141&amp;B141&amp;C141,盘货信息!$A:$A&amp;盘货信息!$B:$B&amp;盘货信息!$C:$C,盘货信息!$K:$K)="","",IF(AND(_xlfn.XLOOKUP(A141&amp;B141&amp;C141,盘货信息!$A:$A&amp;盘货信息!$B:$B&amp;盘货信息!$C:$C,盘货信息!$G:$G)="不参加",_xlfn.XLOOKUP(A141&amp;B141&amp;C141,盘货信息!$A:$A&amp;盘货信息!$B:$B&amp;盘货信息!$C:$C,盘货信息!$H:$H)=""),"【以旧换新】"&amp;_xlfn.XLOOKUP(A141&amp;B141&amp;C141,盘货信息!$A:$A&amp;盘货信息!$B:$B&amp;盘货信息!$C:$C,盘货信息!$K:$K)&amp;"元以旧换新补贴（可无旧机换新）",""))</f>
        <v/>
      </c>
      <c r="P141" s="18" t="str">
        <f t="array" ref="P141">_xlfn.XLOOKUP(A141&amp;B141&amp;C141,赠品!$A:$A&amp;赠品!$B:$B&amp;赠品!$C:$C,赠品!$D:$D)</f>
        <v/>
      </c>
      <c r="Q141" s="18" t="str">
        <f>IF($C141="","",IF(AND(M141="",N141="",P141=""),"",固定信息!$B$1))</f>
        <v/>
      </c>
      <c r="R141" s="18" t="str">
        <f t="array" ref="R141">IF(ISNUMBER(SEARCH("是",_xlfn.XLOOKUP(A141&amp;B141&amp;C141,盘货信息!$A:$A&amp;盘货信息!$B:$B&amp;盘货信息!$C:$C,盘货信息!$U:$U))),"【折扣】指定型号满2类享96折，满3类享94折","")</f>
        <v/>
      </c>
      <c r="S141" s="18" t="str">
        <f t="array" ref="S141">IF(_xlfn.XLOOKUP(A141&amp;B141&amp;C141,盘货信息!$A:$A&amp;盘货信息!$B:$B&amp;盘货信息!$C:$C,盘货信息!$Q:$Q)&lt;1,"","【红包】活动时间购机送"&amp;_xlfn.TEXTJOIN("",,IF(ISNUMBER(--MID(_xlfn.XLOOKUP(A141&amp;B141&amp;C141,盘货信息!$A:$A&amp;盘货信息!$B:$B&amp;盘货信息!$C:$C,盘货信息!$Q:$Q),_xlfn.SEQUENCE(LEN(_xlfn.XLOOKUP(A141&amp;B141&amp;C141,盘货信息!$A:$A&amp;盘货信息!$B:$B&amp;盘货信息!$C:$C,盘货信息!$Q:$Q))),1)),MID(_xlfn.XLOOKUP(A141&amp;B141&amp;C141,盘货信息!$A:$A&amp;盘货信息!$B:$B&amp;盘货信息!$C:$C,盘货信息!$Q:$Q),_xlfn.SEQUENCE(LEN(_xlfn.XLOOKUP(A141&amp;B141&amp;C141,盘货信息!$A:$A&amp;盘货信息!$B:$B&amp;盘货信息!$C:$C,盘货信息!$Q:$Q))),1),""))&amp;"元")</f>
        <v/>
      </c>
      <c r="T141" s="18" t="str">
        <f t="array" ref="T141">IF(ISNUMBER(SEARCH("是",_xlfn.XLOOKUP(A141&amp;B141&amp;C141,盘货信息!$A:$A&amp;盘货信息!$B:$B&amp;盘货信息!$C:$C,盘货信息!$T:$T))),"【瓜分】"&amp;固定信息!$B$7,"")</f>
        <v/>
      </c>
      <c r="U141" s="18" t="str">
        <f>IF($C141="","",IF(AND(R141="",S141="",T141=""),"",固定信息!$B$1))</f>
        <v/>
      </c>
      <c r="V141" s="18" t="str">
        <f t="array" ref="V141">IF(C141="","","【服务】"&amp;IF(_xlfn.XLOOKUP(A141&amp;B141&amp;C141,盘货信息!$A:$A&amp;盘货信息!$B:$B&amp;盘货信息!$C:$C,盘货信息!$V:$V)="","",_xlfn.XLOOKUP(A141&amp;B141&amp;C141,盘货信息!$A:$A&amp;盘货信息!$B:$B&amp;盘货信息!$C:$C,盘货信息!$V:$V)&amp;"免息,")&amp;IF(_xlfn.XLOOKUP(A141&amp;B141&amp;C141,盘货信息!$A:$A&amp;盘货信息!$B:$B&amp;盘货信息!$C:$C,盘货信息!$W:$W)="","",_xlfn.XLOOKUP(A141&amp;B141&amp;C141,盘货信息!$A:$A&amp;盘货信息!$B:$B&amp;盘货信息!$C:$C,盘货信息!$W:$W)&amp;"，")&amp;"送货入户，退换免运费")</f>
        <v/>
      </c>
    </row>
    <row r="142" customHeight="1" spans="1:22">
      <c r="A142" s="17" t="str">
        <f>IF(盘货信息!A142="","",盘货信息!A142)</f>
        <v/>
      </c>
      <c r="B142" s="20" t="str">
        <f>IF(盘货信息!B142="","",盘货信息!B142)</f>
        <v/>
      </c>
      <c r="C142" s="18" t="str">
        <f>IF(盘货信息!C142="","",盘货信息!C142)</f>
        <v/>
      </c>
      <c r="D142" s="18" t="str">
        <f ca="1" t="shared" si="2"/>
        <v/>
      </c>
      <c r="E142" s="18" t="str">
        <f>IF(C142="","",固定信息!$B$2)</f>
        <v/>
      </c>
      <c r="F142" s="18" t="str">
        <f t="array" ref="F142">IF(C142="","","【"&amp;C142&amp;"】"&amp;_xlfn.XLOOKUP(A142&amp;B142&amp;C142,盘货信息!$A:$A&amp;盘货信息!$B:$B&amp;盘货信息!$C:$C,盘货信息!$D:$D))</f>
        <v/>
      </c>
      <c r="G142" s="18" t="str">
        <f>IF(C142="","","【"&amp;"活动时间："&amp;固定信息!$B$3&amp;"】")</f>
        <v/>
      </c>
      <c r="H142" s="18" t="str">
        <f>IF($C142="","",固定信息!$B$1)</f>
        <v/>
      </c>
      <c r="I142" s="18"/>
      <c r="J142" s="18" t="str">
        <f t="array" ref="J142">_xlfn.XLOOKUP(A142&amp;B142&amp;C142,价格信息!$A:$A&amp;价格信息!$B:$B&amp;价格信息!$C:$C,价格信息!$D:$D)</f>
        <v/>
      </c>
      <c r="K142" s="31" t="str">
        <f t="array" ref="K142">IF(_xlfn.XLOOKUP(A142&amp;B142&amp;C142,价格信息!$A:$A&amp;价格信息!$B:$B&amp;价格信息!$C:$C,价格信息!$I:$I)="","","【优惠券链接】"&amp;固定信息!$B$6)</f>
        <v/>
      </c>
      <c r="L142" s="31" t="str">
        <f>IF($C142="","",固定信息!$B$1)</f>
        <v/>
      </c>
      <c r="M142" s="18" t="str">
        <f t="array" ref="M142">IF(_xlfn.XLOOKUP(A142&amp;B142&amp;C142,盘货信息!$A:$A&amp;盘货信息!$B:$B&amp;盘货信息!$C:$C,盘货信息!$O:$O)="","","【优惠券】领"&amp;INDEX(_wpsfn.REGEXP(_xlfn.XLOOKUP(A142&amp;B142&amp;C142,盘货信息!$A:$A&amp;盘货信息!$B:$B&amp;盘货信息!$C:$C,盘货信息!$O:$O),"\d+"),1,1)&amp;"元优惠券下单更优惠，优惠卷："&amp;_xlfn.XLOOKUP(A142&amp;B142&amp;C142,盘货信息!$A:$A&amp;盘货信息!$B:$B&amp;盘货信息!$C:$C,盘货信息!$P:$P))</f>
        <v/>
      </c>
      <c r="N142" s="18" t="str">
        <f t="array" ref="N142">IF(AND(ISNUMBER(_xlfn.XLOOKUP(A142&amp;B142&amp;C142,盘货信息!$A:$A&amp;盘货信息!$B:$B&amp;盘货信息!$C:$C,盘货信息!$I:$I)),_xlfn.XLOOKUP(A142&amp;B142&amp;C142,盘货信息!$A:$A&amp;盘货信息!$B:$B&amp;盘货信息!$C:$C,盘货信息!$I:$I)&gt;1),"【88VIP】立减"&amp;_xlfn.XLOOKUP(A142&amp;B142&amp;C142,盘货信息!$A:$A&amp;盘货信息!$B:$B&amp;盘货信息!$C:$C,盘货信息!$I:$I)&amp;"元","")</f>
        <v/>
      </c>
      <c r="O142" s="18" t="str">
        <f t="array" ref="O142">IF(_xlfn.XLOOKUP(A142&amp;B142&amp;C142,盘货信息!$A:$A&amp;盘货信息!$B:$B&amp;盘货信息!$C:$C,盘货信息!$K:$K)="","",IF(AND(_xlfn.XLOOKUP(A142&amp;B142&amp;C142,盘货信息!$A:$A&amp;盘货信息!$B:$B&amp;盘货信息!$C:$C,盘货信息!$G:$G)="不参加",_xlfn.XLOOKUP(A142&amp;B142&amp;C142,盘货信息!$A:$A&amp;盘货信息!$B:$B&amp;盘货信息!$C:$C,盘货信息!$H:$H)=""),"【以旧换新】"&amp;_xlfn.XLOOKUP(A142&amp;B142&amp;C142,盘货信息!$A:$A&amp;盘货信息!$B:$B&amp;盘货信息!$C:$C,盘货信息!$K:$K)&amp;"元以旧换新补贴（可无旧机换新）",""))</f>
        <v/>
      </c>
      <c r="P142" s="18" t="str">
        <f t="array" ref="P142">_xlfn.XLOOKUP(A142&amp;B142&amp;C142,赠品!$A:$A&amp;赠品!$B:$B&amp;赠品!$C:$C,赠品!$D:$D)</f>
        <v/>
      </c>
      <c r="Q142" s="18" t="str">
        <f>IF($C142="","",IF(AND(M142="",N142="",P142=""),"",固定信息!$B$1))</f>
        <v/>
      </c>
      <c r="R142" s="18" t="str">
        <f t="array" ref="R142">IF(ISNUMBER(SEARCH("是",_xlfn.XLOOKUP(A142&amp;B142&amp;C142,盘货信息!$A:$A&amp;盘货信息!$B:$B&amp;盘货信息!$C:$C,盘货信息!$U:$U))),"【折扣】指定型号满2类享96折，满3类享94折","")</f>
        <v/>
      </c>
      <c r="S142" s="18" t="str">
        <f t="array" ref="S142">IF(_xlfn.XLOOKUP(A142&amp;B142&amp;C142,盘货信息!$A:$A&amp;盘货信息!$B:$B&amp;盘货信息!$C:$C,盘货信息!$Q:$Q)&lt;1,"","【红包】活动时间购机送"&amp;_xlfn.TEXTJOIN("",,IF(ISNUMBER(--MID(_xlfn.XLOOKUP(A142&amp;B142&amp;C142,盘货信息!$A:$A&amp;盘货信息!$B:$B&amp;盘货信息!$C:$C,盘货信息!$Q:$Q),_xlfn.SEQUENCE(LEN(_xlfn.XLOOKUP(A142&amp;B142&amp;C142,盘货信息!$A:$A&amp;盘货信息!$B:$B&amp;盘货信息!$C:$C,盘货信息!$Q:$Q))),1)),MID(_xlfn.XLOOKUP(A142&amp;B142&amp;C142,盘货信息!$A:$A&amp;盘货信息!$B:$B&amp;盘货信息!$C:$C,盘货信息!$Q:$Q),_xlfn.SEQUENCE(LEN(_xlfn.XLOOKUP(A142&amp;B142&amp;C142,盘货信息!$A:$A&amp;盘货信息!$B:$B&amp;盘货信息!$C:$C,盘货信息!$Q:$Q))),1),""))&amp;"元")</f>
        <v/>
      </c>
      <c r="T142" s="18" t="str">
        <f t="array" ref="T142">IF(ISNUMBER(SEARCH("是",_xlfn.XLOOKUP(A142&amp;B142&amp;C142,盘货信息!$A:$A&amp;盘货信息!$B:$B&amp;盘货信息!$C:$C,盘货信息!$T:$T))),"【瓜分】"&amp;固定信息!$B$7,"")</f>
        <v/>
      </c>
      <c r="U142" s="18" t="str">
        <f>IF($C142="","",IF(AND(R142="",S142="",T142=""),"",固定信息!$B$1))</f>
        <v/>
      </c>
      <c r="V142" s="18" t="str">
        <f t="array" ref="V142">IF(C142="","","【服务】"&amp;IF(_xlfn.XLOOKUP(A142&amp;B142&amp;C142,盘货信息!$A:$A&amp;盘货信息!$B:$B&amp;盘货信息!$C:$C,盘货信息!$V:$V)="","",_xlfn.XLOOKUP(A142&amp;B142&amp;C142,盘货信息!$A:$A&amp;盘货信息!$B:$B&amp;盘货信息!$C:$C,盘货信息!$V:$V)&amp;"免息,")&amp;IF(_xlfn.XLOOKUP(A142&amp;B142&amp;C142,盘货信息!$A:$A&amp;盘货信息!$B:$B&amp;盘货信息!$C:$C,盘货信息!$W:$W)="","",_xlfn.XLOOKUP(A142&amp;B142&amp;C142,盘货信息!$A:$A&amp;盘货信息!$B:$B&amp;盘货信息!$C:$C,盘货信息!$W:$W)&amp;"，")&amp;"送货入户，退换免运费")</f>
        <v/>
      </c>
    </row>
    <row r="143" customHeight="1" spans="1:22">
      <c r="A143" s="17" t="str">
        <f>IF(盘货信息!A143="","",盘货信息!A143)</f>
        <v/>
      </c>
      <c r="B143" s="20" t="str">
        <f>IF(盘货信息!B143="","",盘货信息!B143)</f>
        <v/>
      </c>
      <c r="C143" s="21" t="str">
        <f>IF(盘货信息!C143="","",盘货信息!C143)</f>
        <v/>
      </c>
      <c r="D143" s="18" t="str">
        <f ca="1" t="shared" si="2"/>
        <v/>
      </c>
      <c r="E143" s="18" t="str">
        <f>IF(C143="","",固定信息!$B$2)</f>
        <v/>
      </c>
      <c r="F143" s="18" t="str">
        <f t="array" ref="F143">IF(C143="","","【"&amp;C143&amp;"】"&amp;_xlfn.XLOOKUP(A143&amp;B143&amp;C143,盘货信息!$A:$A&amp;盘货信息!$B:$B&amp;盘货信息!$C:$C,盘货信息!$D:$D))</f>
        <v/>
      </c>
      <c r="G143" s="18" t="str">
        <f>IF(C143="","","【"&amp;"活动时间："&amp;固定信息!$B$3&amp;"】")</f>
        <v/>
      </c>
      <c r="H143" s="18" t="str">
        <f>IF($C143="","",固定信息!$B$1)</f>
        <v/>
      </c>
      <c r="I143" s="18"/>
      <c r="J143" s="18" t="str">
        <f t="array" ref="J143">_xlfn.XLOOKUP(A143&amp;B143&amp;C143,价格信息!$A:$A&amp;价格信息!$B:$B&amp;价格信息!$C:$C,价格信息!$D:$D)</f>
        <v/>
      </c>
      <c r="K143" s="31" t="str">
        <f t="array" ref="K143">IF(_xlfn.XLOOKUP(A143&amp;B143&amp;C143,价格信息!$A:$A&amp;价格信息!$B:$B&amp;价格信息!$C:$C,价格信息!$I:$I)="","","【优惠券链接】"&amp;固定信息!$B$6)</f>
        <v/>
      </c>
      <c r="L143" s="31" t="str">
        <f>IF($C143="","",固定信息!$B$1)</f>
        <v/>
      </c>
      <c r="M143" s="18" t="str">
        <f t="array" ref="M143">IF(_xlfn.XLOOKUP(A143&amp;B143&amp;C143,盘货信息!$A:$A&amp;盘货信息!$B:$B&amp;盘货信息!$C:$C,盘货信息!$O:$O)="","","【优惠券】领"&amp;INDEX(_wpsfn.REGEXP(_xlfn.XLOOKUP(A143&amp;B143&amp;C143,盘货信息!$A:$A&amp;盘货信息!$B:$B&amp;盘货信息!$C:$C,盘货信息!$O:$O),"\d+"),1,1)&amp;"元优惠券下单更优惠，优惠卷："&amp;_xlfn.XLOOKUP(A143&amp;B143&amp;C143,盘货信息!$A:$A&amp;盘货信息!$B:$B&amp;盘货信息!$C:$C,盘货信息!$P:$P))</f>
        <v/>
      </c>
      <c r="N143" s="18" t="str">
        <f t="array" ref="N143">IF(AND(ISNUMBER(_xlfn.XLOOKUP(A143&amp;B143&amp;C143,盘货信息!$A:$A&amp;盘货信息!$B:$B&amp;盘货信息!$C:$C,盘货信息!$I:$I)),_xlfn.XLOOKUP(A143&amp;B143&amp;C143,盘货信息!$A:$A&amp;盘货信息!$B:$B&amp;盘货信息!$C:$C,盘货信息!$I:$I)&gt;1),"【88VIP】立减"&amp;_xlfn.XLOOKUP(A143&amp;B143&amp;C143,盘货信息!$A:$A&amp;盘货信息!$B:$B&amp;盘货信息!$C:$C,盘货信息!$I:$I)&amp;"元","")</f>
        <v/>
      </c>
      <c r="O143" s="18" t="str">
        <f t="array" ref="O143">IF(_xlfn.XLOOKUP(A143&amp;B143&amp;C143,盘货信息!$A:$A&amp;盘货信息!$B:$B&amp;盘货信息!$C:$C,盘货信息!$K:$K)="","",IF(AND(_xlfn.XLOOKUP(A143&amp;B143&amp;C143,盘货信息!$A:$A&amp;盘货信息!$B:$B&amp;盘货信息!$C:$C,盘货信息!$G:$G)="不参加",_xlfn.XLOOKUP(A143&amp;B143&amp;C143,盘货信息!$A:$A&amp;盘货信息!$B:$B&amp;盘货信息!$C:$C,盘货信息!$H:$H)=""),"【以旧换新】"&amp;_xlfn.XLOOKUP(A143&amp;B143&amp;C143,盘货信息!$A:$A&amp;盘货信息!$B:$B&amp;盘货信息!$C:$C,盘货信息!$K:$K)&amp;"元以旧换新补贴（可无旧机换新）",""))</f>
        <v/>
      </c>
      <c r="P143" s="18" t="str">
        <f t="array" ref="P143">_xlfn.XLOOKUP(A143&amp;B143&amp;C143,赠品!$A:$A&amp;赠品!$B:$B&amp;赠品!$C:$C,赠品!$D:$D)</f>
        <v/>
      </c>
      <c r="Q143" s="18" t="str">
        <f>IF($C143="","",IF(AND(M143="",N143="",P143=""),"",固定信息!$B$1))</f>
        <v/>
      </c>
      <c r="R143" s="18" t="str">
        <f t="array" ref="R143">IF(ISNUMBER(SEARCH("是",_xlfn.XLOOKUP(A143&amp;B143&amp;C143,盘货信息!$A:$A&amp;盘货信息!$B:$B&amp;盘货信息!$C:$C,盘货信息!$U:$U))),"【折扣】指定型号满2类享96折，满3类享94折","")</f>
        <v/>
      </c>
      <c r="S143" s="18" t="str">
        <f t="array" ref="S143">IF(_xlfn.XLOOKUP(A143&amp;B143&amp;C143,盘货信息!$A:$A&amp;盘货信息!$B:$B&amp;盘货信息!$C:$C,盘货信息!$Q:$Q)&lt;1,"","【红包】活动时间购机送"&amp;_xlfn.TEXTJOIN("",,IF(ISNUMBER(--MID(_xlfn.XLOOKUP(A143&amp;B143&amp;C143,盘货信息!$A:$A&amp;盘货信息!$B:$B&amp;盘货信息!$C:$C,盘货信息!$Q:$Q),_xlfn.SEQUENCE(LEN(_xlfn.XLOOKUP(A143&amp;B143&amp;C143,盘货信息!$A:$A&amp;盘货信息!$B:$B&amp;盘货信息!$C:$C,盘货信息!$Q:$Q))),1)),MID(_xlfn.XLOOKUP(A143&amp;B143&amp;C143,盘货信息!$A:$A&amp;盘货信息!$B:$B&amp;盘货信息!$C:$C,盘货信息!$Q:$Q),_xlfn.SEQUENCE(LEN(_xlfn.XLOOKUP(A143&amp;B143&amp;C143,盘货信息!$A:$A&amp;盘货信息!$B:$B&amp;盘货信息!$C:$C,盘货信息!$Q:$Q))),1),""))&amp;"元")</f>
        <v/>
      </c>
      <c r="T143" s="18" t="str">
        <f t="array" ref="T143">IF(ISNUMBER(SEARCH("是",_xlfn.XLOOKUP(A143&amp;B143&amp;C143,盘货信息!$A:$A&amp;盘货信息!$B:$B&amp;盘货信息!$C:$C,盘货信息!$T:$T))),"【瓜分】"&amp;固定信息!$B$7,"")</f>
        <v/>
      </c>
      <c r="U143" s="18" t="str">
        <f>IF($C143="","",IF(AND(R143="",S143="",T143=""),"",固定信息!$B$1))</f>
        <v/>
      </c>
      <c r="V143" s="18" t="str">
        <f t="array" ref="V143">IF(C143="","","【服务】"&amp;IF(_xlfn.XLOOKUP(A143&amp;B143&amp;C143,盘货信息!$A:$A&amp;盘货信息!$B:$B&amp;盘货信息!$C:$C,盘货信息!$V:$V)="","",_xlfn.XLOOKUP(A143&amp;B143&amp;C143,盘货信息!$A:$A&amp;盘货信息!$B:$B&amp;盘货信息!$C:$C,盘货信息!$V:$V)&amp;"免息,")&amp;IF(_xlfn.XLOOKUP(A143&amp;B143&amp;C143,盘货信息!$A:$A&amp;盘货信息!$B:$B&amp;盘货信息!$C:$C,盘货信息!$W:$W)="","",_xlfn.XLOOKUP(A143&amp;B143&amp;C143,盘货信息!$A:$A&amp;盘货信息!$B:$B&amp;盘货信息!$C:$C,盘货信息!$W:$W)&amp;"，")&amp;"送货入户，退换免运费")</f>
        <v/>
      </c>
    </row>
    <row r="144" customHeight="1" spans="1:22">
      <c r="A144" s="17" t="str">
        <f>IF(盘货信息!A144="","",盘货信息!A144)</f>
        <v/>
      </c>
      <c r="B144" s="20" t="str">
        <f>IF(盘货信息!B144="","",盘货信息!B144)</f>
        <v/>
      </c>
      <c r="C144" s="18" t="str">
        <f>IF(盘货信息!C144="","",盘货信息!C144)</f>
        <v/>
      </c>
      <c r="D144" s="18" t="str">
        <f ca="1" t="shared" si="2"/>
        <v/>
      </c>
      <c r="E144" s="18" t="str">
        <f>IF(C144="","",固定信息!$B$2)</f>
        <v/>
      </c>
      <c r="F144" s="18" t="str">
        <f t="array" ref="F144">IF(C144="","","【"&amp;C144&amp;"】"&amp;_xlfn.XLOOKUP(A144&amp;B144&amp;C144,盘货信息!$A:$A&amp;盘货信息!$B:$B&amp;盘货信息!$C:$C,盘货信息!$D:$D))</f>
        <v/>
      </c>
      <c r="G144" s="18" t="str">
        <f>IF(C144="","","【"&amp;"活动时间："&amp;固定信息!$B$3&amp;"】")</f>
        <v/>
      </c>
      <c r="H144" s="18" t="str">
        <f>IF($C144="","",固定信息!$B$1)</f>
        <v/>
      </c>
      <c r="I144" s="18"/>
      <c r="J144" s="18" t="str">
        <f t="array" ref="J144">_xlfn.XLOOKUP(A144&amp;B144&amp;C144,价格信息!$A:$A&amp;价格信息!$B:$B&amp;价格信息!$C:$C,价格信息!$D:$D)</f>
        <v/>
      </c>
      <c r="K144" s="31" t="str">
        <f t="array" ref="K144">IF(_xlfn.XLOOKUP(A144&amp;B144&amp;C144,价格信息!$A:$A&amp;价格信息!$B:$B&amp;价格信息!$C:$C,价格信息!$I:$I)="","","【优惠券链接】"&amp;固定信息!$B$6)</f>
        <v/>
      </c>
      <c r="L144" s="31" t="str">
        <f>IF($C144="","",固定信息!$B$1)</f>
        <v/>
      </c>
      <c r="M144" s="18" t="str">
        <f t="array" ref="M144">IF(_xlfn.XLOOKUP(A144&amp;B144&amp;C144,盘货信息!$A:$A&amp;盘货信息!$B:$B&amp;盘货信息!$C:$C,盘货信息!$O:$O)="","","【优惠券】领"&amp;INDEX(_wpsfn.REGEXP(_xlfn.XLOOKUP(A144&amp;B144&amp;C144,盘货信息!$A:$A&amp;盘货信息!$B:$B&amp;盘货信息!$C:$C,盘货信息!$O:$O),"\d+"),1,1)&amp;"元优惠券下单更优惠，优惠卷："&amp;_xlfn.XLOOKUP(A144&amp;B144&amp;C144,盘货信息!$A:$A&amp;盘货信息!$B:$B&amp;盘货信息!$C:$C,盘货信息!$P:$P))</f>
        <v/>
      </c>
      <c r="N144" s="18" t="str">
        <f t="array" ref="N144">IF(AND(ISNUMBER(_xlfn.XLOOKUP(A144&amp;B144&amp;C144,盘货信息!$A:$A&amp;盘货信息!$B:$B&amp;盘货信息!$C:$C,盘货信息!$I:$I)),_xlfn.XLOOKUP(A144&amp;B144&amp;C144,盘货信息!$A:$A&amp;盘货信息!$B:$B&amp;盘货信息!$C:$C,盘货信息!$I:$I)&gt;1),"【88VIP】立减"&amp;_xlfn.XLOOKUP(A144&amp;B144&amp;C144,盘货信息!$A:$A&amp;盘货信息!$B:$B&amp;盘货信息!$C:$C,盘货信息!$I:$I)&amp;"元","")</f>
        <v/>
      </c>
      <c r="O144" s="18" t="str">
        <f t="array" ref="O144">IF(_xlfn.XLOOKUP(A144&amp;B144&amp;C144,盘货信息!$A:$A&amp;盘货信息!$B:$B&amp;盘货信息!$C:$C,盘货信息!$K:$K)="","",IF(AND(_xlfn.XLOOKUP(A144&amp;B144&amp;C144,盘货信息!$A:$A&amp;盘货信息!$B:$B&amp;盘货信息!$C:$C,盘货信息!$G:$G)="不参加",_xlfn.XLOOKUP(A144&amp;B144&amp;C144,盘货信息!$A:$A&amp;盘货信息!$B:$B&amp;盘货信息!$C:$C,盘货信息!$H:$H)=""),"【以旧换新】"&amp;_xlfn.XLOOKUP(A144&amp;B144&amp;C144,盘货信息!$A:$A&amp;盘货信息!$B:$B&amp;盘货信息!$C:$C,盘货信息!$K:$K)&amp;"元以旧换新补贴（可无旧机换新）",""))</f>
        <v/>
      </c>
      <c r="P144" s="18" t="str">
        <f t="array" ref="P144">_xlfn.XLOOKUP(A144&amp;B144&amp;C144,赠品!$A:$A&amp;赠品!$B:$B&amp;赠品!$C:$C,赠品!$D:$D)</f>
        <v/>
      </c>
      <c r="Q144" s="18" t="str">
        <f>IF($C144="","",IF(AND(M144="",N144="",P144=""),"",固定信息!$B$1))</f>
        <v/>
      </c>
      <c r="R144" s="18" t="str">
        <f t="array" ref="R144">IF(ISNUMBER(SEARCH("是",_xlfn.XLOOKUP(A144&amp;B144&amp;C144,盘货信息!$A:$A&amp;盘货信息!$B:$B&amp;盘货信息!$C:$C,盘货信息!$U:$U))),"【折扣】指定型号满2类享96折，满3类享94折","")</f>
        <v/>
      </c>
      <c r="S144" s="18" t="str">
        <f t="array" ref="S144">IF(_xlfn.XLOOKUP(A144&amp;B144&amp;C144,盘货信息!$A:$A&amp;盘货信息!$B:$B&amp;盘货信息!$C:$C,盘货信息!$Q:$Q)&lt;1,"","【红包】活动时间购机送"&amp;_xlfn.TEXTJOIN("",,IF(ISNUMBER(--MID(_xlfn.XLOOKUP(A144&amp;B144&amp;C144,盘货信息!$A:$A&amp;盘货信息!$B:$B&amp;盘货信息!$C:$C,盘货信息!$Q:$Q),_xlfn.SEQUENCE(LEN(_xlfn.XLOOKUP(A144&amp;B144&amp;C144,盘货信息!$A:$A&amp;盘货信息!$B:$B&amp;盘货信息!$C:$C,盘货信息!$Q:$Q))),1)),MID(_xlfn.XLOOKUP(A144&amp;B144&amp;C144,盘货信息!$A:$A&amp;盘货信息!$B:$B&amp;盘货信息!$C:$C,盘货信息!$Q:$Q),_xlfn.SEQUENCE(LEN(_xlfn.XLOOKUP(A144&amp;B144&amp;C144,盘货信息!$A:$A&amp;盘货信息!$B:$B&amp;盘货信息!$C:$C,盘货信息!$Q:$Q))),1),""))&amp;"元")</f>
        <v/>
      </c>
      <c r="T144" s="18" t="str">
        <f t="array" ref="T144">IF(ISNUMBER(SEARCH("是",_xlfn.XLOOKUP(A144&amp;B144&amp;C144,盘货信息!$A:$A&amp;盘货信息!$B:$B&amp;盘货信息!$C:$C,盘货信息!$T:$T))),"【瓜分】"&amp;固定信息!$B$7,"")</f>
        <v/>
      </c>
      <c r="U144" s="18" t="str">
        <f>IF($C144="","",IF(AND(R144="",S144="",T144=""),"",固定信息!$B$1))</f>
        <v/>
      </c>
      <c r="V144" s="18" t="str">
        <f t="array" ref="V144">IF(C144="","","【服务】"&amp;IF(_xlfn.XLOOKUP(A144&amp;B144&amp;C144,盘货信息!$A:$A&amp;盘货信息!$B:$B&amp;盘货信息!$C:$C,盘货信息!$V:$V)="","",_xlfn.XLOOKUP(A144&amp;B144&amp;C144,盘货信息!$A:$A&amp;盘货信息!$B:$B&amp;盘货信息!$C:$C,盘货信息!$V:$V)&amp;"免息,")&amp;IF(_xlfn.XLOOKUP(A144&amp;B144&amp;C144,盘货信息!$A:$A&amp;盘货信息!$B:$B&amp;盘货信息!$C:$C,盘货信息!$W:$W)="","",_xlfn.XLOOKUP(A144&amp;B144&amp;C144,盘货信息!$A:$A&amp;盘货信息!$B:$B&amp;盘货信息!$C:$C,盘货信息!$W:$W)&amp;"，")&amp;"送货入户，退换免运费")</f>
        <v/>
      </c>
    </row>
    <row r="145" customHeight="1" spans="1:22">
      <c r="A145" s="17" t="str">
        <f>IF(盘货信息!A145="","",盘货信息!A145)</f>
        <v/>
      </c>
      <c r="B145" s="20" t="str">
        <f>IF(盘货信息!B145="","",盘货信息!B145)</f>
        <v/>
      </c>
      <c r="C145" s="18" t="str">
        <f>IF(盘货信息!C145="","",盘货信息!C145)</f>
        <v/>
      </c>
      <c r="D145" s="18" t="str">
        <f ca="1" t="shared" si="2"/>
        <v/>
      </c>
      <c r="E145" s="18" t="str">
        <f>IF(C145="","",固定信息!$B$2)</f>
        <v/>
      </c>
      <c r="F145" s="18" t="str">
        <f t="array" ref="F145">IF(C145="","","【"&amp;C145&amp;"】"&amp;_xlfn.XLOOKUP(A145&amp;B145&amp;C145,盘货信息!$A:$A&amp;盘货信息!$B:$B&amp;盘货信息!$C:$C,盘货信息!$D:$D))</f>
        <v/>
      </c>
      <c r="G145" s="18" t="str">
        <f>IF(C145="","","【"&amp;"活动时间："&amp;固定信息!$B$3&amp;"】")</f>
        <v/>
      </c>
      <c r="H145" s="18" t="str">
        <f>IF($C145="","",固定信息!$B$1)</f>
        <v/>
      </c>
      <c r="I145" s="18"/>
      <c r="J145" s="18" t="str">
        <f t="array" ref="J145">_xlfn.XLOOKUP(A145&amp;B145&amp;C145,价格信息!$A:$A&amp;价格信息!$B:$B&amp;价格信息!$C:$C,价格信息!$D:$D)</f>
        <v/>
      </c>
      <c r="K145" s="31" t="str">
        <f t="array" ref="K145">IF(_xlfn.XLOOKUP(A145&amp;B145&amp;C145,价格信息!$A:$A&amp;价格信息!$B:$B&amp;价格信息!$C:$C,价格信息!$I:$I)="","","【优惠券链接】"&amp;固定信息!$B$6)</f>
        <v/>
      </c>
      <c r="L145" s="31" t="str">
        <f>IF($C145="","",固定信息!$B$1)</f>
        <v/>
      </c>
      <c r="M145" s="18" t="str">
        <f t="array" ref="M145">IF(_xlfn.XLOOKUP(A145&amp;B145&amp;C145,盘货信息!$A:$A&amp;盘货信息!$B:$B&amp;盘货信息!$C:$C,盘货信息!$O:$O)="","","【优惠券】领"&amp;INDEX(_wpsfn.REGEXP(_xlfn.XLOOKUP(A145&amp;B145&amp;C145,盘货信息!$A:$A&amp;盘货信息!$B:$B&amp;盘货信息!$C:$C,盘货信息!$O:$O),"\d+"),1,1)&amp;"元优惠券下单更优惠，优惠卷："&amp;_xlfn.XLOOKUP(A145&amp;B145&amp;C145,盘货信息!$A:$A&amp;盘货信息!$B:$B&amp;盘货信息!$C:$C,盘货信息!$P:$P))</f>
        <v/>
      </c>
      <c r="N145" s="18" t="str">
        <f t="array" ref="N145">IF(AND(ISNUMBER(_xlfn.XLOOKUP(A145&amp;B145&amp;C145,盘货信息!$A:$A&amp;盘货信息!$B:$B&amp;盘货信息!$C:$C,盘货信息!$I:$I)),_xlfn.XLOOKUP(A145&amp;B145&amp;C145,盘货信息!$A:$A&amp;盘货信息!$B:$B&amp;盘货信息!$C:$C,盘货信息!$I:$I)&gt;1),"【88VIP】立减"&amp;_xlfn.XLOOKUP(A145&amp;B145&amp;C145,盘货信息!$A:$A&amp;盘货信息!$B:$B&amp;盘货信息!$C:$C,盘货信息!$I:$I)&amp;"元","")</f>
        <v/>
      </c>
      <c r="O145" s="18" t="str">
        <f t="array" ref="O145">IF(_xlfn.XLOOKUP(A145&amp;B145&amp;C145,盘货信息!$A:$A&amp;盘货信息!$B:$B&amp;盘货信息!$C:$C,盘货信息!$K:$K)="","",IF(AND(_xlfn.XLOOKUP(A145&amp;B145&amp;C145,盘货信息!$A:$A&amp;盘货信息!$B:$B&amp;盘货信息!$C:$C,盘货信息!$G:$G)="不参加",_xlfn.XLOOKUP(A145&amp;B145&amp;C145,盘货信息!$A:$A&amp;盘货信息!$B:$B&amp;盘货信息!$C:$C,盘货信息!$H:$H)=""),"【以旧换新】"&amp;_xlfn.XLOOKUP(A145&amp;B145&amp;C145,盘货信息!$A:$A&amp;盘货信息!$B:$B&amp;盘货信息!$C:$C,盘货信息!$K:$K)&amp;"元以旧换新补贴（可无旧机换新）",""))</f>
        <v/>
      </c>
      <c r="P145" s="18" t="str">
        <f t="array" ref="P145">_xlfn.XLOOKUP(A145&amp;B145&amp;C145,赠品!$A:$A&amp;赠品!$B:$B&amp;赠品!$C:$C,赠品!$D:$D)</f>
        <v/>
      </c>
      <c r="Q145" s="18" t="str">
        <f>IF($C145="","",IF(AND(M145="",N145="",P145=""),"",固定信息!$B$1))</f>
        <v/>
      </c>
      <c r="R145" s="18" t="str">
        <f t="array" ref="R145">IF(ISNUMBER(SEARCH("是",_xlfn.XLOOKUP(A145&amp;B145&amp;C145,盘货信息!$A:$A&amp;盘货信息!$B:$B&amp;盘货信息!$C:$C,盘货信息!$U:$U))),"【折扣】指定型号满2类享96折，满3类享94折","")</f>
        <v/>
      </c>
      <c r="S145" s="18" t="str">
        <f t="array" ref="S145">IF(_xlfn.XLOOKUP(A145&amp;B145&amp;C145,盘货信息!$A:$A&amp;盘货信息!$B:$B&amp;盘货信息!$C:$C,盘货信息!$Q:$Q)&lt;1,"","【红包】活动时间购机送"&amp;_xlfn.TEXTJOIN("",,IF(ISNUMBER(--MID(_xlfn.XLOOKUP(A145&amp;B145&amp;C145,盘货信息!$A:$A&amp;盘货信息!$B:$B&amp;盘货信息!$C:$C,盘货信息!$Q:$Q),_xlfn.SEQUENCE(LEN(_xlfn.XLOOKUP(A145&amp;B145&amp;C145,盘货信息!$A:$A&amp;盘货信息!$B:$B&amp;盘货信息!$C:$C,盘货信息!$Q:$Q))),1)),MID(_xlfn.XLOOKUP(A145&amp;B145&amp;C145,盘货信息!$A:$A&amp;盘货信息!$B:$B&amp;盘货信息!$C:$C,盘货信息!$Q:$Q),_xlfn.SEQUENCE(LEN(_xlfn.XLOOKUP(A145&amp;B145&amp;C145,盘货信息!$A:$A&amp;盘货信息!$B:$B&amp;盘货信息!$C:$C,盘货信息!$Q:$Q))),1),""))&amp;"元")</f>
        <v/>
      </c>
      <c r="T145" s="18" t="str">
        <f t="array" ref="T145">IF(ISNUMBER(SEARCH("是",_xlfn.XLOOKUP(A145&amp;B145&amp;C145,盘货信息!$A:$A&amp;盘货信息!$B:$B&amp;盘货信息!$C:$C,盘货信息!$T:$T))),"【瓜分】"&amp;固定信息!$B$7,"")</f>
        <v/>
      </c>
      <c r="U145" s="18" t="str">
        <f>IF($C145="","",IF(AND(R145="",S145="",T145=""),"",固定信息!$B$1))</f>
        <v/>
      </c>
      <c r="V145" s="18" t="str">
        <f t="array" ref="V145">IF(C145="","","【服务】"&amp;IF(_xlfn.XLOOKUP(A145&amp;B145&amp;C145,盘货信息!$A:$A&amp;盘货信息!$B:$B&amp;盘货信息!$C:$C,盘货信息!$V:$V)="","",_xlfn.XLOOKUP(A145&amp;B145&amp;C145,盘货信息!$A:$A&amp;盘货信息!$B:$B&amp;盘货信息!$C:$C,盘货信息!$V:$V)&amp;"免息,")&amp;IF(_xlfn.XLOOKUP(A145&amp;B145&amp;C145,盘货信息!$A:$A&amp;盘货信息!$B:$B&amp;盘货信息!$C:$C,盘货信息!$W:$W)="","",_xlfn.XLOOKUP(A145&amp;B145&amp;C145,盘货信息!$A:$A&amp;盘货信息!$B:$B&amp;盘货信息!$C:$C,盘货信息!$W:$W)&amp;"，")&amp;"送货入户，退换免运费")</f>
        <v/>
      </c>
    </row>
    <row r="146" customHeight="1" spans="1:22">
      <c r="A146" s="17" t="str">
        <f>IF(盘货信息!A146="","",盘货信息!A146)</f>
        <v/>
      </c>
      <c r="B146" s="20" t="str">
        <f>IF(盘货信息!B146="","",盘货信息!B146)</f>
        <v/>
      </c>
      <c r="C146" s="18" t="str">
        <f>IF(盘货信息!C146="","",盘货信息!C146)</f>
        <v/>
      </c>
      <c r="D146" s="18" t="str">
        <f ca="1" t="shared" si="2"/>
        <v/>
      </c>
      <c r="E146" s="18" t="str">
        <f>IF(C146="","",固定信息!$B$2)</f>
        <v/>
      </c>
      <c r="F146" s="18" t="str">
        <f t="array" ref="F146">IF(C146="","","【"&amp;C146&amp;"】"&amp;_xlfn.XLOOKUP(A146&amp;B146&amp;C146,盘货信息!$A:$A&amp;盘货信息!$B:$B&amp;盘货信息!$C:$C,盘货信息!$D:$D))</f>
        <v/>
      </c>
      <c r="G146" s="18" t="str">
        <f>IF(C146="","","【"&amp;"活动时间："&amp;固定信息!$B$3&amp;"】")</f>
        <v/>
      </c>
      <c r="H146" s="18" t="str">
        <f>IF($C146="","",固定信息!$B$1)</f>
        <v/>
      </c>
      <c r="I146" s="18"/>
      <c r="J146" s="18" t="str">
        <f t="array" ref="J146">_xlfn.XLOOKUP(A146&amp;B146&amp;C146,价格信息!$A:$A&amp;价格信息!$B:$B&amp;价格信息!$C:$C,价格信息!$D:$D)</f>
        <v/>
      </c>
      <c r="K146" s="31" t="str">
        <f t="array" ref="K146">IF(_xlfn.XLOOKUP(A146&amp;B146&amp;C146,价格信息!$A:$A&amp;价格信息!$B:$B&amp;价格信息!$C:$C,价格信息!$I:$I)="","","【优惠券链接】"&amp;固定信息!$B$6)</f>
        <v/>
      </c>
      <c r="L146" s="31" t="str">
        <f>IF($C146="","",固定信息!$B$1)</f>
        <v/>
      </c>
      <c r="M146" s="18" t="str">
        <f t="array" ref="M146">IF(_xlfn.XLOOKUP(A146&amp;B146&amp;C146,盘货信息!$A:$A&amp;盘货信息!$B:$B&amp;盘货信息!$C:$C,盘货信息!$O:$O)="","","【优惠券】领"&amp;INDEX(_wpsfn.REGEXP(_xlfn.XLOOKUP(A146&amp;B146&amp;C146,盘货信息!$A:$A&amp;盘货信息!$B:$B&amp;盘货信息!$C:$C,盘货信息!$O:$O),"\d+"),1,1)&amp;"元优惠券下单更优惠，优惠卷："&amp;_xlfn.XLOOKUP(A146&amp;B146&amp;C146,盘货信息!$A:$A&amp;盘货信息!$B:$B&amp;盘货信息!$C:$C,盘货信息!$P:$P))</f>
        <v/>
      </c>
      <c r="N146" s="18" t="str">
        <f t="array" ref="N146">IF(AND(ISNUMBER(_xlfn.XLOOKUP(A146&amp;B146&amp;C146,盘货信息!$A:$A&amp;盘货信息!$B:$B&amp;盘货信息!$C:$C,盘货信息!$I:$I)),_xlfn.XLOOKUP(A146&amp;B146&amp;C146,盘货信息!$A:$A&amp;盘货信息!$B:$B&amp;盘货信息!$C:$C,盘货信息!$I:$I)&gt;1),"【88VIP】立减"&amp;_xlfn.XLOOKUP(A146&amp;B146&amp;C146,盘货信息!$A:$A&amp;盘货信息!$B:$B&amp;盘货信息!$C:$C,盘货信息!$I:$I)&amp;"元","")</f>
        <v/>
      </c>
      <c r="O146" s="18" t="str">
        <f t="array" ref="O146">IF(_xlfn.XLOOKUP(A146&amp;B146&amp;C146,盘货信息!$A:$A&amp;盘货信息!$B:$B&amp;盘货信息!$C:$C,盘货信息!$K:$K)="","",IF(AND(_xlfn.XLOOKUP(A146&amp;B146&amp;C146,盘货信息!$A:$A&amp;盘货信息!$B:$B&amp;盘货信息!$C:$C,盘货信息!$G:$G)="不参加",_xlfn.XLOOKUP(A146&amp;B146&amp;C146,盘货信息!$A:$A&amp;盘货信息!$B:$B&amp;盘货信息!$C:$C,盘货信息!$H:$H)=""),"【以旧换新】"&amp;_xlfn.XLOOKUP(A146&amp;B146&amp;C146,盘货信息!$A:$A&amp;盘货信息!$B:$B&amp;盘货信息!$C:$C,盘货信息!$K:$K)&amp;"元以旧换新补贴（可无旧机换新）",""))</f>
        <v/>
      </c>
      <c r="P146" s="18" t="str">
        <f t="array" ref="P146">_xlfn.XLOOKUP(A146&amp;B146&amp;C146,赠品!$A:$A&amp;赠品!$B:$B&amp;赠品!$C:$C,赠品!$D:$D)</f>
        <v/>
      </c>
      <c r="Q146" s="18" t="str">
        <f>IF($C146="","",IF(AND(M146="",N146="",P146=""),"",固定信息!$B$1))</f>
        <v/>
      </c>
      <c r="R146" s="18" t="str">
        <f t="array" ref="R146">IF(ISNUMBER(SEARCH("是",_xlfn.XLOOKUP(A146&amp;B146&amp;C146,盘货信息!$A:$A&amp;盘货信息!$B:$B&amp;盘货信息!$C:$C,盘货信息!$U:$U))),"【折扣】指定型号满2类享96折，满3类享94折","")</f>
        <v/>
      </c>
      <c r="S146" s="18" t="str">
        <f t="array" ref="S146">IF(_xlfn.XLOOKUP(A146&amp;B146&amp;C146,盘货信息!$A:$A&amp;盘货信息!$B:$B&amp;盘货信息!$C:$C,盘货信息!$Q:$Q)&lt;1,"","【红包】活动时间购机送"&amp;_xlfn.TEXTJOIN("",,IF(ISNUMBER(--MID(_xlfn.XLOOKUP(A146&amp;B146&amp;C146,盘货信息!$A:$A&amp;盘货信息!$B:$B&amp;盘货信息!$C:$C,盘货信息!$Q:$Q),_xlfn.SEQUENCE(LEN(_xlfn.XLOOKUP(A146&amp;B146&amp;C146,盘货信息!$A:$A&amp;盘货信息!$B:$B&amp;盘货信息!$C:$C,盘货信息!$Q:$Q))),1)),MID(_xlfn.XLOOKUP(A146&amp;B146&amp;C146,盘货信息!$A:$A&amp;盘货信息!$B:$B&amp;盘货信息!$C:$C,盘货信息!$Q:$Q),_xlfn.SEQUENCE(LEN(_xlfn.XLOOKUP(A146&amp;B146&amp;C146,盘货信息!$A:$A&amp;盘货信息!$B:$B&amp;盘货信息!$C:$C,盘货信息!$Q:$Q))),1),""))&amp;"元")</f>
        <v/>
      </c>
      <c r="T146" s="18" t="str">
        <f t="array" ref="T146">IF(ISNUMBER(SEARCH("是",_xlfn.XLOOKUP(A146&amp;B146&amp;C146,盘货信息!$A:$A&amp;盘货信息!$B:$B&amp;盘货信息!$C:$C,盘货信息!$T:$T))),"【瓜分】"&amp;固定信息!$B$7,"")</f>
        <v/>
      </c>
      <c r="U146" s="18" t="str">
        <f>IF($C146="","",IF(AND(R146="",S146="",T146=""),"",固定信息!$B$1))</f>
        <v/>
      </c>
      <c r="V146" s="18" t="str">
        <f t="array" ref="V146">IF(C146="","","【服务】"&amp;IF(_xlfn.XLOOKUP(A146&amp;B146&amp;C146,盘货信息!$A:$A&amp;盘货信息!$B:$B&amp;盘货信息!$C:$C,盘货信息!$V:$V)="","",_xlfn.XLOOKUP(A146&amp;B146&amp;C146,盘货信息!$A:$A&amp;盘货信息!$B:$B&amp;盘货信息!$C:$C,盘货信息!$V:$V)&amp;"免息,")&amp;IF(_xlfn.XLOOKUP(A146&amp;B146&amp;C146,盘货信息!$A:$A&amp;盘货信息!$B:$B&amp;盘货信息!$C:$C,盘货信息!$W:$W)="","",_xlfn.XLOOKUP(A146&amp;B146&amp;C146,盘货信息!$A:$A&amp;盘货信息!$B:$B&amp;盘货信息!$C:$C,盘货信息!$W:$W)&amp;"，")&amp;"送货入户，退换免运费")</f>
        <v/>
      </c>
    </row>
    <row r="147" customHeight="1" spans="1:22">
      <c r="A147" s="17" t="str">
        <f>IF(盘货信息!A147="","",盘货信息!A147)</f>
        <v/>
      </c>
      <c r="B147" s="20" t="str">
        <f>IF(盘货信息!B147="","",盘货信息!B147)</f>
        <v/>
      </c>
      <c r="C147" s="18" t="str">
        <f>IF(盘货信息!C147="","",盘货信息!C147)</f>
        <v/>
      </c>
      <c r="D147" s="18" t="str">
        <f ca="1" t="shared" si="2"/>
        <v/>
      </c>
      <c r="E147" s="18" t="str">
        <f>IF(C147="","",固定信息!$B$2)</f>
        <v/>
      </c>
      <c r="F147" s="18" t="str">
        <f t="array" ref="F147">IF(C147="","","【"&amp;C147&amp;"】"&amp;_xlfn.XLOOKUP(A147&amp;B147&amp;C147,盘货信息!$A:$A&amp;盘货信息!$B:$B&amp;盘货信息!$C:$C,盘货信息!$D:$D))</f>
        <v/>
      </c>
      <c r="G147" s="18" t="str">
        <f>IF(C147="","","【"&amp;"活动时间："&amp;固定信息!$B$3&amp;"】")</f>
        <v/>
      </c>
      <c r="H147" s="18" t="str">
        <f>IF($C147="","",固定信息!$B$1)</f>
        <v/>
      </c>
      <c r="I147" s="18"/>
      <c r="J147" s="18" t="str">
        <f t="array" ref="J147">_xlfn.XLOOKUP(A147&amp;B147&amp;C147,价格信息!$A:$A&amp;价格信息!$B:$B&amp;价格信息!$C:$C,价格信息!$D:$D)</f>
        <v/>
      </c>
      <c r="K147" s="31" t="str">
        <f t="array" ref="K147">IF(_xlfn.XLOOKUP(A147&amp;B147&amp;C147,价格信息!$A:$A&amp;价格信息!$B:$B&amp;价格信息!$C:$C,价格信息!$I:$I)="","","【优惠券链接】"&amp;固定信息!$B$6)</f>
        <v/>
      </c>
      <c r="L147" s="31" t="str">
        <f>IF($C147="","",固定信息!$B$1)</f>
        <v/>
      </c>
      <c r="M147" s="18" t="str">
        <f t="array" ref="M147">IF(_xlfn.XLOOKUP(A147&amp;B147&amp;C147,盘货信息!$A:$A&amp;盘货信息!$B:$B&amp;盘货信息!$C:$C,盘货信息!$O:$O)="","","【优惠券】领"&amp;INDEX(_wpsfn.REGEXP(_xlfn.XLOOKUP(A147&amp;B147&amp;C147,盘货信息!$A:$A&amp;盘货信息!$B:$B&amp;盘货信息!$C:$C,盘货信息!$O:$O),"\d+"),1,1)&amp;"元优惠券下单更优惠，优惠卷："&amp;_xlfn.XLOOKUP(A147&amp;B147&amp;C147,盘货信息!$A:$A&amp;盘货信息!$B:$B&amp;盘货信息!$C:$C,盘货信息!$P:$P))</f>
        <v/>
      </c>
      <c r="N147" s="18" t="str">
        <f t="array" ref="N147">IF(AND(ISNUMBER(_xlfn.XLOOKUP(A147&amp;B147&amp;C147,盘货信息!$A:$A&amp;盘货信息!$B:$B&amp;盘货信息!$C:$C,盘货信息!$I:$I)),_xlfn.XLOOKUP(A147&amp;B147&amp;C147,盘货信息!$A:$A&amp;盘货信息!$B:$B&amp;盘货信息!$C:$C,盘货信息!$I:$I)&gt;1),"【88VIP】立减"&amp;_xlfn.XLOOKUP(A147&amp;B147&amp;C147,盘货信息!$A:$A&amp;盘货信息!$B:$B&amp;盘货信息!$C:$C,盘货信息!$I:$I)&amp;"元","")</f>
        <v/>
      </c>
      <c r="O147" s="18" t="str">
        <f t="array" ref="O147">IF(_xlfn.XLOOKUP(A147&amp;B147&amp;C147,盘货信息!$A:$A&amp;盘货信息!$B:$B&amp;盘货信息!$C:$C,盘货信息!$K:$K)="","",IF(AND(_xlfn.XLOOKUP(A147&amp;B147&amp;C147,盘货信息!$A:$A&amp;盘货信息!$B:$B&amp;盘货信息!$C:$C,盘货信息!$G:$G)="不参加",_xlfn.XLOOKUP(A147&amp;B147&amp;C147,盘货信息!$A:$A&amp;盘货信息!$B:$B&amp;盘货信息!$C:$C,盘货信息!$H:$H)=""),"【以旧换新】"&amp;_xlfn.XLOOKUP(A147&amp;B147&amp;C147,盘货信息!$A:$A&amp;盘货信息!$B:$B&amp;盘货信息!$C:$C,盘货信息!$K:$K)&amp;"元以旧换新补贴（可无旧机换新）",""))</f>
        <v/>
      </c>
      <c r="P147" s="18" t="str">
        <f t="array" ref="P147">_xlfn.XLOOKUP(A147&amp;B147&amp;C147,赠品!$A:$A&amp;赠品!$B:$B&amp;赠品!$C:$C,赠品!$D:$D)</f>
        <v/>
      </c>
      <c r="Q147" s="18" t="str">
        <f>IF($C147="","",IF(AND(M147="",N147="",P147=""),"",固定信息!$B$1))</f>
        <v/>
      </c>
      <c r="R147" s="18" t="str">
        <f t="array" ref="R147">IF(ISNUMBER(SEARCH("是",_xlfn.XLOOKUP(A147&amp;B147&amp;C147,盘货信息!$A:$A&amp;盘货信息!$B:$B&amp;盘货信息!$C:$C,盘货信息!$U:$U))),"【折扣】指定型号满2类享96折，满3类享94折","")</f>
        <v/>
      </c>
      <c r="S147" s="18" t="str">
        <f t="array" ref="S147">IF(_xlfn.XLOOKUP(A147&amp;B147&amp;C147,盘货信息!$A:$A&amp;盘货信息!$B:$B&amp;盘货信息!$C:$C,盘货信息!$Q:$Q)&lt;1,"","【红包】活动时间购机送"&amp;_xlfn.TEXTJOIN("",,IF(ISNUMBER(--MID(_xlfn.XLOOKUP(A147&amp;B147&amp;C147,盘货信息!$A:$A&amp;盘货信息!$B:$B&amp;盘货信息!$C:$C,盘货信息!$Q:$Q),_xlfn.SEQUENCE(LEN(_xlfn.XLOOKUP(A147&amp;B147&amp;C147,盘货信息!$A:$A&amp;盘货信息!$B:$B&amp;盘货信息!$C:$C,盘货信息!$Q:$Q))),1)),MID(_xlfn.XLOOKUP(A147&amp;B147&amp;C147,盘货信息!$A:$A&amp;盘货信息!$B:$B&amp;盘货信息!$C:$C,盘货信息!$Q:$Q),_xlfn.SEQUENCE(LEN(_xlfn.XLOOKUP(A147&amp;B147&amp;C147,盘货信息!$A:$A&amp;盘货信息!$B:$B&amp;盘货信息!$C:$C,盘货信息!$Q:$Q))),1),""))&amp;"元")</f>
        <v/>
      </c>
      <c r="T147" s="18" t="str">
        <f t="array" ref="T147">IF(ISNUMBER(SEARCH("是",_xlfn.XLOOKUP(A147&amp;B147&amp;C147,盘货信息!$A:$A&amp;盘货信息!$B:$B&amp;盘货信息!$C:$C,盘货信息!$T:$T))),"【瓜分】"&amp;固定信息!$B$7,"")</f>
        <v/>
      </c>
      <c r="U147" s="18" t="str">
        <f>IF($C147="","",IF(AND(R147="",S147="",T147=""),"",固定信息!$B$1))</f>
        <v/>
      </c>
      <c r="V147" s="18" t="str">
        <f t="array" ref="V147">IF(C147="","","【服务】"&amp;IF(_xlfn.XLOOKUP(A147&amp;B147&amp;C147,盘货信息!$A:$A&amp;盘货信息!$B:$B&amp;盘货信息!$C:$C,盘货信息!$V:$V)="","",_xlfn.XLOOKUP(A147&amp;B147&amp;C147,盘货信息!$A:$A&amp;盘货信息!$B:$B&amp;盘货信息!$C:$C,盘货信息!$V:$V)&amp;"免息,")&amp;IF(_xlfn.XLOOKUP(A147&amp;B147&amp;C147,盘货信息!$A:$A&amp;盘货信息!$B:$B&amp;盘货信息!$C:$C,盘货信息!$W:$W)="","",_xlfn.XLOOKUP(A147&amp;B147&amp;C147,盘货信息!$A:$A&amp;盘货信息!$B:$B&amp;盘货信息!$C:$C,盘货信息!$W:$W)&amp;"，")&amp;"送货入户，退换免运费")</f>
        <v/>
      </c>
    </row>
    <row r="148" customHeight="1" spans="1:22">
      <c r="A148" s="17" t="str">
        <f>IF(盘货信息!A148="","",盘货信息!A148)</f>
        <v/>
      </c>
      <c r="B148" s="20" t="str">
        <f>IF(盘货信息!B148="","",盘货信息!B148)</f>
        <v/>
      </c>
      <c r="C148" s="18" t="str">
        <f>IF(盘货信息!C148="","",盘货信息!C148)</f>
        <v/>
      </c>
      <c r="D148" s="18" t="str">
        <f ca="1" t="shared" si="2"/>
        <v/>
      </c>
      <c r="E148" s="18" t="str">
        <f>IF(C148="","",固定信息!$B$2)</f>
        <v/>
      </c>
      <c r="F148" s="18" t="str">
        <f t="array" ref="F148">IF(C148="","","【"&amp;C148&amp;"】"&amp;_xlfn.XLOOKUP(A148&amp;B148&amp;C148,盘货信息!$A:$A&amp;盘货信息!$B:$B&amp;盘货信息!$C:$C,盘货信息!$D:$D))</f>
        <v/>
      </c>
      <c r="G148" s="18" t="str">
        <f>IF(C148="","","【"&amp;"活动时间："&amp;固定信息!$B$3&amp;"】")</f>
        <v/>
      </c>
      <c r="H148" s="18" t="str">
        <f>IF($C148="","",固定信息!$B$1)</f>
        <v/>
      </c>
      <c r="I148" s="18"/>
      <c r="J148" s="18" t="str">
        <f t="array" ref="J148">_xlfn.XLOOKUP(A148&amp;B148&amp;C148,价格信息!$A:$A&amp;价格信息!$B:$B&amp;价格信息!$C:$C,价格信息!$D:$D)</f>
        <v/>
      </c>
      <c r="K148" s="31" t="str">
        <f t="array" ref="K148">IF(_xlfn.XLOOKUP(A148&amp;B148&amp;C148,价格信息!$A:$A&amp;价格信息!$B:$B&amp;价格信息!$C:$C,价格信息!$I:$I)="","","【优惠券链接】"&amp;固定信息!$B$6)</f>
        <v/>
      </c>
      <c r="L148" s="31" t="str">
        <f>IF($C148="","",固定信息!$B$1)</f>
        <v/>
      </c>
      <c r="M148" s="18" t="str">
        <f t="array" ref="M148">IF(_xlfn.XLOOKUP(A148&amp;B148&amp;C148,盘货信息!$A:$A&amp;盘货信息!$B:$B&amp;盘货信息!$C:$C,盘货信息!$O:$O)="","","【优惠券】领"&amp;INDEX(_wpsfn.REGEXP(_xlfn.XLOOKUP(A148&amp;B148&amp;C148,盘货信息!$A:$A&amp;盘货信息!$B:$B&amp;盘货信息!$C:$C,盘货信息!$O:$O),"\d+"),1,1)&amp;"元优惠券下单更优惠，优惠卷："&amp;_xlfn.XLOOKUP(A148&amp;B148&amp;C148,盘货信息!$A:$A&amp;盘货信息!$B:$B&amp;盘货信息!$C:$C,盘货信息!$P:$P))</f>
        <v/>
      </c>
      <c r="N148" s="18" t="str">
        <f t="array" ref="N148">IF(AND(ISNUMBER(_xlfn.XLOOKUP(A148&amp;B148&amp;C148,盘货信息!$A:$A&amp;盘货信息!$B:$B&amp;盘货信息!$C:$C,盘货信息!$I:$I)),_xlfn.XLOOKUP(A148&amp;B148&amp;C148,盘货信息!$A:$A&amp;盘货信息!$B:$B&amp;盘货信息!$C:$C,盘货信息!$I:$I)&gt;1),"【88VIP】立减"&amp;_xlfn.XLOOKUP(A148&amp;B148&amp;C148,盘货信息!$A:$A&amp;盘货信息!$B:$B&amp;盘货信息!$C:$C,盘货信息!$I:$I)&amp;"元","")</f>
        <v/>
      </c>
      <c r="O148" s="18" t="str">
        <f t="array" ref="O148">IF(_xlfn.XLOOKUP(A148&amp;B148&amp;C148,盘货信息!$A:$A&amp;盘货信息!$B:$B&amp;盘货信息!$C:$C,盘货信息!$K:$K)="","",IF(AND(_xlfn.XLOOKUP(A148&amp;B148&amp;C148,盘货信息!$A:$A&amp;盘货信息!$B:$B&amp;盘货信息!$C:$C,盘货信息!$G:$G)="不参加",_xlfn.XLOOKUP(A148&amp;B148&amp;C148,盘货信息!$A:$A&amp;盘货信息!$B:$B&amp;盘货信息!$C:$C,盘货信息!$H:$H)=""),"【以旧换新】"&amp;_xlfn.XLOOKUP(A148&amp;B148&amp;C148,盘货信息!$A:$A&amp;盘货信息!$B:$B&amp;盘货信息!$C:$C,盘货信息!$K:$K)&amp;"元以旧换新补贴（可无旧机换新）",""))</f>
        <v/>
      </c>
      <c r="P148" s="18" t="str">
        <f t="array" ref="P148">_xlfn.XLOOKUP(A148&amp;B148&amp;C148,赠品!$A:$A&amp;赠品!$B:$B&amp;赠品!$C:$C,赠品!$D:$D)</f>
        <v/>
      </c>
      <c r="Q148" s="18" t="str">
        <f>IF($C148="","",IF(AND(M148="",N148="",P148=""),"",固定信息!$B$1))</f>
        <v/>
      </c>
      <c r="R148" s="18" t="str">
        <f t="array" ref="R148">IF(ISNUMBER(SEARCH("是",_xlfn.XLOOKUP(A148&amp;B148&amp;C148,盘货信息!$A:$A&amp;盘货信息!$B:$B&amp;盘货信息!$C:$C,盘货信息!$U:$U))),"【折扣】指定型号满2类享96折，满3类享94折","")</f>
        <v/>
      </c>
      <c r="S148" s="18" t="str">
        <f t="array" ref="S148">IF(_xlfn.XLOOKUP(A148&amp;B148&amp;C148,盘货信息!$A:$A&amp;盘货信息!$B:$B&amp;盘货信息!$C:$C,盘货信息!$Q:$Q)&lt;1,"","【红包】活动时间购机送"&amp;_xlfn.TEXTJOIN("",,IF(ISNUMBER(--MID(_xlfn.XLOOKUP(A148&amp;B148&amp;C148,盘货信息!$A:$A&amp;盘货信息!$B:$B&amp;盘货信息!$C:$C,盘货信息!$Q:$Q),_xlfn.SEQUENCE(LEN(_xlfn.XLOOKUP(A148&amp;B148&amp;C148,盘货信息!$A:$A&amp;盘货信息!$B:$B&amp;盘货信息!$C:$C,盘货信息!$Q:$Q))),1)),MID(_xlfn.XLOOKUP(A148&amp;B148&amp;C148,盘货信息!$A:$A&amp;盘货信息!$B:$B&amp;盘货信息!$C:$C,盘货信息!$Q:$Q),_xlfn.SEQUENCE(LEN(_xlfn.XLOOKUP(A148&amp;B148&amp;C148,盘货信息!$A:$A&amp;盘货信息!$B:$B&amp;盘货信息!$C:$C,盘货信息!$Q:$Q))),1),""))&amp;"元")</f>
        <v/>
      </c>
      <c r="T148" s="18" t="str">
        <f t="array" ref="T148">IF(ISNUMBER(SEARCH("是",_xlfn.XLOOKUP(A148&amp;B148&amp;C148,盘货信息!$A:$A&amp;盘货信息!$B:$B&amp;盘货信息!$C:$C,盘货信息!$T:$T))),"【瓜分】"&amp;固定信息!$B$7,"")</f>
        <v/>
      </c>
      <c r="U148" s="18" t="str">
        <f>IF($C148="","",IF(AND(R148="",S148="",T148=""),"",固定信息!$B$1))</f>
        <v/>
      </c>
      <c r="V148" s="18" t="str">
        <f t="array" ref="V148">IF(C148="","","【服务】"&amp;IF(_xlfn.XLOOKUP(A148&amp;B148&amp;C148,盘货信息!$A:$A&amp;盘货信息!$B:$B&amp;盘货信息!$C:$C,盘货信息!$V:$V)="","",_xlfn.XLOOKUP(A148&amp;B148&amp;C148,盘货信息!$A:$A&amp;盘货信息!$B:$B&amp;盘货信息!$C:$C,盘货信息!$V:$V)&amp;"免息,")&amp;IF(_xlfn.XLOOKUP(A148&amp;B148&amp;C148,盘货信息!$A:$A&amp;盘货信息!$B:$B&amp;盘货信息!$C:$C,盘货信息!$W:$W)="","",_xlfn.XLOOKUP(A148&amp;B148&amp;C148,盘货信息!$A:$A&amp;盘货信息!$B:$B&amp;盘货信息!$C:$C,盘货信息!$W:$W)&amp;"，")&amp;"送货入户，退换免运费")</f>
        <v/>
      </c>
    </row>
    <row r="149" customHeight="1" spans="1:22">
      <c r="A149" s="17" t="str">
        <f>IF(盘货信息!A149="","",盘货信息!A149)</f>
        <v/>
      </c>
      <c r="B149" s="20" t="str">
        <f>IF(盘货信息!B149="","",盘货信息!B149)</f>
        <v/>
      </c>
      <c r="C149" s="18" t="str">
        <f>IF(盘货信息!C149="","",盘货信息!C149)</f>
        <v/>
      </c>
      <c r="D149" s="18" t="str">
        <f ca="1" t="shared" si="2"/>
        <v/>
      </c>
      <c r="E149" s="18" t="str">
        <f>IF(C149="","",固定信息!$B$2)</f>
        <v/>
      </c>
      <c r="F149" s="18" t="str">
        <f t="array" ref="F149">IF(C149="","","【"&amp;C149&amp;"】"&amp;_xlfn.XLOOKUP(A149&amp;B149&amp;C149,盘货信息!$A:$A&amp;盘货信息!$B:$B&amp;盘货信息!$C:$C,盘货信息!$D:$D))</f>
        <v/>
      </c>
      <c r="G149" s="18" t="str">
        <f>IF(C149="","","【"&amp;"活动时间："&amp;固定信息!$B$3&amp;"】")</f>
        <v/>
      </c>
      <c r="H149" s="18" t="str">
        <f>IF($C149="","",固定信息!$B$1)</f>
        <v/>
      </c>
      <c r="I149" s="18"/>
      <c r="J149" s="18" t="str">
        <f t="array" ref="J149">_xlfn.XLOOKUP(A149&amp;B149&amp;C149,价格信息!$A:$A&amp;价格信息!$B:$B&amp;价格信息!$C:$C,价格信息!$D:$D)</f>
        <v/>
      </c>
      <c r="K149" s="31" t="str">
        <f t="array" ref="K149">IF(_xlfn.XLOOKUP(A149&amp;B149&amp;C149,价格信息!$A:$A&amp;价格信息!$B:$B&amp;价格信息!$C:$C,价格信息!$I:$I)="","","【优惠券链接】"&amp;固定信息!$B$6)</f>
        <v/>
      </c>
      <c r="L149" s="31" t="str">
        <f>IF($C149="","",固定信息!$B$1)</f>
        <v/>
      </c>
      <c r="M149" s="18" t="str">
        <f t="array" ref="M149">IF(_xlfn.XLOOKUP(A149&amp;B149&amp;C149,盘货信息!$A:$A&amp;盘货信息!$B:$B&amp;盘货信息!$C:$C,盘货信息!$O:$O)="","","【优惠券】领"&amp;INDEX(_wpsfn.REGEXP(_xlfn.XLOOKUP(A149&amp;B149&amp;C149,盘货信息!$A:$A&amp;盘货信息!$B:$B&amp;盘货信息!$C:$C,盘货信息!$O:$O),"\d+"),1,1)&amp;"元优惠券下单更优惠，优惠卷："&amp;_xlfn.XLOOKUP(A149&amp;B149&amp;C149,盘货信息!$A:$A&amp;盘货信息!$B:$B&amp;盘货信息!$C:$C,盘货信息!$P:$P))</f>
        <v/>
      </c>
      <c r="N149" s="18" t="str">
        <f t="array" ref="N149">IF(AND(ISNUMBER(_xlfn.XLOOKUP(A149&amp;B149&amp;C149,盘货信息!$A:$A&amp;盘货信息!$B:$B&amp;盘货信息!$C:$C,盘货信息!$I:$I)),_xlfn.XLOOKUP(A149&amp;B149&amp;C149,盘货信息!$A:$A&amp;盘货信息!$B:$B&amp;盘货信息!$C:$C,盘货信息!$I:$I)&gt;1),"【88VIP】立减"&amp;_xlfn.XLOOKUP(A149&amp;B149&amp;C149,盘货信息!$A:$A&amp;盘货信息!$B:$B&amp;盘货信息!$C:$C,盘货信息!$I:$I)&amp;"元","")</f>
        <v/>
      </c>
      <c r="O149" s="18" t="str">
        <f t="array" ref="O149">IF(_xlfn.XLOOKUP(A149&amp;B149&amp;C149,盘货信息!$A:$A&amp;盘货信息!$B:$B&amp;盘货信息!$C:$C,盘货信息!$K:$K)="","",IF(AND(_xlfn.XLOOKUP(A149&amp;B149&amp;C149,盘货信息!$A:$A&amp;盘货信息!$B:$B&amp;盘货信息!$C:$C,盘货信息!$G:$G)="不参加",_xlfn.XLOOKUP(A149&amp;B149&amp;C149,盘货信息!$A:$A&amp;盘货信息!$B:$B&amp;盘货信息!$C:$C,盘货信息!$H:$H)=""),"【以旧换新】"&amp;_xlfn.XLOOKUP(A149&amp;B149&amp;C149,盘货信息!$A:$A&amp;盘货信息!$B:$B&amp;盘货信息!$C:$C,盘货信息!$K:$K)&amp;"元以旧换新补贴（可无旧机换新）",""))</f>
        <v/>
      </c>
      <c r="P149" s="18" t="str">
        <f t="array" ref="P149">_xlfn.XLOOKUP(A149&amp;B149&amp;C149,赠品!$A:$A&amp;赠品!$B:$B&amp;赠品!$C:$C,赠品!$D:$D)</f>
        <v/>
      </c>
      <c r="Q149" s="18" t="str">
        <f>IF($C149="","",IF(AND(M149="",N149="",P149=""),"",固定信息!$B$1))</f>
        <v/>
      </c>
      <c r="R149" s="18" t="str">
        <f t="array" ref="R149">IF(ISNUMBER(SEARCH("是",_xlfn.XLOOKUP(A149&amp;B149&amp;C149,盘货信息!$A:$A&amp;盘货信息!$B:$B&amp;盘货信息!$C:$C,盘货信息!$U:$U))),"【折扣】指定型号满2类享96折，满3类享94折","")</f>
        <v/>
      </c>
      <c r="S149" s="18" t="str">
        <f t="array" ref="S149">IF(_xlfn.XLOOKUP(A149&amp;B149&amp;C149,盘货信息!$A:$A&amp;盘货信息!$B:$B&amp;盘货信息!$C:$C,盘货信息!$Q:$Q)&lt;1,"","【红包】活动时间购机送"&amp;_xlfn.TEXTJOIN("",,IF(ISNUMBER(--MID(_xlfn.XLOOKUP(A149&amp;B149&amp;C149,盘货信息!$A:$A&amp;盘货信息!$B:$B&amp;盘货信息!$C:$C,盘货信息!$Q:$Q),_xlfn.SEQUENCE(LEN(_xlfn.XLOOKUP(A149&amp;B149&amp;C149,盘货信息!$A:$A&amp;盘货信息!$B:$B&amp;盘货信息!$C:$C,盘货信息!$Q:$Q))),1)),MID(_xlfn.XLOOKUP(A149&amp;B149&amp;C149,盘货信息!$A:$A&amp;盘货信息!$B:$B&amp;盘货信息!$C:$C,盘货信息!$Q:$Q),_xlfn.SEQUENCE(LEN(_xlfn.XLOOKUP(A149&amp;B149&amp;C149,盘货信息!$A:$A&amp;盘货信息!$B:$B&amp;盘货信息!$C:$C,盘货信息!$Q:$Q))),1),""))&amp;"元")</f>
        <v/>
      </c>
      <c r="T149" s="18" t="str">
        <f t="array" ref="T149">IF(ISNUMBER(SEARCH("是",_xlfn.XLOOKUP(A149&amp;B149&amp;C149,盘货信息!$A:$A&amp;盘货信息!$B:$B&amp;盘货信息!$C:$C,盘货信息!$T:$T))),"【瓜分】"&amp;固定信息!$B$7,"")</f>
        <v/>
      </c>
      <c r="U149" s="18" t="str">
        <f>IF($C149="","",IF(AND(R149="",S149="",T149=""),"",固定信息!$B$1))</f>
        <v/>
      </c>
      <c r="V149" s="18" t="str">
        <f t="array" ref="V149">IF(C149="","","【服务】"&amp;IF(_xlfn.XLOOKUP(A149&amp;B149&amp;C149,盘货信息!$A:$A&amp;盘货信息!$B:$B&amp;盘货信息!$C:$C,盘货信息!$V:$V)="","",_xlfn.XLOOKUP(A149&amp;B149&amp;C149,盘货信息!$A:$A&amp;盘货信息!$B:$B&amp;盘货信息!$C:$C,盘货信息!$V:$V)&amp;"免息,")&amp;IF(_xlfn.XLOOKUP(A149&amp;B149&amp;C149,盘货信息!$A:$A&amp;盘货信息!$B:$B&amp;盘货信息!$C:$C,盘货信息!$W:$W)="","",_xlfn.XLOOKUP(A149&amp;B149&amp;C149,盘货信息!$A:$A&amp;盘货信息!$B:$B&amp;盘货信息!$C:$C,盘货信息!$W:$W)&amp;"，")&amp;"送货入户，退换免运费")</f>
        <v/>
      </c>
    </row>
    <row r="150" customHeight="1" spans="1:22">
      <c r="A150" s="17" t="str">
        <f>IF(盘货信息!A150="","",盘货信息!A150)</f>
        <v/>
      </c>
      <c r="B150" s="20" t="str">
        <f>IF(盘货信息!B150="","",盘货信息!B150)</f>
        <v/>
      </c>
      <c r="C150" s="18" t="str">
        <f>IF(盘货信息!C150="","",盘货信息!C150)</f>
        <v/>
      </c>
      <c r="D150" s="18" t="str">
        <f ca="1" t="shared" si="2"/>
        <v/>
      </c>
      <c r="E150" s="18" t="str">
        <f>IF(C150="","",固定信息!$B$2)</f>
        <v/>
      </c>
      <c r="F150" s="18" t="str">
        <f t="array" ref="F150">IF(C150="","","【"&amp;C150&amp;"】"&amp;_xlfn.XLOOKUP(A150&amp;B150&amp;C150,盘货信息!$A:$A&amp;盘货信息!$B:$B&amp;盘货信息!$C:$C,盘货信息!$D:$D))</f>
        <v/>
      </c>
      <c r="G150" s="18" t="str">
        <f>IF(C150="","","【"&amp;"活动时间："&amp;固定信息!$B$3&amp;"】")</f>
        <v/>
      </c>
      <c r="H150" s="18" t="str">
        <f>IF($C150="","",固定信息!$B$1)</f>
        <v/>
      </c>
      <c r="I150" s="18"/>
      <c r="J150" s="18" t="str">
        <f t="array" ref="J150">_xlfn.XLOOKUP(A150&amp;B150&amp;C150,价格信息!$A:$A&amp;价格信息!$B:$B&amp;价格信息!$C:$C,价格信息!$D:$D)</f>
        <v/>
      </c>
      <c r="K150" s="31" t="str">
        <f t="array" ref="K150">IF(_xlfn.XLOOKUP(A150&amp;B150&amp;C150,价格信息!$A:$A&amp;价格信息!$B:$B&amp;价格信息!$C:$C,价格信息!$I:$I)="","","【优惠券链接】"&amp;固定信息!$B$6)</f>
        <v/>
      </c>
      <c r="L150" s="31" t="str">
        <f>IF($C150="","",固定信息!$B$1)</f>
        <v/>
      </c>
      <c r="M150" s="18" t="str">
        <f t="array" ref="M150">IF(_xlfn.XLOOKUP(A150&amp;B150&amp;C150,盘货信息!$A:$A&amp;盘货信息!$B:$B&amp;盘货信息!$C:$C,盘货信息!$O:$O)="","","【优惠券】领"&amp;INDEX(_wpsfn.REGEXP(_xlfn.XLOOKUP(A150&amp;B150&amp;C150,盘货信息!$A:$A&amp;盘货信息!$B:$B&amp;盘货信息!$C:$C,盘货信息!$O:$O),"\d+"),1,1)&amp;"元优惠券下单更优惠，优惠卷："&amp;_xlfn.XLOOKUP(A150&amp;B150&amp;C150,盘货信息!$A:$A&amp;盘货信息!$B:$B&amp;盘货信息!$C:$C,盘货信息!$P:$P))</f>
        <v/>
      </c>
      <c r="N150" s="18" t="str">
        <f t="array" ref="N150">IF(AND(ISNUMBER(_xlfn.XLOOKUP(A150&amp;B150&amp;C150,盘货信息!$A:$A&amp;盘货信息!$B:$B&amp;盘货信息!$C:$C,盘货信息!$I:$I)),_xlfn.XLOOKUP(A150&amp;B150&amp;C150,盘货信息!$A:$A&amp;盘货信息!$B:$B&amp;盘货信息!$C:$C,盘货信息!$I:$I)&gt;1),"【88VIP】立减"&amp;_xlfn.XLOOKUP(A150&amp;B150&amp;C150,盘货信息!$A:$A&amp;盘货信息!$B:$B&amp;盘货信息!$C:$C,盘货信息!$I:$I)&amp;"元","")</f>
        <v/>
      </c>
      <c r="O150" s="18" t="str">
        <f t="array" ref="O150">IF(_xlfn.XLOOKUP(A150&amp;B150&amp;C150,盘货信息!$A:$A&amp;盘货信息!$B:$B&amp;盘货信息!$C:$C,盘货信息!$K:$K)="","",IF(AND(_xlfn.XLOOKUP(A150&amp;B150&amp;C150,盘货信息!$A:$A&amp;盘货信息!$B:$B&amp;盘货信息!$C:$C,盘货信息!$G:$G)="不参加",_xlfn.XLOOKUP(A150&amp;B150&amp;C150,盘货信息!$A:$A&amp;盘货信息!$B:$B&amp;盘货信息!$C:$C,盘货信息!$H:$H)=""),"【以旧换新】"&amp;_xlfn.XLOOKUP(A150&amp;B150&amp;C150,盘货信息!$A:$A&amp;盘货信息!$B:$B&amp;盘货信息!$C:$C,盘货信息!$K:$K)&amp;"元以旧换新补贴（可无旧机换新）",""))</f>
        <v/>
      </c>
      <c r="P150" s="18" t="str">
        <f t="array" ref="P150">_xlfn.XLOOKUP(A150&amp;B150&amp;C150,赠品!$A:$A&amp;赠品!$B:$B&amp;赠品!$C:$C,赠品!$D:$D)</f>
        <v/>
      </c>
      <c r="Q150" s="18" t="str">
        <f>IF($C150="","",IF(AND(M150="",N150="",P150=""),"",固定信息!$B$1))</f>
        <v/>
      </c>
      <c r="R150" s="18" t="str">
        <f t="array" ref="R150">IF(ISNUMBER(SEARCH("是",_xlfn.XLOOKUP(A150&amp;B150&amp;C150,盘货信息!$A:$A&amp;盘货信息!$B:$B&amp;盘货信息!$C:$C,盘货信息!$U:$U))),"【折扣】指定型号满2类享96折，满3类享94折","")</f>
        <v/>
      </c>
      <c r="S150" s="18" t="str">
        <f t="array" ref="S150">IF(_xlfn.XLOOKUP(A150&amp;B150&amp;C150,盘货信息!$A:$A&amp;盘货信息!$B:$B&amp;盘货信息!$C:$C,盘货信息!$Q:$Q)&lt;1,"","【红包】活动时间购机送"&amp;_xlfn.TEXTJOIN("",,IF(ISNUMBER(--MID(_xlfn.XLOOKUP(A150&amp;B150&amp;C150,盘货信息!$A:$A&amp;盘货信息!$B:$B&amp;盘货信息!$C:$C,盘货信息!$Q:$Q),_xlfn.SEQUENCE(LEN(_xlfn.XLOOKUP(A150&amp;B150&amp;C150,盘货信息!$A:$A&amp;盘货信息!$B:$B&amp;盘货信息!$C:$C,盘货信息!$Q:$Q))),1)),MID(_xlfn.XLOOKUP(A150&amp;B150&amp;C150,盘货信息!$A:$A&amp;盘货信息!$B:$B&amp;盘货信息!$C:$C,盘货信息!$Q:$Q),_xlfn.SEQUENCE(LEN(_xlfn.XLOOKUP(A150&amp;B150&amp;C150,盘货信息!$A:$A&amp;盘货信息!$B:$B&amp;盘货信息!$C:$C,盘货信息!$Q:$Q))),1),""))&amp;"元")</f>
        <v/>
      </c>
      <c r="T150" s="18" t="str">
        <f t="array" ref="T150">IF(ISNUMBER(SEARCH("是",_xlfn.XLOOKUP(A150&amp;B150&amp;C150,盘货信息!$A:$A&amp;盘货信息!$B:$B&amp;盘货信息!$C:$C,盘货信息!$T:$T))),"【瓜分】"&amp;固定信息!$B$7,"")</f>
        <v/>
      </c>
      <c r="U150" s="18" t="str">
        <f>IF($C150="","",IF(AND(R150="",S150="",T150=""),"",固定信息!$B$1))</f>
        <v/>
      </c>
      <c r="V150" s="18" t="str">
        <f t="array" ref="V150">IF(C150="","","【服务】"&amp;IF(_xlfn.XLOOKUP(A150&amp;B150&amp;C150,盘货信息!$A:$A&amp;盘货信息!$B:$B&amp;盘货信息!$C:$C,盘货信息!$V:$V)="","",_xlfn.XLOOKUP(A150&amp;B150&amp;C150,盘货信息!$A:$A&amp;盘货信息!$B:$B&amp;盘货信息!$C:$C,盘货信息!$V:$V)&amp;"免息,")&amp;IF(_xlfn.XLOOKUP(A150&amp;B150&amp;C150,盘货信息!$A:$A&amp;盘货信息!$B:$B&amp;盘货信息!$C:$C,盘货信息!$W:$W)="","",_xlfn.XLOOKUP(A150&amp;B150&amp;C150,盘货信息!$A:$A&amp;盘货信息!$B:$B&amp;盘货信息!$C:$C,盘货信息!$W:$W)&amp;"，")&amp;"送货入户，退换免运费")</f>
        <v/>
      </c>
    </row>
    <row r="151" customHeight="1" spans="1:22">
      <c r="A151" s="17" t="str">
        <f>IF(盘货信息!A151="","",盘货信息!A151)</f>
        <v/>
      </c>
      <c r="B151" s="20" t="str">
        <f>IF(盘货信息!B151="","",盘货信息!B151)</f>
        <v/>
      </c>
      <c r="C151" s="18" t="str">
        <f>IF(盘货信息!C151="","",盘货信息!C151)</f>
        <v/>
      </c>
      <c r="D151" s="18" t="str">
        <f ca="1" t="shared" si="2"/>
        <v/>
      </c>
      <c r="E151" s="18" t="str">
        <f>IF(C151="","",固定信息!$B$2)</f>
        <v/>
      </c>
      <c r="F151" s="18" t="str">
        <f t="array" ref="F151">IF(C151="","","【"&amp;C151&amp;"】"&amp;_xlfn.XLOOKUP(A151&amp;B151&amp;C151,盘货信息!$A:$A&amp;盘货信息!$B:$B&amp;盘货信息!$C:$C,盘货信息!$D:$D))</f>
        <v/>
      </c>
      <c r="G151" s="18" t="str">
        <f>IF(C151="","","【"&amp;"活动时间："&amp;固定信息!$B$3&amp;"】")</f>
        <v/>
      </c>
      <c r="H151" s="18" t="str">
        <f>IF($C151="","",固定信息!$B$1)</f>
        <v/>
      </c>
      <c r="I151" s="18"/>
      <c r="J151" s="18" t="str">
        <f t="array" ref="J151">_xlfn.XLOOKUP(A151&amp;B151&amp;C151,价格信息!$A:$A&amp;价格信息!$B:$B&amp;价格信息!$C:$C,价格信息!$D:$D)</f>
        <v/>
      </c>
      <c r="K151" s="31" t="str">
        <f t="array" ref="K151">IF(_xlfn.XLOOKUP(A151&amp;B151&amp;C151,价格信息!$A:$A&amp;价格信息!$B:$B&amp;价格信息!$C:$C,价格信息!$I:$I)="","","【优惠券链接】"&amp;固定信息!$B$6)</f>
        <v/>
      </c>
      <c r="L151" s="31" t="str">
        <f>IF($C151="","",固定信息!$B$1)</f>
        <v/>
      </c>
      <c r="M151" s="18" t="str">
        <f t="array" ref="M151">IF(_xlfn.XLOOKUP(A151&amp;B151&amp;C151,盘货信息!$A:$A&amp;盘货信息!$B:$B&amp;盘货信息!$C:$C,盘货信息!$O:$O)="","","【优惠券】领"&amp;INDEX(_wpsfn.REGEXP(_xlfn.XLOOKUP(A151&amp;B151&amp;C151,盘货信息!$A:$A&amp;盘货信息!$B:$B&amp;盘货信息!$C:$C,盘货信息!$O:$O),"\d+"),1,1)&amp;"元优惠券下单更优惠，优惠卷："&amp;_xlfn.XLOOKUP(A151&amp;B151&amp;C151,盘货信息!$A:$A&amp;盘货信息!$B:$B&amp;盘货信息!$C:$C,盘货信息!$P:$P))</f>
        <v/>
      </c>
      <c r="N151" s="18" t="str">
        <f t="array" ref="N151">IF(AND(ISNUMBER(_xlfn.XLOOKUP(A151&amp;B151&amp;C151,盘货信息!$A:$A&amp;盘货信息!$B:$B&amp;盘货信息!$C:$C,盘货信息!$I:$I)),_xlfn.XLOOKUP(A151&amp;B151&amp;C151,盘货信息!$A:$A&amp;盘货信息!$B:$B&amp;盘货信息!$C:$C,盘货信息!$I:$I)&gt;1),"【88VIP】立减"&amp;_xlfn.XLOOKUP(A151&amp;B151&amp;C151,盘货信息!$A:$A&amp;盘货信息!$B:$B&amp;盘货信息!$C:$C,盘货信息!$I:$I)&amp;"元","")</f>
        <v/>
      </c>
      <c r="O151" s="18" t="str">
        <f t="array" ref="O151">IF(_xlfn.XLOOKUP(A151&amp;B151&amp;C151,盘货信息!$A:$A&amp;盘货信息!$B:$B&amp;盘货信息!$C:$C,盘货信息!$K:$K)="","",IF(AND(_xlfn.XLOOKUP(A151&amp;B151&amp;C151,盘货信息!$A:$A&amp;盘货信息!$B:$B&amp;盘货信息!$C:$C,盘货信息!$G:$G)="不参加",_xlfn.XLOOKUP(A151&amp;B151&amp;C151,盘货信息!$A:$A&amp;盘货信息!$B:$B&amp;盘货信息!$C:$C,盘货信息!$H:$H)=""),"【以旧换新】"&amp;_xlfn.XLOOKUP(A151&amp;B151&amp;C151,盘货信息!$A:$A&amp;盘货信息!$B:$B&amp;盘货信息!$C:$C,盘货信息!$K:$K)&amp;"元以旧换新补贴（可无旧机换新）",""))</f>
        <v/>
      </c>
      <c r="P151" s="18" t="str">
        <f t="array" ref="P151">_xlfn.XLOOKUP(A151&amp;B151&amp;C151,赠品!$A:$A&amp;赠品!$B:$B&amp;赠品!$C:$C,赠品!$D:$D)</f>
        <v/>
      </c>
      <c r="Q151" s="18" t="str">
        <f>IF($C151="","",IF(AND(M151="",N151="",P151=""),"",固定信息!$B$1))</f>
        <v/>
      </c>
      <c r="R151" s="18" t="str">
        <f t="array" ref="R151">IF(ISNUMBER(SEARCH("是",_xlfn.XLOOKUP(A151&amp;B151&amp;C151,盘货信息!$A:$A&amp;盘货信息!$B:$B&amp;盘货信息!$C:$C,盘货信息!$U:$U))),"【折扣】指定型号满2类享96折，满3类享94折","")</f>
        <v/>
      </c>
      <c r="S151" s="18" t="str">
        <f t="array" ref="S151">IF(_xlfn.XLOOKUP(A151&amp;B151&amp;C151,盘货信息!$A:$A&amp;盘货信息!$B:$B&amp;盘货信息!$C:$C,盘货信息!$Q:$Q)&lt;1,"","【红包】活动时间购机送"&amp;_xlfn.TEXTJOIN("",,IF(ISNUMBER(--MID(_xlfn.XLOOKUP(A151&amp;B151&amp;C151,盘货信息!$A:$A&amp;盘货信息!$B:$B&amp;盘货信息!$C:$C,盘货信息!$Q:$Q),_xlfn.SEQUENCE(LEN(_xlfn.XLOOKUP(A151&amp;B151&amp;C151,盘货信息!$A:$A&amp;盘货信息!$B:$B&amp;盘货信息!$C:$C,盘货信息!$Q:$Q))),1)),MID(_xlfn.XLOOKUP(A151&amp;B151&amp;C151,盘货信息!$A:$A&amp;盘货信息!$B:$B&amp;盘货信息!$C:$C,盘货信息!$Q:$Q),_xlfn.SEQUENCE(LEN(_xlfn.XLOOKUP(A151&amp;B151&amp;C151,盘货信息!$A:$A&amp;盘货信息!$B:$B&amp;盘货信息!$C:$C,盘货信息!$Q:$Q))),1),""))&amp;"元")</f>
        <v/>
      </c>
      <c r="T151" s="18" t="str">
        <f t="array" ref="T151">IF(ISNUMBER(SEARCH("是",_xlfn.XLOOKUP(A151&amp;B151&amp;C151,盘货信息!$A:$A&amp;盘货信息!$B:$B&amp;盘货信息!$C:$C,盘货信息!$T:$T))),"【瓜分】"&amp;固定信息!$B$7,"")</f>
        <v/>
      </c>
      <c r="U151" s="18" t="str">
        <f>IF($C151="","",IF(AND(R151="",S151="",T151=""),"",固定信息!$B$1))</f>
        <v/>
      </c>
      <c r="V151" s="18" t="str">
        <f t="array" ref="V151">IF(C151="","","【服务】"&amp;IF(_xlfn.XLOOKUP(A151&amp;B151&amp;C151,盘货信息!$A:$A&amp;盘货信息!$B:$B&amp;盘货信息!$C:$C,盘货信息!$V:$V)="","",_xlfn.XLOOKUP(A151&amp;B151&amp;C151,盘货信息!$A:$A&amp;盘货信息!$B:$B&amp;盘货信息!$C:$C,盘货信息!$V:$V)&amp;"免息,")&amp;IF(_xlfn.XLOOKUP(A151&amp;B151&amp;C151,盘货信息!$A:$A&amp;盘货信息!$B:$B&amp;盘货信息!$C:$C,盘货信息!$W:$W)="","",_xlfn.XLOOKUP(A151&amp;B151&amp;C151,盘货信息!$A:$A&amp;盘货信息!$B:$B&amp;盘货信息!$C:$C,盘货信息!$W:$W)&amp;"，")&amp;"送货入户，退换免运费")</f>
        <v/>
      </c>
    </row>
    <row r="152" customHeight="1" spans="1:22">
      <c r="A152" s="17" t="str">
        <f>IF(盘货信息!A152="","",盘货信息!A152)</f>
        <v/>
      </c>
      <c r="B152" s="20" t="str">
        <f>IF(盘货信息!B152="","",盘货信息!B152)</f>
        <v/>
      </c>
      <c r="C152" s="18" t="str">
        <f>IF(盘货信息!C152="","",盘货信息!C152)</f>
        <v/>
      </c>
      <c r="D152" s="18" t="str">
        <f ca="1" t="shared" si="2"/>
        <v/>
      </c>
      <c r="E152" s="18" t="str">
        <f>IF(C152="","",固定信息!$B$2)</f>
        <v/>
      </c>
      <c r="F152" s="18" t="str">
        <f t="array" ref="F152">IF(C152="","","【"&amp;C152&amp;"】"&amp;_xlfn.XLOOKUP(A152&amp;B152&amp;C152,盘货信息!$A:$A&amp;盘货信息!$B:$B&amp;盘货信息!$C:$C,盘货信息!$D:$D))</f>
        <v/>
      </c>
      <c r="G152" s="18" t="str">
        <f>IF(C152="","","【"&amp;"活动时间："&amp;固定信息!$B$3&amp;"】")</f>
        <v/>
      </c>
      <c r="H152" s="18" t="str">
        <f>IF($C152="","",固定信息!$B$1)</f>
        <v/>
      </c>
      <c r="I152" s="18"/>
      <c r="J152" s="18" t="str">
        <f t="array" ref="J152">_xlfn.XLOOKUP(A152&amp;B152&amp;C152,价格信息!$A:$A&amp;价格信息!$B:$B&amp;价格信息!$C:$C,价格信息!$D:$D)</f>
        <v/>
      </c>
      <c r="K152" s="31" t="str">
        <f t="array" ref="K152">IF(_xlfn.XLOOKUP(A152&amp;B152&amp;C152,价格信息!$A:$A&amp;价格信息!$B:$B&amp;价格信息!$C:$C,价格信息!$I:$I)="","","【优惠券链接】"&amp;固定信息!$B$6)</f>
        <v/>
      </c>
      <c r="L152" s="31" t="str">
        <f>IF($C152="","",固定信息!$B$1)</f>
        <v/>
      </c>
      <c r="M152" s="18" t="str">
        <f t="array" ref="M152">IF(_xlfn.XLOOKUP(A152&amp;B152&amp;C152,盘货信息!$A:$A&amp;盘货信息!$B:$B&amp;盘货信息!$C:$C,盘货信息!$O:$O)="","","【优惠券】领"&amp;INDEX(_wpsfn.REGEXP(_xlfn.XLOOKUP(A152&amp;B152&amp;C152,盘货信息!$A:$A&amp;盘货信息!$B:$B&amp;盘货信息!$C:$C,盘货信息!$O:$O),"\d+"),1,1)&amp;"元优惠券下单更优惠，优惠卷："&amp;_xlfn.XLOOKUP(A152&amp;B152&amp;C152,盘货信息!$A:$A&amp;盘货信息!$B:$B&amp;盘货信息!$C:$C,盘货信息!$P:$P))</f>
        <v/>
      </c>
      <c r="N152" s="18" t="str">
        <f t="array" ref="N152">IF(AND(ISNUMBER(_xlfn.XLOOKUP(A152&amp;B152&amp;C152,盘货信息!$A:$A&amp;盘货信息!$B:$B&amp;盘货信息!$C:$C,盘货信息!$I:$I)),_xlfn.XLOOKUP(A152&amp;B152&amp;C152,盘货信息!$A:$A&amp;盘货信息!$B:$B&amp;盘货信息!$C:$C,盘货信息!$I:$I)&gt;1),"【88VIP】立减"&amp;_xlfn.XLOOKUP(A152&amp;B152&amp;C152,盘货信息!$A:$A&amp;盘货信息!$B:$B&amp;盘货信息!$C:$C,盘货信息!$I:$I)&amp;"元","")</f>
        <v/>
      </c>
      <c r="O152" s="18" t="str">
        <f t="array" ref="O152">IF(_xlfn.XLOOKUP(A152&amp;B152&amp;C152,盘货信息!$A:$A&amp;盘货信息!$B:$B&amp;盘货信息!$C:$C,盘货信息!$K:$K)="","",IF(AND(_xlfn.XLOOKUP(A152&amp;B152&amp;C152,盘货信息!$A:$A&amp;盘货信息!$B:$B&amp;盘货信息!$C:$C,盘货信息!$G:$G)="不参加",_xlfn.XLOOKUP(A152&amp;B152&amp;C152,盘货信息!$A:$A&amp;盘货信息!$B:$B&amp;盘货信息!$C:$C,盘货信息!$H:$H)=""),"【以旧换新】"&amp;_xlfn.XLOOKUP(A152&amp;B152&amp;C152,盘货信息!$A:$A&amp;盘货信息!$B:$B&amp;盘货信息!$C:$C,盘货信息!$K:$K)&amp;"元以旧换新补贴（可无旧机换新）",""))</f>
        <v/>
      </c>
      <c r="P152" s="18" t="str">
        <f t="array" ref="P152">_xlfn.XLOOKUP(A152&amp;B152&amp;C152,赠品!$A:$A&amp;赠品!$B:$B&amp;赠品!$C:$C,赠品!$D:$D)</f>
        <v/>
      </c>
      <c r="Q152" s="18" t="str">
        <f>IF($C152="","",IF(AND(M152="",N152="",P152=""),"",固定信息!$B$1))</f>
        <v/>
      </c>
      <c r="R152" s="18" t="str">
        <f t="array" ref="R152">IF(ISNUMBER(SEARCH("是",_xlfn.XLOOKUP(A152&amp;B152&amp;C152,盘货信息!$A:$A&amp;盘货信息!$B:$B&amp;盘货信息!$C:$C,盘货信息!$U:$U))),"【折扣】指定型号满2类享96折，满3类享94折","")</f>
        <v/>
      </c>
      <c r="S152" s="18" t="str">
        <f t="array" ref="S152">IF(_xlfn.XLOOKUP(A152&amp;B152&amp;C152,盘货信息!$A:$A&amp;盘货信息!$B:$B&amp;盘货信息!$C:$C,盘货信息!$Q:$Q)&lt;1,"","【红包】活动时间购机送"&amp;_xlfn.TEXTJOIN("",,IF(ISNUMBER(--MID(_xlfn.XLOOKUP(A152&amp;B152&amp;C152,盘货信息!$A:$A&amp;盘货信息!$B:$B&amp;盘货信息!$C:$C,盘货信息!$Q:$Q),_xlfn.SEQUENCE(LEN(_xlfn.XLOOKUP(A152&amp;B152&amp;C152,盘货信息!$A:$A&amp;盘货信息!$B:$B&amp;盘货信息!$C:$C,盘货信息!$Q:$Q))),1)),MID(_xlfn.XLOOKUP(A152&amp;B152&amp;C152,盘货信息!$A:$A&amp;盘货信息!$B:$B&amp;盘货信息!$C:$C,盘货信息!$Q:$Q),_xlfn.SEQUENCE(LEN(_xlfn.XLOOKUP(A152&amp;B152&amp;C152,盘货信息!$A:$A&amp;盘货信息!$B:$B&amp;盘货信息!$C:$C,盘货信息!$Q:$Q))),1),""))&amp;"元")</f>
        <v/>
      </c>
      <c r="T152" s="18" t="str">
        <f t="array" ref="T152">IF(ISNUMBER(SEARCH("是",_xlfn.XLOOKUP(A152&amp;B152&amp;C152,盘货信息!$A:$A&amp;盘货信息!$B:$B&amp;盘货信息!$C:$C,盘货信息!$T:$T))),"【瓜分】"&amp;固定信息!$B$7,"")</f>
        <v/>
      </c>
      <c r="U152" s="18" t="str">
        <f>IF($C152="","",IF(AND(R152="",S152="",T152=""),"",固定信息!$B$1))</f>
        <v/>
      </c>
      <c r="V152" s="18" t="str">
        <f t="array" ref="V152">IF(C152="","","【服务】"&amp;IF(_xlfn.XLOOKUP(A152&amp;B152&amp;C152,盘货信息!$A:$A&amp;盘货信息!$B:$B&amp;盘货信息!$C:$C,盘货信息!$V:$V)="","",_xlfn.XLOOKUP(A152&amp;B152&amp;C152,盘货信息!$A:$A&amp;盘货信息!$B:$B&amp;盘货信息!$C:$C,盘货信息!$V:$V)&amp;"免息,")&amp;IF(_xlfn.XLOOKUP(A152&amp;B152&amp;C152,盘货信息!$A:$A&amp;盘货信息!$B:$B&amp;盘货信息!$C:$C,盘货信息!$W:$W)="","",_xlfn.XLOOKUP(A152&amp;B152&amp;C152,盘货信息!$A:$A&amp;盘货信息!$B:$B&amp;盘货信息!$C:$C,盘货信息!$W:$W)&amp;"，")&amp;"送货入户，退换免运费")</f>
        <v/>
      </c>
    </row>
    <row r="153" customHeight="1" spans="1:22">
      <c r="A153" s="17" t="str">
        <f>IF(盘货信息!A153="","",盘货信息!A153)</f>
        <v/>
      </c>
      <c r="B153" s="20" t="str">
        <f>IF(盘货信息!B153="","",盘货信息!B153)</f>
        <v/>
      </c>
      <c r="C153" s="18" t="str">
        <f>IF(盘货信息!C153="","",盘货信息!C153)</f>
        <v/>
      </c>
      <c r="D153" s="18" t="str">
        <f ca="1" t="shared" si="2"/>
        <v/>
      </c>
      <c r="E153" s="18" t="str">
        <f>IF(C153="","",固定信息!$B$2)</f>
        <v/>
      </c>
      <c r="F153" s="18" t="str">
        <f t="array" ref="F153">IF(C153="","","【"&amp;C153&amp;"】"&amp;_xlfn.XLOOKUP(A153&amp;B153&amp;C153,盘货信息!$A:$A&amp;盘货信息!$B:$B&amp;盘货信息!$C:$C,盘货信息!$D:$D))</f>
        <v/>
      </c>
      <c r="G153" s="18" t="str">
        <f>IF(C153="","","【"&amp;"活动时间："&amp;固定信息!$B$3&amp;"】")</f>
        <v/>
      </c>
      <c r="H153" s="18" t="str">
        <f>IF($C153="","",固定信息!$B$1)</f>
        <v/>
      </c>
      <c r="I153" s="18"/>
      <c r="J153" s="18" t="str">
        <f t="array" ref="J153">_xlfn.XLOOKUP(A153&amp;B153&amp;C153,价格信息!$A:$A&amp;价格信息!$B:$B&amp;价格信息!$C:$C,价格信息!$D:$D)</f>
        <v/>
      </c>
      <c r="K153" s="31" t="str">
        <f t="array" ref="K153">IF(_xlfn.XLOOKUP(A153&amp;B153&amp;C153,价格信息!$A:$A&amp;价格信息!$B:$B&amp;价格信息!$C:$C,价格信息!$I:$I)="","","【优惠券链接】"&amp;固定信息!$B$6)</f>
        <v/>
      </c>
      <c r="L153" s="31" t="str">
        <f>IF($C153="","",固定信息!$B$1)</f>
        <v/>
      </c>
      <c r="M153" s="18" t="str">
        <f t="array" ref="M153">IF(_xlfn.XLOOKUP(A153&amp;B153&amp;C153,盘货信息!$A:$A&amp;盘货信息!$B:$B&amp;盘货信息!$C:$C,盘货信息!$O:$O)="","","【优惠券】领"&amp;INDEX(_wpsfn.REGEXP(_xlfn.XLOOKUP(A153&amp;B153&amp;C153,盘货信息!$A:$A&amp;盘货信息!$B:$B&amp;盘货信息!$C:$C,盘货信息!$O:$O),"\d+"),1,1)&amp;"元优惠券下单更优惠，优惠卷："&amp;_xlfn.XLOOKUP(A153&amp;B153&amp;C153,盘货信息!$A:$A&amp;盘货信息!$B:$B&amp;盘货信息!$C:$C,盘货信息!$P:$P))</f>
        <v/>
      </c>
      <c r="N153" s="18" t="str">
        <f t="array" ref="N153">IF(AND(ISNUMBER(_xlfn.XLOOKUP(A153&amp;B153&amp;C153,盘货信息!$A:$A&amp;盘货信息!$B:$B&amp;盘货信息!$C:$C,盘货信息!$I:$I)),_xlfn.XLOOKUP(A153&amp;B153&amp;C153,盘货信息!$A:$A&amp;盘货信息!$B:$B&amp;盘货信息!$C:$C,盘货信息!$I:$I)&gt;1),"【88VIP】立减"&amp;_xlfn.XLOOKUP(A153&amp;B153&amp;C153,盘货信息!$A:$A&amp;盘货信息!$B:$B&amp;盘货信息!$C:$C,盘货信息!$I:$I)&amp;"元","")</f>
        <v/>
      </c>
      <c r="O153" s="18" t="str">
        <f t="array" ref="O153">IF(_xlfn.XLOOKUP(A153&amp;B153&amp;C153,盘货信息!$A:$A&amp;盘货信息!$B:$B&amp;盘货信息!$C:$C,盘货信息!$K:$K)="","",IF(AND(_xlfn.XLOOKUP(A153&amp;B153&amp;C153,盘货信息!$A:$A&amp;盘货信息!$B:$B&amp;盘货信息!$C:$C,盘货信息!$G:$G)="不参加",_xlfn.XLOOKUP(A153&amp;B153&amp;C153,盘货信息!$A:$A&amp;盘货信息!$B:$B&amp;盘货信息!$C:$C,盘货信息!$H:$H)=""),"【以旧换新】"&amp;_xlfn.XLOOKUP(A153&amp;B153&amp;C153,盘货信息!$A:$A&amp;盘货信息!$B:$B&amp;盘货信息!$C:$C,盘货信息!$K:$K)&amp;"元以旧换新补贴（可无旧机换新）",""))</f>
        <v/>
      </c>
      <c r="P153" s="18" t="str">
        <f t="array" ref="P153">_xlfn.XLOOKUP(A153&amp;B153&amp;C153,赠品!$A:$A&amp;赠品!$B:$B&amp;赠品!$C:$C,赠品!$D:$D)</f>
        <v/>
      </c>
      <c r="Q153" s="18" t="str">
        <f>IF($C153="","",IF(AND(M153="",N153="",P153=""),"",固定信息!$B$1))</f>
        <v/>
      </c>
      <c r="R153" s="18" t="str">
        <f t="array" ref="R153">IF(ISNUMBER(SEARCH("是",_xlfn.XLOOKUP(A153&amp;B153&amp;C153,盘货信息!$A:$A&amp;盘货信息!$B:$B&amp;盘货信息!$C:$C,盘货信息!$U:$U))),"【折扣】指定型号满2类享96折，满3类享94折","")</f>
        <v/>
      </c>
      <c r="S153" s="18" t="str">
        <f t="array" ref="S153">IF(_xlfn.XLOOKUP(A153&amp;B153&amp;C153,盘货信息!$A:$A&amp;盘货信息!$B:$B&amp;盘货信息!$C:$C,盘货信息!$Q:$Q)&lt;1,"","【红包】活动时间购机送"&amp;_xlfn.TEXTJOIN("",,IF(ISNUMBER(--MID(_xlfn.XLOOKUP(A153&amp;B153&amp;C153,盘货信息!$A:$A&amp;盘货信息!$B:$B&amp;盘货信息!$C:$C,盘货信息!$Q:$Q),_xlfn.SEQUENCE(LEN(_xlfn.XLOOKUP(A153&amp;B153&amp;C153,盘货信息!$A:$A&amp;盘货信息!$B:$B&amp;盘货信息!$C:$C,盘货信息!$Q:$Q))),1)),MID(_xlfn.XLOOKUP(A153&amp;B153&amp;C153,盘货信息!$A:$A&amp;盘货信息!$B:$B&amp;盘货信息!$C:$C,盘货信息!$Q:$Q),_xlfn.SEQUENCE(LEN(_xlfn.XLOOKUP(A153&amp;B153&amp;C153,盘货信息!$A:$A&amp;盘货信息!$B:$B&amp;盘货信息!$C:$C,盘货信息!$Q:$Q))),1),""))&amp;"元")</f>
        <v/>
      </c>
      <c r="T153" s="18" t="str">
        <f t="array" ref="T153">IF(ISNUMBER(SEARCH("是",_xlfn.XLOOKUP(A153&amp;B153&amp;C153,盘货信息!$A:$A&amp;盘货信息!$B:$B&amp;盘货信息!$C:$C,盘货信息!$T:$T))),"【瓜分】"&amp;固定信息!$B$7,"")</f>
        <v/>
      </c>
      <c r="U153" s="18" t="str">
        <f>IF($C153="","",IF(AND(R153="",S153="",T153=""),"",固定信息!$B$1))</f>
        <v/>
      </c>
      <c r="V153" s="18" t="str">
        <f t="array" ref="V153">IF(C153="","","【服务】"&amp;IF(_xlfn.XLOOKUP(A153&amp;B153&amp;C153,盘货信息!$A:$A&amp;盘货信息!$B:$B&amp;盘货信息!$C:$C,盘货信息!$V:$V)="","",_xlfn.XLOOKUP(A153&amp;B153&amp;C153,盘货信息!$A:$A&amp;盘货信息!$B:$B&amp;盘货信息!$C:$C,盘货信息!$V:$V)&amp;"免息,")&amp;IF(_xlfn.XLOOKUP(A153&amp;B153&amp;C153,盘货信息!$A:$A&amp;盘货信息!$B:$B&amp;盘货信息!$C:$C,盘货信息!$W:$W)="","",_xlfn.XLOOKUP(A153&amp;B153&amp;C153,盘货信息!$A:$A&amp;盘货信息!$B:$B&amp;盘货信息!$C:$C,盘货信息!$W:$W)&amp;"，")&amp;"送货入户，退换免运费")</f>
        <v/>
      </c>
    </row>
    <row r="154" customHeight="1" spans="1:22">
      <c r="A154" s="17" t="str">
        <f>IF(盘货信息!A154="","",盘货信息!A154)</f>
        <v/>
      </c>
      <c r="B154" s="20" t="str">
        <f>IF(盘货信息!B154="","",盘货信息!B154)</f>
        <v/>
      </c>
      <c r="C154" s="18" t="str">
        <f>IF(盘货信息!C154="","",盘货信息!C154)</f>
        <v/>
      </c>
      <c r="D154" s="18" t="str">
        <f ca="1" t="shared" si="2"/>
        <v/>
      </c>
      <c r="E154" s="18" t="str">
        <f>IF(C154="","",固定信息!$B$2)</f>
        <v/>
      </c>
      <c r="F154" s="18" t="str">
        <f t="array" ref="F154">IF(C154="","","【"&amp;C154&amp;"】"&amp;_xlfn.XLOOKUP(A154&amp;B154&amp;C154,盘货信息!$A:$A&amp;盘货信息!$B:$B&amp;盘货信息!$C:$C,盘货信息!$D:$D))</f>
        <v/>
      </c>
      <c r="G154" s="18" t="str">
        <f>IF(C154="","","【"&amp;"活动时间："&amp;固定信息!$B$3&amp;"】")</f>
        <v/>
      </c>
      <c r="H154" s="18" t="str">
        <f>IF($C154="","",固定信息!$B$1)</f>
        <v/>
      </c>
      <c r="I154" s="18"/>
      <c r="J154" s="18" t="str">
        <f t="array" ref="J154">_xlfn.XLOOKUP(A154&amp;B154&amp;C154,价格信息!$A:$A&amp;价格信息!$B:$B&amp;价格信息!$C:$C,价格信息!$D:$D)</f>
        <v/>
      </c>
      <c r="K154" s="31" t="str">
        <f t="array" ref="K154">IF(_xlfn.XLOOKUP(A154&amp;B154&amp;C154,价格信息!$A:$A&amp;价格信息!$B:$B&amp;价格信息!$C:$C,价格信息!$I:$I)="","","【优惠券链接】"&amp;固定信息!$B$6)</f>
        <v/>
      </c>
      <c r="L154" s="31" t="str">
        <f>IF($C154="","",固定信息!$B$1)</f>
        <v/>
      </c>
      <c r="M154" s="18" t="str">
        <f t="array" ref="M154">IF(_xlfn.XLOOKUP(A154&amp;B154&amp;C154,盘货信息!$A:$A&amp;盘货信息!$B:$B&amp;盘货信息!$C:$C,盘货信息!$O:$O)="","","【优惠券】领"&amp;INDEX(_wpsfn.REGEXP(_xlfn.XLOOKUP(A154&amp;B154&amp;C154,盘货信息!$A:$A&amp;盘货信息!$B:$B&amp;盘货信息!$C:$C,盘货信息!$O:$O),"\d+"),1,1)&amp;"元优惠券下单更优惠，优惠卷："&amp;_xlfn.XLOOKUP(A154&amp;B154&amp;C154,盘货信息!$A:$A&amp;盘货信息!$B:$B&amp;盘货信息!$C:$C,盘货信息!$P:$P))</f>
        <v/>
      </c>
      <c r="N154" s="18" t="str">
        <f t="array" ref="N154">IF(AND(ISNUMBER(_xlfn.XLOOKUP(A154&amp;B154&amp;C154,盘货信息!$A:$A&amp;盘货信息!$B:$B&amp;盘货信息!$C:$C,盘货信息!$I:$I)),_xlfn.XLOOKUP(A154&amp;B154&amp;C154,盘货信息!$A:$A&amp;盘货信息!$B:$B&amp;盘货信息!$C:$C,盘货信息!$I:$I)&gt;1),"【88VIP】立减"&amp;_xlfn.XLOOKUP(A154&amp;B154&amp;C154,盘货信息!$A:$A&amp;盘货信息!$B:$B&amp;盘货信息!$C:$C,盘货信息!$I:$I)&amp;"元","")</f>
        <v/>
      </c>
      <c r="O154" s="18" t="str">
        <f t="array" ref="O154">IF(_xlfn.XLOOKUP(A154&amp;B154&amp;C154,盘货信息!$A:$A&amp;盘货信息!$B:$B&amp;盘货信息!$C:$C,盘货信息!$K:$K)="","",IF(AND(_xlfn.XLOOKUP(A154&amp;B154&amp;C154,盘货信息!$A:$A&amp;盘货信息!$B:$B&amp;盘货信息!$C:$C,盘货信息!$G:$G)="不参加",_xlfn.XLOOKUP(A154&amp;B154&amp;C154,盘货信息!$A:$A&amp;盘货信息!$B:$B&amp;盘货信息!$C:$C,盘货信息!$H:$H)=""),"【以旧换新】"&amp;_xlfn.XLOOKUP(A154&amp;B154&amp;C154,盘货信息!$A:$A&amp;盘货信息!$B:$B&amp;盘货信息!$C:$C,盘货信息!$K:$K)&amp;"元以旧换新补贴（可无旧机换新）",""))</f>
        <v/>
      </c>
      <c r="P154" s="18" t="str">
        <f t="array" ref="P154">_xlfn.XLOOKUP(A154&amp;B154&amp;C154,赠品!$A:$A&amp;赠品!$B:$B&amp;赠品!$C:$C,赠品!$D:$D)</f>
        <v/>
      </c>
      <c r="Q154" s="18" t="str">
        <f>IF($C154="","",IF(AND(M154="",N154="",P154=""),"",固定信息!$B$1))</f>
        <v/>
      </c>
      <c r="R154" s="18" t="str">
        <f t="array" ref="R154">IF(ISNUMBER(SEARCH("是",_xlfn.XLOOKUP(A154&amp;B154&amp;C154,盘货信息!$A:$A&amp;盘货信息!$B:$B&amp;盘货信息!$C:$C,盘货信息!$U:$U))),"【折扣】指定型号满2类享96折，满3类享94折","")</f>
        <v/>
      </c>
      <c r="S154" s="18" t="str">
        <f t="array" ref="S154">IF(_xlfn.XLOOKUP(A154&amp;B154&amp;C154,盘货信息!$A:$A&amp;盘货信息!$B:$B&amp;盘货信息!$C:$C,盘货信息!$Q:$Q)&lt;1,"","【红包】活动时间购机送"&amp;_xlfn.TEXTJOIN("",,IF(ISNUMBER(--MID(_xlfn.XLOOKUP(A154&amp;B154&amp;C154,盘货信息!$A:$A&amp;盘货信息!$B:$B&amp;盘货信息!$C:$C,盘货信息!$Q:$Q),_xlfn.SEQUENCE(LEN(_xlfn.XLOOKUP(A154&amp;B154&amp;C154,盘货信息!$A:$A&amp;盘货信息!$B:$B&amp;盘货信息!$C:$C,盘货信息!$Q:$Q))),1)),MID(_xlfn.XLOOKUP(A154&amp;B154&amp;C154,盘货信息!$A:$A&amp;盘货信息!$B:$B&amp;盘货信息!$C:$C,盘货信息!$Q:$Q),_xlfn.SEQUENCE(LEN(_xlfn.XLOOKUP(A154&amp;B154&amp;C154,盘货信息!$A:$A&amp;盘货信息!$B:$B&amp;盘货信息!$C:$C,盘货信息!$Q:$Q))),1),""))&amp;"元")</f>
        <v/>
      </c>
      <c r="T154" s="18" t="str">
        <f t="array" ref="T154">IF(ISNUMBER(SEARCH("是",_xlfn.XLOOKUP(A154&amp;B154&amp;C154,盘货信息!$A:$A&amp;盘货信息!$B:$B&amp;盘货信息!$C:$C,盘货信息!$T:$T))),"【瓜分】"&amp;固定信息!$B$7,"")</f>
        <v/>
      </c>
      <c r="U154" s="18" t="str">
        <f>IF($C154="","",IF(AND(R154="",S154="",T154=""),"",固定信息!$B$1))</f>
        <v/>
      </c>
      <c r="V154" s="18" t="str">
        <f t="array" ref="V154">IF(C154="","","【服务】"&amp;IF(_xlfn.XLOOKUP(A154&amp;B154&amp;C154,盘货信息!$A:$A&amp;盘货信息!$B:$B&amp;盘货信息!$C:$C,盘货信息!$V:$V)="","",_xlfn.XLOOKUP(A154&amp;B154&amp;C154,盘货信息!$A:$A&amp;盘货信息!$B:$B&amp;盘货信息!$C:$C,盘货信息!$V:$V)&amp;"免息,")&amp;IF(_xlfn.XLOOKUP(A154&amp;B154&amp;C154,盘货信息!$A:$A&amp;盘货信息!$B:$B&amp;盘货信息!$C:$C,盘货信息!$W:$W)="","",_xlfn.XLOOKUP(A154&amp;B154&amp;C154,盘货信息!$A:$A&amp;盘货信息!$B:$B&amp;盘货信息!$C:$C,盘货信息!$W:$W)&amp;"，")&amp;"送货入户，退换免运费")</f>
        <v/>
      </c>
    </row>
    <row r="155" customHeight="1" spans="1:22">
      <c r="A155" s="17" t="str">
        <f>IF(盘货信息!A155="","",盘货信息!A155)</f>
        <v/>
      </c>
      <c r="B155" s="20" t="str">
        <f>IF(盘货信息!B155="","",盘货信息!B155)</f>
        <v/>
      </c>
      <c r="C155" s="18" t="str">
        <f>IF(盘货信息!C155="","",盘货信息!C155)</f>
        <v/>
      </c>
      <c r="D155" s="18" t="str">
        <f ca="1" t="shared" si="2"/>
        <v/>
      </c>
      <c r="E155" s="18" t="str">
        <f>IF(C155="","",固定信息!$B$2)</f>
        <v/>
      </c>
      <c r="F155" s="18" t="str">
        <f t="array" ref="F155">IF(C155="","","【"&amp;C155&amp;"】"&amp;_xlfn.XLOOKUP(A155&amp;B155&amp;C155,盘货信息!$A:$A&amp;盘货信息!$B:$B&amp;盘货信息!$C:$C,盘货信息!$D:$D))</f>
        <v/>
      </c>
      <c r="G155" s="18" t="str">
        <f>IF(C155="","","【"&amp;"活动时间："&amp;固定信息!$B$3&amp;"】")</f>
        <v/>
      </c>
      <c r="H155" s="18" t="str">
        <f>IF($C155="","",固定信息!$B$1)</f>
        <v/>
      </c>
      <c r="I155" s="18"/>
      <c r="J155" s="18" t="str">
        <f t="array" ref="J155">_xlfn.XLOOKUP(A155&amp;B155&amp;C155,价格信息!$A:$A&amp;价格信息!$B:$B&amp;价格信息!$C:$C,价格信息!$D:$D)</f>
        <v/>
      </c>
      <c r="K155" s="31" t="str">
        <f t="array" ref="K155">IF(_xlfn.XLOOKUP(A155&amp;B155&amp;C155,价格信息!$A:$A&amp;价格信息!$B:$B&amp;价格信息!$C:$C,价格信息!$I:$I)="","","【优惠券链接】"&amp;固定信息!$B$6)</f>
        <v/>
      </c>
      <c r="L155" s="31" t="str">
        <f>IF($C155="","",固定信息!$B$1)</f>
        <v/>
      </c>
      <c r="M155" s="18" t="str">
        <f t="array" ref="M155">IF(_xlfn.XLOOKUP(A155&amp;B155&amp;C155,盘货信息!$A:$A&amp;盘货信息!$B:$B&amp;盘货信息!$C:$C,盘货信息!$O:$O)="","","【优惠券】领"&amp;INDEX(_wpsfn.REGEXP(_xlfn.XLOOKUP(A155&amp;B155&amp;C155,盘货信息!$A:$A&amp;盘货信息!$B:$B&amp;盘货信息!$C:$C,盘货信息!$O:$O),"\d+"),1,1)&amp;"元优惠券下单更优惠，优惠卷："&amp;_xlfn.XLOOKUP(A155&amp;B155&amp;C155,盘货信息!$A:$A&amp;盘货信息!$B:$B&amp;盘货信息!$C:$C,盘货信息!$P:$P))</f>
        <v/>
      </c>
      <c r="N155" s="18" t="str">
        <f t="array" ref="N155">IF(AND(ISNUMBER(_xlfn.XLOOKUP(A155&amp;B155&amp;C155,盘货信息!$A:$A&amp;盘货信息!$B:$B&amp;盘货信息!$C:$C,盘货信息!$I:$I)),_xlfn.XLOOKUP(A155&amp;B155&amp;C155,盘货信息!$A:$A&amp;盘货信息!$B:$B&amp;盘货信息!$C:$C,盘货信息!$I:$I)&gt;1),"【88VIP】立减"&amp;_xlfn.XLOOKUP(A155&amp;B155&amp;C155,盘货信息!$A:$A&amp;盘货信息!$B:$B&amp;盘货信息!$C:$C,盘货信息!$I:$I)&amp;"元","")</f>
        <v/>
      </c>
      <c r="O155" s="18" t="str">
        <f t="array" ref="O155">IF(_xlfn.XLOOKUP(A155&amp;B155&amp;C155,盘货信息!$A:$A&amp;盘货信息!$B:$B&amp;盘货信息!$C:$C,盘货信息!$K:$K)="","",IF(AND(_xlfn.XLOOKUP(A155&amp;B155&amp;C155,盘货信息!$A:$A&amp;盘货信息!$B:$B&amp;盘货信息!$C:$C,盘货信息!$G:$G)="不参加",_xlfn.XLOOKUP(A155&amp;B155&amp;C155,盘货信息!$A:$A&amp;盘货信息!$B:$B&amp;盘货信息!$C:$C,盘货信息!$H:$H)=""),"【以旧换新】"&amp;_xlfn.XLOOKUP(A155&amp;B155&amp;C155,盘货信息!$A:$A&amp;盘货信息!$B:$B&amp;盘货信息!$C:$C,盘货信息!$K:$K)&amp;"元以旧换新补贴（可无旧机换新）",""))</f>
        <v/>
      </c>
      <c r="P155" s="18" t="str">
        <f t="array" ref="P155">_xlfn.XLOOKUP(A155&amp;B155&amp;C155,赠品!$A:$A&amp;赠品!$B:$B&amp;赠品!$C:$C,赠品!$D:$D)</f>
        <v/>
      </c>
      <c r="Q155" s="18" t="str">
        <f>IF($C155="","",IF(AND(M155="",N155="",P155=""),"",固定信息!$B$1))</f>
        <v/>
      </c>
      <c r="R155" s="18" t="str">
        <f t="array" ref="R155">IF(ISNUMBER(SEARCH("是",_xlfn.XLOOKUP(A155&amp;B155&amp;C155,盘货信息!$A:$A&amp;盘货信息!$B:$B&amp;盘货信息!$C:$C,盘货信息!$U:$U))),"【折扣】指定型号满2类享96折，满3类享94折","")</f>
        <v/>
      </c>
      <c r="S155" s="18" t="str">
        <f t="array" ref="S155">IF(_xlfn.XLOOKUP(A155&amp;B155&amp;C155,盘货信息!$A:$A&amp;盘货信息!$B:$B&amp;盘货信息!$C:$C,盘货信息!$Q:$Q)&lt;1,"","【红包】活动时间购机送"&amp;_xlfn.TEXTJOIN("",,IF(ISNUMBER(--MID(_xlfn.XLOOKUP(A155&amp;B155&amp;C155,盘货信息!$A:$A&amp;盘货信息!$B:$B&amp;盘货信息!$C:$C,盘货信息!$Q:$Q),_xlfn.SEQUENCE(LEN(_xlfn.XLOOKUP(A155&amp;B155&amp;C155,盘货信息!$A:$A&amp;盘货信息!$B:$B&amp;盘货信息!$C:$C,盘货信息!$Q:$Q))),1)),MID(_xlfn.XLOOKUP(A155&amp;B155&amp;C155,盘货信息!$A:$A&amp;盘货信息!$B:$B&amp;盘货信息!$C:$C,盘货信息!$Q:$Q),_xlfn.SEQUENCE(LEN(_xlfn.XLOOKUP(A155&amp;B155&amp;C155,盘货信息!$A:$A&amp;盘货信息!$B:$B&amp;盘货信息!$C:$C,盘货信息!$Q:$Q))),1),""))&amp;"元")</f>
        <v/>
      </c>
      <c r="T155" s="18" t="str">
        <f t="array" ref="T155">IF(ISNUMBER(SEARCH("是",_xlfn.XLOOKUP(A155&amp;B155&amp;C155,盘货信息!$A:$A&amp;盘货信息!$B:$B&amp;盘货信息!$C:$C,盘货信息!$T:$T))),"【瓜分】"&amp;固定信息!$B$7,"")</f>
        <v/>
      </c>
      <c r="U155" s="18" t="str">
        <f>IF($C155="","",IF(AND(R155="",S155="",T155=""),"",固定信息!$B$1))</f>
        <v/>
      </c>
      <c r="V155" s="18" t="str">
        <f t="array" ref="V155">IF(C155="","","【服务】"&amp;IF(_xlfn.XLOOKUP(A155&amp;B155&amp;C155,盘货信息!$A:$A&amp;盘货信息!$B:$B&amp;盘货信息!$C:$C,盘货信息!$V:$V)="","",_xlfn.XLOOKUP(A155&amp;B155&amp;C155,盘货信息!$A:$A&amp;盘货信息!$B:$B&amp;盘货信息!$C:$C,盘货信息!$V:$V)&amp;"免息,")&amp;IF(_xlfn.XLOOKUP(A155&amp;B155&amp;C155,盘货信息!$A:$A&amp;盘货信息!$B:$B&amp;盘货信息!$C:$C,盘货信息!$W:$W)="","",_xlfn.XLOOKUP(A155&amp;B155&amp;C155,盘货信息!$A:$A&amp;盘货信息!$B:$B&amp;盘货信息!$C:$C,盘货信息!$W:$W)&amp;"，")&amp;"送货入户，退换免运费")</f>
        <v/>
      </c>
    </row>
    <row r="156" customHeight="1" spans="1:22">
      <c r="A156" s="17" t="str">
        <f>IF(盘货信息!A156="","",盘货信息!A156)</f>
        <v/>
      </c>
      <c r="B156" s="20" t="str">
        <f>IF(盘货信息!B156="","",盘货信息!B156)</f>
        <v/>
      </c>
      <c r="C156" s="18" t="str">
        <f>IF(盘货信息!C156="","",盘货信息!C156)</f>
        <v/>
      </c>
      <c r="D156" s="18" t="str">
        <f ca="1" t="shared" si="2"/>
        <v/>
      </c>
      <c r="E156" s="18" t="str">
        <f>IF(C156="","",固定信息!$B$2)</f>
        <v/>
      </c>
      <c r="F156" s="18" t="str">
        <f t="array" ref="F156">IF(C156="","","【"&amp;C156&amp;"】"&amp;_xlfn.XLOOKUP(A156&amp;B156&amp;C156,盘货信息!$A:$A&amp;盘货信息!$B:$B&amp;盘货信息!$C:$C,盘货信息!$D:$D))</f>
        <v/>
      </c>
      <c r="G156" s="18" t="str">
        <f>IF(C156="","","【"&amp;"活动时间："&amp;固定信息!$B$3&amp;"】")</f>
        <v/>
      </c>
      <c r="H156" s="18" t="str">
        <f>IF($C156="","",固定信息!$B$1)</f>
        <v/>
      </c>
      <c r="I156" s="18"/>
      <c r="J156" s="18" t="str">
        <f t="array" ref="J156">_xlfn.XLOOKUP(A156&amp;B156&amp;C156,价格信息!$A:$A&amp;价格信息!$B:$B&amp;价格信息!$C:$C,价格信息!$D:$D)</f>
        <v/>
      </c>
      <c r="K156" s="31" t="str">
        <f t="array" ref="K156">IF(_xlfn.XLOOKUP(A156&amp;B156&amp;C156,价格信息!$A:$A&amp;价格信息!$B:$B&amp;价格信息!$C:$C,价格信息!$I:$I)="","","【优惠券链接】"&amp;固定信息!$B$6)</f>
        <v/>
      </c>
      <c r="L156" s="31" t="str">
        <f>IF($C156="","",固定信息!$B$1)</f>
        <v/>
      </c>
      <c r="M156" s="18" t="str">
        <f t="array" ref="M156">IF(_xlfn.XLOOKUP(A156&amp;B156&amp;C156,盘货信息!$A:$A&amp;盘货信息!$B:$B&amp;盘货信息!$C:$C,盘货信息!$O:$O)="","","【优惠券】领"&amp;INDEX(_wpsfn.REGEXP(_xlfn.XLOOKUP(A156&amp;B156&amp;C156,盘货信息!$A:$A&amp;盘货信息!$B:$B&amp;盘货信息!$C:$C,盘货信息!$O:$O),"\d+"),1,1)&amp;"元优惠券下单更优惠，优惠卷："&amp;_xlfn.XLOOKUP(A156&amp;B156&amp;C156,盘货信息!$A:$A&amp;盘货信息!$B:$B&amp;盘货信息!$C:$C,盘货信息!$P:$P))</f>
        <v/>
      </c>
      <c r="N156" s="18" t="str">
        <f t="array" ref="N156">IF(AND(ISNUMBER(_xlfn.XLOOKUP(A156&amp;B156&amp;C156,盘货信息!$A:$A&amp;盘货信息!$B:$B&amp;盘货信息!$C:$C,盘货信息!$I:$I)),_xlfn.XLOOKUP(A156&amp;B156&amp;C156,盘货信息!$A:$A&amp;盘货信息!$B:$B&amp;盘货信息!$C:$C,盘货信息!$I:$I)&gt;1),"【88VIP】立减"&amp;_xlfn.XLOOKUP(A156&amp;B156&amp;C156,盘货信息!$A:$A&amp;盘货信息!$B:$B&amp;盘货信息!$C:$C,盘货信息!$I:$I)&amp;"元","")</f>
        <v/>
      </c>
      <c r="O156" s="18" t="str">
        <f t="array" ref="O156">IF(_xlfn.XLOOKUP(A156&amp;B156&amp;C156,盘货信息!$A:$A&amp;盘货信息!$B:$B&amp;盘货信息!$C:$C,盘货信息!$K:$K)="","",IF(AND(_xlfn.XLOOKUP(A156&amp;B156&amp;C156,盘货信息!$A:$A&amp;盘货信息!$B:$B&amp;盘货信息!$C:$C,盘货信息!$G:$G)="不参加",_xlfn.XLOOKUP(A156&amp;B156&amp;C156,盘货信息!$A:$A&amp;盘货信息!$B:$B&amp;盘货信息!$C:$C,盘货信息!$H:$H)=""),"【以旧换新】"&amp;_xlfn.XLOOKUP(A156&amp;B156&amp;C156,盘货信息!$A:$A&amp;盘货信息!$B:$B&amp;盘货信息!$C:$C,盘货信息!$K:$K)&amp;"元以旧换新补贴（可无旧机换新）",""))</f>
        <v/>
      </c>
      <c r="P156" s="18" t="str">
        <f t="array" ref="P156">_xlfn.XLOOKUP(A156&amp;B156&amp;C156,赠品!$A:$A&amp;赠品!$B:$B&amp;赠品!$C:$C,赠品!$D:$D)</f>
        <v/>
      </c>
      <c r="Q156" s="18" t="str">
        <f>IF($C156="","",IF(AND(M156="",N156="",P156=""),"",固定信息!$B$1))</f>
        <v/>
      </c>
      <c r="R156" s="18" t="str">
        <f t="array" ref="R156">IF(ISNUMBER(SEARCH("是",_xlfn.XLOOKUP(A156&amp;B156&amp;C156,盘货信息!$A:$A&amp;盘货信息!$B:$B&amp;盘货信息!$C:$C,盘货信息!$U:$U))),"【折扣】指定型号满2类享96折，满3类享94折","")</f>
        <v/>
      </c>
      <c r="S156" s="18" t="str">
        <f t="array" ref="S156">IF(_xlfn.XLOOKUP(A156&amp;B156&amp;C156,盘货信息!$A:$A&amp;盘货信息!$B:$B&amp;盘货信息!$C:$C,盘货信息!$Q:$Q)&lt;1,"","【红包】活动时间购机送"&amp;_xlfn.TEXTJOIN("",,IF(ISNUMBER(--MID(_xlfn.XLOOKUP(A156&amp;B156&amp;C156,盘货信息!$A:$A&amp;盘货信息!$B:$B&amp;盘货信息!$C:$C,盘货信息!$Q:$Q),_xlfn.SEQUENCE(LEN(_xlfn.XLOOKUP(A156&amp;B156&amp;C156,盘货信息!$A:$A&amp;盘货信息!$B:$B&amp;盘货信息!$C:$C,盘货信息!$Q:$Q))),1)),MID(_xlfn.XLOOKUP(A156&amp;B156&amp;C156,盘货信息!$A:$A&amp;盘货信息!$B:$B&amp;盘货信息!$C:$C,盘货信息!$Q:$Q),_xlfn.SEQUENCE(LEN(_xlfn.XLOOKUP(A156&amp;B156&amp;C156,盘货信息!$A:$A&amp;盘货信息!$B:$B&amp;盘货信息!$C:$C,盘货信息!$Q:$Q))),1),""))&amp;"元")</f>
        <v/>
      </c>
      <c r="T156" s="18" t="str">
        <f t="array" ref="T156">IF(ISNUMBER(SEARCH("是",_xlfn.XLOOKUP(A156&amp;B156&amp;C156,盘货信息!$A:$A&amp;盘货信息!$B:$B&amp;盘货信息!$C:$C,盘货信息!$T:$T))),"【瓜分】"&amp;固定信息!$B$7,"")</f>
        <v/>
      </c>
      <c r="U156" s="18" t="str">
        <f>IF($C156="","",IF(AND(R156="",S156="",T156=""),"",固定信息!$B$1))</f>
        <v/>
      </c>
      <c r="V156" s="18" t="str">
        <f t="array" ref="V156">IF(C156="","","【服务】"&amp;IF(_xlfn.XLOOKUP(A156&amp;B156&amp;C156,盘货信息!$A:$A&amp;盘货信息!$B:$B&amp;盘货信息!$C:$C,盘货信息!$V:$V)="","",_xlfn.XLOOKUP(A156&amp;B156&amp;C156,盘货信息!$A:$A&amp;盘货信息!$B:$B&amp;盘货信息!$C:$C,盘货信息!$V:$V)&amp;"免息,")&amp;IF(_xlfn.XLOOKUP(A156&amp;B156&amp;C156,盘货信息!$A:$A&amp;盘货信息!$B:$B&amp;盘货信息!$C:$C,盘货信息!$W:$W)="","",_xlfn.XLOOKUP(A156&amp;B156&amp;C156,盘货信息!$A:$A&amp;盘货信息!$B:$B&amp;盘货信息!$C:$C,盘货信息!$W:$W)&amp;"，")&amp;"送货入户，退换免运费")</f>
        <v/>
      </c>
    </row>
    <row r="157" customHeight="1" spans="1:22">
      <c r="A157" s="17" t="str">
        <f>IF(盘货信息!A157="","",盘货信息!A157)</f>
        <v/>
      </c>
      <c r="B157" s="20" t="str">
        <f>IF(盘货信息!B157="","",盘货信息!B157)</f>
        <v/>
      </c>
      <c r="C157" s="18" t="str">
        <f>IF(盘货信息!C157="","",盘货信息!C157)</f>
        <v/>
      </c>
      <c r="D157" s="18" t="str">
        <f ca="1" t="shared" si="2"/>
        <v/>
      </c>
      <c r="E157" s="18" t="str">
        <f>IF(C157="","",固定信息!$B$2)</f>
        <v/>
      </c>
      <c r="F157" s="18" t="str">
        <f t="array" ref="F157">IF(C157="","","【"&amp;C157&amp;"】"&amp;_xlfn.XLOOKUP(A157&amp;B157&amp;C157,盘货信息!$A:$A&amp;盘货信息!$B:$B&amp;盘货信息!$C:$C,盘货信息!$D:$D))</f>
        <v/>
      </c>
      <c r="G157" s="18" t="str">
        <f>IF(C157="","","【"&amp;"活动时间："&amp;固定信息!$B$3&amp;"】")</f>
        <v/>
      </c>
      <c r="H157" s="18" t="str">
        <f>IF($C157="","",固定信息!$B$1)</f>
        <v/>
      </c>
      <c r="I157" s="18"/>
      <c r="J157" s="18" t="str">
        <f t="array" ref="J157">_xlfn.XLOOKUP(A157&amp;B157&amp;C157,价格信息!$A:$A&amp;价格信息!$B:$B&amp;价格信息!$C:$C,价格信息!$D:$D)</f>
        <v/>
      </c>
      <c r="K157" s="31" t="str">
        <f t="array" ref="K157">IF(_xlfn.XLOOKUP(A157&amp;B157&amp;C157,价格信息!$A:$A&amp;价格信息!$B:$B&amp;价格信息!$C:$C,价格信息!$I:$I)="","","【优惠券链接】"&amp;固定信息!$B$6)</f>
        <v/>
      </c>
      <c r="L157" s="31" t="str">
        <f>IF($C157="","",固定信息!$B$1)</f>
        <v/>
      </c>
      <c r="M157" s="18" t="str">
        <f t="array" ref="M157">IF(_xlfn.XLOOKUP(A157&amp;B157&amp;C157,盘货信息!$A:$A&amp;盘货信息!$B:$B&amp;盘货信息!$C:$C,盘货信息!$O:$O)="","","【优惠券】领"&amp;INDEX(_wpsfn.REGEXP(_xlfn.XLOOKUP(A157&amp;B157&amp;C157,盘货信息!$A:$A&amp;盘货信息!$B:$B&amp;盘货信息!$C:$C,盘货信息!$O:$O),"\d+"),1,1)&amp;"元优惠券下单更优惠，优惠卷："&amp;_xlfn.XLOOKUP(A157&amp;B157&amp;C157,盘货信息!$A:$A&amp;盘货信息!$B:$B&amp;盘货信息!$C:$C,盘货信息!$P:$P))</f>
        <v/>
      </c>
      <c r="N157" s="18" t="str">
        <f t="array" ref="N157">IF(AND(ISNUMBER(_xlfn.XLOOKUP(A157&amp;B157&amp;C157,盘货信息!$A:$A&amp;盘货信息!$B:$B&amp;盘货信息!$C:$C,盘货信息!$I:$I)),_xlfn.XLOOKUP(A157&amp;B157&amp;C157,盘货信息!$A:$A&amp;盘货信息!$B:$B&amp;盘货信息!$C:$C,盘货信息!$I:$I)&gt;1),"【88VIP】立减"&amp;_xlfn.XLOOKUP(A157&amp;B157&amp;C157,盘货信息!$A:$A&amp;盘货信息!$B:$B&amp;盘货信息!$C:$C,盘货信息!$I:$I)&amp;"元","")</f>
        <v/>
      </c>
      <c r="O157" s="18" t="str">
        <f t="array" ref="O157">IF(_xlfn.XLOOKUP(A157&amp;B157&amp;C157,盘货信息!$A:$A&amp;盘货信息!$B:$B&amp;盘货信息!$C:$C,盘货信息!$K:$K)="","",IF(AND(_xlfn.XLOOKUP(A157&amp;B157&amp;C157,盘货信息!$A:$A&amp;盘货信息!$B:$B&amp;盘货信息!$C:$C,盘货信息!$G:$G)="不参加",_xlfn.XLOOKUP(A157&amp;B157&amp;C157,盘货信息!$A:$A&amp;盘货信息!$B:$B&amp;盘货信息!$C:$C,盘货信息!$H:$H)=""),"【以旧换新】"&amp;_xlfn.XLOOKUP(A157&amp;B157&amp;C157,盘货信息!$A:$A&amp;盘货信息!$B:$B&amp;盘货信息!$C:$C,盘货信息!$K:$K)&amp;"元以旧换新补贴（可无旧机换新）",""))</f>
        <v/>
      </c>
      <c r="P157" s="18" t="str">
        <f t="array" ref="P157">_xlfn.XLOOKUP(A157&amp;B157&amp;C157,赠品!$A:$A&amp;赠品!$B:$B&amp;赠品!$C:$C,赠品!$D:$D)</f>
        <v/>
      </c>
      <c r="Q157" s="18" t="str">
        <f>IF($C157="","",IF(AND(M157="",N157="",P157=""),"",固定信息!$B$1))</f>
        <v/>
      </c>
      <c r="R157" s="18" t="str">
        <f t="array" ref="R157">IF(ISNUMBER(SEARCH("是",_xlfn.XLOOKUP(A157&amp;B157&amp;C157,盘货信息!$A:$A&amp;盘货信息!$B:$B&amp;盘货信息!$C:$C,盘货信息!$U:$U))),"【折扣】指定型号满2类享96折，满3类享94折","")</f>
        <v/>
      </c>
      <c r="S157" s="18" t="str">
        <f t="array" ref="S157">IF(_xlfn.XLOOKUP(A157&amp;B157&amp;C157,盘货信息!$A:$A&amp;盘货信息!$B:$B&amp;盘货信息!$C:$C,盘货信息!$Q:$Q)&lt;1,"","【红包】活动时间购机送"&amp;_xlfn.TEXTJOIN("",,IF(ISNUMBER(--MID(_xlfn.XLOOKUP(A157&amp;B157&amp;C157,盘货信息!$A:$A&amp;盘货信息!$B:$B&amp;盘货信息!$C:$C,盘货信息!$Q:$Q),_xlfn.SEQUENCE(LEN(_xlfn.XLOOKUP(A157&amp;B157&amp;C157,盘货信息!$A:$A&amp;盘货信息!$B:$B&amp;盘货信息!$C:$C,盘货信息!$Q:$Q))),1)),MID(_xlfn.XLOOKUP(A157&amp;B157&amp;C157,盘货信息!$A:$A&amp;盘货信息!$B:$B&amp;盘货信息!$C:$C,盘货信息!$Q:$Q),_xlfn.SEQUENCE(LEN(_xlfn.XLOOKUP(A157&amp;B157&amp;C157,盘货信息!$A:$A&amp;盘货信息!$B:$B&amp;盘货信息!$C:$C,盘货信息!$Q:$Q))),1),""))&amp;"元")</f>
        <v/>
      </c>
      <c r="T157" s="18" t="str">
        <f t="array" ref="T157">IF(ISNUMBER(SEARCH("是",_xlfn.XLOOKUP(A157&amp;B157&amp;C157,盘货信息!$A:$A&amp;盘货信息!$B:$B&amp;盘货信息!$C:$C,盘货信息!$T:$T))),"【瓜分】"&amp;固定信息!$B$7,"")</f>
        <v/>
      </c>
      <c r="U157" s="18" t="str">
        <f>IF($C157="","",IF(AND(R157="",S157="",T157=""),"",固定信息!$B$1))</f>
        <v/>
      </c>
      <c r="V157" s="18" t="str">
        <f t="array" ref="V157">IF(C157="","","【服务】"&amp;IF(_xlfn.XLOOKUP(A157&amp;B157&amp;C157,盘货信息!$A:$A&amp;盘货信息!$B:$B&amp;盘货信息!$C:$C,盘货信息!$V:$V)="","",_xlfn.XLOOKUP(A157&amp;B157&amp;C157,盘货信息!$A:$A&amp;盘货信息!$B:$B&amp;盘货信息!$C:$C,盘货信息!$V:$V)&amp;"免息,")&amp;IF(_xlfn.XLOOKUP(A157&amp;B157&amp;C157,盘货信息!$A:$A&amp;盘货信息!$B:$B&amp;盘货信息!$C:$C,盘货信息!$W:$W)="","",_xlfn.XLOOKUP(A157&amp;B157&amp;C157,盘货信息!$A:$A&amp;盘货信息!$B:$B&amp;盘货信息!$C:$C,盘货信息!$W:$W)&amp;"，")&amp;"送货入户，退换免运费")</f>
        <v/>
      </c>
    </row>
    <row r="158" customHeight="1" spans="1:22">
      <c r="A158" s="17" t="str">
        <f>IF(盘货信息!A158="","",盘货信息!A158)</f>
        <v/>
      </c>
      <c r="B158" s="20" t="str">
        <f>IF(盘货信息!B158="","",盘货信息!B158)</f>
        <v/>
      </c>
      <c r="C158" s="18" t="str">
        <f>IF(盘货信息!C158="","",盘货信息!C158)</f>
        <v/>
      </c>
      <c r="D158" s="18" t="str">
        <f ca="1" t="shared" si="2"/>
        <v/>
      </c>
      <c r="E158" s="18" t="str">
        <f>IF(C158="","",固定信息!$B$2)</f>
        <v/>
      </c>
      <c r="F158" s="18" t="str">
        <f t="array" ref="F158">IF(C158="","","【"&amp;C158&amp;"】"&amp;_xlfn.XLOOKUP(A158&amp;B158&amp;C158,盘货信息!$A:$A&amp;盘货信息!$B:$B&amp;盘货信息!$C:$C,盘货信息!$D:$D))</f>
        <v/>
      </c>
      <c r="G158" s="18" t="str">
        <f>IF(C158="","","【"&amp;"活动时间："&amp;固定信息!$B$3&amp;"】")</f>
        <v/>
      </c>
      <c r="H158" s="18" t="str">
        <f>IF($C158="","",固定信息!$B$1)</f>
        <v/>
      </c>
      <c r="I158" s="18"/>
      <c r="J158" s="18" t="str">
        <f t="array" ref="J158">_xlfn.XLOOKUP(A158&amp;B158&amp;C158,价格信息!$A:$A&amp;价格信息!$B:$B&amp;价格信息!$C:$C,价格信息!$D:$D)</f>
        <v/>
      </c>
      <c r="K158" s="31" t="str">
        <f t="array" ref="K158">IF(_xlfn.XLOOKUP(A158&amp;B158&amp;C158,价格信息!$A:$A&amp;价格信息!$B:$B&amp;价格信息!$C:$C,价格信息!$I:$I)="","","【优惠券链接】"&amp;固定信息!$B$6)</f>
        <v/>
      </c>
      <c r="L158" s="31" t="str">
        <f>IF($C158="","",固定信息!$B$1)</f>
        <v/>
      </c>
      <c r="M158" s="18" t="str">
        <f t="array" ref="M158">IF(_xlfn.XLOOKUP(A158&amp;B158&amp;C158,盘货信息!$A:$A&amp;盘货信息!$B:$B&amp;盘货信息!$C:$C,盘货信息!$O:$O)="","","【优惠券】领"&amp;INDEX(_wpsfn.REGEXP(_xlfn.XLOOKUP(A158&amp;B158&amp;C158,盘货信息!$A:$A&amp;盘货信息!$B:$B&amp;盘货信息!$C:$C,盘货信息!$O:$O),"\d+"),1,1)&amp;"元优惠券下单更优惠，优惠卷："&amp;_xlfn.XLOOKUP(A158&amp;B158&amp;C158,盘货信息!$A:$A&amp;盘货信息!$B:$B&amp;盘货信息!$C:$C,盘货信息!$P:$P))</f>
        <v/>
      </c>
      <c r="N158" s="18" t="str">
        <f t="array" ref="N158">IF(AND(ISNUMBER(_xlfn.XLOOKUP(A158&amp;B158&amp;C158,盘货信息!$A:$A&amp;盘货信息!$B:$B&amp;盘货信息!$C:$C,盘货信息!$I:$I)),_xlfn.XLOOKUP(A158&amp;B158&amp;C158,盘货信息!$A:$A&amp;盘货信息!$B:$B&amp;盘货信息!$C:$C,盘货信息!$I:$I)&gt;1),"【88VIP】立减"&amp;_xlfn.XLOOKUP(A158&amp;B158&amp;C158,盘货信息!$A:$A&amp;盘货信息!$B:$B&amp;盘货信息!$C:$C,盘货信息!$I:$I)&amp;"元","")</f>
        <v/>
      </c>
      <c r="O158" s="18" t="str">
        <f t="array" ref="O158">IF(_xlfn.XLOOKUP(A158&amp;B158&amp;C158,盘货信息!$A:$A&amp;盘货信息!$B:$B&amp;盘货信息!$C:$C,盘货信息!$K:$K)="","",IF(AND(_xlfn.XLOOKUP(A158&amp;B158&amp;C158,盘货信息!$A:$A&amp;盘货信息!$B:$B&amp;盘货信息!$C:$C,盘货信息!$G:$G)="不参加",_xlfn.XLOOKUP(A158&amp;B158&amp;C158,盘货信息!$A:$A&amp;盘货信息!$B:$B&amp;盘货信息!$C:$C,盘货信息!$H:$H)=""),"【以旧换新】"&amp;_xlfn.XLOOKUP(A158&amp;B158&amp;C158,盘货信息!$A:$A&amp;盘货信息!$B:$B&amp;盘货信息!$C:$C,盘货信息!$K:$K)&amp;"元以旧换新补贴（可无旧机换新）",""))</f>
        <v/>
      </c>
      <c r="P158" s="18" t="str">
        <f t="array" ref="P158">_xlfn.XLOOKUP(A158&amp;B158&amp;C158,赠品!$A:$A&amp;赠品!$B:$B&amp;赠品!$C:$C,赠品!$D:$D)</f>
        <v/>
      </c>
      <c r="Q158" s="18" t="str">
        <f>IF($C158="","",IF(AND(M158="",N158="",P158=""),"",固定信息!$B$1))</f>
        <v/>
      </c>
      <c r="R158" s="18" t="str">
        <f t="array" ref="R158">IF(ISNUMBER(SEARCH("是",_xlfn.XLOOKUP(A158&amp;B158&amp;C158,盘货信息!$A:$A&amp;盘货信息!$B:$B&amp;盘货信息!$C:$C,盘货信息!$U:$U))),"【折扣】指定型号满2类享96折，满3类享94折","")</f>
        <v/>
      </c>
      <c r="S158" s="18" t="str">
        <f t="array" ref="S158">IF(_xlfn.XLOOKUP(A158&amp;B158&amp;C158,盘货信息!$A:$A&amp;盘货信息!$B:$B&amp;盘货信息!$C:$C,盘货信息!$Q:$Q)&lt;1,"","【红包】活动时间购机送"&amp;_xlfn.TEXTJOIN("",,IF(ISNUMBER(--MID(_xlfn.XLOOKUP(A158&amp;B158&amp;C158,盘货信息!$A:$A&amp;盘货信息!$B:$B&amp;盘货信息!$C:$C,盘货信息!$Q:$Q),_xlfn.SEQUENCE(LEN(_xlfn.XLOOKUP(A158&amp;B158&amp;C158,盘货信息!$A:$A&amp;盘货信息!$B:$B&amp;盘货信息!$C:$C,盘货信息!$Q:$Q))),1)),MID(_xlfn.XLOOKUP(A158&amp;B158&amp;C158,盘货信息!$A:$A&amp;盘货信息!$B:$B&amp;盘货信息!$C:$C,盘货信息!$Q:$Q),_xlfn.SEQUENCE(LEN(_xlfn.XLOOKUP(A158&amp;B158&amp;C158,盘货信息!$A:$A&amp;盘货信息!$B:$B&amp;盘货信息!$C:$C,盘货信息!$Q:$Q))),1),""))&amp;"元")</f>
        <v/>
      </c>
      <c r="T158" s="18" t="str">
        <f t="array" ref="T158">IF(ISNUMBER(SEARCH("是",_xlfn.XLOOKUP(A158&amp;B158&amp;C158,盘货信息!$A:$A&amp;盘货信息!$B:$B&amp;盘货信息!$C:$C,盘货信息!$T:$T))),"【瓜分】"&amp;固定信息!$B$7,"")</f>
        <v/>
      </c>
      <c r="U158" s="18" t="str">
        <f>IF($C158="","",IF(AND(R158="",S158="",T158=""),"",固定信息!$B$1))</f>
        <v/>
      </c>
      <c r="V158" s="18" t="str">
        <f t="array" ref="V158">IF(C158="","","【服务】"&amp;IF(_xlfn.XLOOKUP(A158&amp;B158&amp;C158,盘货信息!$A:$A&amp;盘货信息!$B:$B&amp;盘货信息!$C:$C,盘货信息!$V:$V)="","",_xlfn.XLOOKUP(A158&amp;B158&amp;C158,盘货信息!$A:$A&amp;盘货信息!$B:$B&amp;盘货信息!$C:$C,盘货信息!$V:$V)&amp;"免息,")&amp;IF(_xlfn.XLOOKUP(A158&amp;B158&amp;C158,盘货信息!$A:$A&amp;盘货信息!$B:$B&amp;盘货信息!$C:$C,盘货信息!$W:$W)="","",_xlfn.XLOOKUP(A158&amp;B158&amp;C158,盘货信息!$A:$A&amp;盘货信息!$B:$B&amp;盘货信息!$C:$C,盘货信息!$W:$W)&amp;"，")&amp;"送货入户，退换免运费")</f>
        <v/>
      </c>
    </row>
    <row r="159" customHeight="1" spans="1:22">
      <c r="A159" s="17" t="str">
        <f>IF(盘货信息!A159="","",盘货信息!A159)</f>
        <v/>
      </c>
      <c r="B159" s="20" t="str">
        <f>IF(盘货信息!B159="","",盘货信息!B159)</f>
        <v/>
      </c>
      <c r="C159" s="18" t="str">
        <f>IF(盘货信息!C159="","",盘货信息!C159)</f>
        <v/>
      </c>
      <c r="D159" s="18" t="str">
        <f ca="1" t="shared" si="2"/>
        <v/>
      </c>
      <c r="E159" s="18" t="str">
        <f>IF(C159="","",固定信息!$B$2)</f>
        <v/>
      </c>
      <c r="F159" s="18" t="str">
        <f t="array" ref="F159">IF(C159="","","【"&amp;C159&amp;"】"&amp;_xlfn.XLOOKUP(A159&amp;B159&amp;C159,盘货信息!$A:$A&amp;盘货信息!$B:$B&amp;盘货信息!$C:$C,盘货信息!$D:$D))</f>
        <v/>
      </c>
      <c r="G159" s="18" t="str">
        <f>IF(C159="","","【"&amp;"活动时间："&amp;固定信息!$B$3&amp;"】")</f>
        <v/>
      </c>
      <c r="H159" s="18" t="str">
        <f>IF($C159="","",固定信息!$B$1)</f>
        <v/>
      </c>
      <c r="I159" s="18"/>
      <c r="J159" s="18" t="str">
        <f t="array" ref="J159">_xlfn.XLOOKUP(A159&amp;B159&amp;C159,价格信息!$A:$A&amp;价格信息!$B:$B&amp;价格信息!$C:$C,价格信息!$D:$D)</f>
        <v/>
      </c>
      <c r="K159" s="31" t="str">
        <f t="array" ref="K159">IF(_xlfn.XLOOKUP(A159&amp;B159&amp;C159,价格信息!$A:$A&amp;价格信息!$B:$B&amp;价格信息!$C:$C,价格信息!$I:$I)="","","【优惠券链接】"&amp;固定信息!$B$6)</f>
        <v/>
      </c>
      <c r="L159" s="31" t="str">
        <f>IF($C159="","",固定信息!$B$1)</f>
        <v/>
      </c>
      <c r="M159" s="18" t="str">
        <f t="array" ref="M159">IF(_xlfn.XLOOKUP(A159&amp;B159&amp;C159,盘货信息!$A:$A&amp;盘货信息!$B:$B&amp;盘货信息!$C:$C,盘货信息!$O:$O)="","","【优惠券】领"&amp;INDEX(_wpsfn.REGEXP(_xlfn.XLOOKUP(A159&amp;B159&amp;C159,盘货信息!$A:$A&amp;盘货信息!$B:$B&amp;盘货信息!$C:$C,盘货信息!$O:$O),"\d+"),1,1)&amp;"元优惠券下单更优惠，优惠卷："&amp;_xlfn.XLOOKUP(A159&amp;B159&amp;C159,盘货信息!$A:$A&amp;盘货信息!$B:$B&amp;盘货信息!$C:$C,盘货信息!$P:$P))</f>
        <v/>
      </c>
      <c r="N159" s="18" t="str">
        <f t="array" ref="N159">IF(AND(ISNUMBER(_xlfn.XLOOKUP(A159&amp;B159&amp;C159,盘货信息!$A:$A&amp;盘货信息!$B:$B&amp;盘货信息!$C:$C,盘货信息!$I:$I)),_xlfn.XLOOKUP(A159&amp;B159&amp;C159,盘货信息!$A:$A&amp;盘货信息!$B:$B&amp;盘货信息!$C:$C,盘货信息!$I:$I)&gt;1),"【88VIP】立减"&amp;_xlfn.XLOOKUP(A159&amp;B159&amp;C159,盘货信息!$A:$A&amp;盘货信息!$B:$B&amp;盘货信息!$C:$C,盘货信息!$I:$I)&amp;"元","")</f>
        <v/>
      </c>
      <c r="O159" s="18" t="str">
        <f t="array" ref="O159">IF(_xlfn.XLOOKUP(A159&amp;B159&amp;C159,盘货信息!$A:$A&amp;盘货信息!$B:$B&amp;盘货信息!$C:$C,盘货信息!$K:$K)="","",IF(AND(_xlfn.XLOOKUP(A159&amp;B159&amp;C159,盘货信息!$A:$A&amp;盘货信息!$B:$B&amp;盘货信息!$C:$C,盘货信息!$G:$G)="不参加",_xlfn.XLOOKUP(A159&amp;B159&amp;C159,盘货信息!$A:$A&amp;盘货信息!$B:$B&amp;盘货信息!$C:$C,盘货信息!$H:$H)=""),"【以旧换新】"&amp;_xlfn.XLOOKUP(A159&amp;B159&amp;C159,盘货信息!$A:$A&amp;盘货信息!$B:$B&amp;盘货信息!$C:$C,盘货信息!$K:$K)&amp;"元以旧换新补贴（可无旧机换新）",""))</f>
        <v/>
      </c>
      <c r="P159" s="18" t="str">
        <f t="array" ref="P159">_xlfn.XLOOKUP(A159&amp;B159&amp;C159,赠品!$A:$A&amp;赠品!$B:$B&amp;赠品!$C:$C,赠品!$D:$D)</f>
        <v/>
      </c>
      <c r="Q159" s="18" t="str">
        <f>IF($C159="","",IF(AND(M159="",N159="",P159=""),"",固定信息!$B$1))</f>
        <v/>
      </c>
      <c r="R159" s="18" t="str">
        <f t="array" ref="R159">IF(ISNUMBER(SEARCH("是",_xlfn.XLOOKUP(A159&amp;B159&amp;C159,盘货信息!$A:$A&amp;盘货信息!$B:$B&amp;盘货信息!$C:$C,盘货信息!$U:$U))),"【折扣】指定型号满2类享96折，满3类享94折","")</f>
        <v/>
      </c>
      <c r="S159" s="18" t="str">
        <f t="array" ref="S159">IF(_xlfn.XLOOKUP(A159&amp;B159&amp;C159,盘货信息!$A:$A&amp;盘货信息!$B:$B&amp;盘货信息!$C:$C,盘货信息!$Q:$Q)&lt;1,"","【红包】活动时间购机送"&amp;_xlfn.TEXTJOIN("",,IF(ISNUMBER(--MID(_xlfn.XLOOKUP(A159&amp;B159&amp;C159,盘货信息!$A:$A&amp;盘货信息!$B:$B&amp;盘货信息!$C:$C,盘货信息!$Q:$Q),_xlfn.SEQUENCE(LEN(_xlfn.XLOOKUP(A159&amp;B159&amp;C159,盘货信息!$A:$A&amp;盘货信息!$B:$B&amp;盘货信息!$C:$C,盘货信息!$Q:$Q))),1)),MID(_xlfn.XLOOKUP(A159&amp;B159&amp;C159,盘货信息!$A:$A&amp;盘货信息!$B:$B&amp;盘货信息!$C:$C,盘货信息!$Q:$Q),_xlfn.SEQUENCE(LEN(_xlfn.XLOOKUP(A159&amp;B159&amp;C159,盘货信息!$A:$A&amp;盘货信息!$B:$B&amp;盘货信息!$C:$C,盘货信息!$Q:$Q))),1),""))&amp;"元")</f>
        <v/>
      </c>
      <c r="T159" s="18" t="str">
        <f t="array" ref="T159">IF(ISNUMBER(SEARCH("是",_xlfn.XLOOKUP(A159&amp;B159&amp;C159,盘货信息!$A:$A&amp;盘货信息!$B:$B&amp;盘货信息!$C:$C,盘货信息!$T:$T))),"【瓜分】"&amp;固定信息!$B$7,"")</f>
        <v/>
      </c>
      <c r="U159" s="18" t="str">
        <f>IF($C159="","",IF(AND(R159="",S159="",T159=""),"",固定信息!$B$1))</f>
        <v/>
      </c>
      <c r="V159" s="18" t="str">
        <f t="array" ref="V159">IF(C159="","","【服务】"&amp;IF(_xlfn.XLOOKUP(A159&amp;B159&amp;C159,盘货信息!$A:$A&amp;盘货信息!$B:$B&amp;盘货信息!$C:$C,盘货信息!$V:$V)="","",_xlfn.XLOOKUP(A159&amp;B159&amp;C159,盘货信息!$A:$A&amp;盘货信息!$B:$B&amp;盘货信息!$C:$C,盘货信息!$V:$V)&amp;"免息,")&amp;IF(_xlfn.XLOOKUP(A159&amp;B159&amp;C159,盘货信息!$A:$A&amp;盘货信息!$B:$B&amp;盘货信息!$C:$C,盘货信息!$W:$W)="","",_xlfn.XLOOKUP(A159&amp;B159&amp;C159,盘货信息!$A:$A&amp;盘货信息!$B:$B&amp;盘货信息!$C:$C,盘货信息!$W:$W)&amp;"，")&amp;"送货入户，退换免运费")</f>
        <v/>
      </c>
    </row>
    <row r="160" customHeight="1" spans="1:22">
      <c r="A160" s="17" t="str">
        <f>IF(盘货信息!A160="","",盘货信息!A160)</f>
        <v/>
      </c>
      <c r="B160" s="20" t="str">
        <f>IF(盘货信息!B160="","",盘货信息!B160)</f>
        <v/>
      </c>
      <c r="C160" s="18" t="str">
        <f>IF(盘货信息!C160="","",盘货信息!C160)</f>
        <v/>
      </c>
      <c r="D160" s="18" t="str">
        <f ca="1" t="shared" si="2"/>
        <v/>
      </c>
      <c r="E160" s="18" t="str">
        <f>IF(C160="","",固定信息!$B$2)</f>
        <v/>
      </c>
      <c r="F160" s="18" t="str">
        <f t="array" ref="F160">IF(C160="","","【"&amp;C160&amp;"】"&amp;_xlfn.XLOOKUP(A160&amp;B160&amp;C160,盘货信息!$A:$A&amp;盘货信息!$B:$B&amp;盘货信息!$C:$C,盘货信息!$D:$D))</f>
        <v/>
      </c>
      <c r="G160" s="18" t="str">
        <f>IF(C160="","","【"&amp;"活动时间："&amp;固定信息!$B$3&amp;"】")</f>
        <v/>
      </c>
      <c r="H160" s="18" t="str">
        <f>IF($C160="","",固定信息!$B$1)</f>
        <v/>
      </c>
      <c r="I160" s="18"/>
      <c r="J160" s="18" t="str">
        <f t="array" ref="J160">_xlfn.XLOOKUP(A160&amp;B160&amp;C160,价格信息!$A:$A&amp;价格信息!$B:$B&amp;价格信息!$C:$C,价格信息!$D:$D)</f>
        <v/>
      </c>
      <c r="K160" s="31" t="str">
        <f t="array" ref="K160">IF(_xlfn.XLOOKUP(A160&amp;B160&amp;C160,价格信息!$A:$A&amp;价格信息!$B:$B&amp;价格信息!$C:$C,价格信息!$I:$I)="","","【优惠券链接】"&amp;固定信息!$B$6)</f>
        <v/>
      </c>
      <c r="L160" s="31" t="str">
        <f>IF($C160="","",固定信息!$B$1)</f>
        <v/>
      </c>
      <c r="M160" s="18" t="str">
        <f t="array" ref="M160">IF(_xlfn.XLOOKUP(A160&amp;B160&amp;C160,盘货信息!$A:$A&amp;盘货信息!$B:$B&amp;盘货信息!$C:$C,盘货信息!$O:$O)="","","【优惠券】领"&amp;INDEX(_wpsfn.REGEXP(_xlfn.XLOOKUP(A160&amp;B160&amp;C160,盘货信息!$A:$A&amp;盘货信息!$B:$B&amp;盘货信息!$C:$C,盘货信息!$O:$O),"\d+"),1,1)&amp;"元优惠券下单更优惠，优惠卷："&amp;_xlfn.XLOOKUP(A160&amp;B160&amp;C160,盘货信息!$A:$A&amp;盘货信息!$B:$B&amp;盘货信息!$C:$C,盘货信息!$P:$P))</f>
        <v/>
      </c>
      <c r="N160" s="18" t="str">
        <f t="array" ref="N160">IF(AND(ISNUMBER(_xlfn.XLOOKUP(A160&amp;B160&amp;C160,盘货信息!$A:$A&amp;盘货信息!$B:$B&amp;盘货信息!$C:$C,盘货信息!$I:$I)),_xlfn.XLOOKUP(A160&amp;B160&amp;C160,盘货信息!$A:$A&amp;盘货信息!$B:$B&amp;盘货信息!$C:$C,盘货信息!$I:$I)&gt;1),"【88VIP】立减"&amp;_xlfn.XLOOKUP(A160&amp;B160&amp;C160,盘货信息!$A:$A&amp;盘货信息!$B:$B&amp;盘货信息!$C:$C,盘货信息!$I:$I)&amp;"元","")</f>
        <v/>
      </c>
      <c r="O160" s="18" t="str">
        <f t="array" ref="O160">IF(_xlfn.XLOOKUP(A160&amp;B160&amp;C160,盘货信息!$A:$A&amp;盘货信息!$B:$B&amp;盘货信息!$C:$C,盘货信息!$K:$K)="","",IF(AND(_xlfn.XLOOKUP(A160&amp;B160&amp;C160,盘货信息!$A:$A&amp;盘货信息!$B:$B&amp;盘货信息!$C:$C,盘货信息!$G:$G)="不参加",_xlfn.XLOOKUP(A160&amp;B160&amp;C160,盘货信息!$A:$A&amp;盘货信息!$B:$B&amp;盘货信息!$C:$C,盘货信息!$H:$H)=""),"【以旧换新】"&amp;_xlfn.XLOOKUP(A160&amp;B160&amp;C160,盘货信息!$A:$A&amp;盘货信息!$B:$B&amp;盘货信息!$C:$C,盘货信息!$K:$K)&amp;"元以旧换新补贴（可无旧机换新）",""))</f>
        <v/>
      </c>
      <c r="P160" s="18" t="str">
        <f t="array" ref="P160">_xlfn.XLOOKUP(A160&amp;B160&amp;C160,赠品!$A:$A&amp;赠品!$B:$B&amp;赠品!$C:$C,赠品!$D:$D)</f>
        <v/>
      </c>
      <c r="Q160" s="18" t="str">
        <f>IF($C160="","",IF(AND(M160="",N160="",P160=""),"",固定信息!$B$1))</f>
        <v/>
      </c>
      <c r="R160" s="18" t="str">
        <f t="array" ref="R160">IF(ISNUMBER(SEARCH("是",_xlfn.XLOOKUP(A160&amp;B160&amp;C160,盘货信息!$A:$A&amp;盘货信息!$B:$B&amp;盘货信息!$C:$C,盘货信息!$U:$U))),"【折扣】指定型号满2类享96折，满3类享94折","")</f>
        <v/>
      </c>
      <c r="S160" s="18" t="str">
        <f t="array" ref="S160">IF(_xlfn.XLOOKUP(A160&amp;B160&amp;C160,盘货信息!$A:$A&amp;盘货信息!$B:$B&amp;盘货信息!$C:$C,盘货信息!$Q:$Q)&lt;1,"","【红包】活动时间购机送"&amp;_xlfn.TEXTJOIN("",,IF(ISNUMBER(--MID(_xlfn.XLOOKUP(A160&amp;B160&amp;C160,盘货信息!$A:$A&amp;盘货信息!$B:$B&amp;盘货信息!$C:$C,盘货信息!$Q:$Q),_xlfn.SEQUENCE(LEN(_xlfn.XLOOKUP(A160&amp;B160&amp;C160,盘货信息!$A:$A&amp;盘货信息!$B:$B&amp;盘货信息!$C:$C,盘货信息!$Q:$Q))),1)),MID(_xlfn.XLOOKUP(A160&amp;B160&amp;C160,盘货信息!$A:$A&amp;盘货信息!$B:$B&amp;盘货信息!$C:$C,盘货信息!$Q:$Q),_xlfn.SEQUENCE(LEN(_xlfn.XLOOKUP(A160&amp;B160&amp;C160,盘货信息!$A:$A&amp;盘货信息!$B:$B&amp;盘货信息!$C:$C,盘货信息!$Q:$Q))),1),""))&amp;"元")</f>
        <v/>
      </c>
      <c r="T160" s="18" t="str">
        <f t="array" ref="T160">IF(ISNUMBER(SEARCH("是",_xlfn.XLOOKUP(A160&amp;B160&amp;C160,盘货信息!$A:$A&amp;盘货信息!$B:$B&amp;盘货信息!$C:$C,盘货信息!$T:$T))),"【瓜分】"&amp;固定信息!$B$7,"")</f>
        <v/>
      </c>
      <c r="U160" s="18" t="str">
        <f>IF($C160="","",IF(AND(R160="",S160="",T160=""),"",固定信息!$B$1))</f>
        <v/>
      </c>
      <c r="V160" s="18" t="str">
        <f t="array" ref="V160">IF(C160="","","【服务】"&amp;IF(_xlfn.XLOOKUP(A160&amp;B160&amp;C160,盘货信息!$A:$A&amp;盘货信息!$B:$B&amp;盘货信息!$C:$C,盘货信息!$V:$V)="","",_xlfn.XLOOKUP(A160&amp;B160&amp;C160,盘货信息!$A:$A&amp;盘货信息!$B:$B&amp;盘货信息!$C:$C,盘货信息!$V:$V)&amp;"免息,")&amp;IF(_xlfn.XLOOKUP(A160&amp;B160&amp;C160,盘货信息!$A:$A&amp;盘货信息!$B:$B&amp;盘货信息!$C:$C,盘货信息!$W:$W)="","",_xlfn.XLOOKUP(A160&amp;B160&amp;C160,盘货信息!$A:$A&amp;盘货信息!$B:$B&amp;盘货信息!$C:$C,盘货信息!$W:$W)&amp;"，")&amp;"送货入户，退换免运费")</f>
        <v/>
      </c>
    </row>
    <row r="161" customHeight="1" spans="1:22">
      <c r="A161" s="17" t="str">
        <f>IF(盘货信息!A161="","",盘货信息!A161)</f>
        <v/>
      </c>
      <c r="B161" s="20" t="str">
        <f>IF(盘货信息!B161="","",盘货信息!B161)</f>
        <v/>
      </c>
      <c r="C161" s="18" t="str">
        <f>IF(盘货信息!C161="","",盘货信息!C161)</f>
        <v/>
      </c>
      <c r="D161" s="18" t="str">
        <f ca="1" t="shared" si="2"/>
        <v/>
      </c>
      <c r="E161" s="18" t="str">
        <f>IF(C161="","",固定信息!$B$2)</f>
        <v/>
      </c>
      <c r="F161" s="18" t="str">
        <f t="array" ref="F161">IF(C161="","","【"&amp;C161&amp;"】"&amp;_xlfn.XLOOKUP(A161&amp;B161&amp;C161,盘货信息!$A:$A&amp;盘货信息!$B:$B&amp;盘货信息!$C:$C,盘货信息!$D:$D))</f>
        <v/>
      </c>
      <c r="G161" s="18" t="str">
        <f>IF(C161="","","【"&amp;"活动时间："&amp;固定信息!$B$3&amp;"】")</f>
        <v/>
      </c>
      <c r="H161" s="18" t="str">
        <f>IF($C161="","",固定信息!$B$1)</f>
        <v/>
      </c>
      <c r="I161" s="18"/>
      <c r="J161" s="18" t="str">
        <f t="array" ref="J161">_xlfn.XLOOKUP(A161&amp;B161&amp;C161,价格信息!$A:$A&amp;价格信息!$B:$B&amp;价格信息!$C:$C,价格信息!$D:$D)</f>
        <v/>
      </c>
      <c r="K161" s="31" t="str">
        <f t="array" ref="K161">IF(_xlfn.XLOOKUP(A161&amp;B161&amp;C161,价格信息!$A:$A&amp;价格信息!$B:$B&amp;价格信息!$C:$C,价格信息!$I:$I)="","","【优惠券链接】"&amp;固定信息!$B$6)</f>
        <v/>
      </c>
      <c r="L161" s="31" t="str">
        <f>IF($C161="","",固定信息!$B$1)</f>
        <v/>
      </c>
      <c r="M161" s="18" t="str">
        <f t="array" ref="M161">IF(_xlfn.XLOOKUP(A161&amp;B161&amp;C161,盘货信息!$A:$A&amp;盘货信息!$B:$B&amp;盘货信息!$C:$C,盘货信息!$O:$O)="","","【优惠券】领"&amp;INDEX(_wpsfn.REGEXP(_xlfn.XLOOKUP(A161&amp;B161&amp;C161,盘货信息!$A:$A&amp;盘货信息!$B:$B&amp;盘货信息!$C:$C,盘货信息!$O:$O),"\d+"),1,1)&amp;"元优惠券下单更优惠，优惠卷："&amp;_xlfn.XLOOKUP(A161&amp;B161&amp;C161,盘货信息!$A:$A&amp;盘货信息!$B:$B&amp;盘货信息!$C:$C,盘货信息!$P:$P))</f>
        <v/>
      </c>
      <c r="N161" s="18" t="str">
        <f t="array" ref="N161">IF(AND(ISNUMBER(_xlfn.XLOOKUP(A161&amp;B161&amp;C161,盘货信息!$A:$A&amp;盘货信息!$B:$B&amp;盘货信息!$C:$C,盘货信息!$I:$I)),_xlfn.XLOOKUP(A161&amp;B161&amp;C161,盘货信息!$A:$A&amp;盘货信息!$B:$B&amp;盘货信息!$C:$C,盘货信息!$I:$I)&gt;1),"【88VIP】立减"&amp;_xlfn.XLOOKUP(A161&amp;B161&amp;C161,盘货信息!$A:$A&amp;盘货信息!$B:$B&amp;盘货信息!$C:$C,盘货信息!$I:$I)&amp;"元","")</f>
        <v/>
      </c>
      <c r="O161" s="18" t="str">
        <f t="array" ref="O161">IF(_xlfn.XLOOKUP(A161&amp;B161&amp;C161,盘货信息!$A:$A&amp;盘货信息!$B:$B&amp;盘货信息!$C:$C,盘货信息!$K:$K)="","",IF(AND(_xlfn.XLOOKUP(A161&amp;B161&amp;C161,盘货信息!$A:$A&amp;盘货信息!$B:$B&amp;盘货信息!$C:$C,盘货信息!$G:$G)="不参加",_xlfn.XLOOKUP(A161&amp;B161&amp;C161,盘货信息!$A:$A&amp;盘货信息!$B:$B&amp;盘货信息!$C:$C,盘货信息!$H:$H)=""),"【以旧换新】"&amp;_xlfn.XLOOKUP(A161&amp;B161&amp;C161,盘货信息!$A:$A&amp;盘货信息!$B:$B&amp;盘货信息!$C:$C,盘货信息!$K:$K)&amp;"元以旧换新补贴（可无旧机换新）",""))</f>
        <v/>
      </c>
      <c r="P161" s="18" t="str">
        <f t="array" ref="P161">_xlfn.XLOOKUP(A161&amp;B161&amp;C161,赠品!$A:$A&amp;赠品!$B:$B&amp;赠品!$C:$C,赠品!$D:$D)</f>
        <v/>
      </c>
      <c r="Q161" s="18" t="str">
        <f>IF($C161="","",IF(AND(M161="",N161="",P161=""),"",固定信息!$B$1))</f>
        <v/>
      </c>
      <c r="R161" s="18" t="str">
        <f t="array" ref="R161">IF(ISNUMBER(SEARCH("是",_xlfn.XLOOKUP(A161&amp;B161&amp;C161,盘货信息!$A:$A&amp;盘货信息!$B:$B&amp;盘货信息!$C:$C,盘货信息!$U:$U))),"【折扣】指定型号满2类享96折，满3类享94折","")</f>
        <v/>
      </c>
      <c r="S161" s="18" t="str">
        <f t="array" ref="S161">IF(_xlfn.XLOOKUP(A161&amp;B161&amp;C161,盘货信息!$A:$A&amp;盘货信息!$B:$B&amp;盘货信息!$C:$C,盘货信息!$Q:$Q)&lt;1,"","【红包】活动时间购机送"&amp;_xlfn.TEXTJOIN("",,IF(ISNUMBER(--MID(_xlfn.XLOOKUP(A161&amp;B161&amp;C161,盘货信息!$A:$A&amp;盘货信息!$B:$B&amp;盘货信息!$C:$C,盘货信息!$Q:$Q),_xlfn.SEQUENCE(LEN(_xlfn.XLOOKUP(A161&amp;B161&amp;C161,盘货信息!$A:$A&amp;盘货信息!$B:$B&amp;盘货信息!$C:$C,盘货信息!$Q:$Q))),1)),MID(_xlfn.XLOOKUP(A161&amp;B161&amp;C161,盘货信息!$A:$A&amp;盘货信息!$B:$B&amp;盘货信息!$C:$C,盘货信息!$Q:$Q),_xlfn.SEQUENCE(LEN(_xlfn.XLOOKUP(A161&amp;B161&amp;C161,盘货信息!$A:$A&amp;盘货信息!$B:$B&amp;盘货信息!$C:$C,盘货信息!$Q:$Q))),1),""))&amp;"元")</f>
        <v/>
      </c>
      <c r="T161" s="18" t="str">
        <f t="array" ref="T161">IF(ISNUMBER(SEARCH("是",_xlfn.XLOOKUP(A161&amp;B161&amp;C161,盘货信息!$A:$A&amp;盘货信息!$B:$B&amp;盘货信息!$C:$C,盘货信息!$T:$T))),"【瓜分】"&amp;固定信息!$B$7,"")</f>
        <v/>
      </c>
      <c r="U161" s="18" t="str">
        <f>IF($C161="","",IF(AND(R161="",S161="",T161=""),"",固定信息!$B$1))</f>
        <v/>
      </c>
      <c r="V161" s="18" t="str">
        <f t="array" ref="V161">IF(C161="","","【服务】"&amp;IF(_xlfn.XLOOKUP(A161&amp;B161&amp;C161,盘货信息!$A:$A&amp;盘货信息!$B:$B&amp;盘货信息!$C:$C,盘货信息!$V:$V)="","",_xlfn.XLOOKUP(A161&amp;B161&amp;C161,盘货信息!$A:$A&amp;盘货信息!$B:$B&amp;盘货信息!$C:$C,盘货信息!$V:$V)&amp;"免息,")&amp;IF(_xlfn.XLOOKUP(A161&amp;B161&amp;C161,盘货信息!$A:$A&amp;盘货信息!$B:$B&amp;盘货信息!$C:$C,盘货信息!$W:$W)="","",_xlfn.XLOOKUP(A161&amp;B161&amp;C161,盘货信息!$A:$A&amp;盘货信息!$B:$B&amp;盘货信息!$C:$C,盘货信息!$W:$W)&amp;"，")&amp;"送货入户，退换免运费")</f>
        <v/>
      </c>
    </row>
    <row r="162" customHeight="1" spans="1:22">
      <c r="A162" s="17" t="str">
        <f>IF(盘货信息!A162="","",盘货信息!A162)</f>
        <v/>
      </c>
      <c r="B162" s="20" t="str">
        <f>IF(盘货信息!B162="","",盘货信息!B162)</f>
        <v/>
      </c>
      <c r="C162" s="18" t="str">
        <f>IF(盘货信息!C162="","",盘货信息!C162)</f>
        <v/>
      </c>
      <c r="D162" s="18" t="str">
        <f ca="1" t="shared" si="2"/>
        <v/>
      </c>
      <c r="E162" s="18" t="str">
        <f>IF(C162="","",固定信息!$B$2)</f>
        <v/>
      </c>
      <c r="F162" s="18" t="str">
        <f t="array" ref="F162">IF(C162="","","【"&amp;C162&amp;"】"&amp;_xlfn.XLOOKUP(A162&amp;B162&amp;C162,盘货信息!$A:$A&amp;盘货信息!$B:$B&amp;盘货信息!$C:$C,盘货信息!$D:$D))</f>
        <v/>
      </c>
      <c r="G162" s="18" t="str">
        <f>IF(C162="","","【"&amp;"活动时间："&amp;固定信息!$B$3&amp;"】")</f>
        <v/>
      </c>
      <c r="H162" s="18" t="str">
        <f>IF($C162="","",固定信息!$B$1)</f>
        <v/>
      </c>
      <c r="I162" s="18"/>
      <c r="J162" s="18" t="str">
        <f t="array" ref="J162">_xlfn.XLOOKUP(A162&amp;B162&amp;C162,价格信息!$A:$A&amp;价格信息!$B:$B&amp;价格信息!$C:$C,价格信息!$D:$D)</f>
        <v/>
      </c>
      <c r="K162" s="31" t="str">
        <f t="array" ref="K162">IF(_xlfn.XLOOKUP(A162&amp;B162&amp;C162,价格信息!$A:$A&amp;价格信息!$B:$B&amp;价格信息!$C:$C,价格信息!$I:$I)="","","【优惠券链接】"&amp;固定信息!$B$6)</f>
        <v/>
      </c>
      <c r="L162" s="31" t="str">
        <f>IF($C162="","",固定信息!$B$1)</f>
        <v/>
      </c>
      <c r="M162" s="18" t="str">
        <f t="array" ref="M162">IF(_xlfn.XLOOKUP(A162&amp;B162&amp;C162,盘货信息!$A:$A&amp;盘货信息!$B:$B&amp;盘货信息!$C:$C,盘货信息!$O:$O)="","","【优惠券】领"&amp;INDEX(_wpsfn.REGEXP(_xlfn.XLOOKUP(A162&amp;B162&amp;C162,盘货信息!$A:$A&amp;盘货信息!$B:$B&amp;盘货信息!$C:$C,盘货信息!$O:$O),"\d+"),1,1)&amp;"元优惠券下单更优惠，优惠卷："&amp;_xlfn.XLOOKUP(A162&amp;B162&amp;C162,盘货信息!$A:$A&amp;盘货信息!$B:$B&amp;盘货信息!$C:$C,盘货信息!$P:$P))</f>
        <v/>
      </c>
      <c r="N162" s="18" t="str">
        <f t="array" ref="N162">IF(AND(ISNUMBER(_xlfn.XLOOKUP(A162&amp;B162&amp;C162,盘货信息!$A:$A&amp;盘货信息!$B:$B&amp;盘货信息!$C:$C,盘货信息!$I:$I)),_xlfn.XLOOKUP(A162&amp;B162&amp;C162,盘货信息!$A:$A&amp;盘货信息!$B:$B&amp;盘货信息!$C:$C,盘货信息!$I:$I)&gt;1),"【88VIP】立减"&amp;_xlfn.XLOOKUP(A162&amp;B162&amp;C162,盘货信息!$A:$A&amp;盘货信息!$B:$B&amp;盘货信息!$C:$C,盘货信息!$I:$I)&amp;"元","")</f>
        <v/>
      </c>
      <c r="O162" s="18" t="str">
        <f t="array" ref="O162">IF(_xlfn.XLOOKUP(A162&amp;B162&amp;C162,盘货信息!$A:$A&amp;盘货信息!$B:$B&amp;盘货信息!$C:$C,盘货信息!$K:$K)="","",IF(AND(_xlfn.XLOOKUP(A162&amp;B162&amp;C162,盘货信息!$A:$A&amp;盘货信息!$B:$B&amp;盘货信息!$C:$C,盘货信息!$G:$G)="不参加",_xlfn.XLOOKUP(A162&amp;B162&amp;C162,盘货信息!$A:$A&amp;盘货信息!$B:$B&amp;盘货信息!$C:$C,盘货信息!$H:$H)=""),"【以旧换新】"&amp;_xlfn.XLOOKUP(A162&amp;B162&amp;C162,盘货信息!$A:$A&amp;盘货信息!$B:$B&amp;盘货信息!$C:$C,盘货信息!$K:$K)&amp;"元以旧换新补贴（可无旧机换新）",""))</f>
        <v/>
      </c>
      <c r="P162" s="18" t="str">
        <f t="array" ref="P162">_xlfn.XLOOKUP(A162&amp;B162&amp;C162,赠品!$A:$A&amp;赠品!$B:$B&amp;赠品!$C:$C,赠品!$D:$D)</f>
        <v/>
      </c>
      <c r="Q162" s="18" t="str">
        <f>IF($C162="","",IF(AND(M162="",N162="",P162=""),"",固定信息!$B$1))</f>
        <v/>
      </c>
      <c r="R162" s="18" t="str">
        <f t="array" ref="R162">IF(ISNUMBER(SEARCH("是",_xlfn.XLOOKUP(A162&amp;B162&amp;C162,盘货信息!$A:$A&amp;盘货信息!$B:$B&amp;盘货信息!$C:$C,盘货信息!$U:$U))),"【折扣】指定型号满2类享96折，满3类享94折","")</f>
        <v/>
      </c>
      <c r="S162" s="18" t="str">
        <f t="array" ref="S162">IF(_xlfn.XLOOKUP(A162&amp;B162&amp;C162,盘货信息!$A:$A&amp;盘货信息!$B:$B&amp;盘货信息!$C:$C,盘货信息!$Q:$Q)&lt;1,"","【红包】活动时间购机送"&amp;_xlfn.TEXTJOIN("",,IF(ISNUMBER(--MID(_xlfn.XLOOKUP(A162&amp;B162&amp;C162,盘货信息!$A:$A&amp;盘货信息!$B:$B&amp;盘货信息!$C:$C,盘货信息!$Q:$Q),_xlfn.SEQUENCE(LEN(_xlfn.XLOOKUP(A162&amp;B162&amp;C162,盘货信息!$A:$A&amp;盘货信息!$B:$B&amp;盘货信息!$C:$C,盘货信息!$Q:$Q))),1)),MID(_xlfn.XLOOKUP(A162&amp;B162&amp;C162,盘货信息!$A:$A&amp;盘货信息!$B:$B&amp;盘货信息!$C:$C,盘货信息!$Q:$Q),_xlfn.SEQUENCE(LEN(_xlfn.XLOOKUP(A162&amp;B162&amp;C162,盘货信息!$A:$A&amp;盘货信息!$B:$B&amp;盘货信息!$C:$C,盘货信息!$Q:$Q))),1),""))&amp;"元")</f>
        <v/>
      </c>
      <c r="T162" s="18" t="str">
        <f t="array" ref="T162">IF(ISNUMBER(SEARCH("是",_xlfn.XLOOKUP(A162&amp;B162&amp;C162,盘货信息!$A:$A&amp;盘货信息!$B:$B&amp;盘货信息!$C:$C,盘货信息!$T:$T))),"【瓜分】"&amp;固定信息!$B$7,"")</f>
        <v/>
      </c>
      <c r="U162" s="18" t="str">
        <f>IF($C162="","",IF(AND(R162="",S162="",T162=""),"",固定信息!$B$1))</f>
        <v/>
      </c>
      <c r="V162" s="18" t="str">
        <f t="array" ref="V162">IF(C162="","","【服务】"&amp;IF(_xlfn.XLOOKUP(A162&amp;B162&amp;C162,盘货信息!$A:$A&amp;盘货信息!$B:$B&amp;盘货信息!$C:$C,盘货信息!$V:$V)="","",_xlfn.XLOOKUP(A162&amp;B162&amp;C162,盘货信息!$A:$A&amp;盘货信息!$B:$B&amp;盘货信息!$C:$C,盘货信息!$V:$V)&amp;"免息,")&amp;IF(_xlfn.XLOOKUP(A162&amp;B162&amp;C162,盘货信息!$A:$A&amp;盘货信息!$B:$B&amp;盘货信息!$C:$C,盘货信息!$W:$W)="","",_xlfn.XLOOKUP(A162&amp;B162&amp;C162,盘货信息!$A:$A&amp;盘货信息!$B:$B&amp;盘货信息!$C:$C,盘货信息!$W:$W)&amp;"，")&amp;"送货入户，退换免运费")</f>
        <v/>
      </c>
    </row>
    <row r="163" customHeight="1" spans="1:22">
      <c r="A163" s="17" t="str">
        <f>IF(盘货信息!A163="","",盘货信息!A163)</f>
        <v/>
      </c>
      <c r="B163" s="20" t="str">
        <f>IF(盘货信息!B163="","",盘货信息!B163)</f>
        <v/>
      </c>
      <c r="C163" s="18" t="str">
        <f>IF(盘货信息!C163="","",盘货信息!C163)</f>
        <v/>
      </c>
      <c r="D163" s="18" t="str">
        <f ca="1" t="shared" si="2"/>
        <v/>
      </c>
      <c r="E163" s="18" t="str">
        <f>IF(C163="","",固定信息!$B$2)</f>
        <v/>
      </c>
      <c r="F163" s="18" t="str">
        <f t="array" ref="F163">IF(C163="","","【"&amp;C163&amp;"】"&amp;_xlfn.XLOOKUP(A163&amp;B163&amp;C163,盘货信息!$A:$A&amp;盘货信息!$B:$B&amp;盘货信息!$C:$C,盘货信息!$D:$D))</f>
        <v/>
      </c>
      <c r="G163" s="18" t="str">
        <f>IF(C163="","","【"&amp;"活动时间："&amp;固定信息!$B$3&amp;"】")</f>
        <v/>
      </c>
      <c r="H163" s="18" t="str">
        <f>IF($C163="","",固定信息!$B$1)</f>
        <v/>
      </c>
      <c r="I163" s="18"/>
      <c r="J163" s="18" t="str">
        <f t="array" ref="J163">_xlfn.XLOOKUP(A163&amp;B163&amp;C163,价格信息!$A:$A&amp;价格信息!$B:$B&amp;价格信息!$C:$C,价格信息!$D:$D)</f>
        <v/>
      </c>
      <c r="K163" s="31" t="str">
        <f t="array" ref="K163">IF(_xlfn.XLOOKUP(A163&amp;B163&amp;C163,价格信息!$A:$A&amp;价格信息!$B:$B&amp;价格信息!$C:$C,价格信息!$I:$I)="","","【优惠券链接】"&amp;固定信息!$B$6)</f>
        <v/>
      </c>
      <c r="L163" s="31" t="str">
        <f>IF($C163="","",固定信息!$B$1)</f>
        <v/>
      </c>
      <c r="M163" s="18" t="str">
        <f t="array" ref="M163">IF(_xlfn.XLOOKUP(A163&amp;B163&amp;C163,盘货信息!$A:$A&amp;盘货信息!$B:$B&amp;盘货信息!$C:$C,盘货信息!$O:$O)="","","【优惠券】领"&amp;INDEX(_wpsfn.REGEXP(_xlfn.XLOOKUP(A163&amp;B163&amp;C163,盘货信息!$A:$A&amp;盘货信息!$B:$B&amp;盘货信息!$C:$C,盘货信息!$O:$O),"\d+"),1,1)&amp;"元优惠券下单更优惠，优惠卷："&amp;_xlfn.XLOOKUP(A163&amp;B163&amp;C163,盘货信息!$A:$A&amp;盘货信息!$B:$B&amp;盘货信息!$C:$C,盘货信息!$P:$P))</f>
        <v/>
      </c>
      <c r="N163" s="18" t="str">
        <f t="array" ref="N163">IF(AND(ISNUMBER(_xlfn.XLOOKUP(A163&amp;B163&amp;C163,盘货信息!$A:$A&amp;盘货信息!$B:$B&amp;盘货信息!$C:$C,盘货信息!$I:$I)),_xlfn.XLOOKUP(A163&amp;B163&amp;C163,盘货信息!$A:$A&amp;盘货信息!$B:$B&amp;盘货信息!$C:$C,盘货信息!$I:$I)&gt;1),"【88VIP】立减"&amp;_xlfn.XLOOKUP(A163&amp;B163&amp;C163,盘货信息!$A:$A&amp;盘货信息!$B:$B&amp;盘货信息!$C:$C,盘货信息!$I:$I)&amp;"元","")</f>
        <v/>
      </c>
      <c r="O163" s="18" t="str">
        <f t="array" ref="O163">IF(_xlfn.XLOOKUP(A163&amp;B163&amp;C163,盘货信息!$A:$A&amp;盘货信息!$B:$B&amp;盘货信息!$C:$C,盘货信息!$K:$K)="","",IF(AND(_xlfn.XLOOKUP(A163&amp;B163&amp;C163,盘货信息!$A:$A&amp;盘货信息!$B:$B&amp;盘货信息!$C:$C,盘货信息!$G:$G)="不参加",_xlfn.XLOOKUP(A163&amp;B163&amp;C163,盘货信息!$A:$A&amp;盘货信息!$B:$B&amp;盘货信息!$C:$C,盘货信息!$H:$H)=""),"【以旧换新】"&amp;_xlfn.XLOOKUP(A163&amp;B163&amp;C163,盘货信息!$A:$A&amp;盘货信息!$B:$B&amp;盘货信息!$C:$C,盘货信息!$K:$K)&amp;"元以旧换新补贴（可无旧机换新）",""))</f>
        <v/>
      </c>
      <c r="P163" s="18" t="str">
        <f t="array" ref="P163">_xlfn.XLOOKUP(A163&amp;B163&amp;C163,赠品!$A:$A&amp;赠品!$B:$B&amp;赠品!$C:$C,赠品!$D:$D)</f>
        <v/>
      </c>
      <c r="Q163" s="18" t="str">
        <f>IF($C163="","",IF(AND(M163="",N163="",P163=""),"",固定信息!$B$1))</f>
        <v/>
      </c>
      <c r="R163" s="18" t="str">
        <f t="array" ref="R163">IF(ISNUMBER(SEARCH("是",_xlfn.XLOOKUP(A163&amp;B163&amp;C163,盘货信息!$A:$A&amp;盘货信息!$B:$B&amp;盘货信息!$C:$C,盘货信息!$U:$U))),"【折扣】指定型号满2类享96折，满3类享94折","")</f>
        <v/>
      </c>
      <c r="S163" s="18" t="str">
        <f t="array" ref="S163">IF(_xlfn.XLOOKUP(A163&amp;B163&amp;C163,盘货信息!$A:$A&amp;盘货信息!$B:$B&amp;盘货信息!$C:$C,盘货信息!$Q:$Q)&lt;1,"","【红包】活动时间购机送"&amp;_xlfn.TEXTJOIN("",,IF(ISNUMBER(--MID(_xlfn.XLOOKUP(A163&amp;B163&amp;C163,盘货信息!$A:$A&amp;盘货信息!$B:$B&amp;盘货信息!$C:$C,盘货信息!$Q:$Q),_xlfn.SEQUENCE(LEN(_xlfn.XLOOKUP(A163&amp;B163&amp;C163,盘货信息!$A:$A&amp;盘货信息!$B:$B&amp;盘货信息!$C:$C,盘货信息!$Q:$Q))),1)),MID(_xlfn.XLOOKUP(A163&amp;B163&amp;C163,盘货信息!$A:$A&amp;盘货信息!$B:$B&amp;盘货信息!$C:$C,盘货信息!$Q:$Q),_xlfn.SEQUENCE(LEN(_xlfn.XLOOKUP(A163&amp;B163&amp;C163,盘货信息!$A:$A&amp;盘货信息!$B:$B&amp;盘货信息!$C:$C,盘货信息!$Q:$Q))),1),""))&amp;"元")</f>
        <v/>
      </c>
      <c r="T163" s="18" t="str">
        <f t="array" ref="T163">IF(ISNUMBER(SEARCH("是",_xlfn.XLOOKUP(A163&amp;B163&amp;C163,盘货信息!$A:$A&amp;盘货信息!$B:$B&amp;盘货信息!$C:$C,盘货信息!$T:$T))),"【瓜分】"&amp;固定信息!$B$7,"")</f>
        <v/>
      </c>
      <c r="U163" s="18" t="str">
        <f>IF($C163="","",IF(AND(R163="",S163="",T163=""),"",固定信息!$B$1))</f>
        <v/>
      </c>
      <c r="V163" s="18" t="str">
        <f t="array" ref="V163">IF(C163="","","【服务】"&amp;IF(_xlfn.XLOOKUP(A163&amp;B163&amp;C163,盘货信息!$A:$A&amp;盘货信息!$B:$B&amp;盘货信息!$C:$C,盘货信息!$V:$V)="","",_xlfn.XLOOKUP(A163&amp;B163&amp;C163,盘货信息!$A:$A&amp;盘货信息!$B:$B&amp;盘货信息!$C:$C,盘货信息!$V:$V)&amp;"免息,")&amp;IF(_xlfn.XLOOKUP(A163&amp;B163&amp;C163,盘货信息!$A:$A&amp;盘货信息!$B:$B&amp;盘货信息!$C:$C,盘货信息!$W:$W)="","",_xlfn.XLOOKUP(A163&amp;B163&amp;C163,盘货信息!$A:$A&amp;盘货信息!$B:$B&amp;盘货信息!$C:$C,盘货信息!$W:$W)&amp;"，")&amp;"送货入户，退换免运费")</f>
        <v/>
      </c>
    </row>
    <row r="164" customHeight="1" spans="1:22">
      <c r="A164" s="17" t="str">
        <f>IF(盘货信息!A164="","",盘货信息!A164)</f>
        <v/>
      </c>
      <c r="B164" s="20" t="str">
        <f>IF(盘货信息!B164="","",盘货信息!B164)</f>
        <v/>
      </c>
      <c r="C164" s="18" t="str">
        <f>IF(盘货信息!C164="","",盘货信息!C164)</f>
        <v/>
      </c>
      <c r="D164" s="18" t="str">
        <f ca="1" t="shared" si="2"/>
        <v/>
      </c>
      <c r="E164" s="18" t="str">
        <f>IF(C164="","",固定信息!$B$2)</f>
        <v/>
      </c>
      <c r="F164" s="18" t="str">
        <f t="array" ref="F164">IF(C164="","","【"&amp;C164&amp;"】"&amp;_xlfn.XLOOKUP(A164&amp;B164&amp;C164,盘货信息!$A:$A&amp;盘货信息!$B:$B&amp;盘货信息!$C:$C,盘货信息!$D:$D))</f>
        <v/>
      </c>
      <c r="G164" s="18" t="str">
        <f>IF(C164="","","【"&amp;"活动时间："&amp;固定信息!$B$3&amp;"】")</f>
        <v/>
      </c>
      <c r="H164" s="18" t="str">
        <f>IF($C164="","",固定信息!$B$1)</f>
        <v/>
      </c>
      <c r="I164" s="18"/>
      <c r="J164" s="18" t="str">
        <f t="array" ref="J164">_xlfn.XLOOKUP(A164&amp;B164&amp;C164,价格信息!$A:$A&amp;价格信息!$B:$B&amp;价格信息!$C:$C,价格信息!$D:$D)</f>
        <v/>
      </c>
      <c r="K164" s="31" t="str">
        <f t="array" ref="K164">IF(_xlfn.XLOOKUP(A164&amp;B164&amp;C164,价格信息!$A:$A&amp;价格信息!$B:$B&amp;价格信息!$C:$C,价格信息!$I:$I)="","","【优惠券链接】"&amp;固定信息!$B$6)</f>
        <v/>
      </c>
      <c r="L164" s="31" t="str">
        <f>IF($C164="","",固定信息!$B$1)</f>
        <v/>
      </c>
      <c r="M164" s="18" t="str">
        <f t="array" ref="M164">IF(_xlfn.XLOOKUP(A164&amp;B164&amp;C164,盘货信息!$A:$A&amp;盘货信息!$B:$B&amp;盘货信息!$C:$C,盘货信息!$O:$O)="","","【优惠券】领"&amp;INDEX(_wpsfn.REGEXP(_xlfn.XLOOKUP(A164&amp;B164&amp;C164,盘货信息!$A:$A&amp;盘货信息!$B:$B&amp;盘货信息!$C:$C,盘货信息!$O:$O),"\d+"),1,1)&amp;"元优惠券下单更优惠，优惠卷："&amp;_xlfn.XLOOKUP(A164&amp;B164&amp;C164,盘货信息!$A:$A&amp;盘货信息!$B:$B&amp;盘货信息!$C:$C,盘货信息!$P:$P))</f>
        <v/>
      </c>
      <c r="N164" s="18" t="str">
        <f t="array" ref="N164">IF(AND(ISNUMBER(_xlfn.XLOOKUP(A164&amp;B164&amp;C164,盘货信息!$A:$A&amp;盘货信息!$B:$B&amp;盘货信息!$C:$C,盘货信息!$I:$I)),_xlfn.XLOOKUP(A164&amp;B164&amp;C164,盘货信息!$A:$A&amp;盘货信息!$B:$B&amp;盘货信息!$C:$C,盘货信息!$I:$I)&gt;1),"【88VIP】立减"&amp;_xlfn.XLOOKUP(A164&amp;B164&amp;C164,盘货信息!$A:$A&amp;盘货信息!$B:$B&amp;盘货信息!$C:$C,盘货信息!$I:$I)&amp;"元","")</f>
        <v/>
      </c>
      <c r="O164" s="18" t="str">
        <f t="array" ref="O164">IF(_xlfn.XLOOKUP(A164&amp;B164&amp;C164,盘货信息!$A:$A&amp;盘货信息!$B:$B&amp;盘货信息!$C:$C,盘货信息!$K:$K)="","",IF(AND(_xlfn.XLOOKUP(A164&amp;B164&amp;C164,盘货信息!$A:$A&amp;盘货信息!$B:$B&amp;盘货信息!$C:$C,盘货信息!$G:$G)="不参加",_xlfn.XLOOKUP(A164&amp;B164&amp;C164,盘货信息!$A:$A&amp;盘货信息!$B:$B&amp;盘货信息!$C:$C,盘货信息!$H:$H)=""),"【以旧换新】"&amp;_xlfn.XLOOKUP(A164&amp;B164&amp;C164,盘货信息!$A:$A&amp;盘货信息!$B:$B&amp;盘货信息!$C:$C,盘货信息!$K:$K)&amp;"元以旧换新补贴（可无旧机换新）",""))</f>
        <v/>
      </c>
      <c r="P164" s="18" t="str">
        <f t="array" ref="P164">_xlfn.XLOOKUP(A164&amp;B164&amp;C164,赠品!$A:$A&amp;赠品!$B:$B&amp;赠品!$C:$C,赠品!$D:$D)</f>
        <v/>
      </c>
      <c r="Q164" s="18" t="str">
        <f>IF($C164="","",IF(AND(M164="",N164="",P164=""),"",固定信息!$B$1))</f>
        <v/>
      </c>
      <c r="R164" s="18" t="str">
        <f t="array" ref="R164">IF(ISNUMBER(SEARCH("是",_xlfn.XLOOKUP(A164&amp;B164&amp;C164,盘货信息!$A:$A&amp;盘货信息!$B:$B&amp;盘货信息!$C:$C,盘货信息!$U:$U))),"【折扣】指定型号满2类享96折，满3类享94折","")</f>
        <v/>
      </c>
      <c r="S164" s="18" t="str">
        <f t="array" ref="S164">IF(_xlfn.XLOOKUP(A164&amp;B164&amp;C164,盘货信息!$A:$A&amp;盘货信息!$B:$B&amp;盘货信息!$C:$C,盘货信息!$Q:$Q)&lt;1,"","【红包】活动时间购机送"&amp;_xlfn.TEXTJOIN("",,IF(ISNUMBER(--MID(_xlfn.XLOOKUP(A164&amp;B164&amp;C164,盘货信息!$A:$A&amp;盘货信息!$B:$B&amp;盘货信息!$C:$C,盘货信息!$Q:$Q),_xlfn.SEQUENCE(LEN(_xlfn.XLOOKUP(A164&amp;B164&amp;C164,盘货信息!$A:$A&amp;盘货信息!$B:$B&amp;盘货信息!$C:$C,盘货信息!$Q:$Q))),1)),MID(_xlfn.XLOOKUP(A164&amp;B164&amp;C164,盘货信息!$A:$A&amp;盘货信息!$B:$B&amp;盘货信息!$C:$C,盘货信息!$Q:$Q),_xlfn.SEQUENCE(LEN(_xlfn.XLOOKUP(A164&amp;B164&amp;C164,盘货信息!$A:$A&amp;盘货信息!$B:$B&amp;盘货信息!$C:$C,盘货信息!$Q:$Q))),1),""))&amp;"元")</f>
        <v/>
      </c>
      <c r="T164" s="18" t="str">
        <f t="array" ref="T164">IF(ISNUMBER(SEARCH("是",_xlfn.XLOOKUP(A164&amp;B164&amp;C164,盘货信息!$A:$A&amp;盘货信息!$B:$B&amp;盘货信息!$C:$C,盘货信息!$T:$T))),"【瓜分】"&amp;固定信息!$B$7,"")</f>
        <v/>
      </c>
      <c r="U164" s="18" t="str">
        <f>IF($C164="","",IF(AND(R164="",S164="",T164=""),"",固定信息!$B$1))</f>
        <v/>
      </c>
      <c r="V164" s="18" t="str">
        <f t="array" ref="V164">IF(C164="","","【服务】"&amp;IF(_xlfn.XLOOKUP(A164&amp;B164&amp;C164,盘货信息!$A:$A&amp;盘货信息!$B:$B&amp;盘货信息!$C:$C,盘货信息!$V:$V)="","",_xlfn.XLOOKUP(A164&amp;B164&amp;C164,盘货信息!$A:$A&amp;盘货信息!$B:$B&amp;盘货信息!$C:$C,盘货信息!$V:$V)&amp;"免息,")&amp;IF(_xlfn.XLOOKUP(A164&amp;B164&amp;C164,盘货信息!$A:$A&amp;盘货信息!$B:$B&amp;盘货信息!$C:$C,盘货信息!$W:$W)="","",_xlfn.XLOOKUP(A164&amp;B164&amp;C164,盘货信息!$A:$A&amp;盘货信息!$B:$B&amp;盘货信息!$C:$C,盘货信息!$W:$W)&amp;"，")&amp;"送货入户，退换免运费")</f>
        <v/>
      </c>
    </row>
    <row r="165" customHeight="1" spans="1:22">
      <c r="A165" s="17" t="str">
        <f>IF(盘货信息!A165="","",盘货信息!A165)</f>
        <v/>
      </c>
      <c r="B165" s="20" t="str">
        <f>IF(盘货信息!B165="","",盘货信息!B165)</f>
        <v/>
      </c>
      <c r="C165" s="18" t="str">
        <f>IF(盘货信息!C165="","",盘货信息!C165)</f>
        <v/>
      </c>
      <c r="D165" s="18" t="str">
        <f ca="1" t="shared" si="2"/>
        <v/>
      </c>
      <c r="E165" s="18" t="str">
        <f>IF(C165="","",固定信息!$B$2)</f>
        <v/>
      </c>
      <c r="F165" s="18" t="str">
        <f t="array" ref="F165">IF(C165="","","【"&amp;C165&amp;"】"&amp;_xlfn.XLOOKUP(A165&amp;B165&amp;C165,盘货信息!$A:$A&amp;盘货信息!$B:$B&amp;盘货信息!$C:$C,盘货信息!$D:$D))</f>
        <v/>
      </c>
      <c r="G165" s="18" t="str">
        <f>IF(C165="","","【"&amp;"活动时间："&amp;固定信息!$B$3&amp;"】")</f>
        <v/>
      </c>
      <c r="H165" s="18" t="str">
        <f>IF($C165="","",固定信息!$B$1)</f>
        <v/>
      </c>
      <c r="I165" s="18"/>
      <c r="J165" s="18" t="str">
        <f t="array" ref="J165">_xlfn.XLOOKUP(A165&amp;B165&amp;C165,价格信息!$A:$A&amp;价格信息!$B:$B&amp;价格信息!$C:$C,价格信息!$D:$D)</f>
        <v/>
      </c>
      <c r="K165" s="31" t="str">
        <f t="array" ref="K165">IF(_xlfn.XLOOKUP(A165&amp;B165&amp;C165,价格信息!$A:$A&amp;价格信息!$B:$B&amp;价格信息!$C:$C,价格信息!$I:$I)="","","【优惠券链接】"&amp;固定信息!$B$6)</f>
        <v/>
      </c>
      <c r="L165" s="31" t="str">
        <f>IF($C165="","",固定信息!$B$1)</f>
        <v/>
      </c>
      <c r="M165" s="18" t="str">
        <f t="array" ref="M165">IF(_xlfn.XLOOKUP(A165&amp;B165&amp;C165,盘货信息!$A:$A&amp;盘货信息!$B:$B&amp;盘货信息!$C:$C,盘货信息!$O:$O)="","","【优惠券】领"&amp;INDEX(_wpsfn.REGEXP(_xlfn.XLOOKUP(A165&amp;B165&amp;C165,盘货信息!$A:$A&amp;盘货信息!$B:$B&amp;盘货信息!$C:$C,盘货信息!$O:$O),"\d+"),1,1)&amp;"元优惠券下单更优惠，优惠卷："&amp;_xlfn.XLOOKUP(A165&amp;B165&amp;C165,盘货信息!$A:$A&amp;盘货信息!$B:$B&amp;盘货信息!$C:$C,盘货信息!$P:$P))</f>
        <v/>
      </c>
      <c r="N165" s="18" t="str">
        <f t="array" ref="N165">IF(AND(ISNUMBER(_xlfn.XLOOKUP(A165&amp;B165&amp;C165,盘货信息!$A:$A&amp;盘货信息!$B:$B&amp;盘货信息!$C:$C,盘货信息!$I:$I)),_xlfn.XLOOKUP(A165&amp;B165&amp;C165,盘货信息!$A:$A&amp;盘货信息!$B:$B&amp;盘货信息!$C:$C,盘货信息!$I:$I)&gt;1),"【88VIP】立减"&amp;_xlfn.XLOOKUP(A165&amp;B165&amp;C165,盘货信息!$A:$A&amp;盘货信息!$B:$B&amp;盘货信息!$C:$C,盘货信息!$I:$I)&amp;"元","")</f>
        <v/>
      </c>
      <c r="O165" s="18" t="str">
        <f t="array" ref="O165">IF(_xlfn.XLOOKUP(A165&amp;B165&amp;C165,盘货信息!$A:$A&amp;盘货信息!$B:$B&amp;盘货信息!$C:$C,盘货信息!$K:$K)="","",IF(AND(_xlfn.XLOOKUP(A165&amp;B165&amp;C165,盘货信息!$A:$A&amp;盘货信息!$B:$B&amp;盘货信息!$C:$C,盘货信息!$G:$G)="不参加",_xlfn.XLOOKUP(A165&amp;B165&amp;C165,盘货信息!$A:$A&amp;盘货信息!$B:$B&amp;盘货信息!$C:$C,盘货信息!$H:$H)=""),"【以旧换新】"&amp;_xlfn.XLOOKUP(A165&amp;B165&amp;C165,盘货信息!$A:$A&amp;盘货信息!$B:$B&amp;盘货信息!$C:$C,盘货信息!$K:$K)&amp;"元以旧换新补贴（可无旧机换新）",""))</f>
        <v/>
      </c>
      <c r="P165" s="18" t="str">
        <f t="array" ref="P165">_xlfn.XLOOKUP(A165&amp;B165&amp;C165,赠品!$A:$A&amp;赠品!$B:$B&amp;赠品!$C:$C,赠品!$D:$D)</f>
        <v/>
      </c>
      <c r="Q165" s="18" t="str">
        <f>IF($C165="","",IF(AND(M165="",N165="",P165=""),"",固定信息!$B$1))</f>
        <v/>
      </c>
      <c r="R165" s="18" t="str">
        <f t="array" ref="R165">IF(ISNUMBER(SEARCH("是",_xlfn.XLOOKUP(A165&amp;B165&amp;C165,盘货信息!$A:$A&amp;盘货信息!$B:$B&amp;盘货信息!$C:$C,盘货信息!$U:$U))),"【折扣】指定型号满2类享96折，满3类享94折","")</f>
        <v/>
      </c>
      <c r="S165" s="18" t="str">
        <f t="array" ref="S165">IF(_xlfn.XLOOKUP(A165&amp;B165&amp;C165,盘货信息!$A:$A&amp;盘货信息!$B:$B&amp;盘货信息!$C:$C,盘货信息!$Q:$Q)&lt;1,"","【红包】活动时间购机送"&amp;_xlfn.TEXTJOIN("",,IF(ISNUMBER(--MID(_xlfn.XLOOKUP(A165&amp;B165&amp;C165,盘货信息!$A:$A&amp;盘货信息!$B:$B&amp;盘货信息!$C:$C,盘货信息!$Q:$Q),_xlfn.SEQUENCE(LEN(_xlfn.XLOOKUP(A165&amp;B165&amp;C165,盘货信息!$A:$A&amp;盘货信息!$B:$B&amp;盘货信息!$C:$C,盘货信息!$Q:$Q))),1)),MID(_xlfn.XLOOKUP(A165&amp;B165&amp;C165,盘货信息!$A:$A&amp;盘货信息!$B:$B&amp;盘货信息!$C:$C,盘货信息!$Q:$Q),_xlfn.SEQUENCE(LEN(_xlfn.XLOOKUP(A165&amp;B165&amp;C165,盘货信息!$A:$A&amp;盘货信息!$B:$B&amp;盘货信息!$C:$C,盘货信息!$Q:$Q))),1),""))&amp;"元")</f>
        <v/>
      </c>
      <c r="T165" s="18" t="str">
        <f t="array" ref="T165">IF(ISNUMBER(SEARCH("是",_xlfn.XLOOKUP(A165&amp;B165&amp;C165,盘货信息!$A:$A&amp;盘货信息!$B:$B&amp;盘货信息!$C:$C,盘货信息!$T:$T))),"【瓜分】"&amp;固定信息!$B$7,"")</f>
        <v/>
      </c>
      <c r="U165" s="18" t="str">
        <f>IF($C165="","",IF(AND(R165="",S165="",T165=""),"",固定信息!$B$1))</f>
        <v/>
      </c>
      <c r="V165" s="18" t="str">
        <f t="array" ref="V165">IF(C165="","","【服务】"&amp;IF(_xlfn.XLOOKUP(A165&amp;B165&amp;C165,盘货信息!$A:$A&amp;盘货信息!$B:$B&amp;盘货信息!$C:$C,盘货信息!$V:$V)="","",_xlfn.XLOOKUP(A165&amp;B165&amp;C165,盘货信息!$A:$A&amp;盘货信息!$B:$B&amp;盘货信息!$C:$C,盘货信息!$V:$V)&amp;"免息,")&amp;IF(_xlfn.XLOOKUP(A165&amp;B165&amp;C165,盘货信息!$A:$A&amp;盘货信息!$B:$B&amp;盘货信息!$C:$C,盘货信息!$W:$W)="","",_xlfn.XLOOKUP(A165&amp;B165&amp;C165,盘货信息!$A:$A&amp;盘货信息!$B:$B&amp;盘货信息!$C:$C,盘货信息!$W:$W)&amp;"，")&amp;"送货入户，退换免运费")</f>
        <v/>
      </c>
    </row>
    <row r="166" customHeight="1" spans="1:22">
      <c r="A166" s="17" t="str">
        <f>IF(盘货信息!A166="","",盘货信息!A166)</f>
        <v/>
      </c>
      <c r="B166" s="20" t="str">
        <f>IF(盘货信息!B166="","",盘货信息!B166)</f>
        <v/>
      </c>
      <c r="C166" s="18" t="str">
        <f>IF(盘货信息!C166="","",盘货信息!C166)</f>
        <v/>
      </c>
      <c r="D166" s="18" t="str">
        <f ca="1" t="shared" si="2"/>
        <v/>
      </c>
      <c r="E166" s="18" t="str">
        <f>IF(C166="","",固定信息!$B$2)</f>
        <v/>
      </c>
      <c r="F166" s="18" t="str">
        <f t="array" ref="F166">IF(C166="","","【"&amp;C166&amp;"】"&amp;_xlfn.XLOOKUP(A166&amp;B166&amp;C166,盘货信息!$A:$A&amp;盘货信息!$B:$B&amp;盘货信息!$C:$C,盘货信息!$D:$D))</f>
        <v/>
      </c>
      <c r="G166" s="18" t="str">
        <f>IF(C166="","","【"&amp;"活动时间："&amp;固定信息!$B$3&amp;"】")</f>
        <v/>
      </c>
      <c r="H166" s="18" t="str">
        <f>IF($C166="","",固定信息!$B$1)</f>
        <v/>
      </c>
      <c r="I166" s="18"/>
      <c r="J166" s="18" t="str">
        <f t="array" ref="J166">_xlfn.XLOOKUP(A166&amp;B166&amp;C166,价格信息!$A:$A&amp;价格信息!$B:$B&amp;价格信息!$C:$C,价格信息!$D:$D)</f>
        <v/>
      </c>
      <c r="K166" s="31" t="str">
        <f t="array" ref="K166">IF(_xlfn.XLOOKUP(A166&amp;B166&amp;C166,价格信息!$A:$A&amp;价格信息!$B:$B&amp;价格信息!$C:$C,价格信息!$I:$I)="","","【优惠券链接】"&amp;固定信息!$B$6)</f>
        <v/>
      </c>
      <c r="L166" s="31" t="str">
        <f>IF($C166="","",固定信息!$B$1)</f>
        <v/>
      </c>
      <c r="M166" s="18" t="str">
        <f t="array" ref="M166">IF(_xlfn.XLOOKUP(A166&amp;B166&amp;C166,盘货信息!$A:$A&amp;盘货信息!$B:$B&amp;盘货信息!$C:$C,盘货信息!$O:$O)="","","【优惠券】领"&amp;INDEX(_wpsfn.REGEXP(_xlfn.XLOOKUP(A166&amp;B166&amp;C166,盘货信息!$A:$A&amp;盘货信息!$B:$B&amp;盘货信息!$C:$C,盘货信息!$O:$O),"\d+"),1,1)&amp;"元优惠券下单更优惠，优惠卷："&amp;_xlfn.XLOOKUP(A166&amp;B166&amp;C166,盘货信息!$A:$A&amp;盘货信息!$B:$B&amp;盘货信息!$C:$C,盘货信息!$P:$P))</f>
        <v/>
      </c>
      <c r="N166" s="18" t="str">
        <f t="array" ref="N166">IF(AND(ISNUMBER(_xlfn.XLOOKUP(A166&amp;B166&amp;C166,盘货信息!$A:$A&amp;盘货信息!$B:$B&amp;盘货信息!$C:$C,盘货信息!$I:$I)),_xlfn.XLOOKUP(A166&amp;B166&amp;C166,盘货信息!$A:$A&amp;盘货信息!$B:$B&amp;盘货信息!$C:$C,盘货信息!$I:$I)&gt;1),"【88VIP】立减"&amp;_xlfn.XLOOKUP(A166&amp;B166&amp;C166,盘货信息!$A:$A&amp;盘货信息!$B:$B&amp;盘货信息!$C:$C,盘货信息!$I:$I)&amp;"元","")</f>
        <v/>
      </c>
      <c r="O166" s="18" t="str">
        <f t="array" ref="O166">IF(_xlfn.XLOOKUP(A166&amp;B166&amp;C166,盘货信息!$A:$A&amp;盘货信息!$B:$B&amp;盘货信息!$C:$C,盘货信息!$K:$K)="","",IF(AND(_xlfn.XLOOKUP(A166&amp;B166&amp;C166,盘货信息!$A:$A&amp;盘货信息!$B:$B&amp;盘货信息!$C:$C,盘货信息!$G:$G)="不参加",_xlfn.XLOOKUP(A166&amp;B166&amp;C166,盘货信息!$A:$A&amp;盘货信息!$B:$B&amp;盘货信息!$C:$C,盘货信息!$H:$H)=""),"【以旧换新】"&amp;_xlfn.XLOOKUP(A166&amp;B166&amp;C166,盘货信息!$A:$A&amp;盘货信息!$B:$B&amp;盘货信息!$C:$C,盘货信息!$K:$K)&amp;"元以旧换新补贴（可无旧机换新）",""))</f>
        <v/>
      </c>
      <c r="P166" s="18" t="str">
        <f t="array" ref="P166">_xlfn.XLOOKUP(A166&amp;B166&amp;C166,赠品!$A:$A&amp;赠品!$B:$B&amp;赠品!$C:$C,赠品!$D:$D)</f>
        <v/>
      </c>
      <c r="Q166" s="18" t="str">
        <f>IF($C166="","",IF(AND(M166="",N166="",P166=""),"",固定信息!$B$1))</f>
        <v/>
      </c>
      <c r="R166" s="18" t="str">
        <f t="array" ref="R166">IF(ISNUMBER(SEARCH("是",_xlfn.XLOOKUP(A166&amp;B166&amp;C166,盘货信息!$A:$A&amp;盘货信息!$B:$B&amp;盘货信息!$C:$C,盘货信息!$U:$U))),"【折扣】指定型号满2类享96折，满3类享94折","")</f>
        <v/>
      </c>
      <c r="S166" s="18" t="str">
        <f t="array" ref="S166">IF(_xlfn.XLOOKUP(A166&amp;B166&amp;C166,盘货信息!$A:$A&amp;盘货信息!$B:$B&amp;盘货信息!$C:$C,盘货信息!$Q:$Q)&lt;1,"","【红包】活动时间购机送"&amp;_xlfn.TEXTJOIN("",,IF(ISNUMBER(--MID(_xlfn.XLOOKUP(A166&amp;B166&amp;C166,盘货信息!$A:$A&amp;盘货信息!$B:$B&amp;盘货信息!$C:$C,盘货信息!$Q:$Q),_xlfn.SEQUENCE(LEN(_xlfn.XLOOKUP(A166&amp;B166&amp;C166,盘货信息!$A:$A&amp;盘货信息!$B:$B&amp;盘货信息!$C:$C,盘货信息!$Q:$Q))),1)),MID(_xlfn.XLOOKUP(A166&amp;B166&amp;C166,盘货信息!$A:$A&amp;盘货信息!$B:$B&amp;盘货信息!$C:$C,盘货信息!$Q:$Q),_xlfn.SEQUENCE(LEN(_xlfn.XLOOKUP(A166&amp;B166&amp;C166,盘货信息!$A:$A&amp;盘货信息!$B:$B&amp;盘货信息!$C:$C,盘货信息!$Q:$Q))),1),""))&amp;"元")</f>
        <v/>
      </c>
      <c r="T166" s="18" t="str">
        <f t="array" ref="T166">IF(ISNUMBER(SEARCH("是",_xlfn.XLOOKUP(A166&amp;B166&amp;C166,盘货信息!$A:$A&amp;盘货信息!$B:$B&amp;盘货信息!$C:$C,盘货信息!$T:$T))),"【瓜分】"&amp;固定信息!$B$7,"")</f>
        <v/>
      </c>
      <c r="U166" s="18" t="str">
        <f>IF($C166="","",IF(AND(R166="",S166="",T166=""),"",固定信息!$B$1))</f>
        <v/>
      </c>
      <c r="V166" s="18" t="str">
        <f t="array" ref="V166">IF(C166="","","【服务】"&amp;IF(_xlfn.XLOOKUP(A166&amp;B166&amp;C166,盘货信息!$A:$A&amp;盘货信息!$B:$B&amp;盘货信息!$C:$C,盘货信息!$V:$V)="","",_xlfn.XLOOKUP(A166&amp;B166&amp;C166,盘货信息!$A:$A&amp;盘货信息!$B:$B&amp;盘货信息!$C:$C,盘货信息!$V:$V)&amp;"免息,")&amp;IF(_xlfn.XLOOKUP(A166&amp;B166&amp;C166,盘货信息!$A:$A&amp;盘货信息!$B:$B&amp;盘货信息!$C:$C,盘货信息!$W:$W)="","",_xlfn.XLOOKUP(A166&amp;B166&amp;C166,盘货信息!$A:$A&amp;盘货信息!$B:$B&amp;盘货信息!$C:$C,盘货信息!$W:$W)&amp;"，")&amp;"送货入户，退换免运费")</f>
        <v/>
      </c>
    </row>
    <row r="167" customHeight="1" spans="1:22">
      <c r="A167" s="17" t="str">
        <f>IF(盘货信息!A167="","",盘货信息!A167)</f>
        <v/>
      </c>
      <c r="B167" s="20" t="str">
        <f>IF(盘货信息!B167="","",盘货信息!B167)</f>
        <v/>
      </c>
      <c r="C167" s="18" t="str">
        <f>IF(盘货信息!C167="","",盘货信息!C167)</f>
        <v/>
      </c>
      <c r="D167" s="18" t="str">
        <f ca="1" t="shared" si="2"/>
        <v/>
      </c>
      <c r="E167" s="18" t="str">
        <f>IF(C167="","",固定信息!$B$2)</f>
        <v/>
      </c>
      <c r="F167" s="18" t="str">
        <f t="array" ref="F167">IF(C167="","","【"&amp;C167&amp;"】"&amp;_xlfn.XLOOKUP(A167&amp;B167&amp;C167,盘货信息!$A:$A&amp;盘货信息!$B:$B&amp;盘货信息!$C:$C,盘货信息!$D:$D))</f>
        <v/>
      </c>
      <c r="G167" s="18" t="str">
        <f>IF(C167="","","【"&amp;"活动时间："&amp;固定信息!$B$3&amp;"】")</f>
        <v/>
      </c>
      <c r="H167" s="18" t="str">
        <f>IF($C167="","",固定信息!$B$1)</f>
        <v/>
      </c>
      <c r="I167" s="18"/>
      <c r="J167" s="18" t="str">
        <f t="array" ref="J167">_xlfn.XLOOKUP(A167&amp;B167&amp;C167,价格信息!$A:$A&amp;价格信息!$B:$B&amp;价格信息!$C:$C,价格信息!$D:$D)</f>
        <v/>
      </c>
      <c r="K167" s="31" t="str">
        <f t="array" ref="K167">IF(_xlfn.XLOOKUP(A167&amp;B167&amp;C167,价格信息!$A:$A&amp;价格信息!$B:$B&amp;价格信息!$C:$C,价格信息!$I:$I)="","","【优惠券链接】"&amp;固定信息!$B$6)</f>
        <v/>
      </c>
      <c r="L167" s="31" t="str">
        <f>IF($C167="","",固定信息!$B$1)</f>
        <v/>
      </c>
      <c r="M167" s="18" t="str">
        <f t="array" ref="M167">IF(_xlfn.XLOOKUP(A167&amp;B167&amp;C167,盘货信息!$A:$A&amp;盘货信息!$B:$B&amp;盘货信息!$C:$C,盘货信息!$O:$O)="","","【优惠券】领"&amp;INDEX(_wpsfn.REGEXP(_xlfn.XLOOKUP(A167&amp;B167&amp;C167,盘货信息!$A:$A&amp;盘货信息!$B:$B&amp;盘货信息!$C:$C,盘货信息!$O:$O),"\d+"),1,1)&amp;"元优惠券下单更优惠，优惠卷："&amp;_xlfn.XLOOKUP(A167&amp;B167&amp;C167,盘货信息!$A:$A&amp;盘货信息!$B:$B&amp;盘货信息!$C:$C,盘货信息!$P:$P))</f>
        <v/>
      </c>
      <c r="N167" s="18" t="str">
        <f t="array" ref="N167">IF(AND(ISNUMBER(_xlfn.XLOOKUP(A167&amp;B167&amp;C167,盘货信息!$A:$A&amp;盘货信息!$B:$B&amp;盘货信息!$C:$C,盘货信息!$I:$I)),_xlfn.XLOOKUP(A167&amp;B167&amp;C167,盘货信息!$A:$A&amp;盘货信息!$B:$B&amp;盘货信息!$C:$C,盘货信息!$I:$I)&gt;1),"【88VIP】立减"&amp;_xlfn.XLOOKUP(A167&amp;B167&amp;C167,盘货信息!$A:$A&amp;盘货信息!$B:$B&amp;盘货信息!$C:$C,盘货信息!$I:$I)&amp;"元","")</f>
        <v/>
      </c>
      <c r="O167" s="18" t="str">
        <f t="array" ref="O167">IF(_xlfn.XLOOKUP(A167&amp;B167&amp;C167,盘货信息!$A:$A&amp;盘货信息!$B:$B&amp;盘货信息!$C:$C,盘货信息!$K:$K)="","",IF(AND(_xlfn.XLOOKUP(A167&amp;B167&amp;C167,盘货信息!$A:$A&amp;盘货信息!$B:$B&amp;盘货信息!$C:$C,盘货信息!$G:$G)="不参加",_xlfn.XLOOKUP(A167&amp;B167&amp;C167,盘货信息!$A:$A&amp;盘货信息!$B:$B&amp;盘货信息!$C:$C,盘货信息!$H:$H)=""),"【以旧换新】"&amp;_xlfn.XLOOKUP(A167&amp;B167&amp;C167,盘货信息!$A:$A&amp;盘货信息!$B:$B&amp;盘货信息!$C:$C,盘货信息!$K:$K)&amp;"元以旧换新补贴（可无旧机换新）",""))</f>
        <v/>
      </c>
      <c r="P167" s="18" t="str">
        <f t="array" ref="P167">_xlfn.XLOOKUP(A167&amp;B167&amp;C167,赠品!$A:$A&amp;赠品!$B:$B&amp;赠品!$C:$C,赠品!$D:$D)</f>
        <v/>
      </c>
      <c r="Q167" s="18" t="str">
        <f>IF($C167="","",IF(AND(M167="",N167="",P167=""),"",固定信息!$B$1))</f>
        <v/>
      </c>
      <c r="R167" s="18" t="str">
        <f t="array" ref="R167">IF(ISNUMBER(SEARCH("是",_xlfn.XLOOKUP(A167&amp;B167&amp;C167,盘货信息!$A:$A&amp;盘货信息!$B:$B&amp;盘货信息!$C:$C,盘货信息!$U:$U))),"【折扣】指定型号满2类享96折，满3类享94折","")</f>
        <v/>
      </c>
      <c r="S167" s="18" t="str">
        <f t="array" ref="S167">IF(_xlfn.XLOOKUP(A167&amp;B167&amp;C167,盘货信息!$A:$A&amp;盘货信息!$B:$B&amp;盘货信息!$C:$C,盘货信息!$Q:$Q)&lt;1,"","【红包】活动时间购机送"&amp;_xlfn.TEXTJOIN("",,IF(ISNUMBER(--MID(_xlfn.XLOOKUP(A167&amp;B167&amp;C167,盘货信息!$A:$A&amp;盘货信息!$B:$B&amp;盘货信息!$C:$C,盘货信息!$Q:$Q),_xlfn.SEQUENCE(LEN(_xlfn.XLOOKUP(A167&amp;B167&amp;C167,盘货信息!$A:$A&amp;盘货信息!$B:$B&amp;盘货信息!$C:$C,盘货信息!$Q:$Q))),1)),MID(_xlfn.XLOOKUP(A167&amp;B167&amp;C167,盘货信息!$A:$A&amp;盘货信息!$B:$B&amp;盘货信息!$C:$C,盘货信息!$Q:$Q),_xlfn.SEQUENCE(LEN(_xlfn.XLOOKUP(A167&amp;B167&amp;C167,盘货信息!$A:$A&amp;盘货信息!$B:$B&amp;盘货信息!$C:$C,盘货信息!$Q:$Q))),1),""))&amp;"元")</f>
        <v/>
      </c>
      <c r="T167" s="18" t="str">
        <f t="array" ref="T167">IF(ISNUMBER(SEARCH("是",_xlfn.XLOOKUP(A167&amp;B167&amp;C167,盘货信息!$A:$A&amp;盘货信息!$B:$B&amp;盘货信息!$C:$C,盘货信息!$T:$T))),"【瓜分】"&amp;固定信息!$B$7,"")</f>
        <v/>
      </c>
      <c r="U167" s="18" t="str">
        <f>IF($C167="","",IF(AND(R167="",S167="",T167=""),"",固定信息!$B$1))</f>
        <v/>
      </c>
      <c r="V167" s="18" t="str">
        <f t="array" ref="V167">IF(C167="","","【服务】"&amp;IF(_xlfn.XLOOKUP(A167&amp;B167&amp;C167,盘货信息!$A:$A&amp;盘货信息!$B:$B&amp;盘货信息!$C:$C,盘货信息!$V:$V)="","",_xlfn.XLOOKUP(A167&amp;B167&amp;C167,盘货信息!$A:$A&amp;盘货信息!$B:$B&amp;盘货信息!$C:$C,盘货信息!$V:$V)&amp;"免息,")&amp;IF(_xlfn.XLOOKUP(A167&amp;B167&amp;C167,盘货信息!$A:$A&amp;盘货信息!$B:$B&amp;盘货信息!$C:$C,盘货信息!$W:$W)="","",_xlfn.XLOOKUP(A167&amp;B167&amp;C167,盘货信息!$A:$A&amp;盘货信息!$B:$B&amp;盘货信息!$C:$C,盘货信息!$W:$W)&amp;"，")&amp;"送货入户，退换免运费")</f>
        <v/>
      </c>
    </row>
    <row r="168" customHeight="1" spans="1:22">
      <c r="A168" s="17" t="str">
        <f>IF(盘货信息!A168="","",盘货信息!A168)</f>
        <v/>
      </c>
      <c r="B168" s="20" t="str">
        <f>IF(盘货信息!B168="","",盘货信息!B168)</f>
        <v/>
      </c>
      <c r="C168" s="18" t="str">
        <f>IF(盘货信息!C168="","",盘货信息!C168)</f>
        <v/>
      </c>
      <c r="D168" s="18" t="str">
        <f ca="1" t="shared" si="2"/>
        <v/>
      </c>
      <c r="E168" s="18" t="str">
        <f>IF(C168="","",固定信息!$B$2)</f>
        <v/>
      </c>
      <c r="F168" s="18" t="str">
        <f t="array" ref="F168">IF(C168="","","【"&amp;C168&amp;"】"&amp;_xlfn.XLOOKUP(A168&amp;B168&amp;C168,盘货信息!$A:$A&amp;盘货信息!$B:$B&amp;盘货信息!$C:$C,盘货信息!$D:$D))</f>
        <v/>
      </c>
      <c r="G168" s="18" t="str">
        <f>IF(C168="","","【"&amp;"活动时间："&amp;固定信息!$B$3&amp;"】")</f>
        <v/>
      </c>
      <c r="H168" s="18" t="str">
        <f>IF($C168="","",固定信息!$B$1)</f>
        <v/>
      </c>
      <c r="I168" s="18"/>
      <c r="J168" s="18" t="str">
        <f t="array" ref="J168">_xlfn.XLOOKUP(A168&amp;B168&amp;C168,价格信息!$A:$A&amp;价格信息!$B:$B&amp;价格信息!$C:$C,价格信息!$D:$D)</f>
        <v/>
      </c>
      <c r="K168" s="31" t="str">
        <f t="array" ref="K168">IF(_xlfn.XLOOKUP(A168&amp;B168&amp;C168,价格信息!$A:$A&amp;价格信息!$B:$B&amp;价格信息!$C:$C,价格信息!$I:$I)="","","【优惠券链接】"&amp;固定信息!$B$6)</f>
        <v/>
      </c>
      <c r="L168" s="31" t="str">
        <f>IF($C168="","",固定信息!$B$1)</f>
        <v/>
      </c>
      <c r="M168" s="18" t="str">
        <f t="array" ref="M168">IF(_xlfn.XLOOKUP(A168&amp;B168&amp;C168,盘货信息!$A:$A&amp;盘货信息!$B:$B&amp;盘货信息!$C:$C,盘货信息!$O:$O)="","","【优惠券】领"&amp;INDEX(_wpsfn.REGEXP(_xlfn.XLOOKUP(A168&amp;B168&amp;C168,盘货信息!$A:$A&amp;盘货信息!$B:$B&amp;盘货信息!$C:$C,盘货信息!$O:$O),"\d+"),1,1)&amp;"元优惠券下单更优惠，优惠卷："&amp;_xlfn.XLOOKUP(A168&amp;B168&amp;C168,盘货信息!$A:$A&amp;盘货信息!$B:$B&amp;盘货信息!$C:$C,盘货信息!$P:$P))</f>
        <v/>
      </c>
      <c r="N168" s="18" t="str">
        <f t="array" ref="N168">IF(AND(ISNUMBER(_xlfn.XLOOKUP(A168&amp;B168&amp;C168,盘货信息!$A:$A&amp;盘货信息!$B:$B&amp;盘货信息!$C:$C,盘货信息!$I:$I)),_xlfn.XLOOKUP(A168&amp;B168&amp;C168,盘货信息!$A:$A&amp;盘货信息!$B:$B&amp;盘货信息!$C:$C,盘货信息!$I:$I)&gt;1),"【88VIP】立减"&amp;_xlfn.XLOOKUP(A168&amp;B168&amp;C168,盘货信息!$A:$A&amp;盘货信息!$B:$B&amp;盘货信息!$C:$C,盘货信息!$I:$I)&amp;"元","")</f>
        <v/>
      </c>
      <c r="O168" s="18" t="str">
        <f t="array" ref="O168">IF(_xlfn.XLOOKUP(A168&amp;B168&amp;C168,盘货信息!$A:$A&amp;盘货信息!$B:$B&amp;盘货信息!$C:$C,盘货信息!$K:$K)="","",IF(AND(_xlfn.XLOOKUP(A168&amp;B168&amp;C168,盘货信息!$A:$A&amp;盘货信息!$B:$B&amp;盘货信息!$C:$C,盘货信息!$G:$G)="不参加",_xlfn.XLOOKUP(A168&amp;B168&amp;C168,盘货信息!$A:$A&amp;盘货信息!$B:$B&amp;盘货信息!$C:$C,盘货信息!$H:$H)=""),"【以旧换新】"&amp;_xlfn.XLOOKUP(A168&amp;B168&amp;C168,盘货信息!$A:$A&amp;盘货信息!$B:$B&amp;盘货信息!$C:$C,盘货信息!$K:$K)&amp;"元以旧换新补贴（可无旧机换新）",""))</f>
        <v/>
      </c>
      <c r="P168" s="18" t="str">
        <f t="array" ref="P168">_xlfn.XLOOKUP(A168&amp;B168&amp;C168,赠品!$A:$A&amp;赠品!$B:$B&amp;赠品!$C:$C,赠品!$D:$D)</f>
        <v/>
      </c>
      <c r="Q168" s="18" t="str">
        <f>IF($C168="","",IF(AND(M168="",N168="",P168=""),"",固定信息!$B$1))</f>
        <v/>
      </c>
      <c r="R168" s="18" t="str">
        <f t="array" ref="R168">IF(ISNUMBER(SEARCH("是",_xlfn.XLOOKUP(A168&amp;B168&amp;C168,盘货信息!$A:$A&amp;盘货信息!$B:$B&amp;盘货信息!$C:$C,盘货信息!$U:$U))),"【折扣】指定型号满2类享96折，满3类享94折","")</f>
        <v/>
      </c>
      <c r="S168" s="18" t="str">
        <f t="array" ref="S168">IF(_xlfn.XLOOKUP(A168&amp;B168&amp;C168,盘货信息!$A:$A&amp;盘货信息!$B:$B&amp;盘货信息!$C:$C,盘货信息!$Q:$Q)&lt;1,"","【红包】活动时间购机送"&amp;_xlfn.TEXTJOIN("",,IF(ISNUMBER(--MID(_xlfn.XLOOKUP(A168&amp;B168&amp;C168,盘货信息!$A:$A&amp;盘货信息!$B:$B&amp;盘货信息!$C:$C,盘货信息!$Q:$Q),_xlfn.SEQUENCE(LEN(_xlfn.XLOOKUP(A168&amp;B168&amp;C168,盘货信息!$A:$A&amp;盘货信息!$B:$B&amp;盘货信息!$C:$C,盘货信息!$Q:$Q))),1)),MID(_xlfn.XLOOKUP(A168&amp;B168&amp;C168,盘货信息!$A:$A&amp;盘货信息!$B:$B&amp;盘货信息!$C:$C,盘货信息!$Q:$Q),_xlfn.SEQUENCE(LEN(_xlfn.XLOOKUP(A168&amp;B168&amp;C168,盘货信息!$A:$A&amp;盘货信息!$B:$B&amp;盘货信息!$C:$C,盘货信息!$Q:$Q))),1),""))&amp;"元")</f>
        <v/>
      </c>
      <c r="T168" s="18" t="str">
        <f t="array" ref="T168">IF(ISNUMBER(SEARCH("是",_xlfn.XLOOKUP(A168&amp;B168&amp;C168,盘货信息!$A:$A&amp;盘货信息!$B:$B&amp;盘货信息!$C:$C,盘货信息!$T:$T))),"【瓜分】"&amp;固定信息!$B$7,"")</f>
        <v/>
      </c>
      <c r="U168" s="18" t="str">
        <f>IF($C168="","",IF(AND(R168="",S168="",T168=""),"",固定信息!$B$1))</f>
        <v/>
      </c>
      <c r="V168" s="18" t="str">
        <f t="array" ref="V168">IF(C168="","","【服务】"&amp;IF(_xlfn.XLOOKUP(A168&amp;B168&amp;C168,盘货信息!$A:$A&amp;盘货信息!$B:$B&amp;盘货信息!$C:$C,盘货信息!$V:$V)="","",_xlfn.XLOOKUP(A168&amp;B168&amp;C168,盘货信息!$A:$A&amp;盘货信息!$B:$B&amp;盘货信息!$C:$C,盘货信息!$V:$V)&amp;"免息,")&amp;IF(_xlfn.XLOOKUP(A168&amp;B168&amp;C168,盘货信息!$A:$A&amp;盘货信息!$B:$B&amp;盘货信息!$C:$C,盘货信息!$W:$W)="","",_xlfn.XLOOKUP(A168&amp;B168&amp;C168,盘货信息!$A:$A&amp;盘货信息!$B:$B&amp;盘货信息!$C:$C,盘货信息!$W:$W)&amp;"，")&amp;"送货入户，退换免运费")</f>
        <v/>
      </c>
    </row>
    <row r="169" customHeight="1" spans="1:22">
      <c r="A169" s="17" t="str">
        <f>IF(盘货信息!A169="","",盘货信息!A169)</f>
        <v/>
      </c>
      <c r="B169" s="20" t="str">
        <f>IF(盘货信息!B169="","",盘货信息!B169)</f>
        <v/>
      </c>
      <c r="C169" s="18" t="str">
        <f>IF(盘货信息!C169="","",盘货信息!C169)</f>
        <v/>
      </c>
      <c r="D169" s="18" t="str">
        <f ca="1" t="shared" si="2"/>
        <v/>
      </c>
      <c r="E169" s="18" t="str">
        <f>IF(C169="","",固定信息!$B$2)</f>
        <v/>
      </c>
      <c r="F169" s="18" t="str">
        <f t="array" ref="F169">IF(C169="","","【"&amp;C169&amp;"】"&amp;_xlfn.XLOOKUP(A169&amp;B169&amp;C169,盘货信息!$A:$A&amp;盘货信息!$B:$B&amp;盘货信息!$C:$C,盘货信息!$D:$D))</f>
        <v/>
      </c>
      <c r="G169" s="18" t="str">
        <f>IF(C169="","","【"&amp;"活动时间："&amp;固定信息!$B$3&amp;"】")</f>
        <v/>
      </c>
      <c r="H169" s="18" t="str">
        <f>IF($C169="","",固定信息!$B$1)</f>
        <v/>
      </c>
      <c r="I169" s="18"/>
      <c r="J169" s="18" t="str">
        <f t="array" ref="J169">_xlfn.XLOOKUP(A169&amp;B169&amp;C169,价格信息!$A:$A&amp;价格信息!$B:$B&amp;价格信息!$C:$C,价格信息!$D:$D)</f>
        <v/>
      </c>
      <c r="K169" s="31" t="str">
        <f t="array" ref="K169">IF(_xlfn.XLOOKUP(A169&amp;B169&amp;C169,价格信息!$A:$A&amp;价格信息!$B:$B&amp;价格信息!$C:$C,价格信息!$I:$I)="","","【优惠券链接】"&amp;固定信息!$B$6)</f>
        <v/>
      </c>
      <c r="L169" s="31" t="str">
        <f>IF($C169="","",固定信息!$B$1)</f>
        <v/>
      </c>
      <c r="M169" s="18" t="str">
        <f t="array" ref="M169">IF(_xlfn.XLOOKUP(A169&amp;B169&amp;C169,盘货信息!$A:$A&amp;盘货信息!$B:$B&amp;盘货信息!$C:$C,盘货信息!$O:$O)="","","【优惠券】领"&amp;INDEX(_wpsfn.REGEXP(_xlfn.XLOOKUP(A169&amp;B169&amp;C169,盘货信息!$A:$A&amp;盘货信息!$B:$B&amp;盘货信息!$C:$C,盘货信息!$O:$O),"\d+"),1,1)&amp;"元优惠券下单更优惠，优惠卷："&amp;_xlfn.XLOOKUP(A169&amp;B169&amp;C169,盘货信息!$A:$A&amp;盘货信息!$B:$B&amp;盘货信息!$C:$C,盘货信息!$P:$P))</f>
        <v/>
      </c>
      <c r="N169" s="18" t="str">
        <f t="array" ref="N169">IF(AND(ISNUMBER(_xlfn.XLOOKUP(A169&amp;B169&amp;C169,盘货信息!$A:$A&amp;盘货信息!$B:$B&amp;盘货信息!$C:$C,盘货信息!$I:$I)),_xlfn.XLOOKUP(A169&amp;B169&amp;C169,盘货信息!$A:$A&amp;盘货信息!$B:$B&amp;盘货信息!$C:$C,盘货信息!$I:$I)&gt;1),"【88VIP】立减"&amp;_xlfn.XLOOKUP(A169&amp;B169&amp;C169,盘货信息!$A:$A&amp;盘货信息!$B:$B&amp;盘货信息!$C:$C,盘货信息!$I:$I)&amp;"元","")</f>
        <v/>
      </c>
      <c r="O169" s="18" t="str">
        <f t="array" ref="O169">IF(_xlfn.XLOOKUP(A169&amp;B169&amp;C169,盘货信息!$A:$A&amp;盘货信息!$B:$B&amp;盘货信息!$C:$C,盘货信息!$K:$K)="","",IF(AND(_xlfn.XLOOKUP(A169&amp;B169&amp;C169,盘货信息!$A:$A&amp;盘货信息!$B:$B&amp;盘货信息!$C:$C,盘货信息!$G:$G)="不参加",_xlfn.XLOOKUP(A169&amp;B169&amp;C169,盘货信息!$A:$A&amp;盘货信息!$B:$B&amp;盘货信息!$C:$C,盘货信息!$H:$H)=""),"【以旧换新】"&amp;_xlfn.XLOOKUP(A169&amp;B169&amp;C169,盘货信息!$A:$A&amp;盘货信息!$B:$B&amp;盘货信息!$C:$C,盘货信息!$K:$K)&amp;"元以旧换新补贴（可无旧机换新）",""))</f>
        <v/>
      </c>
      <c r="P169" s="18" t="str">
        <f t="array" ref="P169">_xlfn.XLOOKUP(A169&amp;B169&amp;C169,赠品!$A:$A&amp;赠品!$B:$B&amp;赠品!$C:$C,赠品!$D:$D)</f>
        <v/>
      </c>
      <c r="Q169" s="18" t="str">
        <f>IF($C169="","",IF(AND(M169="",N169="",P169=""),"",固定信息!$B$1))</f>
        <v/>
      </c>
      <c r="R169" s="18" t="str">
        <f t="array" ref="R169">IF(ISNUMBER(SEARCH("是",_xlfn.XLOOKUP(A169&amp;B169&amp;C169,盘货信息!$A:$A&amp;盘货信息!$B:$B&amp;盘货信息!$C:$C,盘货信息!$U:$U))),"【折扣】指定型号满2类享96折，满3类享94折","")</f>
        <v/>
      </c>
      <c r="S169" s="18" t="str">
        <f t="array" ref="S169">IF(_xlfn.XLOOKUP(A169&amp;B169&amp;C169,盘货信息!$A:$A&amp;盘货信息!$B:$B&amp;盘货信息!$C:$C,盘货信息!$Q:$Q)&lt;1,"","【红包】活动时间购机送"&amp;_xlfn.TEXTJOIN("",,IF(ISNUMBER(--MID(_xlfn.XLOOKUP(A169&amp;B169&amp;C169,盘货信息!$A:$A&amp;盘货信息!$B:$B&amp;盘货信息!$C:$C,盘货信息!$Q:$Q),_xlfn.SEQUENCE(LEN(_xlfn.XLOOKUP(A169&amp;B169&amp;C169,盘货信息!$A:$A&amp;盘货信息!$B:$B&amp;盘货信息!$C:$C,盘货信息!$Q:$Q))),1)),MID(_xlfn.XLOOKUP(A169&amp;B169&amp;C169,盘货信息!$A:$A&amp;盘货信息!$B:$B&amp;盘货信息!$C:$C,盘货信息!$Q:$Q),_xlfn.SEQUENCE(LEN(_xlfn.XLOOKUP(A169&amp;B169&amp;C169,盘货信息!$A:$A&amp;盘货信息!$B:$B&amp;盘货信息!$C:$C,盘货信息!$Q:$Q))),1),""))&amp;"元")</f>
        <v/>
      </c>
      <c r="T169" s="18" t="str">
        <f t="array" ref="T169">IF(ISNUMBER(SEARCH("是",_xlfn.XLOOKUP(A169&amp;B169&amp;C169,盘货信息!$A:$A&amp;盘货信息!$B:$B&amp;盘货信息!$C:$C,盘货信息!$T:$T))),"【瓜分】"&amp;固定信息!$B$7,"")</f>
        <v/>
      </c>
      <c r="U169" s="18" t="str">
        <f>IF($C169="","",IF(AND(R169="",S169="",T169=""),"",固定信息!$B$1))</f>
        <v/>
      </c>
      <c r="V169" s="18" t="str">
        <f t="array" ref="V169">IF(C169="","","【服务】"&amp;IF(_xlfn.XLOOKUP(A169&amp;B169&amp;C169,盘货信息!$A:$A&amp;盘货信息!$B:$B&amp;盘货信息!$C:$C,盘货信息!$V:$V)="","",_xlfn.XLOOKUP(A169&amp;B169&amp;C169,盘货信息!$A:$A&amp;盘货信息!$B:$B&amp;盘货信息!$C:$C,盘货信息!$V:$V)&amp;"免息,")&amp;IF(_xlfn.XLOOKUP(A169&amp;B169&amp;C169,盘货信息!$A:$A&amp;盘货信息!$B:$B&amp;盘货信息!$C:$C,盘货信息!$W:$W)="","",_xlfn.XLOOKUP(A169&amp;B169&amp;C169,盘货信息!$A:$A&amp;盘货信息!$B:$B&amp;盘货信息!$C:$C,盘货信息!$W:$W)&amp;"，")&amp;"送货入户，退换免运费")</f>
        <v/>
      </c>
    </row>
    <row r="170" customHeight="1" spans="1:22">
      <c r="A170" s="17" t="str">
        <f>IF(盘货信息!A170="","",盘货信息!A170)</f>
        <v/>
      </c>
      <c r="B170" s="20" t="str">
        <f>IF(盘货信息!B170="","",盘货信息!B170)</f>
        <v/>
      </c>
      <c r="C170" s="18" t="str">
        <f>IF(盘货信息!C170="","",盘货信息!C170)</f>
        <v/>
      </c>
      <c r="D170" s="18" t="str">
        <f ca="1" t="shared" si="2"/>
        <v/>
      </c>
      <c r="E170" s="18" t="str">
        <f>IF(C170="","",固定信息!$B$2)</f>
        <v/>
      </c>
      <c r="F170" s="18" t="str">
        <f t="array" ref="F170">IF(C170="","","【"&amp;C170&amp;"】"&amp;_xlfn.XLOOKUP(A170&amp;B170&amp;C170,盘货信息!$A:$A&amp;盘货信息!$B:$B&amp;盘货信息!$C:$C,盘货信息!$D:$D))</f>
        <v/>
      </c>
      <c r="G170" s="18" t="str">
        <f>IF(C170="","","【"&amp;"活动时间："&amp;固定信息!$B$3&amp;"】")</f>
        <v/>
      </c>
      <c r="H170" s="18" t="str">
        <f>IF($C170="","",固定信息!$B$1)</f>
        <v/>
      </c>
      <c r="I170" s="18"/>
      <c r="J170" s="18" t="str">
        <f t="array" ref="J170">_xlfn.XLOOKUP(A170&amp;B170&amp;C170,价格信息!$A:$A&amp;价格信息!$B:$B&amp;价格信息!$C:$C,价格信息!$D:$D)</f>
        <v/>
      </c>
      <c r="K170" s="31" t="str">
        <f t="array" ref="K170">IF(_xlfn.XLOOKUP(A170&amp;B170&amp;C170,价格信息!$A:$A&amp;价格信息!$B:$B&amp;价格信息!$C:$C,价格信息!$I:$I)="","","【优惠券链接】"&amp;固定信息!$B$6)</f>
        <v/>
      </c>
      <c r="L170" s="31" t="str">
        <f>IF($C170="","",固定信息!$B$1)</f>
        <v/>
      </c>
      <c r="M170" s="18" t="str">
        <f t="array" ref="M170">IF(_xlfn.XLOOKUP(A170&amp;B170&amp;C170,盘货信息!$A:$A&amp;盘货信息!$B:$B&amp;盘货信息!$C:$C,盘货信息!$O:$O)="","","【优惠券】领"&amp;INDEX(_wpsfn.REGEXP(_xlfn.XLOOKUP(A170&amp;B170&amp;C170,盘货信息!$A:$A&amp;盘货信息!$B:$B&amp;盘货信息!$C:$C,盘货信息!$O:$O),"\d+"),1,1)&amp;"元优惠券下单更优惠，优惠卷："&amp;_xlfn.XLOOKUP(A170&amp;B170&amp;C170,盘货信息!$A:$A&amp;盘货信息!$B:$B&amp;盘货信息!$C:$C,盘货信息!$P:$P))</f>
        <v/>
      </c>
      <c r="N170" s="18" t="str">
        <f t="array" ref="N170">IF(AND(ISNUMBER(_xlfn.XLOOKUP(A170&amp;B170&amp;C170,盘货信息!$A:$A&amp;盘货信息!$B:$B&amp;盘货信息!$C:$C,盘货信息!$I:$I)),_xlfn.XLOOKUP(A170&amp;B170&amp;C170,盘货信息!$A:$A&amp;盘货信息!$B:$B&amp;盘货信息!$C:$C,盘货信息!$I:$I)&gt;1),"【88VIP】立减"&amp;_xlfn.XLOOKUP(A170&amp;B170&amp;C170,盘货信息!$A:$A&amp;盘货信息!$B:$B&amp;盘货信息!$C:$C,盘货信息!$I:$I)&amp;"元","")</f>
        <v/>
      </c>
      <c r="O170" s="18" t="str">
        <f t="array" ref="O170">IF(_xlfn.XLOOKUP(A170&amp;B170&amp;C170,盘货信息!$A:$A&amp;盘货信息!$B:$B&amp;盘货信息!$C:$C,盘货信息!$K:$K)="","",IF(AND(_xlfn.XLOOKUP(A170&amp;B170&amp;C170,盘货信息!$A:$A&amp;盘货信息!$B:$B&amp;盘货信息!$C:$C,盘货信息!$G:$G)="不参加",_xlfn.XLOOKUP(A170&amp;B170&amp;C170,盘货信息!$A:$A&amp;盘货信息!$B:$B&amp;盘货信息!$C:$C,盘货信息!$H:$H)=""),"【以旧换新】"&amp;_xlfn.XLOOKUP(A170&amp;B170&amp;C170,盘货信息!$A:$A&amp;盘货信息!$B:$B&amp;盘货信息!$C:$C,盘货信息!$K:$K)&amp;"元以旧换新补贴（可无旧机换新）",""))</f>
        <v/>
      </c>
      <c r="P170" s="18" t="str">
        <f t="array" ref="P170">_xlfn.XLOOKUP(A170&amp;B170&amp;C170,赠品!$A:$A&amp;赠品!$B:$B&amp;赠品!$C:$C,赠品!$D:$D)</f>
        <v/>
      </c>
      <c r="Q170" s="18" t="str">
        <f>IF($C170="","",IF(AND(M170="",N170="",P170=""),"",固定信息!$B$1))</f>
        <v/>
      </c>
      <c r="R170" s="18" t="str">
        <f t="array" ref="R170">IF(ISNUMBER(SEARCH("是",_xlfn.XLOOKUP(A170&amp;B170&amp;C170,盘货信息!$A:$A&amp;盘货信息!$B:$B&amp;盘货信息!$C:$C,盘货信息!$U:$U))),"【折扣】指定型号满2类享96折，满3类享94折","")</f>
        <v/>
      </c>
      <c r="S170" s="18" t="str">
        <f t="array" ref="S170">IF(_xlfn.XLOOKUP(A170&amp;B170&amp;C170,盘货信息!$A:$A&amp;盘货信息!$B:$B&amp;盘货信息!$C:$C,盘货信息!$Q:$Q)&lt;1,"","【红包】活动时间购机送"&amp;_xlfn.TEXTJOIN("",,IF(ISNUMBER(--MID(_xlfn.XLOOKUP(A170&amp;B170&amp;C170,盘货信息!$A:$A&amp;盘货信息!$B:$B&amp;盘货信息!$C:$C,盘货信息!$Q:$Q),_xlfn.SEQUENCE(LEN(_xlfn.XLOOKUP(A170&amp;B170&amp;C170,盘货信息!$A:$A&amp;盘货信息!$B:$B&amp;盘货信息!$C:$C,盘货信息!$Q:$Q))),1)),MID(_xlfn.XLOOKUP(A170&amp;B170&amp;C170,盘货信息!$A:$A&amp;盘货信息!$B:$B&amp;盘货信息!$C:$C,盘货信息!$Q:$Q),_xlfn.SEQUENCE(LEN(_xlfn.XLOOKUP(A170&amp;B170&amp;C170,盘货信息!$A:$A&amp;盘货信息!$B:$B&amp;盘货信息!$C:$C,盘货信息!$Q:$Q))),1),""))&amp;"元")</f>
        <v/>
      </c>
      <c r="T170" s="18" t="str">
        <f t="array" ref="T170">IF(ISNUMBER(SEARCH("是",_xlfn.XLOOKUP(A170&amp;B170&amp;C170,盘货信息!$A:$A&amp;盘货信息!$B:$B&amp;盘货信息!$C:$C,盘货信息!$T:$T))),"【瓜分】"&amp;固定信息!$B$7,"")</f>
        <v/>
      </c>
      <c r="U170" s="18" t="str">
        <f>IF($C170="","",IF(AND(R170="",S170="",T170=""),"",固定信息!$B$1))</f>
        <v/>
      </c>
      <c r="V170" s="18" t="str">
        <f t="array" ref="V170">IF(C170="","","【服务】"&amp;IF(_xlfn.XLOOKUP(A170&amp;B170&amp;C170,盘货信息!$A:$A&amp;盘货信息!$B:$B&amp;盘货信息!$C:$C,盘货信息!$V:$V)="","",_xlfn.XLOOKUP(A170&amp;B170&amp;C170,盘货信息!$A:$A&amp;盘货信息!$B:$B&amp;盘货信息!$C:$C,盘货信息!$V:$V)&amp;"免息,")&amp;IF(_xlfn.XLOOKUP(A170&amp;B170&amp;C170,盘货信息!$A:$A&amp;盘货信息!$B:$B&amp;盘货信息!$C:$C,盘货信息!$W:$W)="","",_xlfn.XLOOKUP(A170&amp;B170&amp;C170,盘货信息!$A:$A&amp;盘货信息!$B:$B&amp;盘货信息!$C:$C,盘货信息!$W:$W)&amp;"，")&amp;"送货入户，退换免运费")</f>
        <v/>
      </c>
    </row>
    <row r="171" customHeight="1" spans="1:22">
      <c r="A171" s="17" t="str">
        <f>IF(盘货信息!A171="","",盘货信息!A171)</f>
        <v/>
      </c>
      <c r="B171" s="20" t="str">
        <f>IF(盘货信息!B171="","",盘货信息!B171)</f>
        <v/>
      </c>
      <c r="C171" s="18" t="str">
        <f>IF(盘货信息!C171="","",盘货信息!C171)</f>
        <v/>
      </c>
      <c r="D171" s="18" t="str">
        <f ca="1" t="shared" si="2"/>
        <v/>
      </c>
      <c r="E171" s="18" t="str">
        <f>IF(C171="","",固定信息!$B$2)</f>
        <v/>
      </c>
      <c r="F171" s="18" t="str">
        <f t="array" ref="F171">IF(C171="","","【"&amp;C171&amp;"】"&amp;_xlfn.XLOOKUP(A171&amp;B171&amp;C171,盘货信息!$A:$A&amp;盘货信息!$B:$B&amp;盘货信息!$C:$C,盘货信息!$D:$D))</f>
        <v/>
      </c>
      <c r="G171" s="18" t="str">
        <f>IF(C171="","","【"&amp;"活动时间："&amp;固定信息!$B$3&amp;"】")</f>
        <v/>
      </c>
      <c r="H171" s="18" t="str">
        <f>IF($C171="","",固定信息!$B$1)</f>
        <v/>
      </c>
      <c r="I171" s="18"/>
      <c r="J171" s="18" t="str">
        <f t="array" ref="J171">_xlfn.XLOOKUP(A171&amp;B171&amp;C171,价格信息!$A:$A&amp;价格信息!$B:$B&amp;价格信息!$C:$C,价格信息!$D:$D)</f>
        <v/>
      </c>
      <c r="K171" s="31" t="str">
        <f t="array" ref="K171">IF(_xlfn.XLOOKUP(A171&amp;B171&amp;C171,价格信息!$A:$A&amp;价格信息!$B:$B&amp;价格信息!$C:$C,价格信息!$I:$I)="","","【优惠券链接】"&amp;固定信息!$B$6)</f>
        <v/>
      </c>
      <c r="L171" s="31" t="str">
        <f>IF($C171="","",固定信息!$B$1)</f>
        <v/>
      </c>
      <c r="M171" s="18" t="str">
        <f t="array" ref="M171">IF(_xlfn.XLOOKUP(A171&amp;B171&amp;C171,盘货信息!$A:$A&amp;盘货信息!$B:$B&amp;盘货信息!$C:$C,盘货信息!$O:$O)="","","【优惠券】领"&amp;INDEX(_wpsfn.REGEXP(_xlfn.XLOOKUP(A171&amp;B171&amp;C171,盘货信息!$A:$A&amp;盘货信息!$B:$B&amp;盘货信息!$C:$C,盘货信息!$O:$O),"\d+"),1,1)&amp;"元优惠券下单更优惠，优惠卷："&amp;_xlfn.XLOOKUP(A171&amp;B171&amp;C171,盘货信息!$A:$A&amp;盘货信息!$B:$B&amp;盘货信息!$C:$C,盘货信息!$P:$P))</f>
        <v/>
      </c>
      <c r="N171" s="18" t="str">
        <f t="array" ref="N171">IF(AND(ISNUMBER(_xlfn.XLOOKUP(A171&amp;B171&amp;C171,盘货信息!$A:$A&amp;盘货信息!$B:$B&amp;盘货信息!$C:$C,盘货信息!$I:$I)),_xlfn.XLOOKUP(A171&amp;B171&amp;C171,盘货信息!$A:$A&amp;盘货信息!$B:$B&amp;盘货信息!$C:$C,盘货信息!$I:$I)&gt;1),"【88VIP】立减"&amp;_xlfn.XLOOKUP(A171&amp;B171&amp;C171,盘货信息!$A:$A&amp;盘货信息!$B:$B&amp;盘货信息!$C:$C,盘货信息!$I:$I)&amp;"元","")</f>
        <v/>
      </c>
      <c r="O171" s="18" t="str">
        <f t="array" ref="O171">IF(_xlfn.XLOOKUP(A171&amp;B171&amp;C171,盘货信息!$A:$A&amp;盘货信息!$B:$B&amp;盘货信息!$C:$C,盘货信息!$K:$K)="","",IF(AND(_xlfn.XLOOKUP(A171&amp;B171&amp;C171,盘货信息!$A:$A&amp;盘货信息!$B:$B&amp;盘货信息!$C:$C,盘货信息!$G:$G)="不参加",_xlfn.XLOOKUP(A171&amp;B171&amp;C171,盘货信息!$A:$A&amp;盘货信息!$B:$B&amp;盘货信息!$C:$C,盘货信息!$H:$H)=""),"【以旧换新】"&amp;_xlfn.XLOOKUP(A171&amp;B171&amp;C171,盘货信息!$A:$A&amp;盘货信息!$B:$B&amp;盘货信息!$C:$C,盘货信息!$K:$K)&amp;"元以旧换新补贴（可无旧机换新）",""))</f>
        <v/>
      </c>
      <c r="P171" s="18" t="str">
        <f t="array" ref="P171">_xlfn.XLOOKUP(A171&amp;B171&amp;C171,赠品!$A:$A&amp;赠品!$B:$B&amp;赠品!$C:$C,赠品!$D:$D)</f>
        <v/>
      </c>
      <c r="Q171" s="18" t="str">
        <f>IF($C171="","",IF(AND(M171="",N171="",P171=""),"",固定信息!$B$1))</f>
        <v/>
      </c>
      <c r="R171" s="18" t="str">
        <f t="array" ref="R171">IF(ISNUMBER(SEARCH("是",_xlfn.XLOOKUP(A171&amp;B171&amp;C171,盘货信息!$A:$A&amp;盘货信息!$B:$B&amp;盘货信息!$C:$C,盘货信息!$U:$U))),"【折扣】指定型号满2类享96折，满3类享94折","")</f>
        <v/>
      </c>
      <c r="S171" s="18" t="str">
        <f t="array" ref="S171">IF(_xlfn.XLOOKUP(A171&amp;B171&amp;C171,盘货信息!$A:$A&amp;盘货信息!$B:$B&amp;盘货信息!$C:$C,盘货信息!$Q:$Q)&lt;1,"","【红包】活动时间购机送"&amp;_xlfn.TEXTJOIN("",,IF(ISNUMBER(--MID(_xlfn.XLOOKUP(A171&amp;B171&amp;C171,盘货信息!$A:$A&amp;盘货信息!$B:$B&amp;盘货信息!$C:$C,盘货信息!$Q:$Q),_xlfn.SEQUENCE(LEN(_xlfn.XLOOKUP(A171&amp;B171&amp;C171,盘货信息!$A:$A&amp;盘货信息!$B:$B&amp;盘货信息!$C:$C,盘货信息!$Q:$Q))),1)),MID(_xlfn.XLOOKUP(A171&amp;B171&amp;C171,盘货信息!$A:$A&amp;盘货信息!$B:$B&amp;盘货信息!$C:$C,盘货信息!$Q:$Q),_xlfn.SEQUENCE(LEN(_xlfn.XLOOKUP(A171&amp;B171&amp;C171,盘货信息!$A:$A&amp;盘货信息!$B:$B&amp;盘货信息!$C:$C,盘货信息!$Q:$Q))),1),""))&amp;"元")</f>
        <v/>
      </c>
      <c r="T171" s="18" t="str">
        <f t="array" ref="T171">IF(ISNUMBER(SEARCH("是",_xlfn.XLOOKUP(A171&amp;B171&amp;C171,盘货信息!$A:$A&amp;盘货信息!$B:$B&amp;盘货信息!$C:$C,盘货信息!$T:$T))),"【瓜分】"&amp;固定信息!$B$7,"")</f>
        <v/>
      </c>
      <c r="U171" s="18" t="str">
        <f>IF($C171="","",IF(AND(R171="",S171="",T171=""),"",固定信息!$B$1))</f>
        <v/>
      </c>
      <c r="V171" s="18" t="str">
        <f t="array" ref="V171">IF(C171="","","【服务】"&amp;IF(_xlfn.XLOOKUP(A171&amp;B171&amp;C171,盘货信息!$A:$A&amp;盘货信息!$B:$B&amp;盘货信息!$C:$C,盘货信息!$V:$V)="","",_xlfn.XLOOKUP(A171&amp;B171&amp;C171,盘货信息!$A:$A&amp;盘货信息!$B:$B&amp;盘货信息!$C:$C,盘货信息!$V:$V)&amp;"免息,")&amp;IF(_xlfn.XLOOKUP(A171&amp;B171&amp;C171,盘货信息!$A:$A&amp;盘货信息!$B:$B&amp;盘货信息!$C:$C,盘货信息!$W:$W)="","",_xlfn.XLOOKUP(A171&amp;B171&amp;C171,盘货信息!$A:$A&amp;盘货信息!$B:$B&amp;盘货信息!$C:$C,盘货信息!$W:$W)&amp;"，")&amp;"送货入户，退换免运费")</f>
        <v/>
      </c>
    </row>
    <row r="172" customHeight="1" spans="1:22">
      <c r="A172" s="17" t="str">
        <f>IF(盘货信息!A172="","",盘货信息!A172)</f>
        <v/>
      </c>
      <c r="B172" s="20" t="str">
        <f>IF(盘货信息!B172="","",盘货信息!B172)</f>
        <v/>
      </c>
      <c r="C172" s="18" t="str">
        <f>IF(盘货信息!C172="","",盘货信息!C172)</f>
        <v/>
      </c>
      <c r="D172" s="18" t="str">
        <f ca="1" t="shared" si="2"/>
        <v/>
      </c>
      <c r="E172" s="18" t="str">
        <f>IF(C172="","",固定信息!$B$2)</f>
        <v/>
      </c>
      <c r="F172" s="18" t="str">
        <f t="array" ref="F172">IF(C172="","","【"&amp;C172&amp;"】"&amp;_xlfn.XLOOKUP(A172&amp;B172&amp;C172,盘货信息!$A:$A&amp;盘货信息!$B:$B&amp;盘货信息!$C:$C,盘货信息!$D:$D))</f>
        <v/>
      </c>
      <c r="G172" s="18" t="str">
        <f>IF(C172="","","【"&amp;"活动时间："&amp;固定信息!$B$3&amp;"】")</f>
        <v/>
      </c>
      <c r="H172" s="18" t="str">
        <f>IF($C172="","",固定信息!$B$1)</f>
        <v/>
      </c>
      <c r="I172" s="18"/>
      <c r="J172" s="18" t="str">
        <f t="array" ref="J172">_xlfn.XLOOKUP(A172&amp;B172&amp;C172,价格信息!$A:$A&amp;价格信息!$B:$B&amp;价格信息!$C:$C,价格信息!$D:$D)</f>
        <v/>
      </c>
      <c r="K172" s="31" t="str">
        <f t="array" ref="K172">IF(_xlfn.XLOOKUP(A172&amp;B172&amp;C172,价格信息!$A:$A&amp;价格信息!$B:$B&amp;价格信息!$C:$C,价格信息!$I:$I)="","","【优惠券链接】"&amp;固定信息!$B$6)</f>
        <v/>
      </c>
      <c r="L172" s="31" t="str">
        <f>IF($C172="","",固定信息!$B$1)</f>
        <v/>
      </c>
      <c r="M172" s="18" t="str">
        <f t="array" ref="M172">IF(_xlfn.XLOOKUP(A172&amp;B172&amp;C172,盘货信息!$A:$A&amp;盘货信息!$B:$B&amp;盘货信息!$C:$C,盘货信息!$O:$O)="","","【优惠券】领"&amp;INDEX(_wpsfn.REGEXP(_xlfn.XLOOKUP(A172&amp;B172&amp;C172,盘货信息!$A:$A&amp;盘货信息!$B:$B&amp;盘货信息!$C:$C,盘货信息!$O:$O),"\d+"),1,1)&amp;"元优惠券下单更优惠，优惠卷："&amp;_xlfn.XLOOKUP(A172&amp;B172&amp;C172,盘货信息!$A:$A&amp;盘货信息!$B:$B&amp;盘货信息!$C:$C,盘货信息!$P:$P))</f>
        <v/>
      </c>
      <c r="N172" s="18" t="str">
        <f t="array" ref="N172">IF(AND(ISNUMBER(_xlfn.XLOOKUP(A172&amp;B172&amp;C172,盘货信息!$A:$A&amp;盘货信息!$B:$B&amp;盘货信息!$C:$C,盘货信息!$I:$I)),_xlfn.XLOOKUP(A172&amp;B172&amp;C172,盘货信息!$A:$A&amp;盘货信息!$B:$B&amp;盘货信息!$C:$C,盘货信息!$I:$I)&gt;1),"【88VIP】立减"&amp;_xlfn.XLOOKUP(A172&amp;B172&amp;C172,盘货信息!$A:$A&amp;盘货信息!$B:$B&amp;盘货信息!$C:$C,盘货信息!$I:$I)&amp;"元","")</f>
        <v/>
      </c>
      <c r="O172" s="18" t="str">
        <f t="array" ref="O172">IF(_xlfn.XLOOKUP(A172&amp;B172&amp;C172,盘货信息!$A:$A&amp;盘货信息!$B:$B&amp;盘货信息!$C:$C,盘货信息!$K:$K)="","",IF(AND(_xlfn.XLOOKUP(A172&amp;B172&amp;C172,盘货信息!$A:$A&amp;盘货信息!$B:$B&amp;盘货信息!$C:$C,盘货信息!$G:$G)="不参加",_xlfn.XLOOKUP(A172&amp;B172&amp;C172,盘货信息!$A:$A&amp;盘货信息!$B:$B&amp;盘货信息!$C:$C,盘货信息!$H:$H)=""),"【以旧换新】"&amp;_xlfn.XLOOKUP(A172&amp;B172&amp;C172,盘货信息!$A:$A&amp;盘货信息!$B:$B&amp;盘货信息!$C:$C,盘货信息!$K:$K)&amp;"元以旧换新补贴（可无旧机换新）",""))</f>
        <v/>
      </c>
      <c r="P172" s="18" t="str">
        <f t="array" ref="P172">_xlfn.XLOOKUP(A172&amp;B172&amp;C172,赠品!$A:$A&amp;赠品!$B:$B&amp;赠品!$C:$C,赠品!$D:$D)</f>
        <v/>
      </c>
      <c r="Q172" s="18" t="str">
        <f>IF($C172="","",IF(AND(M172="",N172="",P172=""),"",固定信息!$B$1))</f>
        <v/>
      </c>
      <c r="R172" s="18" t="str">
        <f t="array" ref="R172">IF(ISNUMBER(SEARCH("是",_xlfn.XLOOKUP(A172&amp;B172&amp;C172,盘货信息!$A:$A&amp;盘货信息!$B:$B&amp;盘货信息!$C:$C,盘货信息!$U:$U))),"【折扣】指定型号满2类享96折，满3类享94折","")</f>
        <v/>
      </c>
      <c r="S172" s="18" t="str">
        <f t="array" ref="S172">IF(_xlfn.XLOOKUP(A172&amp;B172&amp;C172,盘货信息!$A:$A&amp;盘货信息!$B:$B&amp;盘货信息!$C:$C,盘货信息!$Q:$Q)&lt;1,"","【红包】活动时间购机送"&amp;_xlfn.TEXTJOIN("",,IF(ISNUMBER(--MID(_xlfn.XLOOKUP(A172&amp;B172&amp;C172,盘货信息!$A:$A&amp;盘货信息!$B:$B&amp;盘货信息!$C:$C,盘货信息!$Q:$Q),_xlfn.SEQUENCE(LEN(_xlfn.XLOOKUP(A172&amp;B172&amp;C172,盘货信息!$A:$A&amp;盘货信息!$B:$B&amp;盘货信息!$C:$C,盘货信息!$Q:$Q))),1)),MID(_xlfn.XLOOKUP(A172&amp;B172&amp;C172,盘货信息!$A:$A&amp;盘货信息!$B:$B&amp;盘货信息!$C:$C,盘货信息!$Q:$Q),_xlfn.SEQUENCE(LEN(_xlfn.XLOOKUP(A172&amp;B172&amp;C172,盘货信息!$A:$A&amp;盘货信息!$B:$B&amp;盘货信息!$C:$C,盘货信息!$Q:$Q))),1),""))&amp;"元")</f>
        <v/>
      </c>
      <c r="T172" s="18" t="str">
        <f t="array" ref="T172">IF(ISNUMBER(SEARCH("是",_xlfn.XLOOKUP(A172&amp;B172&amp;C172,盘货信息!$A:$A&amp;盘货信息!$B:$B&amp;盘货信息!$C:$C,盘货信息!$T:$T))),"【瓜分】"&amp;固定信息!$B$7,"")</f>
        <v/>
      </c>
      <c r="U172" s="18" t="str">
        <f>IF($C172="","",IF(AND(R172="",S172="",T172=""),"",固定信息!$B$1))</f>
        <v/>
      </c>
      <c r="V172" s="18" t="str">
        <f t="array" ref="V172">IF(C172="","","【服务】"&amp;IF(_xlfn.XLOOKUP(A172&amp;B172&amp;C172,盘货信息!$A:$A&amp;盘货信息!$B:$B&amp;盘货信息!$C:$C,盘货信息!$V:$V)="","",_xlfn.XLOOKUP(A172&amp;B172&amp;C172,盘货信息!$A:$A&amp;盘货信息!$B:$B&amp;盘货信息!$C:$C,盘货信息!$V:$V)&amp;"免息,")&amp;IF(_xlfn.XLOOKUP(A172&amp;B172&amp;C172,盘货信息!$A:$A&amp;盘货信息!$B:$B&amp;盘货信息!$C:$C,盘货信息!$W:$W)="","",_xlfn.XLOOKUP(A172&amp;B172&amp;C172,盘货信息!$A:$A&amp;盘货信息!$B:$B&amp;盘货信息!$C:$C,盘货信息!$W:$W)&amp;"，")&amp;"送货入户，退换免运费")</f>
        <v/>
      </c>
    </row>
    <row r="173" customHeight="1" spans="1:22">
      <c r="A173" s="17" t="str">
        <f>IF(盘货信息!A173="","",盘货信息!A173)</f>
        <v/>
      </c>
      <c r="B173" s="20" t="str">
        <f>IF(盘货信息!B173="","",盘货信息!B173)</f>
        <v/>
      </c>
      <c r="C173" s="18" t="str">
        <f>IF(盘货信息!C173="","",盘货信息!C173)</f>
        <v/>
      </c>
      <c r="D173" s="18" t="str">
        <f ca="1" t="shared" si="2"/>
        <v/>
      </c>
      <c r="E173" s="18" t="str">
        <f>IF(C173="","",固定信息!$B$2)</f>
        <v/>
      </c>
      <c r="F173" s="18" t="str">
        <f t="array" ref="F173">IF(C173="","","【"&amp;C173&amp;"】"&amp;_xlfn.XLOOKUP(A173&amp;B173&amp;C173,盘货信息!$A:$A&amp;盘货信息!$B:$B&amp;盘货信息!$C:$C,盘货信息!$D:$D))</f>
        <v/>
      </c>
      <c r="G173" s="18" t="str">
        <f>IF(C173="","","【"&amp;"活动时间："&amp;固定信息!$B$3&amp;"】")</f>
        <v/>
      </c>
      <c r="H173" s="18" t="str">
        <f>IF($C173="","",固定信息!$B$1)</f>
        <v/>
      </c>
      <c r="I173" s="18"/>
      <c r="J173" s="18" t="str">
        <f t="array" ref="J173">_xlfn.XLOOKUP(A173&amp;B173&amp;C173,价格信息!$A:$A&amp;价格信息!$B:$B&amp;价格信息!$C:$C,价格信息!$D:$D)</f>
        <v/>
      </c>
      <c r="K173" s="31" t="str">
        <f t="array" ref="K173">IF(_xlfn.XLOOKUP(A173&amp;B173&amp;C173,价格信息!$A:$A&amp;价格信息!$B:$B&amp;价格信息!$C:$C,价格信息!$I:$I)="","","【优惠券链接】"&amp;固定信息!$B$6)</f>
        <v/>
      </c>
      <c r="L173" s="31" t="str">
        <f>IF($C173="","",固定信息!$B$1)</f>
        <v/>
      </c>
      <c r="M173" s="18" t="str">
        <f t="array" ref="M173">IF(_xlfn.XLOOKUP(A173&amp;B173&amp;C173,盘货信息!$A:$A&amp;盘货信息!$B:$B&amp;盘货信息!$C:$C,盘货信息!$O:$O)="","","【优惠券】领"&amp;INDEX(_wpsfn.REGEXP(_xlfn.XLOOKUP(A173&amp;B173&amp;C173,盘货信息!$A:$A&amp;盘货信息!$B:$B&amp;盘货信息!$C:$C,盘货信息!$O:$O),"\d+"),1,1)&amp;"元优惠券下单更优惠，优惠卷："&amp;_xlfn.XLOOKUP(A173&amp;B173&amp;C173,盘货信息!$A:$A&amp;盘货信息!$B:$B&amp;盘货信息!$C:$C,盘货信息!$P:$P))</f>
        <v/>
      </c>
      <c r="N173" s="18" t="str">
        <f t="array" ref="N173">IF(AND(ISNUMBER(_xlfn.XLOOKUP(A173&amp;B173&amp;C173,盘货信息!$A:$A&amp;盘货信息!$B:$B&amp;盘货信息!$C:$C,盘货信息!$I:$I)),_xlfn.XLOOKUP(A173&amp;B173&amp;C173,盘货信息!$A:$A&amp;盘货信息!$B:$B&amp;盘货信息!$C:$C,盘货信息!$I:$I)&gt;1),"【88VIP】立减"&amp;_xlfn.XLOOKUP(A173&amp;B173&amp;C173,盘货信息!$A:$A&amp;盘货信息!$B:$B&amp;盘货信息!$C:$C,盘货信息!$I:$I)&amp;"元","")</f>
        <v/>
      </c>
      <c r="O173" s="18" t="str">
        <f t="array" ref="O173">IF(_xlfn.XLOOKUP(A173&amp;B173&amp;C173,盘货信息!$A:$A&amp;盘货信息!$B:$B&amp;盘货信息!$C:$C,盘货信息!$K:$K)="","",IF(AND(_xlfn.XLOOKUP(A173&amp;B173&amp;C173,盘货信息!$A:$A&amp;盘货信息!$B:$B&amp;盘货信息!$C:$C,盘货信息!$G:$G)="不参加",_xlfn.XLOOKUP(A173&amp;B173&amp;C173,盘货信息!$A:$A&amp;盘货信息!$B:$B&amp;盘货信息!$C:$C,盘货信息!$H:$H)=""),"【以旧换新】"&amp;_xlfn.XLOOKUP(A173&amp;B173&amp;C173,盘货信息!$A:$A&amp;盘货信息!$B:$B&amp;盘货信息!$C:$C,盘货信息!$K:$K)&amp;"元以旧换新补贴（可无旧机换新）",""))</f>
        <v/>
      </c>
      <c r="P173" s="18" t="str">
        <f t="array" ref="P173">_xlfn.XLOOKUP(A173&amp;B173&amp;C173,赠品!$A:$A&amp;赠品!$B:$B&amp;赠品!$C:$C,赠品!$D:$D)</f>
        <v/>
      </c>
      <c r="Q173" s="18" t="str">
        <f>IF($C173="","",IF(AND(M173="",N173="",P173=""),"",固定信息!$B$1))</f>
        <v/>
      </c>
      <c r="R173" s="18" t="str">
        <f t="array" ref="R173">IF(ISNUMBER(SEARCH("是",_xlfn.XLOOKUP(A173&amp;B173&amp;C173,盘货信息!$A:$A&amp;盘货信息!$B:$B&amp;盘货信息!$C:$C,盘货信息!$U:$U))),"【折扣】指定型号满2类享96折，满3类享94折","")</f>
        <v/>
      </c>
      <c r="S173" s="18" t="str">
        <f t="array" ref="S173">IF(_xlfn.XLOOKUP(A173&amp;B173&amp;C173,盘货信息!$A:$A&amp;盘货信息!$B:$B&amp;盘货信息!$C:$C,盘货信息!$Q:$Q)&lt;1,"","【红包】活动时间购机送"&amp;_xlfn.TEXTJOIN("",,IF(ISNUMBER(--MID(_xlfn.XLOOKUP(A173&amp;B173&amp;C173,盘货信息!$A:$A&amp;盘货信息!$B:$B&amp;盘货信息!$C:$C,盘货信息!$Q:$Q),_xlfn.SEQUENCE(LEN(_xlfn.XLOOKUP(A173&amp;B173&amp;C173,盘货信息!$A:$A&amp;盘货信息!$B:$B&amp;盘货信息!$C:$C,盘货信息!$Q:$Q))),1)),MID(_xlfn.XLOOKUP(A173&amp;B173&amp;C173,盘货信息!$A:$A&amp;盘货信息!$B:$B&amp;盘货信息!$C:$C,盘货信息!$Q:$Q),_xlfn.SEQUENCE(LEN(_xlfn.XLOOKUP(A173&amp;B173&amp;C173,盘货信息!$A:$A&amp;盘货信息!$B:$B&amp;盘货信息!$C:$C,盘货信息!$Q:$Q))),1),""))&amp;"元")</f>
        <v/>
      </c>
      <c r="T173" s="18" t="str">
        <f t="array" ref="T173">IF(ISNUMBER(SEARCH("是",_xlfn.XLOOKUP(A173&amp;B173&amp;C173,盘货信息!$A:$A&amp;盘货信息!$B:$B&amp;盘货信息!$C:$C,盘货信息!$T:$T))),"【瓜分】"&amp;固定信息!$B$7,"")</f>
        <v/>
      </c>
      <c r="U173" s="18" t="str">
        <f>IF($C173="","",IF(AND(R173="",S173="",T173=""),"",固定信息!$B$1))</f>
        <v/>
      </c>
      <c r="V173" s="18" t="str">
        <f t="array" ref="V173">IF(C173="","","【服务】"&amp;IF(_xlfn.XLOOKUP(A173&amp;B173&amp;C173,盘货信息!$A:$A&amp;盘货信息!$B:$B&amp;盘货信息!$C:$C,盘货信息!$V:$V)="","",_xlfn.XLOOKUP(A173&amp;B173&amp;C173,盘货信息!$A:$A&amp;盘货信息!$B:$B&amp;盘货信息!$C:$C,盘货信息!$V:$V)&amp;"免息,")&amp;IF(_xlfn.XLOOKUP(A173&amp;B173&amp;C173,盘货信息!$A:$A&amp;盘货信息!$B:$B&amp;盘货信息!$C:$C,盘货信息!$W:$W)="","",_xlfn.XLOOKUP(A173&amp;B173&amp;C173,盘货信息!$A:$A&amp;盘货信息!$B:$B&amp;盘货信息!$C:$C,盘货信息!$W:$W)&amp;"，")&amp;"送货入户，退换免运费")</f>
        <v/>
      </c>
    </row>
    <row r="174" customHeight="1" spans="1:22">
      <c r="A174" s="17" t="str">
        <f>IF(盘货信息!A174="","",盘货信息!A174)</f>
        <v/>
      </c>
      <c r="B174" s="20" t="str">
        <f>IF(盘货信息!B174="","",盘货信息!B174)</f>
        <v/>
      </c>
      <c r="C174" s="18" t="str">
        <f>IF(盘货信息!C174="","",盘货信息!C174)</f>
        <v/>
      </c>
      <c r="D174" s="18" t="str">
        <f ca="1" t="shared" si="2"/>
        <v/>
      </c>
      <c r="E174" s="18" t="str">
        <f>IF(C174="","",固定信息!$B$2)</f>
        <v/>
      </c>
      <c r="F174" s="18" t="str">
        <f t="array" ref="F174">IF(C174="","","【"&amp;C174&amp;"】"&amp;_xlfn.XLOOKUP(A174&amp;B174&amp;C174,盘货信息!$A:$A&amp;盘货信息!$B:$B&amp;盘货信息!$C:$C,盘货信息!$D:$D))</f>
        <v/>
      </c>
      <c r="G174" s="18" t="str">
        <f>IF(C174="","","【"&amp;"活动时间："&amp;固定信息!$B$3&amp;"】")</f>
        <v/>
      </c>
      <c r="H174" s="18" t="str">
        <f>IF($C174="","",固定信息!$B$1)</f>
        <v/>
      </c>
      <c r="I174" s="18"/>
      <c r="J174" s="18" t="str">
        <f t="array" ref="J174">_xlfn.XLOOKUP(A174&amp;B174&amp;C174,价格信息!$A:$A&amp;价格信息!$B:$B&amp;价格信息!$C:$C,价格信息!$D:$D)</f>
        <v/>
      </c>
      <c r="K174" s="31" t="str">
        <f t="array" ref="K174">IF(_xlfn.XLOOKUP(A174&amp;B174&amp;C174,价格信息!$A:$A&amp;价格信息!$B:$B&amp;价格信息!$C:$C,价格信息!$I:$I)="","","【优惠券链接】"&amp;固定信息!$B$6)</f>
        <v/>
      </c>
      <c r="L174" s="31" t="str">
        <f>IF($C174="","",固定信息!$B$1)</f>
        <v/>
      </c>
      <c r="M174" s="18" t="str">
        <f t="array" ref="M174">IF(_xlfn.XLOOKUP(A174&amp;B174&amp;C174,盘货信息!$A:$A&amp;盘货信息!$B:$B&amp;盘货信息!$C:$C,盘货信息!$O:$O)="","","【优惠券】领"&amp;INDEX(_wpsfn.REGEXP(_xlfn.XLOOKUP(A174&amp;B174&amp;C174,盘货信息!$A:$A&amp;盘货信息!$B:$B&amp;盘货信息!$C:$C,盘货信息!$O:$O),"\d+"),1,1)&amp;"元优惠券下单更优惠，优惠卷："&amp;_xlfn.XLOOKUP(A174&amp;B174&amp;C174,盘货信息!$A:$A&amp;盘货信息!$B:$B&amp;盘货信息!$C:$C,盘货信息!$P:$P))</f>
        <v/>
      </c>
      <c r="N174" s="18" t="str">
        <f t="array" ref="N174">IF(AND(ISNUMBER(_xlfn.XLOOKUP(A174&amp;B174&amp;C174,盘货信息!$A:$A&amp;盘货信息!$B:$B&amp;盘货信息!$C:$C,盘货信息!$I:$I)),_xlfn.XLOOKUP(A174&amp;B174&amp;C174,盘货信息!$A:$A&amp;盘货信息!$B:$B&amp;盘货信息!$C:$C,盘货信息!$I:$I)&gt;1),"【88VIP】立减"&amp;_xlfn.XLOOKUP(A174&amp;B174&amp;C174,盘货信息!$A:$A&amp;盘货信息!$B:$B&amp;盘货信息!$C:$C,盘货信息!$I:$I)&amp;"元","")</f>
        <v/>
      </c>
      <c r="O174" s="18" t="str">
        <f t="array" ref="O174">IF(_xlfn.XLOOKUP(A174&amp;B174&amp;C174,盘货信息!$A:$A&amp;盘货信息!$B:$B&amp;盘货信息!$C:$C,盘货信息!$K:$K)="","",IF(AND(_xlfn.XLOOKUP(A174&amp;B174&amp;C174,盘货信息!$A:$A&amp;盘货信息!$B:$B&amp;盘货信息!$C:$C,盘货信息!$G:$G)="不参加",_xlfn.XLOOKUP(A174&amp;B174&amp;C174,盘货信息!$A:$A&amp;盘货信息!$B:$B&amp;盘货信息!$C:$C,盘货信息!$H:$H)=""),"【以旧换新】"&amp;_xlfn.XLOOKUP(A174&amp;B174&amp;C174,盘货信息!$A:$A&amp;盘货信息!$B:$B&amp;盘货信息!$C:$C,盘货信息!$K:$K)&amp;"元以旧换新补贴（可无旧机换新）",""))</f>
        <v/>
      </c>
      <c r="P174" s="18" t="str">
        <f t="array" ref="P174">_xlfn.XLOOKUP(A174&amp;B174&amp;C174,赠品!$A:$A&amp;赠品!$B:$B&amp;赠品!$C:$C,赠品!$D:$D)</f>
        <v/>
      </c>
      <c r="Q174" s="18" t="str">
        <f>IF($C174="","",IF(AND(M174="",N174="",P174=""),"",固定信息!$B$1))</f>
        <v/>
      </c>
      <c r="R174" s="18" t="str">
        <f t="array" ref="R174">IF(ISNUMBER(SEARCH("是",_xlfn.XLOOKUP(A174&amp;B174&amp;C174,盘货信息!$A:$A&amp;盘货信息!$B:$B&amp;盘货信息!$C:$C,盘货信息!$U:$U))),"【折扣】指定型号满2类享96折，满3类享94折","")</f>
        <v/>
      </c>
      <c r="S174" s="18" t="str">
        <f t="array" ref="S174">IF(_xlfn.XLOOKUP(A174&amp;B174&amp;C174,盘货信息!$A:$A&amp;盘货信息!$B:$B&amp;盘货信息!$C:$C,盘货信息!$Q:$Q)&lt;1,"","【红包】活动时间购机送"&amp;_xlfn.TEXTJOIN("",,IF(ISNUMBER(--MID(_xlfn.XLOOKUP(A174&amp;B174&amp;C174,盘货信息!$A:$A&amp;盘货信息!$B:$B&amp;盘货信息!$C:$C,盘货信息!$Q:$Q),_xlfn.SEQUENCE(LEN(_xlfn.XLOOKUP(A174&amp;B174&amp;C174,盘货信息!$A:$A&amp;盘货信息!$B:$B&amp;盘货信息!$C:$C,盘货信息!$Q:$Q))),1)),MID(_xlfn.XLOOKUP(A174&amp;B174&amp;C174,盘货信息!$A:$A&amp;盘货信息!$B:$B&amp;盘货信息!$C:$C,盘货信息!$Q:$Q),_xlfn.SEQUENCE(LEN(_xlfn.XLOOKUP(A174&amp;B174&amp;C174,盘货信息!$A:$A&amp;盘货信息!$B:$B&amp;盘货信息!$C:$C,盘货信息!$Q:$Q))),1),""))&amp;"元")</f>
        <v/>
      </c>
      <c r="T174" s="18" t="str">
        <f t="array" ref="T174">IF(ISNUMBER(SEARCH("是",_xlfn.XLOOKUP(A174&amp;B174&amp;C174,盘货信息!$A:$A&amp;盘货信息!$B:$B&amp;盘货信息!$C:$C,盘货信息!$T:$T))),"【瓜分】"&amp;固定信息!$B$7,"")</f>
        <v/>
      </c>
      <c r="U174" s="18" t="str">
        <f>IF($C174="","",IF(AND(R174="",S174="",T174=""),"",固定信息!$B$1))</f>
        <v/>
      </c>
      <c r="V174" s="18" t="str">
        <f t="array" ref="V174">IF(C174="","","【服务】"&amp;IF(_xlfn.XLOOKUP(A174&amp;B174&amp;C174,盘货信息!$A:$A&amp;盘货信息!$B:$B&amp;盘货信息!$C:$C,盘货信息!$V:$V)="","",_xlfn.XLOOKUP(A174&amp;B174&amp;C174,盘货信息!$A:$A&amp;盘货信息!$B:$B&amp;盘货信息!$C:$C,盘货信息!$V:$V)&amp;"免息,")&amp;IF(_xlfn.XLOOKUP(A174&amp;B174&amp;C174,盘货信息!$A:$A&amp;盘货信息!$B:$B&amp;盘货信息!$C:$C,盘货信息!$W:$W)="","",_xlfn.XLOOKUP(A174&amp;B174&amp;C174,盘货信息!$A:$A&amp;盘货信息!$B:$B&amp;盘货信息!$C:$C,盘货信息!$W:$W)&amp;"，")&amp;"送货入户，退换免运费")</f>
        <v/>
      </c>
    </row>
    <row r="175" customHeight="1" spans="1:22">
      <c r="A175" s="17" t="str">
        <f>IF(盘货信息!A175="","",盘货信息!A175)</f>
        <v/>
      </c>
      <c r="B175" s="20" t="str">
        <f>IF(盘货信息!B175="","",盘货信息!B175)</f>
        <v/>
      </c>
      <c r="C175" s="18" t="str">
        <f>IF(盘货信息!C175="","",盘货信息!C175)</f>
        <v/>
      </c>
      <c r="D175" s="18" t="str">
        <f ca="1" t="shared" si="2"/>
        <v/>
      </c>
      <c r="E175" s="18" t="str">
        <f>IF(C175="","",固定信息!$B$2)</f>
        <v/>
      </c>
      <c r="F175" s="18" t="str">
        <f t="array" ref="F175">IF(C175="","","【"&amp;C175&amp;"】"&amp;_xlfn.XLOOKUP(A175&amp;B175&amp;C175,盘货信息!$A:$A&amp;盘货信息!$B:$B&amp;盘货信息!$C:$C,盘货信息!$D:$D))</f>
        <v/>
      </c>
      <c r="G175" s="18" t="str">
        <f>IF(C175="","","【"&amp;"活动时间："&amp;固定信息!$B$3&amp;"】")</f>
        <v/>
      </c>
      <c r="H175" s="18" t="str">
        <f>IF($C175="","",固定信息!$B$1)</f>
        <v/>
      </c>
      <c r="I175" s="18"/>
      <c r="J175" s="18" t="str">
        <f t="array" ref="J175">_xlfn.XLOOKUP(A175&amp;B175&amp;C175,价格信息!$A:$A&amp;价格信息!$B:$B&amp;价格信息!$C:$C,价格信息!$D:$D)</f>
        <v/>
      </c>
      <c r="K175" s="31" t="str">
        <f t="array" ref="K175">IF(_xlfn.XLOOKUP(A175&amp;B175&amp;C175,价格信息!$A:$A&amp;价格信息!$B:$B&amp;价格信息!$C:$C,价格信息!$I:$I)="","","【优惠券链接】"&amp;固定信息!$B$6)</f>
        <v/>
      </c>
      <c r="L175" s="31" t="str">
        <f>IF($C175="","",固定信息!$B$1)</f>
        <v/>
      </c>
      <c r="M175" s="18" t="str">
        <f t="array" ref="M175">IF(_xlfn.XLOOKUP(A175&amp;B175&amp;C175,盘货信息!$A:$A&amp;盘货信息!$B:$B&amp;盘货信息!$C:$C,盘货信息!$O:$O)="","","【优惠券】领"&amp;INDEX(_wpsfn.REGEXP(_xlfn.XLOOKUP(A175&amp;B175&amp;C175,盘货信息!$A:$A&amp;盘货信息!$B:$B&amp;盘货信息!$C:$C,盘货信息!$O:$O),"\d+"),1,1)&amp;"元优惠券下单更优惠，优惠卷："&amp;_xlfn.XLOOKUP(A175&amp;B175&amp;C175,盘货信息!$A:$A&amp;盘货信息!$B:$B&amp;盘货信息!$C:$C,盘货信息!$P:$P))</f>
        <v/>
      </c>
      <c r="N175" s="18" t="str">
        <f t="array" ref="N175">IF(AND(ISNUMBER(_xlfn.XLOOKUP(A175&amp;B175&amp;C175,盘货信息!$A:$A&amp;盘货信息!$B:$B&amp;盘货信息!$C:$C,盘货信息!$I:$I)),_xlfn.XLOOKUP(A175&amp;B175&amp;C175,盘货信息!$A:$A&amp;盘货信息!$B:$B&amp;盘货信息!$C:$C,盘货信息!$I:$I)&gt;1),"【88VIP】立减"&amp;_xlfn.XLOOKUP(A175&amp;B175&amp;C175,盘货信息!$A:$A&amp;盘货信息!$B:$B&amp;盘货信息!$C:$C,盘货信息!$I:$I)&amp;"元","")</f>
        <v/>
      </c>
      <c r="O175" s="18" t="str">
        <f t="array" ref="O175">IF(_xlfn.XLOOKUP(A175&amp;B175&amp;C175,盘货信息!$A:$A&amp;盘货信息!$B:$B&amp;盘货信息!$C:$C,盘货信息!$K:$K)="","",IF(AND(_xlfn.XLOOKUP(A175&amp;B175&amp;C175,盘货信息!$A:$A&amp;盘货信息!$B:$B&amp;盘货信息!$C:$C,盘货信息!$G:$G)="不参加",_xlfn.XLOOKUP(A175&amp;B175&amp;C175,盘货信息!$A:$A&amp;盘货信息!$B:$B&amp;盘货信息!$C:$C,盘货信息!$H:$H)=""),"【以旧换新】"&amp;_xlfn.XLOOKUP(A175&amp;B175&amp;C175,盘货信息!$A:$A&amp;盘货信息!$B:$B&amp;盘货信息!$C:$C,盘货信息!$K:$K)&amp;"元以旧换新补贴（可无旧机换新）",""))</f>
        <v/>
      </c>
      <c r="P175" s="18" t="str">
        <f t="array" ref="P175">_xlfn.XLOOKUP(A175&amp;B175&amp;C175,赠品!$A:$A&amp;赠品!$B:$B&amp;赠品!$C:$C,赠品!$D:$D)</f>
        <v/>
      </c>
      <c r="Q175" s="18" t="str">
        <f>IF($C175="","",IF(AND(M175="",N175="",P175=""),"",固定信息!$B$1))</f>
        <v/>
      </c>
      <c r="R175" s="18" t="str">
        <f t="array" ref="R175">IF(ISNUMBER(SEARCH("是",_xlfn.XLOOKUP(A175&amp;B175&amp;C175,盘货信息!$A:$A&amp;盘货信息!$B:$B&amp;盘货信息!$C:$C,盘货信息!$U:$U))),"【折扣】指定型号满2类享96折，满3类享94折","")</f>
        <v/>
      </c>
      <c r="S175" s="18" t="str">
        <f t="array" ref="S175">IF(_xlfn.XLOOKUP(A175&amp;B175&amp;C175,盘货信息!$A:$A&amp;盘货信息!$B:$B&amp;盘货信息!$C:$C,盘货信息!$Q:$Q)&lt;1,"","【红包】活动时间购机送"&amp;_xlfn.TEXTJOIN("",,IF(ISNUMBER(--MID(_xlfn.XLOOKUP(A175&amp;B175&amp;C175,盘货信息!$A:$A&amp;盘货信息!$B:$B&amp;盘货信息!$C:$C,盘货信息!$Q:$Q),_xlfn.SEQUENCE(LEN(_xlfn.XLOOKUP(A175&amp;B175&amp;C175,盘货信息!$A:$A&amp;盘货信息!$B:$B&amp;盘货信息!$C:$C,盘货信息!$Q:$Q))),1)),MID(_xlfn.XLOOKUP(A175&amp;B175&amp;C175,盘货信息!$A:$A&amp;盘货信息!$B:$B&amp;盘货信息!$C:$C,盘货信息!$Q:$Q),_xlfn.SEQUENCE(LEN(_xlfn.XLOOKUP(A175&amp;B175&amp;C175,盘货信息!$A:$A&amp;盘货信息!$B:$B&amp;盘货信息!$C:$C,盘货信息!$Q:$Q))),1),""))&amp;"元")</f>
        <v/>
      </c>
      <c r="T175" s="18" t="str">
        <f t="array" ref="T175">IF(ISNUMBER(SEARCH("是",_xlfn.XLOOKUP(A175&amp;B175&amp;C175,盘货信息!$A:$A&amp;盘货信息!$B:$B&amp;盘货信息!$C:$C,盘货信息!$T:$T))),"【瓜分】"&amp;固定信息!$B$7,"")</f>
        <v/>
      </c>
      <c r="U175" s="18" t="str">
        <f>IF($C175="","",IF(AND(R175="",S175="",T175=""),"",固定信息!$B$1))</f>
        <v/>
      </c>
      <c r="V175" s="18" t="str">
        <f t="array" ref="V175">IF(C175="","","【服务】"&amp;IF(_xlfn.XLOOKUP(A175&amp;B175&amp;C175,盘货信息!$A:$A&amp;盘货信息!$B:$B&amp;盘货信息!$C:$C,盘货信息!$V:$V)="","",_xlfn.XLOOKUP(A175&amp;B175&amp;C175,盘货信息!$A:$A&amp;盘货信息!$B:$B&amp;盘货信息!$C:$C,盘货信息!$V:$V)&amp;"免息,")&amp;IF(_xlfn.XLOOKUP(A175&amp;B175&amp;C175,盘货信息!$A:$A&amp;盘货信息!$B:$B&amp;盘货信息!$C:$C,盘货信息!$W:$W)="","",_xlfn.XLOOKUP(A175&amp;B175&amp;C175,盘货信息!$A:$A&amp;盘货信息!$B:$B&amp;盘货信息!$C:$C,盘货信息!$W:$W)&amp;"，")&amp;"送货入户，退换免运费")</f>
        <v/>
      </c>
    </row>
    <row r="176" customHeight="1" spans="1:22">
      <c r="A176" s="17" t="str">
        <f>IF(盘货信息!A176="","",盘货信息!A176)</f>
        <v/>
      </c>
      <c r="B176" s="20" t="str">
        <f>IF(盘货信息!B176="","",盘货信息!B176)</f>
        <v/>
      </c>
      <c r="C176" s="18" t="str">
        <f>IF(盘货信息!C176="","",盘货信息!C176)</f>
        <v/>
      </c>
      <c r="D176" s="18" t="str">
        <f ca="1" t="shared" si="2"/>
        <v/>
      </c>
      <c r="E176" s="18" t="str">
        <f>IF(C176="","",固定信息!$B$2)</f>
        <v/>
      </c>
      <c r="F176" s="18" t="str">
        <f t="array" ref="F176">IF(C176="","","【"&amp;C176&amp;"】"&amp;_xlfn.XLOOKUP(A176&amp;B176&amp;C176,盘货信息!$A:$A&amp;盘货信息!$B:$B&amp;盘货信息!$C:$C,盘货信息!$D:$D))</f>
        <v/>
      </c>
      <c r="G176" s="18" t="str">
        <f>IF(C176="","","【"&amp;"活动时间："&amp;固定信息!$B$3&amp;"】")</f>
        <v/>
      </c>
      <c r="H176" s="18" t="str">
        <f>IF($C176="","",固定信息!$B$1)</f>
        <v/>
      </c>
      <c r="I176" s="18"/>
      <c r="J176" s="18" t="str">
        <f t="array" ref="J176">_xlfn.XLOOKUP(A176&amp;B176&amp;C176,价格信息!$A:$A&amp;价格信息!$B:$B&amp;价格信息!$C:$C,价格信息!$D:$D)</f>
        <v/>
      </c>
      <c r="K176" s="31" t="str">
        <f t="array" ref="K176">IF(_xlfn.XLOOKUP(A176&amp;B176&amp;C176,价格信息!$A:$A&amp;价格信息!$B:$B&amp;价格信息!$C:$C,价格信息!$I:$I)="","","【优惠券链接】"&amp;固定信息!$B$6)</f>
        <v/>
      </c>
      <c r="L176" s="31" t="str">
        <f>IF($C176="","",固定信息!$B$1)</f>
        <v/>
      </c>
      <c r="M176" s="18" t="str">
        <f t="array" ref="M176">IF(_xlfn.XLOOKUP(A176&amp;B176&amp;C176,盘货信息!$A:$A&amp;盘货信息!$B:$B&amp;盘货信息!$C:$C,盘货信息!$O:$O)="","","【优惠券】领"&amp;INDEX(_wpsfn.REGEXP(_xlfn.XLOOKUP(A176&amp;B176&amp;C176,盘货信息!$A:$A&amp;盘货信息!$B:$B&amp;盘货信息!$C:$C,盘货信息!$O:$O),"\d+"),1,1)&amp;"元优惠券下单更优惠，优惠卷："&amp;_xlfn.XLOOKUP(A176&amp;B176&amp;C176,盘货信息!$A:$A&amp;盘货信息!$B:$B&amp;盘货信息!$C:$C,盘货信息!$P:$P))</f>
        <v/>
      </c>
      <c r="N176" s="18" t="str">
        <f t="array" ref="N176">IF(AND(ISNUMBER(_xlfn.XLOOKUP(A176&amp;B176&amp;C176,盘货信息!$A:$A&amp;盘货信息!$B:$B&amp;盘货信息!$C:$C,盘货信息!$I:$I)),_xlfn.XLOOKUP(A176&amp;B176&amp;C176,盘货信息!$A:$A&amp;盘货信息!$B:$B&amp;盘货信息!$C:$C,盘货信息!$I:$I)&gt;1),"【88VIP】立减"&amp;_xlfn.XLOOKUP(A176&amp;B176&amp;C176,盘货信息!$A:$A&amp;盘货信息!$B:$B&amp;盘货信息!$C:$C,盘货信息!$I:$I)&amp;"元","")</f>
        <v/>
      </c>
      <c r="O176" s="18" t="str">
        <f t="array" ref="O176">IF(_xlfn.XLOOKUP(A176&amp;B176&amp;C176,盘货信息!$A:$A&amp;盘货信息!$B:$B&amp;盘货信息!$C:$C,盘货信息!$K:$K)="","",IF(AND(_xlfn.XLOOKUP(A176&amp;B176&amp;C176,盘货信息!$A:$A&amp;盘货信息!$B:$B&amp;盘货信息!$C:$C,盘货信息!$G:$G)="不参加",_xlfn.XLOOKUP(A176&amp;B176&amp;C176,盘货信息!$A:$A&amp;盘货信息!$B:$B&amp;盘货信息!$C:$C,盘货信息!$H:$H)=""),"【以旧换新】"&amp;_xlfn.XLOOKUP(A176&amp;B176&amp;C176,盘货信息!$A:$A&amp;盘货信息!$B:$B&amp;盘货信息!$C:$C,盘货信息!$K:$K)&amp;"元以旧换新补贴（可无旧机换新）",""))</f>
        <v/>
      </c>
      <c r="P176" s="18" t="str">
        <f t="array" ref="P176">_xlfn.XLOOKUP(A176&amp;B176&amp;C176,赠品!$A:$A&amp;赠品!$B:$B&amp;赠品!$C:$C,赠品!$D:$D)</f>
        <v/>
      </c>
      <c r="Q176" s="18" t="str">
        <f>IF($C176="","",IF(AND(M176="",N176="",P176=""),"",固定信息!$B$1))</f>
        <v/>
      </c>
      <c r="R176" s="18" t="str">
        <f t="array" ref="R176">IF(ISNUMBER(SEARCH("是",_xlfn.XLOOKUP(A176&amp;B176&amp;C176,盘货信息!$A:$A&amp;盘货信息!$B:$B&amp;盘货信息!$C:$C,盘货信息!$U:$U))),"【折扣】指定型号满2类享96折，满3类享94折","")</f>
        <v/>
      </c>
      <c r="S176" s="18" t="str">
        <f t="array" ref="S176">IF(_xlfn.XLOOKUP(A176&amp;B176&amp;C176,盘货信息!$A:$A&amp;盘货信息!$B:$B&amp;盘货信息!$C:$C,盘货信息!$Q:$Q)&lt;1,"","【红包】活动时间购机送"&amp;_xlfn.TEXTJOIN("",,IF(ISNUMBER(--MID(_xlfn.XLOOKUP(A176&amp;B176&amp;C176,盘货信息!$A:$A&amp;盘货信息!$B:$B&amp;盘货信息!$C:$C,盘货信息!$Q:$Q),_xlfn.SEQUENCE(LEN(_xlfn.XLOOKUP(A176&amp;B176&amp;C176,盘货信息!$A:$A&amp;盘货信息!$B:$B&amp;盘货信息!$C:$C,盘货信息!$Q:$Q))),1)),MID(_xlfn.XLOOKUP(A176&amp;B176&amp;C176,盘货信息!$A:$A&amp;盘货信息!$B:$B&amp;盘货信息!$C:$C,盘货信息!$Q:$Q),_xlfn.SEQUENCE(LEN(_xlfn.XLOOKUP(A176&amp;B176&amp;C176,盘货信息!$A:$A&amp;盘货信息!$B:$B&amp;盘货信息!$C:$C,盘货信息!$Q:$Q))),1),""))&amp;"元")</f>
        <v/>
      </c>
      <c r="T176" s="18" t="str">
        <f t="array" ref="T176">IF(ISNUMBER(SEARCH("是",_xlfn.XLOOKUP(A176&amp;B176&amp;C176,盘货信息!$A:$A&amp;盘货信息!$B:$B&amp;盘货信息!$C:$C,盘货信息!$T:$T))),"【瓜分】"&amp;固定信息!$B$7,"")</f>
        <v/>
      </c>
      <c r="U176" s="18" t="str">
        <f>IF($C176="","",IF(AND(R176="",S176="",T176=""),"",固定信息!$B$1))</f>
        <v/>
      </c>
      <c r="V176" s="18" t="str">
        <f t="array" ref="V176">IF(C176="","","【服务】"&amp;IF(_xlfn.XLOOKUP(A176&amp;B176&amp;C176,盘货信息!$A:$A&amp;盘货信息!$B:$B&amp;盘货信息!$C:$C,盘货信息!$V:$V)="","",_xlfn.XLOOKUP(A176&amp;B176&amp;C176,盘货信息!$A:$A&amp;盘货信息!$B:$B&amp;盘货信息!$C:$C,盘货信息!$V:$V)&amp;"免息,")&amp;IF(_xlfn.XLOOKUP(A176&amp;B176&amp;C176,盘货信息!$A:$A&amp;盘货信息!$B:$B&amp;盘货信息!$C:$C,盘货信息!$W:$W)="","",_xlfn.XLOOKUP(A176&amp;B176&amp;C176,盘货信息!$A:$A&amp;盘货信息!$B:$B&amp;盘货信息!$C:$C,盘货信息!$W:$W)&amp;"，")&amp;"送货入户，退换免运费")</f>
        <v/>
      </c>
    </row>
    <row r="177" customHeight="1" spans="1:22">
      <c r="A177" s="17" t="str">
        <f>IF(盘货信息!A177="","",盘货信息!A177)</f>
        <v/>
      </c>
      <c r="B177" s="20" t="str">
        <f>IF(盘货信息!B177="","",盘货信息!B177)</f>
        <v/>
      </c>
      <c r="C177" s="18" t="str">
        <f>IF(盘货信息!C177="","",盘货信息!C177)</f>
        <v/>
      </c>
      <c r="D177" s="18" t="str">
        <f ca="1" t="shared" si="2"/>
        <v/>
      </c>
      <c r="E177" s="18" t="str">
        <f>IF(C177="","",固定信息!$B$2)</f>
        <v/>
      </c>
      <c r="F177" s="18" t="str">
        <f t="array" ref="F177">IF(C177="","","【"&amp;C177&amp;"】"&amp;_xlfn.XLOOKUP(A177&amp;B177&amp;C177,盘货信息!$A:$A&amp;盘货信息!$B:$B&amp;盘货信息!$C:$C,盘货信息!$D:$D))</f>
        <v/>
      </c>
      <c r="G177" s="18" t="str">
        <f>IF(C177="","","【"&amp;"活动时间："&amp;固定信息!$B$3&amp;"】")</f>
        <v/>
      </c>
      <c r="H177" s="18" t="str">
        <f>IF($C177="","",固定信息!$B$1)</f>
        <v/>
      </c>
      <c r="I177" s="18"/>
      <c r="J177" s="18" t="str">
        <f t="array" ref="J177">_xlfn.XLOOKUP(A177&amp;B177&amp;C177,价格信息!$A:$A&amp;价格信息!$B:$B&amp;价格信息!$C:$C,价格信息!$D:$D)</f>
        <v/>
      </c>
      <c r="K177" s="31" t="str">
        <f t="array" ref="K177">IF(_xlfn.XLOOKUP(A177&amp;B177&amp;C177,价格信息!$A:$A&amp;价格信息!$B:$B&amp;价格信息!$C:$C,价格信息!$I:$I)="","","【优惠券链接】"&amp;固定信息!$B$6)</f>
        <v/>
      </c>
      <c r="L177" s="31" t="str">
        <f>IF($C177="","",固定信息!$B$1)</f>
        <v/>
      </c>
      <c r="M177" s="18" t="str">
        <f t="array" ref="M177">IF(_xlfn.XLOOKUP(A177&amp;B177&amp;C177,盘货信息!$A:$A&amp;盘货信息!$B:$B&amp;盘货信息!$C:$C,盘货信息!$O:$O)="","","【优惠券】领"&amp;INDEX(_wpsfn.REGEXP(_xlfn.XLOOKUP(A177&amp;B177&amp;C177,盘货信息!$A:$A&amp;盘货信息!$B:$B&amp;盘货信息!$C:$C,盘货信息!$O:$O),"\d+"),1,1)&amp;"元优惠券下单更优惠，优惠卷："&amp;_xlfn.XLOOKUP(A177&amp;B177&amp;C177,盘货信息!$A:$A&amp;盘货信息!$B:$B&amp;盘货信息!$C:$C,盘货信息!$P:$P))</f>
        <v/>
      </c>
      <c r="N177" s="18" t="str">
        <f t="array" ref="N177">IF(AND(ISNUMBER(_xlfn.XLOOKUP(A177&amp;B177&amp;C177,盘货信息!$A:$A&amp;盘货信息!$B:$B&amp;盘货信息!$C:$C,盘货信息!$I:$I)),_xlfn.XLOOKUP(A177&amp;B177&amp;C177,盘货信息!$A:$A&amp;盘货信息!$B:$B&amp;盘货信息!$C:$C,盘货信息!$I:$I)&gt;1),"【88VIP】立减"&amp;_xlfn.XLOOKUP(A177&amp;B177&amp;C177,盘货信息!$A:$A&amp;盘货信息!$B:$B&amp;盘货信息!$C:$C,盘货信息!$I:$I)&amp;"元","")</f>
        <v/>
      </c>
      <c r="O177" s="18" t="str">
        <f t="array" ref="O177">IF(_xlfn.XLOOKUP(A177&amp;B177&amp;C177,盘货信息!$A:$A&amp;盘货信息!$B:$B&amp;盘货信息!$C:$C,盘货信息!$K:$K)="","",IF(AND(_xlfn.XLOOKUP(A177&amp;B177&amp;C177,盘货信息!$A:$A&amp;盘货信息!$B:$B&amp;盘货信息!$C:$C,盘货信息!$G:$G)="不参加",_xlfn.XLOOKUP(A177&amp;B177&amp;C177,盘货信息!$A:$A&amp;盘货信息!$B:$B&amp;盘货信息!$C:$C,盘货信息!$H:$H)=""),"【以旧换新】"&amp;_xlfn.XLOOKUP(A177&amp;B177&amp;C177,盘货信息!$A:$A&amp;盘货信息!$B:$B&amp;盘货信息!$C:$C,盘货信息!$K:$K)&amp;"元以旧换新补贴（可无旧机换新）",""))</f>
        <v/>
      </c>
      <c r="P177" s="18" t="str">
        <f t="array" ref="P177">_xlfn.XLOOKUP(A177&amp;B177&amp;C177,赠品!$A:$A&amp;赠品!$B:$B&amp;赠品!$C:$C,赠品!$D:$D)</f>
        <v/>
      </c>
      <c r="Q177" s="18" t="str">
        <f>IF($C177="","",IF(AND(M177="",N177="",P177=""),"",固定信息!$B$1))</f>
        <v/>
      </c>
      <c r="R177" s="18" t="str">
        <f t="array" ref="R177">IF(ISNUMBER(SEARCH("是",_xlfn.XLOOKUP(A177&amp;B177&amp;C177,盘货信息!$A:$A&amp;盘货信息!$B:$B&amp;盘货信息!$C:$C,盘货信息!$U:$U))),"【折扣】指定型号满2类享96折，满3类享94折","")</f>
        <v/>
      </c>
      <c r="S177" s="18" t="str">
        <f t="array" ref="S177">IF(_xlfn.XLOOKUP(A177&amp;B177&amp;C177,盘货信息!$A:$A&amp;盘货信息!$B:$B&amp;盘货信息!$C:$C,盘货信息!$Q:$Q)&lt;1,"","【红包】活动时间购机送"&amp;_xlfn.TEXTJOIN("",,IF(ISNUMBER(--MID(_xlfn.XLOOKUP(A177&amp;B177&amp;C177,盘货信息!$A:$A&amp;盘货信息!$B:$B&amp;盘货信息!$C:$C,盘货信息!$Q:$Q),_xlfn.SEQUENCE(LEN(_xlfn.XLOOKUP(A177&amp;B177&amp;C177,盘货信息!$A:$A&amp;盘货信息!$B:$B&amp;盘货信息!$C:$C,盘货信息!$Q:$Q))),1)),MID(_xlfn.XLOOKUP(A177&amp;B177&amp;C177,盘货信息!$A:$A&amp;盘货信息!$B:$B&amp;盘货信息!$C:$C,盘货信息!$Q:$Q),_xlfn.SEQUENCE(LEN(_xlfn.XLOOKUP(A177&amp;B177&amp;C177,盘货信息!$A:$A&amp;盘货信息!$B:$B&amp;盘货信息!$C:$C,盘货信息!$Q:$Q))),1),""))&amp;"元")</f>
        <v/>
      </c>
      <c r="T177" s="18" t="str">
        <f t="array" ref="T177">IF(ISNUMBER(SEARCH("是",_xlfn.XLOOKUP(A177&amp;B177&amp;C177,盘货信息!$A:$A&amp;盘货信息!$B:$B&amp;盘货信息!$C:$C,盘货信息!$T:$T))),"【瓜分】"&amp;固定信息!$B$7,"")</f>
        <v/>
      </c>
      <c r="U177" s="18" t="str">
        <f>IF($C177="","",IF(AND(R177="",S177="",T177=""),"",固定信息!$B$1))</f>
        <v/>
      </c>
      <c r="V177" s="18" t="str">
        <f t="array" ref="V177">IF(C177="","","【服务】"&amp;IF(_xlfn.XLOOKUP(A177&amp;B177&amp;C177,盘货信息!$A:$A&amp;盘货信息!$B:$B&amp;盘货信息!$C:$C,盘货信息!$V:$V)="","",_xlfn.XLOOKUP(A177&amp;B177&amp;C177,盘货信息!$A:$A&amp;盘货信息!$B:$B&amp;盘货信息!$C:$C,盘货信息!$V:$V)&amp;"免息,")&amp;IF(_xlfn.XLOOKUP(A177&amp;B177&amp;C177,盘货信息!$A:$A&amp;盘货信息!$B:$B&amp;盘货信息!$C:$C,盘货信息!$W:$W)="","",_xlfn.XLOOKUP(A177&amp;B177&amp;C177,盘货信息!$A:$A&amp;盘货信息!$B:$B&amp;盘货信息!$C:$C,盘货信息!$W:$W)&amp;"，")&amp;"送货入户，退换免运费")</f>
        <v/>
      </c>
    </row>
    <row r="178" customHeight="1" spans="1:22">
      <c r="A178" s="17" t="str">
        <f>IF(盘货信息!A178="","",盘货信息!A178)</f>
        <v/>
      </c>
      <c r="B178" s="20" t="str">
        <f>IF(盘货信息!B178="","",盘货信息!B178)</f>
        <v/>
      </c>
      <c r="C178" s="18" t="str">
        <f>IF(盘货信息!C178="","",盘货信息!C178)</f>
        <v/>
      </c>
      <c r="D178" s="18" t="str">
        <f ca="1" t="shared" si="2"/>
        <v/>
      </c>
      <c r="E178" s="18" t="str">
        <f>IF(C178="","",固定信息!$B$2)</f>
        <v/>
      </c>
      <c r="F178" s="18" t="str">
        <f t="array" ref="F178">IF(C178="","","【"&amp;C178&amp;"】"&amp;_xlfn.XLOOKUP(A178&amp;B178&amp;C178,盘货信息!$A:$A&amp;盘货信息!$B:$B&amp;盘货信息!$C:$C,盘货信息!$D:$D))</f>
        <v/>
      </c>
      <c r="G178" s="18" t="str">
        <f>IF(C178="","","【"&amp;"活动时间："&amp;固定信息!$B$3&amp;"】")</f>
        <v/>
      </c>
      <c r="H178" s="18" t="str">
        <f>IF($C178="","",固定信息!$B$1)</f>
        <v/>
      </c>
      <c r="I178" s="18"/>
      <c r="J178" s="18" t="str">
        <f t="array" ref="J178">_xlfn.XLOOKUP(A178&amp;B178&amp;C178,价格信息!$A:$A&amp;价格信息!$B:$B&amp;价格信息!$C:$C,价格信息!$D:$D)</f>
        <v/>
      </c>
      <c r="K178" s="31" t="str">
        <f t="array" ref="K178">IF(_xlfn.XLOOKUP(A178&amp;B178&amp;C178,价格信息!$A:$A&amp;价格信息!$B:$B&amp;价格信息!$C:$C,价格信息!$I:$I)="","","【优惠券链接】"&amp;固定信息!$B$6)</f>
        <v/>
      </c>
      <c r="L178" s="31" t="str">
        <f>IF($C178="","",固定信息!$B$1)</f>
        <v/>
      </c>
      <c r="M178" s="18" t="str">
        <f t="array" ref="M178">IF(_xlfn.XLOOKUP(A178&amp;B178&amp;C178,盘货信息!$A:$A&amp;盘货信息!$B:$B&amp;盘货信息!$C:$C,盘货信息!$O:$O)="","","【优惠券】领"&amp;INDEX(_wpsfn.REGEXP(_xlfn.XLOOKUP(A178&amp;B178&amp;C178,盘货信息!$A:$A&amp;盘货信息!$B:$B&amp;盘货信息!$C:$C,盘货信息!$O:$O),"\d+"),1,1)&amp;"元优惠券下单更优惠，优惠卷："&amp;_xlfn.XLOOKUP(A178&amp;B178&amp;C178,盘货信息!$A:$A&amp;盘货信息!$B:$B&amp;盘货信息!$C:$C,盘货信息!$P:$P))</f>
        <v/>
      </c>
      <c r="N178" s="18" t="str">
        <f t="array" ref="N178">IF(AND(ISNUMBER(_xlfn.XLOOKUP(A178&amp;B178&amp;C178,盘货信息!$A:$A&amp;盘货信息!$B:$B&amp;盘货信息!$C:$C,盘货信息!$I:$I)),_xlfn.XLOOKUP(A178&amp;B178&amp;C178,盘货信息!$A:$A&amp;盘货信息!$B:$B&amp;盘货信息!$C:$C,盘货信息!$I:$I)&gt;1),"【88VIP】立减"&amp;_xlfn.XLOOKUP(A178&amp;B178&amp;C178,盘货信息!$A:$A&amp;盘货信息!$B:$B&amp;盘货信息!$C:$C,盘货信息!$I:$I)&amp;"元","")</f>
        <v/>
      </c>
      <c r="O178" s="18" t="str">
        <f t="array" ref="O178">IF(_xlfn.XLOOKUP(A178&amp;B178&amp;C178,盘货信息!$A:$A&amp;盘货信息!$B:$B&amp;盘货信息!$C:$C,盘货信息!$K:$K)="","",IF(AND(_xlfn.XLOOKUP(A178&amp;B178&amp;C178,盘货信息!$A:$A&amp;盘货信息!$B:$B&amp;盘货信息!$C:$C,盘货信息!$G:$G)="不参加",_xlfn.XLOOKUP(A178&amp;B178&amp;C178,盘货信息!$A:$A&amp;盘货信息!$B:$B&amp;盘货信息!$C:$C,盘货信息!$H:$H)=""),"【以旧换新】"&amp;_xlfn.XLOOKUP(A178&amp;B178&amp;C178,盘货信息!$A:$A&amp;盘货信息!$B:$B&amp;盘货信息!$C:$C,盘货信息!$K:$K)&amp;"元以旧换新补贴（可无旧机换新）",""))</f>
        <v/>
      </c>
      <c r="P178" s="18" t="str">
        <f t="array" ref="P178">_xlfn.XLOOKUP(A178&amp;B178&amp;C178,赠品!$A:$A&amp;赠品!$B:$B&amp;赠品!$C:$C,赠品!$D:$D)</f>
        <v/>
      </c>
      <c r="Q178" s="18" t="str">
        <f>IF($C178="","",IF(AND(M178="",N178="",P178=""),"",固定信息!$B$1))</f>
        <v/>
      </c>
      <c r="R178" s="18" t="str">
        <f t="array" ref="R178">IF(ISNUMBER(SEARCH("是",_xlfn.XLOOKUP(A178&amp;B178&amp;C178,盘货信息!$A:$A&amp;盘货信息!$B:$B&amp;盘货信息!$C:$C,盘货信息!$U:$U))),"【折扣】指定型号满2类享96折，满3类享94折","")</f>
        <v/>
      </c>
      <c r="S178" s="18" t="str">
        <f t="array" ref="S178">IF(_xlfn.XLOOKUP(A178&amp;B178&amp;C178,盘货信息!$A:$A&amp;盘货信息!$B:$B&amp;盘货信息!$C:$C,盘货信息!$Q:$Q)&lt;1,"","【红包】活动时间购机送"&amp;_xlfn.TEXTJOIN("",,IF(ISNUMBER(--MID(_xlfn.XLOOKUP(A178&amp;B178&amp;C178,盘货信息!$A:$A&amp;盘货信息!$B:$B&amp;盘货信息!$C:$C,盘货信息!$Q:$Q),_xlfn.SEQUENCE(LEN(_xlfn.XLOOKUP(A178&amp;B178&amp;C178,盘货信息!$A:$A&amp;盘货信息!$B:$B&amp;盘货信息!$C:$C,盘货信息!$Q:$Q))),1)),MID(_xlfn.XLOOKUP(A178&amp;B178&amp;C178,盘货信息!$A:$A&amp;盘货信息!$B:$B&amp;盘货信息!$C:$C,盘货信息!$Q:$Q),_xlfn.SEQUENCE(LEN(_xlfn.XLOOKUP(A178&amp;B178&amp;C178,盘货信息!$A:$A&amp;盘货信息!$B:$B&amp;盘货信息!$C:$C,盘货信息!$Q:$Q))),1),""))&amp;"元")</f>
        <v/>
      </c>
      <c r="T178" s="18" t="str">
        <f t="array" ref="T178">IF(ISNUMBER(SEARCH("是",_xlfn.XLOOKUP(A178&amp;B178&amp;C178,盘货信息!$A:$A&amp;盘货信息!$B:$B&amp;盘货信息!$C:$C,盘货信息!$T:$T))),"【瓜分】"&amp;固定信息!$B$7,"")</f>
        <v/>
      </c>
      <c r="U178" s="18" t="str">
        <f>IF($C178="","",IF(AND(R178="",S178="",T178=""),"",固定信息!$B$1))</f>
        <v/>
      </c>
      <c r="V178" s="18" t="str">
        <f t="array" ref="V178">IF(C178="","","【服务】"&amp;IF(_xlfn.XLOOKUP(A178&amp;B178&amp;C178,盘货信息!$A:$A&amp;盘货信息!$B:$B&amp;盘货信息!$C:$C,盘货信息!$V:$V)="","",_xlfn.XLOOKUP(A178&amp;B178&amp;C178,盘货信息!$A:$A&amp;盘货信息!$B:$B&amp;盘货信息!$C:$C,盘货信息!$V:$V)&amp;"免息,")&amp;IF(_xlfn.XLOOKUP(A178&amp;B178&amp;C178,盘货信息!$A:$A&amp;盘货信息!$B:$B&amp;盘货信息!$C:$C,盘货信息!$W:$W)="","",_xlfn.XLOOKUP(A178&amp;B178&amp;C178,盘货信息!$A:$A&amp;盘货信息!$B:$B&amp;盘货信息!$C:$C,盘货信息!$W:$W)&amp;"，")&amp;"送货入户，退换免运费")</f>
        <v/>
      </c>
    </row>
    <row r="179" customHeight="1" spans="1:22">
      <c r="A179" s="17" t="str">
        <f>IF(盘货信息!A179="","",盘货信息!A179)</f>
        <v/>
      </c>
      <c r="B179" s="20" t="str">
        <f>IF(盘货信息!B179="","",盘货信息!B179)</f>
        <v/>
      </c>
      <c r="C179" s="18" t="str">
        <f>IF(盘货信息!C179="","",盘货信息!C179)</f>
        <v/>
      </c>
      <c r="D179" s="18" t="str">
        <f ca="1" t="shared" si="2"/>
        <v/>
      </c>
      <c r="E179" s="18" t="str">
        <f>IF(C179="","",固定信息!$B$2)</f>
        <v/>
      </c>
      <c r="F179" s="18" t="str">
        <f t="array" ref="F179">IF(C179="","","【"&amp;C179&amp;"】"&amp;_xlfn.XLOOKUP(A179&amp;B179&amp;C179,盘货信息!$A:$A&amp;盘货信息!$B:$B&amp;盘货信息!$C:$C,盘货信息!$D:$D))</f>
        <v/>
      </c>
      <c r="G179" s="18" t="str">
        <f>IF(C179="","","【"&amp;"活动时间："&amp;固定信息!$B$3&amp;"】")</f>
        <v/>
      </c>
      <c r="H179" s="18" t="str">
        <f>IF($C179="","",固定信息!$B$1)</f>
        <v/>
      </c>
      <c r="I179" s="18"/>
      <c r="J179" s="18" t="str">
        <f t="array" ref="J179">_xlfn.XLOOKUP(A179&amp;B179&amp;C179,价格信息!$A:$A&amp;价格信息!$B:$B&amp;价格信息!$C:$C,价格信息!$D:$D)</f>
        <v/>
      </c>
      <c r="K179" s="31" t="str">
        <f t="array" ref="K179">IF(_xlfn.XLOOKUP(A179&amp;B179&amp;C179,价格信息!$A:$A&amp;价格信息!$B:$B&amp;价格信息!$C:$C,价格信息!$I:$I)="","","【优惠券链接】"&amp;固定信息!$B$6)</f>
        <v/>
      </c>
      <c r="L179" s="31" t="str">
        <f>IF($C179="","",固定信息!$B$1)</f>
        <v/>
      </c>
      <c r="M179" s="18" t="str">
        <f t="array" ref="M179">IF(_xlfn.XLOOKUP(A179&amp;B179&amp;C179,盘货信息!$A:$A&amp;盘货信息!$B:$B&amp;盘货信息!$C:$C,盘货信息!$O:$O)="","","【优惠券】领"&amp;INDEX(_wpsfn.REGEXP(_xlfn.XLOOKUP(A179&amp;B179&amp;C179,盘货信息!$A:$A&amp;盘货信息!$B:$B&amp;盘货信息!$C:$C,盘货信息!$O:$O),"\d+"),1,1)&amp;"元优惠券下单更优惠，优惠卷："&amp;_xlfn.XLOOKUP(A179&amp;B179&amp;C179,盘货信息!$A:$A&amp;盘货信息!$B:$B&amp;盘货信息!$C:$C,盘货信息!$P:$P))</f>
        <v/>
      </c>
      <c r="N179" s="18" t="str">
        <f t="array" ref="N179">IF(AND(ISNUMBER(_xlfn.XLOOKUP(A179&amp;B179&amp;C179,盘货信息!$A:$A&amp;盘货信息!$B:$B&amp;盘货信息!$C:$C,盘货信息!$I:$I)),_xlfn.XLOOKUP(A179&amp;B179&amp;C179,盘货信息!$A:$A&amp;盘货信息!$B:$B&amp;盘货信息!$C:$C,盘货信息!$I:$I)&gt;1),"【88VIP】立减"&amp;_xlfn.XLOOKUP(A179&amp;B179&amp;C179,盘货信息!$A:$A&amp;盘货信息!$B:$B&amp;盘货信息!$C:$C,盘货信息!$I:$I)&amp;"元","")</f>
        <v/>
      </c>
      <c r="O179" s="18" t="str">
        <f t="array" ref="O179">IF(_xlfn.XLOOKUP(A179&amp;B179&amp;C179,盘货信息!$A:$A&amp;盘货信息!$B:$B&amp;盘货信息!$C:$C,盘货信息!$K:$K)="","",IF(AND(_xlfn.XLOOKUP(A179&amp;B179&amp;C179,盘货信息!$A:$A&amp;盘货信息!$B:$B&amp;盘货信息!$C:$C,盘货信息!$G:$G)="不参加",_xlfn.XLOOKUP(A179&amp;B179&amp;C179,盘货信息!$A:$A&amp;盘货信息!$B:$B&amp;盘货信息!$C:$C,盘货信息!$H:$H)=""),"【以旧换新】"&amp;_xlfn.XLOOKUP(A179&amp;B179&amp;C179,盘货信息!$A:$A&amp;盘货信息!$B:$B&amp;盘货信息!$C:$C,盘货信息!$K:$K)&amp;"元以旧换新补贴（可无旧机换新）",""))</f>
        <v/>
      </c>
      <c r="P179" s="18" t="str">
        <f t="array" ref="P179">_xlfn.XLOOKUP(A179&amp;B179&amp;C179,赠品!$A:$A&amp;赠品!$B:$B&amp;赠品!$C:$C,赠品!$D:$D)</f>
        <v/>
      </c>
      <c r="Q179" s="18" t="str">
        <f>IF($C179="","",IF(AND(M179="",N179="",P179=""),"",固定信息!$B$1))</f>
        <v/>
      </c>
      <c r="R179" s="18" t="str">
        <f t="array" ref="R179">IF(ISNUMBER(SEARCH("是",_xlfn.XLOOKUP(A179&amp;B179&amp;C179,盘货信息!$A:$A&amp;盘货信息!$B:$B&amp;盘货信息!$C:$C,盘货信息!$U:$U))),"【折扣】指定型号满2类享96折，满3类享94折","")</f>
        <v/>
      </c>
      <c r="S179" s="18" t="str">
        <f t="array" ref="S179">IF(_xlfn.XLOOKUP(A179&amp;B179&amp;C179,盘货信息!$A:$A&amp;盘货信息!$B:$B&amp;盘货信息!$C:$C,盘货信息!$Q:$Q)&lt;1,"","【红包】活动时间购机送"&amp;_xlfn.TEXTJOIN("",,IF(ISNUMBER(--MID(_xlfn.XLOOKUP(A179&amp;B179&amp;C179,盘货信息!$A:$A&amp;盘货信息!$B:$B&amp;盘货信息!$C:$C,盘货信息!$Q:$Q),_xlfn.SEQUENCE(LEN(_xlfn.XLOOKUP(A179&amp;B179&amp;C179,盘货信息!$A:$A&amp;盘货信息!$B:$B&amp;盘货信息!$C:$C,盘货信息!$Q:$Q))),1)),MID(_xlfn.XLOOKUP(A179&amp;B179&amp;C179,盘货信息!$A:$A&amp;盘货信息!$B:$B&amp;盘货信息!$C:$C,盘货信息!$Q:$Q),_xlfn.SEQUENCE(LEN(_xlfn.XLOOKUP(A179&amp;B179&amp;C179,盘货信息!$A:$A&amp;盘货信息!$B:$B&amp;盘货信息!$C:$C,盘货信息!$Q:$Q))),1),""))&amp;"元")</f>
        <v/>
      </c>
      <c r="T179" s="18" t="str">
        <f t="array" ref="T179">IF(ISNUMBER(SEARCH("是",_xlfn.XLOOKUP(A179&amp;B179&amp;C179,盘货信息!$A:$A&amp;盘货信息!$B:$B&amp;盘货信息!$C:$C,盘货信息!$T:$T))),"【瓜分】"&amp;固定信息!$B$7,"")</f>
        <v/>
      </c>
      <c r="U179" s="18" t="str">
        <f>IF($C179="","",IF(AND(R179="",S179="",T179=""),"",固定信息!$B$1))</f>
        <v/>
      </c>
      <c r="V179" s="18" t="str">
        <f t="array" ref="V179">IF(C179="","","【服务】"&amp;IF(_xlfn.XLOOKUP(A179&amp;B179&amp;C179,盘货信息!$A:$A&amp;盘货信息!$B:$B&amp;盘货信息!$C:$C,盘货信息!$V:$V)="","",_xlfn.XLOOKUP(A179&amp;B179&amp;C179,盘货信息!$A:$A&amp;盘货信息!$B:$B&amp;盘货信息!$C:$C,盘货信息!$V:$V)&amp;"免息,")&amp;IF(_xlfn.XLOOKUP(A179&amp;B179&amp;C179,盘货信息!$A:$A&amp;盘货信息!$B:$B&amp;盘货信息!$C:$C,盘货信息!$W:$W)="","",_xlfn.XLOOKUP(A179&amp;B179&amp;C179,盘货信息!$A:$A&amp;盘货信息!$B:$B&amp;盘货信息!$C:$C,盘货信息!$W:$W)&amp;"，")&amp;"送货入户，退换免运费")</f>
        <v/>
      </c>
    </row>
    <row r="180" customHeight="1" spans="1:22">
      <c r="A180" s="17" t="str">
        <f>IF(盘货信息!A180="","",盘货信息!A180)</f>
        <v/>
      </c>
      <c r="B180" s="20" t="str">
        <f>IF(盘货信息!B180="","",盘货信息!B180)</f>
        <v/>
      </c>
      <c r="C180" s="18" t="str">
        <f>IF(盘货信息!C180="","",盘货信息!C180)</f>
        <v/>
      </c>
      <c r="D180" s="18" t="str">
        <f ca="1" t="shared" si="2"/>
        <v/>
      </c>
      <c r="E180" s="18" t="str">
        <f>IF(C180="","",固定信息!$B$2)</f>
        <v/>
      </c>
      <c r="F180" s="18" t="str">
        <f t="array" ref="F180">IF(C180="","","【"&amp;C180&amp;"】"&amp;_xlfn.XLOOKUP(A180&amp;B180&amp;C180,盘货信息!$A:$A&amp;盘货信息!$B:$B&amp;盘货信息!$C:$C,盘货信息!$D:$D))</f>
        <v/>
      </c>
      <c r="G180" s="18" t="str">
        <f>IF(C180="","","【"&amp;"活动时间："&amp;固定信息!$B$3&amp;"】")</f>
        <v/>
      </c>
      <c r="H180" s="18" t="str">
        <f>IF($C180="","",固定信息!$B$1)</f>
        <v/>
      </c>
      <c r="I180" s="18"/>
      <c r="J180" s="18" t="str">
        <f t="array" ref="J180">_xlfn.XLOOKUP(A180&amp;B180&amp;C180,价格信息!$A:$A&amp;价格信息!$B:$B&amp;价格信息!$C:$C,价格信息!$D:$D)</f>
        <v/>
      </c>
      <c r="K180" s="31" t="str">
        <f t="array" ref="K180">IF(_xlfn.XLOOKUP(A180&amp;B180&amp;C180,价格信息!$A:$A&amp;价格信息!$B:$B&amp;价格信息!$C:$C,价格信息!$I:$I)="","","【优惠券链接】"&amp;固定信息!$B$6)</f>
        <v/>
      </c>
      <c r="L180" s="31" t="str">
        <f>IF($C180="","",固定信息!$B$1)</f>
        <v/>
      </c>
      <c r="M180" s="18" t="str">
        <f t="array" ref="M180">IF(_xlfn.XLOOKUP(A180&amp;B180&amp;C180,盘货信息!$A:$A&amp;盘货信息!$B:$B&amp;盘货信息!$C:$C,盘货信息!$O:$O)="","","【优惠券】领"&amp;INDEX(_wpsfn.REGEXP(_xlfn.XLOOKUP(A180&amp;B180&amp;C180,盘货信息!$A:$A&amp;盘货信息!$B:$B&amp;盘货信息!$C:$C,盘货信息!$O:$O),"\d+"),1,1)&amp;"元优惠券下单更优惠，优惠卷："&amp;_xlfn.XLOOKUP(A180&amp;B180&amp;C180,盘货信息!$A:$A&amp;盘货信息!$B:$B&amp;盘货信息!$C:$C,盘货信息!$P:$P))</f>
        <v/>
      </c>
      <c r="N180" s="18" t="str">
        <f t="array" ref="N180">IF(AND(ISNUMBER(_xlfn.XLOOKUP(A180&amp;B180&amp;C180,盘货信息!$A:$A&amp;盘货信息!$B:$B&amp;盘货信息!$C:$C,盘货信息!$I:$I)),_xlfn.XLOOKUP(A180&amp;B180&amp;C180,盘货信息!$A:$A&amp;盘货信息!$B:$B&amp;盘货信息!$C:$C,盘货信息!$I:$I)&gt;1),"【88VIP】立减"&amp;_xlfn.XLOOKUP(A180&amp;B180&amp;C180,盘货信息!$A:$A&amp;盘货信息!$B:$B&amp;盘货信息!$C:$C,盘货信息!$I:$I)&amp;"元","")</f>
        <v/>
      </c>
      <c r="O180" s="18" t="str">
        <f t="array" ref="O180">IF(_xlfn.XLOOKUP(A180&amp;B180&amp;C180,盘货信息!$A:$A&amp;盘货信息!$B:$B&amp;盘货信息!$C:$C,盘货信息!$K:$K)="","",IF(AND(_xlfn.XLOOKUP(A180&amp;B180&amp;C180,盘货信息!$A:$A&amp;盘货信息!$B:$B&amp;盘货信息!$C:$C,盘货信息!$G:$G)="不参加",_xlfn.XLOOKUP(A180&amp;B180&amp;C180,盘货信息!$A:$A&amp;盘货信息!$B:$B&amp;盘货信息!$C:$C,盘货信息!$H:$H)=""),"【以旧换新】"&amp;_xlfn.XLOOKUP(A180&amp;B180&amp;C180,盘货信息!$A:$A&amp;盘货信息!$B:$B&amp;盘货信息!$C:$C,盘货信息!$K:$K)&amp;"元以旧换新补贴（可无旧机换新）",""))</f>
        <v/>
      </c>
      <c r="P180" s="18" t="str">
        <f t="array" ref="P180">_xlfn.XLOOKUP(A180&amp;B180&amp;C180,赠品!$A:$A&amp;赠品!$B:$B&amp;赠品!$C:$C,赠品!$D:$D)</f>
        <v/>
      </c>
      <c r="Q180" s="18" t="str">
        <f>IF($C180="","",IF(AND(M180="",N180="",P180=""),"",固定信息!$B$1))</f>
        <v/>
      </c>
      <c r="R180" s="18" t="str">
        <f t="array" ref="R180">IF(ISNUMBER(SEARCH("是",_xlfn.XLOOKUP(A180&amp;B180&amp;C180,盘货信息!$A:$A&amp;盘货信息!$B:$B&amp;盘货信息!$C:$C,盘货信息!$U:$U))),"【折扣】指定型号满2类享96折，满3类享94折","")</f>
        <v/>
      </c>
      <c r="S180" s="18" t="str">
        <f t="array" ref="S180">IF(_xlfn.XLOOKUP(A180&amp;B180&amp;C180,盘货信息!$A:$A&amp;盘货信息!$B:$B&amp;盘货信息!$C:$C,盘货信息!$Q:$Q)&lt;1,"","【红包】活动时间购机送"&amp;_xlfn.TEXTJOIN("",,IF(ISNUMBER(--MID(_xlfn.XLOOKUP(A180&amp;B180&amp;C180,盘货信息!$A:$A&amp;盘货信息!$B:$B&amp;盘货信息!$C:$C,盘货信息!$Q:$Q),_xlfn.SEQUENCE(LEN(_xlfn.XLOOKUP(A180&amp;B180&amp;C180,盘货信息!$A:$A&amp;盘货信息!$B:$B&amp;盘货信息!$C:$C,盘货信息!$Q:$Q))),1)),MID(_xlfn.XLOOKUP(A180&amp;B180&amp;C180,盘货信息!$A:$A&amp;盘货信息!$B:$B&amp;盘货信息!$C:$C,盘货信息!$Q:$Q),_xlfn.SEQUENCE(LEN(_xlfn.XLOOKUP(A180&amp;B180&amp;C180,盘货信息!$A:$A&amp;盘货信息!$B:$B&amp;盘货信息!$C:$C,盘货信息!$Q:$Q))),1),""))&amp;"元")</f>
        <v/>
      </c>
      <c r="T180" s="18" t="str">
        <f t="array" ref="T180">IF(ISNUMBER(SEARCH("是",_xlfn.XLOOKUP(A180&amp;B180&amp;C180,盘货信息!$A:$A&amp;盘货信息!$B:$B&amp;盘货信息!$C:$C,盘货信息!$T:$T))),"【瓜分】"&amp;固定信息!$B$7,"")</f>
        <v/>
      </c>
      <c r="U180" s="18" t="str">
        <f>IF($C180="","",IF(AND(R180="",S180="",T180=""),"",固定信息!$B$1))</f>
        <v/>
      </c>
      <c r="V180" s="18" t="str">
        <f t="array" ref="V180">IF(C180="","","【服务】"&amp;IF(_xlfn.XLOOKUP(A180&amp;B180&amp;C180,盘货信息!$A:$A&amp;盘货信息!$B:$B&amp;盘货信息!$C:$C,盘货信息!$V:$V)="","",_xlfn.XLOOKUP(A180&amp;B180&amp;C180,盘货信息!$A:$A&amp;盘货信息!$B:$B&amp;盘货信息!$C:$C,盘货信息!$V:$V)&amp;"免息,")&amp;IF(_xlfn.XLOOKUP(A180&amp;B180&amp;C180,盘货信息!$A:$A&amp;盘货信息!$B:$B&amp;盘货信息!$C:$C,盘货信息!$W:$W)="","",_xlfn.XLOOKUP(A180&amp;B180&amp;C180,盘货信息!$A:$A&amp;盘货信息!$B:$B&amp;盘货信息!$C:$C,盘货信息!$W:$W)&amp;"，")&amp;"送货入户，退换免运费")</f>
        <v/>
      </c>
    </row>
    <row r="181" customHeight="1" spans="1:22">
      <c r="A181" s="17" t="str">
        <f>IF(盘货信息!A181="","",盘货信息!A181)</f>
        <v/>
      </c>
      <c r="B181" s="20" t="str">
        <f>IF(盘货信息!B181="","",盘货信息!B181)</f>
        <v/>
      </c>
      <c r="C181" s="18" t="str">
        <f>IF(盘货信息!C181="","",盘货信息!C181)</f>
        <v/>
      </c>
      <c r="D181" s="18" t="str">
        <f ca="1" t="shared" si="2"/>
        <v/>
      </c>
      <c r="E181" s="18" t="str">
        <f>IF(C181="","",固定信息!$B$2)</f>
        <v/>
      </c>
      <c r="F181" s="18" t="str">
        <f t="array" ref="F181">IF(C181="","","【"&amp;C181&amp;"】"&amp;_xlfn.XLOOKUP(A181&amp;B181&amp;C181,盘货信息!$A:$A&amp;盘货信息!$B:$B&amp;盘货信息!$C:$C,盘货信息!$D:$D))</f>
        <v/>
      </c>
      <c r="G181" s="18" t="str">
        <f>IF(C181="","","【"&amp;"活动时间："&amp;固定信息!$B$3&amp;"】")</f>
        <v/>
      </c>
      <c r="H181" s="18" t="str">
        <f>IF($C181="","",固定信息!$B$1)</f>
        <v/>
      </c>
      <c r="I181" s="18"/>
      <c r="J181" s="18" t="str">
        <f t="array" ref="J181">_xlfn.XLOOKUP(A181&amp;B181&amp;C181,价格信息!$A:$A&amp;价格信息!$B:$B&amp;价格信息!$C:$C,价格信息!$D:$D)</f>
        <v/>
      </c>
      <c r="K181" s="31" t="str">
        <f t="array" ref="K181">IF(_xlfn.XLOOKUP(A181&amp;B181&amp;C181,价格信息!$A:$A&amp;价格信息!$B:$B&amp;价格信息!$C:$C,价格信息!$I:$I)="","","【优惠券链接】"&amp;固定信息!$B$6)</f>
        <v/>
      </c>
      <c r="L181" s="31" t="str">
        <f>IF($C181="","",固定信息!$B$1)</f>
        <v/>
      </c>
      <c r="M181" s="18" t="str">
        <f t="array" ref="M181">IF(_xlfn.XLOOKUP(A181&amp;B181&amp;C181,盘货信息!$A:$A&amp;盘货信息!$B:$B&amp;盘货信息!$C:$C,盘货信息!$O:$O)="","","【优惠券】领"&amp;INDEX(_wpsfn.REGEXP(_xlfn.XLOOKUP(A181&amp;B181&amp;C181,盘货信息!$A:$A&amp;盘货信息!$B:$B&amp;盘货信息!$C:$C,盘货信息!$O:$O),"\d+"),1,1)&amp;"元优惠券下单更优惠，优惠卷："&amp;_xlfn.XLOOKUP(A181&amp;B181&amp;C181,盘货信息!$A:$A&amp;盘货信息!$B:$B&amp;盘货信息!$C:$C,盘货信息!$P:$P))</f>
        <v/>
      </c>
      <c r="N181" s="18" t="str">
        <f t="array" ref="N181">IF(AND(ISNUMBER(_xlfn.XLOOKUP(A181&amp;B181&amp;C181,盘货信息!$A:$A&amp;盘货信息!$B:$B&amp;盘货信息!$C:$C,盘货信息!$I:$I)),_xlfn.XLOOKUP(A181&amp;B181&amp;C181,盘货信息!$A:$A&amp;盘货信息!$B:$B&amp;盘货信息!$C:$C,盘货信息!$I:$I)&gt;1),"【88VIP】立减"&amp;_xlfn.XLOOKUP(A181&amp;B181&amp;C181,盘货信息!$A:$A&amp;盘货信息!$B:$B&amp;盘货信息!$C:$C,盘货信息!$I:$I)&amp;"元","")</f>
        <v/>
      </c>
      <c r="O181" s="18" t="str">
        <f t="array" ref="O181">IF(_xlfn.XLOOKUP(A181&amp;B181&amp;C181,盘货信息!$A:$A&amp;盘货信息!$B:$B&amp;盘货信息!$C:$C,盘货信息!$K:$K)="","",IF(AND(_xlfn.XLOOKUP(A181&amp;B181&amp;C181,盘货信息!$A:$A&amp;盘货信息!$B:$B&amp;盘货信息!$C:$C,盘货信息!$G:$G)="不参加",_xlfn.XLOOKUP(A181&amp;B181&amp;C181,盘货信息!$A:$A&amp;盘货信息!$B:$B&amp;盘货信息!$C:$C,盘货信息!$H:$H)=""),"【以旧换新】"&amp;_xlfn.XLOOKUP(A181&amp;B181&amp;C181,盘货信息!$A:$A&amp;盘货信息!$B:$B&amp;盘货信息!$C:$C,盘货信息!$K:$K)&amp;"元以旧换新补贴（可无旧机换新）",""))</f>
        <v/>
      </c>
      <c r="P181" s="18" t="str">
        <f t="array" ref="P181">_xlfn.XLOOKUP(A181&amp;B181&amp;C181,赠品!$A:$A&amp;赠品!$B:$B&amp;赠品!$C:$C,赠品!$D:$D)</f>
        <v/>
      </c>
      <c r="Q181" s="18" t="str">
        <f>IF($C181="","",IF(AND(M181="",N181="",P181=""),"",固定信息!$B$1))</f>
        <v/>
      </c>
      <c r="R181" s="18" t="str">
        <f t="array" ref="R181">IF(ISNUMBER(SEARCH("是",_xlfn.XLOOKUP(A181&amp;B181&amp;C181,盘货信息!$A:$A&amp;盘货信息!$B:$B&amp;盘货信息!$C:$C,盘货信息!$U:$U))),"【折扣】指定型号满2类享96折，满3类享94折","")</f>
        <v/>
      </c>
      <c r="S181" s="18" t="str">
        <f t="array" ref="S181">IF(_xlfn.XLOOKUP(A181&amp;B181&amp;C181,盘货信息!$A:$A&amp;盘货信息!$B:$B&amp;盘货信息!$C:$C,盘货信息!$Q:$Q)&lt;1,"","【红包】活动时间购机送"&amp;_xlfn.TEXTJOIN("",,IF(ISNUMBER(--MID(_xlfn.XLOOKUP(A181&amp;B181&amp;C181,盘货信息!$A:$A&amp;盘货信息!$B:$B&amp;盘货信息!$C:$C,盘货信息!$Q:$Q),_xlfn.SEQUENCE(LEN(_xlfn.XLOOKUP(A181&amp;B181&amp;C181,盘货信息!$A:$A&amp;盘货信息!$B:$B&amp;盘货信息!$C:$C,盘货信息!$Q:$Q))),1)),MID(_xlfn.XLOOKUP(A181&amp;B181&amp;C181,盘货信息!$A:$A&amp;盘货信息!$B:$B&amp;盘货信息!$C:$C,盘货信息!$Q:$Q),_xlfn.SEQUENCE(LEN(_xlfn.XLOOKUP(A181&amp;B181&amp;C181,盘货信息!$A:$A&amp;盘货信息!$B:$B&amp;盘货信息!$C:$C,盘货信息!$Q:$Q))),1),""))&amp;"元")</f>
        <v/>
      </c>
      <c r="T181" s="18" t="str">
        <f t="array" ref="T181">IF(ISNUMBER(SEARCH("是",_xlfn.XLOOKUP(A181&amp;B181&amp;C181,盘货信息!$A:$A&amp;盘货信息!$B:$B&amp;盘货信息!$C:$C,盘货信息!$T:$T))),"【瓜分】"&amp;固定信息!$B$7,"")</f>
        <v/>
      </c>
      <c r="U181" s="18" t="str">
        <f>IF($C181="","",IF(AND(R181="",S181="",T181=""),"",固定信息!$B$1))</f>
        <v/>
      </c>
      <c r="V181" s="18" t="str">
        <f t="array" ref="V181">IF(C181="","","【服务】"&amp;IF(_xlfn.XLOOKUP(A181&amp;B181&amp;C181,盘货信息!$A:$A&amp;盘货信息!$B:$B&amp;盘货信息!$C:$C,盘货信息!$V:$V)="","",_xlfn.XLOOKUP(A181&amp;B181&amp;C181,盘货信息!$A:$A&amp;盘货信息!$B:$B&amp;盘货信息!$C:$C,盘货信息!$V:$V)&amp;"免息,")&amp;IF(_xlfn.XLOOKUP(A181&amp;B181&amp;C181,盘货信息!$A:$A&amp;盘货信息!$B:$B&amp;盘货信息!$C:$C,盘货信息!$W:$W)="","",_xlfn.XLOOKUP(A181&amp;B181&amp;C181,盘货信息!$A:$A&amp;盘货信息!$B:$B&amp;盘货信息!$C:$C,盘货信息!$W:$W)&amp;"，")&amp;"送货入户，退换免运费")</f>
        <v/>
      </c>
    </row>
    <row r="182" customHeight="1" spans="1:22">
      <c r="A182" s="17" t="str">
        <f>IF(盘货信息!A182="","",盘货信息!A182)</f>
        <v/>
      </c>
      <c r="B182" s="20" t="str">
        <f>IF(盘货信息!B182="","",盘货信息!B182)</f>
        <v/>
      </c>
      <c r="C182" s="18" t="str">
        <f>IF(盘货信息!C182="","",盘货信息!C182)</f>
        <v/>
      </c>
      <c r="D182" s="18" t="str">
        <f ca="1" t="shared" si="2"/>
        <v/>
      </c>
      <c r="E182" s="18" t="str">
        <f>IF(C182="","",固定信息!$B$2)</f>
        <v/>
      </c>
      <c r="F182" s="18" t="str">
        <f t="array" ref="F182">IF(C182="","","【"&amp;C182&amp;"】"&amp;_xlfn.XLOOKUP(A182&amp;B182&amp;C182,盘货信息!$A:$A&amp;盘货信息!$B:$B&amp;盘货信息!$C:$C,盘货信息!$D:$D))</f>
        <v/>
      </c>
      <c r="G182" s="18" t="str">
        <f>IF(C182="","","【"&amp;"活动时间："&amp;固定信息!$B$3&amp;"】")</f>
        <v/>
      </c>
      <c r="H182" s="18" t="str">
        <f>IF($C182="","",固定信息!$B$1)</f>
        <v/>
      </c>
      <c r="I182" s="18"/>
      <c r="J182" s="18" t="str">
        <f t="array" ref="J182">_xlfn.XLOOKUP(A182&amp;B182&amp;C182,价格信息!$A:$A&amp;价格信息!$B:$B&amp;价格信息!$C:$C,价格信息!$D:$D)</f>
        <v/>
      </c>
      <c r="K182" s="31" t="str">
        <f t="array" ref="K182">IF(_xlfn.XLOOKUP(A182&amp;B182&amp;C182,价格信息!$A:$A&amp;价格信息!$B:$B&amp;价格信息!$C:$C,价格信息!$I:$I)="","","【优惠券链接】"&amp;固定信息!$B$6)</f>
        <v/>
      </c>
      <c r="L182" s="31" t="str">
        <f>IF($C182="","",固定信息!$B$1)</f>
        <v/>
      </c>
      <c r="M182" s="18" t="str">
        <f t="array" ref="M182">IF(_xlfn.XLOOKUP(A182&amp;B182&amp;C182,盘货信息!$A:$A&amp;盘货信息!$B:$B&amp;盘货信息!$C:$C,盘货信息!$O:$O)="","","【优惠券】领"&amp;INDEX(_wpsfn.REGEXP(_xlfn.XLOOKUP(A182&amp;B182&amp;C182,盘货信息!$A:$A&amp;盘货信息!$B:$B&amp;盘货信息!$C:$C,盘货信息!$O:$O),"\d+"),1,1)&amp;"元优惠券下单更优惠，优惠卷："&amp;_xlfn.XLOOKUP(A182&amp;B182&amp;C182,盘货信息!$A:$A&amp;盘货信息!$B:$B&amp;盘货信息!$C:$C,盘货信息!$P:$P))</f>
        <v/>
      </c>
      <c r="N182" s="18" t="str">
        <f t="array" ref="N182">IF(AND(ISNUMBER(_xlfn.XLOOKUP(A182&amp;B182&amp;C182,盘货信息!$A:$A&amp;盘货信息!$B:$B&amp;盘货信息!$C:$C,盘货信息!$I:$I)),_xlfn.XLOOKUP(A182&amp;B182&amp;C182,盘货信息!$A:$A&amp;盘货信息!$B:$B&amp;盘货信息!$C:$C,盘货信息!$I:$I)&gt;1),"【88VIP】立减"&amp;_xlfn.XLOOKUP(A182&amp;B182&amp;C182,盘货信息!$A:$A&amp;盘货信息!$B:$B&amp;盘货信息!$C:$C,盘货信息!$I:$I)&amp;"元","")</f>
        <v/>
      </c>
      <c r="O182" s="18" t="str">
        <f t="array" ref="O182">IF(_xlfn.XLOOKUP(A182&amp;B182&amp;C182,盘货信息!$A:$A&amp;盘货信息!$B:$B&amp;盘货信息!$C:$C,盘货信息!$K:$K)="","",IF(AND(_xlfn.XLOOKUP(A182&amp;B182&amp;C182,盘货信息!$A:$A&amp;盘货信息!$B:$B&amp;盘货信息!$C:$C,盘货信息!$G:$G)="不参加",_xlfn.XLOOKUP(A182&amp;B182&amp;C182,盘货信息!$A:$A&amp;盘货信息!$B:$B&amp;盘货信息!$C:$C,盘货信息!$H:$H)=""),"【以旧换新】"&amp;_xlfn.XLOOKUP(A182&amp;B182&amp;C182,盘货信息!$A:$A&amp;盘货信息!$B:$B&amp;盘货信息!$C:$C,盘货信息!$K:$K)&amp;"元以旧换新补贴（可无旧机换新）",""))</f>
        <v/>
      </c>
      <c r="P182" s="18" t="str">
        <f t="array" ref="P182">_xlfn.XLOOKUP(A182&amp;B182&amp;C182,赠品!$A:$A&amp;赠品!$B:$B&amp;赠品!$C:$C,赠品!$D:$D)</f>
        <v/>
      </c>
      <c r="Q182" s="18" t="str">
        <f>IF($C182="","",IF(AND(M182="",N182="",P182=""),"",固定信息!$B$1))</f>
        <v/>
      </c>
      <c r="R182" s="18" t="str">
        <f t="array" ref="R182">IF(ISNUMBER(SEARCH("是",_xlfn.XLOOKUP(A182&amp;B182&amp;C182,盘货信息!$A:$A&amp;盘货信息!$B:$B&amp;盘货信息!$C:$C,盘货信息!$U:$U))),"【折扣】指定型号满2类享96折，满3类享94折","")</f>
        <v/>
      </c>
      <c r="S182" s="18" t="str">
        <f t="array" ref="S182">IF(_xlfn.XLOOKUP(A182&amp;B182&amp;C182,盘货信息!$A:$A&amp;盘货信息!$B:$B&amp;盘货信息!$C:$C,盘货信息!$Q:$Q)&lt;1,"","【红包】活动时间购机送"&amp;_xlfn.TEXTJOIN("",,IF(ISNUMBER(--MID(_xlfn.XLOOKUP(A182&amp;B182&amp;C182,盘货信息!$A:$A&amp;盘货信息!$B:$B&amp;盘货信息!$C:$C,盘货信息!$Q:$Q),_xlfn.SEQUENCE(LEN(_xlfn.XLOOKUP(A182&amp;B182&amp;C182,盘货信息!$A:$A&amp;盘货信息!$B:$B&amp;盘货信息!$C:$C,盘货信息!$Q:$Q))),1)),MID(_xlfn.XLOOKUP(A182&amp;B182&amp;C182,盘货信息!$A:$A&amp;盘货信息!$B:$B&amp;盘货信息!$C:$C,盘货信息!$Q:$Q),_xlfn.SEQUENCE(LEN(_xlfn.XLOOKUP(A182&amp;B182&amp;C182,盘货信息!$A:$A&amp;盘货信息!$B:$B&amp;盘货信息!$C:$C,盘货信息!$Q:$Q))),1),""))&amp;"元")</f>
        <v/>
      </c>
      <c r="T182" s="18" t="str">
        <f t="array" ref="T182">IF(ISNUMBER(SEARCH("是",_xlfn.XLOOKUP(A182&amp;B182&amp;C182,盘货信息!$A:$A&amp;盘货信息!$B:$B&amp;盘货信息!$C:$C,盘货信息!$T:$T))),"【瓜分】"&amp;固定信息!$B$7,"")</f>
        <v/>
      </c>
      <c r="U182" s="18" t="str">
        <f>IF($C182="","",IF(AND(R182="",S182="",T182=""),"",固定信息!$B$1))</f>
        <v/>
      </c>
      <c r="V182" s="18" t="str">
        <f t="array" ref="V182">IF(C182="","","【服务】"&amp;IF(_xlfn.XLOOKUP(A182&amp;B182&amp;C182,盘货信息!$A:$A&amp;盘货信息!$B:$B&amp;盘货信息!$C:$C,盘货信息!$V:$V)="","",_xlfn.XLOOKUP(A182&amp;B182&amp;C182,盘货信息!$A:$A&amp;盘货信息!$B:$B&amp;盘货信息!$C:$C,盘货信息!$V:$V)&amp;"免息,")&amp;IF(_xlfn.XLOOKUP(A182&amp;B182&amp;C182,盘货信息!$A:$A&amp;盘货信息!$B:$B&amp;盘货信息!$C:$C,盘货信息!$W:$W)="","",_xlfn.XLOOKUP(A182&amp;B182&amp;C182,盘货信息!$A:$A&amp;盘货信息!$B:$B&amp;盘货信息!$C:$C,盘货信息!$W:$W)&amp;"，")&amp;"送货入户，退换免运费")</f>
        <v/>
      </c>
    </row>
    <row r="183" customHeight="1" spans="1:22">
      <c r="A183" s="17" t="str">
        <f>IF(盘货信息!A183="","",盘货信息!A183)</f>
        <v/>
      </c>
      <c r="B183" s="20" t="str">
        <f>IF(盘货信息!B183="","",盘货信息!B183)</f>
        <v/>
      </c>
      <c r="C183" s="18" t="str">
        <f>IF(盘货信息!C183="","",盘货信息!C183)</f>
        <v/>
      </c>
      <c r="D183" s="18" t="str">
        <f ca="1" t="shared" si="2"/>
        <v/>
      </c>
      <c r="E183" s="18" t="str">
        <f>IF(C183="","",固定信息!$B$2)</f>
        <v/>
      </c>
      <c r="F183" s="18" t="str">
        <f t="array" ref="F183">IF(C183="","","【"&amp;C183&amp;"】"&amp;_xlfn.XLOOKUP(A183&amp;B183&amp;C183,盘货信息!$A:$A&amp;盘货信息!$B:$B&amp;盘货信息!$C:$C,盘货信息!$D:$D))</f>
        <v/>
      </c>
      <c r="G183" s="18" t="str">
        <f>IF(C183="","","【"&amp;"活动时间："&amp;固定信息!$B$3&amp;"】")</f>
        <v/>
      </c>
      <c r="H183" s="18" t="str">
        <f>IF($C183="","",固定信息!$B$1)</f>
        <v/>
      </c>
      <c r="I183" s="18"/>
      <c r="J183" s="18" t="str">
        <f t="array" ref="J183">_xlfn.XLOOKUP(A183&amp;B183&amp;C183,价格信息!$A:$A&amp;价格信息!$B:$B&amp;价格信息!$C:$C,价格信息!$D:$D)</f>
        <v/>
      </c>
      <c r="K183" s="31" t="str">
        <f t="array" ref="K183">IF(_xlfn.XLOOKUP(A183&amp;B183&amp;C183,价格信息!$A:$A&amp;价格信息!$B:$B&amp;价格信息!$C:$C,价格信息!$I:$I)="","","【优惠券链接】"&amp;固定信息!$B$6)</f>
        <v/>
      </c>
      <c r="L183" s="31" t="str">
        <f>IF($C183="","",固定信息!$B$1)</f>
        <v/>
      </c>
      <c r="M183" s="18" t="str">
        <f t="array" ref="M183">IF(_xlfn.XLOOKUP(A183&amp;B183&amp;C183,盘货信息!$A:$A&amp;盘货信息!$B:$B&amp;盘货信息!$C:$C,盘货信息!$O:$O)="","","【优惠券】领"&amp;INDEX(_wpsfn.REGEXP(_xlfn.XLOOKUP(A183&amp;B183&amp;C183,盘货信息!$A:$A&amp;盘货信息!$B:$B&amp;盘货信息!$C:$C,盘货信息!$O:$O),"\d+"),1,1)&amp;"元优惠券下单更优惠，优惠卷："&amp;_xlfn.XLOOKUP(A183&amp;B183&amp;C183,盘货信息!$A:$A&amp;盘货信息!$B:$B&amp;盘货信息!$C:$C,盘货信息!$P:$P))</f>
        <v/>
      </c>
      <c r="N183" s="18" t="str">
        <f t="array" ref="N183">IF(AND(ISNUMBER(_xlfn.XLOOKUP(A183&amp;B183&amp;C183,盘货信息!$A:$A&amp;盘货信息!$B:$B&amp;盘货信息!$C:$C,盘货信息!$I:$I)),_xlfn.XLOOKUP(A183&amp;B183&amp;C183,盘货信息!$A:$A&amp;盘货信息!$B:$B&amp;盘货信息!$C:$C,盘货信息!$I:$I)&gt;1),"【88VIP】立减"&amp;_xlfn.XLOOKUP(A183&amp;B183&amp;C183,盘货信息!$A:$A&amp;盘货信息!$B:$B&amp;盘货信息!$C:$C,盘货信息!$I:$I)&amp;"元","")</f>
        <v/>
      </c>
      <c r="O183" s="18" t="str">
        <f t="array" ref="O183">IF(_xlfn.XLOOKUP(A183&amp;B183&amp;C183,盘货信息!$A:$A&amp;盘货信息!$B:$B&amp;盘货信息!$C:$C,盘货信息!$K:$K)="","",IF(AND(_xlfn.XLOOKUP(A183&amp;B183&amp;C183,盘货信息!$A:$A&amp;盘货信息!$B:$B&amp;盘货信息!$C:$C,盘货信息!$G:$G)="不参加",_xlfn.XLOOKUP(A183&amp;B183&amp;C183,盘货信息!$A:$A&amp;盘货信息!$B:$B&amp;盘货信息!$C:$C,盘货信息!$H:$H)=""),"【以旧换新】"&amp;_xlfn.XLOOKUP(A183&amp;B183&amp;C183,盘货信息!$A:$A&amp;盘货信息!$B:$B&amp;盘货信息!$C:$C,盘货信息!$K:$K)&amp;"元以旧换新补贴（可无旧机换新）",""))</f>
        <v/>
      </c>
      <c r="P183" s="18" t="str">
        <f t="array" ref="P183">_xlfn.XLOOKUP(A183&amp;B183&amp;C183,赠品!$A:$A&amp;赠品!$B:$B&amp;赠品!$C:$C,赠品!$D:$D)</f>
        <v/>
      </c>
      <c r="Q183" s="18" t="str">
        <f>IF($C183="","",IF(AND(M183="",N183="",P183=""),"",固定信息!$B$1))</f>
        <v/>
      </c>
      <c r="R183" s="18" t="str">
        <f t="array" ref="R183">IF(ISNUMBER(SEARCH("是",_xlfn.XLOOKUP(A183&amp;B183&amp;C183,盘货信息!$A:$A&amp;盘货信息!$B:$B&amp;盘货信息!$C:$C,盘货信息!$U:$U))),"【折扣】指定型号满2类享96折，满3类享94折","")</f>
        <v/>
      </c>
      <c r="S183" s="18" t="str">
        <f t="array" ref="S183">IF(_xlfn.XLOOKUP(A183&amp;B183&amp;C183,盘货信息!$A:$A&amp;盘货信息!$B:$B&amp;盘货信息!$C:$C,盘货信息!$Q:$Q)&lt;1,"","【红包】活动时间购机送"&amp;_xlfn.TEXTJOIN("",,IF(ISNUMBER(--MID(_xlfn.XLOOKUP(A183&amp;B183&amp;C183,盘货信息!$A:$A&amp;盘货信息!$B:$B&amp;盘货信息!$C:$C,盘货信息!$Q:$Q),_xlfn.SEQUENCE(LEN(_xlfn.XLOOKUP(A183&amp;B183&amp;C183,盘货信息!$A:$A&amp;盘货信息!$B:$B&amp;盘货信息!$C:$C,盘货信息!$Q:$Q))),1)),MID(_xlfn.XLOOKUP(A183&amp;B183&amp;C183,盘货信息!$A:$A&amp;盘货信息!$B:$B&amp;盘货信息!$C:$C,盘货信息!$Q:$Q),_xlfn.SEQUENCE(LEN(_xlfn.XLOOKUP(A183&amp;B183&amp;C183,盘货信息!$A:$A&amp;盘货信息!$B:$B&amp;盘货信息!$C:$C,盘货信息!$Q:$Q))),1),""))&amp;"元")</f>
        <v/>
      </c>
      <c r="T183" s="18" t="str">
        <f t="array" ref="T183">IF(ISNUMBER(SEARCH("是",_xlfn.XLOOKUP(A183&amp;B183&amp;C183,盘货信息!$A:$A&amp;盘货信息!$B:$B&amp;盘货信息!$C:$C,盘货信息!$T:$T))),"【瓜分】"&amp;固定信息!$B$7,"")</f>
        <v/>
      </c>
      <c r="U183" s="18" t="str">
        <f>IF($C183="","",IF(AND(R183="",S183="",T183=""),"",固定信息!$B$1))</f>
        <v/>
      </c>
      <c r="V183" s="18" t="str">
        <f t="array" ref="V183">IF(C183="","","【服务】"&amp;IF(_xlfn.XLOOKUP(A183&amp;B183&amp;C183,盘货信息!$A:$A&amp;盘货信息!$B:$B&amp;盘货信息!$C:$C,盘货信息!$V:$V)="","",_xlfn.XLOOKUP(A183&amp;B183&amp;C183,盘货信息!$A:$A&amp;盘货信息!$B:$B&amp;盘货信息!$C:$C,盘货信息!$V:$V)&amp;"免息,")&amp;IF(_xlfn.XLOOKUP(A183&amp;B183&amp;C183,盘货信息!$A:$A&amp;盘货信息!$B:$B&amp;盘货信息!$C:$C,盘货信息!$W:$W)="","",_xlfn.XLOOKUP(A183&amp;B183&amp;C183,盘货信息!$A:$A&amp;盘货信息!$B:$B&amp;盘货信息!$C:$C,盘货信息!$W:$W)&amp;"，")&amp;"送货入户，退换免运费")</f>
        <v/>
      </c>
    </row>
    <row r="184" customHeight="1" spans="1:22">
      <c r="A184" s="17" t="str">
        <f>IF(盘货信息!A184="","",盘货信息!A184)</f>
        <v/>
      </c>
      <c r="B184" s="20" t="str">
        <f>IF(盘货信息!B184="","",盘货信息!B184)</f>
        <v/>
      </c>
      <c r="C184" s="18" t="str">
        <f>IF(盘货信息!C184="","",盘货信息!C184)</f>
        <v/>
      </c>
      <c r="D184" s="18" t="str">
        <f ca="1" t="shared" si="2"/>
        <v/>
      </c>
      <c r="E184" s="18" t="str">
        <f>IF(C184="","",固定信息!$B$2)</f>
        <v/>
      </c>
      <c r="F184" s="18" t="str">
        <f t="array" ref="F184">IF(C184="","","【"&amp;C184&amp;"】"&amp;_xlfn.XLOOKUP(A184&amp;B184&amp;C184,盘货信息!$A:$A&amp;盘货信息!$B:$B&amp;盘货信息!$C:$C,盘货信息!$D:$D))</f>
        <v/>
      </c>
      <c r="G184" s="18" t="str">
        <f>IF(C184="","","【"&amp;"活动时间："&amp;固定信息!$B$3&amp;"】")</f>
        <v/>
      </c>
      <c r="H184" s="18" t="str">
        <f>IF($C184="","",固定信息!$B$1)</f>
        <v/>
      </c>
      <c r="I184" s="18"/>
      <c r="J184" s="18" t="str">
        <f t="array" ref="J184">_xlfn.XLOOKUP(A184&amp;B184&amp;C184,价格信息!$A:$A&amp;价格信息!$B:$B&amp;价格信息!$C:$C,价格信息!$D:$D)</f>
        <v/>
      </c>
      <c r="K184" s="31" t="str">
        <f t="array" ref="K184">IF(_xlfn.XLOOKUP(A184&amp;B184&amp;C184,价格信息!$A:$A&amp;价格信息!$B:$B&amp;价格信息!$C:$C,价格信息!$I:$I)="","","【优惠券链接】"&amp;固定信息!$B$6)</f>
        <v/>
      </c>
      <c r="L184" s="31" t="str">
        <f>IF($C184="","",固定信息!$B$1)</f>
        <v/>
      </c>
      <c r="M184" s="18" t="str">
        <f t="array" ref="M184">IF(_xlfn.XLOOKUP(A184&amp;B184&amp;C184,盘货信息!$A:$A&amp;盘货信息!$B:$B&amp;盘货信息!$C:$C,盘货信息!$O:$O)="","","【优惠券】领"&amp;INDEX(_wpsfn.REGEXP(_xlfn.XLOOKUP(A184&amp;B184&amp;C184,盘货信息!$A:$A&amp;盘货信息!$B:$B&amp;盘货信息!$C:$C,盘货信息!$O:$O),"\d+"),1,1)&amp;"元优惠券下单更优惠，优惠卷："&amp;_xlfn.XLOOKUP(A184&amp;B184&amp;C184,盘货信息!$A:$A&amp;盘货信息!$B:$B&amp;盘货信息!$C:$C,盘货信息!$P:$P))</f>
        <v/>
      </c>
      <c r="N184" s="18" t="str">
        <f t="array" ref="N184">IF(AND(ISNUMBER(_xlfn.XLOOKUP(A184&amp;B184&amp;C184,盘货信息!$A:$A&amp;盘货信息!$B:$B&amp;盘货信息!$C:$C,盘货信息!$I:$I)),_xlfn.XLOOKUP(A184&amp;B184&amp;C184,盘货信息!$A:$A&amp;盘货信息!$B:$B&amp;盘货信息!$C:$C,盘货信息!$I:$I)&gt;1),"【88VIP】立减"&amp;_xlfn.XLOOKUP(A184&amp;B184&amp;C184,盘货信息!$A:$A&amp;盘货信息!$B:$B&amp;盘货信息!$C:$C,盘货信息!$I:$I)&amp;"元","")</f>
        <v/>
      </c>
      <c r="O184" s="18" t="str">
        <f t="array" ref="O184">IF(_xlfn.XLOOKUP(A184&amp;B184&amp;C184,盘货信息!$A:$A&amp;盘货信息!$B:$B&amp;盘货信息!$C:$C,盘货信息!$K:$K)="","",IF(AND(_xlfn.XLOOKUP(A184&amp;B184&amp;C184,盘货信息!$A:$A&amp;盘货信息!$B:$B&amp;盘货信息!$C:$C,盘货信息!$G:$G)="不参加",_xlfn.XLOOKUP(A184&amp;B184&amp;C184,盘货信息!$A:$A&amp;盘货信息!$B:$B&amp;盘货信息!$C:$C,盘货信息!$H:$H)=""),"【以旧换新】"&amp;_xlfn.XLOOKUP(A184&amp;B184&amp;C184,盘货信息!$A:$A&amp;盘货信息!$B:$B&amp;盘货信息!$C:$C,盘货信息!$K:$K)&amp;"元以旧换新补贴（可无旧机换新）",""))</f>
        <v/>
      </c>
      <c r="P184" s="18" t="str">
        <f t="array" ref="P184">_xlfn.XLOOKUP(A184&amp;B184&amp;C184,赠品!$A:$A&amp;赠品!$B:$B&amp;赠品!$C:$C,赠品!$D:$D)</f>
        <v/>
      </c>
      <c r="Q184" s="18" t="str">
        <f>IF($C184="","",IF(AND(M184="",N184="",P184=""),"",固定信息!$B$1))</f>
        <v/>
      </c>
      <c r="R184" s="18" t="str">
        <f t="array" ref="R184">IF(ISNUMBER(SEARCH("是",_xlfn.XLOOKUP(A184&amp;B184&amp;C184,盘货信息!$A:$A&amp;盘货信息!$B:$B&amp;盘货信息!$C:$C,盘货信息!$U:$U))),"【折扣】指定型号满2类享96折，满3类享94折","")</f>
        <v/>
      </c>
      <c r="S184" s="18" t="str">
        <f t="array" ref="S184">IF(_xlfn.XLOOKUP(A184&amp;B184&amp;C184,盘货信息!$A:$A&amp;盘货信息!$B:$B&amp;盘货信息!$C:$C,盘货信息!$Q:$Q)&lt;1,"","【红包】活动时间购机送"&amp;_xlfn.TEXTJOIN("",,IF(ISNUMBER(--MID(_xlfn.XLOOKUP(A184&amp;B184&amp;C184,盘货信息!$A:$A&amp;盘货信息!$B:$B&amp;盘货信息!$C:$C,盘货信息!$Q:$Q),_xlfn.SEQUENCE(LEN(_xlfn.XLOOKUP(A184&amp;B184&amp;C184,盘货信息!$A:$A&amp;盘货信息!$B:$B&amp;盘货信息!$C:$C,盘货信息!$Q:$Q))),1)),MID(_xlfn.XLOOKUP(A184&amp;B184&amp;C184,盘货信息!$A:$A&amp;盘货信息!$B:$B&amp;盘货信息!$C:$C,盘货信息!$Q:$Q),_xlfn.SEQUENCE(LEN(_xlfn.XLOOKUP(A184&amp;B184&amp;C184,盘货信息!$A:$A&amp;盘货信息!$B:$B&amp;盘货信息!$C:$C,盘货信息!$Q:$Q))),1),""))&amp;"元")</f>
        <v/>
      </c>
      <c r="T184" s="18" t="str">
        <f t="array" ref="T184">IF(ISNUMBER(SEARCH("是",_xlfn.XLOOKUP(A184&amp;B184&amp;C184,盘货信息!$A:$A&amp;盘货信息!$B:$B&amp;盘货信息!$C:$C,盘货信息!$T:$T))),"【瓜分】"&amp;固定信息!$B$7,"")</f>
        <v/>
      </c>
      <c r="U184" s="18" t="str">
        <f>IF($C184="","",IF(AND(R184="",S184="",T184=""),"",固定信息!$B$1))</f>
        <v/>
      </c>
      <c r="V184" s="18" t="str">
        <f t="array" ref="V184">IF(C184="","","【服务】"&amp;IF(_xlfn.XLOOKUP(A184&amp;B184&amp;C184,盘货信息!$A:$A&amp;盘货信息!$B:$B&amp;盘货信息!$C:$C,盘货信息!$V:$V)="","",_xlfn.XLOOKUP(A184&amp;B184&amp;C184,盘货信息!$A:$A&amp;盘货信息!$B:$B&amp;盘货信息!$C:$C,盘货信息!$V:$V)&amp;"免息,")&amp;IF(_xlfn.XLOOKUP(A184&amp;B184&amp;C184,盘货信息!$A:$A&amp;盘货信息!$B:$B&amp;盘货信息!$C:$C,盘货信息!$W:$W)="","",_xlfn.XLOOKUP(A184&amp;B184&amp;C184,盘货信息!$A:$A&amp;盘货信息!$B:$B&amp;盘货信息!$C:$C,盘货信息!$W:$W)&amp;"，")&amp;"送货入户，退换免运费")</f>
        <v/>
      </c>
    </row>
    <row r="185" customHeight="1" spans="1:22">
      <c r="A185" s="17" t="str">
        <f>IF(盘货信息!A185="","",盘货信息!A185)</f>
        <v/>
      </c>
      <c r="B185" s="20" t="str">
        <f>IF(盘货信息!B185="","",盘货信息!B185)</f>
        <v/>
      </c>
      <c r="C185" s="18" t="str">
        <f>IF(盘货信息!C185="","",盘货信息!C185)</f>
        <v/>
      </c>
      <c r="D185" s="18" t="str">
        <f ca="1" t="shared" si="2"/>
        <v/>
      </c>
      <c r="E185" s="18" t="str">
        <f>IF(C185="","",固定信息!$B$2)</f>
        <v/>
      </c>
      <c r="F185" s="18" t="str">
        <f t="array" ref="F185">IF(C185="","","【"&amp;C185&amp;"】"&amp;_xlfn.XLOOKUP(A185&amp;B185&amp;C185,盘货信息!$A:$A&amp;盘货信息!$B:$B&amp;盘货信息!$C:$C,盘货信息!$D:$D))</f>
        <v/>
      </c>
      <c r="G185" s="18" t="str">
        <f>IF(C185="","","【"&amp;"活动时间："&amp;固定信息!$B$3&amp;"】")</f>
        <v/>
      </c>
      <c r="H185" s="18" t="str">
        <f>IF($C185="","",固定信息!$B$1)</f>
        <v/>
      </c>
      <c r="I185" s="18"/>
      <c r="J185" s="18" t="str">
        <f t="array" ref="J185">_xlfn.XLOOKUP(A185&amp;B185&amp;C185,价格信息!$A:$A&amp;价格信息!$B:$B&amp;价格信息!$C:$C,价格信息!$D:$D)</f>
        <v/>
      </c>
      <c r="K185" s="31" t="str">
        <f t="array" ref="K185">IF(_xlfn.XLOOKUP(A185&amp;B185&amp;C185,价格信息!$A:$A&amp;价格信息!$B:$B&amp;价格信息!$C:$C,价格信息!$I:$I)="","","【优惠券链接】"&amp;固定信息!$B$6)</f>
        <v/>
      </c>
      <c r="L185" s="31" t="str">
        <f>IF($C185="","",固定信息!$B$1)</f>
        <v/>
      </c>
      <c r="M185" s="18" t="str">
        <f t="array" ref="M185">IF(_xlfn.XLOOKUP(A185&amp;B185&amp;C185,盘货信息!$A:$A&amp;盘货信息!$B:$B&amp;盘货信息!$C:$C,盘货信息!$O:$O)="","","【优惠券】领"&amp;INDEX(_wpsfn.REGEXP(_xlfn.XLOOKUP(A185&amp;B185&amp;C185,盘货信息!$A:$A&amp;盘货信息!$B:$B&amp;盘货信息!$C:$C,盘货信息!$O:$O),"\d+"),1,1)&amp;"元优惠券下单更优惠，优惠卷："&amp;_xlfn.XLOOKUP(A185&amp;B185&amp;C185,盘货信息!$A:$A&amp;盘货信息!$B:$B&amp;盘货信息!$C:$C,盘货信息!$P:$P))</f>
        <v/>
      </c>
      <c r="N185" s="18" t="str">
        <f t="array" ref="N185">IF(AND(ISNUMBER(_xlfn.XLOOKUP(A185&amp;B185&amp;C185,盘货信息!$A:$A&amp;盘货信息!$B:$B&amp;盘货信息!$C:$C,盘货信息!$I:$I)),_xlfn.XLOOKUP(A185&amp;B185&amp;C185,盘货信息!$A:$A&amp;盘货信息!$B:$B&amp;盘货信息!$C:$C,盘货信息!$I:$I)&gt;1),"【88VIP】立减"&amp;_xlfn.XLOOKUP(A185&amp;B185&amp;C185,盘货信息!$A:$A&amp;盘货信息!$B:$B&amp;盘货信息!$C:$C,盘货信息!$I:$I)&amp;"元","")</f>
        <v/>
      </c>
      <c r="O185" s="18" t="str">
        <f t="array" ref="O185">IF(_xlfn.XLOOKUP(A185&amp;B185&amp;C185,盘货信息!$A:$A&amp;盘货信息!$B:$B&amp;盘货信息!$C:$C,盘货信息!$K:$K)="","",IF(AND(_xlfn.XLOOKUP(A185&amp;B185&amp;C185,盘货信息!$A:$A&amp;盘货信息!$B:$B&amp;盘货信息!$C:$C,盘货信息!$G:$G)="不参加",_xlfn.XLOOKUP(A185&amp;B185&amp;C185,盘货信息!$A:$A&amp;盘货信息!$B:$B&amp;盘货信息!$C:$C,盘货信息!$H:$H)=""),"【以旧换新】"&amp;_xlfn.XLOOKUP(A185&amp;B185&amp;C185,盘货信息!$A:$A&amp;盘货信息!$B:$B&amp;盘货信息!$C:$C,盘货信息!$K:$K)&amp;"元以旧换新补贴（可无旧机换新）",""))</f>
        <v/>
      </c>
      <c r="P185" s="18" t="str">
        <f t="array" ref="P185">_xlfn.XLOOKUP(A185&amp;B185&amp;C185,赠品!$A:$A&amp;赠品!$B:$B&amp;赠品!$C:$C,赠品!$D:$D)</f>
        <v/>
      </c>
      <c r="Q185" s="18" t="str">
        <f>IF($C185="","",IF(AND(M185="",N185="",P185=""),"",固定信息!$B$1))</f>
        <v/>
      </c>
      <c r="R185" s="18" t="str">
        <f t="array" ref="R185">IF(ISNUMBER(SEARCH("是",_xlfn.XLOOKUP(A185&amp;B185&amp;C185,盘货信息!$A:$A&amp;盘货信息!$B:$B&amp;盘货信息!$C:$C,盘货信息!$U:$U))),"【折扣】指定型号满2类享96折，满3类享94折","")</f>
        <v/>
      </c>
      <c r="S185" s="18" t="str">
        <f t="array" ref="S185">IF(_xlfn.XLOOKUP(A185&amp;B185&amp;C185,盘货信息!$A:$A&amp;盘货信息!$B:$B&amp;盘货信息!$C:$C,盘货信息!$Q:$Q)&lt;1,"","【红包】活动时间购机送"&amp;_xlfn.TEXTJOIN("",,IF(ISNUMBER(--MID(_xlfn.XLOOKUP(A185&amp;B185&amp;C185,盘货信息!$A:$A&amp;盘货信息!$B:$B&amp;盘货信息!$C:$C,盘货信息!$Q:$Q),_xlfn.SEQUENCE(LEN(_xlfn.XLOOKUP(A185&amp;B185&amp;C185,盘货信息!$A:$A&amp;盘货信息!$B:$B&amp;盘货信息!$C:$C,盘货信息!$Q:$Q))),1)),MID(_xlfn.XLOOKUP(A185&amp;B185&amp;C185,盘货信息!$A:$A&amp;盘货信息!$B:$B&amp;盘货信息!$C:$C,盘货信息!$Q:$Q),_xlfn.SEQUENCE(LEN(_xlfn.XLOOKUP(A185&amp;B185&amp;C185,盘货信息!$A:$A&amp;盘货信息!$B:$B&amp;盘货信息!$C:$C,盘货信息!$Q:$Q))),1),""))&amp;"元")</f>
        <v/>
      </c>
      <c r="T185" s="18" t="str">
        <f t="array" ref="T185">IF(ISNUMBER(SEARCH("是",_xlfn.XLOOKUP(A185&amp;B185&amp;C185,盘货信息!$A:$A&amp;盘货信息!$B:$B&amp;盘货信息!$C:$C,盘货信息!$T:$T))),"【瓜分】"&amp;固定信息!$B$7,"")</f>
        <v/>
      </c>
      <c r="U185" s="18" t="str">
        <f>IF($C185="","",IF(AND(R185="",S185="",T185=""),"",固定信息!$B$1))</f>
        <v/>
      </c>
      <c r="V185" s="18" t="str">
        <f t="array" ref="V185">IF(C185="","","【服务】"&amp;IF(_xlfn.XLOOKUP(A185&amp;B185&amp;C185,盘货信息!$A:$A&amp;盘货信息!$B:$B&amp;盘货信息!$C:$C,盘货信息!$V:$V)="","",_xlfn.XLOOKUP(A185&amp;B185&amp;C185,盘货信息!$A:$A&amp;盘货信息!$B:$B&amp;盘货信息!$C:$C,盘货信息!$V:$V)&amp;"免息,")&amp;IF(_xlfn.XLOOKUP(A185&amp;B185&amp;C185,盘货信息!$A:$A&amp;盘货信息!$B:$B&amp;盘货信息!$C:$C,盘货信息!$W:$W)="","",_xlfn.XLOOKUP(A185&amp;B185&amp;C185,盘货信息!$A:$A&amp;盘货信息!$B:$B&amp;盘货信息!$C:$C,盘货信息!$W:$W)&amp;"，")&amp;"送货入户，退换免运费")</f>
        <v/>
      </c>
    </row>
    <row r="186" customHeight="1" spans="1:22">
      <c r="A186" s="17" t="str">
        <f>IF(盘货信息!A186="","",盘货信息!A186)</f>
        <v/>
      </c>
      <c r="B186" s="20" t="str">
        <f>IF(盘货信息!B186="","",盘货信息!B186)</f>
        <v/>
      </c>
      <c r="C186" s="18" t="str">
        <f>IF(盘货信息!C186="","",盘货信息!C186)</f>
        <v/>
      </c>
      <c r="D186" s="18" t="str">
        <f ca="1" t="shared" si="2"/>
        <v/>
      </c>
      <c r="E186" s="18" t="str">
        <f>IF(C186="","",固定信息!$B$2)</f>
        <v/>
      </c>
      <c r="F186" s="18" t="str">
        <f t="array" ref="F186">IF(C186="","","【"&amp;C186&amp;"】"&amp;_xlfn.XLOOKUP(A186&amp;B186&amp;C186,盘货信息!$A:$A&amp;盘货信息!$B:$B&amp;盘货信息!$C:$C,盘货信息!$D:$D))</f>
        <v/>
      </c>
      <c r="G186" s="18" t="str">
        <f>IF(C186="","","【"&amp;"活动时间："&amp;固定信息!$B$3&amp;"】")</f>
        <v/>
      </c>
      <c r="H186" s="18" t="str">
        <f>IF($C186="","",固定信息!$B$1)</f>
        <v/>
      </c>
      <c r="I186" s="18"/>
      <c r="J186" s="18" t="str">
        <f t="array" ref="J186">_xlfn.XLOOKUP(A186&amp;B186&amp;C186,价格信息!$A:$A&amp;价格信息!$B:$B&amp;价格信息!$C:$C,价格信息!$D:$D)</f>
        <v/>
      </c>
      <c r="K186" s="31" t="str">
        <f t="array" ref="K186">IF(_xlfn.XLOOKUP(A186&amp;B186&amp;C186,价格信息!$A:$A&amp;价格信息!$B:$B&amp;价格信息!$C:$C,价格信息!$I:$I)="","","【优惠券链接】"&amp;固定信息!$B$6)</f>
        <v/>
      </c>
      <c r="L186" s="31" t="str">
        <f>IF($C186="","",固定信息!$B$1)</f>
        <v/>
      </c>
      <c r="M186" s="18" t="str">
        <f t="array" ref="M186">IF(_xlfn.XLOOKUP(A186&amp;B186&amp;C186,盘货信息!$A:$A&amp;盘货信息!$B:$B&amp;盘货信息!$C:$C,盘货信息!$O:$O)="","","【优惠券】领"&amp;INDEX(_wpsfn.REGEXP(_xlfn.XLOOKUP(A186&amp;B186&amp;C186,盘货信息!$A:$A&amp;盘货信息!$B:$B&amp;盘货信息!$C:$C,盘货信息!$O:$O),"\d+"),1,1)&amp;"元优惠券下单更优惠，优惠卷："&amp;_xlfn.XLOOKUP(A186&amp;B186&amp;C186,盘货信息!$A:$A&amp;盘货信息!$B:$B&amp;盘货信息!$C:$C,盘货信息!$P:$P))</f>
        <v/>
      </c>
      <c r="N186" s="18" t="str">
        <f t="array" ref="N186">IF(AND(ISNUMBER(_xlfn.XLOOKUP(A186&amp;B186&amp;C186,盘货信息!$A:$A&amp;盘货信息!$B:$B&amp;盘货信息!$C:$C,盘货信息!$I:$I)),_xlfn.XLOOKUP(A186&amp;B186&amp;C186,盘货信息!$A:$A&amp;盘货信息!$B:$B&amp;盘货信息!$C:$C,盘货信息!$I:$I)&gt;1),"【88VIP】立减"&amp;_xlfn.XLOOKUP(A186&amp;B186&amp;C186,盘货信息!$A:$A&amp;盘货信息!$B:$B&amp;盘货信息!$C:$C,盘货信息!$I:$I)&amp;"元","")</f>
        <v/>
      </c>
      <c r="O186" s="18" t="str">
        <f t="array" ref="O186">IF(_xlfn.XLOOKUP(A186&amp;B186&amp;C186,盘货信息!$A:$A&amp;盘货信息!$B:$B&amp;盘货信息!$C:$C,盘货信息!$K:$K)="","",IF(AND(_xlfn.XLOOKUP(A186&amp;B186&amp;C186,盘货信息!$A:$A&amp;盘货信息!$B:$B&amp;盘货信息!$C:$C,盘货信息!$G:$G)="不参加",_xlfn.XLOOKUP(A186&amp;B186&amp;C186,盘货信息!$A:$A&amp;盘货信息!$B:$B&amp;盘货信息!$C:$C,盘货信息!$H:$H)=""),"【以旧换新】"&amp;_xlfn.XLOOKUP(A186&amp;B186&amp;C186,盘货信息!$A:$A&amp;盘货信息!$B:$B&amp;盘货信息!$C:$C,盘货信息!$K:$K)&amp;"元以旧换新补贴（可无旧机换新）",""))</f>
        <v/>
      </c>
      <c r="P186" s="18" t="str">
        <f t="array" ref="P186">_xlfn.XLOOKUP(A186&amp;B186&amp;C186,赠品!$A:$A&amp;赠品!$B:$B&amp;赠品!$C:$C,赠品!$D:$D)</f>
        <v/>
      </c>
      <c r="Q186" s="18" t="str">
        <f>IF($C186="","",IF(AND(M186="",N186="",P186=""),"",固定信息!$B$1))</f>
        <v/>
      </c>
      <c r="R186" s="18" t="str">
        <f t="array" ref="R186">IF(ISNUMBER(SEARCH("是",_xlfn.XLOOKUP(A186&amp;B186&amp;C186,盘货信息!$A:$A&amp;盘货信息!$B:$B&amp;盘货信息!$C:$C,盘货信息!$U:$U))),"【折扣】指定型号满2类享96折，满3类享94折","")</f>
        <v/>
      </c>
      <c r="S186" s="18" t="str">
        <f t="array" ref="S186">IF(_xlfn.XLOOKUP(A186&amp;B186&amp;C186,盘货信息!$A:$A&amp;盘货信息!$B:$B&amp;盘货信息!$C:$C,盘货信息!$Q:$Q)&lt;1,"","【红包】活动时间购机送"&amp;_xlfn.TEXTJOIN("",,IF(ISNUMBER(--MID(_xlfn.XLOOKUP(A186&amp;B186&amp;C186,盘货信息!$A:$A&amp;盘货信息!$B:$B&amp;盘货信息!$C:$C,盘货信息!$Q:$Q),_xlfn.SEQUENCE(LEN(_xlfn.XLOOKUP(A186&amp;B186&amp;C186,盘货信息!$A:$A&amp;盘货信息!$B:$B&amp;盘货信息!$C:$C,盘货信息!$Q:$Q))),1)),MID(_xlfn.XLOOKUP(A186&amp;B186&amp;C186,盘货信息!$A:$A&amp;盘货信息!$B:$B&amp;盘货信息!$C:$C,盘货信息!$Q:$Q),_xlfn.SEQUENCE(LEN(_xlfn.XLOOKUP(A186&amp;B186&amp;C186,盘货信息!$A:$A&amp;盘货信息!$B:$B&amp;盘货信息!$C:$C,盘货信息!$Q:$Q))),1),""))&amp;"元")</f>
        <v/>
      </c>
      <c r="T186" s="18" t="str">
        <f t="array" ref="T186">IF(ISNUMBER(SEARCH("是",_xlfn.XLOOKUP(A186&amp;B186&amp;C186,盘货信息!$A:$A&amp;盘货信息!$B:$B&amp;盘货信息!$C:$C,盘货信息!$T:$T))),"【瓜分】"&amp;固定信息!$B$7,"")</f>
        <v/>
      </c>
      <c r="U186" s="18" t="str">
        <f>IF($C186="","",IF(AND(R186="",S186="",T186=""),"",固定信息!$B$1))</f>
        <v/>
      </c>
      <c r="V186" s="18" t="str">
        <f t="array" ref="V186">IF(C186="","","【服务】"&amp;IF(_xlfn.XLOOKUP(A186&amp;B186&amp;C186,盘货信息!$A:$A&amp;盘货信息!$B:$B&amp;盘货信息!$C:$C,盘货信息!$V:$V)="","",_xlfn.XLOOKUP(A186&amp;B186&amp;C186,盘货信息!$A:$A&amp;盘货信息!$B:$B&amp;盘货信息!$C:$C,盘货信息!$V:$V)&amp;"免息,")&amp;IF(_xlfn.XLOOKUP(A186&amp;B186&amp;C186,盘货信息!$A:$A&amp;盘货信息!$B:$B&amp;盘货信息!$C:$C,盘货信息!$W:$W)="","",_xlfn.XLOOKUP(A186&amp;B186&amp;C186,盘货信息!$A:$A&amp;盘货信息!$B:$B&amp;盘货信息!$C:$C,盘货信息!$W:$W)&amp;"，")&amp;"送货入户，退换免运费")</f>
        <v/>
      </c>
    </row>
    <row r="187" customHeight="1" spans="1:22">
      <c r="A187" s="17" t="str">
        <f>IF(盘货信息!A187="","",盘货信息!A187)</f>
        <v/>
      </c>
      <c r="B187" s="20" t="str">
        <f>IF(盘货信息!B187="","",盘货信息!B187)</f>
        <v/>
      </c>
      <c r="C187" s="18" t="str">
        <f>IF(盘货信息!C187="","",盘货信息!C187)</f>
        <v/>
      </c>
      <c r="D187" s="18" t="str">
        <f ca="1" t="shared" si="2"/>
        <v/>
      </c>
      <c r="E187" s="18" t="str">
        <f>IF(C187="","",固定信息!$B$2)</f>
        <v/>
      </c>
      <c r="F187" s="18" t="str">
        <f t="array" ref="F187">IF(C187="","","【"&amp;C187&amp;"】"&amp;_xlfn.XLOOKUP(A187&amp;B187&amp;C187,盘货信息!$A:$A&amp;盘货信息!$B:$B&amp;盘货信息!$C:$C,盘货信息!$D:$D))</f>
        <v/>
      </c>
      <c r="G187" s="18" t="str">
        <f>IF(C187="","","【"&amp;"活动时间："&amp;固定信息!$B$3&amp;"】")</f>
        <v/>
      </c>
      <c r="H187" s="18" t="str">
        <f>IF($C187="","",固定信息!$B$1)</f>
        <v/>
      </c>
      <c r="I187" s="18"/>
      <c r="J187" s="18" t="str">
        <f t="array" ref="J187">_xlfn.XLOOKUP(A187&amp;B187&amp;C187,价格信息!$A:$A&amp;价格信息!$B:$B&amp;价格信息!$C:$C,价格信息!$D:$D)</f>
        <v/>
      </c>
      <c r="K187" s="31" t="str">
        <f t="array" ref="K187">IF(_xlfn.XLOOKUP(A187&amp;B187&amp;C187,价格信息!$A:$A&amp;价格信息!$B:$B&amp;价格信息!$C:$C,价格信息!$I:$I)="","","【优惠券链接】"&amp;固定信息!$B$6)</f>
        <v/>
      </c>
      <c r="L187" s="31" t="str">
        <f>IF($C187="","",固定信息!$B$1)</f>
        <v/>
      </c>
      <c r="M187" s="18" t="str">
        <f t="array" ref="M187">IF(_xlfn.XLOOKUP(A187&amp;B187&amp;C187,盘货信息!$A:$A&amp;盘货信息!$B:$B&amp;盘货信息!$C:$C,盘货信息!$O:$O)="","","【优惠券】领"&amp;INDEX(_wpsfn.REGEXP(_xlfn.XLOOKUP(A187&amp;B187&amp;C187,盘货信息!$A:$A&amp;盘货信息!$B:$B&amp;盘货信息!$C:$C,盘货信息!$O:$O),"\d+"),1,1)&amp;"元优惠券下单更优惠，优惠卷："&amp;_xlfn.XLOOKUP(A187&amp;B187&amp;C187,盘货信息!$A:$A&amp;盘货信息!$B:$B&amp;盘货信息!$C:$C,盘货信息!$P:$P))</f>
        <v/>
      </c>
      <c r="N187" s="18" t="str">
        <f t="array" ref="N187">IF(AND(ISNUMBER(_xlfn.XLOOKUP(A187&amp;B187&amp;C187,盘货信息!$A:$A&amp;盘货信息!$B:$B&amp;盘货信息!$C:$C,盘货信息!$I:$I)),_xlfn.XLOOKUP(A187&amp;B187&amp;C187,盘货信息!$A:$A&amp;盘货信息!$B:$B&amp;盘货信息!$C:$C,盘货信息!$I:$I)&gt;1),"【88VIP】立减"&amp;_xlfn.XLOOKUP(A187&amp;B187&amp;C187,盘货信息!$A:$A&amp;盘货信息!$B:$B&amp;盘货信息!$C:$C,盘货信息!$I:$I)&amp;"元","")</f>
        <v/>
      </c>
      <c r="O187" s="18" t="str">
        <f t="array" ref="O187">IF(_xlfn.XLOOKUP(A187&amp;B187&amp;C187,盘货信息!$A:$A&amp;盘货信息!$B:$B&amp;盘货信息!$C:$C,盘货信息!$K:$K)="","",IF(AND(_xlfn.XLOOKUP(A187&amp;B187&amp;C187,盘货信息!$A:$A&amp;盘货信息!$B:$B&amp;盘货信息!$C:$C,盘货信息!$G:$G)="不参加",_xlfn.XLOOKUP(A187&amp;B187&amp;C187,盘货信息!$A:$A&amp;盘货信息!$B:$B&amp;盘货信息!$C:$C,盘货信息!$H:$H)=""),"【以旧换新】"&amp;_xlfn.XLOOKUP(A187&amp;B187&amp;C187,盘货信息!$A:$A&amp;盘货信息!$B:$B&amp;盘货信息!$C:$C,盘货信息!$K:$K)&amp;"元以旧换新补贴（可无旧机换新）",""))</f>
        <v/>
      </c>
      <c r="P187" s="18" t="str">
        <f t="array" ref="P187">_xlfn.XLOOKUP(A187&amp;B187&amp;C187,赠品!$A:$A&amp;赠品!$B:$B&amp;赠品!$C:$C,赠品!$D:$D)</f>
        <v/>
      </c>
      <c r="Q187" s="18" t="str">
        <f>IF($C187="","",IF(AND(M187="",N187="",P187=""),"",固定信息!$B$1))</f>
        <v/>
      </c>
      <c r="R187" s="18" t="str">
        <f t="array" ref="R187">IF(ISNUMBER(SEARCH("是",_xlfn.XLOOKUP(A187&amp;B187&amp;C187,盘货信息!$A:$A&amp;盘货信息!$B:$B&amp;盘货信息!$C:$C,盘货信息!$U:$U))),"【折扣】指定型号满2类享96折，满3类享94折","")</f>
        <v/>
      </c>
      <c r="S187" s="18" t="str">
        <f t="array" ref="S187">IF(_xlfn.XLOOKUP(A187&amp;B187&amp;C187,盘货信息!$A:$A&amp;盘货信息!$B:$B&amp;盘货信息!$C:$C,盘货信息!$Q:$Q)&lt;1,"","【红包】活动时间购机送"&amp;_xlfn.TEXTJOIN("",,IF(ISNUMBER(--MID(_xlfn.XLOOKUP(A187&amp;B187&amp;C187,盘货信息!$A:$A&amp;盘货信息!$B:$B&amp;盘货信息!$C:$C,盘货信息!$Q:$Q),_xlfn.SEQUENCE(LEN(_xlfn.XLOOKUP(A187&amp;B187&amp;C187,盘货信息!$A:$A&amp;盘货信息!$B:$B&amp;盘货信息!$C:$C,盘货信息!$Q:$Q))),1)),MID(_xlfn.XLOOKUP(A187&amp;B187&amp;C187,盘货信息!$A:$A&amp;盘货信息!$B:$B&amp;盘货信息!$C:$C,盘货信息!$Q:$Q),_xlfn.SEQUENCE(LEN(_xlfn.XLOOKUP(A187&amp;B187&amp;C187,盘货信息!$A:$A&amp;盘货信息!$B:$B&amp;盘货信息!$C:$C,盘货信息!$Q:$Q))),1),""))&amp;"元")</f>
        <v/>
      </c>
      <c r="T187" s="18" t="str">
        <f t="array" ref="T187">IF(ISNUMBER(SEARCH("是",_xlfn.XLOOKUP(A187&amp;B187&amp;C187,盘货信息!$A:$A&amp;盘货信息!$B:$B&amp;盘货信息!$C:$C,盘货信息!$T:$T))),"【瓜分】"&amp;固定信息!$B$7,"")</f>
        <v/>
      </c>
      <c r="U187" s="18" t="str">
        <f>IF($C187="","",IF(AND(R187="",S187="",T187=""),"",固定信息!$B$1))</f>
        <v/>
      </c>
      <c r="V187" s="18" t="str">
        <f t="array" ref="V187">IF(C187="","","【服务】"&amp;IF(_xlfn.XLOOKUP(A187&amp;B187&amp;C187,盘货信息!$A:$A&amp;盘货信息!$B:$B&amp;盘货信息!$C:$C,盘货信息!$V:$V)="","",_xlfn.XLOOKUP(A187&amp;B187&amp;C187,盘货信息!$A:$A&amp;盘货信息!$B:$B&amp;盘货信息!$C:$C,盘货信息!$V:$V)&amp;"免息,")&amp;IF(_xlfn.XLOOKUP(A187&amp;B187&amp;C187,盘货信息!$A:$A&amp;盘货信息!$B:$B&amp;盘货信息!$C:$C,盘货信息!$W:$W)="","",_xlfn.XLOOKUP(A187&amp;B187&amp;C187,盘货信息!$A:$A&amp;盘货信息!$B:$B&amp;盘货信息!$C:$C,盘货信息!$W:$W)&amp;"，")&amp;"送货入户，退换免运费")</f>
        <v/>
      </c>
    </row>
    <row r="188" customHeight="1" spans="1:22">
      <c r="A188" s="17" t="str">
        <f>IF(盘货信息!A188="","",盘货信息!A188)</f>
        <v/>
      </c>
      <c r="B188" s="20" t="str">
        <f>IF(盘货信息!B188="","",盘货信息!B188)</f>
        <v/>
      </c>
      <c r="C188" s="18" t="str">
        <f>IF(盘货信息!C188="","",盘货信息!C188)</f>
        <v/>
      </c>
      <c r="D188" s="18" t="str">
        <f ca="1" t="shared" si="2"/>
        <v/>
      </c>
      <c r="E188" s="18" t="str">
        <f>IF(C188="","",固定信息!$B$2)</f>
        <v/>
      </c>
      <c r="F188" s="18" t="str">
        <f t="array" ref="F188">IF(C188="","","【"&amp;C188&amp;"】"&amp;_xlfn.XLOOKUP(A188&amp;B188&amp;C188,盘货信息!$A:$A&amp;盘货信息!$B:$B&amp;盘货信息!$C:$C,盘货信息!$D:$D))</f>
        <v/>
      </c>
      <c r="G188" s="18" t="str">
        <f>IF(C188="","","【"&amp;"活动时间："&amp;固定信息!$B$3&amp;"】")</f>
        <v/>
      </c>
      <c r="H188" s="18" t="str">
        <f>IF($C188="","",固定信息!$B$1)</f>
        <v/>
      </c>
      <c r="I188" s="18"/>
      <c r="J188" s="18" t="str">
        <f t="array" ref="J188">_xlfn.XLOOKUP(A188&amp;B188&amp;C188,价格信息!$A:$A&amp;价格信息!$B:$B&amp;价格信息!$C:$C,价格信息!$D:$D)</f>
        <v/>
      </c>
      <c r="K188" s="31" t="str">
        <f t="array" ref="K188">IF(_xlfn.XLOOKUP(A188&amp;B188&amp;C188,价格信息!$A:$A&amp;价格信息!$B:$B&amp;价格信息!$C:$C,价格信息!$I:$I)="","","【优惠券链接】"&amp;固定信息!$B$6)</f>
        <v/>
      </c>
      <c r="L188" s="31" t="str">
        <f>IF($C188="","",固定信息!$B$1)</f>
        <v/>
      </c>
      <c r="M188" s="18" t="str">
        <f t="array" ref="M188">IF(_xlfn.XLOOKUP(A188&amp;B188&amp;C188,盘货信息!$A:$A&amp;盘货信息!$B:$B&amp;盘货信息!$C:$C,盘货信息!$O:$O)="","","【优惠券】领"&amp;INDEX(_wpsfn.REGEXP(_xlfn.XLOOKUP(A188&amp;B188&amp;C188,盘货信息!$A:$A&amp;盘货信息!$B:$B&amp;盘货信息!$C:$C,盘货信息!$O:$O),"\d+"),1,1)&amp;"元优惠券下单更优惠，优惠卷："&amp;_xlfn.XLOOKUP(A188&amp;B188&amp;C188,盘货信息!$A:$A&amp;盘货信息!$B:$B&amp;盘货信息!$C:$C,盘货信息!$P:$P))</f>
        <v/>
      </c>
      <c r="N188" s="18" t="str">
        <f t="array" ref="N188">IF(AND(ISNUMBER(_xlfn.XLOOKUP(A188&amp;B188&amp;C188,盘货信息!$A:$A&amp;盘货信息!$B:$B&amp;盘货信息!$C:$C,盘货信息!$I:$I)),_xlfn.XLOOKUP(A188&amp;B188&amp;C188,盘货信息!$A:$A&amp;盘货信息!$B:$B&amp;盘货信息!$C:$C,盘货信息!$I:$I)&gt;1),"【88VIP】立减"&amp;_xlfn.XLOOKUP(A188&amp;B188&amp;C188,盘货信息!$A:$A&amp;盘货信息!$B:$B&amp;盘货信息!$C:$C,盘货信息!$I:$I)&amp;"元","")</f>
        <v/>
      </c>
      <c r="O188" s="18" t="str">
        <f t="array" ref="O188">IF(_xlfn.XLOOKUP(A188&amp;B188&amp;C188,盘货信息!$A:$A&amp;盘货信息!$B:$B&amp;盘货信息!$C:$C,盘货信息!$K:$K)="","",IF(AND(_xlfn.XLOOKUP(A188&amp;B188&amp;C188,盘货信息!$A:$A&amp;盘货信息!$B:$B&amp;盘货信息!$C:$C,盘货信息!$G:$G)="不参加",_xlfn.XLOOKUP(A188&amp;B188&amp;C188,盘货信息!$A:$A&amp;盘货信息!$B:$B&amp;盘货信息!$C:$C,盘货信息!$H:$H)=""),"【以旧换新】"&amp;_xlfn.XLOOKUP(A188&amp;B188&amp;C188,盘货信息!$A:$A&amp;盘货信息!$B:$B&amp;盘货信息!$C:$C,盘货信息!$K:$K)&amp;"元以旧换新补贴（可无旧机换新）",""))</f>
        <v/>
      </c>
      <c r="P188" s="18" t="str">
        <f t="array" ref="P188">_xlfn.XLOOKUP(A188&amp;B188&amp;C188,赠品!$A:$A&amp;赠品!$B:$B&amp;赠品!$C:$C,赠品!$D:$D)</f>
        <v/>
      </c>
      <c r="Q188" s="18" t="str">
        <f>IF($C188="","",IF(AND(M188="",N188="",P188=""),"",固定信息!$B$1))</f>
        <v/>
      </c>
      <c r="R188" s="18" t="str">
        <f t="array" ref="R188">IF(ISNUMBER(SEARCH("是",_xlfn.XLOOKUP(A188&amp;B188&amp;C188,盘货信息!$A:$A&amp;盘货信息!$B:$B&amp;盘货信息!$C:$C,盘货信息!$U:$U))),"【折扣】指定型号满2类享96折，满3类享94折","")</f>
        <v/>
      </c>
      <c r="S188" s="18" t="str">
        <f t="array" ref="S188">IF(_xlfn.XLOOKUP(A188&amp;B188&amp;C188,盘货信息!$A:$A&amp;盘货信息!$B:$B&amp;盘货信息!$C:$C,盘货信息!$Q:$Q)&lt;1,"","【红包】活动时间购机送"&amp;_xlfn.TEXTJOIN("",,IF(ISNUMBER(--MID(_xlfn.XLOOKUP(A188&amp;B188&amp;C188,盘货信息!$A:$A&amp;盘货信息!$B:$B&amp;盘货信息!$C:$C,盘货信息!$Q:$Q),_xlfn.SEQUENCE(LEN(_xlfn.XLOOKUP(A188&amp;B188&amp;C188,盘货信息!$A:$A&amp;盘货信息!$B:$B&amp;盘货信息!$C:$C,盘货信息!$Q:$Q))),1)),MID(_xlfn.XLOOKUP(A188&amp;B188&amp;C188,盘货信息!$A:$A&amp;盘货信息!$B:$B&amp;盘货信息!$C:$C,盘货信息!$Q:$Q),_xlfn.SEQUENCE(LEN(_xlfn.XLOOKUP(A188&amp;B188&amp;C188,盘货信息!$A:$A&amp;盘货信息!$B:$B&amp;盘货信息!$C:$C,盘货信息!$Q:$Q))),1),""))&amp;"元")</f>
        <v/>
      </c>
      <c r="T188" s="18" t="str">
        <f t="array" ref="T188">IF(ISNUMBER(SEARCH("是",_xlfn.XLOOKUP(A188&amp;B188&amp;C188,盘货信息!$A:$A&amp;盘货信息!$B:$B&amp;盘货信息!$C:$C,盘货信息!$T:$T))),"【瓜分】"&amp;固定信息!$B$7,"")</f>
        <v/>
      </c>
      <c r="U188" s="18" t="str">
        <f>IF($C188="","",IF(AND(R188="",S188="",T188=""),"",固定信息!$B$1))</f>
        <v/>
      </c>
      <c r="V188" s="18" t="str">
        <f t="array" ref="V188">IF(C188="","","【服务】"&amp;IF(_xlfn.XLOOKUP(A188&amp;B188&amp;C188,盘货信息!$A:$A&amp;盘货信息!$B:$B&amp;盘货信息!$C:$C,盘货信息!$V:$V)="","",_xlfn.XLOOKUP(A188&amp;B188&amp;C188,盘货信息!$A:$A&amp;盘货信息!$B:$B&amp;盘货信息!$C:$C,盘货信息!$V:$V)&amp;"免息,")&amp;IF(_xlfn.XLOOKUP(A188&amp;B188&amp;C188,盘货信息!$A:$A&amp;盘货信息!$B:$B&amp;盘货信息!$C:$C,盘货信息!$W:$W)="","",_xlfn.XLOOKUP(A188&amp;B188&amp;C188,盘货信息!$A:$A&amp;盘货信息!$B:$B&amp;盘货信息!$C:$C,盘货信息!$W:$W)&amp;"，")&amp;"送货入户，退换免运费")</f>
        <v/>
      </c>
    </row>
    <row r="189" customHeight="1" spans="1:22">
      <c r="A189" s="17" t="str">
        <f>IF(盘货信息!A189="","",盘货信息!A189)</f>
        <v/>
      </c>
      <c r="B189" s="20" t="str">
        <f>IF(盘货信息!B189="","",盘货信息!B189)</f>
        <v/>
      </c>
      <c r="C189" s="18" t="str">
        <f>IF(盘货信息!C189="","",盘货信息!C189)</f>
        <v/>
      </c>
      <c r="D189" s="18" t="str">
        <f ca="1" t="shared" si="2"/>
        <v/>
      </c>
      <c r="E189" s="18" t="str">
        <f>IF(C189="","",固定信息!$B$2)</f>
        <v/>
      </c>
      <c r="F189" s="18" t="str">
        <f t="array" ref="F189">IF(C189="","","【"&amp;C189&amp;"】"&amp;_xlfn.XLOOKUP(A189&amp;B189&amp;C189,盘货信息!$A:$A&amp;盘货信息!$B:$B&amp;盘货信息!$C:$C,盘货信息!$D:$D))</f>
        <v/>
      </c>
      <c r="G189" s="18" t="str">
        <f>IF(C189="","","【"&amp;"活动时间："&amp;固定信息!$B$3&amp;"】")</f>
        <v/>
      </c>
      <c r="H189" s="18" t="str">
        <f>IF($C189="","",固定信息!$B$1)</f>
        <v/>
      </c>
      <c r="I189" s="18"/>
      <c r="J189" s="18" t="str">
        <f t="array" ref="J189">_xlfn.XLOOKUP(A189&amp;B189&amp;C189,价格信息!$A:$A&amp;价格信息!$B:$B&amp;价格信息!$C:$C,价格信息!$D:$D)</f>
        <v/>
      </c>
      <c r="K189" s="31" t="str">
        <f t="array" ref="K189">IF(_xlfn.XLOOKUP(A189&amp;B189&amp;C189,价格信息!$A:$A&amp;价格信息!$B:$B&amp;价格信息!$C:$C,价格信息!$I:$I)="","","【优惠券链接】"&amp;固定信息!$B$6)</f>
        <v/>
      </c>
      <c r="L189" s="31" t="str">
        <f>IF($C189="","",固定信息!$B$1)</f>
        <v/>
      </c>
      <c r="M189" s="18" t="str">
        <f t="array" ref="M189">IF(_xlfn.XLOOKUP(A189&amp;B189&amp;C189,盘货信息!$A:$A&amp;盘货信息!$B:$B&amp;盘货信息!$C:$C,盘货信息!$O:$O)="","","【优惠券】领"&amp;INDEX(_wpsfn.REGEXP(_xlfn.XLOOKUP(A189&amp;B189&amp;C189,盘货信息!$A:$A&amp;盘货信息!$B:$B&amp;盘货信息!$C:$C,盘货信息!$O:$O),"\d+"),1,1)&amp;"元优惠券下单更优惠，优惠卷："&amp;_xlfn.XLOOKUP(A189&amp;B189&amp;C189,盘货信息!$A:$A&amp;盘货信息!$B:$B&amp;盘货信息!$C:$C,盘货信息!$P:$P))</f>
        <v/>
      </c>
      <c r="N189" s="18" t="str">
        <f t="array" ref="N189">IF(AND(ISNUMBER(_xlfn.XLOOKUP(A189&amp;B189&amp;C189,盘货信息!$A:$A&amp;盘货信息!$B:$B&amp;盘货信息!$C:$C,盘货信息!$I:$I)),_xlfn.XLOOKUP(A189&amp;B189&amp;C189,盘货信息!$A:$A&amp;盘货信息!$B:$B&amp;盘货信息!$C:$C,盘货信息!$I:$I)&gt;1),"【88VIP】立减"&amp;_xlfn.XLOOKUP(A189&amp;B189&amp;C189,盘货信息!$A:$A&amp;盘货信息!$B:$B&amp;盘货信息!$C:$C,盘货信息!$I:$I)&amp;"元","")</f>
        <v/>
      </c>
      <c r="O189" s="18" t="str">
        <f t="array" ref="O189">IF(_xlfn.XLOOKUP(A189&amp;B189&amp;C189,盘货信息!$A:$A&amp;盘货信息!$B:$B&amp;盘货信息!$C:$C,盘货信息!$K:$K)="","",IF(AND(_xlfn.XLOOKUP(A189&amp;B189&amp;C189,盘货信息!$A:$A&amp;盘货信息!$B:$B&amp;盘货信息!$C:$C,盘货信息!$G:$G)="不参加",_xlfn.XLOOKUP(A189&amp;B189&amp;C189,盘货信息!$A:$A&amp;盘货信息!$B:$B&amp;盘货信息!$C:$C,盘货信息!$H:$H)=""),"【以旧换新】"&amp;_xlfn.XLOOKUP(A189&amp;B189&amp;C189,盘货信息!$A:$A&amp;盘货信息!$B:$B&amp;盘货信息!$C:$C,盘货信息!$K:$K)&amp;"元以旧换新补贴（可无旧机换新）",""))</f>
        <v/>
      </c>
      <c r="P189" s="18" t="str">
        <f t="array" ref="P189">_xlfn.XLOOKUP(A189&amp;B189&amp;C189,赠品!$A:$A&amp;赠品!$B:$B&amp;赠品!$C:$C,赠品!$D:$D)</f>
        <v/>
      </c>
      <c r="Q189" s="18" t="str">
        <f>IF($C189="","",IF(AND(M189="",N189="",P189=""),"",固定信息!$B$1))</f>
        <v/>
      </c>
      <c r="R189" s="18" t="str">
        <f t="array" ref="R189">IF(ISNUMBER(SEARCH("是",_xlfn.XLOOKUP(A189&amp;B189&amp;C189,盘货信息!$A:$A&amp;盘货信息!$B:$B&amp;盘货信息!$C:$C,盘货信息!$U:$U))),"【折扣】指定型号满2类享96折，满3类享94折","")</f>
        <v/>
      </c>
      <c r="S189" s="18" t="str">
        <f t="array" ref="S189">IF(_xlfn.XLOOKUP(A189&amp;B189&amp;C189,盘货信息!$A:$A&amp;盘货信息!$B:$B&amp;盘货信息!$C:$C,盘货信息!$Q:$Q)&lt;1,"","【红包】活动时间购机送"&amp;_xlfn.TEXTJOIN("",,IF(ISNUMBER(--MID(_xlfn.XLOOKUP(A189&amp;B189&amp;C189,盘货信息!$A:$A&amp;盘货信息!$B:$B&amp;盘货信息!$C:$C,盘货信息!$Q:$Q),_xlfn.SEQUENCE(LEN(_xlfn.XLOOKUP(A189&amp;B189&amp;C189,盘货信息!$A:$A&amp;盘货信息!$B:$B&amp;盘货信息!$C:$C,盘货信息!$Q:$Q))),1)),MID(_xlfn.XLOOKUP(A189&amp;B189&amp;C189,盘货信息!$A:$A&amp;盘货信息!$B:$B&amp;盘货信息!$C:$C,盘货信息!$Q:$Q),_xlfn.SEQUENCE(LEN(_xlfn.XLOOKUP(A189&amp;B189&amp;C189,盘货信息!$A:$A&amp;盘货信息!$B:$B&amp;盘货信息!$C:$C,盘货信息!$Q:$Q))),1),""))&amp;"元")</f>
        <v/>
      </c>
      <c r="T189" s="18" t="str">
        <f t="array" ref="T189">IF(ISNUMBER(SEARCH("是",_xlfn.XLOOKUP(A189&amp;B189&amp;C189,盘货信息!$A:$A&amp;盘货信息!$B:$B&amp;盘货信息!$C:$C,盘货信息!$T:$T))),"【瓜分】"&amp;固定信息!$B$7,"")</f>
        <v/>
      </c>
      <c r="U189" s="18" t="str">
        <f>IF($C189="","",IF(AND(R189="",S189="",T189=""),"",固定信息!$B$1))</f>
        <v/>
      </c>
      <c r="V189" s="18" t="str">
        <f t="array" ref="V189">IF(C189="","","【服务】"&amp;IF(_xlfn.XLOOKUP(A189&amp;B189&amp;C189,盘货信息!$A:$A&amp;盘货信息!$B:$B&amp;盘货信息!$C:$C,盘货信息!$V:$V)="","",_xlfn.XLOOKUP(A189&amp;B189&amp;C189,盘货信息!$A:$A&amp;盘货信息!$B:$B&amp;盘货信息!$C:$C,盘货信息!$V:$V)&amp;"免息,")&amp;IF(_xlfn.XLOOKUP(A189&amp;B189&amp;C189,盘货信息!$A:$A&amp;盘货信息!$B:$B&amp;盘货信息!$C:$C,盘货信息!$W:$W)="","",_xlfn.XLOOKUP(A189&amp;B189&amp;C189,盘货信息!$A:$A&amp;盘货信息!$B:$B&amp;盘货信息!$C:$C,盘货信息!$W:$W)&amp;"，")&amp;"送货入户，退换免运费")</f>
        <v/>
      </c>
    </row>
    <row r="190" customHeight="1" spans="1:22">
      <c r="A190" s="17" t="str">
        <f>IF(盘货信息!A190="","",盘货信息!A190)</f>
        <v/>
      </c>
      <c r="B190" s="20" t="str">
        <f>IF(盘货信息!B190="","",盘货信息!B190)</f>
        <v/>
      </c>
      <c r="C190" s="18" t="str">
        <f>IF(盘货信息!C190="","",盘货信息!C190)</f>
        <v/>
      </c>
      <c r="D190" s="18" t="str">
        <f ca="1" t="shared" si="2"/>
        <v/>
      </c>
      <c r="E190" s="18" t="str">
        <f>IF(C190="","",固定信息!$B$2)</f>
        <v/>
      </c>
      <c r="F190" s="18" t="str">
        <f t="array" ref="F190">IF(C190="","","【"&amp;C190&amp;"】"&amp;_xlfn.XLOOKUP(A190&amp;B190&amp;C190,盘货信息!$A:$A&amp;盘货信息!$B:$B&amp;盘货信息!$C:$C,盘货信息!$D:$D))</f>
        <v/>
      </c>
      <c r="G190" s="18" t="str">
        <f>IF(C190="","","【"&amp;"活动时间："&amp;固定信息!$B$3&amp;"】")</f>
        <v/>
      </c>
      <c r="H190" s="18" t="str">
        <f>IF($C190="","",固定信息!$B$1)</f>
        <v/>
      </c>
      <c r="I190" s="18"/>
      <c r="J190" s="18" t="str">
        <f t="array" ref="J190">_xlfn.XLOOKUP(A190&amp;B190&amp;C190,价格信息!$A:$A&amp;价格信息!$B:$B&amp;价格信息!$C:$C,价格信息!$D:$D)</f>
        <v/>
      </c>
      <c r="K190" s="31" t="str">
        <f t="array" ref="K190">IF(_xlfn.XLOOKUP(A190&amp;B190&amp;C190,价格信息!$A:$A&amp;价格信息!$B:$B&amp;价格信息!$C:$C,价格信息!$I:$I)="","","【优惠券链接】"&amp;固定信息!$B$6)</f>
        <v/>
      </c>
      <c r="L190" s="31" t="str">
        <f>IF($C190="","",固定信息!$B$1)</f>
        <v/>
      </c>
      <c r="M190" s="18" t="str">
        <f t="array" ref="M190">IF(_xlfn.XLOOKUP(A190&amp;B190&amp;C190,盘货信息!$A:$A&amp;盘货信息!$B:$B&amp;盘货信息!$C:$C,盘货信息!$O:$O)="","","【优惠券】领"&amp;INDEX(_wpsfn.REGEXP(_xlfn.XLOOKUP(A190&amp;B190&amp;C190,盘货信息!$A:$A&amp;盘货信息!$B:$B&amp;盘货信息!$C:$C,盘货信息!$O:$O),"\d+"),1,1)&amp;"元优惠券下单更优惠，优惠卷："&amp;_xlfn.XLOOKUP(A190&amp;B190&amp;C190,盘货信息!$A:$A&amp;盘货信息!$B:$B&amp;盘货信息!$C:$C,盘货信息!$P:$P))</f>
        <v/>
      </c>
      <c r="N190" s="18" t="str">
        <f t="array" ref="N190">IF(AND(ISNUMBER(_xlfn.XLOOKUP(A190&amp;B190&amp;C190,盘货信息!$A:$A&amp;盘货信息!$B:$B&amp;盘货信息!$C:$C,盘货信息!$I:$I)),_xlfn.XLOOKUP(A190&amp;B190&amp;C190,盘货信息!$A:$A&amp;盘货信息!$B:$B&amp;盘货信息!$C:$C,盘货信息!$I:$I)&gt;1),"【88VIP】立减"&amp;_xlfn.XLOOKUP(A190&amp;B190&amp;C190,盘货信息!$A:$A&amp;盘货信息!$B:$B&amp;盘货信息!$C:$C,盘货信息!$I:$I)&amp;"元","")</f>
        <v/>
      </c>
      <c r="O190" s="18" t="str">
        <f t="array" ref="O190">IF(_xlfn.XLOOKUP(A190&amp;B190&amp;C190,盘货信息!$A:$A&amp;盘货信息!$B:$B&amp;盘货信息!$C:$C,盘货信息!$K:$K)="","",IF(AND(_xlfn.XLOOKUP(A190&amp;B190&amp;C190,盘货信息!$A:$A&amp;盘货信息!$B:$B&amp;盘货信息!$C:$C,盘货信息!$G:$G)="不参加",_xlfn.XLOOKUP(A190&amp;B190&amp;C190,盘货信息!$A:$A&amp;盘货信息!$B:$B&amp;盘货信息!$C:$C,盘货信息!$H:$H)=""),"【以旧换新】"&amp;_xlfn.XLOOKUP(A190&amp;B190&amp;C190,盘货信息!$A:$A&amp;盘货信息!$B:$B&amp;盘货信息!$C:$C,盘货信息!$K:$K)&amp;"元以旧换新补贴（可无旧机换新）",""))</f>
        <v/>
      </c>
      <c r="P190" s="18" t="str">
        <f t="array" ref="P190">_xlfn.XLOOKUP(A190&amp;B190&amp;C190,赠品!$A:$A&amp;赠品!$B:$B&amp;赠品!$C:$C,赠品!$D:$D)</f>
        <v/>
      </c>
      <c r="Q190" s="18" t="str">
        <f>IF($C190="","",IF(AND(M190="",N190="",P190=""),"",固定信息!$B$1))</f>
        <v/>
      </c>
      <c r="R190" s="18" t="str">
        <f t="array" ref="R190">IF(ISNUMBER(SEARCH("是",_xlfn.XLOOKUP(A190&amp;B190&amp;C190,盘货信息!$A:$A&amp;盘货信息!$B:$B&amp;盘货信息!$C:$C,盘货信息!$U:$U))),"【折扣】指定型号满2类享96折，满3类享94折","")</f>
        <v/>
      </c>
      <c r="S190" s="18" t="str">
        <f t="array" ref="S190">IF(_xlfn.XLOOKUP(A190&amp;B190&amp;C190,盘货信息!$A:$A&amp;盘货信息!$B:$B&amp;盘货信息!$C:$C,盘货信息!$Q:$Q)&lt;1,"","【红包】活动时间购机送"&amp;_xlfn.TEXTJOIN("",,IF(ISNUMBER(--MID(_xlfn.XLOOKUP(A190&amp;B190&amp;C190,盘货信息!$A:$A&amp;盘货信息!$B:$B&amp;盘货信息!$C:$C,盘货信息!$Q:$Q),_xlfn.SEQUENCE(LEN(_xlfn.XLOOKUP(A190&amp;B190&amp;C190,盘货信息!$A:$A&amp;盘货信息!$B:$B&amp;盘货信息!$C:$C,盘货信息!$Q:$Q))),1)),MID(_xlfn.XLOOKUP(A190&amp;B190&amp;C190,盘货信息!$A:$A&amp;盘货信息!$B:$B&amp;盘货信息!$C:$C,盘货信息!$Q:$Q),_xlfn.SEQUENCE(LEN(_xlfn.XLOOKUP(A190&amp;B190&amp;C190,盘货信息!$A:$A&amp;盘货信息!$B:$B&amp;盘货信息!$C:$C,盘货信息!$Q:$Q))),1),""))&amp;"元")</f>
        <v/>
      </c>
      <c r="T190" s="18" t="str">
        <f t="array" ref="T190">IF(ISNUMBER(SEARCH("是",_xlfn.XLOOKUP(A190&amp;B190&amp;C190,盘货信息!$A:$A&amp;盘货信息!$B:$B&amp;盘货信息!$C:$C,盘货信息!$T:$T))),"【瓜分】"&amp;固定信息!$B$7,"")</f>
        <v/>
      </c>
      <c r="U190" s="18" t="str">
        <f>IF($C190="","",IF(AND(R190="",S190="",T190=""),"",固定信息!$B$1))</f>
        <v/>
      </c>
      <c r="V190" s="18" t="str">
        <f t="array" ref="V190">IF(C190="","","【服务】"&amp;IF(_xlfn.XLOOKUP(A190&amp;B190&amp;C190,盘货信息!$A:$A&amp;盘货信息!$B:$B&amp;盘货信息!$C:$C,盘货信息!$V:$V)="","",_xlfn.XLOOKUP(A190&amp;B190&amp;C190,盘货信息!$A:$A&amp;盘货信息!$B:$B&amp;盘货信息!$C:$C,盘货信息!$V:$V)&amp;"免息,")&amp;IF(_xlfn.XLOOKUP(A190&amp;B190&amp;C190,盘货信息!$A:$A&amp;盘货信息!$B:$B&amp;盘货信息!$C:$C,盘货信息!$W:$W)="","",_xlfn.XLOOKUP(A190&amp;B190&amp;C190,盘货信息!$A:$A&amp;盘货信息!$B:$B&amp;盘货信息!$C:$C,盘货信息!$W:$W)&amp;"，")&amp;"送货入户，退换免运费")</f>
        <v/>
      </c>
    </row>
    <row r="191" customHeight="1" spans="1:22">
      <c r="A191" s="17" t="str">
        <f>IF(盘货信息!A191="","",盘货信息!A191)</f>
        <v/>
      </c>
      <c r="B191" s="20" t="str">
        <f>IF(盘货信息!B191="","",盘货信息!B191)</f>
        <v/>
      </c>
      <c r="C191" s="18" t="str">
        <f>IF(盘货信息!C191="","",盘货信息!C191)</f>
        <v/>
      </c>
      <c r="D191" s="18" t="str">
        <f ca="1" t="shared" si="2"/>
        <v/>
      </c>
      <c r="E191" s="18" t="str">
        <f>IF(C191="","",固定信息!$B$2)</f>
        <v/>
      </c>
      <c r="F191" s="18" t="str">
        <f t="array" ref="F191">IF(C191="","","【"&amp;C191&amp;"】"&amp;_xlfn.XLOOKUP(A191&amp;B191&amp;C191,盘货信息!$A:$A&amp;盘货信息!$B:$B&amp;盘货信息!$C:$C,盘货信息!$D:$D))</f>
        <v/>
      </c>
      <c r="G191" s="18" t="str">
        <f>IF(C191="","","【"&amp;"活动时间："&amp;固定信息!$B$3&amp;"】")</f>
        <v/>
      </c>
      <c r="H191" s="18" t="str">
        <f>IF($C191="","",固定信息!$B$1)</f>
        <v/>
      </c>
      <c r="I191" s="18"/>
      <c r="J191" s="18" t="str">
        <f t="array" ref="J191">_xlfn.XLOOKUP(A191&amp;B191&amp;C191,价格信息!$A:$A&amp;价格信息!$B:$B&amp;价格信息!$C:$C,价格信息!$D:$D)</f>
        <v/>
      </c>
      <c r="K191" s="31" t="str">
        <f t="array" ref="K191">IF(_xlfn.XLOOKUP(A191&amp;B191&amp;C191,价格信息!$A:$A&amp;价格信息!$B:$B&amp;价格信息!$C:$C,价格信息!$I:$I)="","","【优惠券链接】"&amp;固定信息!$B$6)</f>
        <v/>
      </c>
      <c r="L191" s="31" t="str">
        <f>IF($C191="","",固定信息!$B$1)</f>
        <v/>
      </c>
      <c r="M191" s="18" t="str">
        <f t="array" ref="M191">IF(_xlfn.XLOOKUP(A191&amp;B191&amp;C191,盘货信息!$A:$A&amp;盘货信息!$B:$B&amp;盘货信息!$C:$C,盘货信息!$O:$O)="","","【优惠券】领"&amp;INDEX(_wpsfn.REGEXP(_xlfn.XLOOKUP(A191&amp;B191&amp;C191,盘货信息!$A:$A&amp;盘货信息!$B:$B&amp;盘货信息!$C:$C,盘货信息!$O:$O),"\d+"),1,1)&amp;"元优惠券下单更优惠，优惠卷："&amp;_xlfn.XLOOKUP(A191&amp;B191&amp;C191,盘货信息!$A:$A&amp;盘货信息!$B:$B&amp;盘货信息!$C:$C,盘货信息!$P:$P))</f>
        <v/>
      </c>
      <c r="N191" s="18" t="str">
        <f t="array" ref="N191">IF(AND(ISNUMBER(_xlfn.XLOOKUP(A191&amp;B191&amp;C191,盘货信息!$A:$A&amp;盘货信息!$B:$B&amp;盘货信息!$C:$C,盘货信息!$I:$I)),_xlfn.XLOOKUP(A191&amp;B191&amp;C191,盘货信息!$A:$A&amp;盘货信息!$B:$B&amp;盘货信息!$C:$C,盘货信息!$I:$I)&gt;1),"【88VIP】立减"&amp;_xlfn.XLOOKUP(A191&amp;B191&amp;C191,盘货信息!$A:$A&amp;盘货信息!$B:$B&amp;盘货信息!$C:$C,盘货信息!$I:$I)&amp;"元","")</f>
        <v/>
      </c>
      <c r="O191" s="18" t="str">
        <f t="array" ref="O191">IF(_xlfn.XLOOKUP(A191&amp;B191&amp;C191,盘货信息!$A:$A&amp;盘货信息!$B:$B&amp;盘货信息!$C:$C,盘货信息!$K:$K)="","",IF(AND(_xlfn.XLOOKUP(A191&amp;B191&amp;C191,盘货信息!$A:$A&amp;盘货信息!$B:$B&amp;盘货信息!$C:$C,盘货信息!$G:$G)="不参加",_xlfn.XLOOKUP(A191&amp;B191&amp;C191,盘货信息!$A:$A&amp;盘货信息!$B:$B&amp;盘货信息!$C:$C,盘货信息!$H:$H)=""),"【以旧换新】"&amp;_xlfn.XLOOKUP(A191&amp;B191&amp;C191,盘货信息!$A:$A&amp;盘货信息!$B:$B&amp;盘货信息!$C:$C,盘货信息!$K:$K)&amp;"元以旧换新补贴（可无旧机换新）",""))</f>
        <v/>
      </c>
      <c r="P191" s="18" t="str">
        <f t="array" ref="P191">_xlfn.XLOOKUP(A191&amp;B191&amp;C191,赠品!$A:$A&amp;赠品!$B:$B&amp;赠品!$C:$C,赠品!$D:$D)</f>
        <v/>
      </c>
      <c r="Q191" s="18" t="str">
        <f>IF($C191="","",IF(AND(M191="",N191="",P191=""),"",固定信息!$B$1))</f>
        <v/>
      </c>
      <c r="R191" s="18" t="str">
        <f t="array" ref="R191">IF(ISNUMBER(SEARCH("是",_xlfn.XLOOKUP(A191&amp;B191&amp;C191,盘货信息!$A:$A&amp;盘货信息!$B:$B&amp;盘货信息!$C:$C,盘货信息!$U:$U))),"【折扣】指定型号满2类享96折，满3类享94折","")</f>
        <v/>
      </c>
      <c r="S191" s="18" t="str">
        <f t="array" ref="S191">IF(_xlfn.XLOOKUP(A191&amp;B191&amp;C191,盘货信息!$A:$A&amp;盘货信息!$B:$B&amp;盘货信息!$C:$C,盘货信息!$Q:$Q)&lt;1,"","【红包】活动时间购机送"&amp;_xlfn.TEXTJOIN("",,IF(ISNUMBER(--MID(_xlfn.XLOOKUP(A191&amp;B191&amp;C191,盘货信息!$A:$A&amp;盘货信息!$B:$B&amp;盘货信息!$C:$C,盘货信息!$Q:$Q),_xlfn.SEQUENCE(LEN(_xlfn.XLOOKUP(A191&amp;B191&amp;C191,盘货信息!$A:$A&amp;盘货信息!$B:$B&amp;盘货信息!$C:$C,盘货信息!$Q:$Q))),1)),MID(_xlfn.XLOOKUP(A191&amp;B191&amp;C191,盘货信息!$A:$A&amp;盘货信息!$B:$B&amp;盘货信息!$C:$C,盘货信息!$Q:$Q),_xlfn.SEQUENCE(LEN(_xlfn.XLOOKUP(A191&amp;B191&amp;C191,盘货信息!$A:$A&amp;盘货信息!$B:$B&amp;盘货信息!$C:$C,盘货信息!$Q:$Q))),1),""))&amp;"元")</f>
        <v/>
      </c>
      <c r="T191" s="18" t="str">
        <f t="array" ref="T191">IF(ISNUMBER(SEARCH("是",_xlfn.XLOOKUP(A191&amp;B191&amp;C191,盘货信息!$A:$A&amp;盘货信息!$B:$B&amp;盘货信息!$C:$C,盘货信息!$T:$T))),"【瓜分】"&amp;固定信息!$B$7,"")</f>
        <v/>
      </c>
      <c r="U191" s="18" t="str">
        <f>IF($C191="","",IF(AND(R191="",S191="",T191=""),"",固定信息!$B$1))</f>
        <v/>
      </c>
      <c r="V191" s="18" t="str">
        <f t="array" ref="V191">IF(C191="","","【服务】"&amp;IF(_xlfn.XLOOKUP(A191&amp;B191&amp;C191,盘货信息!$A:$A&amp;盘货信息!$B:$B&amp;盘货信息!$C:$C,盘货信息!$V:$V)="","",_xlfn.XLOOKUP(A191&amp;B191&amp;C191,盘货信息!$A:$A&amp;盘货信息!$B:$B&amp;盘货信息!$C:$C,盘货信息!$V:$V)&amp;"免息,")&amp;IF(_xlfn.XLOOKUP(A191&amp;B191&amp;C191,盘货信息!$A:$A&amp;盘货信息!$B:$B&amp;盘货信息!$C:$C,盘货信息!$W:$W)="","",_xlfn.XLOOKUP(A191&amp;B191&amp;C191,盘货信息!$A:$A&amp;盘货信息!$B:$B&amp;盘货信息!$C:$C,盘货信息!$W:$W)&amp;"，")&amp;"送货入户，退换免运费")</f>
        <v/>
      </c>
    </row>
    <row r="192" customHeight="1" spans="1:22">
      <c r="A192" s="17" t="str">
        <f>IF(盘货信息!A192="","",盘货信息!A192)</f>
        <v/>
      </c>
      <c r="B192" s="20" t="str">
        <f>IF(盘货信息!B192="","",盘货信息!B192)</f>
        <v/>
      </c>
      <c r="C192" s="18" t="str">
        <f>IF(盘货信息!C192="","",盘货信息!C192)</f>
        <v/>
      </c>
      <c r="D192" s="18" t="str">
        <f ca="1" t="shared" si="2"/>
        <v/>
      </c>
      <c r="E192" s="18" t="str">
        <f>IF(C192="","",固定信息!$B$2)</f>
        <v/>
      </c>
      <c r="F192" s="18" t="str">
        <f t="array" ref="F192">IF(C192="","","【"&amp;C192&amp;"】"&amp;_xlfn.XLOOKUP(A192&amp;B192&amp;C192,盘货信息!$A:$A&amp;盘货信息!$B:$B&amp;盘货信息!$C:$C,盘货信息!$D:$D))</f>
        <v/>
      </c>
      <c r="G192" s="18" t="str">
        <f>IF(C192="","","【"&amp;"活动时间："&amp;固定信息!$B$3&amp;"】")</f>
        <v/>
      </c>
      <c r="H192" s="18" t="str">
        <f>IF($C192="","",固定信息!$B$1)</f>
        <v/>
      </c>
      <c r="I192" s="18"/>
      <c r="J192" s="18" t="str">
        <f t="array" ref="J192">_xlfn.XLOOKUP(A192&amp;B192&amp;C192,价格信息!$A:$A&amp;价格信息!$B:$B&amp;价格信息!$C:$C,价格信息!$D:$D)</f>
        <v/>
      </c>
      <c r="K192" s="31" t="str">
        <f t="array" ref="K192">IF(_xlfn.XLOOKUP(A192&amp;B192&amp;C192,价格信息!$A:$A&amp;价格信息!$B:$B&amp;价格信息!$C:$C,价格信息!$I:$I)="","","【优惠券链接】"&amp;固定信息!$B$6)</f>
        <v/>
      </c>
      <c r="L192" s="31" t="str">
        <f>IF($C192="","",固定信息!$B$1)</f>
        <v/>
      </c>
      <c r="M192" s="18" t="str">
        <f t="array" ref="M192">IF(_xlfn.XLOOKUP(A192&amp;B192&amp;C192,盘货信息!$A:$A&amp;盘货信息!$B:$B&amp;盘货信息!$C:$C,盘货信息!$O:$O)="","","【优惠券】领"&amp;INDEX(_wpsfn.REGEXP(_xlfn.XLOOKUP(A192&amp;B192&amp;C192,盘货信息!$A:$A&amp;盘货信息!$B:$B&amp;盘货信息!$C:$C,盘货信息!$O:$O),"\d+"),1,1)&amp;"元优惠券下单更优惠，优惠卷："&amp;_xlfn.XLOOKUP(A192&amp;B192&amp;C192,盘货信息!$A:$A&amp;盘货信息!$B:$B&amp;盘货信息!$C:$C,盘货信息!$P:$P))</f>
        <v/>
      </c>
      <c r="N192" s="18" t="str">
        <f t="array" ref="N192">IF(AND(ISNUMBER(_xlfn.XLOOKUP(A192&amp;B192&amp;C192,盘货信息!$A:$A&amp;盘货信息!$B:$B&amp;盘货信息!$C:$C,盘货信息!$I:$I)),_xlfn.XLOOKUP(A192&amp;B192&amp;C192,盘货信息!$A:$A&amp;盘货信息!$B:$B&amp;盘货信息!$C:$C,盘货信息!$I:$I)&gt;1),"【88VIP】立减"&amp;_xlfn.XLOOKUP(A192&amp;B192&amp;C192,盘货信息!$A:$A&amp;盘货信息!$B:$B&amp;盘货信息!$C:$C,盘货信息!$I:$I)&amp;"元","")</f>
        <v/>
      </c>
      <c r="O192" s="18" t="str">
        <f t="array" ref="O192">IF(_xlfn.XLOOKUP(A192&amp;B192&amp;C192,盘货信息!$A:$A&amp;盘货信息!$B:$B&amp;盘货信息!$C:$C,盘货信息!$K:$K)="","",IF(AND(_xlfn.XLOOKUP(A192&amp;B192&amp;C192,盘货信息!$A:$A&amp;盘货信息!$B:$B&amp;盘货信息!$C:$C,盘货信息!$G:$G)="不参加",_xlfn.XLOOKUP(A192&amp;B192&amp;C192,盘货信息!$A:$A&amp;盘货信息!$B:$B&amp;盘货信息!$C:$C,盘货信息!$H:$H)=""),"【以旧换新】"&amp;_xlfn.XLOOKUP(A192&amp;B192&amp;C192,盘货信息!$A:$A&amp;盘货信息!$B:$B&amp;盘货信息!$C:$C,盘货信息!$K:$K)&amp;"元以旧换新补贴（可无旧机换新）",""))</f>
        <v/>
      </c>
      <c r="P192" s="18" t="str">
        <f t="array" ref="P192">_xlfn.XLOOKUP(A192&amp;B192&amp;C192,赠品!$A:$A&amp;赠品!$B:$B&amp;赠品!$C:$C,赠品!$D:$D)</f>
        <v/>
      </c>
      <c r="Q192" s="18" t="str">
        <f>IF($C192="","",IF(AND(M192="",N192="",P192=""),"",固定信息!$B$1))</f>
        <v/>
      </c>
      <c r="R192" s="18" t="str">
        <f t="array" ref="R192">IF(ISNUMBER(SEARCH("是",_xlfn.XLOOKUP(A192&amp;B192&amp;C192,盘货信息!$A:$A&amp;盘货信息!$B:$B&amp;盘货信息!$C:$C,盘货信息!$U:$U))),"【折扣】指定型号满2类享96折，满3类享94折","")</f>
        <v/>
      </c>
      <c r="S192" s="18" t="str">
        <f t="array" ref="S192">IF(_xlfn.XLOOKUP(A192&amp;B192&amp;C192,盘货信息!$A:$A&amp;盘货信息!$B:$B&amp;盘货信息!$C:$C,盘货信息!$Q:$Q)&lt;1,"","【红包】活动时间购机送"&amp;_xlfn.TEXTJOIN("",,IF(ISNUMBER(--MID(_xlfn.XLOOKUP(A192&amp;B192&amp;C192,盘货信息!$A:$A&amp;盘货信息!$B:$B&amp;盘货信息!$C:$C,盘货信息!$Q:$Q),_xlfn.SEQUENCE(LEN(_xlfn.XLOOKUP(A192&amp;B192&amp;C192,盘货信息!$A:$A&amp;盘货信息!$B:$B&amp;盘货信息!$C:$C,盘货信息!$Q:$Q))),1)),MID(_xlfn.XLOOKUP(A192&amp;B192&amp;C192,盘货信息!$A:$A&amp;盘货信息!$B:$B&amp;盘货信息!$C:$C,盘货信息!$Q:$Q),_xlfn.SEQUENCE(LEN(_xlfn.XLOOKUP(A192&amp;B192&amp;C192,盘货信息!$A:$A&amp;盘货信息!$B:$B&amp;盘货信息!$C:$C,盘货信息!$Q:$Q))),1),""))&amp;"元")</f>
        <v/>
      </c>
      <c r="T192" s="18" t="str">
        <f t="array" ref="T192">IF(ISNUMBER(SEARCH("是",_xlfn.XLOOKUP(A192&amp;B192&amp;C192,盘货信息!$A:$A&amp;盘货信息!$B:$B&amp;盘货信息!$C:$C,盘货信息!$T:$T))),"【瓜分】"&amp;固定信息!$B$7,"")</f>
        <v/>
      </c>
      <c r="U192" s="18" t="str">
        <f>IF($C192="","",IF(AND(R192="",S192="",T192=""),"",固定信息!$B$1))</f>
        <v/>
      </c>
      <c r="V192" s="18" t="str">
        <f t="array" ref="V192">IF(C192="","","【服务】"&amp;IF(_xlfn.XLOOKUP(A192&amp;B192&amp;C192,盘货信息!$A:$A&amp;盘货信息!$B:$B&amp;盘货信息!$C:$C,盘货信息!$V:$V)="","",_xlfn.XLOOKUP(A192&amp;B192&amp;C192,盘货信息!$A:$A&amp;盘货信息!$B:$B&amp;盘货信息!$C:$C,盘货信息!$V:$V)&amp;"免息,")&amp;IF(_xlfn.XLOOKUP(A192&amp;B192&amp;C192,盘货信息!$A:$A&amp;盘货信息!$B:$B&amp;盘货信息!$C:$C,盘货信息!$W:$W)="","",_xlfn.XLOOKUP(A192&amp;B192&amp;C192,盘货信息!$A:$A&amp;盘货信息!$B:$B&amp;盘货信息!$C:$C,盘货信息!$W:$W)&amp;"，")&amp;"送货入户，退换免运费")</f>
        <v/>
      </c>
    </row>
    <row r="193" customHeight="1" spans="1:22">
      <c r="A193" s="17" t="str">
        <f>IF(盘货信息!A193="","",盘货信息!A193)</f>
        <v/>
      </c>
      <c r="B193" s="20" t="str">
        <f>IF(盘货信息!B193="","",盘货信息!B193)</f>
        <v/>
      </c>
      <c r="C193" s="18" t="str">
        <f>IF(盘货信息!C193="","",盘货信息!C193)</f>
        <v/>
      </c>
      <c r="D193" s="18" t="str">
        <f ca="1" t="shared" si="2"/>
        <v/>
      </c>
      <c r="E193" s="18" t="str">
        <f>IF(C193="","",固定信息!$B$2)</f>
        <v/>
      </c>
      <c r="F193" s="18" t="str">
        <f t="array" ref="F193">IF(C193="","","【"&amp;C193&amp;"】"&amp;_xlfn.XLOOKUP(A193&amp;B193&amp;C193,盘货信息!$A:$A&amp;盘货信息!$B:$B&amp;盘货信息!$C:$C,盘货信息!$D:$D))</f>
        <v/>
      </c>
      <c r="G193" s="18" t="str">
        <f>IF(C193="","","【"&amp;"活动时间："&amp;固定信息!$B$3&amp;"】")</f>
        <v/>
      </c>
      <c r="H193" s="18" t="str">
        <f>IF($C193="","",固定信息!$B$1)</f>
        <v/>
      </c>
      <c r="I193" s="18"/>
      <c r="J193" s="18" t="str">
        <f t="array" ref="J193">_xlfn.XLOOKUP(A193&amp;B193&amp;C193,价格信息!$A:$A&amp;价格信息!$B:$B&amp;价格信息!$C:$C,价格信息!$D:$D)</f>
        <v/>
      </c>
      <c r="K193" s="31" t="str">
        <f t="array" ref="K193">IF(_xlfn.XLOOKUP(A193&amp;B193&amp;C193,价格信息!$A:$A&amp;价格信息!$B:$B&amp;价格信息!$C:$C,价格信息!$I:$I)="","","【优惠券链接】"&amp;固定信息!$B$6)</f>
        <v/>
      </c>
      <c r="L193" s="31" t="str">
        <f>IF($C193="","",固定信息!$B$1)</f>
        <v/>
      </c>
      <c r="M193" s="18" t="str">
        <f t="array" ref="M193">IF(_xlfn.XLOOKUP(A193&amp;B193&amp;C193,盘货信息!$A:$A&amp;盘货信息!$B:$B&amp;盘货信息!$C:$C,盘货信息!$O:$O)="","","【优惠券】领"&amp;INDEX(_wpsfn.REGEXP(_xlfn.XLOOKUP(A193&amp;B193&amp;C193,盘货信息!$A:$A&amp;盘货信息!$B:$B&amp;盘货信息!$C:$C,盘货信息!$O:$O),"\d+"),1,1)&amp;"元优惠券下单更优惠，优惠卷："&amp;_xlfn.XLOOKUP(A193&amp;B193&amp;C193,盘货信息!$A:$A&amp;盘货信息!$B:$B&amp;盘货信息!$C:$C,盘货信息!$P:$P))</f>
        <v/>
      </c>
      <c r="N193" s="18" t="str">
        <f t="array" ref="N193">IF(AND(ISNUMBER(_xlfn.XLOOKUP(A193&amp;B193&amp;C193,盘货信息!$A:$A&amp;盘货信息!$B:$B&amp;盘货信息!$C:$C,盘货信息!$I:$I)),_xlfn.XLOOKUP(A193&amp;B193&amp;C193,盘货信息!$A:$A&amp;盘货信息!$B:$B&amp;盘货信息!$C:$C,盘货信息!$I:$I)&gt;1),"【88VIP】立减"&amp;_xlfn.XLOOKUP(A193&amp;B193&amp;C193,盘货信息!$A:$A&amp;盘货信息!$B:$B&amp;盘货信息!$C:$C,盘货信息!$I:$I)&amp;"元","")</f>
        <v/>
      </c>
      <c r="O193" s="18" t="str">
        <f t="array" ref="O193">IF(_xlfn.XLOOKUP(A193&amp;B193&amp;C193,盘货信息!$A:$A&amp;盘货信息!$B:$B&amp;盘货信息!$C:$C,盘货信息!$K:$K)="","",IF(AND(_xlfn.XLOOKUP(A193&amp;B193&amp;C193,盘货信息!$A:$A&amp;盘货信息!$B:$B&amp;盘货信息!$C:$C,盘货信息!$G:$G)="不参加",_xlfn.XLOOKUP(A193&amp;B193&amp;C193,盘货信息!$A:$A&amp;盘货信息!$B:$B&amp;盘货信息!$C:$C,盘货信息!$H:$H)=""),"【以旧换新】"&amp;_xlfn.XLOOKUP(A193&amp;B193&amp;C193,盘货信息!$A:$A&amp;盘货信息!$B:$B&amp;盘货信息!$C:$C,盘货信息!$K:$K)&amp;"元以旧换新补贴（可无旧机换新）",""))</f>
        <v/>
      </c>
      <c r="P193" s="18" t="str">
        <f t="array" ref="P193">_xlfn.XLOOKUP(A193&amp;B193&amp;C193,赠品!$A:$A&amp;赠品!$B:$B&amp;赠品!$C:$C,赠品!$D:$D)</f>
        <v/>
      </c>
      <c r="Q193" s="18" t="str">
        <f>IF($C193="","",IF(AND(M193="",N193="",P193=""),"",固定信息!$B$1))</f>
        <v/>
      </c>
      <c r="R193" s="18" t="str">
        <f t="array" ref="R193">IF(ISNUMBER(SEARCH("是",_xlfn.XLOOKUP(A193&amp;B193&amp;C193,盘货信息!$A:$A&amp;盘货信息!$B:$B&amp;盘货信息!$C:$C,盘货信息!$U:$U))),"【折扣】指定型号满2类享96折，满3类享94折","")</f>
        <v/>
      </c>
      <c r="S193" s="18" t="str">
        <f t="array" ref="S193">IF(_xlfn.XLOOKUP(A193&amp;B193&amp;C193,盘货信息!$A:$A&amp;盘货信息!$B:$B&amp;盘货信息!$C:$C,盘货信息!$Q:$Q)&lt;1,"","【红包】活动时间购机送"&amp;_xlfn.TEXTJOIN("",,IF(ISNUMBER(--MID(_xlfn.XLOOKUP(A193&amp;B193&amp;C193,盘货信息!$A:$A&amp;盘货信息!$B:$B&amp;盘货信息!$C:$C,盘货信息!$Q:$Q),_xlfn.SEQUENCE(LEN(_xlfn.XLOOKUP(A193&amp;B193&amp;C193,盘货信息!$A:$A&amp;盘货信息!$B:$B&amp;盘货信息!$C:$C,盘货信息!$Q:$Q))),1)),MID(_xlfn.XLOOKUP(A193&amp;B193&amp;C193,盘货信息!$A:$A&amp;盘货信息!$B:$B&amp;盘货信息!$C:$C,盘货信息!$Q:$Q),_xlfn.SEQUENCE(LEN(_xlfn.XLOOKUP(A193&amp;B193&amp;C193,盘货信息!$A:$A&amp;盘货信息!$B:$B&amp;盘货信息!$C:$C,盘货信息!$Q:$Q))),1),""))&amp;"元")</f>
        <v/>
      </c>
      <c r="T193" s="18" t="str">
        <f t="array" ref="T193">IF(ISNUMBER(SEARCH("是",_xlfn.XLOOKUP(A193&amp;B193&amp;C193,盘货信息!$A:$A&amp;盘货信息!$B:$B&amp;盘货信息!$C:$C,盘货信息!$T:$T))),"【瓜分】"&amp;固定信息!$B$7,"")</f>
        <v/>
      </c>
      <c r="U193" s="18" t="str">
        <f>IF($C193="","",IF(AND(R193="",S193="",T193=""),"",固定信息!$B$1))</f>
        <v/>
      </c>
      <c r="V193" s="18" t="str">
        <f t="array" ref="V193">IF(C193="","","【服务】"&amp;IF(_xlfn.XLOOKUP(A193&amp;B193&amp;C193,盘货信息!$A:$A&amp;盘货信息!$B:$B&amp;盘货信息!$C:$C,盘货信息!$V:$V)="","",_xlfn.XLOOKUP(A193&amp;B193&amp;C193,盘货信息!$A:$A&amp;盘货信息!$B:$B&amp;盘货信息!$C:$C,盘货信息!$V:$V)&amp;"免息,")&amp;IF(_xlfn.XLOOKUP(A193&amp;B193&amp;C193,盘货信息!$A:$A&amp;盘货信息!$B:$B&amp;盘货信息!$C:$C,盘货信息!$W:$W)="","",_xlfn.XLOOKUP(A193&amp;B193&amp;C193,盘货信息!$A:$A&amp;盘货信息!$B:$B&amp;盘货信息!$C:$C,盘货信息!$W:$W)&amp;"，")&amp;"送货入户，退换免运费")</f>
        <v/>
      </c>
    </row>
    <row r="194" customHeight="1" spans="1:22">
      <c r="A194" s="17" t="str">
        <f>IF(盘货信息!A194="","",盘货信息!A194)</f>
        <v/>
      </c>
      <c r="B194" s="20" t="str">
        <f>IF(盘货信息!B194="","",盘货信息!B194)</f>
        <v/>
      </c>
      <c r="C194" s="18" t="str">
        <f>IF(盘货信息!C194="","",盘货信息!C194)</f>
        <v/>
      </c>
      <c r="D194" s="18" t="str">
        <f ca="1" t="shared" ref="D194:D257" si="3">_xlfn.TEXTJOIN(CHAR(10),TRUE,OFFSET(INDIRECT("RC",FALSE),0,1,1,30))</f>
        <v/>
      </c>
      <c r="E194" s="18" t="str">
        <f>IF(C194="","",固定信息!$B$2)</f>
        <v/>
      </c>
      <c r="F194" s="18" t="str">
        <f t="array" ref="F194">IF(C194="","","【"&amp;C194&amp;"】"&amp;_xlfn.XLOOKUP(A194&amp;B194&amp;C194,盘货信息!$A:$A&amp;盘货信息!$B:$B&amp;盘货信息!$C:$C,盘货信息!$D:$D))</f>
        <v/>
      </c>
      <c r="G194" s="18" t="str">
        <f>IF(C194="","","【"&amp;"活动时间："&amp;固定信息!$B$3&amp;"】")</f>
        <v/>
      </c>
      <c r="H194" s="18" t="str">
        <f>IF($C194="","",固定信息!$B$1)</f>
        <v/>
      </c>
      <c r="I194" s="18"/>
      <c r="J194" s="18" t="str">
        <f t="array" ref="J194">_xlfn.XLOOKUP(A194&amp;B194&amp;C194,价格信息!$A:$A&amp;价格信息!$B:$B&amp;价格信息!$C:$C,价格信息!$D:$D)</f>
        <v/>
      </c>
      <c r="K194" s="31" t="str">
        <f t="array" ref="K194">IF(_xlfn.XLOOKUP(A194&amp;B194&amp;C194,价格信息!$A:$A&amp;价格信息!$B:$B&amp;价格信息!$C:$C,价格信息!$I:$I)="","","【优惠券链接】"&amp;固定信息!$B$6)</f>
        <v/>
      </c>
      <c r="L194" s="31" t="str">
        <f>IF($C194="","",固定信息!$B$1)</f>
        <v/>
      </c>
      <c r="M194" s="18" t="str">
        <f t="array" ref="M194">IF(_xlfn.XLOOKUP(A194&amp;B194&amp;C194,盘货信息!$A:$A&amp;盘货信息!$B:$B&amp;盘货信息!$C:$C,盘货信息!$O:$O)="","","【优惠券】领"&amp;INDEX(_wpsfn.REGEXP(_xlfn.XLOOKUP(A194&amp;B194&amp;C194,盘货信息!$A:$A&amp;盘货信息!$B:$B&amp;盘货信息!$C:$C,盘货信息!$O:$O),"\d+"),1,1)&amp;"元优惠券下单更优惠，优惠卷："&amp;_xlfn.XLOOKUP(A194&amp;B194&amp;C194,盘货信息!$A:$A&amp;盘货信息!$B:$B&amp;盘货信息!$C:$C,盘货信息!$P:$P))</f>
        <v/>
      </c>
      <c r="N194" s="18" t="str">
        <f t="array" ref="N194">IF(AND(ISNUMBER(_xlfn.XLOOKUP(A194&amp;B194&amp;C194,盘货信息!$A:$A&amp;盘货信息!$B:$B&amp;盘货信息!$C:$C,盘货信息!$I:$I)),_xlfn.XLOOKUP(A194&amp;B194&amp;C194,盘货信息!$A:$A&amp;盘货信息!$B:$B&amp;盘货信息!$C:$C,盘货信息!$I:$I)&gt;1),"【88VIP】立减"&amp;_xlfn.XLOOKUP(A194&amp;B194&amp;C194,盘货信息!$A:$A&amp;盘货信息!$B:$B&amp;盘货信息!$C:$C,盘货信息!$I:$I)&amp;"元","")</f>
        <v/>
      </c>
      <c r="O194" s="18" t="str">
        <f t="array" ref="O194">IF(_xlfn.XLOOKUP(A194&amp;B194&amp;C194,盘货信息!$A:$A&amp;盘货信息!$B:$B&amp;盘货信息!$C:$C,盘货信息!$K:$K)="","",IF(AND(_xlfn.XLOOKUP(A194&amp;B194&amp;C194,盘货信息!$A:$A&amp;盘货信息!$B:$B&amp;盘货信息!$C:$C,盘货信息!$G:$G)="不参加",_xlfn.XLOOKUP(A194&amp;B194&amp;C194,盘货信息!$A:$A&amp;盘货信息!$B:$B&amp;盘货信息!$C:$C,盘货信息!$H:$H)=""),"【以旧换新】"&amp;_xlfn.XLOOKUP(A194&amp;B194&amp;C194,盘货信息!$A:$A&amp;盘货信息!$B:$B&amp;盘货信息!$C:$C,盘货信息!$K:$K)&amp;"元以旧换新补贴（可无旧机换新）",""))</f>
        <v/>
      </c>
      <c r="P194" s="18" t="str">
        <f t="array" ref="P194">_xlfn.XLOOKUP(A194&amp;B194&amp;C194,赠品!$A:$A&amp;赠品!$B:$B&amp;赠品!$C:$C,赠品!$D:$D)</f>
        <v/>
      </c>
      <c r="Q194" s="18" t="str">
        <f>IF($C194="","",IF(AND(M194="",N194="",P194=""),"",固定信息!$B$1))</f>
        <v/>
      </c>
      <c r="R194" s="18" t="str">
        <f t="array" ref="R194">IF(ISNUMBER(SEARCH("是",_xlfn.XLOOKUP(A194&amp;B194&amp;C194,盘货信息!$A:$A&amp;盘货信息!$B:$B&amp;盘货信息!$C:$C,盘货信息!$U:$U))),"【折扣】指定型号满2类享96折，满3类享94折","")</f>
        <v/>
      </c>
      <c r="S194" s="18" t="str">
        <f t="array" ref="S194">IF(_xlfn.XLOOKUP(A194&amp;B194&amp;C194,盘货信息!$A:$A&amp;盘货信息!$B:$B&amp;盘货信息!$C:$C,盘货信息!$Q:$Q)&lt;1,"","【红包】活动时间购机送"&amp;_xlfn.TEXTJOIN("",,IF(ISNUMBER(--MID(_xlfn.XLOOKUP(A194&amp;B194&amp;C194,盘货信息!$A:$A&amp;盘货信息!$B:$B&amp;盘货信息!$C:$C,盘货信息!$Q:$Q),_xlfn.SEQUENCE(LEN(_xlfn.XLOOKUP(A194&amp;B194&amp;C194,盘货信息!$A:$A&amp;盘货信息!$B:$B&amp;盘货信息!$C:$C,盘货信息!$Q:$Q))),1)),MID(_xlfn.XLOOKUP(A194&amp;B194&amp;C194,盘货信息!$A:$A&amp;盘货信息!$B:$B&amp;盘货信息!$C:$C,盘货信息!$Q:$Q),_xlfn.SEQUENCE(LEN(_xlfn.XLOOKUP(A194&amp;B194&amp;C194,盘货信息!$A:$A&amp;盘货信息!$B:$B&amp;盘货信息!$C:$C,盘货信息!$Q:$Q))),1),""))&amp;"元")</f>
        <v/>
      </c>
      <c r="T194" s="18" t="str">
        <f t="array" ref="T194">IF(ISNUMBER(SEARCH("是",_xlfn.XLOOKUP(A194&amp;B194&amp;C194,盘货信息!$A:$A&amp;盘货信息!$B:$B&amp;盘货信息!$C:$C,盘货信息!$T:$T))),"【瓜分】"&amp;固定信息!$B$7,"")</f>
        <v/>
      </c>
      <c r="U194" s="18" t="str">
        <f>IF($C194="","",IF(AND(R194="",S194="",T194=""),"",固定信息!$B$1))</f>
        <v/>
      </c>
      <c r="V194" s="18" t="str">
        <f t="array" ref="V194">IF(C194="","","【服务】"&amp;IF(_xlfn.XLOOKUP(A194&amp;B194&amp;C194,盘货信息!$A:$A&amp;盘货信息!$B:$B&amp;盘货信息!$C:$C,盘货信息!$V:$V)="","",_xlfn.XLOOKUP(A194&amp;B194&amp;C194,盘货信息!$A:$A&amp;盘货信息!$B:$B&amp;盘货信息!$C:$C,盘货信息!$V:$V)&amp;"免息,")&amp;IF(_xlfn.XLOOKUP(A194&amp;B194&amp;C194,盘货信息!$A:$A&amp;盘货信息!$B:$B&amp;盘货信息!$C:$C,盘货信息!$W:$W)="","",_xlfn.XLOOKUP(A194&amp;B194&amp;C194,盘货信息!$A:$A&amp;盘货信息!$B:$B&amp;盘货信息!$C:$C,盘货信息!$W:$W)&amp;"，")&amp;"送货入户，退换免运费")</f>
        <v/>
      </c>
    </row>
    <row r="195" customHeight="1" spans="1:22">
      <c r="A195" s="17" t="str">
        <f>IF(盘货信息!A195="","",盘货信息!A195)</f>
        <v/>
      </c>
      <c r="B195" s="20" t="str">
        <f>IF(盘货信息!B195="","",盘货信息!B195)</f>
        <v/>
      </c>
      <c r="C195" s="18" t="str">
        <f>IF(盘货信息!C195="","",盘货信息!C195)</f>
        <v/>
      </c>
      <c r="D195" s="18" t="str">
        <f ca="1" t="shared" si="3"/>
        <v/>
      </c>
      <c r="E195" s="18" t="str">
        <f>IF(C195="","",固定信息!$B$2)</f>
        <v/>
      </c>
      <c r="F195" s="18" t="str">
        <f t="array" ref="F195">IF(C195="","","【"&amp;C195&amp;"】"&amp;_xlfn.XLOOKUP(A195&amp;B195&amp;C195,盘货信息!$A:$A&amp;盘货信息!$B:$B&amp;盘货信息!$C:$C,盘货信息!$D:$D))</f>
        <v/>
      </c>
      <c r="G195" s="18" t="str">
        <f>IF(C195="","","【"&amp;"活动时间："&amp;固定信息!$B$3&amp;"】")</f>
        <v/>
      </c>
      <c r="H195" s="18" t="str">
        <f>IF($C195="","",固定信息!$B$1)</f>
        <v/>
      </c>
      <c r="I195" s="18"/>
      <c r="J195" s="18" t="str">
        <f t="array" ref="J195">_xlfn.XLOOKUP(A195&amp;B195&amp;C195,价格信息!$A:$A&amp;价格信息!$B:$B&amp;价格信息!$C:$C,价格信息!$D:$D)</f>
        <v/>
      </c>
      <c r="K195" s="31" t="str">
        <f t="array" ref="K195">IF(_xlfn.XLOOKUP(A195&amp;B195&amp;C195,价格信息!$A:$A&amp;价格信息!$B:$B&amp;价格信息!$C:$C,价格信息!$I:$I)="","","【优惠券链接】"&amp;固定信息!$B$6)</f>
        <v/>
      </c>
      <c r="L195" s="31" t="str">
        <f>IF($C195="","",固定信息!$B$1)</f>
        <v/>
      </c>
      <c r="M195" s="18" t="str">
        <f t="array" ref="M195">IF(_xlfn.XLOOKUP(A195&amp;B195&amp;C195,盘货信息!$A:$A&amp;盘货信息!$B:$B&amp;盘货信息!$C:$C,盘货信息!$O:$O)="","","【优惠券】领"&amp;INDEX(_wpsfn.REGEXP(_xlfn.XLOOKUP(A195&amp;B195&amp;C195,盘货信息!$A:$A&amp;盘货信息!$B:$B&amp;盘货信息!$C:$C,盘货信息!$O:$O),"\d+"),1,1)&amp;"元优惠券下单更优惠，优惠卷："&amp;_xlfn.XLOOKUP(A195&amp;B195&amp;C195,盘货信息!$A:$A&amp;盘货信息!$B:$B&amp;盘货信息!$C:$C,盘货信息!$P:$P))</f>
        <v/>
      </c>
      <c r="N195" s="18" t="str">
        <f t="array" ref="N195">IF(AND(ISNUMBER(_xlfn.XLOOKUP(A195&amp;B195&amp;C195,盘货信息!$A:$A&amp;盘货信息!$B:$B&amp;盘货信息!$C:$C,盘货信息!$I:$I)),_xlfn.XLOOKUP(A195&amp;B195&amp;C195,盘货信息!$A:$A&amp;盘货信息!$B:$B&amp;盘货信息!$C:$C,盘货信息!$I:$I)&gt;1),"【88VIP】立减"&amp;_xlfn.XLOOKUP(A195&amp;B195&amp;C195,盘货信息!$A:$A&amp;盘货信息!$B:$B&amp;盘货信息!$C:$C,盘货信息!$I:$I)&amp;"元","")</f>
        <v/>
      </c>
      <c r="O195" s="18" t="str">
        <f t="array" ref="O195">IF(_xlfn.XLOOKUP(A195&amp;B195&amp;C195,盘货信息!$A:$A&amp;盘货信息!$B:$B&amp;盘货信息!$C:$C,盘货信息!$K:$K)="","",IF(AND(_xlfn.XLOOKUP(A195&amp;B195&amp;C195,盘货信息!$A:$A&amp;盘货信息!$B:$B&amp;盘货信息!$C:$C,盘货信息!$G:$G)="不参加",_xlfn.XLOOKUP(A195&amp;B195&amp;C195,盘货信息!$A:$A&amp;盘货信息!$B:$B&amp;盘货信息!$C:$C,盘货信息!$H:$H)=""),"【以旧换新】"&amp;_xlfn.XLOOKUP(A195&amp;B195&amp;C195,盘货信息!$A:$A&amp;盘货信息!$B:$B&amp;盘货信息!$C:$C,盘货信息!$K:$K)&amp;"元以旧换新补贴（可无旧机换新）",""))</f>
        <v/>
      </c>
      <c r="P195" s="18" t="str">
        <f t="array" ref="P195">_xlfn.XLOOKUP(A195&amp;B195&amp;C195,赠品!$A:$A&amp;赠品!$B:$B&amp;赠品!$C:$C,赠品!$D:$D)</f>
        <v/>
      </c>
      <c r="Q195" s="18" t="str">
        <f>IF($C195="","",IF(AND(M195="",N195="",P195=""),"",固定信息!$B$1))</f>
        <v/>
      </c>
      <c r="R195" s="18" t="str">
        <f t="array" ref="R195">IF(ISNUMBER(SEARCH("是",_xlfn.XLOOKUP(A195&amp;B195&amp;C195,盘货信息!$A:$A&amp;盘货信息!$B:$B&amp;盘货信息!$C:$C,盘货信息!$U:$U))),"【折扣】指定型号满2类享96折，满3类享94折","")</f>
        <v/>
      </c>
      <c r="S195" s="18" t="str">
        <f t="array" ref="S195">IF(_xlfn.XLOOKUP(A195&amp;B195&amp;C195,盘货信息!$A:$A&amp;盘货信息!$B:$B&amp;盘货信息!$C:$C,盘货信息!$Q:$Q)&lt;1,"","【红包】活动时间购机送"&amp;_xlfn.TEXTJOIN("",,IF(ISNUMBER(--MID(_xlfn.XLOOKUP(A195&amp;B195&amp;C195,盘货信息!$A:$A&amp;盘货信息!$B:$B&amp;盘货信息!$C:$C,盘货信息!$Q:$Q),_xlfn.SEQUENCE(LEN(_xlfn.XLOOKUP(A195&amp;B195&amp;C195,盘货信息!$A:$A&amp;盘货信息!$B:$B&amp;盘货信息!$C:$C,盘货信息!$Q:$Q))),1)),MID(_xlfn.XLOOKUP(A195&amp;B195&amp;C195,盘货信息!$A:$A&amp;盘货信息!$B:$B&amp;盘货信息!$C:$C,盘货信息!$Q:$Q),_xlfn.SEQUENCE(LEN(_xlfn.XLOOKUP(A195&amp;B195&amp;C195,盘货信息!$A:$A&amp;盘货信息!$B:$B&amp;盘货信息!$C:$C,盘货信息!$Q:$Q))),1),""))&amp;"元")</f>
        <v/>
      </c>
      <c r="T195" s="18" t="str">
        <f t="array" ref="T195">IF(ISNUMBER(SEARCH("是",_xlfn.XLOOKUP(A195&amp;B195&amp;C195,盘货信息!$A:$A&amp;盘货信息!$B:$B&amp;盘货信息!$C:$C,盘货信息!$T:$T))),"【瓜分】"&amp;固定信息!$B$7,"")</f>
        <v/>
      </c>
      <c r="U195" s="18" t="str">
        <f>IF($C195="","",IF(AND(R195="",S195="",T195=""),"",固定信息!$B$1))</f>
        <v/>
      </c>
      <c r="V195" s="18" t="str">
        <f t="array" ref="V195">IF(C195="","","【服务】"&amp;IF(_xlfn.XLOOKUP(A195&amp;B195&amp;C195,盘货信息!$A:$A&amp;盘货信息!$B:$B&amp;盘货信息!$C:$C,盘货信息!$V:$V)="","",_xlfn.XLOOKUP(A195&amp;B195&amp;C195,盘货信息!$A:$A&amp;盘货信息!$B:$B&amp;盘货信息!$C:$C,盘货信息!$V:$V)&amp;"免息,")&amp;IF(_xlfn.XLOOKUP(A195&amp;B195&amp;C195,盘货信息!$A:$A&amp;盘货信息!$B:$B&amp;盘货信息!$C:$C,盘货信息!$W:$W)="","",_xlfn.XLOOKUP(A195&amp;B195&amp;C195,盘货信息!$A:$A&amp;盘货信息!$B:$B&amp;盘货信息!$C:$C,盘货信息!$W:$W)&amp;"，")&amp;"送货入户，退换免运费")</f>
        <v/>
      </c>
    </row>
    <row r="196" customHeight="1" spans="1:22">
      <c r="A196" s="17" t="str">
        <f>IF(盘货信息!A196="","",盘货信息!A196)</f>
        <v/>
      </c>
      <c r="B196" s="20" t="str">
        <f>IF(盘货信息!B196="","",盘货信息!B196)</f>
        <v/>
      </c>
      <c r="C196" s="18" t="str">
        <f>IF(盘货信息!C196="","",盘货信息!C196)</f>
        <v/>
      </c>
      <c r="D196" s="18" t="str">
        <f ca="1" t="shared" si="3"/>
        <v/>
      </c>
      <c r="E196" s="18" t="str">
        <f>IF(C196="","",固定信息!$B$2)</f>
        <v/>
      </c>
      <c r="F196" s="18" t="str">
        <f t="array" ref="F196">IF(C196="","","【"&amp;C196&amp;"】"&amp;_xlfn.XLOOKUP(A196&amp;B196&amp;C196,盘货信息!$A:$A&amp;盘货信息!$B:$B&amp;盘货信息!$C:$C,盘货信息!$D:$D))</f>
        <v/>
      </c>
      <c r="G196" s="18" t="str">
        <f>IF(C196="","","【"&amp;"活动时间："&amp;固定信息!$B$3&amp;"】")</f>
        <v/>
      </c>
      <c r="H196" s="18" t="str">
        <f>IF($C196="","",固定信息!$B$1)</f>
        <v/>
      </c>
      <c r="I196" s="18"/>
      <c r="J196" s="18" t="str">
        <f t="array" ref="J196">_xlfn.XLOOKUP(A196&amp;B196&amp;C196,价格信息!$A:$A&amp;价格信息!$B:$B&amp;价格信息!$C:$C,价格信息!$D:$D)</f>
        <v/>
      </c>
      <c r="K196" s="31" t="str">
        <f t="array" ref="K196">IF(_xlfn.XLOOKUP(A196&amp;B196&amp;C196,价格信息!$A:$A&amp;价格信息!$B:$B&amp;价格信息!$C:$C,价格信息!$I:$I)="","","【优惠券链接】"&amp;固定信息!$B$6)</f>
        <v/>
      </c>
      <c r="L196" s="31" t="str">
        <f>IF($C196="","",固定信息!$B$1)</f>
        <v/>
      </c>
      <c r="M196" s="18" t="str">
        <f t="array" ref="M196">IF(_xlfn.XLOOKUP(A196&amp;B196&amp;C196,盘货信息!$A:$A&amp;盘货信息!$B:$B&amp;盘货信息!$C:$C,盘货信息!$O:$O)="","","【优惠券】领"&amp;INDEX(_wpsfn.REGEXP(_xlfn.XLOOKUP(A196&amp;B196&amp;C196,盘货信息!$A:$A&amp;盘货信息!$B:$B&amp;盘货信息!$C:$C,盘货信息!$O:$O),"\d+"),1,1)&amp;"元优惠券下单更优惠，优惠卷："&amp;_xlfn.XLOOKUP(A196&amp;B196&amp;C196,盘货信息!$A:$A&amp;盘货信息!$B:$B&amp;盘货信息!$C:$C,盘货信息!$P:$P))</f>
        <v/>
      </c>
      <c r="N196" s="18" t="str">
        <f t="array" ref="N196">IF(AND(ISNUMBER(_xlfn.XLOOKUP(A196&amp;B196&amp;C196,盘货信息!$A:$A&amp;盘货信息!$B:$B&amp;盘货信息!$C:$C,盘货信息!$I:$I)),_xlfn.XLOOKUP(A196&amp;B196&amp;C196,盘货信息!$A:$A&amp;盘货信息!$B:$B&amp;盘货信息!$C:$C,盘货信息!$I:$I)&gt;1),"【88VIP】立减"&amp;_xlfn.XLOOKUP(A196&amp;B196&amp;C196,盘货信息!$A:$A&amp;盘货信息!$B:$B&amp;盘货信息!$C:$C,盘货信息!$I:$I)&amp;"元","")</f>
        <v/>
      </c>
      <c r="O196" s="18" t="str">
        <f t="array" ref="O196">IF(_xlfn.XLOOKUP(A196&amp;B196&amp;C196,盘货信息!$A:$A&amp;盘货信息!$B:$B&amp;盘货信息!$C:$C,盘货信息!$K:$K)="","",IF(AND(_xlfn.XLOOKUP(A196&amp;B196&amp;C196,盘货信息!$A:$A&amp;盘货信息!$B:$B&amp;盘货信息!$C:$C,盘货信息!$G:$G)="不参加",_xlfn.XLOOKUP(A196&amp;B196&amp;C196,盘货信息!$A:$A&amp;盘货信息!$B:$B&amp;盘货信息!$C:$C,盘货信息!$H:$H)=""),"【以旧换新】"&amp;_xlfn.XLOOKUP(A196&amp;B196&amp;C196,盘货信息!$A:$A&amp;盘货信息!$B:$B&amp;盘货信息!$C:$C,盘货信息!$K:$K)&amp;"元以旧换新补贴（可无旧机换新）",""))</f>
        <v/>
      </c>
      <c r="P196" s="18" t="str">
        <f t="array" ref="P196">_xlfn.XLOOKUP(A196&amp;B196&amp;C196,赠品!$A:$A&amp;赠品!$B:$B&amp;赠品!$C:$C,赠品!$D:$D)</f>
        <v/>
      </c>
      <c r="Q196" s="18" t="str">
        <f>IF($C196="","",IF(AND(M196="",N196="",P196=""),"",固定信息!$B$1))</f>
        <v/>
      </c>
      <c r="R196" s="18" t="str">
        <f t="array" ref="R196">IF(ISNUMBER(SEARCH("是",_xlfn.XLOOKUP(A196&amp;B196&amp;C196,盘货信息!$A:$A&amp;盘货信息!$B:$B&amp;盘货信息!$C:$C,盘货信息!$U:$U))),"【折扣】指定型号满2类享96折，满3类享94折","")</f>
        <v/>
      </c>
      <c r="S196" s="18" t="str">
        <f t="array" ref="S196">IF(_xlfn.XLOOKUP(A196&amp;B196&amp;C196,盘货信息!$A:$A&amp;盘货信息!$B:$B&amp;盘货信息!$C:$C,盘货信息!$Q:$Q)&lt;1,"","【红包】活动时间购机送"&amp;_xlfn.TEXTJOIN("",,IF(ISNUMBER(--MID(_xlfn.XLOOKUP(A196&amp;B196&amp;C196,盘货信息!$A:$A&amp;盘货信息!$B:$B&amp;盘货信息!$C:$C,盘货信息!$Q:$Q),_xlfn.SEQUENCE(LEN(_xlfn.XLOOKUP(A196&amp;B196&amp;C196,盘货信息!$A:$A&amp;盘货信息!$B:$B&amp;盘货信息!$C:$C,盘货信息!$Q:$Q))),1)),MID(_xlfn.XLOOKUP(A196&amp;B196&amp;C196,盘货信息!$A:$A&amp;盘货信息!$B:$B&amp;盘货信息!$C:$C,盘货信息!$Q:$Q),_xlfn.SEQUENCE(LEN(_xlfn.XLOOKUP(A196&amp;B196&amp;C196,盘货信息!$A:$A&amp;盘货信息!$B:$B&amp;盘货信息!$C:$C,盘货信息!$Q:$Q))),1),""))&amp;"元")</f>
        <v/>
      </c>
      <c r="T196" s="18" t="str">
        <f t="array" ref="T196">IF(ISNUMBER(SEARCH("是",_xlfn.XLOOKUP(A196&amp;B196&amp;C196,盘货信息!$A:$A&amp;盘货信息!$B:$B&amp;盘货信息!$C:$C,盘货信息!$T:$T))),"【瓜分】"&amp;固定信息!$B$7,"")</f>
        <v/>
      </c>
      <c r="U196" s="18" t="str">
        <f>IF($C196="","",IF(AND(R196="",S196="",T196=""),"",固定信息!$B$1))</f>
        <v/>
      </c>
      <c r="V196" s="18" t="str">
        <f t="array" ref="V196">IF(C196="","","【服务】"&amp;IF(_xlfn.XLOOKUP(A196&amp;B196&amp;C196,盘货信息!$A:$A&amp;盘货信息!$B:$B&amp;盘货信息!$C:$C,盘货信息!$V:$V)="","",_xlfn.XLOOKUP(A196&amp;B196&amp;C196,盘货信息!$A:$A&amp;盘货信息!$B:$B&amp;盘货信息!$C:$C,盘货信息!$V:$V)&amp;"免息,")&amp;IF(_xlfn.XLOOKUP(A196&amp;B196&amp;C196,盘货信息!$A:$A&amp;盘货信息!$B:$B&amp;盘货信息!$C:$C,盘货信息!$W:$W)="","",_xlfn.XLOOKUP(A196&amp;B196&amp;C196,盘货信息!$A:$A&amp;盘货信息!$B:$B&amp;盘货信息!$C:$C,盘货信息!$W:$W)&amp;"，")&amp;"送货入户，退换免运费")</f>
        <v/>
      </c>
    </row>
    <row r="197" customHeight="1" spans="1:22">
      <c r="A197" s="17" t="str">
        <f>IF(盘货信息!A197="","",盘货信息!A197)</f>
        <v/>
      </c>
      <c r="B197" s="20" t="str">
        <f>IF(盘货信息!B197="","",盘货信息!B197)</f>
        <v/>
      </c>
      <c r="C197" s="18" t="str">
        <f>IF(盘货信息!C197="","",盘货信息!C197)</f>
        <v/>
      </c>
      <c r="D197" s="18" t="str">
        <f ca="1" t="shared" si="3"/>
        <v/>
      </c>
      <c r="E197" s="18" t="str">
        <f>IF(C197="","",固定信息!$B$2)</f>
        <v/>
      </c>
      <c r="F197" s="18" t="str">
        <f t="array" ref="F197">IF(C197="","","【"&amp;C197&amp;"】"&amp;_xlfn.XLOOKUP(A197&amp;B197&amp;C197,盘货信息!$A:$A&amp;盘货信息!$B:$B&amp;盘货信息!$C:$C,盘货信息!$D:$D))</f>
        <v/>
      </c>
      <c r="G197" s="18" t="str">
        <f>IF(C197="","","【"&amp;"活动时间："&amp;固定信息!$B$3&amp;"】")</f>
        <v/>
      </c>
      <c r="H197" s="18" t="str">
        <f>IF($C197="","",固定信息!$B$1)</f>
        <v/>
      </c>
      <c r="I197" s="18"/>
      <c r="J197" s="18" t="str">
        <f t="array" ref="J197">_xlfn.XLOOKUP(A197&amp;B197&amp;C197,价格信息!$A:$A&amp;价格信息!$B:$B&amp;价格信息!$C:$C,价格信息!$D:$D)</f>
        <v/>
      </c>
      <c r="K197" s="31" t="str">
        <f t="array" ref="K197">IF(_xlfn.XLOOKUP(A197&amp;B197&amp;C197,价格信息!$A:$A&amp;价格信息!$B:$B&amp;价格信息!$C:$C,价格信息!$I:$I)="","","【优惠券链接】"&amp;固定信息!$B$6)</f>
        <v/>
      </c>
      <c r="L197" s="31" t="str">
        <f>IF($C197="","",固定信息!$B$1)</f>
        <v/>
      </c>
      <c r="M197" s="18" t="str">
        <f t="array" ref="M197">IF(_xlfn.XLOOKUP(A197&amp;B197&amp;C197,盘货信息!$A:$A&amp;盘货信息!$B:$B&amp;盘货信息!$C:$C,盘货信息!$O:$O)="","","【优惠券】领"&amp;INDEX(_wpsfn.REGEXP(_xlfn.XLOOKUP(A197&amp;B197&amp;C197,盘货信息!$A:$A&amp;盘货信息!$B:$B&amp;盘货信息!$C:$C,盘货信息!$O:$O),"\d+"),1,1)&amp;"元优惠券下单更优惠，优惠卷："&amp;_xlfn.XLOOKUP(A197&amp;B197&amp;C197,盘货信息!$A:$A&amp;盘货信息!$B:$B&amp;盘货信息!$C:$C,盘货信息!$P:$P))</f>
        <v/>
      </c>
      <c r="N197" s="18" t="str">
        <f t="array" ref="N197">IF(AND(ISNUMBER(_xlfn.XLOOKUP(A197&amp;B197&amp;C197,盘货信息!$A:$A&amp;盘货信息!$B:$B&amp;盘货信息!$C:$C,盘货信息!$I:$I)),_xlfn.XLOOKUP(A197&amp;B197&amp;C197,盘货信息!$A:$A&amp;盘货信息!$B:$B&amp;盘货信息!$C:$C,盘货信息!$I:$I)&gt;1),"【88VIP】立减"&amp;_xlfn.XLOOKUP(A197&amp;B197&amp;C197,盘货信息!$A:$A&amp;盘货信息!$B:$B&amp;盘货信息!$C:$C,盘货信息!$I:$I)&amp;"元","")</f>
        <v/>
      </c>
      <c r="O197" s="18" t="str">
        <f t="array" ref="O197">IF(_xlfn.XLOOKUP(A197&amp;B197&amp;C197,盘货信息!$A:$A&amp;盘货信息!$B:$B&amp;盘货信息!$C:$C,盘货信息!$K:$K)="","",IF(AND(_xlfn.XLOOKUP(A197&amp;B197&amp;C197,盘货信息!$A:$A&amp;盘货信息!$B:$B&amp;盘货信息!$C:$C,盘货信息!$G:$G)="不参加",_xlfn.XLOOKUP(A197&amp;B197&amp;C197,盘货信息!$A:$A&amp;盘货信息!$B:$B&amp;盘货信息!$C:$C,盘货信息!$H:$H)=""),"【以旧换新】"&amp;_xlfn.XLOOKUP(A197&amp;B197&amp;C197,盘货信息!$A:$A&amp;盘货信息!$B:$B&amp;盘货信息!$C:$C,盘货信息!$K:$K)&amp;"元以旧换新补贴（可无旧机换新）",""))</f>
        <v/>
      </c>
      <c r="P197" s="18" t="str">
        <f t="array" ref="P197">_xlfn.XLOOKUP(A197&amp;B197&amp;C197,赠品!$A:$A&amp;赠品!$B:$B&amp;赠品!$C:$C,赠品!$D:$D)</f>
        <v/>
      </c>
      <c r="Q197" s="18" t="str">
        <f>IF($C197="","",IF(AND(M197="",N197="",P197=""),"",固定信息!$B$1))</f>
        <v/>
      </c>
      <c r="R197" s="18" t="str">
        <f t="array" ref="R197">IF(ISNUMBER(SEARCH("是",_xlfn.XLOOKUP(A197&amp;B197&amp;C197,盘货信息!$A:$A&amp;盘货信息!$B:$B&amp;盘货信息!$C:$C,盘货信息!$U:$U))),"【折扣】指定型号满2类享96折，满3类享94折","")</f>
        <v/>
      </c>
      <c r="S197" s="18" t="str">
        <f t="array" ref="S197">IF(_xlfn.XLOOKUP(A197&amp;B197&amp;C197,盘货信息!$A:$A&amp;盘货信息!$B:$B&amp;盘货信息!$C:$C,盘货信息!$Q:$Q)&lt;1,"","【红包】活动时间购机送"&amp;_xlfn.TEXTJOIN("",,IF(ISNUMBER(--MID(_xlfn.XLOOKUP(A197&amp;B197&amp;C197,盘货信息!$A:$A&amp;盘货信息!$B:$B&amp;盘货信息!$C:$C,盘货信息!$Q:$Q),_xlfn.SEQUENCE(LEN(_xlfn.XLOOKUP(A197&amp;B197&amp;C197,盘货信息!$A:$A&amp;盘货信息!$B:$B&amp;盘货信息!$C:$C,盘货信息!$Q:$Q))),1)),MID(_xlfn.XLOOKUP(A197&amp;B197&amp;C197,盘货信息!$A:$A&amp;盘货信息!$B:$B&amp;盘货信息!$C:$C,盘货信息!$Q:$Q),_xlfn.SEQUENCE(LEN(_xlfn.XLOOKUP(A197&amp;B197&amp;C197,盘货信息!$A:$A&amp;盘货信息!$B:$B&amp;盘货信息!$C:$C,盘货信息!$Q:$Q))),1),""))&amp;"元")</f>
        <v/>
      </c>
      <c r="T197" s="18" t="str">
        <f t="array" ref="T197">IF(ISNUMBER(SEARCH("是",_xlfn.XLOOKUP(A197&amp;B197&amp;C197,盘货信息!$A:$A&amp;盘货信息!$B:$B&amp;盘货信息!$C:$C,盘货信息!$T:$T))),"【瓜分】"&amp;固定信息!$B$7,"")</f>
        <v/>
      </c>
      <c r="U197" s="18" t="str">
        <f>IF($C197="","",IF(AND(R197="",S197="",T197=""),"",固定信息!$B$1))</f>
        <v/>
      </c>
      <c r="V197" s="18" t="str">
        <f t="array" ref="V197">IF(C197="","","【服务】"&amp;IF(_xlfn.XLOOKUP(A197&amp;B197&amp;C197,盘货信息!$A:$A&amp;盘货信息!$B:$B&amp;盘货信息!$C:$C,盘货信息!$V:$V)="","",_xlfn.XLOOKUP(A197&amp;B197&amp;C197,盘货信息!$A:$A&amp;盘货信息!$B:$B&amp;盘货信息!$C:$C,盘货信息!$V:$V)&amp;"免息,")&amp;IF(_xlfn.XLOOKUP(A197&amp;B197&amp;C197,盘货信息!$A:$A&amp;盘货信息!$B:$B&amp;盘货信息!$C:$C,盘货信息!$W:$W)="","",_xlfn.XLOOKUP(A197&amp;B197&amp;C197,盘货信息!$A:$A&amp;盘货信息!$B:$B&amp;盘货信息!$C:$C,盘货信息!$W:$W)&amp;"，")&amp;"送货入户，退换免运费")</f>
        <v/>
      </c>
    </row>
    <row r="198" customHeight="1" spans="1:22">
      <c r="A198" s="17" t="str">
        <f>IF(盘货信息!A198="","",盘货信息!A198)</f>
        <v/>
      </c>
      <c r="B198" s="20" t="str">
        <f>IF(盘货信息!B198="","",盘货信息!B198)</f>
        <v/>
      </c>
      <c r="C198" s="18" t="str">
        <f>IF(盘货信息!C198="","",盘货信息!C198)</f>
        <v/>
      </c>
      <c r="D198" s="18" t="str">
        <f ca="1" t="shared" si="3"/>
        <v/>
      </c>
      <c r="E198" s="18" t="str">
        <f>IF(C198="","",固定信息!$B$2)</f>
        <v/>
      </c>
      <c r="F198" s="18" t="str">
        <f t="array" ref="F198">IF(C198="","","【"&amp;C198&amp;"】"&amp;_xlfn.XLOOKUP(A198&amp;B198&amp;C198,盘货信息!$A:$A&amp;盘货信息!$B:$B&amp;盘货信息!$C:$C,盘货信息!$D:$D))</f>
        <v/>
      </c>
      <c r="G198" s="18" t="str">
        <f>IF(C198="","","【"&amp;"活动时间："&amp;固定信息!$B$3&amp;"】")</f>
        <v/>
      </c>
      <c r="H198" s="18" t="str">
        <f>IF($C198="","",固定信息!$B$1)</f>
        <v/>
      </c>
      <c r="I198" s="18"/>
      <c r="J198" s="18" t="str">
        <f t="array" ref="J198">_xlfn.XLOOKUP(A198&amp;B198&amp;C198,价格信息!$A:$A&amp;价格信息!$B:$B&amp;价格信息!$C:$C,价格信息!$D:$D)</f>
        <v/>
      </c>
      <c r="K198" s="31" t="str">
        <f t="array" ref="K198">IF(_xlfn.XLOOKUP(A198&amp;B198&amp;C198,价格信息!$A:$A&amp;价格信息!$B:$B&amp;价格信息!$C:$C,价格信息!$I:$I)="","","【优惠券链接】"&amp;固定信息!$B$6)</f>
        <v/>
      </c>
      <c r="L198" s="31" t="str">
        <f>IF($C198="","",固定信息!$B$1)</f>
        <v/>
      </c>
      <c r="M198" s="18" t="str">
        <f t="array" ref="M198">IF(_xlfn.XLOOKUP(A198&amp;B198&amp;C198,盘货信息!$A:$A&amp;盘货信息!$B:$B&amp;盘货信息!$C:$C,盘货信息!$O:$O)="","","【优惠券】领"&amp;INDEX(_wpsfn.REGEXP(_xlfn.XLOOKUP(A198&amp;B198&amp;C198,盘货信息!$A:$A&amp;盘货信息!$B:$B&amp;盘货信息!$C:$C,盘货信息!$O:$O),"\d+"),1,1)&amp;"元优惠券下单更优惠，优惠卷："&amp;_xlfn.XLOOKUP(A198&amp;B198&amp;C198,盘货信息!$A:$A&amp;盘货信息!$B:$B&amp;盘货信息!$C:$C,盘货信息!$P:$P))</f>
        <v/>
      </c>
      <c r="N198" s="18" t="str">
        <f t="array" ref="N198">IF(AND(ISNUMBER(_xlfn.XLOOKUP(A198&amp;B198&amp;C198,盘货信息!$A:$A&amp;盘货信息!$B:$B&amp;盘货信息!$C:$C,盘货信息!$I:$I)),_xlfn.XLOOKUP(A198&amp;B198&amp;C198,盘货信息!$A:$A&amp;盘货信息!$B:$B&amp;盘货信息!$C:$C,盘货信息!$I:$I)&gt;1),"【88VIP】立减"&amp;_xlfn.XLOOKUP(A198&amp;B198&amp;C198,盘货信息!$A:$A&amp;盘货信息!$B:$B&amp;盘货信息!$C:$C,盘货信息!$I:$I)&amp;"元","")</f>
        <v/>
      </c>
      <c r="O198" s="18" t="str">
        <f t="array" ref="O198">IF(_xlfn.XLOOKUP(A198&amp;B198&amp;C198,盘货信息!$A:$A&amp;盘货信息!$B:$B&amp;盘货信息!$C:$C,盘货信息!$K:$K)="","",IF(AND(_xlfn.XLOOKUP(A198&amp;B198&amp;C198,盘货信息!$A:$A&amp;盘货信息!$B:$B&amp;盘货信息!$C:$C,盘货信息!$G:$G)="不参加",_xlfn.XLOOKUP(A198&amp;B198&amp;C198,盘货信息!$A:$A&amp;盘货信息!$B:$B&amp;盘货信息!$C:$C,盘货信息!$H:$H)=""),"【以旧换新】"&amp;_xlfn.XLOOKUP(A198&amp;B198&amp;C198,盘货信息!$A:$A&amp;盘货信息!$B:$B&amp;盘货信息!$C:$C,盘货信息!$K:$K)&amp;"元以旧换新补贴（可无旧机换新）",""))</f>
        <v/>
      </c>
      <c r="P198" s="18" t="str">
        <f t="array" ref="P198">_xlfn.XLOOKUP(A198&amp;B198&amp;C198,赠品!$A:$A&amp;赠品!$B:$B&amp;赠品!$C:$C,赠品!$D:$D)</f>
        <v/>
      </c>
      <c r="Q198" s="18" t="str">
        <f>IF($C198="","",IF(AND(M198="",N198="",P198=""),"",固定信息!$B$1))</f>
        <v/>
      </c>
      <c r="R198" s="18" t="str">
        <f t="array" ref="R198">IF(ISNUMBER(SEARCH("是",_xlfn.XLOOKUP(A198&amp;B198&amp;C198,盘货信息!$A:$A&amp;盘货信息!$B:$B&amp;盘货信息!$C:$C,盘货信息!$U:$U))),"【折扣】指定型号满2类享96折，满3类享94折","")</f>
        <v/>
      </c>
      <c r="S198" s="18" t="str">
        <f t="array" ref="S198">IF(_xlfn.XLOOKUP(A198&amp;B198&amp;C198,盘货信息!$A:$A&amp;盘货信息!$B:$B&amp;盘货信息!$C:$C,盘货信息!$Q:$Q)&lt;1,"","【红包】活动时间购机送"&amp;_xlfn.TEXTJOIN("",,IF(ISNUMBER(--MID(_xlfn.XLOOKUP(A198&amp;B198&amp;C198,盘货信息!$A:$A&amp;盘货信息!$B:$B&amp;盘货信息!$C:$C,盘货信息!$Q:$Q),_xlfn.SEQUENCE(LEN(_xlfn.XLOOKUP(A198&amp;B198&amp;C198,盘货信息!$A:$A&amp;盘货信息!$B:$B&amp;盘货信息!$C:$C,盘货信息!$Q:$Q))),1)),MID(_xlfn.XLOOKUP(A198&amp;B198&amp;C198,盘货信息!$A:$A&amp;盘货信息!$B:$B&amp;盘货信息!$C:$C,盘货信息!$Q:$Q),_xlfn.SEQUENCE(LEN(_xlfn.XLOOKUP(A198&amp;B198&amp;C198,盘货信息!$A:$A&amp;盘货信息!$B:$B&amp;盘货信息!$C:$C,盘货信息!$Q:$Q))),1),""))&amp;"元")</f>
        <v/>
      </c>
      <c r="T198" s="18" t="str">
        <f t="array" ref="T198">IF(ISNUMBER(SEARCH("是",_xlfn.XLOOKUP(A198&amp;B198&amp;C198,盘货信息!$A:$A&amp;盘货信息!$B:$B&amp;盘货信息!$C:$C,盘货信息!$T:$T))),"【瓜分】"&amp;固定信息!$B$7,"")</f>
        <v/>
      </c>
      <c r="U198" s="18" t="str">
        <f>IF($C198="","",IF(AND(R198="",S198="",T198=""),"",固定信息!$B$1))</f>
        <v/>
      </c>
      <c r="V198" s="18" t="str">
        <f t="array" ref="V198">IF(C198="","","【服务】"&amp;IF(_xlfn.XLOOKUP(A198&amp;B198&amp;C198,盘货信息!$A:$A&amp;盘货信息!$B:$B&amp;盘货信息!$C:$C,盘货信息!$V:$V)="","",_xlfn.XLOOKUP(A198&amp;B198&amp;C198,盘货信息!$A:$A&amp;盘货信息!$B:$B&amp;盘货信息!$C:$C,盘货信息!$V:$V)&amp;"免息,")&amp;IF(_xlfn.XLOOKUP(A198&amp;B198&amp;C198,盘货信息!$A:$A&amp;盘货信息!$B:$B&amp;盘货信息!$C:$C,盘货信息!$W:$W)="","",_xlfn.XLOOKUP(A198&amp;B198&amp;C198,盘货信息!$A:$A&amp;盘货信息!$B:$B&amp;盘货信息!$C:$C,盘货信息!$W:$W)&amp;"，")&amp;"送货入户，退换免运费")</f>
        <v/>
      </c>
    </row>
    <row r="199" customHeight="1" spans="1:22">
      <c r="A199" s="17" t="str">
        <f>IF(盘货信息!A199="","",盘货信息!A199)</f>
        <v/>
      </c>
      <c r="B199" s="20" t="str">
        <f>IF(盘货信息!B199="","",盘货信息!B199)</f>
        <v/>
      </c>
      <c r="C199" s="18" t="str">
        <f>IF(盘货信息!C199="","",盘货信息!C199)</f>
        <v/>
      </c>
      <c r="D199" s="18" t="str">
        <f ca="1" t="shared" si="3"/>
        <v/>
      </c>
      <c r="E199" s="18" t="str">
        <f>IF(C199="","",固定信息!$B$2)</f>
        <v/>
      </c>
      <c r="F199" s="18" t="str">
        <f t="array" ref="F199">IF(C199="","","【"&amp;C199&amp;"】"&amp;_xlfn.XLOOKUP(A199&amp;B199&amp;C199,盘货信息!$A:$A&amp;盘货信息!$B:$B&amp;盘货信息!$C:$C,盘货信息!$D:$D))</f>
        <v/>
      </c>
      <c r="G199" s="18" t="str">
        <f>IF(C199="","","【"&amp;"活动时间："&amp;固定信息!$B$3&amp;"】")</f>
        <v/>
      </c>
      <c r="H199" s="18" t="str">
        <f>IF($C199="","",固定信息!$B$1)</f>
        <v/>
      </c>
      <c r="I199" s="18"/>
      <c r="J199" s="18" t="str">
        <f t="array" ref="J199">_xlfn.XLOOKUP(A199&amp;B199&amp;C199,价格信息!$A:$A&amp;价格信息!$B:$B&amp;价格信息!$C:$C,价格信息!$D:$D)</f>
        <v/>
      </c>
      <c r="K199" s="31" t="str">
        <f t="array" ref="K199">IF(_xlfn.XLOOKUP(A199&amp;B199&amp;C199,价格信息!$A:$A&amp;价格信息!$B:$B&amp;价格信息!$C:$C,价格信息!$I:$I)="","","【优惠券链接】"&amp;固定信息!$B$6)</f>
        <v/>
      </c>
      <c r="L199" s="31" t="str">
        <f>IF($C199="","",固定信息!$B$1)</f>
        <v/>
      </c>
      <c r="M199" s="18" t="str">
        <f t="array" ref="M199">IF(_xlfn.XLOOKUP(A199&amp;B199&amp;C199,盘货信息!$A:$A&amp;盘货信息!$B:$B&amp;盘货信息!$C:$C,盘货信息!$O:$O)="","","【优惠券】领"&amp;INDEX(_wpsfn.REGEXP(_xlfn.XLOOKUP(A199&amp;B199&amp;C199,盘货信息!$A:$A&amp;盘货信息!$B:$B&amp;盘货信息!$C:$C,盘货信息!$O:$O),"\d+"),1,1)&amp;"元优惠券下单更优惠，优惠卷："&amp;_xlfn.XLOOKUP(A199&amp;B199&amp;C199,盘货信息!$A:$A&amp;盘货信息!$B:$B&amp;盘货信息!$C:$C,盘货信息!$P:$P))</f>
        <v/>
      </c>
      <c r="N199" s="18" t="str">
        <f t="array" ref="N199">IF(AND(ISNUMBER(_xlfn.XLOOKUP(A199&amp;B199&amp;C199,盘货信息!$A:$A&amp;盘货信息!$B:$B&amp;盘货信息!$C:$C,盘货信息!$I:$I)),_xlfn.XLOOKUP(A199&amp;B199&amp;C199,盘货信息!$A:$A&amp;盘货信息!$B:$B&amp;盘货信息!$C:$C,盘货信息!$I:$I)&gt;1),"【88VIP】立减"&amp;_xlfn.XLOOKUP(A199&amp;B199&amp;C199,盘货信息!$A:$A&amp;盘货信息!$B:$B&amp;盘货信息!$C:$C,盘货信息!$I:$I)&amp;"元","")</f>
        <v/>
      </c>
      <c r="O199" s="18" t="str">
        <f t="array" ref="O199">IF(_xlfn.XLOOKUP(A199&amp;B199&amp;C199,盘货信息!$A:$A&amp;盘货信息!$B:$B&amp;盘货信息!$C:$C,盘货信息!$K:$K)="","",IF(AND(_xlfn.XLOOKUP(A199&amp;B199&amp;C199,盘货信息!$A:$A&amp;盘货信息!$B:$B&amp;盘货信息!$C:$C,盘货信息!$G:$G)="不参加",_xlfn.XLOOKUP(A199&amp;B199&amp;C199,盘货信息!$A:$A&amp;盘货信息!$B:$B&amp;盘货信息!$C:$C,盘货信息!$H:$H)=""),"【以旧换新】"&amp;_xlfn.XLOOKUP(A199&amp;B199&amp;C199,盘货信息!$A:$A&amp;盘货信息!$B:$B&amp;盘货信息!$C:$C,盘货信息!$K:$K)&amp;"元以旧换新补贴（可无旧机换新）",""))</f>
        <v/>
      </c>
      <c r="P199" s="18" t="str">
        <f t="array" ref="P199">_xlfn.XLOOKUP(A199&amp;B199&amp;C199,赠品!$A:$A&amp;赠品!$B:$B&amp;赠品!$C:$C,赠品!$D:$D)</f>
        <v/>
      </c>
      <c r="Q199" s="18" t="str">
        <f>IF($C199="","",IF(AND(M199="",N199="",P199=""),"",固定信息!$B$1))</f>
        <v/>
      </c>
      <c r="R199" s="18" t="str">
        <f t="array" ref="R199">IF(ISNUMBER(SEARCH("是",_xlfn.XLOOKUP(A199&amp;B199&amp;C199,盘货信息!$A:$A&amp;盘货信息!$B:$B&amp;盘货信息!$C:$C,盘货信息!$U:$U))),"【折扣】指定型号满2类享96折，满3类享94折","")</f>
        <v/>
      </c>
      <c r="S199" s="18" t="str">
        <f t="array" ref="S199">IF(_xlfn.XLOOKUP(A199&amp;B199&amp;C199,盘货信息!$A:$A&amp;盘货信息!$B:$B&amp;盘货信息!$C:$C,盘货信息!$Q:$Q)&lt;1,"","【红包】活动时间购机送"&amp;_xlfn.TEXTJOIN("",,IF(ISNUMBER(--MID(_xlfn.XLOOKUP(A199&amp;B199&amp;C199,盘货信息!$A:$A&amp;盘货信息!$B:$B&amp;盘货信息!$C:$C,盘货信息!$Q:$Q),_xlfn.SEQUENCE(LEN(_xlfn.XLOOKUP(A199&amp;B199&amp;C199,盘货信息!$A:$A&amp;盘货信息!$B:$B&amp;盘货信息!$C:$C,盘货信息!$Q:$Q))),1)),MID(_xlfn.XLOOKUP(A199&amp;B199&amp;C199,盘货信息!$A:$A&amp;盘货信息!$B:$B&amp;盘货信息!$C:$C,盘货信息!$Q:$Q),_xlfn.SEQUENCE(LEN(_xlfn.XLOOKUP(A199&amp;B199&amp;C199,盘货信息!$A:$A&amp;盘货信息!$B:$B&amp;盘货信息!$C:$C,盘货信息!$Q:$Q))),1),""))&amp;"元")</f>
        <v/>
      </c>
      <c r="T199" s="18" t="str">
        <f t="array" ref="T199">IF(ISNUMBER(SEARCH("是",_xlfn.XLOOKUP(A199&amp;B199&amp;C199,盘货信息!$A:$A&amp;盘货信息!$B:$B&amp;盘货信息!$C:$C,盘货信息!$T:$T))),"【瓜分】"&amp;固定信息!$B$7,"")</f>
        <v/>
      </c>
      <c r="U199" s="18" t="str">
        <f>IF($C199="","",IF(AND(R199="",S199="",T199=""),"",固定信息!$B$1))</f>
        <v/>
      </c>
      <c r="V199" s="18" t="str">
        <f t="array" ref="V199">IF(C199="","","【服务】"&amp;IF(_xlfn.XLOOKUP(A199&amp;B199&amp;C199,盘货信息!$A:$A&amp;盘货信息!$B:$B&amp;盘货信息!$C:$C,盘货信息!$V:$V)="","",_xlfn.XLOOKUP(A199&amp;B199&amp;C199,盘货信息!$A:$A&amp;盘货信息!$B:$B&amp;盘货信息!$C:$C,盘货信息!$V:$V)&amp;"免息,")&amp;IF(_xlfn.XLOOKUP(A199&amp;B199&amp;C199,盘货信息!$A:$A&amp;盘货信息!$B:$B&amp;盘货信息!$C:$C,盘货信息!$W:$W)="","",_xlfn.XLOOKUP(A199&amp;B199&amp;C199,盘货信息!$A:$A&amp;盘货信息!$B:$B&amp;盘货信息!$C:$C,盘货信息!$W:$W)&amp;"，")&amp;"送货入户，退换免运费")</f>
        <v/>
      </c>
    </row>
    <row r="200" customHeight="1" spans="1:22">
      <c r="A200" s="17" t="str">
        <f>IF(盘货信息!A200="","",盘货信息!A200)</f>
        <v/>
      </c>
      <c r="B200" s="20" t="str">
        <f>IF(盘货信息!B200="","",盘货信息!B200)</f>
        <v/>
      </c>
      <c r="C200" s="18" t="str">
        <f>IF(盘货信息!C200="","",盘货信息!C200)</f>
        <v/>
      </c>
      <c r="D200" s="18" t="str">
        <f ca="1" t="shared" si="3"/>
        <v/>
      </c>
      <c r="E200" s="18" t="str">
        <f>IF(C200="","",固定信息!$B$2)</f>
        <v/>
      </c>
      <c r="F200" s="18" t="str">
        <f t="array" ref="F200">IF(C200="","","【"&amp;C200&amp;"】"&amp;_xlfn.XLOOKUP(A200&amp;B200&amp;C200,盘货信息!$A:$A&amp;盘货信息!$B:$B&amp;盘货信息!$C:$C,盘货信息!$D:$D))</f>
        <v/>
      </c>
      <c r="G200" s="18" t="str">
        <f>IF(C200="","","【"&amp;"活动时间："&amp;固定信息!$B$3&amp;"】")</f>
        <v/>
      </c>
      <c r="H200" s="18" t="str">
        <f>IF($C200="","",固定信息!$B$1)</f>
        <v/>
      </c>
      <c r="I200" s="18"/>
      <c r="J200" s="18" t="str">
        <f t="array" ref="J200">_xlfn.XLOOKUP(A200&amp;B200&amp;C200,价格信息!$A:$A&amp;价格信息!$B:$B&amp;价格信息!$C:$C,价格信息!$D:$D)</f>
        <v/>
      </c>
      <c r="K200" s="31" t="str">
        <f t="array" ref="K200">IF(_xlfn.XLOOKUP(A200&amp;B200&amp;C200,价格信息!$A:$A&amp;价格信息!$B:$B&amp;价格信息!$C:$C,价格信息!$I:$I)="","","【优惠券链接】"&amp;固定信息!$B$6)</f>
        <v/>
      </c>
      <c r="L200" s="31" t="str">
        <f>IF($C200="","",固定信息!$B$1)</f>
        <v/>
      </c>
      <c r="M200" s="18" t="str">
        <f t="array" ref="M200">IF(_xlfn.XLOOKUP(A200&amp;B200&amp;C200,盘货信息!$A:$A&amp;盘货信息!$B:$B&amp;盘货信息!$C:$C,盘货信息!$O:$O)="","","【优惠券】领"&amp;INDEX(_wpsfn.REGEXP(_xlfn.XLOOKUP(A200&amp;B200&amp;C200,盘货信息!$A:$A&amp;盘货信息!$B:$B&amp;盘货信息!$C:$C,盘货信息!$O:$O),"\d+"),1,1)&amp;"元优惠券下单更优惠，优惠卷："&amp;_xlfn.XLOOKUP(A200&amp;B200&amp;C200,盘货信息!$A:$A&amp;盘货信息!$B:$B&amp;盘货信息!$C:$C,盘货信息!$P:$P))</f>
        <v/>
      </c>
      <c r="N200" s="18" t="str">
        <f t="array" ref="N200">IF(AND(ISNUMBER(_xlfn.XLOOKUP(A200&amp;B200&amp;C200,盘货信息!$A:$A&amp;盘货信息!$B:$B&amp;盘货信息!$C:$C,盘货信息!$I:$I)),_xlfn.XLOOKUP(A200&amp;B200&amp;C200,盘货信息!$A:$A&amp;盘货信息!$B:$B&amp;盘货信息!$C:$C,盘货信息!$I:$I)&gt;1),"【88VIP】立减"&amp;_xlfn.XLOOKUP(A200&amp;B200&amp;C200,盘货信息!$A:$A&amp;盘货信息!$B:$B&amp;盘货信息!$C:$C,盘货信息!$I:$I)&amp;"元","")</f>
        <v/>
      </c>
      <c r="O200" s="18" t="str">
        <f t="array" ref="O200">IF(_xlfn.XLOOKUP(A200&amp;B200&amp;C200,盘货信息!$A:$A&amp;盘货信息!$B:$B&amp;盘货信息!$C:$C,盘货信息!$K:$K)="","",IF(AND(_xlfn.XLOOKUP(A200&amp;B200&amp;C200,盘货信息!$A:$A&amp;盘货信息!$B:$B&amp;盘货信息!$C:$C,盘货信息!$G:$G)="不参加",_xlfn.XLOOKUP(A200&amp;B200&amp;C200,盘货信息!$A:$A&amp;盘货信息!$B:$B&amp;盘货信息!$C:$C,盘货信息!$H:$H)=""),"【以旧换新】"&amp;_xlfn.XLOOKUP(A200&amp;B200&amp;C200,盘货信息!$A:$A&amp;盘货信息!$B:$B&amp;盘货信息!$C:$C,盘货信息!$K:$K)&amp;"元以旧换新补贴（可无旧机换新）",""))</f>
        <v/>
      </c>
      <c r="P200" s="18" t="str">
        <f t="array" ref="P200">_xlfn.XLOOKUP(A200&amp;B200&amp;C200,赠品!$A:$A&amp;赠品!$B:$B&amp;赠品!$C:$C,赠品!$D:$D)</f>
        <v/>
      </c>
      <c r="Q200" s="18" t="str">
        <f>IF($C200="","",IF(AND(M200="",N200="",P200=""),"",固定信息!$B$1))</f>
        <v/>
      </c>
      <c r="R200" s="18" t="str">
        <f t="array" ref="R200">IF(ISNUMBER(SEARCH("是",_xlfn.XLOOKUP(A200&amp;B200&amp;C200,盘货信息!$A:$A&amp;盘货信息!$B:$B&amp;盘货信息!$C:$C,盘货信息!$U:$U))),"【折扣】指定型号满2类享96折，满3类享94折","")</f>
        <v/>
      </c>
      <c r="S200" s="18" t="str">
        <f t="array" ref="S200">IF(_xlfn.XLOOKUP(A200&amp;B200&amp;C200,盘货信息!$A:$A&amp;盘货信息!$B:$B&amp;盘货信息!$C:$C,盘货信息!$Q:$Q)&lt;1,"","【红包】活动时间购机送"&amp;_xlfn.TEXTJOIN("",,IF(ISNUMBER(--MID(_xlfn.XLOOKUP(A200&amp;B200&amp;C200,盘货信息!$A:$A&amp;盘货信息!$B:$B&amp;盘货信息!$C:$C,盘货信息!$Q:$Q),_xlfn.SEQUENCE(LEN(_xlfn.XLOOKUP(A200&amp;B200&amp;C200,盘货信息!$A:$A&amp;盘货信息!$B:$B&amp;盘货信息!$C:$C,盘货信息!$Q:$Q))),1)),MID(_xlfn.XLOOKUP(A200&amp;B200&amp;C200,盘货信息!$A:$A&amp;盘货信息!$B:$B&amp;盘货信息!$C:$C,盘货信息!$Q:$Q),_xlfn.SEQUENCE(LEN(_xlfn.XLOOKUP(A200&amp;B200&amp;C200,盘货信息!$A:$A&amp;盘货信息!$B:$B&amp;盘货信息!$C:$C,盘货信息!$Q:$Q))),1),""))&amp;"元")</f>
        <v/>
      </c>
      <c r="T200" s="18" t="str">
        <f t="array" ref="T200">IF(ISNUMBER(SEARCH("是",_xlfn.XLOOKUP(A200&amp;B200&amp;C200,盘货信息!$A:$A&amp;盘货信息!$B:$B&amp;盘货信息!$C:$C,盘货信息!$T:$T))),"【瓜分】"&amp;固定信息!$B$7,"")</f>
        <v/>
      </c>
      <c r="U200" s="18" t="str">
        <f>IF($C200="","",IF(AND(R200="",S200="",T200=""),"",固定信息!$B$1))</f>
        <v/>
      </c>
      <c r="V200" s="18" t="str">
        <f t="array" ref="V200">IF(C200="","","【服务】"&amp;IF(_xlfn.XLOOKUP(A200&amp;B200&amp;C200,盘货信息!$A:$A&amp;盘货信息!$B:$B&amp;盘货信息!$C:$C,盘货信息!$V:$V)="","",_xlfn.XLOOKUP(A200&amp;B200&amp;C200,盘货信息!$A:$A&amp;盘货信息!$B:$B&amp;盘货信息!$C:$C,盘货信息!$V:$V)&amp;"免息,")&amp;IF(_xlfn.XLOOKUP(A200&amp;B200&amp;C200,盘货信息!$A:$A&amp;盘货信息!$B:$B&amp;盘货信息!$C:$C,盘货信息!$W:$W)="","",_xlfn.XLOOKUP(A200&amp;B200&amp;C200,盘货信息!$A:$A&amp;盘货信息!$B:$B&amp;盘货信息!$C:$C,盘货信息!$W:$W)&amp;"，")&amp;"送货入户，退换免运费")</f>
        <v/>
      </c>
    </row>
    <row r="201" customHeight="1" spans="1:22">
      <c r="A201" s="17" t="str">
        <f>IF(盘货信息!A201="","",盘货信息!A201)</f>
        <v/>
      </c>
      <c r="B201" s="20" t="str">
        <f>IF(盘货信息!B201="","",盘货信息!B201)</f>
        <v/>
      </c>
      <c r="C201" s="18" t="str">
        <f>IF(盘货信息!C201="","",盘货信息!C201)</f>
        <v/>
      </c>
      <c r="D201" s="18" t="str">
        <f ca="1" t="shared" si="3"/>
        <v/>
      </c>
      <c r="E201" s="18" t="str">
        <f>IF(C201="","",固定信息!$B$2)</f>
        <v/>
      </c>
      <c r="F201" s="18" t="str">
        <f t="array" ref="F201">IF(C201="","","【"&amp;C201&amp;"】"&amp;_xlfn.XLOOKUP(A201&amp;B201&amp;C201,盘货信息!$A:$A&amp;盘货信息!$B:$B&amp;盘货信息!$C:$C,盘货信息!$D:$D))</f>
        <v/>
      </c>
      <c r="G201" s="18" t="str">
        <f>IF(C201="","","【"&amp;"活动时间："&amp;固定信息!$B$3&amp;"】")</f>
        <v/>
      </c>
      <c r="H201" s="18" t="str">
        <f>IF($C201="","",固定信息!$B$1)</f>
        <v/>
      </c>
      <c r="I201" s="18"/>
      <c r="J201" s="18" t="str">
        <f t="array" ref="J201">_xlfn.XLOOKUP(A201&amp;B201&amp;C201,价格信息!$A:$A&amp;价格信息!$B:$B&amp;价格信息!$C:$C,价格信息!$D:$D)</f>
        <v/>
      </c>
      <c r="K201" s="31" t="str">
        <f t="array" ref="K201">IF(_xlfn.XLOOKUP(A201&amp;B201&amp;C201,价格信息!$A:$A&amp;价格信息!$B:$B&amp;价格信息!$C:$C,价格信息!$I:$I)="","","【优惠券链接】"&amp;固定信息!$B$6)</f>
        <v/>
      </c>
      <c r="L201" s="31" t="str">
        <f>IF($C201="","",固定信息!$B$1)</f>
        <v/>
      </c>
      <c r="M201" s="18" t="str">
        <f t="array" ref="M201">IF(_xlfn.XLOOKUP(A201&amp;B201&amp;C201,盘货信息!$A:$A&amp;盘货信息!$B:$B&amp;盘货信息!$C:$C,盘货信息!$O:$O)="","","【优惠券】领"&amp;INDEX(_wpsfn.REGEXP(_xlfn.XLOOKUP(A201&amp;B201&amp;C201,盘货信息!$A:$A&amp;盘货信息!$B:$B&amp;盘货信息!$C:$C,盘货信息!$O:$O),"\d+"),1,1)&amp;"元优惠券下单更优惠，优惠卷："&amp;_xlfn.XLOOKUP(A201&amp;B201&amp;C201,盘货信息!$A:$A&amp;盘货信息!$B:$B&amp;盘货信息!$C:$C,盘货信息!$P:$P))</f>
        <v/>
      </c>
      <c r="N201" s="18" t="str">
        <f t="array" ref="N201">IF(AND(ISNUMBER(_xlfn.XLOOKUP(A201&amp;B201&amp;C201,盘货信息!$A:$A&amp;盘货信息!$B:$B&amp;盘货信息!$C:$C,盘货信息!$I:$I)),_xlfn.XLOOKUP(A201&amp;B201&amp;C201,盘货信息!$A:$A&amp;盘货信息!$B:$B&amp;盘货信息!$C:$C,盘货信息!$I:$I)&gt;1),"【88VIP】立减"&amp;_xlfn.XLOOKUP(A201&amp;B201&amp;C201,盘货信息!$A:$A&amp;盘货信息!$B:$B&amp;盘货信息!$C:$C,盘货信息!$I:$I)&amp;"元","")</f>
        <v/>
      </c>
      <c r="O201" s="18" t="str">
        <f t="array" ref="O201">IF(_xlfn.XLOOKUP(A201&amp;B201&amp;C201,盘货信息!$A:$A&amp;盘货信息!$B:$B&amp;盘货信息!$C:$C,盘货信息!$K:$K)="","",IF(AND(_xlfn.XLOOKUP(A201&amp;B201&amp;C201,盘货信息!$A:$A&amp;盘货信息!$B:$B&amp;盘货信息!$C:$C,盘货信息!$G:$G)="不参加",_xlfn.XLOOKUP(A201&amp;B201&amp;C201,盘货信息!$A:$A&amp;盘货信息!$B:$B&amp;盘货信息!$C:$C,盘货信息!$H:$H)=""),"【以旧换新】"&amp;_xlfn.XLOOKUP(A201&amp;B201&amp;C201,盘货信息!$A:$A&amp;盘货信息!$B:$B&amp;盘货信息!$C:$C,盘货信息!$K:$K)&amp;"元以旧换新补贴（可无旧机换新）",""))</f>
        <v/>
      </c>
      <c r="P201" s="18" t="str">
        <f t="array" ref="P201">_xlfn.XLOOKUP(A201&amp;B201&amp;C201,赠品!$A:$A&amp;赠品!$B:$B&amp;赠品!$C:$C,赠品!$D:$D)</f>
        <v/>
      </c>
      <c r="Q201" s="18" t="str">
        <f>IF($C201="","",IF(AND(M201="",N201="",P201=""),"",固定信息!$B$1))</f>
        <v/>
      </c>
      <c r="R201" s="18" t="str">
        <f t="array" ref="R201">IF(ISNUMBER(SEARCH("是",_xlfn.XLOOKUP(A201&amp;B201&amp;C201,盘货信息!$A:$A&amp;盘货信息!$B:$B&amp;盘货信息!$C:$C,盘货信息!$U:$U))),"【折扣】指定型号满2类享96折，满3类享94折","")</f>
        <v/>
      </c>
      <c r="S201" s="18" t="str">
        <f t="array" ref="S201">IF(_xlfn.XLOOKUP(A201&amp;B201&amp;C201,盘货信息!$A:$A&amp;盘货信息!$B:$B&amp;盘货信息!$C:$C,盘货信息!$Q:$Q)&lt;1,"","【红包】活动时间购机送"&amp;_xlfn.TEXTJOIN("",,IF(ISNUMBER(--MID(_xlfn.XLOOKUP(A201&amp;B201&amp;C201,盘货信息!$A:$A&amp;盘货信息!$B:$B&amp;盘货信息!$C:$C,盘货信息!$Q:$Q),_xlfn.SEQUENCE(LEN(_xlfn.XLOOKUP(A201&amp;B201&amp;C201,盘货信息!$A:$A&amp;盘货信息!$B:$B&amp;盘货信息!$C:$C,盘货信息!$Q:$Q))),1)),MID(_xlfn.XLOOKUP(A201&amp;B201&amp;C201,盘货信息!$A:$A&amp;盘货信息!$B:$B&amp;盘货信息!$C:$C,盘货信息!$Q:$Q),_xlfn.SEQUENCE(LEN(_xlfn.XLOOKUP(A201&amp;B201&amp;C201,盘货信息!$A:$A&amp;盘货信息!$B:$B&amp;盘货信息!$C:$C,盘货信息!$Q:$Q))),1),""))&amp;"元")</f>
        <v/>
      </c>
      <c r="T201" s="18" t="str">
        <f t="array" ref="T201">IF(ISNUMBER(SEARCH("是",_xlfn.XLOOKUP(A201&amp;B201&amp;C201,盘货信息!$A:$A&amp;盘货信息!$B:$B&amp;盘货信息!$C:$C,盘货信息!$T:$T))),"【瓜分】"&amp;固定信息!$B$7,"")</f>
        <v/>
      </c>
      <c r="U201" s="18" t="str">
        <f>IF($C201="","",IF(AND(R201="",S201="",T201=""),"",固定信息!$B$1))</f>
        <v/>
      </c>
      <c r="V201" s="18" t="str">
        <f t="array" ref="V201">IF(C201="","","【服务】"&amp;IF(_xlfn.XLOOKUP(A201&amp;B201&amp;C201,盘货信息!$A:$A&amp;盘货信息!$B:$B&amp;盘货信息!$C:$C,盘货信息!$V:$V)="","",_xlfn.XLOOKUP(A201&amp;B201&amp;C201,盘货信息!$A:$A&amp;盘货信息!$B:$B&amp;盘货信息!$C:$C,盘货信息!$V:$V)&amp;"免息,")&amp;IF(_xlfn.XLOOKUP(A201&amp;B201&amp;C201,盘货信息!$A:$A&amp;盘货信息!$B:$B&amp;盘货信息!$C:$C,盘货信息!$W:$W)="","",_xlfn.XLOOKUP(A201&amp;B201&amp;C201,盘货信息!$A:$A&amp;盘货信息!$B:$B&amp;盘货信息!$C:$C,盘货信息!$W:$W)&amp;"，")&amp;"送货入户，退换免运费")</f>
        <v/>
      </c>
    </row>
    <row r="202" customHeight="1" spans="1:22">
      <c r="A202" s="17" t="str">
        <f>IF(盘货信息!A202="","",盘货信息!A202)</f>
        <v/>
      </c>
      <c r="B202" s="20" t="str">
        <f>IF(盘货信息!B202="","",盘货信息!B202)</f>
        <v/>
      </c>
      <c r="C202" s="18" t="str">
        <f>IF(盘货信息!C202="","",盘货信息!C202)</f>
        <v/>
      </c>
      <c r="D202" s="18" t="str">
        <f ca="1" t="shared" si="3"/>
        <v/>
      </c>
      <c r="E202" s="18" t="str">
        <f>IF(C202="","",固定信息!$B$2)</f>
        <v/>
      </c>
      <c r="F202" s="18" t="str">
        <f t="array" ref="F202">IF(C202="","","【"&amp;C202&amp;"】"&amp;_xlfn.XLOOKUP(A202&amp;B202&amp;C202,盘货信息!$A:$A&amp;盘货信息!$B:$B&amp;盘货信息!$C:$C,盘货信息!$D:$D))</f>
        <v/>
      </c>
      <c r="G202" s="18" t="str">
        <f>IF(C202="","","【"&amp;"活动时间："&amp;固定信息!$B$3&amp;"】")</f>
        <v/>
      </c>
      <c r="H202" s="18" t="str">
        <f>IF($C202="","",固定信息!$B$1)</f>
        <v/>
      </c>
      <c r="I202" s="18"/>
      <c r="J202" s="18" t="str">
        <f t="array" ref="J202">_xlfn.XLOOKUP(A202&amp;B202&amp;C202,价格信息!$A:$A&amp;价格信息!$B:$B&amp;价格信息!$C:$C,价格信息!$D:$D)</f>
        <v/>
      </c>
      <c r="K202" s="31" t="str">
        <f t="array" ref="K202">IF(_xlfn.XLOOKUP(A202&amp;B202&amp;C202,价格信息!$A:$A&amp;价格信息!$B:$B&amp;价格信息!$C:$C,价格信息!$I:$I)="","","【优惠券链接】"&amp;固定信息!$B$6)</f>
        <v/>
      </c>
      <c r="L202" s="31" t="str">
        <f>IF($C202="","",固定信息!$B$1)</f>
        <v/>
      </c>
      <c r="M202" s="18" t="str">
        <f t="array" ref="M202">IF(_xlfn.XLOOKUP(A202&amp;B202&amp;C202,盘货信息!$A:$A&amp;盘货信息!$B:$B&amp;盘货信息!$C:$C,盘货信息!$O:$O)="","","【优惠券】领"&amp;INDEX(_wpsfn.REGEXP(_xlfn.XLOOKUP(A202&amp;B202&amp;C202,盘货信息!$A:$A&amp;盘货信息!$B:$B&amp;盘货信息!$C:$C,盘货信息!$O:$O),"\d+"),1,1)&amp;"元优惠券下单更优惠，优惠卷："&amp;_xlfn.XLOOKUP(A202&amp;B202&amp;C202,盘货信息!$A:$A&amp;盘货信息!$B:$B&amp;盘货信息!$C:$C,盘货信息!$P:$P))</f>
        <v/>
      </c>
      <c r="N202" s="18" t="str">
        <f t="array" ref="N202">IF(AND(ISNUMBER(_xlfn.XLOOKUP(A202&amp;B202&amp;C202,盘货信息!$A:$A&amp;盘货信息!$B:$B&amp;盘货信息!$C:$C,盘货信息!$I:$I)),_xlfn.XLOOKUP(A202&amp;B202&amp;C202,盘货信息!$A:$A&amp;盘货信息!$B:$B&amp;盘货信息!$C:$C,盘货信息!$I:$I)&gt;1),"【88VIP】立减"&amp;_xlfn.XLOOKUP(A202&amp;B202&amp;C202,盘货信息!$A:$A&amp;盘货信息!$B:$B&amp;盘货信息!$C:$C,盘货信息!$I:$I)&amp;"元","")</f>
        <v/>
      </c>
      <c r="O202" s="18" t="str">
        <f t="array" ref="O202">IF(_xlfn.XLOOKUP(A202&amp;B202&amp;C202,盘货信息!$A:$A&amp;盘货信息!$B:$B&amp;盘货信息!$C:$C,盘货信息!$K:$K)="","",IF(AND(_xlfn.XLOOKUP(A202&amp;B202&amp;C202,盘货信息!$A:$A&amp;盘货信息!$B:$B&amp;盘货信息!$C:$C,盘货信息!$G:$G)="不参加",_xlfn.XLOOKUP(A202&amp;B202&amp;C202,盘货信息!$A:$A&amp;盘货信息!$B:$B&amp;盘货信息!$C:$C,盘货信息!$H:$H)=""),"【以旧换新】"&amp;_xlfn.XLOOKUP(A202&amp;B202&amp;C202,盘货信息!$A:$A&amp;盘货信息!$B:$B&amp;盘货信息!$C:$C,盘货信息!$K:$K)&amp;"元以旧换新补贴（可无旧机换新）",""))</f>
        <v/>
      </c>
      <c r="P202" s="18" t="str">
        <f t="array" ref="P202">_xlfn.XLOOKUP(A202&amp;B202&amp;C202,赠品!$A:$A&amp;赠品!$B:$B&amp;赠品!$C:$C,赠品!$D:$D)</f>
        <v/>
      </c>
      <c r="Q202" s="18" t="str">
        <f>IF($C202="","",IF(AND(M202="",N202="",P202=""),"",固定信息!$B$1))</f>
        <v/>
      </c>
      <c r="R202" s="18" t="str">
        <f t="array" ref="R202">IF(ISNUMBER(SEARCH("是",_xlfn.XLOOKUP(A202&amp;B202&amp;C202,盘货信息!$A:$A&amp;盘货信息!$B:$B&amp;盘货信息!$C:$C,盘货信息!$U:$U))),"【折扣】指定型号满2类享96折，满3类享94折","")</f>
        <v/>
      </c>
      <c r="S202" s="18" t="str">
        <f t="array" ref="S202">IF(_xlfn.XLOOKUP(A202&amp;B202&amp;C202,盘货信息!$A:$A&amp;盘货信息!$B:$B&amp;盘货信息!$C:$C,盘货信息!$Q:$Q)&lt;1,"","【红包】活动时间购机送"&amp;_xlfn.TEXTJOIN("",,IF(ISNUMBER(--MID(_xlfn.XLOOKUP(A202&amp;B202&amp;C202,盘货信息!$A:$A&amp;盘货信息!$B:$B&amp;盘货信息!$C:$C,盘货信息!$Q:$Q),_xlfn.SEQUENCE(LEN(_xlfn.XLOOKUP(A202&amp;B202&amp;C202,盘货信息!$A:$A&amp;盘货信息!$B:$B&amp;盘货信息!$C:$C,盘货信息!$Q:$Q))),1)),MID(_xlfn.XLOOKUP(A202&amp;B202&amp;C202,盘货信息!$A:$A&amp;盘货信息!$B:$B&amp;盘货信息!$C:$C,盘货信息!$Q:$Q),_xlfn.SEQUENCE(LEN(_xlfn.XLOOKUP(A202&amp;B202&amp;C202,盘货信息!$A:$A&amp;盘货信息!$B:$B&amp;盘货信息!$C:$C,盘货信息!$Q:$Q))),1),""))&amp;"元")</f>
        <v/>
      </c>
      <c r="T202" s="18" t="str">
        <f t="array" ref="T202">IF(ISNUMBER(SEARCH("是",_xlfn.XLOOKUP(A202&amp;B202&amp;C202,盘货信息!$A:$A&amp;盘货信息!$B:$B&amp;盘货信息!$C:$C,盘货信息!$T:$T))),"【瓜分】"&amp;固定信息!$B$7,"")</f>
        <v/>
      </c>
      <c r="U202" s="18" t="str">
        <f>IF($C202="","",IF(AND(R202="",S202="",T202=""),"",固定信息!$B$1))</f>
        <v/>
      </c>
      <c r="V202" s="18" t="str">
        <f t="array" ref="V202">IF(C202="","","【服务】"&amp;IF(_xlfn.XLOOKUP(A202&amp;B202&amp;C202,盘货信息!$A:$A&amp;盘货信息!$B:$B&amp;盘货信息!$C:$C,盘货信息!$V:$V)="","",_xlfn.XLOOKUP(A202&amp;B202&amp;C202,盘货信息!$A:$A&amp;盘货信息!$B:$B&amp;盘货信息!$C:$C,盘货信息!$V:$V)&amp;"免息,")&amp;IF(_xlfn.XLOOKUP(A202&amp;B202&amp;C202,盘货信息!$A:$A&amp;盘货信息!$B:$B&amp;盘货信息!$C:$C,盘货信息!$W:$W)="","",_xlfn.XLOOKUP(A202&amp;B202&amp;C202,盘货信息!$A:$A&amp;盘货信息!$B:$B&amp;盘货信息!$C:$C,盘货信息!$W:$W)&amp;"，")&amp;"送货入户，退换免运费")</f>
        <v/>
      </c>
    </row>
    <row r="203" customHeight="1" spans="1:22">
      <c r="A203" s="17" t="str">
        <f>IF(盘货信息!A203="","",盘货信息!A203)</f>
        <v/>
      </c>
      <c r="B203" s="20" t="str">
        <f>IF(盘货信息!B203="","",盘货信息!B203)</f>
        <v/>
      </c>
      <c r="C203" s="18" t="str">
        <f>IF(盘货信息!C203="","",盘货信息!C203)</f>
        <v/>
      </c>
      <c r="D203" s="18" t="str">
        <f ca="1" t="shared" si="3"/>
        <v/>
      </c>
      <c r="E203" s="18" t="str">
        <f>IF(C203="","",固定信息!$B$2)</f>
        <v/>
      </c>
      <c r="F203" s="18" t="str">
        <f t="array" ref="F203">IF(C203="","","【"&amp;C203&amp;"】"&amp;_xlfn.XLOOKUP(A203&amp;B203&amp;C203,盘货信息!$A:$A&amp;盘货信息!$B:$B&amp;盘货信息!$C:$C,盘货信息!$D:$D))</f>
        <v/>
      </c>
      <c r="G203" s="18" t="str">
        <f>IF(C203="","","【"&amp;"活动时间："&amp;固定信息!$B$3&amp;"】")</f>
        <v/>
      </c>
      <c r="H203" s="18" t="str">
        <f>IF($C203="","",固定信息!$B$1)</f>
        <v/>
      </c>
      <c r="I203" s="18"/>
      <c r="J203" s="18" t="str">
        <f t="array" ref="J203">_xlfn.XLOOKUP(A203&amp;B203&amp;C203,价格信息!$A:$A&amp;价格信息!$B:$B&amp;价格信息!$C:$C,价格信息!$D:$D)</f>
        <v/>
      </c>
      <c r="K203" s="31" t="str">
        <f t="array" ref="K203">IF(_xlfn.XLOOKUP(A203&amp;B203&amp;C203,价格信息!$A:$A&amp;价格信息!$B:$B&amp;价格信息!$C:$C,价格信息!$I:$I)="","","【优惠券链接】"&amp;固定信息!$B$6)</f>
        <v/>
      </c>
      <c r="L203" s="31" t="str">
        <f>IF($C203="","",固定信息!$B$1)</f>
        <v/>
      </c>
      <c r="M203" s="18" t="str">
        <f t="array" ref="M203">IF(_xlfn.XLOOKUP(A203&amp;B203&amp;C203,盘货信息!$A:$A&amp;盘货信息!$B:$B&amp;盘货信息!$C:$C,盘货信息!$O:$O)="","","【优惠券】领"&amp;INDEX(_wpsfn.REGEXP(_xlfn.XLOOKUP(A203&amp;B203&amp;C203,盘货信息!$A:$A&amp;盘货信息!$B:$B&amp;盘货信息!$C:$C,盘货信息!$O:$O),"\d+"),1,1)&amp;"元优惠券下单更优惠，优惠卷："&amp;_xlfn.XLOOKUP(A203&amp;B203&amp;C203,盘货信息!$A:$A&amp;盘货信息!$B:$B&amp;盘货信息!$C:$C,盘货信息!$P:$P))</f>
        <v/>
      </c>
      <c r="N203" s="18" t="str">
        <f t="array" ref="N203">IF(AND(ISNUMBER(_xlfn.XLOOKUP(A203&amp;B203&amp;C203,盘货信息!$A:$A&amp;盘货信息!$B:$B&amp;盘货信息!$C:$C,盘货信息!$I:$I)),_xlfn.XLOOKUP(A203&amp;B203&amp;C203,盘货信息!$A:$A&amp;盘货信息!$B:$B&amp;盘货信息!$C:$C,盘货信息!$I:$I)&gt;1),"【88VIP】立减"&amp;_xlfn.XLOOKUP(A203&amp;B203&amp;C203,盘货信息!$A:$A&amp;盘货信息!$B:$B&amp;盘货信息!$C:$C,盘货信息!$I:$I)&amp;"元","")</f>
        <v/>
      </c>
      <c r="O203" s="18" t="str">
        <f t="array" ref="O203">IF(_xlfn.XLOOKUP(A203&amp;B203&amp;C203,盘货信息!$A:$A&amp;盘货信息!$B:$B&amp;盘货信息!$C:$C,盘货信息!$K:$K)="","",IF(AND(_xlfn.XLOOKUP(A203&amp;B203&amp;C203,盘货信息!$A:$A&amp;盘货信息!$B:$B&amp;盘货信息!$C:$C,盘货信息!$G:$G)="不参加",_xlfn.XLOOKUP(A203&amp;B203&amp;C203,盘货信息!$A:$A&amp;盘货信息!$B:$B&amp;盘货信息!$C:$C,盘货信息!$H:$H)=""),"【以旧换新】"&amp;_xlfn.XLOOKUP(A203&amp;B203&amp;C203,盘货信息!$A:$A&amp;盘货信息!$B:$B&amp;盘货信息!$C:$C,盘货信息!$K:$K)&amp;"元以旧换新补贴（可无旧机换新）",""))</f>
        <v/>
      </c>
      <c r="P203" s="18" t="str">
        <f t="array" ref="P203">_xlfn.XLOOKUP(A203&amp;B203&amp;C203,赠品!$A:$A&amp;赠品!$B:$B&amp;赠品!$C:$C,赠品!$D:$D)</f>
        <v/>
      </c>
      <c r="Q203" s="18" t="str">
        <f>IF($C203="","",IF(AND(M203="",N203="",P203=""),"",固定信息!$B$1))</f>
        <v/>
      </c>
      <c r="R203" s="18" t="str">
        <f t="array" ref="R203">IF(ISNUMBER(SEARCH("是",_xlfn.XLOOKUP(A203&amp;B203&amp;C203,盘货信息!$A:$A&amp;盘货信息!$B:$B&amp;盘货信息!$C:$C,盘货信息!$U:$U))),"【折扣】指定型号满2类享96折，满3类享94折","")</f>
        <v/>
      </c>
      <c r="S203" s="18" t="str">
        <f t="array" ref="S203">IF(_xlfn.XLOOKUP(A203&amp;B203&amp;C203,盘货信息!$A:$A&amp;盘货信息!$B:$B&amp;盘货信息!$C:$C,盘货信息!$Q:$Q)&lt;1,"","【红包】活动时间购机送"&amp;_xlfn.TEXTJOIN("",,IF(ISNUMBER(--MID(_xlfn.XLOOKUP(A203&amp;B203&amp;C203,盘货信息!$A:$A&amp;盘货信息!$B:$B&amp;盘货信息!$C:$C,盘货信息!$Q:$Q),_xlfn.SEQUENCE(LEN(_xlfn.XLOOKUP(A203&amp;B203&amp;C203,盘货信息!$A:$A&amp;盘货信息!$B:$B&amp;盘货信息!$C:$C,盘货信息!$Q:$Q))),1)),MID(_xlfn.XLOOKUP(A203&amp;B203&amp;C203,盘货信息!$A:$A&amp;盘货信息!$B:$B&amp;盘货信息!$C:$C,盘货信息!$Q:$Q),_xlfn.SEQUENCE(LEN(_xlfn.XLOOKUP(A203&amp;B203&amp;C203,盘货信息!$A:$A&amp;盘货信息!$B:$B&amp;盘货信息!$C:$C,盘货信息!$Q:$Q))),1),""))&amp;"元")</f>
        <v/>
      </c>
      <c r="T203" s="18" t="str">
        <f t="array" ref="T203">IF(ISNUMBER(SEARCH("是",_xlfn.XLOOKUP(A203&amp;B203&amp;C203,盘货信息!$A:$A&amp;盘货信息!$B:$B&amp;盘货信息!$C:$C,盘货信息!$T:$T))),"【瓜分】"&amp;固定信息!$B$7,"")</f>
        <v/>
      </c>
      <c r="U203" s="18" t="str">
        <f>IF($C203="","",IF(AND(R203="",S203="",T203=""),"",固定信息!$B$1))</f>
        <v/>
      </c>
      <c r="V203" s="18" t="str">
        <f t="array" ref="V203">IF(C203="","","【服务】"&amp;IF(_xlfn.XLOOKUP(A203&amp;B203&amp;C203,盘货信息!$A:$A&amp;盘货信息!$B:$B&amp;盘货信息!$C:$C,盘货信息!$V:$V)="","",_xlfn.XLOOKUP(A203&amp;B203&amp;C203,盘货信息!$A:$A&amp;盘货信息!$B:$B&amp;盘货信息!$C:$C,盘货信息!$V:$V)&amp;"免息,")&amp;IF(_xlfn.XLOOKUP(A203&amp;B203&amp;C203,盘货信息!$A:$A&amp;盘货信息!$B:$B&amp;盘货信息!$C:$C,盘货信息!$W:$W)="","",_xlfn.XLOOKUP(A203&amp;B203&amp;C203,盘货信息!$A:$A&amp;盘货信息!$B:$B&amp;盘货信息!$C:$C,盘货信息!$W:$W)&amp;"，")&amp;"送货入户，退换免运费")</f>
        <v/>
      </c>
    </row>
    <row r="204" customHeight="1" spans="1:22">
      <c r="A204" s="17" t="str">
        <f>IF(盘货信息!A204="","",盘货信息!A204)</f>
        <v/>
      </c>
      <c r="B204" s="20" t="str">
        <f>IF(盘货信息!B204="","",盘货信息!B204)</f>
        <v/>
      </c>
      <c r="C204" s="18" t="str">
        <f>IF(盘货信息!C204="","",盘货信息!C204)</f>
        <v/>
      </c>
      <c r="D204" s="18" t="str">
        <f ca="1" t="shared" si="3"/>
        <v/>
      </c>
      <c r="E204" s="18" t="str">
        <f>IF(C204="","",固定信息!$B$2)</f>
        <v/>
      </c>
      <c r="F204" s="18" t="str">
        <f t="array" ref="F204">IF(C204="","","【"&amp;C204&amp;"】"&amp;_xlfn.XLOOKUP(A204&amp;B204&amp;C204,盘货信息!$A:$A&amp;盘货信息!$B:$B&amp;盘货信息!$C:$C,盘货信息!$D:$D))</f>
        <v/>
      </c>
      <c r="G204" s="18" t="str">
        <f>IF(C204="","","【"&amp;"活动时间："&amp;固定信息!$B$3&amp;"】")</f>
        <v/>
      </c>
      <c r="H204" s="18" t="str">
        <f>IF($C204="","",固定信息!$B$1)</f>
        <v/>
      </c>
      <c r="I204" s="18"/>
      <c r="J204" s="18" t="str">
        <f t="array" ref="J204">_xlfn.XLOOKUP(A204&amp;B204&amp;C204,价格信息!$A:$A&amp;价格信息!$B:$B&amp;价格信息!$C:$C,价格信息!$D:$D)</f>
        <v/>
      </c>
      <c r="K204" s="31" t="str">
        <f t="array" ref="K204">IF(_xlfn.XLOOKUP(A204&amp;B204&amp;C204,价格信息!$A:$A&amp;价格信息!$B:$B&amp;价格信息!$C:$C,价格信息!$I:$I)="","","【优惠券链接】"&amp;固定信息!$B$6)</f>
        <v/>
      </c>
      <c r="L204" s="31" t="str">
        <f>IF($C204="","",固定信息!$B$1)</f>
        <v/>
      </c>
      <c r="M204" s="18" t="str">
        <f t="array" ref="M204">IF(_xlfn.XLOOKUP(A204&amp;B204&amp;C204,盘货信息!$A:$A&amp;盘货信息!$B:$B&amp;盘货信息!$C:$C,盘货信息!$O:$O)="","","【优惠券】领"&amp;INDEX(_wpsfn.REGEXP(_xlfn.XLOOKUP(A204&amp;B204&amp;C204,盘货信息!$A:$A&amp;盘货信息!$B:$B&amp;盘货信息!$C:$C,盘货信息!$O:$O),"\d+"),1,1)&amp;"元优惠券下单更优惠，优惠卷："&amp;_xlfn.XLOOKUP(A204&amp;B204&amp;C204,盘货信息!$A:$A&amp;盘货信息!$B:$B&amp;盘货信息!$C:$C,盘货信息!$P:$P))</f>
        <v/>
      </c>
      <c r="N204" s="18" t="str">
        <f t="array" ref="N204">IF(AND(ISNUMBER(_xlfn.XLOOKUP(A204&amp;B204&amp;C204,盘货信息!$A:$A&amp;盘货信息!$B:$B&amp;盘货信息!$C:$C,盘货信息!$I:$I)),_xlfn.XLOOKUP(A204&amp;B204&amp;C204,盘货信息!$A:$A&amp;盘货信息!$B:$B&amp;盘货信息!$C:$C,盘货信息!$I:$I)&gt;1),"【88VIP】立减"&amp;_xlfn.XLOOKUP(A204&amp;B204&amp;C204,盘货信息!$A:$A&amp;盘货信息!$B:$B&amp;盘货信息!$C:$C,盘货信息!$I:$I)&amp;"元","")</f>
        <v/>
      </c>
      <c r="O204" s="18" t="str">
        <f t="array" ref="O204">IF(_xlfn.XLOOKUP(A204&amp;B204&amp;C204,盘货信息!$A:$A&amp;盘货信息!$B:$B&amp;盘货信息!$C:$C,盘货信息!$K:$K)="","",IF(AND(_xlfn.XLOOKUP(A204&amp;B204&amp;C204,盘货信息!$A:$A&amp;盘货信息!$B:$B&amp;盘货信息!$C:$C,盘货信息!$G:$G)="不参加",_xlfn.XLOOKUP(A204&amp;B204&amp;C204,盘货信息!$A:$A&amp;盘货信息!$B:$B&amp;盘货信息!$C:$C,盘货信息!$H:$H)=""),"【以旧换新】"&amp;_xlfn.XLOOKUP(A204&amp;B204&amp;C204,盘货信息!$A:$A&amp;盘货信息!$B:$B&amp;盘货信息!$C:$C,盘货信息!$K:$K)&amp;"元以旧换新补贴（可无旧机换新）",""))</f>
        <v/>
      </c>
      <c r="P204" s="18" t="str">
        <f t="array" ref="P204">_xlfn.XLOOKUP(A204&amp;B204&amp;C204,赠品!$A:$A&amp;赠品!$B:$B&amp;赠品!$C:$C,赠品!$D:$D)</f>
        <v/>
      </c>
      <c r="Q204" s="18" t="str">
        <f>IF($C204="","",IF(AND(M204="",N204="",P204=""),"",固定信息!$B$1))</f>
        <v/>
      </c>
      <c r="R204" s="18" t="str">
        <f t="array" ref="R204">IF(ISNUMBER(SEARCH("是",_xlfn.XLOOKUP(A204&amp;B204&amp;C204,盘货信息!$A:$A&amp;盘货信息!$B:$B&amp;盘货信息!$C:$C,盘货信息!$U:$U))),"【折扣】指定型号满2类享96折，满3类享94折","")</f>
        <v/>
      </c>
      <c r="S204" s="18" t="str">
        <f t="array" ref="S204">IF(_xlfn.XLOOKUP(A204&amp;B204&amp;C204,盘货信息!$A:$A&amp;盘货信息!$B:$B&amp;盘货信息!$C:$C,盘货信息!$Q:$Q)&lt;1,"","【红包】活动时间购机送"&amp;_xlfn.TEXTJOIN("",,IF(ISNUMBER(--MID(_xlfn.XLOOKUP(A204&amp;B204&amp;C204,盘货信息!$A:$A&amp;盘货信息!$B:$B&amp;盘货信息!$C:$C,盘货信息!$Q:$Q),_xlfn.SEQUENCE(LEN(_xlfn.XLOOKUP(A204&amp;B204&amp;C204,盘货信息!$A:$A&amp;盘货信息!$B:$B&amp;盘货信息!$C:$C,盘货信息!$Q:$Q))),1)),MID(_xlfn.XLOOKUP(A204&amp;B204&amp;C204,盘货信息!$A:$A&amp;盘货信息!$B:$B&amp;盘货信息!$C:$C,盘货信息!$Q:$Q),_xlfn.SEQUENCE(LEN(_xlfn.XLOOKUP(A204&amp;B204&amp;C204,盘货信息!$A:$A&amp;盘货信息!$B:$B&amp;盘货信息!$C:$C,盘货信息!$Q:$Q))),1),""))&amp;"元")</f>
        <v/>
      </c>
      <c r="T204" s="18" t="str">
        <f t="array" ref="T204">IF(ISNUMBER(SEARCH("是",_xlfn.XLOOKUP(A204&amp;B204&amp;C204,盘货信息!$A:$A&amp;盘货信息!$B:$B&amp;盘货信息!$C:$C,盘货信息!$T:$T))),"【瓜分】"&amp;固定信息!$B$7,"")</f>
        <v/>
      </c>
      <c r="U204" s="18" t="str">
        <f>IF($C204="","",IF(AND(R204="",S204="",T204=""),"",固定信息!$B$1))</f>
        <v/>
      </c>
      <c r="V204" s="18" t="str">
        <f t="array" ref="V204">IF(C204="","","【服务】"&amp;IF(_xlfn.XLOOKUP(A204&amp;B204&amp;C204,盘货信息!$A:$A&amp;盘货信息!$B:$B&amp;盘货信息!$C:$C,盘货信息!$V:$V)="","",_xlfn.XLOOKUP(A204&amp;B204&amp;C204,盘货信息!$A:$A&amp;盘货信息!$B:$B&amp;盘货信息!$C:$C,盘货信息!$V:$V)&amp;"免息,")&amp;IF(_xlfn.XLOOKUP(A204&amp;B204&amp;C204,盘货信息!$A:$A&amp;盘货信息!$B:$B&amp;盘货信息!$C:$C,盘货信息!$W:$W)="","",_xlfn.XLOOKUP(A204&amp;B204&amp;C204,盘货信息!$A:$A&amp;盘货信息!$B:$B&amp;盘货信息!$C:$C,盘货信息!$W:$W)&amp;"，")&amp;"送货入户，退换免运费")</f>
        <v/>
      </c>
    </row>
    <row r="205" customHeight="1" spans="1:22">
      <c r="A205" s="17" t="str">
        <f>IF(盘货信息!A205="","",盘货信息!A205)</f>
        <v/>
      </c>
      <c r="B205" s="20" t="str">
        <f>IF(盘货信息!B205="","",盘货信息!B205)</f>
        <v/>
      </c>
      <c r="C205" s="18" t="str">
        <f>IF(盘货信息!C205="","",盘货信息!C205)</f>
        <v/>
      </c>
      <c r="D205" s="18" t="str">
        <f ca="1" t="shared" si="3"/>
        <v/>
      </c>
      <c r="E205" s="18" t="str">
        <f>IF(C205="","",固定信息!$B$2)</f>
        <v/>
      </c>
      <c r="F205" s="18" t="str">
        <f t="array" ref="F205">IF(C205="","","【"&amp;C205&amp;"】"&amp;_xlfn.XLOOKUP(A205&amp;B205&amp;C205,盘货信息!$A:$A&amp;盘货信息!$B:$B&amp;盘货信息!$C:$C,盘货信息!$D:$D))</f>
        <v/>
      </c>
      <c r="G205" s="18" t="str">
        <f>IF(C205="","","【"&amp;"活动时间："&amp;固定信息!$B$3&amp;"】")</f>
        <v/>
      </c>
      <c r="H205" s="18" t="str">
        <f>IF($C205="","",固定信息!$B$1)</f>
        <v/>
      </c>
      <c r="I205" s="18"/>
      <c r="J205" s="18" t="str">
        <f t="array" ref="J205">_xlfn.XLOOKUP(A205&amp;B205&amp;C205,价格信息!$A:$A&amp;价格信息!$B:$B&amp;价格信息!$C:$C,价格信息!$D:$D)</f>
        <v/>
      </c>
      <c r="K205" s="31" t="str">
        <f t="array" ref="K205">IF(_xlfn.XLOOKUP(A205&amp;B205&amp;C205,价格信息!$A:$A&amp;价格信息!$B:$B&amp;价格信息!$C:$C,价格信息!$I:$I)="","","【优惠券链接】"&amp;固定信息!$B$6)</f>
        <v/>
      </c>
      <c r="L205" s="31" t="str">
        <f>IF($C205="","",固定信息!$B$1)</f>
        <v/>
      </c>
      <c r="M205" s="18" t="str">
        <f t="array" ref="M205">IF(_xlfn.XLOOKUP(A205&amp;B205&amp;C205,盘货信息!$A:$A&amp;盘货信息!$B:$B&amp;盘货信息!$C:$C,盘货信息!$O:$O)="","","【优惠券】领"&amp;INDEX(_wpsfn.REGEXP(_xlfn.XLOOKUP(A205&amp;B205&amp;C205,盘货信息!$A:$A&amp;盘货信息!$B:$B&amp;盘货信息!$C:$C,盘货信息!$O:$O),"\d+"),1,1)&amp;"元优惠券下单更优惠，优惠卷："&amp;_xlfn.XLOOKUP(A205&amp;B205&amp;C205,盘货信息!$A:$A&amp;盘货信息!$B:$B&amp;盘货信息!$C:$C,盘货信息!$P:$P))</f>
        <v/>
      </c>
      <c r="N205" s="18" t="str">
        <f t="array" ref="N205">IF(AND(ISNUMBER(_xlfn.XLOOKUP(A205&amp;B205&amp;C205,盘货信息!$A:$A&amp;盘货信息!$B:$B&amp;盘货信息!$C:$C,盘货信息!$I:$I)),_xlfn.XLOOKUP(A205&amp;B205&amp;C205,盘货信息!$A:$A&amp;盘货信息!$B:$B&amp;盘货信息!$C:$C,盘货信息!$I:$I)&gt;1),"【88VIP】立减"&amp;_xlfn.XLOOKUP(A205&amp;B205&amp;C205,盘货信息!$A:$A&amp;盘货信息!$B:$B&amp;盘货信息!$C:$C,盘货信息!$I:$I)&amp;"元","")</f>
        <v/>
      </c>
      <c r="O205" s="18" t="str">
        <f t="array" ref="O205">IF(_xlfn.XLOOKUP(A205&amp;B205&amp;C205,盘货信息!$A:$A&amp;盘货信息!$B:$B&amp;盘货信息!$C:$C,盘货信息!$K:$K)="","",IF(AND(_xlfn.XLOOKUP(A205&amp;B205&amp;C205,盘货信息!$A:$A&amp;盘货信息!$B:$B&amp;盘货信息!$C:$C,盘货信息!$G:$G)="不参加",_xlfn.XLOOKUP(A205&amp;B205&amp;C205,盘货信息!$A:$A&amp;盘货信息!$B:$B&amp;盘货信息!$C:$C,盘货信息!$H:$H)=""),"【以旧换新】"&amp;_xlfn.XLOOKUP(A205&amp;B205&amp;C205,盘货信息!$A:$A&amp;盘货信息!$B:$B&amp;盘货信息!$C:$C,盘货信息!$K:$K)&amp;"元以旧换新补贴（可无旧机换新）",""))</f>
        <v/>
      </c>
      <c r="P205" s="18" t="str">
        <f t="array" ref="P205">_xlfn.XLOOKUP(A205&amp;B205&amp;C205,赠品!$A:$A&amp;赠品!$B:$B&amp;赠品!$C:$C,赠品!$D:$D)</f>
        <v/>
      </c>
      <c r="Q205" s="18" t="str">
        <f>IF($C205="","",IF(AND(M205="",N205="",P205=""),"",固定信息!$B$1))</f>
        <v/>
      </c>
      <c r="R205" s="18" t="str">
        <f t="array" ref="R205">IF(ISNUMBER(SEARCH("是",_xlfn.XLOOKUP(A205&amp;B205&amp;C205,盘货信息!$A:$A&amp;盘货信息!$B:$B&amp;盘货信息!$C:$C,盘货信息!$U:$U))),"【折扣】指定型号满2类享96折，满3类享94折","")</f>
        <v/>
      </c>
      <c r="S205" s="18" t="str">
        <f t="array" ref="S205">IF(_xlfn.XLOOKUP(A205&amp;B205&amp;C205,盘货信息!$A:$A&amp;盘货信息!$B:$B&amp;盘货信息!$C:$C,盘货信息!$Q:$Q)&lt;1,"","【红包】活动时间购机送"&amp;_xlfn.TEXTJOIN("",,IF(ISNUMBER(--MID(_xlfn.XLOOKUP(A205&amp;B205&amp;C205,盘货信息!$A:$A&amp;盘货信息!$B:$B&amp;盘货信息!$C:$C,盘货信息!$Q:$Q),_xlfn.SEQUENCE(LEN(_xlfn.XLOOKUP(A205&amp;B205&amp;C205,盘货信息!$A:$A&amp;盘货信息!$B:$B&amp;盘货信息!$C:$C,盘货信息!$Q:$Q))),1)),MID(_xlfn.XLOOKUP(A205&amp;B205&amp;C205,盘货信息!$A:$A&amp;盘货信息!$B:$B&amp;盘货信息!$C:$C,盘货信息!$Q:$Q),_xlfn.SEQUENCE(LEN(_xlfn.XLOOKUP(A205&amp;B205&amp;C205,盘货信息!$A:$A&amp;盘货信息!$B:$B&amp;盘货信息!$C:$C,盘货信息!$Q:$Q))),1),""))&amp;"元")</f>
        <v/>
      </c>
      <c r="T205" s="18" t="str">
        <f t="array" ref="T205">IF(ISNUMBER(SEARCH("是",_xlfn.XLOOKUP(A205&amp;B205&amp;C205,盘货信息!$A:$A&amp;盘货信息!$B:$B&amp;盘货信息!$C:$C,盘货信息!$T:$T))),"【瓜分】"&amp;固定信息!$B$7,"")</f>
        <v/>
      </c>
      <c r="U205" s="18" t="str">
        <f>IF($C205="","",IF(AND(R205="",S205="",T205=""),"",固定信息!$B$1))</f>
        <v/>
      </c>
      <c r="V205" s="18" t="str">
        <f t="array" ref="V205">IF(C205="","","【服务】"&amp;IF(_xlfn.XLOOKUP(A205&amp;B205&amp;C205,盘货信息!$A:$A&amp;盘货信息!$B:$B&amp;盘货信息!$C:$C,盘货信息!$V:$V)="","",_xlfn.XLOOKUP(A205&amp;B205&amp;C205,盘货信息!$A:$A&amp;盘货信息!$B:$B&amp;盘货信息!$C:$C,盘货信息!$V:$V)&amp;"免息,")&amp;IF(_xlfn.XLOOKUP(A205&amp;B205&amp;C205,盘货信息!$A:$A&amp;盘货信息!$B:$B&amp;盘货信息!$C:$C,盘货信息!$W:$W)="","",_xlfn.XLOOKUP(A205&amp;B205&amp;C205,盘货信息!$A:$A&amp;盘货信息!$B:$B&amp;盘货信息!$C:$C,盘货信息!$W:$W)&amp;"，")&amp;"送货入户，退换免运费")</f>
        <v/>
      </c>
    </row>
    <row r="206" customHeight="1" spans="1:22">
      <c r="A206" s="17" t="str">
        <f>IF(盘货信息!A206="","",盘货信息!A206)</f>
        <v/>
      </c>
      <c r="B206" s="20" t="str">
        <f>IF(盘货信息!B206="","",盘货信息!B206)</f>
        <v/>
      </c>
      <c r="C206" s="18" t="str">
        <f>IF(盘货信息!C206="","",盘货信息!C206)</f>
        <v/>
      </c>
      <c r="D206" s="18" t="str">
        <f ca="1" t="shared" si="3"/>
        <v/>
      </c>
      <c r="E206" s="18" t="str">
        <f>IF(C206="","",固定信息!$B$2)</f>
        <v/>
      </c>
      <c r="F206" s="18" t="str">
        <f t="array" ref="F206">IF(C206="","","【"&amp;C206&amp;"】"&amp;_xlfn.XLOOKUP(A206&amp;B206&amp;C206,盘货信息!$A:$A&amp;盘货信息!$B:$B&amp;盘货信息!$C:$C,盘货信息!$D:$D))</f>
        <v/>
      </c>
      <c r="G206" s="18" t="str">
        <f>IF(C206="","","【"&amp;"活动时间："&amp;固定信息!$B$3&amp;"】")</f>
        <v/>
      </c>
      <c r="H206" s="18" t="str">
        <f>IF($C206="","",固定信息!$B$1)</f>
        <v/>
      </c>
      <c r="I206" s="18"/>
      <c r="J206" s="18" t="str">
        <f t="array" ref="J206">_xlfn.XLOOKUP(A206&amp;B206&amp;C206,价格信息!$A:$A&amp;价格信息!$B:$B&amp;价格信息!$C:$C,价格信息!$D:$D)</f>
        <v/>
      </c>
      <c r="K206" s="31" t="str">
        <f t="array" ref="K206">IF(_xlfn.XLOOKUP(A206&amp;B206&amp;C206,价格信息!$A:$A&amp;价格信息!$B:$B&amp;价格信息!$C:$C,价格信息!$I:$I)="","","【优惠券链接】"&amp;固定信息!$B$6)</f>
        <v/>
      </c>
      <c r="L206" s="31" t="str">
        <f>IF($C206="","",固定信息!$B$1)</f>
        <v/>
      </c>
      <c r="M206" s="18" t="str">
        <f t="array" ref="M206">IF(_xlfn.XLOOKUP(A206&amp;B206&amp;C206,盘货信息!$A:$A&amp;盘货信息!$B:$B&amp;盘货信息!$C:$C,盘货信息!$O:$O)="","","【优惠券】领"&amp;INDEX(_wpsfn.REGEXP(_xlfn.XLOOKUP(A206&amp;B206&amp;C206,盘货信息!$A:$A&amp;盘货信息!$B:$B&amp;盘货信息!$C:$C,盘货信息!$O:$O),"\d+"),1,1)&amp;"元优惠券下单更优惠，优惠卷："&amp;_xlfn.XLOOKUP(A206&amp;B206&amp;C206,盘货信息!$A:$A&amp;盘货信息!$B:$B&amp;盘货信息!$C:$C,盘货信息!$P:$P))</f>
        <v/>
      </c>
      <c r="N206" s="18" t="str">
        <f t="array" ref="N206">IF(AND(ISNUMBER(_xlfn.XLOOKUP(A206&amp;B206&amp;C206,盘货信息!$A:$A&amp;盘货信息!$B:$B&amp;盘货信息!$C:$C,盘货信息!$I:$I)),_xlfn.XLOOKUP(A206&amp;B206&amp;C206,盘货信息!$A:$A&amp;盘货信息!$B:$B&amp;盘货信息!$C:$C,盘货信息!$I:$I)&gt;1),"【88VIP】立减"&amp;_xlfn.XLOOKUP(A206&amp;B206&amp;C206,盘货信息!$A:$A&amp;盘货信息!$B:$B&amp;盘货信息!$C:$C,盘货信息!$I:$I)&amp;"元","")</f>
        <v/>
      </c>
      <c r="O206" s="18" t="str">
        <f t="array" ref="O206">IF(_xlfn.XLOOKUP(A206&amp;B206&amp;C206,盘货信息!$A:$A&amp;盘货信息!$B:$B&amp;盘货信息!$C:$C,盘货信息!$K:$K)="","",IF(AND(_xlfn.XLOOKUP(A206&amp;B206&amp;C206,盘货信息!$A:$A&amp;盘货信息!$B:$B&amp;盘货信息!$C:$C,盘货信息!$G:$G)="不参加",_xlfn.XLOOKUP(A206&amp;B206&amp;C206,盘货信息!$A:$A&amp;盘货信息!$B:$B&amp;盘货信息!$C:$C,盘货信息!$H:$H)=""),"【以旧换新】"&amp;_xlfn.XLOOKUP(A206&amp;B206&amp;C206,盘货信息!$A:$A&amp;盘货信息!$B:$B&amp;盘货信息!$C:$C,盘货信息!$K:$K)&amp;"元以旧换新补贴（可无旧机换新）",""))</f>
        <v/>
      </c>
      <c r="P206" s="18" t="str">
        <f t="array" ref="P206">_xlfn.XLOOKUP(A206&amp;B206&amp;C206,赠品!$A:$A&amp;赠品!$B:$B&amp;赠品!$C:$C,赠品!$D:$D)</f>
        <v/>
      </c>
      <c r="Q206" s="18" t="str">
        <f>IF($C206="","",IF(AND(M206="",N206="",P206=""),"",固定信息!$B$1))</f>
        <v/>
      </c>
      <c r="R206" s="18" t="str">
        <f t="array" ref="R206">IF(ISNUMBER(SEARCH("是",_xlfn.XLOOKUP(A206&amp;B206&amp;C206,盘货信息!$A:$A&amp;盘货信息!$B:$B&amp;盘货信息!$C:$C,盘货信息!$U:$U))),"【折扣】指定型号满2类享96折，满3类享94折","")</f>
        <v/>
      </c>
      <c r="S206" s="18" t="str">
        <f t="array" ref="S206">IF(_xlfn.XLOOKUP(A206&amp;B206&amp;C206,盘货信息!$A:$A&amp;盘货信息!$B:$B&amp;盘货信息!$C:$C,盘货信息!$Q:$Q)&lt;1,"","【红包】活动时间购机送"&amp;_xlfn.TEXTJOIN("",,IF(ISNUMBER(--MID(_xlfn.XLOOKUP(A206&amp;B206&amp;C206,盘货信息!$A:$A&amp;盘货信息!$B:$B&amp;盘货信息!$C:$C,盘货信息!$Q:$Q),_xlfn.SEQUENCE(LEN(_xlfn.XLOOKUP(A206&amp;B206&amp;C206,盘货信息!$A:$A&amp;盘货信息!$B:$B&amp;盘货信息!$C:$C,盘货信息!$Q:$Q))),1)),MID(_xlfn.XLOOKUP(A206&amp;B206&amp;C206,盘货信息!$A:$A&amp;盘货信息!$B:$B&amp;盘货信息!$C:$C,盘货信息!$Q:$Q),_xlfn.SEQUENCE(LEN(_xlfn.XLOOKUP(A206&amp;B206&amp;C206,盘货信息!$A:$A&amp;盘货信息!$B:$B&amp;盘货信息!$C:$C,盘货信息!$Q:$Q))),1),""))&amp;"元")</f>
        <v/>
      </c>
      <c r="T206" s="18" t="str">
        <f t="array" ref="T206">IF(ISNUMBER(SEARCH("是",_xlfn.XLOOKUP(A206&amp;B206&amp;C206,盘货信息!$A:$A&amp;盘货信息!$B:$B&amp;盘货信息!$C:$C,盘货信息!$T:$T))),"【瓜分】"&amp;固定信息!$B$7,"")</f>
        <v/>
      </c>
      <c r="U206" s="18" t="str">
        <f>IF($C206="","",IF(AND(R206="",S206="",T206=""),"",固定信息!$B$1))</f>
        <v/>
      </c>
      <c r="V206" s="18" t="str">
        <f t="array" ref="V206">IF(C206="","","【服务】"&amp;IF(_xlfn.XLOOKUP(A206&amp;B206&amp;C206,盘货信息!$A:$A&amp;盘货信息!$B:$B&amp;盘货信息!$C:$C,盘货信息!$V:$V)="","",_xlfn.XLOOKUP(A206&amp;B206&amp;C206,盘货信息!$A:$A&amp;盘货信息!$B:$B&amp;盘货信息!$C:$C,盘货信息!$V:$V)&amp;"免息,")&amp;IF(_xlfn.XLOOKUP(A206&amp;B206&amp;C206,盘货信息!$A:$A&amp;盘货信息!$B:$B&amp;盘货信息!$C:$C,盘货信息!$W:$W)="","",_xlfn.XLOOKUP(A206&amp;B206&amp;C206,盘货信息!$A:$A&amp;盘货信息!$B:$B&amp;盘货信息!$C:$C,盘货信息!$W:$W)&amp;"，")&amp;"送货入户，退换免运费")</f>
        <v/>
      </c>
    </row>
    <row r="207" customHeight="1" spans="1:22">
      <c r="A207" s="17" t="str">
        <f>IF(盘货信息!A207="","",盘货信息!A207)</f>
        <v/>
      </c>
      <c r="B207" s="20" t="str">
        <f>IF(盘货信息!B207="","",盘货信息!B207)</f>
        <v/>
      </c>
      <c r="C207" s="18" t="str">
        <f>IF(盘货信息!C207="","",盘货信息!C207)</f>
        <v/>
      </c>
      <c r="D207" s="18" t="str">
        <f ca="1" t="shared" si="3"/>
        <v/>
      </c>
      <c r="E207" s="18" t="str">
        <f>IF(C207="","",固定信息!$B$2)</f>
        <v/>
      </c>
      <c r="F207" s="18" t="str">
        <f t="array" ref="F207">IF(C207="","","【"&amp;C207&amp;"】"&amp;_xlfn.XLOOKUP(A207&amp;B207&amp;C207,盘货信息!$A:$A&amp;盘货信息!$B:$B&amp;盘货信息!$C:$C,盘货信息!$D:$D))</f>
        <v/>
      </c>
      <c r="G207" s="18" t="str">
        <f>IF(C207="","","【"&amp;"活动时间："&amp;固定信息!$B$3&amp;"】")</f>
        <v/>
      </c>
      <c r="H207" s="18" t="str">
        <f>IF($C207="","",固定信息!$B$1)</f>
        <v/>
      </c>
      <c r="I207" s="18"/>
      <c r="J207" s="18" t="str">
        <f t="array" ref="J207">_xlfn.XLOOKUP(A207&amp;B207&amp;C207,价格信息!$A:$A&amp;价格信息!$B:$B&amp;价格信息!$C:$C,价格信息!$D:$D)</f>
        <v/>
      </c>
      <c r="K207" s="31" t="str">
        <f t="array" ref="K207">IF(_xlfn.XLOOKUP(A207&amp;B207&amp;C207,价格信息!$A:$A&amp;价格信息!$B:$B&amp;价格信息!$C:$C,价格信息!$I:$I)="","","【优惠券链接】"&amp;固定信息!$B$6)</f>
        <v/>
      </c>
      <c r="L207" s="31" t="str">
        <f>IF($C207="","",固定信息!$B$1)</f>
        <v/>
      </c>
      <c r="M207" s="18" t="str">
        <f t="array" ref="M207">IF(_xlfn.XLOOKUP(A207&amp;B207&amp;C207,盘货信息!$A:$A&amp;盘货信息!$B:$B&amp;盘货信息!$C:$C,盘货信息!$O:$O)="","","【优惠券】领"&amp;INDEX(_wpsfn.REGEXP(_xlfn.XLOOKUP(A207&amp;B207&amp;C207,盘货信息!$A:$A&amp;盘货信息!$B:$B&amp;盘货信息!$C:$C,盘货信息!$O:$O),"\d+"),1,1)&amp;"元优惠券下单更优惠，优惠卷："&amp;_xlfn.XLOOKUP(A207&amp;B207&amp;C207,盘货信息!$A:$A&amp;盘货信息!$B:$B&amp;盘货信息!$C:$C,盘货信息!$P:$P))</f>
        <v/>
      </c>
      <c r="N207" s="18" t="str">
        <f t="array" ref="N207">IF(AND(ISNUMBER(_xlfn.XLOOKUP(A207&amp;B207&amp;C207,盘货信息!$A:$A&amp;盘货信息!$B:$B&amp;盘货信息!$C:$C,盘货信息!$I:$I)),_xlfn.XLOOKUP(A207&amp;B207&amp;C207,盘货信息!$A:$A&amp;盘货信息!$B:$B&amp;盘货信息!$C:$C,盘货信息!$I:$I)&gt;1),"【88VIP】立减"&amp;_xlfn.XLOOKUP(A207&amp;B207&amp;C207,盘货信息!$A:$A&amp;盘货信息!$B:$B&amp;盘货信息!$C:$C,盘货信息!$I:$I)&amp;"元","")</f>
        <v/>
      </c>
      <c r="O207" s="18" t="str">
        <f t="array" ref="O207">IF(_xlfn.XLOOKUP(A207&amp;B207&amp;C207,盘货信息!$A:$A&amp;盘货信息!$B:$B&amp;盘货信息!$C:$C,盘货信息!$K:$K)="","",IF(AND(_xlfn.XLOOKUP(A207&amp;B207&amp;C207,盘货信息!$A:$A&amp;盘货信息!$B:$B&amp;盘货信息!$C:$C,盘货信息!$G:$G)="不参加",_xlfn.XLOOKUP(A207&amp;B207&amp;C207,盘货信息!$A:$A&amp;盘货信息!$B:$B&amp;盘货信息!$C:$C,盘货信息!$H:$H)=""),"【以旧换新】"&amp;_xlfn.XLOOKUP(A207&amp;B207&amp;C207,盘货信息!$A:$A&amp;盘货信息!$B:$B&amp;盘货信息!$C:$C,盘货信息!$K:$K)&amp;"元以旧换新补贴（可无旧机换新）",""))</f>
        <v/>
      </c>
      <c r="P207" s="18" t="str">
        <f t="array" ref="P207">_xlfn.XLOOKUP(A207&amp;B207&amp;C207,赠品!$A:$A&amp;赠品!$B:$B&amp;赠品!$C:$C,赠品!$D:$D)</f>
        <v/>
      </c>
      <c r="Q207" s="18" t="str">
        <f>IF($C207="","",IF(AND(M207="",N207="",P207=""),"",固定信息!$B$1))</f>
        <v/>
      </c>
      <c r="R207" s="18" t="str">
        <f t="array" ref="R207">IF(ISNUMBER(SEARCH("是",_xlfn.XLOOKUP(A207&amp;B207&amp;C207,盘货信息!$A:$A&amp;盘货信息!$B:$B&amp;盘货信息!$C:$C,盘货信息!$U:$U))),"【折扣】指定型号满2类享96折，满3类享94折","")</f>
        <v/>
      </c>
      <c r="S207" s="18" t="str">
        <f t="array" ref="S207">IF(_xlfn.XLOOKUP(A207&amp;B207&amp;C207,盘货信息!$A:$A&amp;盘货信息!$B:$B&amp;盘货信息!$C:$C,盘货信息!$Q:$Q)&lt;1,"","【红包】活动时间购机送"&amp;_xlfn.TEXTJOIN("",,IF(ISNUMBER(--MID(_xlfn.XLOOKUP(A207&amp;B207&amp;C207,盘货信息!$A:$A&amp;盘货信息!$B:$B&amp;盘货信息!$C:$C,盘货信息!$Q:$Q),_xlfn.SEQUENCE(LEN(_xlfn.XLOOKUP(A207&amp;B207&amp;C207,盘货信息!$A:$A&amp;盘货信息!$B:$B&amp;盘货信息!$C:$C,盘货信息!$Q:$Q))),1)),MID(_xlfn.XLOOKUP(A207&amp;B207&amp;C207,盘货信息!$A:$A&amp;盘货信息!$B:$B&amp;盘货信息!$C:$C,盘货信息!$Q:$Q),_xlfn.SEQUENCE(LEN(_xlfn.XLOOKUP(A207&amp;B207&amp;C207,盘货信息!$A:$A&amp;盘货信息!$B:$B&amp;盘货信息!$C:$C,盘货信息!$Q:$Q))),1),""))&amp;"元")</f>
        <v/>
      </c>
      <c r="T207" s="18" t="str">
        <f t="array" ref="T207">IF(ISNUMBER(SEARCH("是",_xlfn.XLOOKUP(A207&amp;B207&amp;C207,盘货信息!$A:$A&amp;盘货信息!$B:$B&amp;盘货信息!$C:$C,盘货信息!$T:$T))),"【瓜分】"&amp;固定信息!$B$7,"")</f>
        <v/>
      </c>
      <c r="U207" s="18" t="str">
        <f>IF($C207="","",IF(AND(R207="",S207="",T207=""),"",固定信息!$B$1))</f>
        <v/>
      </c>
      <c r="V207" s="18" t="str">
        <f t="array" ref="V207">IF(C207="","","【服务】"&amp;IF(_xlfn.XLOOKUP(A207&amp;B207&amp;C207,盘货信息!$A:$A&amp;盘货信息!$B:$B&amp;盘货信息!$C:$C,盘货信息!$V:$V)="","",_xlfn.XLOOKUP(A207&amp;B207&amp;C207,盘货信息!$A:$A&amp;盘货信息!$B:$B&amp;盘货信息!$C:$C,盘货信息!$V:$V)&amp;"免息,")&amp;IF(_xlfn.XLOOKUP(A207&amp;B207&amp;C207,盘货信息!$A:$A&amp;盘货信息!$B:$B&amp;盘货信息!$C:$C,盘货信息!$W:$W)="","",_xlfn.XLOOKUP(A207&amp;B207&amp;C207,盘货信息!$A:$A&amp;盘货信息!$B:$B&amp;盘货信息!$C:$C,盘货信息!$W:$W)&amp;"，")&amp;"送货入户，退换免运费")</f>
        <v/>
      </c>
    </row>
    <row r="208" customHeight="1" spans="1:22">
      <c r="A208" s="17" t="str">
        <f>IF(盘货信息!A208="","",盘货信息!A208)</f>
        <v/>
      </c>
      <c r="B208" s="20" t="str">
        <f>IF(盘货信息!B208="","",盘货信息!B208)</f>
        <v/>
      </c>
      <c r="C208" s="18" t="str">
        <f>IF(盘货信息!C208="","",盘货信息!C208)</f>
        <v/>
      </c>
      <c r="D208" s="18" t="str">
        <f ca="1" t="shared" si="3"/>
        <v/>
      </c>
      <c r="E208" s="18" t="str">
        <f>IF(C208="","",固定信息!$B$2)</f>
        <v/>
      </c>
      <c r="F208" s="18" t="str">
        <f t="array" ref="F208">IF(C208="","","【"&amp;C208&amp;"】"&amp;_xlfn.XLOOKUP(A208&amp;B208&amp;C208,盘货信息!$A:$A&amp;盘货信息!$B:$B&amp;盘货信息!$C:$C,盘货信息!$D:$D))</f>
        <v/>
      </c>
      <c r="G208" s="18" t="str">
        <f>IF(C208="","","【"&amp;"活动时间："&amp;固定信息!$B$3&amp;"】")</f>
        <v/>
      </c>
      <c r="H208" s="18" t="str">
        <f>IF($C208="","",固定信息!$B$1)</f>
        <v/>
      </c>
      <c r="I208" s="18"/>
      <c r="J208" s="18" t="str">
        <f t="array" ref="J208">_xlfn.XLOOKUP(A208&amp;B208&amp;C208,价格信息!$A:$A&amp;价格信息!$B:$B&amp;价格信息!$C:$C,价格信息!$D:$D)</f>
        <v/>
      </c>
      <c r="K208" s="31" t="str">
        <f t="array" ref="K208">IF(_xlfn.XLOOKUP(A208&amp;B208&amp;C208,价格信息!$A:$A&amp;价格信息!$B:$B&amp;价格信息!$C:$C,价格信息!$I:$I)="","","【优惠券链接】"&amp;固定信息!$B$6)</f>
        <v/>
      </c>
      <c r="L208" s="31" t="str">
        <f>IF($C208="","",固定信息!$B$1)</f>
        <v/>
      </c>
      <c r="M208" s="18" t="str">
        <f t="array" ref="M208">IF(_xlfn.XLOOKUP(A208&amp;B208&amp;C208,盘货信息!$A:$A&amp;盘货信息!$B:$B&amp;盘货信息!$C:$C,盘货信息!$O:$O)="","","【优惠券】领"&amp;INDEX(_wpsfn.REGEXP(_xlfn.XLOOKUP(A208&amp;B208&amp;C208,盘货信息!$A:$A&amp;盘货信息!$B:$B&amp;盘货信息!$C:$C,盘货信息!$O:$O),"\d+"),1,1)&amp;"元优惠券下单更优惠，优惠卷："&amp;_xlfn.XLOOKUP(A208&amp;B208&amp;C208,盘货信息!$A:$A&amp;盘货信息!$B:$B&amp;盘货信息!$C:$C,盘货信息!$P:$P))</f>
        <v/>
      </c>
      <c r="N208" s="18" t="str">
        <f t="array" ref="N208">IF(AND(ISNUMBER(_xlfn.XLOOKUP(A208&amp;B208&amp;C208,盘货信息!$A:$A&amp;盘货信息!$B:$B&amp;盘货信息!$C:$C,盘货信息!$I:$I)),_xlfn.XLOOKUP(A208&amp;B208&amp;C208,盘货信息!$A:$A&amp;盘货信息!$B:$B&amp;盘货信息!$C:$C,盘货信息!$I:$I)&gt;1),"【88VIP】立减"&amp;_xlfn.XLOOKUP(A208&amp;B208&amp;C208,盘货信息!$A:$A&amp;盘货信息!$B:$B&amp;盘货信息!$C:$C,盘货信息!$I:$I)&amp;"元","")</f>
        <v/>
      </c>
      <c r="O208" s="18" t="str">
        <f t="array" ref="O208">IF(_xlfn.XLOOKUP(A208&amp;B208&amp;C208,盘货信息!$A:$A&amp;盘货信息!$B:$B&amp;盘货信息!$C:$C,盘货信息!$K:$K)="","",IF(AND(_xlfn.XLOOKUP(A208&amp;B208&amp;C208,盘货信息!$A:$A&amp;盘货信息!$B:$B&amp;盘货信息!$C:$C,盘货信息!$G:$G)="不参加",_xlfn.XLOOKUP(A208&amp;B208&amp;C208,盘货信息!$A:$A&amp;盘货信息!$B:$B&amp;盘货信息!$C:$C,盘货信息!$H:$H)=""),"【以旧换新】"&amp;_xlfn.XLOOKUP(A208&amp;B208&amp;C208,盘货信息!$A:$A&amp;盘货信息!$B:$B&amp;盘货信息!$C:$C,盘货信息!$K:$K)&amp;"元以旧换新补贴（可无旧机换新）",""))</f>
        <v/>
      </c>
      <c r="P208" s="18" t="str">
        <f t="array" ref="P208">_xlfn.XLOOKUP(A208&amp;B208&amp;C208,赠品!$A:$A&amp;赠品!$B:$B&amp;赠品!$C:$C,赠品!$D:$D)</f>
        <v/>
      </c>
      <c r="Q208" s="18" t="str">
        <f>IF($C208="","",IF(AND(M208="",N208="",P208=""),"",固定信息!$B$1))</f>
        <v/>
      </c>
      <c r="R208" s="18" t="str">
        <f t="array" ref="R208">IF(ISNUMBER(SEARCH("是",_xlfn.XLOOKUP(A208&amp;B208&amp;C208,盘货信息!$A:$A&amp;盘货信息!$B:$B&amp;盘货信息!$C:$C,盘货信息!$U:$U))),"【折扣】指定型号满2类享96折，满3类享94折","")</f>
        <v/>
      </c>
      <c r="S208" s="18" t="str">
        <f t="array" ref="S208">IF(_xlfn.XLOOKUP(A208&amp;B208&amp;C208,盘货信息!$A:$A&amp;盘货信息!$B:$B&amp;盘货信息!$C:$C,盘货信息!$Q:$Q)&lt;1,"","【红包】活动时间购机送"&amp;_xlfn.TEXTJOIN("",,IF(ISNUMBER(--MID(_xlfn.XLOOKUP(A208&amp;B208&amp;C208,盘货信息!$A:$A&amp;盘货信息!$B:$B&amp;盘货信息!$C:$C,盘货信息!$Q:$Q),_xlfn.SEQUENCE(LEN(_xlfn.XLOOKUP(A208&amp;B208&amp;C208,盘货信息!$A:$A&amp;盘货信息!$B:$B&amp;盘货信息!$C:$C,盘货信息!$Q:$Q))),1)),MID(_xlfn.XLOOKUP(A208&amp;B208&amp;C208,盘货信息!$A:$A&amp;盘货信息!$B:$B&amp;盘货信息!$C:$C,盘货信息!$Q:$Q),_xlfn.SEQUENCE(LEN(_xlfn.XLOOKUP(A208&amp;B208&amp;C208,盘货信息!$A:$A&amp;盘货信息!$B:$B&amp;盘货信息!$C:$C,盘货信息!$Q:$Q))),1),""))&amp;"元")</f>
        <v/>
      </c>
      <c r="T208" s="18" t="str">
        <f t="array" ref="T208">IF(ISNUMBER(SEARCH("是",_xlfn.XLOOKUP(A208&amp;B208&amp;C208,盘货信息!$A:$A&amp;盘货信息!$B:$B&amp;盘货信息!$C:$C,盘货信息!$T:$T))),"【瓜分】"&amp;固定信息!$B$7,"")</f>
        <v/>
      </c>
      <c r="U208" s="18" t="str">
        <f>IF($C208="","",IF(AND(R208="",S208="",T208=""),"",固定信息!$B$1))</f>
        <v/>
      </c>
      <c r="V208" s="18" t="str">
        <f t="array" ref="V208">IF(C208="","","【服务】"&amp;IF(_xlfn.XLOOKUP(A208&amp;B208&amp;C208,盘货信息!$A:$A&amp;盘货信息!$B:$B&amp;盘货信息!$C:$C,盘货信息!$V:$V)="","",_xlfn.XLOOKUP(A208&amp;B208&amp;C208,盘货信息!$A:$A&amp;盘货信息!$B:$B&amp;盘货信息!$C:$C,盘货信息!$V:$V)&amp;"免息,")&amp;IF(_xlfn.XLOOKUP(A208&amp;B208&amp;C208,盘货信息!$A:$A&amp;盘货信息!$B:$B&amp;盘货信息!$C:$C,盘货信息!$W:$W)="","",_xlfn.XLOOKUP(A208&amp;B208&amp;C208,盘货信息!$A:$A&amp;盘货信息!$B:$B&amp;盘货信息!$C:$C,盘货信息!$W:$W)&amp;"，")&amp;"送货入户，退换免运费")</f>
        <v/>
      </c>
    </row>
    <row r="209" customHeight="1" spans="1:22">
      <c r="A209" s="17" t="str">
        <f>IF(盘货信息!A209="","",盘货信息!A209)</f>
        <v/>
      </c>
      <c r="B209" s="20" t="str">
        <f>IF(盘货信息!B209="","",盘货信息!B209)</f>
        <v/>
      </c>
      <c r="C209" s="18" t="str">
        <f>IF(盘货信息!C209="","",盘货信息!C209)</f>
        <v/>
      </c>
      <c r="D209" s="18" t="str">
        <f ca="1" t="shared" si="3"/>
        <v/>
      </c>
      <c r="E209" s="18" t="str">
        <f>IF(C209="","",固定信息!$B$2)</f>
        <v/>
      </c>
      <c r="F209" s="18" t="str">
        <f t="array" ref="F209">IF(C209="","","【"&amp;C209&amp;"】"&amp;_xlfn.XLOOKUP(A209&amp;B209&amp;C209,盘货信息!$A:$A&amp;盘货信息!$B:$B&amp;盘货信息!$C:$C,盘货信息!$D:$D))</f>
        <v/>
      </c>
      <c r="G209" s="18" t="str">
        <f>IF(C209="","","【"&amp;"活动时间："&amp;固定信息!$B$3&amp;"】")</f>
        <v/>
      </c>
      <c r="H209" s="18" t="str">
        <f>IF($C209="","",固定信息!$B$1)</f>
        <v/>
      </c>
      <c r="I209" s="18"/>
      <c r="J209" s="18" t="str">
        <f t="array" ref="J209">_xlfn.XLOOKUP(A209&amp;B209&amp;C209,价格信息!$A:$A&amp;价格信息!$B:$B&amp;价格信息!$C:$C,价格信息!$D:$D)</f>
        <v/>
      </c>
      <c r="K209" s="31" t="str">
        <f t="array" ref="K209">IF(_xlfn.XLOOKUP(A209&amp;B209&amp;C209,价格信息!$A:$A&amp;价格信息!$B:$B&amp;价格信息!$C:$C,价格信息!$I:$I)="","","【优惠券链接】"&amp;固定信息!$B$6)</f>
        <v/>
      </c>
      <c r="L209" s="31" t="str">
        <f>IF($C209="","",固定信息!$B$1)</f>
        <v/>
      </c>
      <c r="M209" s="18" t="str">
        <f t="array" ref="M209">IF(_xlfn.XLOOKUP(A209&amp;B209&amp;C209,盘货信息!$A:$A&amp;盘货信息!$B:$B&amp;盘货信息!$C:$C,盘货信息!$O:$O)="","","【优惠券】领"&amp;INDEX(_wpsfn.REGEXP(_xlfn.XLOOKUP(A209&amp;B209&amp;C209,盘货信息!$A:$A&amp;盘货信息!$B:$B&amp;盘货信息!$C:$C,盘货信息!$O:$O),"\d+"),1,1)&amp;"元优惠券下单更优惠，优惠卷："&amp;_xlfn.XLOOKUP(A209&amp;B209&amp;C209,盘货信息!$A:$A&amp;盘货信息!$B:$B&amp;盘货信息!$C:$C,盘货信息!$P:$P))</f>
        <v/>
      </c>
      <c r="N209" s="18" t="str">
        <f t="array" ref="N209">IF(AND(ISNUMBER(_xlfn.XLOOKUP(A209&amp;B209&amp;C209,盘货信息!$A:$A&amp;盘货信息!$B:$B&amp;盘货信息!$C:$C,盘货信息!$I:$I)),_xlfn.XLOOKUP(A209&amp;B209&amp;C209,盘货信息!$A:$A&amp;盘货信息!$B:$B&amp;盘货信息!$C:$C,盘货信息!$I:$I)&gt;1),"【88VIP】立减"&amp;_xlfn.XLOOKUP(A209&amp;B209&amp;C209,盘货信息!$A:$A&amp;盘货信息!$B:$B&amp;盘货信息!$C:$C,盘货信息!$I:$I)&amp;"元","")</f>
        <v/>
      </c>
      <c r="O209" s="18" t="str">
        <f t="array" ref="O209">IF(_xlfn.XLOOKUP(A209&amp;B209&amp;C209,盘货信息!$A:$A&amp;盘货信息!$B:$B&amp;盘货信息!$C:$C,盘货信息!$K:$K)="","",IF(AND(_xlfn.XLOOKUP(A209&amp;B209&amp;C209,盘货信息!$A:$A&amp;盘货信息!$B:$B&amp;盘货信息!$C:$C,盘货信息!$G:$G)="不参加",_xlfn.XLOOKUP(A209&amp;B209&amp;C209,盘货信息!$A:$A&amp;盘货信息!$B:$B&amp;盘货信息!$C:$C,盘货信息!$H:$H)=""),"【以旧换新】"&amp;_xlfn.XLOOKUP(A209&amp;B209&amp;C209,盘货信息!$A:$A&amp;盘货信息!$B:$B&amp;盘货信息!$C:$C,盘货信息!$K:$K)&amp;"元以旧换新补贴（可无旧机换新）",""))</f>
        <v/>
      </c>
      <c r="P209" s="18" t="str">
        <f t="array" ref="P209">_xlfn.XLOOKUP(A209&amp;B209&amp;C209,赠品!$A:$A&amp;赠品!$B:$B&amp;赠品!$C:$C,赠品!$D:$D)</f>
        <v/>
      </c>
      <c r="Q209" s="18" t="str">
        <f>IF($C209="","",IF(AND(M209="",N209="",P209=""),"",固定信息!$B$1))</f>
        <v/>
      </c>
      <c r="R209" s="18" t="str">
        <f t="array" ref="R209">IF(ISNUMBER(SEARCH("是",_xlfn.XLOOKUP(A209&amp;B209&amp;C209,盘货信息!$A:$A&amp;盘货信息!$B:$B&amp;盘货信息!$C:$C,盘货信息!$U:$U))),"【折扣】指定型号满2类享96折，满3类享94折","")</f>
        <v/>
      </c>
      <c r="S209" s="18" t="str">
        <f t="array" ref="S209">IF(_xlfn.XLOOKUP(A209&amp;B209&amp;C209,盘货信息!$A:$A&amp;盘货信息!$B:$B&amp;盘货信息!$C:$C,盘货信息!$Q:$Q)&lt;1,"","【红包】活动时间购机送"&amp;_xlfn.TEXTJOIN("",,IF(ISNUMBER(--MID(_xlfn.XLOOKUP(A209&amp;B209&amp;C209,盘货信息!$A:$A&amp;盘货信息!$B:$B&amp;盘货信息!$C:$C,盘货信息!$Q:$Q),_xlfn.SEQUENCE(LEN(_xlfn.XLOOKUP(A209&amp;B209&amp;C209,盘货信息!$A:$A&amp;盘货信息!$B:$B&amp;盘货信息!$C:$C,盘货信息!$Q:$Q))),1)),MID(_xlfn.XLOOKUP(A209&amp;B209&amp;C209,盘货信息!$A:$A&amp;盘货信息!$B:$B&amp;盘货信息!$C:$C,盘货信息!$Q:$Q),_xlfn.SEQUENCE(LEN(_xlfn.XLOOKUP(A209&amp;B209&amp;C209,盘货信息!$A:$A&amp;盘货信息!$B:$B&amp;盘货信息!$C:$C,盘货信息!$Q:$Q))),1),""))&amp;"元")</f>
        <v/>
      </c>
      <c r="T209" s="18" t="str">
        <f t="array" ref="T209">IF(ISNUMBER(SEARCH("是",_xlfn.XLOOKUP(A209&amp;B209&amp;C209,盘货信息!$A:$A&amp;盘货信息!$B:$B&amp;盘货信息!$C:$C,盘货信息!$T:$T))),"【瓜分】"&amp;固定信息!$B$7,"")</f>
        <v/>
      </c>
      <c r="U209" s="18" t="str">
        <f>IF($C209="","",IF(AND(R209="",S209="",T209=""),"",固定信息!$B$1))</f>
        <v/>
      </c>
      <c r="V209" s="18" t="str">
        <f t="array" ref="V209">IF(C209="","","【服务】"&amp;IF(_xlfn.XLOOKUP(A209&amp;B209&amp;C209,盘货信息!$A:$A&amp;盘货信息!$B:$B&amp;盘货信息!$C:$C,盘货信息!$V:$V)="","",_xlfn.XLOOKUP(A209&amp;B209&amp;C209,盘货信息!$A:$A&amp;盘货信息!$B:$B&amp;盘货信息!$C:$C,盘货信息!$V:$V)&amp;"免息,")&amp;IF(_xlfn.XLOOKUP(A209&amp;B209&amp;C209,盘货信息!$A:$A&amp;盘货信息!$B:$B&amp;盘货信息!$C:$C,盘货信息!$W:$W)="","",_xlfn.XLOOKUP(A209&amp;B209&amp;C209,盘货信息!$A:$A&amp;盘货信息!$B:$B&amp;盘货信息!$C:$C,盘货信息!$W:$W)&amp;"，")&amp;"送货入户，退换免运费")</f>
        <v/>
      </c>
    </row>
    <row r="210" customHeight="1" spans="1:22">
      <c r="A210" s="17" t="str">
        <f>IF(盘货信息!A210="","",盘货信息!A210)</f>
        <v/>
      </c>
      <c r="B210" s="20" t="str">
        <f>IF(盘货信息!B210="","",盘货信息!B210)</f>
        <v/>
      </c>
      <c r="C210" s="18" t="str">
        <f>IF(盘货信息!C210="","",盘货信息!C210)</f>
        <v/>
      </c>
      <c r="D210" s="18" t="str">
        <f ca="1" t="shared" si="3"/>
        <v/>
      </c>
      <c r="E210" s="18" t="str">
        <f>IF(C210="","",固定信息!$B$2)</f>
        <v/>
      </c>
      <c r="F210" s="18" t="str">
        <f t="array" ref="F210">IF(C210="","","【"&amp;C210&amp;"】"&amp;_xlfn.XLOOKUP(A210&amp;B210&amp;C210,盘货信息!$A:$A&amp;盘货信息!$B:$B&amp;盘货信息!$C:$C,盘货信息!$D:$D))</f>
        <v/>
      </c>
      <c r="G210" s="18" t="str">
        <f>IF(C210="","","【"&amp;"活动时间："&amp;固定信息!$B$3&amp;"】")</f>
        <v/>
      </c>
      <c r="H210" s="18" t="str">
        <f>IF($C210="","",固定信息!$B$1)</f>
        <v/>
      </c>
      <c r="I210" s="18"/>
      <c r="J210" s="18" t="str">
        <f t="array" ref="J210">_xlfn.XLOOKUP(A210&amp;B210&amp;C210,价格信息!$A:$A&amp;价格信息!$B:$B&amp;价格信息!$C:$C,价格信息!$D:$D)</f>
        <v/>
      </c>
      <c r="K210" s="31" t="str">
        <f t="array" ref="K210">IF(_xlfn.XLOOKUP(A210&amp;B210&amp;C210,价格信息!$A:$A&amp;价格信息!$B:$B&amp;价格信息!$C:$C,价格信息!$I:$I)="","","【优惠券链接】"&amp;固定信息!$B$6)</f>
        <v/>
      </c>
      <c r="L210" s="31" t="str">
        <f>IF($C210="","",固定信息!$B$1)</f>
        <v/>
      </c>
      <c r="M210" s="18" t="str">
        <f t="array" ref="M210">IF(_xlfn.XLOOKUP(A210&amp;B210&amp;C210,盘货信息!$A:$A&amp;盘货信息!$B:$B&amp;盘货信息!$C:$C,盘货信息!$O:$O)="","","【优惠券】领"&amp;INDEX(_wpsfn.REGEXP(_xlfn.XLOOKUP(A210&amp;B210&amp;C210,盘货信息!$A:$A&amp;盘货信息!$B:$B&amp;盘货信息!$C:$C,盘货信息!$O:$O),"\d+"),1,1)&amp;"元优惠券下单更优惠，优惠卷："&amp;_xlfn.XLOOKUP(A210&amp;B210&amp;C210,盘货信息!$A:$A&amp;盘货信息!$B:$B&amp;盘货信息!$C:$C,盘货信息!$P:$P))</f>
        <v/>
      </c>
      <c r="N210" s="18" t="str">
        <f t="array" ref="N210">IF(AND(ISNUMBER(_xlfn.XLOOKUP(A210&amp;B210&amp;C210,盘货信息!$A:$A&amp;盘货信息!$B:$B&amp;盘货信息!$C:$C,盘货信息!$I:$I)),_xlfn.XLOOKUP(A210&amp;B210&amp;C210,盘货信息!$A:$A&amp;盘货信息!$B:$B&amp;盘货信息!$C:$C,盘货信息!$I:$I)&gt;1),"【88VIP】立减"&amp;_xlfn.XLOOKUP(A210&amp;B210&amp;C210,盘货信息!$A:$A&amp;盘货信息!$B:$B&amp;盘货信息!$C:$C,盘货信息!$I:$I)&amp;"元","")</f>
        <v/>
      </c>
      <c r="O210" s="18" t="str">
        <f t="array" ref="O210">IF(_xlfn.XLOOKUP(A210&amp;B210&amp;C210,盘货信息!$A:$A&amp;盘货信息!$B:$B&amp;盘货信息!$C:$C,盘货信息!$K:$K)="","",IF(AND(_xlfn.XLOOKUP(A210&amp;B210&amp;C210,盘货信息!$A:$A&amp;盘货信息!$B:$B&amp;盘货信息!$C:$C,盘货信息!$G:$G)="不参加",_xlfn.XLOOKUP(A210&amp;B210&amp;C210,盘货信息!$A:$A&amp;盘货信息!$B:$B&amp;盘货信息!$C:$C,盘货信息!$H:$H)=""),"【以旧换新】"&amp;_xlfn.XLOOKUP(A210&amp;B210&amp;C210,盘货信息!$A:$A&amp;盘货信息!$B:$B&amp;盘货信息!$C:$C,盘货信息!$K:$K)&amp;"元以旧换新补贴（可无旧机换新）",""))</f>
        <v/>
      </c>
      <c r="P210" s="18" t="str">
        <f t="array" ref="P210">_xlfn.XLOOKUP(A210&amp;B210&amp;C210,赠品!$A:$A&amp;赠品!$B:$B&amp;赠品!$C:$C,赠品!$D:$D)</f>
        <v/>
      </c>
      <c r="Q210" s="18" t="str">
        <f>IF($C210="","",IF(AND(M210="",N210="",P210=""),"",固定信息!$B$1))</f>
        <v/>
      </c>
      <c r="R210" s="18" t="str">
        <f t="array" ref="R210">IF(ISNUMBER(SEARCH("是",_xlfn.XLOOKUP(A210&amp;B210&amp;C210,盘货信息!$A:$A&amp;盘货信息!$B:$B&amp;盘货信息!$C:$C,盘货信息!$U:$U))),"【折扣】指定型号满2类享96折，满3类享94折","")</f>
        <v/>
      </c>
      <c r="S210" s="18" t="str">
        <f t="array" ref="S210">IF(_xlfn.XLOOKUP(A210&amp;B210&amp;C210,盘货信息!$A:$A&amp;盘货信息!$B:$B&amp;盘货信息!$C:$C,盘货信息!$Q:$Q)&lt;1,"","【红包】活动时间购机送"&amp;_xlfn.TEXTJOIN("",,IF(ISNUMBER(--MID(_xlfn.XLOOKUP(A210&amp;B210&amp;C210,盘货信息!$A:$A&amp;盘货信息!$B:$B&amp;盘货信息!$C:$C,盘货信息!$Q:$Q),_xlfn.SEQUENCE(LEN(_xlfn.XLOOKUP(A210&amp;B210&amp;C210,盘货信息!$A:$A&amp;盘货信息!$B:$B&amp;盘货信息!$C:$C,盘货信息!$Q:$Q))),1)),MID(_xlfn.XLOOKUP(A210&amp;B210&amp;C210,盘货信息!$A:$A&amp;盘货信息!$B:$B&amp;盘货信息!$C:$C,盘货信息!$Q:$Q),_xlfn.SEQUENCE(LEN(_xlfn.XLOOKUP(A210&amp;B210&amp;C210,盘货信息!$A:$A&amp;盘货信息!$B:$B&amp;盘货信息!$C:$C,盘货信息!$Q:$Q))),1),""))&amp;"元")</f>
        <v/>
      </c>
      <c r="T210" s="18" t="str">
        <f t="array" ref="T210">IF(ISNUMBER(SEARCH("是",_xlfn.XLOOKUP(A210&amp;B210&amp;C210,盘货信息!$A:$A&amp;盘货信息!$B:$B&amp;盘货信息!$C:$C,盘货信息!$T:$T))),"【瓜分】"&amp;固定信息!$B$7,"")</f>
        <v/>
      </c>
      <c r="U210" s="18" t="str">
        <f>IF($C210="","",IF(AND(R210="",S210="",T210=""),"",固定信息!$B$1))</f>
        <v/>
      </c>
      <c r="V210" s="18" t="str">
        <f t="array" ref="V210">IF(C210="","","【服务】"&amp;IF(_xlfn.XLOOKUP(A210&amp;B210&amp;C210,盘货信息!$A:$A&amp;盘货信息!$B:$B&amp;盘货信息!$C:$C,盘货信息!$V:$V)="","",_xlfn.XLOOKUP(A210&amp;B210&amp;C210,盘货信息!$A:$A&amp;盘货信息!$B:$B&amp;盘货信息!$C:$C,盘货信息!$V:$V)&amp;"免息,")&amp;IF(_xlfn.XLOOKUP(A210&amp;B210&amp;C210,盘货信息!$A:$A&amp;盘货信息!$B:$B&amp;盘货信息!$C:$C,盘货信息!$W:$W)="","",_xlfn.XLOOKUP(A210&amp;B210&amp;C210,盘货信息!$A:$A&amp;盘货信息!$B:$B&amp;盘货信息!$C:$C,盘货信息!$W:$W)&amp;"，")&amp;"送货入户，退换免运费")</f>
        <v/>
      </c>
    </row>
    <row r="211" customHeight="1" spans="1:22">
      <c r="A211" s="17" t="str">
        <f>IF(盘货信息!A211="","",盘货信息!A211)</f>
        <v/>
      </c>
      <c r="B211" s="20" t="str">
        <f>IF(盘货信息!B211="","",盘货信息!B211)</f>
        <v/>
      </c>
      <c r="C211" s="18" t="str">
        <f>IF(盘货信息!C211="","",盘货信息!C211)</f>
        <v/>
      </c>
      <c r="D211" s="18" t="str">
        <f ca="1" t="shared" si="3"/>
        <v/>
      </c>
      <c r="E211" s="18" t="str">
        <f>IF(C211="","",固定信息!$B$2)</f>
        <v/>
      </c>
      <c r="F211" s="18" t="str">
        <f t="array" ref="F211">IF(C211="","","【"&amp;C211&amp;"】"&amp;_xlfn.XLOOKUP(A211&amp;B211&amp;C211,盘货信息!$A:$A&amp;盘货信息!$B:$B&amp;盘货信息!$C:$C,盘货信息!$D:$D))</f>
        <v/>
      </c>
      <c r="G211" s="18" t="str">
        <f>IF(C211="","","【"&amp;"活动时间："&amp;固定信息!$B$3&amp;"】")</f>
        <v/>
      </c>
      <c r="H211" s="18" t="str">
        <f>IF($C211="","",固定信息!$B$1)</f>
        <v/>
      </c>
      <c r="I211" s="18"/>
      <c r="J211" s="18" t="str">
        <f t="array" ref="J211">_xlfn.XLOOKUP(A211&amp;B211&amp;C211,价格信息!$A:$A&amp;价格信息!$B:$B&amp;价格信息!$C:$C,价格信息!$D:$D)</f>
        <v/>
      </c>
      <c r="K211" s="31" t="str">
        <f t="array" ref="K211">IF(_xlfn.XLOOKUP(A211&amp;B211&amp;C211,价格信息!$A:$A&amp;价格信息!$B:$B&amp;价格信息!$C:$C,价格信息!$I:$I)="","","【优惠券链接】"&amp;固定信息!$B$6)</f>
        <v/>
      </c>
      <c r="L211" s="31" t="str">
        <f>IF($C211="","",固定信息!$B$1)</f>
        <v/>
      </c>
      <c r="M211" s="18" t="str">
        <f t="array" ref="M211">IF(_xlfn.XLOOKUP(A211&amp;B211&amp;C211,盘货信息!$A:$A&amp;盘货信息!$B:$B&amp;盘货信息!$C:$C,盘货信息!$O:$O)="","","【优惠券】领"&amp;INDEX(_wpsfn.REGEXP(_xlfn.XLOOKUP(A211&amp;B211&amp;C211,盘货信息!$A:$A&amp;盘货信息!$B:$B&amp;盘货信息!$C:$C,盘货信息!$O:$O),"\d+"),1,1)&amp;"元优惠券下单更优惠，优惠卷："&amp;_xlfn.XLOOKUP(A211&amp;B211&amp;C211,盘货信息!$A:$A&amp;盘货信息!$B:$B&amp;盘货信息!$C:$C,盘货信息!$P:$P))</f>
        <v/>
      </c>
      <c r="N211" s="18" t="str">
        <f t="array" ref="N211">IF(AND(ISNUMBER(_xlfn.XLOOKUP(A211&amp;B211&amp;C211,盘货信息!$A:$A&amp;盘货信息!$B:$B&amp;盘货信息!$C:$C,盘货信息!$I:$I)),_xlfn.XLOOKUP(A211&amp;B211&amp;C211,盘货信息!$A:$A&amp;盘货信息!$B:$B&amp;盘货信息!$C:$C,盘货信息!$I:$I)&gt;1),"【88VIP】立减"&amp;_xlfn.XLOOKUP(A211&amp;B211&amp;C211,盘货信息!$A:$A&amp;盘货信息!$B:$B&amp;盘货信息!$C:$C,盘货信息!$I:$I)&amp;"元","")</f>
        <v/>
      </c>
      <c r="O211" s="18" t="str">
        <f t="array" ref="O211">IF(_xlfn.XLOOKUP(A211&amp;B211&amp;C211,盘货信息!$A:$A&amp;盘货信息!$B:$B&amp;盘货信息!$C:$C,盘货信息!$K:$K)="","",IF(AND(_xlfn.XLOOKUP(A211&amp;B211&amp;C211,盘货信息!$A:$A&amp;盘货信息!$B:$B&amp;盘货信息!$C:$C,盘货信息!$G:$G)="不参加",_xlfn.XLOOKUP(A211&amp;B211&amp;C211,盘货信息!$A:$A&amp;盘货信息!$B:$B&amp;盘货信息!$C:$C,盘货信息!$H:$H)=""),"【以旧换新】"&amp;_xlfn.XLOOKUP(A211&amp;B211&amp;C211,盘货信息!$A:$A&amp;盘货信息!$B:$B&amp;盘货信息!$C:$C,盘货信息!$K:$K)&amp;"元以旧换新补贴（可无旧机换新）",""))</f>
        <v/>
      </c>
      <c r="P211" s="18" t="str">
        <f t="array" ref="P211">_xlfn.XLOOKUP(A211&amp;B211&amp;C211,赠品!$A:$A&amp;赠品!$B:$B&amp;赠品!$C:$C,赠品!$D:$D)</f>
        <v/>
      </c>
      <c r="Q211" s="18" t="str">
        <f>IF($C211="","",IF(AND(M211="",N211="",P211=""),"",固定信息!$B$1))</f>
        <v/>
      </c>
      <c r="R211" s="18" t="str">
        <f t="array" ref="R211">IF(ISNUMBER(SEARCH("是",_xlfn.XLOOKUP(A211&amp;B211&amp;C211,盘货信息!$A:$A&amp;盘货信息!$B:$B&amp;盘货信息!$C:$C,盘货信息!$U:$U))),"【折扣】指定型号满2类享96折，满3类享94折","")</f>
        <v/>
      </c>
      <c r="S211" s="18" t="str">
        <f t="array" ref="S211">IF(_xlfn.XLOOKUP(A211&amp;B211&amp;C211,盘货信息!$A:$A&amp;盘货信息!$B:$B&amp;盘货信息!$C:$C,盘货信息!$Q:$Q)&lt;1,"","【红包】活动时间购机送"&amp;_xlfn.TEXTJOIN("",,IF(ISNUMBER(--MID(_xlfn.XLOOKUP(A211&amp;B211&amp;C211,盘货信息!$A:$A&amp;盘货信息!$B:$B&amp;盘货信息!$C:$C,盘货信息!$Q:$Q),_xlfn.SEQUENCE(LEN(_xlfn.XLOOKUP(A211&amp;B211&amp;C211,盘货信息!$A:$A&amp;盘货信息!$B:$B&amp;盘货信息!$C:$C,盘货信息!$Q:$Q))),1)),MID(_xlfn.XLOOKUP(A211&amp;B211&amp;C211,盘货信息!$A:$A&amp;盘货信息!$B:$B&amp;盘货信息!$C:$C,盘货信息!$Q:$Q),_xlfn.SEQUENCE(LEN(_xlfn.XLOOKUP(A211&amp;B211&amp;C211,盘货信息!$A:$A&amp;盘货信息!$B:$B&amp;盘货信息!$C:$C,盘货信息!$Q:$Q))),1),""))&amp;"元")</f>
        <v/>
      </c>
      <c r="T211" s="18" t="str">
        <f t="array" ref="T211">IF(ISNUMBER(SEARCH("是",_xlfn.XLOOKUP(A211&amp;B211&amp;C211,盘货信息!$A:$A&amp;盘货信息!$B:$B&amp;盘货信息!$C:$C,盘货信息!$T:$T))),"【瓜分】"&amp;固定信息!$B$7,"")</f>
        <v/>
      </c>
      <c r="U211" s="18" t="str">
        <f>IF($C211="","",IF(AND(R211="",S211="",T211=""),"",固定信息!$B$1))</f>
        <v/>
      </c>
      <c r="V211" s="18" t="str">
        <f t="array" ref="V211">IF(C211="","","【服务】"&amp;IF(_xlfn.XLOOKUP(A211&amp;B211&amp;C211,盘货信息!$A:$A&amp;盘货信息!$B:$B&amp;盘货信息!$C:$C,盘货信息!$V:$V)="","",_xlfn.XLOOKUP(A211&amp;B211&amp;C211,盘货信息!$A:$A&amp;盘货信息!$B:$B&amp;盘货信息!$C:$C,盘货信息!$V:$V)&amp;"免息,")&amp;IF(_xlfn.XLOOKUP(A211&amp;B211&amp;C211,盘货信息!$A:$A&amp;盘货信息!$B:$B&amp;盘货信息!$C:$C,盘货信息!$W:$W)="","",_xlfn.XLOOKUP(A211&amp;B211&amp;C211,盘货信息!$A:$A&amp;盘货信息!$B:$B&amp;盘货信息!$C:$C,盘货信息!$W:$W)&amp;"，")&amp;"送货入户，退换免运费")</f>
        <v/>
      </c>
    </row>
    <row r="212" customHeight="1" spans="1:22">
      <c r="A212" s="17" t="str">
        <f>IF(盘货信息!A212="","",盘货信息!A212)</f>
        <v/>
      </c>
      <c r="B212" s="20" t="str">
        <f>IF(盘货信息!B212="","",盘货信息!B212)</f>
        <v/>
      </c>
      <c r="C212" s="18" t="str">
        <f>IF(盘货信息!C212="","",盘货信息!C212)</f>
        <v/>
      </c>
      <c r="D212" s="18" t="str">
        <f ca="1" t="shared" si="3"/>
        <v/>
      </c>
      <c r="E212" s="18" t="str">
        <f>IF(C212="","",固定信息!$B$2)</f>
        <v/>
      </c>
      <c r="F212" s="18" t="str">
        <f t="array" ref="F212">IF(C212="","","【"&amp;C212&amp;"】"&amp;_xlfn.XLOOKUP(A212&amp;B212&amp;C212,盘货信息!$A:$A&amp;盘货信息!$B:$B&amp;盘货信息!$C:$C,盘货信息!$D:$D))</f>
        <v/>
      </c>
      <c r="G212" s="18" t="str">
        <f>IF(C212="","","【"&amp;"活动时间："&amp;固定信息!$B$3&amp;"】")</f>
        <v/>
      </c>
      <c r="H212" s="18" t="str">
        <f>IF($C212="","",固定信息!$B$1)</f>
        <v/>
      </c>
      <c r="I212" s="18"/>
      <c r="J212" s="18" t="str">
        <f t="array" ref="J212">_xlfn.XLOOKUP(A212&amp;B212&amp;C212,价格信息!$A:$A&amp;价格信息!$B:$B&amp;价格信息!$C:$C,价格信息!$D:$D)</f>
        <v/>
      </c>
      <c r="K212" s="31" t="str">
        <f t="array" ref="K212">IF(_xlfn.XLOOKUP(A212&amp;B212&amp;C212,价格信息!$A:$A&amp;价格信息!$B:$B&amp;价格信息!$C:$C,价格信息!$I:$I)="","","【优惠券链接】"&amp;固定信息!$B$6)</f>
        <v/>
      </c>
      <c r="L212" s="31" t="str">
        <f>IF($C212="","",固定信息!$B$1)</f>
        <v/>
      </c>
      <c r="M212" s="18" t="str">
        <f t="array" ref="M212">IF(_xlfn.XLOOKUP(A212&amp;B212&amp;C212,盘货信息!$A:$A&amp;盘货信息!$B:$B&amp;盘货信息!$C:$C,盘货信息!$O:$O)="","","【优惠券】领"&amp;INDEX(_wpsfn.REGEXP(_xlfn.XLOOKUP(A212&amp;B212&amp;C212,盘货信息!$A:$A&amp;盘货信息!$B:$B&amp;盘货信息!$C:$C,盘货信息!$O:$O),"\d+"),1,1)&amp;"元优惠券下单更优惠，优惠卷："&amp;_xlfn.XLOOKUP(A212&amp;B212&amp;C212,盘货信息!$A:$A&amp;盘货信息!$B:$B&amp;盘货信息!$C:$C,盘货信息!$P:$P))</f>
        <v/>
      </c>
      <c r="N212" s="18" t="str">
        <f t="array" ref="N212">IF(AND(ISNUMBER(_xlfn.XLOOKUP(A212&amp;B212&amp;C212,盘货信息!$A:$A&amp;盘货信息!$B:$B&amp;盘货信息!$C:$C,盘货信息!$I:$I)),_xlfn.XLOOKUP(A212&amp;B212&amp;C212,盘货信息!$A:$A&amp;盘货信息!$B:$B&amp;盘货信息!$C:$C,盘货信息!$I:$I)&gt;1),"【88VIP】立减"&amp;_xlfn.XLOOKUP(A212&amp;B212&amp;C212,盘货信息!$A:$A&amp;盘货信息!$B:$B&amp;盘货信息!$C:$C,盘货信息!$I:$I)&amp;"元","")</f>
        <v/>
      </c>
      <c r="O212" s="18" t="str">
        <f t="array" ref="O212">IF(_xlfn.XLOOKUP(A212&amp;B212&amp;C212,盘货信息!$A:$A&amp;盘货信息!$B:$B&amp;盘货信息!$C:$C,盘货信息!$K:$K)="","",IF(AND(_xlfn.XLOOKUP(A212&amp;B212&amp;C212,盘货信息!$A:$A&amp;盘货信息!$B:$B&amp;盘货信息!$C:$C,盘货信息!$G:$G)="不参加",_xlfn.XLOOKUP(A212&amp;B212&amp;C212,盘货信息!$A:$A&amp;盘货信息!$B:$B&amp;盘货信息!$C:$C,盘货信息!$H:$H)=""),"【以旧换新】"&amp;_xlfn.XLOOKUP(A212&amp;B212&amp;C212,盘货信息!$A:$A&amp;盘货信息!$B:$B&amp;盘货信息!$C:$C,盘货信息!$K:$K)&amp;"元以旧换新补贴（可无旧机换新）",""))</f>
        <v/>
      </c>
      <c r="P212" s="18" t="str">
        <f t="array" ref="P212">_xlfn.XLOOKUP(A212&amp;B212&amp;C212,赠品!$A:$A&amp;赠品!$B:$B&amp;赠品!$C:$C,赠品!$D:$D)</f>
        <v/>
      </c>
      <c r="Q212" s="18" t="str">
        <f>IF($C212="","",IF(AND(M212="",N212="",P212=""),"",固定信息!$B$1))</f>
        <v/>
      </c>
      <c r="R212" s="18" t="str">
        <f t="array" ref="R212">IF(ISNUMBER(SEARCH("是",_xlfn.XLOOKUP(A212&amp;B212&amp;C212,盘货信息!$A:$A&amp;盘货信息!$B:$B&amp;盘货信息!$C:$C,盘货信息!$U:$U))),"【折扣】指定型号满2类享96折，满3类享94折","")</f>
        <v/>
      </c>
      <c r="S212" s="18" t="str">
        <f t="array" ref="S212">IF(_xlfn.XLOOKUP(A212&amp;B212&amp;C212,盘货信息!$A:$A&amp;盘货信息!$B:$B&amp;盘货信息!$C:$C,盘货信息!$Q:$Q)&lt;1,"","【红包】活动时间购机送"&amp;_xlfn.TEXTJOIN("",,IF(ISNUMBER(--MID(_xlfn.XLOOKUP(A212&amp;B212&amp;C212,盘货信息!$A:$A&amp;盘货信息!$B:$B&amp;盘货信息!$C:$C,盘货信息!$Q:$Q),_xlfn.SEQUENCE(LEN(_xlfn.XLOOKUP(A212&amp;B212&amp;C212,盘货信息!$A:$A&amp;盘货信息!$B:$B&amp;盘货信息!$C:$C,盘货信息!$Q:$Q))),1)),MID(_xlfn.XLOOKUP(A212&amp;B212&amp;C212,盘货信息!$A:$A&amp;盘货信息!$B:$B&amp;盘货信息!$C:$C,盘货信息!$Q:$Q),_xlfn.SEQUENCE(LEN(_xlfn.XLOOKUP(A212&amp;B212&amp;C212,盘货信息!$A:$A&amp;盘货信息!$B:$B&amp;盘货信息!$C:$C,盘货信息!$Q:$Q))),1),""))&amp;"元")</f>
        <v/>
      </c>
      <c r="T212" s="18" t="str">
        <f t="array" ref="T212">IF(ISNUMBER(SEARCH("是",_xlfn.XLOOKUP(A212&amp;B212&amp;C212,盘货信息!$A:$A&amp;盘货信息!$B:$B&amp;盘货信息!$C:$C,盘货信息!$T:$T))),"【瓜分】"&amp;固定信息!$B$7,"")</f>
        <v/>
      </c>
      <c r="U212" s="18" t="str">
        <f>IF($C212="","",IF(AND(R212="",S212="",T212=""),"",固定信息!$B$1))</f>
        <v/>
      </c>
      <c r="V212" s="18" t="str">
        <f t="array" ref="V212">IF(C212="","","【服务】"&amp;IF(_xlfn.XLOOKUP(A212&amp;B212&amp;C212,盘货信息!$A:$A&amp;盘货信息!$B:$B&amp;盘货信息!$C:$C,盘货信息!$V:$V)="","",_xlfn.XLOOKUP(A212&amp;B212&amp;C212,盘货信息!$A:$A&amp;盘货信息!$B:$B&amp;盘货信息!$C:$C,盘货信息!$V:$V)&amp;"免息,")&amp;IF(_xlfn.XLOOKUP(A212&amp;B212&amp;C212,盘货信息!$A:$A&amp;盘货信息!$B:$B&amp;盘货信息!$C:$C,盘货信息!$W:$W)="","",_xlfn.XLOOKUP(A212&amp;B212&amp;C212,盘货信息!$A:$A&amp;盘货信息!$B:$B&amp;盘货信息!$C:$C,盘货信息!$W:$W)&amp;"，")&amp;"送货入户，退换免运费")</f>
        <v/>
      </c>
    </row>
    <row r="213" customHeight="1" spans="1:22">
      <c r="A213" s="17" t="str">
        <f>IF(盘货信息!A213="","",盘货信息!A213)</f>
        <v/>
      </c>
      <c r="B213" s="20" t="str">
        <f>IF(盘货信息!B213="","",盘货信息!B213)</f>
        <v/>
      </c>
      <c r="C213" s="18" t="str">
        <f>IF(盘货信息!C213="","",盘货信息!C213)</f>
        <v/>
      </c>
      <c r="D213" s="18" t="str">
        <f ca="1" t="shared" si="3"/>
        <v/>
      </c>
      <c r="E213" s="18" t="str">
        <f>IF(C213="","",固定信息!$B$2)</f>
        <v/>
      </c>
      <c r="F213" s="18" t="str">
        <f t="array" ref="F213">IF(C213="","","【"&amp;C213&amp;"】"&amp;_xlfn.XLOOKUP(A213&amp;B213&amp;C213,盘货信息!$A:$A&amp;盘货信息!$B:$B&amp;盘货信息!$C:$C,盘货信息!$D:$D))</f>
        <v/>
      </c>
      <c r="G213" s="18" t="str">
        <f>IF(C213="","","【"&amp;"活动时间："&amp;固定信息!$B$3&amp;"】")</f>
        <v/>
      </c>
      <c r="H213" s="18" t="str">
        <f>IF($C213="","",固定信息!$B$1)</f>
        <v/>
      </c>
      <c r="I213" s="18"/>
      <c r="J213" s="18" t="str">
        <f t="array" ref="J213">_xlfn.XLOOKUP(A213&amp;B213&amp;C213,价格信息!$A:$A&amp;价格信息!$B:$B&amp;价格信息!$C:$C,价格信息!$D:$D)</f>
        <v/>
      </c>
      <c r="K213" s="31" t="str">
        <f t="array" ref="K213">IF(_xlfn.XLOOKUP(A213&amp;B213&amp;C213,价格信息!$A:$A&amp;价格信息!$B:$B&amp;价格信息!$C:$C,价格信息!$I:$I)="","","【优惠券链接】"&amp;固定信息!$B$6)</f>
        <v/>
      </c>
      <c r="L213" s="31" t="str">
        <f>IF($C213="","",固定信息!$B$1)</f>
        <v/>
      </c>
      <c r="M213" s="18" t="str">
        <f t="array" ref="M213">IF(_xlfn.XLOOKUP(A213&amp;B213&amp;C213,盘货信息!$A:$A&amp;盘货信息!$B:$B&amp;盘货信息!$C:$C,盘货信息!$O:$O)="","","【优惠券】领"&amp;INDEX(_wpsfn.REGEXP(_xlfn.XLOOKUP(A213&amp;B213&amp;C213,盘货信息!$A:$A&amp;盘货信息!$B:$B&amp;盘货信息!$C:$C,盘货信息!$O:$O),"\d+"),1,1)&amp;"元优惠券下单更优惠，优惠卷："&amp;_xlfn.XLOOKUP(A213&amp;B213&amp;C213,盘货信息!$A:$A&amp;盘货信息!$B:$B&amp;盘货信息!$C:$C,盘货信息!$P:$P))</f>
        <v/>
      </c>
      <c r="N213" s="18" t="str">
        <f t="array" ref="N213">IF(AND(ISNUMBER(_xlfn.XLOOKUP(A213&amp;B213&amp;C213,盘货信息!$A:$A&amp;盘货信息!$B:$B&amp;盘货信息!$C:$C,盘货信息!$I:$I)),_xlfn.XLOOKUP(A213&amp;B213&amp;C213,盘货信息!$A:$A&amp;盘货信息!$B:$B&amp;盘货信息!$C:$C,盘货信息!$I:$I)&gt;1),"【88VIP】立减"&amp;_xlfn.XLOOKUP(A213&amp;B213&amp;C213,盘货信息!$A:$A&amp;盘货信息!$B:$B&amp;盘货信息!$C:$C,盘货信息!$I:$I)&amp;"元","")</f>
        <v/>
      </c>
      <c r="O213" s="18" t="str">
        <f t="array" ref="O213">IF(_xlfn.XLOOKUP(A213&amp;B213&amp;C213,盘货信息!$A:$A&amp;盘货信息!$B:$B&amp;盘货信息!$C:$C,盘货信息!$K:$K)="","",IF(AND(_xlfn.XLOOKUP(A213&amp;B213&amp;C213,盘货信息!$A:$A&amp;盘货信息!$B:$B&amp;盘货信息!$C:$C,盘货信息!$G:$G)="不参加",_xlfn.XLOOKUP(A213&amp;B213&amp;C213,盘货信息!$A:$A&amp;盘货信息!$B:$B&amp;盘货信息!$C:$C,盘货信息!$H:$H)=""),"【以旧换新】"&amp;_xlfn.XLOOKUP(A213&amp;B213&amp;C213,盘货信息!$A:$A&amp;盘货信息!$B:$B&amp;盘货信息!$C:$C,盘货信息!$K:$K)&amp;"元以旧换新补贴（可无旧机换新）",""))</f>
        <v/>
      </c>
      <c r="P213" s="18" t="str">
        <f t="array" ref="P213">_xlfn.XLOOKUP(A213&amp;B213&amp;C213,赠品!$A:$A&amp;赠品!$B:$B&amp;赠品!$C:$C,赠品!$D:$D)</f>
        <v/>
      </c>
      <c r="Q213" s="18" t="str">
        <f>IF($C213="","",IF(AND(M213="",N213="",P213=""),"",固定信息!$B$1))</f>
        <v/>
      </c>
      <c r="R213" s="18" t="str">
        <f t="array" ref="R213">IF(ISNUMBER(SEARCH("是",_xlfn.XLOOKUP(A213&amp;B213&amp;C213,盘货信息!$A:$A&amp;盘货信息!$B:$B&amp;盘货信息!$C:$C,盘货信息!$U:$U))),"【折扣】指定型号满2类享96折，满3类享94折","")</f>
        <v/>
      </c>
      <c r="S213" s="18" t="str">
        <f t="array" ref="S213">IF(_xlfn.XLOOKUP(A213&amp;B213&amp;C213,盘货信息!$A:$A&amp;盘货信息!$B:$B&amp;盘货信息!$C:$C,盘货信息!$Q:$Q)&lt;1,"","【红包】活动时间购机送"&amp;_xlfn.TEXTJOIN("",,IF(ISNUMBER(--MID(_xlfn.XLOOKUP(A213&amp;B213&amp;C213,盘货信息!$A:$A&amp;盘货信息!$B:$B&amp;盘货信息!$C:$C,盘货信息!$Q:$Q),_xlfn.SEQUENCE(LEN(_xlfn.XLOOKUP(A213&amp;B213&amp;C213,盘货信息!$A:$A&amp;盘货信息!$B:$B&amp;盘货信息!$C:$C,盘货信息!$Q:$Q))),1)),MID(_xlfn.XLOOKUP(A213&amp;B213&amp;C213,盘货信息!$A:$A&amp;盘货信息!$B:$B&amp;盘货信息!$C:$C,盘货信息!$Q:$Q),_xlfn.SEQUENCE(LEN(_xlfn.XLOOKUP(A213&amp;B213&amp;C213,盘货信息!$A:$A&amp;盘货信息!$B:$B&amp;盘货信息!$C:$C,盘货信息!$Q:$Q))),1),""))&amp;"元")</f>
        <v/>
      </c>
      <c r="T213" s="18" t="str">
        <f t="array" ref="T213">IF(ISNUMBER(SEARCH("是",_xlfn.XLOOKUP(A213&amp;B213&amp;C213,盘货信息!$A:$A&amp;盘货信息!$B:$B&amp;盘货信息!$C:$C,盘货信息!$T:$T))),"【瓜分】"&amp;固定信息!$B$7,"")</f>
        <v/>
      </c>
      <c r="U213" s="18" t="str">
        <f>IF($C213="","",IF(AND(R213="",S213="",T213=""),"",固定信息!$B$1))</f>
        <v/>
      </c>
      <c r="V213" s="18" t="str">
        <f t="array" ref="V213">IF(C213="","","【服务】"&amp;IF(_xlfn.XLOOKUP(A213&amp;B213&amp;C213,盘货信息!$A:$A&amp;盘货信息!$B:$B&amp;盘货信息!$C:$C,盘货信息!$V:$V)="","",_xlfn.XLOOKUP(A213&amp;B213&amp;C213,盘货信息!$A:$A&amp;盘货信息!$B:$B&amp;盘货信息!$C:$C,盘货信息!$V:$V)&amp;"免息,")&amp;IF(_xlfn.XLOOKUP(A213&amp;B213&amp;C213,盘货信息!$A:$A&amp;盘货信息!$B:$B&amp;盘货信息!$C:$C,盘货信息!$W:$W)="","",_xlfn.XLOOKUP(A213&amp;B213&amp;C213,盘货信息!$A:$A&amp;盘货信息!$B:$B&amp;盘货信息!$C:$C,盘货信息!$W:$W)&amp;"，")&amp;"送货入户，退换免运费")</f>
        <v/>
      </c>
    </row>
    <row r="214" customHeight="1" spans="1:22">
      <c r="A214" s="17" t="str">
        <f>IF(盘货信息!A214="","",盘货信息!A214)</f>
        <v/>
      </c>
      <c r="B214" s="20" t="str">
        <f>IF(盘货信息!B214="","",盘货信息!B214)</f>
        <v/>
      </c>
      <c r="C214" s="18" t="str">
        <f>IF(盘货信息!C214="","",盘货信息!C214)</f>
        <v/>
      </c>
      <c r="D214" s="18" t="str">
        <f ca="1" t="shared" si="3"/>
        <v/>
      </c>
      <c r="E214" s="18" t="str">
        <f>IF(C214="","",固定信息!$B$2)</f>
        <v/>
      </c>
      <c r="F214" s="18" t="str">
        <f t="array" ref="F214">IF(C214="","","【"&amp;C214&amp;"】"&amp;_xlfn.XLOOKUP(A214&amp;B214&amp;C214,盘货信息!$A:$A&amp;盘货信息!$B:$B&amp;盘货信息!$C:$C,盘货信息!$D:$D))</f>
        <v/>
      </c>
      <c r="G214" s="18" t="str">
        <f>IF(C214="","","【"&amp;"活动时间："&amp;固定信息!$B$3&amp;"】")</f>
        <v/>
      </c>
      <c r="H214" s="18" t="str">
        <f>IF($C214="","",固定信息!$B$1)</f>
        <v/>
      </c>
      <c r="I214" s="18"/>
      <c r="J214" s="18" t="str">
        <f t="array" ref="J214">_xlfn.XLOOKUP(A214&amp;B214&amp;C214,价格信息!$A:$A&amp;价格信息!$B:$B&amp;价格信息!$C:$C,价格信息!$D:$D)</f>
        <v/>
      </c>
      <c r="K214" s="31" t="str">
        <f t="array" ref="K214">IF(_xlfn.XLOOKUP(A214&amp;B214&amp;C214,价格信息!$A:$A&amp;价格信息!$B:$B&amp;价格信息!$C:$C,价格信息!$I:$I)="","","【优惠券链接】"&amp;固定信息!$B$6)</f>
        <v/>
      </c>
      <c r="L214" s="31" t="str">
        <f>IF($C214="","",固定信息!$B$1)</f>
        <v/>
      </c>
      <c r="M214" s="18" t="str">
        <f t="array" ref="M214">IF(_xlfn.XLOOKUP(A214&amp;B214&amp;C214,盘货信息!$A:$A&amp;盘货信息!$B:$B&amp;盘货信息!$C:$C,盘货信息!$O:$O)="","","【优惠券】领"&amp;INDEX(_wpsfn.REGEXP(_xlfn.XLOOKUP(A214&amp;B214&amp;C214,盘货信息!$A:$A&amp;盘货信息!$B:$B&amp;盘货信息!$C:$C,盘货信息!$O:$O),"\d+"),1,1)&amp;"元优惠券下单更优惠，优惠卷："&amp;_xlfn.XLOOKUP(A214&amp;B214&amp;C214,盘货信息!$A:$A&amp;盘货信息!$B:$B&amp;盘货信息!$C:$C,盘货信息!$P:$P))</f>
        <v/>
      </c>
      <c r="N214" s="18" t="str">
        <f t="array" ref="N214">IF(AND(ISNUMBER(_xlfn.XLOOKUP(A214&amp;B214&amp;C214,盘货信息!$A:$A&amp;盘货信息!$B:$B&amp;盘货信息!$C:$C,盘货信息!$I:$I)),_xlfn.XLOOKUP(A214&amp;B214&amp;C214,盘货信息!$A:$A&amp;盘货信息!$B:$B&amp;盘货信息!$C:$C,盘货信息!$I:$I)&gt;1),"【88VIP】立减"&amp;_xlfn.XLOOKUP(A214&amp;B214&amp;C214,盘货信息!$A:$A&amp;盘货信息!$B:$B&amp;盘货信息!$C:$C,盘货信息!$I:$I)&amp;"元","")</f>
        <v/>
      </c>
      <c r="O214" s="18" t="str">
        <f t="array" ref="O214">IF(_xlfn.XLOOKUP(A214&amp;B214&amp;C214,盘货信息!$A:$A&amp;盘货信息!$B:$B&amp;盘货信息!$C:$C,盘货信息!$K:$K)="","",IF(AND(_xlfn.XLOOKUP(A214&amp;B214&amp;C214,盘货信息!$A:$A&amp;盘货信息!$B:$B&amp;盘货信息!$C:$C,盘货信息!$G:$G)="不参加",_xlfn.XLOOKUP(A214&amp;B214&amp;C214,盘货信息!$A:$A&amp;盘货信息!$B:$B&amp;盘货信息!$C:$C,盘货信息!$H:$H)=""),"【以旧换新】"&amp;_xlfn.XLOOKUP(A214&amp;B214&amp;C214,盘货信息!$A:$A&amp;盘货信息!$B:$B&amp;盘货信息!$C:$C,盘货信息!$K:$K)&amp;"元以旧换新补贴（可无旧机换新）",""))</f>
        <v/>
      </c>
      <c r="P214" s="18" t="str">
        <f t="array" ref="P214">_xlfn.XLOOKUP(A214&amp;B214&amp;C214,赠品!$A:$A&amp;赠品!$B:$B&amp;赠品!$C:$C,赠品!$D:$D)</f>
        <v/>
      </c>
      <c r="Q214" s="18" t="str">
        <f>IF($C214="","",IF(AND(M214="",N214="",P214=""),"",固定信息!$B$1))</f>
        <v/>
      </c>
      <c r="R214" s="18" t="str">
        <f t="array" ref="R214">IF(ISNUMBER(SEARCH("是",_xlfn.XLOOKUP(A214&amp;B214&amp;C214,盘货信息!$A:$A&amp;盘货信息!$B:$B&amp;盘货信息!$C:$C,盘货信息!$U:$U))),"【折扣】指定型号满2类享96折，满3类享94折","")</f>
        <v/>
      </c>
      <c r="S214" s="18" t="str">
        <f t="array" ref="S214">IF(_xlfn.XLOOKUP(A214&amp;B214&amp;C214,盘货信息!$A:$A&amp;盘货信息!$B:$B&amp;盘货信息!$C:$C,盘货信息!$Q:$Q)&lt;1,"","【红包】活动时间购机送"&amp;_xlfn.TEXTJOIN("",,IF(ISNUMBER(--MID(_xlfn.XLOOKUP(A214&amp;B214&amp;C214,盘货信息!$A:$A&amp;盘货信息!$B:$B&amp;盘货信息!$C:$C,盘货信息!$Q:$Q),_xlfn.SEQUENCE(LEN(_xlfn.XLOOKUP(A214&amp;B214&amp;C214,盘货信息!$A:$A&amp;盘货信息!$B:$B&amp;盘货信息!$C:$C,盘货信息!$Q:$Q))),1)),MID(_xlfn.XLOOKUP(A214&amp;B214&amp;C214,盘货信息!$A:$A&amp;盘货信息!$B:$B&amp;盘货信息!$C:$C,盘货信息!$Q:$Q),_xlfn.SEQUENCE(LEN(_xlfn.XLOOKUP(A214&amp;B214&amp;C214,盘货信息!$A:$A&amp;盘货信息!$B:$B&amp;盘货信息!$C:$C,盘货信息!$Q:$Q))),1),""))&amp;"元")</f>
        <v/>
      </c>
      <c r="T214" s="18" t="str">
        <f t="array" ref="T214">IF(ISNUMBER(SEARCH("是",_xlfn.XLOOKUP(A214&amp;B214&amp;C214,盘货信息!$A:$A&amp;盘货信息!$B:$B&amp;盘货信息!$C:$C,盘货信息!$T:$T))),"【瓜分】"&amp;固定信息!$B$7,"")</f>
        <v/>
      </c>
      <c r="U214" s="18" t="str">
        <f>IF($C214="","",IF(AND(R214="",S214="",T214=""),"",固定信息!$B$1))</f>
        <v/>
      </c>
      <c r="V214" s="18" t="str">
        <f t="array" ref="V214">IF(C214="","","【服务】"&amp;IF(_xlfn.XLOOKUP(A214&amp;B214&amp;C214,盘货信息!$A:$A&amp;盘货信息!$B:$B&amp;盘货信息!$C:$C,盘货信息!$V:$V)="","",_xlfn.XLOOKUP(A214&amp;B214&amp;C214,盘货信息!$A:$A&amp;盘货信息!$B:$B&amp;盘货信息!$C:$C,盘货信息!$V:$V)&amp;"免息,")&amp;IF(_xlfn.XLOOKUP(A214&amp;B214&amp;C214,盘货信息!$A:$A&amp;盘货信息!$B:$B&amp;盘货信息!$C:$C,盘货信息!$W:$W)="","",_xlfn.XLOOKUP(A214&amp;B214&amp;C214,盘货信息!$A:$A&amp;盘货信息!$B:$B&amp;盘货信息!$C:$C,盘货信息!$W:$W)&amp;"，")&amp;"送货入户，退换免运费")</f>
        <v/>
      </c>
    </row>
    <row r="215" customHeight="1" spans="1:22">
      <c r="A215" s="17" t="str">
        <f>IF(盘货信息!A215="","",盘货信息!A215)</f>
        <v/>
      </c>
      <c r="B215" s="20" t="str">
        <f>IF(盘货信息!B215="","",盘货信息!B215)</f>
        <v/>
      </c>
      <c r="C215" s="18" t="str">
        <f>IF(盘货信息!C215="","",盘货信息!C215)</f>
        <v/>
      </c>
      <c r="D215" s="18" t="str">
        <f ca="1" t="shared" si="3"/>
        <v/>
      </c>
      <c r="E215" s="18" t="str">
        <f>IF(C215="","",固定信息!$B$2)</f>
        <v/>
      </c>
      <c r="F215" s="18" t="str">
        <f t="array" ref="F215">IF(C215="","","【"&amp;C215&amp;"】"&amp;_xlfn.XLOOKUP(A215&amp;B215&amp;C215,盘货信息!$A:$A&amp;盘货信息!$B:$B&amp;盘货信息!$C:$C,盘货信息!$D:$D))</f>
        <v/>
      </c>
      <c r="G215" s="18" t="str">
        <f>IF(C215="","","【"&amp;"活动时间："&amp;固定信息!$B$3&amp;"】")</f>
        <v/>
      </c>
      <c r="H215" s="18" t="str">
        <f>IF($C215="","",固定信息!$B$1)</f>
        <v/>
      </c>
      <c r="I215" s="18"/>
      <c r="J215" s="18" t="str">
        <f t="array" ref="J215">_xlfn.XLOOKUP(A215&amp;B215&amp;C215,价格信息!$A:$A&amp;价格信息!$B:$B&amp;价格信息!$C:$C,价格信息!$D:$D)</f>
        <v/>
      </c>
      <c r="K215" s="31" t="str">
        <f t="array" ref="K215">IF(_xlfn.XLOOKUP(A215&amp;B215&amp;C215,价格信息!$A:$A&amp;价格信息!$B:$B&amp;价格信息!$C:$C,价格信息!$I:$I)="","","【优惠券链接】"&amp;固定信息!$B$6)</f>
        <v/>
      </c>
      <c r="L215" s="31" t="str">
        <f>IF($C215="","",固定信息!$B$1)</f>
        <v/>
      </c>
      <c r="M215" s="18" t="str">
        <f t="array" ref="M215">IF(_xlfn.XLOOKUP(A215&amp;B215&amp;C215,盘货信息!$A:$A&amp;盘货信息!$B:$B&amp;盘货信息!$C:$C,盘货信息!$O:$O)="","","【优惠券】领"&amp;INDEX(_wpsfn.REGEXP(_xlfn.XLOOKUP(A215&amp;B215&amp;C215,盘货信息!$A:$A&amp;盘货信息!$B:$B&amp;盘货信息!$C:$C,盘货信息!$O:$O),"\d+"),1,1)&amp;"元优惠券下单更优惠，优惠卷："&amp;_xlfn.XLOOKUP(A215&amp;B215&amp;C215,盘货信息!$A:$A&amp;盘货信息!$B:$B&amp;盘货信息!$C:$C,盘货信息!$P:$P))</f>
        <v/>
      </c>
      <c r="N215" s="18" t="str">
        <f t="array" ref="N215">IF(AND(ISNUMBER(_xlfn.XLOOKUP(A215&amp;B215&amp;C215,盘货信息!$A:$A&amp;盘货信息!$B:$B&amp;盘货信息!$C:$C,盘货信息!$I:$I)),_xlfn.XLOOKUP(A215&amp;B215&amp;C215,盘货信息!$A:$A&amp;盘货信息!$B:$B&amp;盘货信息!$C:$C,盘货信息!$I:$I)&gt;1),"【88VIP】立减"&amp;_xlfn.XLOOKUP(A215&amp;B215&amp;C215,盘货信息!$A:$A&amp;盘货信息!$B:$B&amp;盘货信息!$C:$C,盘货信息!$I:$I)&amp;"元","")</f>
        <v/>
      </c>
      <c r="O215" s="18" t="str">
        <f t="array" ref="O215">IF(_xlfn.XLOOKUP(A215&amp;B215&amp;C215,盘货信息!$A:$A&amp;盘货信息!$B:$B&amp;盘货信息!$C:$C,盘货信息!$K:$K)="","",IF(AND(_xlfn.XLOOKUP(A215&amp;B215&amp;C215,盘货信息!$A:$A&amp;盘货信息!$B:$B&amp;盘货信息!$C:$C,盘货信息!$G:$G)="不参加",_xlfn.XLOOKUP(A215&amp;B215&amp;C215,盘货信息!$A:$A&amp;盘货信息!$B:$B&amp;盘货信息!$C:$C,盘货信息!$H:$H)=""),"【以旧换新】"&amp;_xlfn.XLOOKUP(A215&amp;B215&amp;C215,盘货信息!$A:$A&amp;盘货信息!$B:$B&amp;盘货信息!$C:$C,盘货信息!$K:$K)&amp;"元以旧换新补贴（可无旧机换新）",""))</f>
        <v/>
      </c>
      <c r="P215" s="18" t="str">
        <f t="array" ref="P215">_xlfn.XLOOKUP(A215&amp;B215&amp;C215,赠品!$A:$A&amp;赠品!$B:$B&amp;赠品!$C:$C,赠品!$D:$D)</f>
        <v/>
      </c>
      <c r="Q215" s="18" t="str">
        <f>IF($C215="","",IF(AND(M215="",N215="",P215=""),"",固定信息!$B$1))</f>
        <v/>
      </c>
      <c r="R215" s="18" t="str">
        <f t="array" ref="R215">IF(ISNUMBER(SEARCH("是",_xlfn.XLOOKUP(A215&amp;B215&amp;C215,盘货信息!$A:$A&amp;盘货信息!$B:$B&amp;盘货信息!$C:$C,盘货信息!$U:$U))),"【折扣】指定型号满2类享96折，满3类享94折","")</f>
        <v/>
      </c>
      <c r="S215" s="18" t="str">
        <f t="array" ref="S215">IF(_xlfn.XLOOKUP(A215&amp;B215&amp;C215,盘货信息!$A:$A&amp;盘货信息!$B:$B&amp;盘货信息!$C:$C,盘货信息!$Q:$Q)&lt;1,"","【红包】活动时间购机送"&amp;_xlfn.TEXTJOIN("",,IF(ISNUMBER(--MID(_xlfn.XLOOKUP(A215&amp;B215&amp;C215,盘货信息!$A:$A&amp;盘货信息!$B:$B&amp;盘货信息!$C:$C,盘货信息!$Q:$Q),_xlfn.SEQUENCE(LEN(_xlfn.XLOOKUP(A215&amp;B215&amp;C215,盘货信息!$A:$A&amp;盘货信息!$B:$B&amp;盘货信息!$C:$C,盘货信息!$Q:$Q))),1)),MID(_xlfn.XLOOKUP(A215&amp;B215&amp;C215,盘货信息!$A:$A&amp;盘货信息!$B:$B&amp;盘货信息!$C:$C,盘货信息!$Q:$Q),_xlfn.SEQUENCE(LEN(_xlfn.XLOOKUP(A215&amp;B215&amp;C215,盘货信息!$A:$A&amp;盘货信息!$B:$B&amp;盘货信息!$C:$C,盘货信息!$Q:$Q))),1),""))&amp;"元")</f>
        <v/>
      </c>
      <c r="T215" s="18" t="str">
        <f t="array" ref="T215">IF(ISNUMBER(SEARCH("是",_xlfn.XLOOKUP(A215&amp;B215&amp;C215,盘货信息!$A:$A&amp;盘货信息!$B:$B&amp;盘货信息!$C:$C,盘货信息!$T:$T))),"【瓜分】"&amp;固定信息!$B$7,"")</f>
        <v/>
      </c>
      <c r="U215" s="18" t="str">
        <f>IF($C215="","",IF(AND(R215="",S215="",T215=""),"",固定信息!$B$1))</f>
        <v/>
      </c>
      <c r="V215" s="18" t="str">
        <f t="array" ref="V215">IF(C215="","","【服务】"&amp;IF(_xlfn.XLOOKUP(A215&amp;B215&amp;C215,盘货信息!$A:$A&amp;盘货信息!$B:$B&amp;盘货信息!$C:$C,盘货信息!$V:$V)="","",_xlfn.XLOOKUP(A215&amp;B215&amp;C215,盘货信息!$A:$A&amp;盘货信息!$B:$B&amp;盘货信息!$C:$C,盘货信息!$V:$V)&amp;"免息,")&amp;IF(_xlfn.XLOOKUP(A215&amp;B215&amp;C215,盘货信息!$A:$A&amp;盘货信息!$B:$B&amp;盘货信息!$C:$C,盘货信息!$W:$W)="","",_xlfn.XLOOKUP(A215&amp;B215&amp;C215,盘货信息!$A:$A&amp;盘货信息!$B:$B&amp;盘货信息!$C:$C,盘货信息!$W:$W)&amp;"，")&amp;"送货入户，退换免运费")</f>
        <v/>
      </c>
    </row>
    <row r="216" customHeight="1" spans="1:22">
      <c r="A216" s="17" t="str">
        <f>IF(盘货信息!A216="","",盘货信息!A216)</f>
        <v/>
      </c>
      <c r="B216" s="20" t="str">
        <f>IF(盘货信息!B216="","",盘货信息!B216)</f>
        <v/>
      </c>
      <c r="C216" s="18" t="str">
        <f>IF(盘货信息!C216="","",盘货信息!C216)</f>
        <v/>
      </c>
      <c r="D216" s="18" t="str">
        <f ca="1" t="shared" si="3"/>
        <v/>
      </c>
      <c r="E216" s="18" t="str">
        <f>IF(C216="","",固定信息!$B$2)</f>
        <v/>
      </c>
      <c r="F216" s="18" t="str">
        <f t="array" ref="F216">IF(C216="","","【"&amp;C216&amp;"】"&amp;_xlfn.XLOOKUP(A216&amp;B216&amp;C216,盘货信息!$A:$A&amp;盘货信息!$B:$B&amp;盘货信息!$C:$C,盘货信息!$D:$D))</f>
        <v/>
      </c>
      <c r="G216" s="18" t="str">
        <f>IF(C216="","","【"&amp;"活动时间："&amp;固定信息!$B$3&amp;"】")</f>
        <v/>
      </c>
      <c r="H216" s="18" t="str">
        <f>IF($C216="","",固定信息!$B$1)</f>
        <v/>
      </c>
      <c r="I216" s="18"/>
      <c r="J216" s="18" t="str">
        <f t="array" ref="J216">_xlfn.XLOOKUP(A216&amp;B216&amp;C216,价格信息!$A:$A&amp;价格信息!$B:$B&amp;价格信息!$C:$C,价格信息!$D:$D)</f>
        <v/>
      </c>
      <c r="K216" s="31" t="str">
        <f t="array" ref="K216">IF(_xlfn.XLOOKUP(A216&amp;B216&amp;C216,价格信息!$A:$A&amp;价格信息!$B:$B&amp;价格信息!$C:$C,价格信息!$I:$I)="","","【优惠券链接】"&amp;固定信息!$B$6)</f>
        <v/>
      </c>
      <c r="L216" s="31" t="str">
        <f>IF($C216="","",固定信息!$B$1)</f>
        <v/>
      </c>
      <c r="M216" s="18" t="str">
        <f t="array" ref="M216">IF(_xlfn.XLOOKUP(A216&amp;B216&amp;C216,盘货信息!$A:$A&amp;盘货信息!$B:$B&amp;盘货信息!$C:$C,盘货信息!$O:$O)="","","【优惠券】领"&amp;INDEX(_wpsfn.REGEXP(_xlfn.XLOOKUP(A216&amp;B216&amp;C216,盘货信息!$A:$A&amp;盘货信息!$B:$B&amp;盘货信息!$C:$C,盘货信息!$O:$O),"\d+"),1,1)&amp;"元优惠券下单更优惠，优惠卷："&amp;_xlfn.XLOOKUP(A216&amp;B216&amp;C216,盘货信息!$A:$A&amp;盘货信息!$B:$B&amp;盘货信息!$C:$C,盘货信息!$P:$P))</f>
        <v/>
      </c>
      <c r="N216" s="18" t="str">
        <f t="array" ref="N216">IF(AND(ISNUMBER(_xlfn.XLOOKUP(A216&amp;B216&amp;C216,盘货信息!$A:$A&amp;盘货信息!$B:$B&amp;盘货信息!$C:$C,盘货信息!$I:$I)),_xlfn.XLOOKUP(A216&amp;B216&amp;C216,盘货信息!$A:$A&amp;盘货信息!$B:$B&amp;盘货信息!$C:$C,盘货信息!$I:$I)&gt;1),"【88VIP】立减"&amp;_xlfn.XLOOKUP(A216&amp;B216&amp;C216,盘货信息!$A:$A&amp;盘货信息!$B:$B&amp;盘货信息!$C:$C,盘货信息!$I:$I)&amp;"元","")</f>
        <v/>
      </c>
      <c r="O216" s="18" t="str">
        <f t="array" ref="O216">IF(_xlfn.XLOOKUP(A216&amp;B216&amp;C216,盘货信息!$A:$A&amp;盘货信息!$B:$B&amp;盘货信息!$C:$C,盘货信息!$K:$K)="","",IF(AND(_xlfn.XLOOKUP(A216&amp;B216&amp;C216,盘货信息!$A:$A&amp;盘货信息!$B:$B&amp;盘货信息!$C:$C,盘货信息!$G:$G)="不参加",_xlfn.XLOOKUP(A216&amp;B216&amp;C216,盘货信息!$A:$A&amp;盘货信息!$B:$B&amp;盘货信息!$C:$C,盘货信息!$H:$H)=""),"【以旧换新】"&amp;_xlfn.XLOOKUP(A216&amp;B216&amp;C216,盘货信息!$A:$A&amp;盘货信息!$B:$B&amp;盘货信息!$C:$C,盘货信息!$K:$K)&amp;"元以旧换新补贴（可无旧机换新）",""))</f>
        <v/>
      </c>
      <c r="P216" s="18" t="str">
        <f t="array" ref="P216">_xlfn.XLOOKUP(A216&amp;B216&amp;C216,赠品!$A:$A&amp;赠品!$B:$B&amp;赠品!$C:$C,赠品!$D:$D)</f>
        <v/>
      </c>
      <c r="Q216" s="18" t="str">
        <f>IF($C216="","",IF(AND(M216="",N216="",P216=""),"",固定信息!$B$1))</f>
        <v/>
      </c>
      <c r="R216" s="18" t="str">
        <f t="array" ref="R216">IF(ISNUMBER(SEARCH("是",_xlfn.XLOOKUP(A216&amp;B216&amp;C216,盘货信息!$A:$A&amp;盘货信息!$B:$B&amp;盘货信息!$C:$C,盘货信息!$U:$U))),"【折扣】指定型号满2类享96折，满3类享94折","")</f>
        <v/>
      </c>
      <c r="S216" s="18" t="str">
        <f t="array" ref="S216">IF(_xlfn.XLOOKUP(A216&amp;B216&amp;C216,盘货信息!$A:$A&amp;盘货信息!$B:$B&amp;盘货信息!$C:$C,盘货信息!$Q:$Q)&lt;1,"","【红包】活动时间购机送"&amp;_xlfn.TEXTJOIN("",,IF(ISNUMBER(--MID(_xlfn.XLOOKUP(A216&amp;B216&amp;C216,盘货信息!$A:$A&amp;盘货信息!$B:$B&amp;盘货信息!$C:$C,盘货信息!$Q:$Q),_xlfn.SEQUENCE(LEN(_xlfn.XLOOKUP(A216&amp;B216&amp;C216,盘货信息!$A:$A&amp;盘货信息!$B:$B&amp;盘货信息!$C:$C,盘货信息!$Q:$Q))),1)),MID(_xlfn.XLOOKUP(A216&amp;B216&amp;C216,盘货信息!$A:$A&amp;盘货信息!$B:$B&amp;盘货信息!$C:$C,盘货信息!$Q:$Q),_xlfn.SEQUENCE(LEN(_xlfn.XLOOKUP(A216&amp;B216&amp;C216,盘货信息!$A:$A&amp;盘货信息!$B:$B&amp;盘货信息!$C:$C,盘货信息!$Q:$Q))),1),""))&amp;"元")</f>
        <v/>
      </c>
      <c r="T216" s="18" t="str">
        <f t="array" ref="T216">IF(ISNUMBER(SEARCH("是",_xlfn.XLOOKUP(A216&amp;B216&amp;C216,盘货信息!$A:$A&amp;盘货信息!$B:$B&amp;盘货信息!$C:$C,盘货信息!$T:$T))),"【瓜分】"&amp;固定信息!$B$7,"")</f>
        <v/>
      </c>
      <c r="U216" s="18" t="str">
        <f>IF($C216="","",IF(AND(R216="",S216="",T216=""),"",固定信息!$B$1))</f>
        <v/>
      </c>
      <c r="V216" s="18" t="str">
        <f t="array" ref="V216">IF(C216="","","【服务】"&amp;IF(_xlfn.XLOOKUP(A216&amp;B216&amp;C216,盘货信息!$A:$A&amp;盘货信息!$B:$B&amp;盘货信息!$C:$C,盘货信息!$V:$V)="","",_xlfn.XLOOKUP(A216&amp;B216&amp;C216,盘货信息!$A:$A&amp;盘货信息!$B:$B&amp;盘货信息!$C:$C,盘货信息!$V:$V)&amp;"免息,")&amp;IF(_xlfn.XLOOKUP(A216&amp;B216&amp;C216,盘货信息!$A:$A&amp;盘货信息!$B:$B&amp;盘货信息!$C:$C,盘货信息!$W:$W)="","",_xlfn.XLOOKUP(A216&amp;B216&amp;C216,盘货信息!$A:$A&amp;盘货信息!$B:$B&amp;盘货信息!$C:$C,盘货信息!$W:$W)&amp;"，")&amp;"送货入户，退换免运费")</f>
        <v/>
      </c>
    </row>
    <row r="217" customHeight="1" spans="1:22">
      <c r="A217" s="17" t="str">
        <f>IF(盘货信息!A217="","",盘货信息!A217)</f>
        <v/>
      </c>
      <c r="B217" s="20" t="str">
        <f>IF(盘货信息!B217="","",盘货信息!B217)</f>
        <v/>
      </c>
      <c r="C217" s="18" t="str">
        <f>IF(盘货信息!C217="","",盘货信息!C217)</f>
        <v/>
      </c>
      <c r="D217" s="18" t="str">
        <f ca="1" t="shared" si="3"/>
        <v/>
      </c>
      <c r="E217" s="18" t="str">
        <f>IF(C217="","",固定信息!$B$2)</f>
        <v/>
      </c>
      <c r="F217" s="18" t="str">
        <f t="array" ref="F217">IF(C217="","","【"&amp;C217&amp;"】"&amp;_xlfn.XLOOKUP(A217&amp;B217&amp;C217,盘货信息!$A:$A&amp;盘货信息!$B:$B&amp;盘货信息!$C:$C,盘货信息!$D:$D))</f>
        <v/>
      </c>
      <c r="G217" s="18" t="str">
        <f>IF(C217="","","【"&amp;"活动时间："&amp;固定信息!$B$3&amp;"】")</f>
        <v/>
      </c>
      <c r="H217" s="18" t="str">
        <f>IF($C217="","",固定信息!$B$1)</f>
        <v/>
      </c>
      <c r="I217" s="18"/>
      <c r="J217" s="18" t="str">
        <f t="array" ref="J217">_xlfn.XLOOKUP(A217&amp;B217&amp;C217,价格信息!$A:$A&amp;价格信息!$B:$B&amp;价格信息!$C:$C,价格信息!$D:$D)</f>
        <v/>
      </c>
      <c r="K217" s="31" t="str">
        <f t="array" ref="K217">IF(_xlfn.XLOOKUP(A217&amp;B217&amp;C217,价格信息!$A:$A&amp;价格信息!$B:$B&amp;价格信息!$C:$C,价格信息!$I:$I)="","","【优惠券链接】"&amp;固定信息!$B$6)</f>
        <v/>
      </c>
      <c r="L217" s="31" t="str">
        <f>IF($C217="","",固定信息!$B$1)</f>
        <v/>
      </c>
      <c r="M217" s="18" t="str">
        <f t="array" ref="M217">IF(_xlfn.XLOOKUP(A217&amp;B217&amp;C217,盘货信息!$A:$A&amp;盘货信息!$B:$B&amp;盘货信息!$C:$C,盘货信息!$O:$O)="","","【优惠券】领"&amp;INDEX(_wpsfn.REGEXP(_xlfn.XLOOKUP(A217&amp;B217&amp;C217,盘货信息!$A:$A&amp;盘货信息!$B:$B&amp;盘货信息!$C:$C,盘货信息!$O:$O),"\d+"),1,1)&amp;"元优惠券下单更优惠，优惠卷："&amp;_xlfn.XLOOKUP(A217&amp;B217&amp;C217,盘货信息!$A:$A&amp;盘货信息!$B:$B&amp;盘货信息!$C:$C,盘货信息!$P:$P))</f>
        <v/>
      </c>
      <c r="N217" s="18" t="str">
        <f t="array" ref="N217">IF(AND(ISNUMBER(_xlfn.XLOOKUP(A217&amp;B217&amp;C217,盘货信息!$A:$A&amp;盘货信息!$B:$B&amp;盘货信息!$C:$C,盘货信息!$I:$I)),_xlfn.XLOOKUP(A217&amp;B217&amp;C217,盘货信息!$A:$A&amp;盘货信息!$B:$B&amp;盘货信息!$C:$C,盘货信息!$I:$I)&gt;1),"【88VIP】立减"&amp;_xlfn.XLOOKUP(A217&amp;B217&amp;C217,盘货信息!$A:$A&amp;盘货信息!$B:$B&amp;盘货信息!$C:$C,盘货信息!$I:$I)&amp;"元","")</f>
        <v/>
      </c>
      <c r="O217" s="18" t="str">
        <f t="array" ref="O217">IF(_xlfn.XLOOKUP(A217&amp;B217&amp;C217,盘货信息!$A:$A&amp;盘货信息!$B:$B&amp;盘货信息!$C:$C,盘货信息!$K:$K)="","",IF(AND(_xlfn.XLOOKUP(A217&amp;B217&amp;C217,盘货信息!$A:$A&amp;盘货信息!$B:$B&amp;盘货信息!$C:$C,盘货信息!$G:$G)="不参加",_xlfn.XLOOKUP(A217&amp;B217&amp;C217,盘货信息!$A:$A&amp;盘货信息!$B:$B&amp;盘货信息!$C:$C,盘货信息!$H:$H)=""),"【以旧换新】"&amp;_xlfn.XLOOKUP(A217&amp;B217&amp;C217,盘货信息!$A:$A&amp;盘货信息!$B:$B&amp;盘货信息!$C:$C,盘货信息!$K:$K)&amp;"元以旧换新补贴（可无旧机换新）",""))</f>
        <v/>
      </c>
      <c r="P217" s="18" t="str">
        <f t="array" ref="P217">_xlfn.XLOOKUP(A217&amp;B217&amp;C217,赠品!$A:$A&amp;赠品!$B:$B&amp;赠品!$C:$C,赠品!$D:$D)</f>
        <v/>
      </c>
      <c r="Q217" s="18" t="str">
        <f>IF($C217="","",IF(AND(M217="",N217="",P217=""),"",固定信息!$B$1))</f>
        <v/>
      </c>
      <c r="R217" s="18" t="str">
        <f t="array" ref="R217">IF(ISNUMBER(SEARCH("是",_xlfn.XLOOKUP(A217&amp;B217&amp;C217,盘货信息!$A:$A&amp;盘货信息!$B:$B&amp;盘货信息!$C:$C,盘货信息!$U:$U))),"【折扣】指定型号满2类享96折，满3类享94折","")</f>
        <v/>
      </c>
      <c r="S217" s="18" t="str">
        <f t="array" ref="S217">IF(_xlfn.XLOOKUP(A217&amp;B217&amp;C217,盘货信息!$A:$A&amp;盘货信息!$B:$B&amp;盘货信息!$C:$C,盘货信息!$Q:$Q)&lt;1,"","【红包】活动时间购机送"&amp;_xlfn.TEXTJOIN("",,IF(ISNUMBER(--MID(_xlfn.XLOOKUP(A217&amp;B217&amp;C217,盘货信息!$A:$A&amp;盘货信息!$B:$B&amp;盘货信息!$C:$C,盘货信息!$Q:$Q),_xlfn.SEQUENCE(LEN(_xlfn.XLOOKUP(A217&amp;B217&amp;C217,盘货信息!$A:$A&amp;盘货信息!$B:$B&amp;盘货信息!$C:$C,盘货信息!$Q:$Q))),1)),MID(_xlfn.XLOOKUP(A217&amp;B217&amp;C217,盘货信息!$A:$A&amp;盘货信息!$B:$B&amp;盘货信息!$C:$C,盘货信息!$Q:$Q),_xlfn.SEQUENCE(LEN(_xlfn.XLOOKUP(A217&amp;B217&amp;C217,盘货信息!$A:$A&amp;盘货信息!$B:$B&amp;盘货信息!$C:$C,盘货信息!$Q:$Q))),1),""))&amp;"元")</f>
        <v/>
      </c>
      <c r="T217" s="18" t="str">
        <f t="array" ref="T217">IF(ISNUMBER(SEARCH("是",_xlfn.XLOOKUP(A217&amp;B217&amp;C217,盘货信息!$A:$A&amp;盘货信息!$B:$B&amp;盘货信息!$C:$C,盘货信息!$T:$T))),"【瓜分】"&amp;固定信息!$B$7,"")</f>
        <v/>
      </c>
      <c r="U217" s="18" t="str">
        <f>IF($C217="","",IF(AND(R217="",S217="",T217=""),"",固定信息!$B$1))</f>
        <v/>
      </c>
      <c r="V217" s="18" t="str">
        <f t="array" ref="V217">IF(C217="","","【服务】"&amp;IF(_xlfn.XLOOKUP(A217&amp;B217&amp;C217,盘货信息!$A:$A&amp;盘货信息!$B:$B&amp;盘货信息!$C:$C,盘货信息!$V:$V)="","",_xlfn.XLOOKUP(A217&amp;B217&amp;C217,盘货信息!$A:$A&amp;盘货信息!$B:$B&amp;盘货信息!$C:$C,盘货信息!$V:$V)&amp;"免息,")&amp;IF(_xlfn.XLOOKUP(A217&amp;B217&amp;C217,盘货信息!$A:$A&amp;盘货信息!$B:$B&amp;盘货信息!$C:$C,盘货信息!$W:$W)="","",_xlfn.XLOOKUP(A217&amp;B217&amp;C217,盘货信息!$A:$A&amp;盘货信息!$B:$B&amp;盘货信息!$C:$C,盘货信息!$W:$W)&amp;"，")&amp;"送货入户，退换免运费")</f>
        <v/>
      </c>
    </row>
    <row r="218" customHeight="1" spans="1:22">
      <c r="A218" s="17" t="str">
        <f>IF(盘货信息!A218="","",盘货信息!A218)</f>
        <v/>
      </c>
      <c r="B218" s="20" t="str">
        <f>IF(盘货信息!B218="","",盘货信息!B218)</f>
        <v/>
      </c>
      <c r="C218" s="18" t="str">
        <f>IF(盘货信息!C218="","",盘货信息!C218)</f>
        <v/>
      </c>
      <c r="D218" s="18" t="str">
        <f ca="1" t="shared" si="3"/>
        <v/>
      </c>
      <c r="E218" s="18" t="str">
        <f>IF(C218="","",固定信息!$B$2)</f>
        <v/>
      </c>
      <c r="F218" s="18" t="str">
        <f t="array" ref="F218">IF(C218="","","【"&amp;C218&amp;"】"&amp;_xlfn.XLOOKUP(A218&amp;B218&amp;C218,盘货信息!$A:$A&amp;盘货信息!$B:$B&amp;盘货信息!$C:$C,盘货信息!$D:$D))</f>
        <v/>
      </c>
      <c r="G218" s="18" t="str">
        <f>IF(C218="","","【"&amp;"活动时间："&amp;固定信息!$B$3&amp;"】")</f>
        <v/>
      </c>
      <c r="H218" s="18" t="str">
        <f>IF($C218="","",固定信息!$B$1)</f>
        <v/>
      </c>
      <c r="I218" s="18"/>
      <c r="J218" s="18" t="str">
        <f t="array" ref="J218">_xlfn.XLOOKUP(A218&amp;B218&amp;C218,价格信息!$A:$A&amp;价格信息!$B:$B&amp;价格信息!$C:$C,价格信息!$D:$D)</f>
        <v/>
      </c>
      <c r="K218" s="31" t="str">
        <f t="array" ref="K218">IF(_xlfn.XLOOKUP(A218&amp;B218&amp;C218,价格信息!$A:$A&amp;价格信息!$B:$B&amp;价格信息!$C:$C,价格信息!$I:$I)="","","【优惠券链接】"&amp;固定信息!$B$6)</f>
        <v/>
      </c>
      <c r="L218" s="31" t="str">
        <f>IF($C218="","",固定信息!$B$1)</f>
        <v/>
      </c>
      <c r="M218" s="18" t="str">
        <f t="array" ref="M218">IF(_xlfn.XLOOKUP(A218&amp;B218&amp;C218,盘货信息!$A:$A&amp;盘货信息!$B:$B&amp;盘货信息!$C:$C,盘货信息!$O:$O)="","","【优惠券】领"&amp;INDEX(_wpsfn.REGEXP(_xlfn.XLOOKUP(A218&amp;B218&amp;C218,盘货信息!$A:$A&amp;盘货信息!$B:$B&amp;盘货信息!$C:$C,盘货信息!$O:$O),"\d+"),1,1)&amp;"元优惠券下单更优惠，优惠卷："&amp;_xlfn.XLOOKUP(A218&amp;B218&amp;C218,盘货信息!$A:$A&amp;盘货信息!$B:$B&amp;盘货信息!$C:$C,盘货信息!$P:$P))</f>
        <v/>
      </c>
      <c r="N218" s="18" t="str">
        <f t="array" ref="N218">IF(AND(ISNUMBER(_xlfn.XLOOKUP(A218&amp;B218&amp;C218,盘货信息!$A:$A&amp;盘货信息!$B:$B&amp;盘货信息!$C:$C,盘货信息!$I:$I)),_xlfn.XLOOKUP(A218&amp;B218&amp;C218,盘货信息!$A:$A&amp;盘货信息!$B:$B&amp;盘货信息!$C:$C,盘货信息!$I:$I)&gt;1),"【88VIP】立减"&amp;_xlfn.XLOOKUP(A218&amp;B218&amp;C218,盘货信息!$A:$A&amp;盘货信息!$B:$B&amp;盘货信息!$C:$C,盘货信息!$I:$I)&amp;"元","")</f>
        <v/>
      </c>
      <c r="O218" s="18" t="str">
        <f t="array" ref="O218">IF(_xlfn.XLOOKUP(A218&amp;B218&amp;C218,盘货信息!$A:$A&amp;盘货信息!$B:$B&amp;盘货信息!$C:$C,盘货信息!$K:$K)="","",IF(AND(_xlfn.XLOOKUP(A218&amp;B218&amp;C218,盘货信息!$A:$A&amp;盘货信息!$B:$B&amp;盘货信息!$C:$C,盘货信息!$G:$G)="不参加",_xlfn.XLOOKUP(A218&amp;B218&amp;C218,盘货信息!$A:$A&amp;盘货信息!$B:$B&amp;盘货信息!$C:$C,盘货信息!$H:$H)=""),"【以旧换新】"&amp;_xlfn.XLOOKUP(A218&amp;B218&amp;C218,盘货信息!$A:$A&amp;盘货信息!$B:$B&amp;盘货信息!$C:$C,盘货信息!$K:$K)&amp;"元以旧换新补贴（可无旧机换新）",""))</f>
        <v/>
      </c>
      <c r="P218" s="18" t="str">
        <f t="array" ref="P218">_xlfn.XLOOKUP(A218&amp;B218&amp;C218,赠品!$A:$A&amp;赠品!$B:$B&amp;赠品!$C:$C,赠品!$D:$D)</f>
        <v/>
      </c>
      <c r="Q218" s="18" t="str">
        <f>IF($C218="","",IF(AND(M218="",N218="",P218=""),"",固定信息!$B$1))</f>
        <v/>
      </c>
      <c r="R218" s="18" t="str">
        <f t="array" ref="R218">IF(ISNUMBER(SEARCH("是",_xlfn.XLOOKUP(A218&amp;B218&amp;C218,盘货信息!$A:$A&amp;盘货信息!$B:$B&amp;盘货信息!$C:$C,盘货信息!$U:$U))),"【折扣】指定型号满2类享96折，满3类享94折","")</f>
        <v/>
      </c>
      <c r="S218" s="18" t="str">
        <f t="array" ref="S218">IF(_xlfn.XLOOKUP(A218&amp;B218&amp;C218,盘货信息!$A:$A&amp;盘货信息!$B:$B&amp;盘货信息!$C:$C,盘货信息!$Q:$Q)&lt;1,"","【红包】活动时间购机送"&amp;_xlfn.TEXTJOIN("",,IF(ISNUMBER(--MID(_xlfn.XLOOKUP(A218&amp;B218&amp;C218,盘货信息!$A:$A&amp;盘货信息!$B:$B&amp;盘货信息!$C:$C,盘货信息!$Q:$Q),_xlfn.SEQUENCE(LEN(_xlfn.XLOOKUP(A218&amp;B218&amp;C218,盘货信息!$A:$A&amp;盘货信息!$B:$B&amp;盘货信息!$C:$C,盘货信息!$Q:$Q))),1)),MID(_xlfn.XLOOKUP(A218&amp;B218&amp;C218,盘货信息!$A:$A&amp;盘货信息!$B:$B&amp;盘货信息!$C:$C,盘货信息!$Q:$Q),_xlfn.SEQUENCE(LEN(_xlfn.XLOOKUP(A218&amp;B218&amp;C218,盘货信息!$A:$A&amp;盘货信息!$B:$B&amp;盘货信息!$C:$C,盘货信息!$Q:$Q))),1),""))&amp;"元")</f>
        <v/>
      </c>
      <c r="T218" s="18" t="str">
        <f t="array" ref="T218">IF(ISNUMBER(SEARCH("是",_xlfn.XLOOKUP(A218&amp;B218&amp;C218,盘货信息!$A:$A&amp;盘货信息!$B:$B&amp;盘货信息!$C:$C,盘货信息!$T:$T))),"【瓜分】"&amp;固定信息!$B$7,"")</f>
        <v/>
      </c>
      <c r="U218" s="18" t="str">
        <f>IF($C218="","",IF(AND(R218="",S218="",T218=""),"",固定信息!$B$1))</f>
        <v/>
      </c>
      <c r="V218" s="18" t="str">
        <f t="array" ref="V218">IF(C218="","","【服务】"&amp;IF(_xlfn.XLOOKUP(A218&amp;B218&amp;C218,盘货信息!$A:$A&amp;盘货信息!$B:$B&amp;盘货信息!$C:$C,盘货信息!$V:$V)="","",_xlfn.XLOOKUP(A218&amp;B218&amp;C218,盘货信息!$A:$A&amp;盘货信息!$B:$B&amp;盘货信息!$C:$C,盘货信息!$V:$V)&amp;"免息,")&amp;IF(_xlfn.XLOOKUP(A218&amp;B218&amp;C218,盘货信息!$A:$A&amp;盘货信息!$B:$B&amp;盘货信息!$C:$C,盘货信息!$W:$W)="","",_xlfn.XLOOKUP(A218&amp;B218&amp;C218,盘货信息!$A:$A&amp;盘货信息!$B:$B&amp;盘货信息!$C:$C,盘货信息!$W:$W)&amp;"，")&amp;"送货入户，退换免运费")</f>
        <v/>
      </c>
    </row>
    <row r="219" customHeight="1" spans="1:22">
      <c r="A219" s="17" t="str">
        <f>IF(盘货信息!A219="","",盘货信息!A219)</f>
        <v/>
      </c>
      <c r="B219" s="20" t="str">
        <f>IF(盘货信息!B219="","",盘货信息!B219)</f>
        <v/>
      </c>
      <c r="C219" s="18" t="str">
        <f>IF(盘货信息!C219="","",盘货信息!C219)</f>
        <v/>
      </c>
      <c r="D219" s="18" t="str">
        <f ca="1" t="shared" si="3"/>
        <v/>
      </c>
      <c r="E219" s="18" t="str">
        <f>IF(C219="","",固定信息!$B$2)</f>
        <v/>
      </c>
      <c r="F219" s="18" t="str">
        <f t="array" ref="F219">IF(C219="","","【"&amp;C219&amp;"】"&amp;_xlfn.XLOOKUP(A219&amp;B219&amp;C219,盘货信息!$A:$A&amp;盘货信息!$B:$B&amp;盘货信息!$C:$C,盘货信息!$D:$D))</f>
        <v/>
      </c>
      <c r="G219" s="18" t="str">
        <f>IF(C219="","","【"&amp;"活动时间："&amp;固定信息!$B$3&amp;"】")</f>
        <v/>
      </c>
      <c r="H219" s="18" t="str">
        <f>IF($C219="","",固定信息!$B$1)</f>
        <v/>
      </c>
      <c r="I219" s="18"/>
      <c r="J219" s="18" t="str">
        <f t="array" ref="J219">_xlfn.XLOOKUP(A219&amp;B219&amp;C219,价格信息!$A:$A&amp;价格信息!$B:$B&amp;价格信息!$C:$C,价格信息!$D:$D)</f>
        <v/>
      </c>
      <c r="K219" s="31" t="str">
        <f t="array" ref="K219">IF(_xlfn.XLOOKUP(A219&amp;B219&amp;C219,价格信息!$A:$A&amp;价格信息!$B:$B&amp;价格信息!$C:$C,价格信息!$I:$I)="","","【优惠券链接】"&amp;固定信息!$B$6)</f>
        <v/>
      </c>
      <c r="L219" s="31" t="str">
        <f>IF($C219="","",固定信息!$B$1)</f>
        <v/>
      </c>
      <c r="M219" s="18" t="str">
        <f t="array" ref="M219">IF(_xlfn.XLOOKUP(A219&amp;B219&amp;C219,盘货信息!$A:$A&amp;盘货信息!$B:$B&amp;盘货信息!$C:$C,盘货信息!$O:$O)="","","【优惠券】领"&amp;INDEX(_wpsfn.REGEXP(_xlfn.XLOOKUP(A219&amp;B219&amp;C219,盘货信息!$A:$A&amp;盘货信息!$B:$B&amp;盘货信息!$C:$C,盘货信息!$O:$O),"\d+"),1,1)&amp;"元优惠券下单更优惠，优惠卷："&amp;_xlfn.XLOOKUP(A219&amp;B219&amp;C219,盘货信息!$A:$A&amp;盘货信息!$B:$B&amp;盘货信息!$C:$C,盘货信息!$P:$P))</f>
        <v/>
      </c>
      <c r="N219" s="18" t="str">
        <f t="array" ref="N219">IF(AND(ISNUMBER(_xlfn.XLOOKUP(A219&amp;B219&amp;C219,盘货信息!$A:$A&amp;盘货信息!$B:$B&amp;盘货信息!$C:$C,盘货信息!$I:$I)),_xlfn.XLOOKUP(A219&amp;B219&amp;C219,盘货信息!$A:$A&amp;盘货信息!$B:$B&amp;盘货信息!$C:$C,盘货信息!$I:$I)&gt;1),"【88VIP】立减"&amp;_xlfn.XLOOKUP(A219&amp;B219&amp;C219,盘货信息!$A:$A&amp;盘货信息!$B:$B&amp;盘货信息!$C:$C,盘货信息!$I:$I)&amp;"元","")</f>
        <v/>
      </c>
      <c r="O219" s="18" t="str">
        <f t="array" ref="O219">IF(_xlfn.XLOOKUP(A219&amp;B219&amp;C219,盘货信息!$A:$A&amp;盘货信息!$B:$B&amp;盘货信息!$C:$C,盘货信息!$K:$K)="","",IF(AND(_xlfn.XLOOKUP(A219&amp;B219&amp;C219,盘货信息!$A:$A&amp;盘货信息!$B:$B&amp;盘货信息!$C:$C,盘货信息!$G:$G)="不参加",_xlfn.XLOOKUP(A219&amp;B219&amp;C219,盘货信息!$A:$A&amp;盘货信息!$B:$B&amp;盘货信息!$C:$C,盘货信息!$H:$H)=""),"【以旧换新】"&amp;_xlfn.XLOOKUP(A219&amp;B219&amp;C219,盘货信息!$A:$A&amp;盘货信息!$B:$B&amp;盘货信息!$C:$C,盘货信息!$K:$K)&amp;"元以旧换新补贴（可无旧机换新）",""))</f>
        <v/>
      </c>
      <c r="P219" s="18" t="str">
        <f t="array" ref="P219">_xlfn.XLOOKUP(A219&amp;B219&amp;C219,赠品!$A:$A&amp;赠品!$B:$B&amp;赠品!$C:$C,赠品!$D:$D)</f>
        <v/>
      </c>
      <c r="Q219" s="18" t="str">
        <f>IF($C219="","",IF(AND(M219="",N219="",P219=""),"",固定信息!$B$1))</f>
        <v/>
      </c>
      <c r="R219" s="18" t="str">
        <f t="array" ref="R219">IF(ISNUMBER(SEARCH("是",_xlfn.XLOOKUP(A219&amp;B219&amp;C219,盘货信息!$A:$A&amp;盘货信息!$B:$B&amp;盘货信息!$C:$C,盘货信息!$U:$U))),"【折扣】指定型号满2类享96折，满3类享94折","")</f>
        <v/>
      </c>
      <c r="S219" s="18" t="str">
        <f t="array" ref="S219">IF(_xlfn.XLOOKUP(A219&amp;B219&amp;C219,盘货信息!$A:$A&amp;盘货信息!$B:$B&amp;盘货信息!$C:$C,盘货信息!$Q:$Q)&lt;1,"","【红包】活动时间购机送"&amp;_xlfn.TEXTJOIN("",,IF(ISNUMBER(--MID(_xlfn.XLOOKUP(A219&amp;B219&amp;C219,盘货信息!$A:$A&amp;盘货信息!$B:$B&amp;盘货信息!$C:$C,盘货信息!$Q:$Q),_xlfn.SEQUENCE(LEN(_xlfn.XLOOKUP(A219&amp;B219&amp;C219,盘货信息!$A:$A&amp;盘货信息!$B:$B&amp;盘货信息!$C:$C,盘货信息!$Q:$Q))),1)),MID(_xlfn.XLOOKUP(A219&amp;B219&amp;C219,盘货信息!$A:$A&amp;盘货信息!$B:$B&amp;盘货信息!$C:$C,盘货信息!$Q:$Q),_xlfn.SEQUENCE(LEN(_xlfn.XLOOKUP(A219&amp;B219&amp;C219,盘货信息!$A:$A&amp;盘货信息!$B:$B&amp;盘货信息!$C:$C,盘货信息!$Q:$Q))),1),""))&amp;"元")</f>
        <v/>
      </c>
      <c r="T219" s="18" t="str">
        <f t="array" ref="T219">IF(ISNUMBER(SEARCH("是",_xlfn.XLOOKUP(A219&amp;B219&amp;C219,盘货信息!$A:$A&amp;盘货信息!$B:$B&amp;盘货信息!$C:$C,盘货信息!$T:$T))),"【瓜分】"&amp;固定信息!$B$7,"")</f>
        <v/>
      </c>
      <c r="U219" s="18" t="str">
        <f>IF($C219="","",IF(AND(R219="",S219="",T219=""),"",固定信息!$B$1))</f>
        <v/>
      </c>
      <c r="V219" s="18" t="str">
        <f t="array" ref="V219">IF(C219="","","【服务】"&amp;IF(_xlfn.XLOOKUP(A219&amp;B219&amp;C219,盘货信息!$A:$A&amp;盘货信息!$B:$B&amp;盘货信息!$C:$C,盘货信息!$V:$V)="","",_xlfn.XLOOKUP(A219&amp;B219&amp;C219,盘货信息!$A:$A&amp;盘货信息!$B:$B&amp;盘货信息!$C:$C,盘货信息!$V:$V)&amp;"免息,")&amp;IF(_xlfn.XLOOKUP(A219&amp;B219&amp;C219,盘货信息!$A:$A&amp;盘货信息!$B:$B&amp;盘货信息!$C:$C,盘货信息!$W:$W)="","",_xlfn.XLOOKUP(A219&amp;B219&amp;C219,盘货信息!$A:$A&amp;盘货信息!$B:$B&amp;盘货信息!$C:$C,盘货信息!$W:$W)&amp;"，")&amp;"送货入户，退换免运费")</f>
        <v/>
      </c>
    </row>
    <row r="220" customHeight="1" spans="1:22">
      <c r="A220" s="17" t="str">
        <f>IF(盘货信息!A220="","",盘货信息!A220)</f>
        <v/>
      </c>
      <c r="B220" s="20" t="str">
        <f>IF(盘货信息!B220="","",盘货信息!B220)</f>
        <v/>
      </c>
      <c r="C220" s="18" t="str">
        <f>IF(盘货信息!C220="","",盘货信息!C220)</f>
        <v/>
      </c>
      <c r="D220" s="18" t="str">
        <f ca="1" t="shared" si="3"/>
        <v/>
      </c>
      <c r="E220" s="18" t="str">
        <f>IF(C220="","",固定信息!$B$2)</f>
        <v/>
      </c>
      <c r="F220" s="18" t="str">
        <f t="array" ref="F220">IF(C220="","","【"&amp;C220&amp;"】"&amp;_xlfn.XLOOKUP(A220&amp;B220&amp;C220,盘货信息!$A:$A&amp;盘货信息!$B:$B&amp;盘货信息!$C:$C,盘货信息!$D:$D))</f>
        <v/>
      </c>
      <c r="G220" s="18" t="str">
        <f>IF(C220="","","【"&amp;"活动时间："&amp;固定信息!$B$3&amp;"】")</f>
        <v/>
      </c>
      <c r="H220" s="18" t="str">
        <f>IF($C220="","",固定信息!$B$1)</f>
        <v/>
      </c>
      <c r="I220" s="18"/>
      <c r="J220" s="18" t="str">
        <f t="array" ref="J220">_xlfn.XLOOKUP(A220&amp;B220&amp;C220,价格信息!$A:$A&amp;价格信息!$B:$B&amp;价格信息!$C:$C,价格信息!$D:$D)</f>
        <v/>
      </c>
      <c r="K220" s="31" t="str">
        <f t="array" ref="K220">IF(_xlfn.XLOOKUP(A220&amp;B220&amp;C220,价格信息!$A:$A&amp;价格信息!$B:$B&amp;价格信息!$C:$C,价格信息!$I:$I)="","","【优惠券链接】"&amp;固定信息!$B$6)</f>
        <v/>
      </c>
      <c r="L220" s="31" t="str">
        <f>IF($C220="","",固定信息!$B$1)</f>
        <v/>
      </c>
      <c r="M220" s="18" t="str">
        <f t="array" ref="M220">IF(_xlfn.XLOOKUP(A220&amp;B220&amp;C220,盘货信息!$A:$A&amp;盘货信息!$B:$B&amp;盘货信息!$C:$C,盘货信息!$O:$O)="","","【优惠券】领"&amp;INDEX(_wpsfn.REGEXP(_xlfn.XLOOKUP(A220&amp;B220&amp;C220,盘货信息!$A:$A&amp;盘货信息!$B:$B&amp;盘货信息!$C:$C,盘货信息!$O:$O),"\d+"),1,1)&amp;"元优惠券下单更优惠，优惠卷："&amp;_xlfn.XLOOKUP(A220&amp;B220&amp;C220,盘货信息!$A:$A&amp;盘货信息!$B:$B&amp;盘货信息!$C:$C,盘货信息!$P:$P))</f>
        <v/>
      </c>
      <c r="N220" s="18" t="str">
        <f t="array" ref="N220">IF(AND(ISNUMBER(_xlfn.XLOOKUP(A220&amp;B220&amp;C220,盘货信息!$A:$A&amp;盘货信息!$B:$B&amp;盘货信息!$C:$C,盘货信息!$I:$I)),_xlfn.XLOOKUP(A220&amp;B220&amp;C220,盘货信息!$A:$A&amp;盘货信息!$B:$B&amp;盘货信息!$C:$C,盘货信息!$I:$I)&gt;1),"【88VIP】立减"&amp;_xlfn.XLOOKUP(A220&amp;B220&amp;C220,盘货信息!$A:$A&amp;盘货信息!$B:$B&amp;盘货信息!$C:$C,盘货信息!$I:$I)&amp;"元","")</f>
        <v/>
      </c>
      <c r="O220" s="18" t="str">
        <f t="array" ref="O220">IF(_xlfn.XLOOKUP(A220&amp;B220&amp;C220,盘货信息!$A:$A&amp;盘货信息!$B:$B&amp;盘货信息!$C:$C,盘货信息!$K:$K)="","",IF(AND(_xlfn.XLOOKUP(A220&amp;B220&amp;C220,盘货信息!$A:$A&amp;盘货信息!$B:$B&amp;盘货信息!$C:$C,盘货信息!$G:$G)="不参加",_xlfn.XLOOKUP(A220&amp;B220&amp;C220,盘货信息!$A:$A&amp;盘货信息!$B:$B&amp;盘货信息!$C:$C,盘货信息!$H:$H)=""),"【以旧换新】"&amp;_xlfn.XLOOKUP(A220&amp;B220&amp;C220,盘货信息!$A:$A&amp;盘货信息!$B:$B&amp;盘货信息!$C:$C,盘货信息!$K:$K)&amp;"元以旧换新补贴（可无旧机换新）",""))</f>
        <v/>
      </c>
      <c r="P220" s="18" t="str">
        <f t="array" ref="P220">_xlfn.XLOOKUP(A220&amp;B220&amp;C220,赠品!$A:$A&amp;赠品!$B:$B&amp;赠品!$C:$C,赠品!$D:$D)</f>
        <v/>
      </c>
      <c r="Q220" s="18" t="str">
        <f>IF($C220="","",IF(AND(M220="",N220="",P220=""),"",固定信息!$B$1))</f>
        <v/>
      </c>
      <c r="R220" s="18" t="str">
        <f t="array" ref="R220">IF(ISNUMBER(SEARCH("是",_xlfn.XLOOKUP(A220&amp;B220&amp;C220,盘货信息!$A:$A&amp;盘货信息!$B:$B&amp;盘货信息!$C:$C,盘货信息!$U:$U))),"【折扣】指定型号满2类享96折，满3类享94折","")</f>
        <v/>
      </c>
      <c r="S220" s="18" t="str">
        <f t="array" ref="S220">IF(_xlfn.XLOOKUP(A220&amp;B220&amp;C220,盘货信息!$A:$A&amp;盘货信息!$B:$B&amp;盘货信息!$C:$C,盘货信息!$Q:$Q)&lt;1,"","【红包】活动时间购机送"&amp;_xlfn.TEXTJOIN("",,IF(ISNUMBER(--MID(_xlfn.XLOOKUP(A220&amp;B220&amp;C220,盘货信息!$A:$A&amp;盘货信息!$B:$B&amp;盘货信息!$C:$C,盘货信息!$Q:$Q),_xlfn.SEQUENCE(LEN(_xlfn.XLOOKUP(A220&amp;B220&amp;C220,盘货信息!$A:$A&amp;盘货信息!$B:$B&amp;盘货信息!$C:$C,盘货信息!$Q:$Q))),1)),MID(_xlfn.XLOOKUP(A220&amp;B220&amp;C220,盘货信息!$A:$A&amp;盘货信息!$B:$B&amp;盘货信息!$C:$C,盘货信息!$Q:$Q),_xlfn.SEQUENCE(LEN(_xlfn.XLOOKUP(A220&amp;B220&amp;C220,盘货信息!$A:$A&amp;盘货信息!$B:$B&amp;盘货信息!$C:$C,盘货信息!$Q:$Q))),1),""))&amp;"元")</f>
        <v/>
      </c>
      <c r="T220" s="18" t="str">
        <f t="array" ref="T220">IF(ISNUMBER(SEARCH("是",_xlfn.XLOOKUP(A220&amp;B220&amp;C220,盘货信息!$A:$A&amp;盘货信息!$B:$B&amp;盘货信息!$C:$C,盘货信息!$T:$T))),"【瓜分】"&amp;固定信息!$B$7,"")</f>
        <v/>
      </c>
      <c r="U220" s="18" t="str">
        <f>IF($C220="","",IF(AND(R220="",S220="",T220=""),"",固定信息!$B$1))</f>
        <v/>
      </c>
      <c r="V220" s="18" t="str">
        <f t="array" ref="V220">IF(C220="","","【服务】"&amp;IF(_xlfn.XLOOKUP(A220&amp;B220&amp;C220,盘货信息!$A:$A&amp;盘货信息!$B:$B&amp;盘货信息!$C:$C,盘货信息!$V:$V)="","",_xlfn.XLOOKUP(A220&amp;B220&amp;C220,盘货信息!$A:$A&amp;盘货信息!$B:$B&amp;盘货信息!$C:$C,盘货信息!$V:$V)&amp;"免息,")&amp;IF(_xlfn.XLOOKUP(A220&amp;B220&amp;C220,盘货信息!$A:$A&amp;盘货信息!$B:$B&amp;盘货信息!$C:$C,盘货信息!$W:$W)="","",_xlfn.XLOOKUP(A220&amp;B220&amp;C220,盘货信息!$A:$A&amp;盘货信息!$B:$B&amp;盘货信息!$C:$C,盘货信息!$W:$W)&amp;"，")&amp;"送货入户，退换免运费")</f>
        <v/>
      </c>
    </row>
    <row r="221" customHeight="1" spans="1:22">
      <c r="A221" s="17" t="str">
        <f>IF(盘货信息!A221="","",盘货信息!A221)</f>
        <v/>
      </c>
      <c r="B221" s="20" t="str">
        <f>IF(盘货信息!B221="","",盘货信息!B221)</f>
        <v/>
      </c>
      <c r="C221" s="18" t="str">
        <f>IF(盘货信息!C221="","",盘货信息!C221)</f>
        <v/>
      </c>
      <c r="D221" s="18" t="str">
        <f ca="1" t="shared" si="3"/>
        <v/>
      </c>
      <c r="E221" s="18" t="str">
        <f>IF(C221="","",固定信息!$B$2)</f>
        <v/>
      </c>
      <c r="F221" s="18" t="str">
        <f t="array" ref="F221">IF(C221="","","【"&amp;C221&amp;"】"&amp;_xlfn.XLOOKUP(A221&amp;B221&amp;C221,盘货信息!$A:$A&amp;盘货信息!$B:$B&amp;盘货信息!$C:$C,盘货信息!$D:$D))</f>
        <v/>
      </c>
      <c r="G221" s="18" t="str">
        <f>IF(C221="","","【"&amp;"活动时间："&amp;固定信息!$B$3&amp;"】")</f>
        <v/>
      </c>
      <c r="H221" s="18" t="str">
        <f>IF($C221="","",固定信息!$B$1)</f>
        <v/>
      </c>
      <c r="I221" s="18"/>
      <c r="J221" s="18" t="str">
        <f t="array" ref="J221">_xlfn.XLOOKUP(A221&amp;B221&amp;C221,价格信息!$A:$A&amp;价格信息!$B:$B&amp;价格信息!$C:$C,价格信息!$D:$D)</f>
        <v/>
      </c>
      <c r="K221" s="31" t="str">
        <f t="array" ref="K221">IF(_xlfn.XLOOKUP(A221&amp;B221&amp;C221,价格信息!$A:$A&amp;价格信息!$B:$B&amp;价格信息!$C:$C,价格信息!$I:$I)="","","【优惠券链接】"&amp;固定信息!$B$6)</f>
        <v/>
      </c>
      <c r="L221" s="31" t="str">
        <f>IF($C221="","",固定信息!$B$1)</f>
        <v/>
      </c>
      <c r="M221" s="18" t="str">
        <f t="array" ref="M221">IF(_xlfn.XLOOKUP(A221&amp;B221&amp;C221,盘货信息!$A:$A&amp;盘货信息!$B:$B&amp;盘货信息!$C:$C,盘货信息!$O:$O)="","","【优惠券】领"&amp;INDEX(_wpsfn.REGEXP(_xlfn.XLOOKUP(A221&amp;B221&amp;C221,盘货信息!$A:$A&amp;盘货信息!$B:$B&amp;盘货信息!$C:$C,盘货信息!$O:$O),"\d+"),1,1)&amp;"元优惠券下单更优惠，优惠卷："&amp;_xlfn.XLOOKUP(A221&amp;B221&amp;C221,盘货信息!$A:$A&amp;盘货信息!$B:$B&amp;盘货信息!$C:$C,盘货信息!$P:$P))</f>
        <v/>
      </c>
      <c r="N221" s="18" t="str">
        <f t="array" ref="N221">IF(AND(ISNUMBER(_xlfn.XLOOKUP(A221&amp;B221&amp;C221,盘货信息!$A:$A&amp;盘货信息!$B:$B&amp;盘货信息!$C:$C,盘货信息!$I:$I)),_xlfn.XLOOKUP(A221&amp;B221&amp;C221,盘货信息!$A:$A&amp;盘货信息!$B:$B&amp;盘货信息!$C:$C,盘货信息!$I:$I)&gt;1),"【88VIP】立减"&amp;_xlfn.XLOOKUP(A221&amp;B221&amp;C221,盘货信息!$A:$A&amp;盘货信息!$B:$B&amp;盘货信息!$C:$C,盘货信息!$I:$I)&amp;"元","")</f>
        <v/>
      </c>
      <c r="O221" s="18" t="str">
        <f t="array" ref="O221">IF(_xlfn.XLOOKUP(A221&amp;B221&amp;C221,盘货信息!$A:$A&amp;盘货信息!$B:$B&amp;盘货信息!$C:$C,盘货信息!$K:$K)="","",IF(AND(_xlfn.XLOOKUP(A221&amp;B221&amp;C221,盘货信息!$A:$A&amp;盘货信息!$B:$B&amp;盘货信息!$C:$C,盘货信息!$G:$G)="不参加",_xlfn.XLOOKUP(A221&amp;B221&amp;C221,盘货信息!$A:$A&amp;盘货信息!$B:$B&amp;盘货信息!$C:$C,盘货信息!$H:$H)=""),"【以旧换新】"&amp;_xlfn.XLOOKUP(A221&amp;B221&amp;C221,盘货信息!$A:$A&amp;盘货信息!$B:$B&amp;盘货信息!$C:$C,盘货信息!$K:$K)&amp;"元以旧换新补贴（可无旧机换新）",""))</f>
        <v/>
      </c>
      <c r="P221" s="18" t="str">
        <f t="array" ref="P221">_xlfn.XLOOKUP(A221&amp;B221&amp;C221,赠品!$A:$A&amp;赠品!$B:$B&amp;赠品!$C:$C,赠品!$D:$D)</f>
        <v/>
      </c>
      <c r="Q221" s="18" t="str">
        <f>IF($C221="","",IF(AND(M221="",N221="",P221=""),"",固定信息!$B$1))</f>
        <v/>
      </c>
      <c r="R221" s="18" t="str">
        <f t="array" ref="R221">IF(ISNUMBER(SEARCH("是",_xlfn.XLOOKUP(A221&amp;B221&amp;C221,盘货信息!$A:$A&amp;盘货信息!$B:$B&amp;盘货信息!$C:$C,盘货信息!$U:$U))),"【折扣】指定型号满2类享96折，满3类享94折","")</f>
        <v/>
      </c>
      <c r="S221" s="18" t="str">
        <f t="array" ref="S221">IF(_xlfn.XLOOKUP(A221&amp;B221&amp;C221,盘货信息!$A:$A&amp;盘货信息!$B:$B&amp;盘货信息!$C:$C,盘货信息!$Q:$Q)&lt;1,"","【红包】活动时间购机送"&amp;_xlfn.TEXTJOIN("",,IF(ISNUMBER(--MID(_xlfn.XLOOKUP(A221&amp;B221&amp;C221,盘货信息!$A:$A&amp;盘货信息!$B:$B&amp;盘货信息!$C:$C,盘货信息!$Q:$Q),_xlfn.SEQUENCE(LEN(_xlfn.XLOOKUP(A221&amp;B221&amp;C221,盘货信息!$A:$A&amp;盘货信息!$B:$B&amp;盘货信息!$C:$C,盘货信息!$Q:$Q))),1)),MID(_xlfn.XLOOKUP(A221&amp;B221&amp;C221,盘货信息!$A:$A&amp;盘货信息!$B:$B&amp;盘货信息!$C:$C,盘货信息!$Q:$Q),_xlfn.SEQUENCE(LEN(_xlfn.XLOOKUP(A221&amp;B221&amp;C221,盘货信息!$A:$A&amp;盘货信息!$B:$B&amp;盘货信息!$C:$C,盘货信息!$Q:$Q))),1),""))&amp;"元")</f>
        <v/>
      </c>
      <c r="T221" s="18" t="str">
        <f t="array" ref="T221">IF(ISNUMBER(SEARCH("是",_xlfn.XLOOKUP(A221&amp;B221&amp;C221,盘货信息!$A:$A&amp;盘货信息!$B:$B&amp;盘货信息!$C:$C,盘货信息!$T:$T))),"【瓜分】"&amp;固定信息!$B$7,"")</f>
        <v/>
      </c>
      <c r="U221" s="18" t="str">
        <f>IF($C221="","",IF(AND(R221="",S221="",T221=""),"",固定信息!$B$1))</f>
        <v/>
      </c>
      <c r="V221" s="18" t="str">
        <f t="array" ref="V221">IF(C221="","","【服务】"&amp;IF(_xlfn.XLOOKUP(A221&amp;B221&amp;C221,盘货信息!$A:$A&amp;盘货信息!$B:$B&amp;盘货信息!$C:$C,盘货信息!$V:$V)="","",_xlfn.XLOOKUP(A221&amp;B221&amp;C221,盘货信息!$A:$A&amp;盘货信息!$B:$B&amp;盘货信息!$C:$C,盘货信息!$V:$V)&amp;"免息,")&amp;IF(_xlfn.XLOOKUP(A221&amp;B221&amp;C221,盘货信息!$A:$A&amp;盘货信息!$B:$B&amp;盘货信息!$C:$C,盘货信息!$W:$W)="","",_xlfn.XLOOKUP(A221&amp;B221&amp;C221,盘货信息!$A:$A&amp;盘货信息!$B:$B&amp;盘货信息!$C:$C,盘货信息!$W:$W)&amp;"，")&amp;"送货入户，退换免运费")</f>
        <v/>
      </c>
    </row>
    <row r="222" customHeight="1" spans="1:22">
      <c r="A222" s="17" t="str">
        <f>IF(盘货信息!A222="","",盘货信息!A222)</f>
        <v/>
      </c>
      <c r="B222" s="20" t="str">
        <f>IF(盘货信息!B222="","",盘货信息!B222)</f>
        <v/>
      </c>
      <c r="C222" s="18" t="str">
        <f>IF(盘货信息!C222="","",盘货信息!C222)</f>
        <v/>
      </c>
      <c r="D222" s="18" t="str">
        <f ca="1" t="shared" si="3"/>
        <v/>
      </c>
      <c r="E222" s="18" t="str">
        <f>IF(C222="","",固定信息!$B$2)</f>
        <v/>
      </c>
      <c r="F222" s="18" t="str">
        <f t="array" ref="F222">IF(C222="","","【"&amp;C222&amp;"】"&amp;_xlfn.XLOOKUP(A222&amp;B222&amp;C222,盘货信息!$A:$A&amp;盘货信息!$B:$B&amp;盘货信息!$C:$C,盘货信息!$D:$D))</f>
        <v/>
      </c>
      <c r="G222" s="18" t="str">
        <f>IF(C222="","","【"&amp;"活动时间："&amp;固定信息!$B$3&amp;"】")</f>
        <v/>
      </c>
      <c r="H222" s="18" t="str">
        <f>IF($C222="","",固定信息!$B$1)</f>
        <v/>
      </c>
      <c r="I222" s="18"/>
      <c r="J222" s="18" t="str">
        <f t="array" ref="J222">_xlfn.XLOOKUP(A222&amp;B222&amp;C222,价格信息!$A:$A&amp;价格信息!$B:$B&amp;价格信息!$C:$C,价格信息!$D:$D)</f>
        <v/>
      </c>
      <c r="K222" s="31" t="str">
        <f t="array" ref="K222">IF(_xlfn.XLOOKUP(A222&amp;B222&amp;C222,价格信息!$A:$A&amp;价格信息!$B:$B&amp;价格信息!$C:$C,价格信息!$I:$I)="","","【优惠券链接】"&amp;固定信息!$B$6)</f>
        <v/>
      </c>
      <c r="L222" s="31" t="str">
        <f>IF($C222="","",固定信息!$B$1)</f>
        <v/>
      </c>
      <c r="M222" s="18" t="str">
        <f t="array" ref="M222">IF(_xlfn.XLOOKUP(A222&amp;B222&amp;C222,盘货信息!$A:$A&amp;盘货信息!$B:$B&amp;盘货信息!$C:$C,盘货信息!$O:$O)="","","【优惠券】领"&amp;INDEX(_wpsfn.REGEXP(_xlfn.XLOOKUP(A222&amp;B222&amp;C222,盘货信息!$A:$A&amp;盘货信息!$B:$B&amp;盘货信息!$C:$C,盘货信息!$O:$O),"\d+"),1,1)&amp;"元优惠券下单更优惠，优惠卷："&amp;_xlfn.XLOOKUP(A222&amp;B222&amp;C222,盘货信息!$A:$A&amp;盘货信息!$B:$B&amp;盘货信息!$C:$C,盘货信息!$P:$P))</f>
        <v/>
      </c>
      <c r="N222" s="18" t="str">
        <f t="array" ref="N222">IF(AND(ISNUMBER(_xlfn.XLOOKUP(A222&amp;B222&amp;C222,盘货信息!$A:$A&amp;盘货信息!$B:$B&amp;盘货信息!$C:$C,盘货信息!$I:$I)),_xlfn.XLOOKUP(A222&amp;B222&amp;C222,盘货信息!$A:$A&amp;盘货信息!$B:$B&amp;盘货信息!$C:$C,盘货信息!$I:$I)&gt;1),"【88VIP】立减"&amp;_xlfn.XLOOKUP(A222&amp;B222&amp;C222,盘货信息!$A:$A&amp;盘货信息!$B:$B&amp;盘货信息!$C:$C,盘货信息!$I:$I)&amp;"元","")</f>
        <v/>
      </c>
      <c r="O222" s="18" t="str">
        <f t="array" ref="O222">IF(_xlfn.XLOOKUP(A222&amp;B222&amp;C222,盘货信息!$A:$A&amp;盘货信息!$B:$B&amp;盘货信息!$C:$C,盘货信息!$K:$K)="","",IF(AND(_xlfn.XLOOKUP(A222&amp;B222&amp;C222,盘货信息!$A:$A&amp;盘货信息!$B:$B&amp;盘货信息!$C:$C,盘货信息!$G:$G)="不参加",_xlfn.XLOOKUP(A222&amp;B222&amp;C222,盘货信息!$A:$A&amp;盘货信息!$B:$B&amp;盘货信息!$C:$C,盘货信息!$H:$H)=""),"【以旧换新】"&amp;_xlfn.XLOOKUP(A222&amp;B222&amp;C222,盘货信息!$A:$A&amp;盘货信息!$B:$B&amp;盘货信息!$C:$C,盘货信息!$K:$K)&amp;"元以旧换新补贴（可无旧机换新）",""))</f>
        <v/>
      </c>
      <c r="P222" s="18" t="str">
        <f t="array" ref="P222">_xlfn.XLOOKUP(A222&amp;B222&amp;C222,赠品!$A:$A&amp;赠品!$B:$B&amp;赠品!$C:$C,赠品!$D:$D)</f>
        <v/>
      </c>
      <c r="Q222" s="18" t="str">
        <f>IF($C222="","",IF(AND(M222="",N222="",P222=""),"",固定信息!$B$1))</f>
        <v/>
      </c>
      <c r="R222" s="18" t="str">
        <f t="array" ref="R222">IF(ISNUMBER(SEARCH("是",_xlfn.XLOOKUP(A222&amp;B222&amp;C222,盘货信息!$A:$A&amp;盘货信息!$B:$B&amp;盘货信息!$C:$C,盘货信息!$U:$U))),"【折扣】指定型号满2类享96折，满3类享94折","")</f>
        <v/>
      </c>
      <c r="S222" s="18" t="str">
        <f t="array" ref="S222">IF(_xlfn.XLOOKUP(A222&amp;B222&amp;C222,盘货信息!$A:$A&amp;盘货信息!$B:$B&amp;盘货信息!$C:$C,盘货信息!$Q:$Q)&lt;1,"","【红包】活动时间购机送"&amp;_xlfn.TEXTJOIN("",,IF(ISNUMBER(--MID(_xlfn.XLOOKUP(A222&amp;B222&amp;C222,盘货信息!$A:$A&amp;盘货信息!$B:$B&amp;盘货信息!$C:$C,盘货信息!$Q:$Q),_xlfn.SEQUENCE(LEN(_xlfn.XLOOKUP(A222&amp;B222&amp;C222,盘货信息!$A:$A&amp;盘货信息!$B:$B&amp;盘货信息!$C:$C,盘货信息!$Q:$Q))),1)),MID(_xlfn.XLOOKUP(A222&amp;B222&amp;C222,盘货信息!$A:$A&amp;盘货信息!$B:$B&amp;盘货信息!$C:$C,盘货信息!$Q:$Q),_xlfn.SEQUENCE(LEN(_xlfn.XLOOKUP(A222&amp;B222&amp;C222,盘货信息!$A:$A&amp;盘货信息!$B:$B&amp;盘货信息!$C:$C,盘货信息!$Q:$Q))),1),""))&amp;"元")</f>
        <v/>
      </c>
      <c r="T222" s="18" t="str">
        <f t="array" ref="T222">IF(ISNUMBER(SEARCH("是",_xlfn.XLOOKUP(A222&amp;B222&amp;C222,盘货信息!$A:$A&amp;盘货信息!$B:$B&amp;盘货信息!$C:$C,盘货信息!$T:$T))),"【瓜分】"&amp;固定信息!$B$7,"")</f>
        <v/>
      </c>
      <c r="U222" s="18" t="str">
        <f>IF($C222="","",IF(AND(R222="",S222="",T222=""),"",固定信息!$B$1))</f>
        <v/>
      </c>
      <c r="V222" s="18" t="str">
        <f t="array" ref="V222">IF(C222="","","【服务】"&amp;IF(_xlfn.XLOOKUP(A222&amp;B222&amp;C222,盘货信息!$A:$A&amp;盘货信息!$B:$B&amp;盘货信息!$C:$C,盘货信息!$V:$V)="","",_xlfn.XLOOKUP(A222&amp;B222&amp;C222,盘货信息!$A:$A&amp;盘货信息!$B:$B&amp;盘货信息!$C:$C,盘货信息!$V:$V)&amp;"免息,")&amp;IF(_xlfn.XLOOKUP(A222&amp;B222&amp;C222,盘货信息!$A:$A&amp;盘货信息!$B:$B&amp;盘货信息!$C:$C,盘货信息!$W:$W)="","",_xlfn.XLOOKUP(A222&amp;B222&amp;C222,盘货信息!$A:$A&amp;盘货信息!$B:$B&amp;盘货信息!$C:$C,盘货信息!$W:$W)&amp;"，")&amp;"送货入户，退换免运费")</f>
        <v/>
      </c>
    </row>
    <row r="223" customHeight="1" spans="1:22">
      <c r="A223" s="17" t="str">
        <f>IF(盘货信息!A223="","",盘货信息!A223)</f>
        <v/>
      </c>
      <c r="B223" s="20" t="str">
        <f>IF(盘货信息!B223="","",盘货信息!B223)</f>
        <v/>
      </c>
      <c r="C223" s="18" t="str">
        <f>IF(盘货信息!C223="","",盘货信息!C223)</f>
        <v/>
      </c>
      <c r="D223" s="18" t="str">
        <f ca="1" t="shared" si="3"/>
        <v/>
      </c>
      <c r="E223" s="18" t="str">
        <f>IF(C223="","",固定信息!$B$2)</f>
        <v/>
      </c>
      <c r="F223" s="18" t="str">
        <f t="array" ref="F223">IF(C223="","","【"&amp;C223&amp;"】"&amp;_xlfn.XLOOKUP(A223&amp;B223&amp;C223,盘货信息!$A:$A&amp;盘货信息!$B:$B&amp;盘货信息!$C:$C,盘货信息!$D:$D))</f>
        <v/>
      </c>
      <c r="G223" s="18" t="str">
        <f>IF(C223="","","【"&amp;"活动时间："&amp;固定信息!$B$3&amp;"】")</f>
        <v/>
      </c>
      <c r="H223" s="18" t="str">
        <f>IF($C223="","",固定信息!$B$1)</f>
        <v/>
      </c>
      <c r="I223" s="18"/>
      <c r="J223" s="18" t="str">
        <f t="array" ref="J223">_xlfn.XLOOKUP(A223&amp;B223&amp;C223,价格信息!$A:$A&amp;价格信息!$B:$B&amp;价格信息!$C:$C,价格信息!$D:$D)</f>
        <v/>
      </c>
      <c r="K223" s="31" t="str">
        <f t="array" ref="K223">IF(_xlfn.XLOOKUP(A223&amp;B223&amp;C223,价格信息!$A:$A&amp;价格信息!$B:$B&amp;价格信息!$C:$C,价格信息!$I:$I)="","","【优惠券链接】"&amp;固定信息!$B$6)</f>
        <v/>
      </c>
      <c r="L223" s="31" t="str">
        <f>IF($C223="","",固定信息!$B$1)</f>
        <v/>
      </c>
      <c r="M223" s="18" t="str">
        <f t="array" ref="M223">IF(_xlfn.XLOOKUP(A223&amp;B223&amp;C223,盘货信息!$A:$A&amp;盘货信息!$B:$B&amp;盘货信息!$C:$C,盘货信息!$O:$O)="","","【优惠券】领"&amp;INDEX(_wpsfn.REGEXP(_xlfn.XLOOKUP(A223&amp;B223&amp;C223,盘货信息!$A:$A&amp;盘货信息!$B:$B&amp;盘货信息!$C:$C,盘货信息!$O:$O),"\d+"),1,1)&amp;"元优惠券下单更优惠，优惠卷："&amp;_xlfn.XLOOKUP(A223&amp;B223&amp;C223,盘货信息!$A:$A&amp;盘货信息!$B:$B&amp;盘货信息!$C:$C,盘货信息!$P:$P))</f>
        <v/>
      </c>
      <c r="N223" s="18" t="str">
        <f t="array" ref="N223">IF(AND(ISNUMBER(_xlfn.XLOOKUP(A223&amp;B223&amp;C223,盘货信息!$A:$A&amp;盘货信息!$B:$B&amp;盘货信息!$C:$C,盘货信息!$I:$I)),_xlfn.XLOOKUP(A223&amp;B223&amp;C223,盘货信息!$A:$A&amp;盘货信息!$B:$B&amp;盘货信息!$C:$C,盘货信息!$I:$I)&gt;1),"【88VIP】立减"&amp;_xlfn.XLOOKUP(A223&amp;B223&amp;C223,盘货信息!$A:$A&amp;盘货信息!$B:$B&amp;盘货信息!$C:$C,盘货信息!$I:$I)&amp;"元","")</f>
        <v/>
      </c>
      <c r="O223" s="18" t="str">
        <f t="array" ref="O223">IF(_xlfn.XLOOKUP(A223&amp;B223&amp;C223,盘货信息!$A:$A&amp;盘货信息!$B:$B&amp;盘货信息!$C:$C,盘货信息!$K:$K)="","",IF(AND(_xlfn.XLOOKUP(A223&amp;B223&amp;C223,盘货信息!$A:$A&amp;盘货信息!$B:$B&amp;盘货信息!$C:$C,盘货信息!$G:$G)="不参加",_xlfn.XLOOKUP(A223&amp;B223&amp;C223,盘货信息!$A:$A&amp;盘货信息!$B:$B&amp;盘货信息!$C:$C,盘货信息!$H:$H)=""),"【以旧换新】"&amp;_xlfn.XLOOKUP(A223&amp;B223&amp;C223,盘货信息!$A:$A&amp;盘货信息!$B:$B&amp;盘货信息!$C:$C,盘货信息!$K:$K)&amp;"元以旧换新补贴（可无旧机换新）",""))</f>
        <v/>
      </c>
      <c r="P223" s="18" t="str">
        <f t="array" ref="P223">_xlfn.XLOOKUP(A223&amp;B223&amp;C223,赠品!$A:$A&amp;赠品!$B:$B&amp;赠品!$C:$C,赠品!$D:$D)</f>
        <v/>
      </c>
      <c r="Q223" s="18" t="str">
        <f>IF($C223="","",IF(AND(M223="",N223="",P223=""),"",固定信息!$B$1))</f>
        <v/>
      </c>
      <c r="R223" s="18" t="str">
        <f t="array" ref="R223">IF(ISNUMBER(SEARCH("是",_xlfn.XLOOKUP(A223&amp;B223&amp;C223,盘货信息!$A:$A&amp;盘货信息!$B:$B&amp;盘货信息!$C:$C,盘货信息!$U:$U))),"【折扣】指定型号满2类享96折，满3类享94折","")</f>
        <v/>
      </c>
      <c r="S223" s="18" t="str">
        <f t="array" ref="S223">IF(_xlfn.XLOOKUP(A223&amp;B223&amp;C223,盘货信息!$A:$A&amp;盘货信息!$B:$B&amp;盘货信息!$C:$C,盘货信息!$Q:$Q)&lt;1,"","【红包】活动时间购机送"&amp;_xlfn.TEXTJOIN("",,IF(ISNUMBER(--MID(_xlfn.XLOOKUP(A223&amp;B223&amp;C223,盘货信息!$A:$A&amp;盘货信息!$B:$B&amp;盘货信息!$C:$C,盘货信息!$Q:$Q),_xlfn.SEQUENCE(LEN(_xlfn.XLOOKUP(A223&amp;B223&amp;C223,盘货信息!$A:$A&amp;盘货信息!$B:$B&amp;盘货信息!$C:$C,盘货信息!$Q:$Q))),1)),MID(_xlfn.XLOOKUP(A223&amp;B223&amp;C223,盘货信息!$A:$A&amp;盘货信息!$B:$B&amp;盘货信息!$C:$C,盘货信息!$Q:$Q),_xlfn.SEQUENCE(LEN(_xlfn.XLOOKUP(A223&amp;B223&amp;C223,盘货信息!$A:$A&amp;盘货信息!$B:$B&amp;盘货信息!$C:$C,盘货信息!$Q:$Q))),1),""))&amp;"元")</f>
        <v/>
      </c>
      <c r="T223" s="18" t="str">
        <f t="array" ref="T223">IF(ISNUMBER(SEARCH("是",_xlfn.XLOOKUP(A223&amp;B223&amp;C223,盘货信息!$A:$A&amp;盘货信息!$B:$B&amp;盘货信息!$C:$C,盘货信息!$T:$T))),"【瓜分】"&amp;固定信息!$B$7,"")</f>
        <v/>
      </c>
      <c r="U223" s="18" t="str">
        <f>IF($C223="","",IF(AND(R223="",S223="",T223=""),"",固定信息!$B$1))</f>
        <v/>
      </c>
      <c r="V223" s="18" t="str">
        <f t="array" ref="V223">IF(C223="","","【服务】"&amp;IF(_xlfn.XLOOKUP(A223&amp;B223&amp;C223,盘货信息!$A:$A&amp;盘货信息!$B:$B&amp;盘货信息!$C:$C,盘货信息!$V:$V)="","",_xlfn.XLOOKUP(A223&amp;B223&amp;C223,盘货信息!$A:$A&amp;盘货信息!$B:$B&amp;盘货信息!$C:$C,盘货信息!$V:$V)&amp;"免息,")&amp;IF(_xlfn.XLOOKUP(A223&amp;B223&amp;C223,盘货信息!$A:$A&amp;盘货信息!$B:$B&amp;盘货信息!$C:$C,盘货信息!$W:$W)="","",_xlfn.XLOOKUP(A223&amp;B223&amp;C223,盘货信息!$A:$A&amp;盘货信息!$B:$B&amp;盘货信息!$C:$C,盘货信息!$W:$W)&amp;"，")&amp;"送货入户，退换免运费")</f>
        <v/>
      </c>
    </row>
    <row r="224" customHeight="1" spans="1:22">
      <c r="A224" s="17" t="str">
        <f>IF(盘货信息!A224="","",盘货信息!A224)</f>
        <v/>
      </c>
      <c r="B224" s="20" t="str">
        <f>IF(盘货信息!B224="","",盘货信息!B224)</f>
        <v/>
      </c>
      <c r="C224" s="18" t="str">
        <f>IF(盘货信息!C224="","",盘货信息!C224)</f>
        <v/>
      </c>
      <c r="D224" s="18" t="str">
        <f ca="1" t="shared" si="3"/>
        <v/>
      </c>
      <c r="E224" s="18" t="str">
        <f>IF(C224="","",固定信息!$B$2)</f>
        <v/>
      </c>
      <c r="F224" s="18" t="str">
        <f t="array" ref="F224">IF(C224="","","【"&amp;C224&amp;"】"&amp;_xlfn.XLOOKUP(A224&amp;B224&amp;C224,盘货信息!$A:$A&amp;盘货信息!$B:$B&amp;盘货信息!$C:$C,盘货信息!$D:$D))</f>
        <v/>
      </c>
      <c r="G224" s="18" t="str">
        <f>IF(C224="","","【"&amp;"活动时间："&amp;固定信息!$B$3&amp;"】")</f>
        <v/>
      </c>
      <c r="H224" s="18" t="str">
        <f>IF($C224="","",固定信息!$B$1)</f>
        <v/>
      </c>
      <c r="I224" s="18"/>
      <c r="J224" s="18" t="str">
        <f t="array" ref="J224">_xlfn.XLOOKUP(A224&amp;B224&amp;C224,价格信息!$A:$A&amp;价格信息!$B:$B&amp;价格信息!$C:$C,价格信息!$D:$D)</f>
        <v/>
      </c>
      <c r="K224" s="31" t="str">
        <f t="array" ref="K224">IF(_xlfn.XLOOKUP(A224&amp;B224&amp;C224,价格信息!$A:$A&amp;价格信息!$B:$B&amp;价格信息!$C:$C,价格信息!$I:$I)="","","【优惠券链接】"&amp;固定信息!$B$6)</f>
        <v/>
      </c>
      <c r="L224" s="31" t="str">
        <f>IF($C224="","",固定信息!$B$1)</f>
        <v/>
      </c>
      <c r="M224" s="18" t="str">
        <f t="array" ref="M224">IF(_xlfn.XLOOKUP(A224&amp;B224&amp;C224,盘货信息!$A:$A&amp;盘货信息!$B:$B&amp;盘货信息!$C:$C,盘货信息!$O:$O)="","","【优惠券】领"&amp;INDEX(_wpsfn.REGEXP(_xlfn.XLOOKUP(A224&amp;B224&amp;C224,盘货信息!$A:$A&amp;盘货信息!$B:$B&amp;盘货信息!$C:$C,盘货信息!$O:$O),"\d+"),1,1)&amp;"元优惠券下单更优惠，优惠卷："&amp;_xlfn.XLOOKUP(A224&amp;B224&amp;C224,盘货信息!$A:$A&amp;盘货信息!$B:$B&amp;盘货信息!$C:$C,盘货信息!$P:$P))</f>
        <v/>
      </c>
      <c r="N224" s="18" t="str">
        <f t="array" ref="N224">IF(AND(ISNUMBER(_xlfn.XLOOKUP(A224&amp;B224&amp;C224,盘货信息!$A:$A&amp;盘货信息!$B:$B&amp;盘货信息!$C:$C,盘货信息!$I:$I)),_xlfn.XLOOKUP(A224&amp;B224&amp;C224,盘货信息!$A:$A&amp;盘货信息!$B:$B&amp;盘货信息!$C:$C,盘货信息!$I:$I)&gt;1),"【88VIP】立减"&amp;_xlfn.XLOOKUP(A224&amp;B224&amp;C224,盘货信息!$A:$A&amp;盘货信息!$B:$B&amp;盘货信息!$C:$C,盘货信息!$I:$I)&amp;"元","")</f>
        <v/>
      </c>
      <c r="O224" s="18" t="str">
        <f t="array" ref="O224">IF(_xlfn.XLOOKUP(A224&amp;B224&amp;C224,盘货信息!$A:$A&amp;盘货信息!$B:$B&amp;盘货信息!$C:$C,盘货信息!$K:$K)="","",IF(AND(_xlfn.XLOOKUP(A224&amp;B224&amp;C224,盘货信息!$A:$A&amp;盘货信息!$B:$B&amp;盘货信息!$C:$C,盘货信息!$G:$G)="不参加",_xlfn.XLOOKUP(A224&amp;B224&amp;C224,盘货信息!$A:$A&amp;盘货信息!$B:$B&amp;盘货信息!$C:$C,盘货信息!$H:$H)=""),"【以旧换新】"&amp;_xlfn.XLOOKUP(A224&amp;B224&amp;C224,盘货信息!$A:$A&amp;盘货信息!$B:$B&amp;盘货信息!$C:$C,盘货信息!$K:$K)&amp;"元以旧换新补贴（可无旧机换新）",""))</f>
        <v/>
      </c>
      <c r="P224" s="18" t="str">
        <f t="array" ref="P224">_xlfn.XLOOKUP(A224&amp;B224&amp;C224,赠品!$A:$A&amp;赠品!$B:$B&amp;赠品!$C:$C,赠品!$D:$D)</f>
        <v/>
      </c>
      <c r="Q224" s="18" t="str">
        <f>IF($C224="","",IF(AND(M224="",N224="",P224=""),"",固定信息!$B$1))</f>
        <v/>
      </c>
      <c r="R224" s="18" t="str">
        <f t="array" ref="R224">IF(ISNUMBER(SEARCH("是",_xlfn.XLOOKUP(A224&amp;B224&amp;C224,盘货信息!$A:$A&amp;盘货信息!$B:$B&amp;盘货信息!$C:$C,盘货信息!$U:$U))),"【折扣】指定型号满2类享96折，满3类享94折","")</f>
        <v/>
      </c>
      <c r="S224" s="18" t="str">
        <f t="array" ref="S224">IF(_xlfn.XLOOKUP(A224&amp;B224&amp;C224,盘货信息!$A:$A&amp;盘货信息!$B:$B&amp;盘货信息!$C:$C,盘货信息!$Q:$Q)&lt;1,"","【红包】活动时间购机送"&amp;_xlfn.TEXTJOIN("",,IF(ISNUMBER(--MID(_xlfn.XLOOKUP(A224&amp;B224&amp;C224,盘货信息!$A:$A&amp;盘货信息!$B:$B&amp;盘货信息!$C:$C,盘货信息!$Q:$Q),_xlfn.SEQUENCE(LEN(_xlfn.XLOOKUP(A224&amp;B224&amp;C224,盘货信息!$A:$A&amp;盘货信息!$B:$B&amp;盘货信息!$C:$C,盘货信息!$Q:$Q))),1)),MID(_xlfn.XLOOKUP(A224&amp;B224&amp;C224,盘货信息!$A:$A&amp;盘货信息!$B:$B&amp;盘货信息!$C:$C,盘货信息!$Q:$Q),_xlfn.SEQUENCE(LEN(_xlfn.XLOOKUP(A224&amp;B224&amp;C224,盘货信息!$A:$A&amp;盘货信息!$B:$B&amp;盘货信息!$C:$C,盘货信息!$Q:$Q))),1),""))&amp;"元")</f>
        <v/>
      </c>
      <c r="T224" s="18" t="str">
        <f t="array" ref="T224">IF(ISNUMBER(SEARCH("是",_xlfn.XLOOKUP(A224&amp;B224&amp;C224,盘货信息!$A:$A&amp;盘货信息!$B:$B&amp;盘货信息!$C:$C,盘货信息!$T:$T))),"【瓜分】"&amp;固定信息!$B$7,"")</f>
        <v/>
      </c>
      <c r="U224" s="18" t="str">
        <f>IF($C224="","",IF(AND(R224="",S224="",T224=""),"",固定信息!$B$1))</f>
        <v/>
      </c>
      <c r="V224" s="18" t="str">
        <f t="array" ref="V224">IF(C224="","","【服务】"&amp;IF(_xlfn.XLOOKUP(A224&amp;B224&amp;C224,盘货信息!$A:$A&amp;盘货信息!$B:$B&amp;盘货信息!$C:$C,盘货信息!$V:$V)="","",_xlfn.XLOOKUP(A224&amp;B224&amp;C224,盘货信息!$A:$A&amp;盘货信息!$B:$B&amp;盘货信息!$C:$C,盘货信息!$V:$V)&amp;"免息,")&amp;IF(_xlfn.XLOOKUP(A224&amp;B224&amp;C224,盘货信息!$A:$A&amp;盘货信息!$B:$B&amp;盘货信息!$C:$C,盘货信息!$W:$W)="","",_xlfn.XLOOKUP(A224&amp;B224&amp;C224,盘货信息!$A:$A&amp;盘货信息!$B:$B&amp;盘货信息!$C:$C,盘货信息!$W:$W)&amp;"，")&amp;"送货入户，退换免运费")</f>
        <v/>
      </c>
    </row>
    <row r="225" customHeight="1" spans="1:22">
      <c r="A225" s="17" t="str">
        <f>IF(盘货信息!A225="","",盘货信息!A225)</f>
        <v/>
      </c>
      <c r="B225" s="20" t="str">
        <f>IF(盘货信息!B225="","",盘货信息!B225)</f>
        <v/>
      </c>
      <c r="C225" s="18" t="str">
        <f>IF(盘货信息!C225="","",盘货信息!C225)</f>
        <v/>
      </c>
      <c r="D225" s="18" t="str">
        <f ca="1" t="shared" si="3"/>
        <v/>
      </c>
      <c r="E225" s="18" t="str">
        <f>IF(C225="","",固定信息!$B$2)</f>
        <v/>
      </c>
      <c r="F225" s="18" t="str">
        <f t="array" ref="F225">IF(C225="","","【"&amp;C225&amp;"】"&amp;_xlfn.XLOOKUP(A225&amp;B225&amp;C225,盘货信息!$A:$A&amp;盘货信息!$B:$B&amp;盘货信息!$C:$C,盘货信息!$D:$D))</f>
        <v/>
      </c>
      <c r="G225" s="18" t="str">
        <f>IF(C225="","","【"&amp;"活动时间："&amp;固定信息!$B$3&amp;"】")</f>
        <v/>
      </c>
      <c r="H225" s="18" t="str">
        <f>IF($C225="","",固定信息!$B$1)</f>
        <v/>
      </c>
      <c r="I225" s="18"/>
      <c r="J225" s="18" t="str">
        <f t="array" ref="J225">_xlfn.XLOOKUP(A225&amp;B225&amp;C225,价格信息!$A:$A&amp;价格信息!$B:$B&amp;价格信息!$C:$C,价格信息!$D:$D)</f>
        <v/>
      </c>
      <c r="K225" s="31" t="str">
        <f t="array" ref="K225">IF(_xlfn.XLOOKUP(A225&amp;B225&amp;C225,价格信息!$A:$A&amp;价格信息!$B:$B&amp;价格信息!$C:$C,价格信息!$I:$I)="","","【优惠券链接】"&amp;固定信息!$B$6)</f>
        <v/>
      </c>
      <c r="L225" s="31" t="str">
        <f>IF($C225="","",固定信息!$B$1)</f>
        <v/>
      </c>
      <c r="M225" s="18" t="str">
        <f t="array" ref="M225">IF(_xlfn.XLOOKUP(A225&amp;B225&amp;C225,盘货信息!$A:$A&amp;盘货信息!$B:$B&amp;盘货信息!$C:$C,盘货信息!$O:$O)="","","【优惠券】领"&amp;INDEX(_wpsfn.REGEXP(_xlfn.XLOOKUP(A225&amp;B225&amp;C225,盘货信息!$A:$A&amp;盘货信息!$B:$B&amp;盘货信息!$C:$C,盘货信息!$O:$O),"\d+"),1,1)&amp;"元优惠券下单更优惠，优惠卷："&amp;_xlfn.XLOOKUP(A225&amp;B225&amp;C225,盘货信息!$A:$A&amp;盘货信息!$B:$B&amp;盘货信息!$C:$C,盘货信息!$P:$P))</f>
        <v/>
      </c>
      <c r="N225" s="18" t="str">
        <f t="array" ref="N225">IF(AND(ISNUMBER(_xlfn.XLOOKUP(A225&amp;B225&amp;C225,盘货信息!$A:$A&amp;盘货信息!$B:$B&amp;盘货信息!$C:$C,盘货信息!$I:$I)),_xlfn.XLOOKUP(A225&amp;B225&amp;C225,盘货信息!$A:$A&amp;盘货信息!$B:$B&amp;盘货信息!$C:$C,盘货信息!$I:$I)&gt;1),"【88VIP】立减"&amp;_xlfn.XLOOKUP(A225&amp;B225&amp;C225,盘货信息!$A:$A&amp;盘货信息!$B:$B&amp;盘货信息!$C:$C,盘货信息!$I:$I)&amp;"元","")</f>
        <v/>
      </c>
      <c r="O225" s="18" t="str">
        <f t="array" ref="O225">IF(_xlfn.XLOOKUP(A225&amp;B225&amp;C225,盘货信息!$A:$A&amp;盘货信息!$B:$B&amp;盘货信息!$C:$C,盘货信息!$K:$K)="","",IF(AND(_xlfn.XLOOKUP(A225&amp;B225&amp;C225,盘货信息!$A:$A&amp;盘货信息!$B:$B&amp;盘货信息!$C:$C,盘货信息!$G:$G)="不参加",_xlfn.XLOOKUP(A225&amp;B225&amp;C225,盘货信息!$A:$A&amp;盘货信息!$B:$B&amp;盘货信息!$C:$C,盘货信息!$H:$H)=""),"【以旧换新】"&amp;_xlfn.XLOOKUP(A225&amp;B225&amp;C225,盘货信息!$A:$A&amp;盘货信息!$B:$B&amp;盘货信息!$C:$C,盘货信息!$K:$K)&amp;"元以旧换新补贴（可无旧机换新）",""))</f>
        <v/>
      </c>
      <c r="P225" s="18" t="str">
        <f t="array" ref="P225">_xlfn.XLOOKUP(A225&amp;B225&amp;C225,赠品!$A:$A&amp;赠品!$B:$B&amp;赠品!$C:$C,赠品!$D:$D)</f>
        <v/>
      </c>
      <c r="Q225" s="18" t="str">
        <f>IF($C225="","",IF(AND(M225="",N225="",P225=""),"",固定信息!$B$1))</f>
        <v/>
      </c>
      <c r="R225" s="18" t="str">
        <f t="array" ref="R225">IF(ISNUMBER(SEARCH("是",_xlfn.XLOOKUP(A225&amp;B225&amp;C225,盘货信息!$A:$A&amp;盘货信息!$B:$B&amp;盘货信息!$C:$C,盘货信息!$U:$U))),"【折扣】指定型号满2类享96折，满3类享94折","")</f>
        <v/>
      </c>
      <c r="S225" s="18" t="str">
        <f t="array" ref="S225">IF(_xlfn.XLOOKUP(A225&amp;B225&amp;C225,盘货信息!$A:$A&amp;盘货信息!$B:$B&amp;盘货信息!$C:$C,盘货信息!$Q:$Q)&lt;1,"","【红包】活动时间购机送"&amp;_xlfn.TEXTJOIN("",,IF(ISNUMBER(--MID(_xlfn.XLOOKUP(A225&amp;B225&amp;C225,盘货信息!$A:$A&amp;盘货信息!$B:$B&amp;盘货信息!$C:$C,盘货信息!$Q:$Q),_xlfn.SEQUENCE(LEN(_xlfn.XLOOKUP(A225&amp;B225&amp;C225,盘货信息!$A:$A&amp;盘货信息!$B:$B&amp;盘货信息!$C:$C,盘货信息!$Q:$Q))),1)),MID(_xlfn.XLOOKUP(A225&amp;B225&amp;C225,盘货信息!$A:$A&amp;盘货信息!$B:$B&amp;盘货信息!$C:$C,盘货信息!$Q:$Q),_xlfn.SEQUENCE(LEN(_xlfn.XLOOKUP(A225&amp;B225&amp;C225,盘货信息!$A:$A&amp;盘货信息!$B:$B&amp;盘货信息!$C:$C,盘货信息!$Q:$Q))),1),""))&amp;"元")</f>
        <v/>
      </c>
      <c r="T225" s="18" t="str">
        <f t="array" ref="T225">IF(ISNUMBER(SEARCH("是",_xlfn.XLOOKUP(A225&amp;B225&amp;C225,盘货信息!$A:$A&amp;盘货信息!$B:$B&amp;盘货信息!$C:$C,盘货信息!$T:$T))),"【瓜分】"&amp;固定信息!$B$7,"")</f>
        <v/>
      </c>
      <c r="U225" s="18" t="str">
        <f>IF($C225="","",IF(AND(R225="",S225="",T225=""),"",固定信息!$B$1))</f>
        <v/>
      </c>
      <c r="V225" s="18" t="str">
        <f t="array" ref="V225">IF(C225="","","【服务】"&amp;IF(_xlfn.XLOOKUP(A225&amp;B225&amp;C225,盘货信息!$A:$A&amp;盘货信息!$B:$B&amp;盘货信息!$C:$C,盘货信息!$V:$V)="","",_xlfn.XLOOKUP(A225&amp;B225&amp;C225,盘货信息!$A:$A&amp;盘货信息!$B:$B&amp;盘货信息!$C:$C,盘货信息!$V:$V)&amp;"免息,")&amp;IF(_xlfn.XLOOKUP(A225&amp;B225&amp;C225,盘货信息!$A:$A&amp;盘货信息!$B:$B&amp;盘货信息!$C:$C,盘货信息!$W:$W)="","",_xlfn.XLOOKUP(A225&amp;B225&amp;C225,盘货信息!$A:$A&amp;盘货信息!$B:$B&amp;盘货信息!$C:$C,盘货信息!$W:$W)&amp;"，")&amp;"送货入户，退换免运费")</f>
        <v/>
      </c>
    </row>
    <row r="226" customHeight="1" spans="1:22">
      <c r="A226" s="17" t="str">
        <f>IF(盘货信息!A226="","",盘货信息!A226)</f>
        <v/>
      </c>
      <c r="B226" s="20" t="str">
        <f>IF(盘货信息!B226="","",盘货信息!B226)</f>
        <v/>
      </c>
      <c r="C226" s="18" t="str">
        <f>IF(盘货信息!C226="","",盘货信息!C226)</f>
        <v/>
      </c>
      <c r="D226" s="18" t="str">
        <f ca="1" t="shared" si="3"/>
        <v/>
      </c>
      <c r="E226" s="18" t="str">
        <f>IF(C226="","",固定信息!$B$2)</f>
        <v/>
      </c>
      <c r="F226" s="18" t="str">
        <f t="array" ref="F226">IF(C226="","","【"&amp;C226&amp;"】"&amp;_xlfn.XLOOKUP(A226&amp;B226&amp;C226,盘货信息!$A:$A&amp;盘货信息!$B:$B&amp;盘货信息!$C:$C,盘货信息!$D:$D))</f>
        <v/>
      </c>
      <c r="G226" s="18" t="str">
        <f>IF(C226="","","【"&amp;"活动时间："&amp;固定信息!$B$3&amp;"】")</f>
        <v/>
      </c>
      <c r="H226" s="18" t="str">
        <f>IF($C226="","",固定信息!$B$1)</f>
        <v/>
      </c>
      <c r="I226" s="18"/>
      <c r="J226" s="18" t="str">
        <f t="array" ref="J226">_xlfn.XLOOKUP(A226&amp;B226&amp;C226,价格信息!$A:$A&amp;价格信息!$B:$B&amp;价格信息!$C:$C,价格信息!$D:$D)</f>
        <v/>
      </c>
      <c r="K226" s="31" t="str">
        <f t="array" ref="K226">IF(_xlfn.XLOOKUP(A226&amp;B226&amp;C226,价格信息!$A:$A&amp;价格信息!$B:$B&amp;价格信息!$C:$C,价格信息!$I:$I)="","","【优惠券链接】"&amp;固定信息!$B$6)</f>
        <v/>
      </c>
      <c r="L226" s="31" t="str">
        <f>IF($C226="","",固定信息!$B$1)</f>
        <v/>
      </c>
      <c r="M226" s="18" t="str">
        <f t="array" ref="M226">IF(_xlfn.XLOOKUP(A226&amp;B226&amp;C226,盘货信息!$A:$A&amp;盘货信息!$B:$B&amp;盘货信息!$C:$C,盘货信息!$O:$O)="","","【优惠券】领"&amp;INDEX(_wpsfn.REGEXP(_xlfn.XLOOKUP(A226&amp;B226&amp;C226,盘货信息!$A:$A&amp;盘货信息!$B:$B&amp;盘货信息!$C:$C,盘货信息!$O:$O),"\d+"),1,1)&amp;"元优惠券下单更优惠，优惠卷："&amp;_xlfn.XLOOKUP(A226&amp;B226&amp;C226,盘货信息!$A:$A&amp;盘货信息!$B:$B&amp;盘货信息!$C:$C,盘货信息!$P:$P))</f>
        <v/>
      </c>
      <c r="N226" s="18" t="str">
        <f t="array" ref="N226">IF(AND(ISNUMBER(_xlfn.XLOOKUP(A226&amp;B226&amp;C226,盘货信息!$A:$A&amp;盘货信息!$B:$B&amp;盘货信息!$C:$C,盘货信息!$I:$I)),_xlfn.XLOOKUP(A226&amp;B226&amp;C226,盘货信息!$A:$A&amp;盘货信息!$B:$B&amp;盘货信息!$C:$C,盘货信息!$I:$I)&gt;1),"【88VIP】立减"&amp;_xlfn.XLOOKUP(A226&amp;B226&amp;C226,盘货信息!$A:$A&amp;盘货信息!$B:$B&amp;盘货信息!$C:$C,盘货信息!$I:$I)&amp;"元","")</f>
        <v/>
      </c>
      <c r="O226" s="18" t="str">
        <f t="array" ref="O226">IF(_xlfn.XLOOKUP(A226&amp;B226&amp;C226,盘货信息!$A:$A&amp;盘货信息!$B:$B&amp;盘货信息!$C:$C,盘货信息!$K:$K)="","",IF(AND(_xlfn.XLOOKUP(A226&amp;B226&amp;C226,盘货信息!$A:$A&amp;盘货信息!$B:$B&amp;盘货信息!$C:$C,盘货信息!$G:$G)="不参加",_xlfn.XLOOKUP(A226&amp;B226&amp;C226,盘货信息!$A:$A&amp;盘货信息!$B:$B&amp;盘货信息!$C:$C,盘货信息!$H:$H)=""),"【以旧换新】"&amp;_xlfn.XLOOKUP(A226&amp;B226&amp;C226,盘货信息!$A:$A&amp;盘货信息!$B:$B&amp;盘货信息!$C:$C,盘货信息!$K:$K)&amp;"元以旧换新补贴（可无旧机换新）",""))</f>
        <v/>
      </c>
      <c r="P226" s="18" t="str">
        <f t="array" ref="P226">_xlfn.XLOOKUP(A226&amp;B226&amp;C226,赠品!$A:$A&amp;赠品!$B:$B&amp;赠品!$C:$C,赠品!$D:$D)</f>
        <v/>
      </c>
      <c r="Q226" s="18" t="str">
        <f>IF($C226="","",IF(AND(M226="",N226="",P226=""),"",固定信息!$B$1))</f>
        <v/>
      </c>
      <c r="R226" s="18" t="str">
        <f t="array" ref="R226">IF(ISNUMBER(SEARCH("是",_xlfn.XLOOKUP(A226&amp;B226&amp;C226,盘货信息!$A:$A&amp;盘货信息!$B:$B&amp;盘货信息!$C:$C,盘货信息!$U:$U))),"【折扣】指定型号满2类享96折，满3类享94折","")</f>
        <v/>
      </c>
      <c r="S226" s="18" t="str">
        <f t="array" ref="S226">IF(_xlfn.XLOOKUP(A226&amp;B226&amp;C226,盘货信息!$A:$A&amp;盘货信息!$B:$B&amp;盘货信息!$C:$C,盘货信息!$Q:$Q)&lt;1,"","【红包】活动时间购机送"&amp;_xlfn.TEXTJOIN("",,IF(ISNUMBER(--MID(_xlfn.XLOOKUP(A226&amp;B226&amp;C226,盘货信息!$A:$A&amp;盘货信息!$B:$B&amp;盘货信息!$C:$C,盘货信息!$Q:$Q),_xlfn.SEQUENCE(LEN(_xlfn.XLOOKUP(A226&amp;B226&amp;C226,盘货信息!$A:$A&amp;盘货信息!$B:$B&amp;盘货信息!$C:$C,盘货信息!$Q:$Q))),1)),MID(_xlfn.XLOOKUP(A226&amp;B226&amp;C226,盘货信息!$A:$A&amp;盘货信息!$B:$B&amp;盘货信息!$C:$C,盘货信息!$Q:$Q),_xlfn.SEQUENCE(LEN(_xlfn.XLOOKUP(A226&amp;B226&amp;C226,盘货信息!$A:$A&amp;盘货信息!$B:$B&amp;盘货信息!$C:$C,盘货信息!$Q:$Q))),1),""))&amp;"元")</f>
        <v/>
      </c>
      <c r="T226" s="18" t="str">
        <f t="array" ref="T226">IF(ISNUMBER(SEARCH("是",_xlfn.XLOOKUP(A226&amp;B226&amp;C226,盘货信息!$A:$A&amp;盘货信息!$B:$B&amp;盘货信息!$C:$C,盘货信息!$T:$T))),"【瓜分】"&amp;固定信息!$B$7,"")</f>
        <v/>
      </c>
      <c r="U226" s="18" t="str">
        <f>IF($C226="","",IF(AND(R226="",S226="",T226=""),"",固定信息!$B$1))</f>
        <v/>
      </c>
      <c r="V226" s="18" t="str">
        <f t="array" ref="V226">IF(C226="","","【服务】"&amp;IF(_xlfn.XLOOKUP(A226&amp;B226&amp;C226,盘货信息!$A:$A&amp;盘货信息!$B:$B&amp;盘货信息!$C:$C,盘货信息!$V:$V)="","",_xlfn.XLOOKUP(A226&amp;B226&amp;C226,盘货信息!$A:$A&amp;盘货信息!$B:$B&amp;盘货信息!$C:$C,盘货信息!$V:$V)&amp;"免息,")&amp;IF(_xlfn.XLOOKUP(A226&amp;B226&amp;C226,盘货信息!$A:$A&amp;盘货信息!$B:$B&amp;盘货信息!$C:$C,盘货信息!$W:$W)="","",_xlfn.XLOOKUP(A226&amp;B226&amp;C226,盘货信息!$A:$A&amp;盘货信息!$B:$B&amp;盘货信息!$C:$C,盘货信息!$W:$W)&amp;"，")&amp;"送货入户，退换免运费")</f>
        <v/>
      </c>
    </row>
    <row r="227" customHeight="1" spans="1:22">
      <c r="A227" s="17" t="str">
        <f>IF(盘货信息!A227="","",盘货信息!A227)</f>
        <v/>
      </c>
      <c r="B227" s="20" t="str">
        <f>IF(盘货信息!B227="","",盘货信息!B227)</f>
        <v/>
      </c>
      <c r="C227" s="18" t="str">
        <f>IF(盘货信息!C227="","",盘货信息!C227)</f>
        <v/>
      </c>
      <c r="D227" s="18" t="str">
        <f ca="1" t="shared" si="3"/>
        <v/>
      </c>
      <c r="E227" s="18" t="str">
        <f>IF(C227="","",固定信息!$B$2)</f>
        <v/>
      </c>
      <c r="F227" s="18" t="str">
        <f t="array" ref="F227">IF(C227="","","【"&amp;C227&amp;"】"&amp;_xlfn.XLOOKUP(A227&amp;B227&amp;C227,盘货信息!$A:$A&amp;盘货信息!$B:$B&amp;盘货信息!$C:$C,盘货信息!$D:$D))</f>
        <v/>
      </c>
      <c r="G227" s="18" t="str">
        <f>IF(C227="","","【"&amp;"活动时间："&amp;固定信息!$B$3&amp;"】")</f>
        <v/>
      </c>
      <c r="H227" s="18" t="str">
        <f>IF($C227="","",固定信息!$B$1)</f>
        <v/>
      </c>
      <c r="I227" s="18"/>
      <c r="J227" s="18" t="str">
        <f t="array" ref="J227">_xlfn.XLOOKUP(A227&amp;B227&amp;C227,价格信息!$A:$A&amp;价格信息!$B:$B&amp;价格信息!$C:$C,价格信息!$D:$D)</f>
        <v/>
      </c>
      <c r="K227" s="31" t="str">
        <f t="array" ref="K227">IF(_xlfn.XLOOKUP(A227&amp;B227&amp;C227,价格信息!$A:$A&amp;价格信息!$B:$B&amp;价格信息!$C:$C,价格信息!$I:$I)="","","【优惠券链接】"&amp;固定信息!$B$6)</f>
        <v/>
      </c>
      <c r="L227" s="31" t="str">
        <f>IF($C227="","",固定信息!$B$1)</f>
        <v/>
      </c>
      <c r="M227" s="18" t="str">
        <f t="array" ref="M227">IF(_xlfn.XLOOKUP(A227&amp;B227&amp;C227,盘货信息!$A:$A&amp;盘货信息!$B:$B&amp;盘货信息!$C:$C,盘货信息!$O:$O)="","","【优惠券】领"&amp;INDEX(_wpsfn.REGEXP(_xlfn.XLOOKUP(A227&amp;B227&amp;C227,盘货信息!$A:$A&amp;盘货信息!$B:$B&amp;盘货信息!$C:$C,盘货信息!$O:$O),"\d+"),1,1)&amp;"元优惠券下单更优惠，优惠卷："&amp;_xlfn.XLOOKUP(A227&amp;B227&amp;C227,盘货信息!$A:$A&amp;盘货信息!$B:$B&amp;盘货信息!$C:$C,盘货信息!$P:$P))</f>
        <v/>
      </c>
      <c r="N227" s="18" t="str">
        <f t="array" ref="N227">IF(AND(ISNUMBER(_xlfn.XLOOKUP(A227&amp;B227&amp;C227,盘货信息!$A:$A&amp;盘货信息!$B:$B&amp;盘货信息!$C:$C,盘货信息!$I:$I)),_xlfn.XLOOKUP(A227&amp;B227&amp;C227,盘货信息!$A:$A&amp;盘货信息!$B:$B&amp;盘货信息!$C:$C,盘货信息!$I:$I)&gt;1),"【88VIP】立减"&amp;_xlfn.XLOOKUP(A227&amp;B227&amp;C227,盘货信息!$A:$A&amp;盘货信息!$B:$B&amp;盘货信息!$C:$C,盘货信息!$I:$I)&amp;"元","")</f>
        <v/>
      </c>
      <c r="O227" s="18" t="str">
        <f t="array" ref="O227">IF(_xlfn.XLOOKUP(A227&amp;B227&amp;C227,盘货信息!$A:$A&amp;盘货信息!$B:$B&amp;盘货信息!$C:$C,盘货信息!$K:$K)="","",IF(AND(_xlfn.XLOOKUP(A227&amp;B227&amp;C227,盘货信息!$A:$A&amp;盘货信息!$B:$B&amp;盘货信息!$C:$C,盘货信息!$G:$G)="不参加",_xlfn.XLOOKUP(A227&amp;B227&amp;C227,盘货信息!$A:$A&amp;盘货信息!$B:$B&amp;盘货信息!$C:$C,盘货信息!$H:$H)=""),"【以旧换新】"&amp;_xlfn.XLOOKUP(A227&amp;B227&amp;C227,盘货信息!$A:$A&amp;盘货信息!$B:$B&amp;盘货信息!$C:$C,盘货信息!$K:$K)&amp;"元以旧换新补贴（可无旧机换新）",""))</f>
        <v/>
      </c>
      <c r="P227" s="18" t="str">
        <f t="array" ref="P227">_xlfn.XLOOKUP(A227&amp;B227&amp;C227,赠品!$A:$A&amp;赠品!$B:$B&amp;赠品!$C:$C,赠品!$D:$D)</f>
        <v/>
      </c>
      <c r="Q227" s="18" t="str">
        <f>IF($C227="","",IF(AND(M227="",N227="",P227=""),"",固定信息!$B$1))</f>
        <v/>
      </c>
      <c r="R227" s="18" t="str">
        <f t="array" ref="R227">IF(ISNUMBER(SEARCH("是",_xlfn.XLOOKUP(A227&amp;B227&amp;C227,盘货信息!$A:$A&amp;盘货信息!$B:$B&amp;盘货信息!$C:$C,盘货信息!$U:$U))),"【折扣】指定型号满2类享96折，满3类享94折","")</f>
        <v/>
      </c>
      <c r="S227" s="18" t="str">
        <f t="array" ref="S227">IF(_xlfn.XLOOKUP(A227&amp;B227&amp;C227,盘货信息!$A:$A&amp;盘货信息!$B:$B&amp;盘货信息!$C:$C,盘货信息!$Q:$Q)&lt;1,"","【红包】活动时间购机送"&amp;_xlfn.TEXTJOIN("",,IF(ISNUMBER(--MID(_xlfn.XLOOKUP(A227&amp;B227&amp;C227,盘货信息!$A:$A&amp;盘货信息!$B:$B&amp;盘货信息!$C:$C,盘货信息!$Q:$Q),_xlfn.SEQUENCE(LEN(_xlfn.XLOOKUP(A227&amp;B227&amp;C227,盘货信息!$A:$A&amp;盘货信息!$B:$B&amp;盘货信息!$C:$C,盘货信息!$Q:$Q))),1)),MID(_xlfn.XLOOKUP(A227&amp;B227&amp;C227,盘货信息!$A:$A&amp;盘货信息!$B:$B&amp;盘货信息!$C:$C,盘货信息!$Q:$Q),_xlfn.SEQUENCE(LEN(_xlfn.XLOOKUP(A227&amp;B227&amp;C227,盘货信息!$A:$A&amp;盘货信息!$B:$B&amp;盘货信息!$C:$C,盘货信息!$Q:$Q))),1),""))&amp;"元")</f>
        <v/>
      </c>
      <c r="T227" s="18" t="str">
        <f t="array" ref="T227">IF(ISNUMBER(SEARCH("是",_xlfn.XLOOKUP(A227&amp;B227&amp;C227,盘货信息!$A:$A&amp;盘货信息!$B:$B&amp;盘货信息!$C:$C,盘货信息!$T:$T))),"【瓜分】"&amp;固定信息!$B$7,"")</f>
        <v/>
      </c>
      <c r="U227" s="18" t="str">
        <f>IF($C227="","",IF(AND(R227="",S227="",T227=""),"",固定信息!$B$1))</f>
        <v/>
      </c>
      <c r="V227" s="18" t="str">
        <f t="array" ref="V227">IF(C227="","","【服务】"&amp;IF(_xlfn.XLOOKUP(A227&amp;B227&amp;C227,盘货信息!$A:$A&amp;盘货信息!$B:$B&amp;盘货信息!$C:$C,盘货信息!$V:$V)="","",_xlfn.XLOOKUP(A227&amp;B227&amp;C227,盘货信息!$A:$A&amp;盘货信息!$B:$B&amp;盘货信息!$C:$C,盘货信息!$V:$V)&amp;"免息,")&amp;IF(_xlfn.XLOOKUP(A227&amp;B227&amp;C227,盘货信息!$A:$A&amp;盘货信息!$B:$B&amp;盘货信息!$C:$C,盘货信息!$W:$W)="","",_xlfn.XLOOKUP(A227&amp;B227&amp;C227,盘货信息!$A:$A&amp;盘货信息!$B:$B&amp;盘货信息!$C:$C,盘货信息!$W:$W)&amp;"，")&amp;"送货入户，退换免运费")</f>
        <v/>
      </c>
    </row>
    <row r="228" customHeight="1" spans="1:22">
      <c r="A228" s="17" t="str">
        <f>IF(盘货信息!A228="","",盘货信息!A228)</f>
        <v/>
      </c>
      <c r="B228" s="20" t="str">
        <f>IF(盘货信息!B228="","",盘货信息!B228)</f>
        <v/>
      </c>
      <c r="C228" s="18" t="str">
        <f>IF(盘货信息!C228="","",盘货信息!C228)</f>
        <v/>
      </c>
      <c r="D228" s="18" t="str">
        <f ca="1" t="shared" si="3"/>
        <v/>
      </c>
      <c r="E228" s="18" t="str">
        <f>IF(C228="","",固定信息!$B$2)</f>
        <v/>
      </c>
      <c r="F228" s="18" t="str">
        <f t="array" ref="F228">IF(C228="","","【"&amp;C228&amp;"】"&amp;_xlfn.XLOOKUP(A228&amp;B228&amp;C228,盘货信息!$A:$A&amp;盘货信息!$B:$B&amp;盘货信息!$C:$C,盘货信息!$D:$D))</f>
        <v/>
      </c>
      <c r="G228" s="18" t="str">
        <f>IF(C228="","","【"&amp;"活动时间："&amp;固定信息!$B$3&amp;"】")</f>
        <v/>
      </c>
      <c r="H228" s="18" t="str">
        <f>IF($C228="","",固定信息!$B$1)</f>
        <v/>
      </c>
      <c r="I228" s="18"/>
      <c r="J228" s="18" t="str">
        <f t="array" ref="J228">_xlfn.XLOOKUP(A228&amp;B228&amp;C228,价格信息!$A:$A&amp;价格信息!$B:$B&amp;价格信息!$C:$C,价格信息!$D:$D)</f>
        <v/>
      </c>
      <c r="K228" s="31" t="str">
        <f t="array" ref="K228">IF(_xlfn.XLOOKUP(A228&amp;B228&amp;C228,价格信息!$A:$A&amp;价格信息!$B:$B&amp;价格信息!$C:$C,价格信息!$I:$I)="","","【优惠券链接】"&amp;固定信息!$B$6)</f>
        <v/>
      </c>
      <c r="L228" s="31" t="str">
        <f>IF($C228="","",固定信息!$B$1)</f>
        <v/>
      </c>
      <c r="M228" s="18" t="str">
        <f t="array" ref="M228">IF(_xlfn.XLOOKUP(A228&amp;B228&amp;C228,盘货信息!$A:$A&amp;盘货信息!$B:$B&amp;盘货信息!$C:$C,盘货信息!$O:$O)="","","【优惠券】领"&amp;INDEX(_wpsfn.REGEXP(_xlfn.XLOOKUP(A228&amp;B228&amp;C228,盘货信息!$A:$A&amp;盘货信息!$B:$B&amp;盘货信息!$C:$C,盘货信息!$O:$O),"\d+"),1,1)&amp;"元优惠券下单更优惠，优惠卷："&amp;_xlfn.XLOOKUP(A228&amp;B228&amp;C228,盘货信息!$A:$A&amp;盘货信息!$B:$B&amp;盘货信息!$C:$C,盘货信息!$P:$P))</f>
        <v/>
      </c>
      <c r="N228" s="18" t="str">
        <f t="array" ref="N228">IF(AND(ISNUMBER(_xlfn.XLOOKUP(A228&amp;B228&amp;C228,盘货信息!$A:$A&amp;盘货信息!$B:$B&amp;盘货信息!$C:$C,盘货信息!$I:$I)),_xlfn.XLOOKUP(A228&amp;B228&amp;C228,盘货信息!$A:$A&amp;盘货信息!$B:$B&amp;盘货信息!$C:$C,盘货信息!$I:$I)&gt;1),"【88VIP】立减"&amp;_xlfn.XLOOKUP(A228&amp;B228&amp;C228,盘货信息!$A:$A&amp;盘货信息!$B:$B&amp;盘货信息!$C:$C,盘货信息!$I:$I)&amp;"元","")</f>
        <v/>
      </c>
      <c r="O228" s="18" t="str">
        <f t="array" ref="O228">IF(_xlfn.XLOOKUP(A228&amp;B228&amp;C228,盘货信息!$A:$A&amp;盘货信息!$B:$B&amp;盘货信息!$C:$C,盘货信息!$K:$K)="","",IF(AND(_xlfn.XLOOKUP(A228&amp;B228&amp;C228,盘货信息!$A:$A&amp;盘货信息!$B:$B&amp;盘货信息!$C:$C,盘货信息!$G:$G)="不参加",_xlfn.XLOOKUP(A228&amp;B228&amp;C228,盘货信息!$A:$A&amp;盘货信息!$B:$B&amp;盘货信息!$C:$C,盘货信息!$H:$H)=""),"【以旧换新】"&amp;_xlfn.XLOOKUP(A228&amp;B228&amp;C228,盘货信息!$A:$A&amp;盘货信息!$B:$B&amp;盘货信息!$C:$C,盘货信息!$K:$K)&amp;"元以旧换新补贴（可无旧机换新）",""))</f>
        <v/>
      </c>
      <c r="P228" s="18" t="str">
        <f t="array" ref="P228">_xlfn.XLOOKUP(A228&amp;B228&amp;C228,赠品!$A:$A&amp;赠品!$B:$B&amp;赠品!$C:$C,赠品!$D:$D)</f>
        <v/>
      </c>
      <c r="Q228" s="18" t="str">
        <f>IF($C228="","",IF(AND(M228="",N228="",P228=""),"",固定信息!$B$1))</f>
        <v/>
      </c>
      <c r="R228" s="18" t="str">
        <f t="array" ref="R228">IF(ISNUMBER(SEARCH("是",_xlfn.XLOOKUP(A228&amp;B228&amp;C228,盘货信息!$A:$A&amp;盘货信息!$B:$B&amp;盘货信息!$C:$C,盘货信息!$U:$U))),"【折扣】指定型号满2类享96折，满3类享94折","")</f>
        <v/>
      </c>
      <c r="S228" s="18" t="str">
        <f t="array" ref="S228">IF(_xlfn.XLOOKUP(A228&amp;B228&amp;C228,盘货信息!$A:$A&amp;盘货信息!$B:$B&amp;盘货信息!$C:$C,盘货信息!$Q:$Q)&lt;1,"","【红包】活动时间购机送"&amp;_xlfn.TEXTJOIN("",,IF(ISNUMBER(--MID(_xlfn.XLOOKUP(A228&amp;B228&amp;C228,盘货信息!$A:$A&amp;盘货信息!$B:$B&amp;盘货信息!$C:$C,盘货信息!$Q:$Q),_xlfn.SEQUENCE(LEN(_xlfn.XLOOKUP(A228&amp;B228&amp;C228,盘货信息!$A:$A&amp;盘货信息!$B:$B&amp;盘货信息!$C:$C,盘货信息!$Q:$Q))),1)),MID(_xlfn.XLOOKUP(A228&amp;B228&amp;C228,盘货信息!$A:$A&amp;盘货信息!$B:$B&amp;盘货信息!$C:$C,盘货信息!$Q:$Q),_xlfn.SEQUENCE(LEN(_xlfn.XLOOKUP(A228&amp;B228&amp;C228,盘货信息!$A:$A&amp;盘货信息!$B:$B&amp;盘货信息!$C:$C,盘货信息!$Q:$Q))),1),""))&amp;"元")</f>
        <v/>
      </c>
      <c r="T228" s="18" t="str">
        <f t="array" ref="T228">IF(ISNUMBER(SEARCH("是",_xlfn.XLOOKUP(A228&amp;B228&amp;C228,盘货信息!$A:$A&amp;盘货信息!$B:$B&amp;盘货信息!$C:$C,盘货信息!$T:$T))),"【瓜分】"&amp;固定信息!$B$7,"")</f>
        <v/>
      </c>
      <c r="U228" s="18" t="str">
        <f>IF($C228="","",IF(AND(R228="",S228="",T228=""),"",固定信息!$B$1))</f>
        <v/>
      </c>
      <c r="V228" s="18" t="str">
        <f t="array" ref="V228">IF(C228="","","【服务】"&amp;IF(_xlfn.XLOOKUP(A228&amp;B228&amp;C228,盘货信息!$A:$A&amp;盘货信息!$B:$B&amp;盘货信息!$C:$C,盘货信息!$V:$V)="","",_xlfn.XLOOKUP(A228&amp;B228&amp;C228,盘货信息!$A:$A&amp;盘货信息!$B:$B&amp;盘货信息!$C:$C,盘货信息!$V:$V)&amp;"免息,")&amp;IF(_xlfn.XLOOKUP(A228&amp;B228&amp;C228,盘货信息!$A:$A&amp;盘货信息!$B:$B&amp;盘货信息!$C:$C,盘货信息!$W:$W)="","",_xlfn.XLOOKUP(A228&amp;B228&amp;C228,盘货信息!$A:$A&amp;盘货信息!$B:$B&amp;盘货信息!$C:$C,盘货信息!$W:$W)&amp;"，")&amp;"送货入户，退换免运费")</f>
        <v/>
      </c>
    </row>
    <row r="229" customHeight="1" spans="1:22">
      <c r="A229" s="17" t="str">
        <f>IF(盘货信息!A229="","",盘货信息!A229)</f>
        <v/>
      </c>
      <c r="B229" s="20" t="str">
        <f>IF(盘货信息!B229="","",盘货信息!B229)</f>
        <v/>
      </c>
      <c r="C229" s="18" t="str">
        <f>IF(盘货信息!C229="","",盘货信息!C229)</f>
        <v/>
      </c>
      <c r="D229" s="18" t="str">
        <f ca="1" t="shared" si="3"/>
        <v/>
      </c>
      <c r="E229" s="18" t="str">
        <f>IF(C229="","",固定信息!$B$2)</f>
        <v/>
      </c>
      <c r="F229" s="18" t="str">
        <f t="array" ref="F229">IF(C229="","","【"&amp;C229&amp;"】"&amp;_xlfn.XLOOKUP(A229&amp;B229&amp;C229,盘货信息!$A:$A&amp;盘货信息!$B:$B&amp;盘货信息!$C:$C,盘货信息!$D:$D))</f>
        <v/>
      </c>
      <c r="G229" s="18" t="str">
        <f>IF(C229="","","【"&amp;"活动时间："&amp;固定信息!$B$3&amp;"】")</f>
        <v/>
      </c>
      <c r="H229" s="18" t="str">
        <f>IF($C229="","",固定信息!$B$1)</f>
        <v/>
      </c>
      <c r="I229" s="18"/>
      <c r="J229" s="18" t="str">
        <f t="array" ref="J229">_xlfn.XLOOKUP(A229&amp;B229&amp;C229,价格信息!$A:$A&amp;价格信息!$B:$B&amp;价格信息!$C:$C,价格信息!$D:$D)</f>
        <v/>
      </c>
      <c r="K229" s="31" t="str">
        <f t="array" ref="K229">IF(_xlfn.XLOOKUP(A229&amp;B229&amp;C229,价格信息!$A:$A&amp;价格信息!$B:$B&amp;价格信息!$C:$C,价格信息!$I:$I)="","","【优惠券链接】"&amp;固定信息!$B$6)</f>
        <v/>
      </c>
      <c r="L229" s="31" t="str">
        <f>IF($C229="","",固定信息!$B$1)</f>
        <v/>
      </c>
      <c r="M229" s="18" t="str">
        <f t="array" ref="M229">IF(_xlfn.XLOOKUP(A229&amp;B229&amp;C229,盘货信息!$A:$A&amp;盘货信息!$B:$B&amp;盘货信息!$C:$C,盘货信息!$O:$O)="","","【优惠券】领"&amp;INDEX(_wpsfn.REGEXP(_xlfn.XLOOKUP(A229&amp;B229&amp;C229,盘货信息!$A:$A&amp;盘货信息!$B:$B&amp;盘货信息!$C:$C,盘货信息!$O:$O),"\d+"),1,1)&amp;"元优惠券下单更优惠，优惠卷："&amp;_xlfn.XLOOKUP(A229&amp;B229&amp;C229,盘货信息!$A:$A&amp;盘货信息!$B:$B&amp;盘货信息!$C:$C,盘货信息!$P:$P))</f>
        <v/>
      </c>
      <c r="N229" s="18" t="str">
        <f t="array" ref="N229">IF(AND(ISNUMBER(_xlfn.XLOOKUP(A229&amp;B229&amp;C229,盘货信息!$A:$A&amp;盘货信息!$B:$B&amp;盘货信息!$C:$C,盘货信息!$I:$I)),_xlfn.XLOOKUP(A229&amp;B229&amp;C229,盘货信息!$A:$A&amp;盘货信息!$B:$B&amp;盘货信息!$C:$C,盘货信息!$I:$I)&gt;1),"【88VIP】立减"&amp;_xlfn.XLOOKUP(A229&amp;B229&amp;C229,盘货信息!$A:$A&amp;盘货信息!$B:$B&amp;盘货信息!$C:$C,盘货信息!$I:$I)&amp;"元","")</f>
        <v/>
      </c>
      <c r="O229" s="18" t="str">
        <f t="array" ref="O229">IF(_xlfn.XLOOKUP(A229&amp;B229&amp;C229,盘货信息!$A:$A&amp;盘货信息!$B:$B&amp;盘货信息!$C:$C,盘货信息!$K:$K)="","",IF(AND(_xlfn.XLOOKUP(A229&amp;B229&amp;C229,盘货信息!$A:$A&amp;盘货信息!$B:$B&amp;盘货信息!$C:$C,盘货信息!$G:$G)="不参加",_xlfn.XLOOKUP(A229&amp;B229&amp;C229,盘货信息!$A:$A&amp;盘货信息!$B:$B&amp;盘货信息!$C:$C,盘货信息!$H:$H)=""),"【以旧换新】"&amp;_xlfn.XLOOKUP(A229&amp;B229&amp;C229,盘货信息!$A:$A&amp;盘货信息!$B:$B&amp;盘货信息!$C:$C,盘货信息!$K:$K)&amp;"元以旧换新补贴（可无旧机换新）",""))</f>
        <v/>
      </c>
      <c r="P229" s="18" t="str">
        <f t="array" ref="P229">_xlfn.XLOOKUP(A229&amp;B229&amp;C229,赠品!$A:$A&amp;赠品!$B:$B&amp;赠品!$C:$C,赠品!$D:$D)</f>
        <v/>
      </c>
      <c r="Q229" s="18" t="str">
        <f>IF($C229="","",IF(AND(M229="",N229="",P229=""),"",固定信息!$B$1))</f>
        <v/>
      </c>
      <c r="R229" s="18" t="str">
        <f t="array" ref="R229">IF(ISNUMBER(SEARCH("是",_xlfn.XLOOKUP(A229&amp;B229&amp;C229,盘货信息!$A:$A&amp;盘货信息!$B:$B&amp;盘货信息!$C:$C,盘货信息!$U:$U))),"【折扣】指定型号满2类享96折，满3类享94折","")</f>
        <v/>
      </c>
      <c r="S229" s="18" t="str">
        <f t="array" ref="S229">IF(_xlfn.XLOOKUP(A229&amp;B229&amp;C229,盘货信息!$A:$A&amp;盘货信息!$B:$B&amp;盘货信息!$C:$C,盘货信息!$Q:$Q)&lt;1,"","【红包】活动时间购机送"&amp;_xlfn.TEXTJOIN("",,IF(ISNUMBER(--MID(_xlfn.XLOOKUP(A229&amp;B229&amp;C229,盘货信息!$A:$A&amp;盘货信息!$B:$B&amp;盘货信息!$C:$C,盘货信息!$Q:$Q),_xlfn.SEQUENCE(LEN(_xlfn.XLOOKUP(A229&amp;B229&amp;C229,盘货信息!$A:$A&amp;盘货信息!$B:$B&amp;盘货信息!$C:$C,盘货信息!$Q:$Q))),1)),MID(_xlfn.XLOOKUP(A229&amp;B229&amp;C229,盘货信息!$A:$A&amp;盘货信息!$B:$B&amp;盘货信息!$C:$C,盘货信息!$Q:$Q),_xlfn.SEQUENCE(LEN(_xlfn.XLOOKUP(A229&amp;B229&amp;C229,盘货信息!$A:$A&amp;盘货信息!$B:$B&amp;盘货信息!$C:$C,盘货信息!$Q:$Q))),1),""))&amp;"元")</f>
        <v/>
      </c>
      <c r="T229" s="18" t="str">
        <f t="array" ref="T229">IF(ISNUMBER(SEARCH("是",_xlfn.XLOOKUP(A229&amp;B229&amp;C229,盘货信息!$A:$A&amp;盘货信息!$B:$B&amp;盘货信息!$C:$C,盘货信息!$T:$T))),"【瓜分】"&amp;固定信息!$B$7,"")</f>
        <v/>
      </c>
      <c r="U229" s="18" t="str">
        <f>IF($C229="","",IF(AND(R229="",S229="",T229=""),"",固定信息!$B$1))</f>
        <v/>
      </c>
      <c r="V229" s="18" t="str">
        <f t="array" ref="V229">IF(C229="","","【服务】"&amp;IF(_xlfn.XLOOKUP(A229&amp;B229&amp;C229,盘货信息!$A:$A&amp;盘货信息!$B:$B&amp;盘货信息!$C:$C,盘货信息!$V:$V)="","",_xlfn.XLOOKUP(A229&amp;B229&amp;C229,盘货信息!$A:$A&amp;盘货信息!$B:$B&amp;盘货信息!$C:$C,盘货信息!$V:$V)&amp;"免息,")&amp;IF(_xlfn.XLOOKUP(A229&amp;B229&amp;C229,盘货信息!$A:$A&amp;盘货信息!$B:$B&amp;盘货信息!$C:$C,盘货信息!$W:$W)="","",_xlfn.XLOOKUP(A229&amp;B229&amp;C229,盘货信息!$A:$A&amp;盘货信息!$B:$B&amp;盘货信息!$C:$C,盘货信息!$W:$W)&amp;"，")&amp;"送货入户，退换免运费")</f>
        <v/>
      </c>
    </row>
    <row r="230" customHeight="1" spans="1:22">
      <c r="A230" s="17" t="str">
        <f>IF(盘货信息!A230="","",盘货信息!A230)</f>
        <v/>
      </c>
      <c r="B230" s="20" t="str">
        <f>IF(盘货信息!B230="","",盘货信息!B230)</f>
        <v/>
      </c>
      <c r="C230" s="18" t="str">
        <f>IF(盘货信息!C230="","",盘货信息!C230)</f>
        <v/>
      </c>
      <c r="D230" s="18" t="str">
        <f ca="1" t="shared" si="3"/>
        <v/>
      </c>
      <c r="E230" s="18" t="str">
        <f>IF(C230="","",固定信息!$B$2)</f>
        <v/>
      </c>
      <c r="F230" s="18" t="str">
        <f t="array" ref="F230">IF(C230="","","【"&amp;C230&amp;"】"&amp;_xlfn.XLOOKUP(A230&amp;B230&amp;C230,盘货信息!$A:$A&amp;盘货信息!$B:$B&amp;盘货信息!$C:$C,盘货信息!$D:$D))</f>
        <v/>
      </c>
      <c r="G230" s="18" t="str">
        <f>IF(C230="","","【"&amp;"活动时间："&amp;固定信息!$B$3&amp;"】")</f>
        <v/>
      </c>
      <c r="H230" s="18" t="str">
        <f>IF($C230="","",固定信息!$B$1)</f>
        <v/>
      </c>
      <c r="I230" s="18"/>
      <c r="J230" s="18" t="str">
        <f t="array" ref="J230">_xlfn.XLOOKUP(A230&amp;B230&amp;C230,价格信息!$A:$A&amp;价格信息!$B:$B&amp;价格信息!$C:$C,价格信息!$D:$D)</f>
        <v/>
      </c>
      <c r="K230" s="31" t="str">
        <f t="array" ref="K230">IF(_xlfn.XLOOKUP(A230&amp;B230&amp;C230,价格信息!$A:$A&amp;价格信息!$B:$B&amp;价格信息!$C:$C,价格信息!$I:$I)="","","【优惠券链接】"&amp;固定信息!$B$6)</f>
        <v/>
      </c>
      <c r="L230" s="31" t="str">
        <f>IF($C230="","",固定信息!$B$1)</f>
        <v/>
      </c>
      <c r="M230" s="18" t="str">
        <f t="array" ref="M230">IF(_xlfn.XLOOKUP(A230&amp;B230&amp;C230,盘货信息!$A:$A&amp;盘货信息!$B:$B&amp;盘货信息!$C:$C,盘货信息!$O:$O)="","","【优惠券】领"&amp;INDEX(_wpsfn.REGEXP(_xlfn.XLOOKUP(A230&amp;B230&amp;C230,盘货信息!$A:$A&amp;盘货信息!$B:$B&amp;盘货信息!$C:$C,盘货信息!$O:$O),"\d+"),1,1)&amp;"元优惠券下单更优惠，优惠卷："&amp;_xlfn.XLOOKUP(A230&amp;B230&amp;C230,盘货信息!$A:$A&amp;盘货信息!$B:$B&amp;盘货信息!$C:$C,盘货信息!$P:$P))</f>
        <v/>
      </c>
      <c r="N230" s="18" t="str">
        <f t="array" ref="N230">IF(AND(ISNUMBER(_xlfn.XLOOKUP(A230&amp;B230&amp;C230,盘货信息!$A:$A&amp;盘货信息!$B:$B&amp;盘货信息!$C:$C,盘货信息!$I:$I)),_xlfn.XLOOKUP(A230&amp;B230&amp;C230,盘货信息!$A:$A&amp;盘货信息!$B:$B&amp;盘货信息!$C:$C,盘货信息!$I:$I)&gt;1),"【88VIP】立减"&amp;_xlfn.XLOOKUP(A230&amp;B230&amp;C230,盘货信息!$A:$A&amp;盘货信息!$B:$B&amp;盘货信息!$C:$C,盘货信息!$I:$I)&amp;"元","")</f>
        <v/>
      </c>
      <c r="O230" s="18" t="str">
        <f t="array" ref="O230">IF(_xlfn.XLOOKUP(A230&amp;B230&amp;C230,盘货信息!$A:$A&amp;盘货信息!$B:$B&amp;盘货信息!$C:$C,盘货信息!$K:$K)="","",IF(AND(_xlfn.XLOOKUP(A230&amp;B230&amp;C230,盘货信息!$A:$A&amp;盘货信息!$B:$B&amp;盘货信息!$C:$C,盘货信息!$G:$G)="不参加",_xlfn.XLOOKUP(A230&amp;B230&amp;C230,盘货信息!$A:$A&amp;盘货信息!$B:$B&amp;盘货信息!$C:$C,盘货信息!$H:$H)=""),"【以旧换新】"&amp;_xlfn.XLOOKUP(A230&amp;B230&amp;C230,盘货信息!$A:$A&amp;盘货信息!$B:$B&amp;盘货信息!$C:$C,盘货信息!$K:$K)&amp;"元以旧换新补贴（可无旧机换新）",""))</f>
        <v/>
      </c>
      <c r="P230" s="18" t="str">
        <f t="array" ref="P230">_xlfn.XLOOKUP(A230&amp;B230&amp;C230,赠品!$A:$A&amp;赠品!$B:$B&amp;赠品!$C:$C,赠品!$D:$D)</f>
        <v/>
      </c>
      <c r="Q230" s="18" t="str">
        <f>IF($C230="","",IF(AND(M230="",N230="",P230=""),"",固定信息!$B$1))</f>
        <v/>
      </c>
      <c r="R230" s="18" t="str">
        <f t="array" ref="R230">IF(ISNUMBER(SEARCH("是",_xlfn.XLOOKUP(A230&amp;B230&amp;C230,盘货信息!$A:$A&amp;盘货信息!$B:$B&amp;盘货信息!$C:$C,盘货信息!$U:$U))),"【折扣】指定型号满2类享96折，满3类享94折","")</f>
        <v/>
      </c>
      <c r="S230" s="18" t="str">
        <f t="array" ref="S230">IF(_xlfn.XLOOKUP(A230&amp;B230&amp;C230,盘货信息!$A:$A&amp;盘货信息!$B:$B&amp;盘货信息!$C:$C,盘货信息!$Q:$Q)&lt;1,"","【红包】活动时间购机送"&amp;_xlfn.TEXTJOIN("",,IF(ISNUMBER(--MID(_xlfn.XLOOKUP(A230&amp;B230&amp;C230,盘货信息!$A:$A&amp;盘货信息!$B:$B&amp;盘货信息!$C:$C,盘货信息!$Q:$Q),_xlfn.SEQUENCE(LEN(_xlfn.XLOOKUP(A230&amp;B230&amp;C230,盘货信息!$A:$A&amp;盘货信息!$B:$B&amp;盘货信息!$C:$C,盘货信息!$Q:$Q))),1)),MID(_xlfn.XLOOKUP(A230&amp;B230&amp;C230,盘货信息!$A:$A&amp;盘货信息!$B:$B&amp;盘货信息!$C:$C,盘货信息!$Q:$Q),_xlfn.SEQUENCE(LEN(_xlfn.XLOOKUP(A230&amp;B230&amp;C230,盘货信息!$A:$A&amp;盘货信息!$B:$B&amp;盘货信息!$C:$C,盘货信息!$Q:$Q))),1),""))&amp;"元")</f>
        <v/>
      </c>
      <c r="T230" s="18" t="str">
        <f t="array" ref="T230">IF(ISNUMBER(SEARCH("是",_xlfn.XLOOKUP(A230&amp;B230&amp;C230,盘货信息!$A:$A&amp;盘货信息!$B:$B&amp;盘货信息!$C:$C,盘货信息!$T:$T))),"【瓜分】"&amp;固定信息!$B$7,"")</f>
        <v/>
      </c>
      <c r="U230" s="18" t="str">
        <f>IF($C230="","",IF(AND(R230="",S230="",T230=""),"",固定信息!$B$1))</f>
        <v/>
      </c>
      <c r="V230" s="18" t="str">
        <f t="array" ref="V230">IF(C230="","","【服务】"&amp;IF(_xlfn.XLOOKUP(A230&amp;B230&amp;C230,盘货信息!$A:$A&amp;盘货信息!$B:$B&amp;盘货信息!$C:$C,盘货信息!$V:$V)="","",_xlfn.XLOOKUP(A230&amp;B230&amp;C230,盘货信息!$A:$A&amp;盘货信息!$B:$B&amp;盘货信息!$C:$C,盘货信息!$V:$V)&amp;"免息,")&amp;IF(_xlfn.XLOOKUP(A230&amp;B230&amp;C230,盘货信息!$A:$A&amp;盘货信息!$B:$B&amp;盘货信息!$C:$C,盘货信息!$W:$W)="","",_xlfn.XLOOKUP(A230&amp;B230&amp;C230,盘货信息!$A:$A&amp;盘货信息!$B:$B&amp;盘货信息!$C:$C,盘货信息!$W:$W)&amp;"，")&amp;"送货入户，退换免运费")</f>
        <v/>
      </c>
    </row>
    <row r="231" customHeight="1" spans="1:22">
      <c r="A231" s="17" t="str">
        <f>IF(盘货信息!A231="","",盘货信息!A231)</f>
        <v/>
      </c>
      <c r="B231" s="20" t="str">
        <f>IF(盘货信息!B231="","",盘货信息!B231)</f>
        <v/>
      </c>
      <c r="C231" s="18" t="str">
        <f>IF(盘货信息!C231="","",盘货信息!C231)</f>
        <v/>
      </c>
      <c r="D231" s="18" t="str">
        <f ca="1" t="shared" si="3"/>
        <v/>
      </c>
      <c r="E231" s="18" t="str">
        <f>IF(C231="","",固定信息!$B$2)</f>
        <v/>
      </c>
      <c r="F231" s="18" t="str">
        <f t="array" ref="F231">IF(C231="","","【"&amp;C231&amp;"】"&amp;_xlfn.XLOOKUP(A231&amp;B231&amp;C231,盘货信息!$A:$A&amp;盘货信息!$B:$B&amp;盘货信息!$C:$C,盘货信息!$D:$D))</f>
        <v/>
      </c>
      <c r="G231" s="18" t="str">
        <f>IF(C231="","","【"&amp;"活动时间："&amp;固定信息!$B$3&amp;"】")</f>
        <v/>
      </c>
      <c r="H231" s="18" t="str">
        <f>IF($C231="","",固定信息!$B$1)</f>
        <v/>
      </c>
      <c r="I231" s="18"/>
      <c r="J231" s="18" t="str">
        <f t="array" ref="J231">_xlfn.XLOOKUP(A231&amp;B231&amp;C231,价格信息!$A:$A&amp;价格信息!$B:$B&amp;价格信息!$C:$C,价格信息!$D:$D)</f>
        <v/>
      </c>
      <c r="K231" s="31" t="str">
        <f t="array" ref="K231">IF(_xlfn.XLOOKUP(A231&amp;B231&amp;C231,价格信息!$A:$A&amp;价格信息!$B:$B&amp;价格信息!$C:$C,价格信息!$I:$I)="","","【优惠券链接】"&amp;固定信息!$B$6)</f>
        <v/>
      </c>
      <c r="L231" s="31" t="str">
        <f>IF($C231="","",固定信息!$B$1)</f>
        <v/>
      </c>
      <c r="M231" s="18" t="str">
        <f t="array" ref="M231">IF(_xlfn.XLOOKUP(A231&amp;B231&amp;C231,盘货信息!$A:$A&amp;盘货信息!$B:$B&amp;盘货信息!$C:$C,盘货信息!$O:$O)="","","【优惠券】领"&amp;INDEX(_wpsfn.REGEXP(_xlfn.XLOOKUP(A231&amp;B231&amp;C231,盘货信息!$A:$A&amp;盘货信息!$B:$B&amp;盘货信息!$C:$C,盘货信息!$O:$O),"\d+"),1,1)&amp;"元优惠券下单更优惠，优惠卷："&amp;_xlfn.XLOOKUP(A231&amp;B231&amp;C231,盘货信息!$A:$A&amp;盘货信息!$B:$B&amp;盘货信息!$C:$C,盘货信息!$P:$P))</f>
        <v/>
      </c>
      <c r="N231" s="18" t="str">
        <f t="array" ref="N231">IF(AND(ISNUMBER(_xlfn.XLOOKUP(A231&amp;B231&amp;C231,盘货信息!$A:$A&amp;盘货信息!$B:$B&amp;盘货信息!$C:$C,盘货信息!$I:$I)),_xlfn.XLOOKUP(A231&amp;B231&amp;C231,盘货信息!$A:$A&amp;盘货信息!$B:$B&amp;盘货信息!$C:$C,盘货信息!$I:$I)&gt;1),"【88VIP】立减"&amp;_xlfn.XLOOKUP(A231&amp;B231&amp;C231,盘货信息!$A:$A&amp;盘货信息!$B:$B&amp;盘货信息!$C:$C,盘货信息!$I:$I)&amp;"元","")</f>
        <v/>
      </c>
      <c r="O231" s="18" t="str">
        <f t="array" ref="O231">IF(_xlfn.XLOOKUP(A231&amp;B231&amp;C231,盘货信息!$A:$A&amp;盘货信息!$B:$B&amp;盘货信息!$C:$C,盘货信息!$K:$K)="","",IF(AND(_xlfn.XLOOKUP(A231&amp;B231&amp;C231,盘货信息!$A:$A&amp;盘货信息!$B:$B&amp;盘货信息!$C:$C,盘货信息!$G:$G)="不参加",_xlfn.XLOOKUP(A231&amp;B231&amp;C231,盘货信息!$A:$A&amp;盘货信息!$B:$B&amp;盘货信息!$C:$C,盘货信息!$H:$H)=""),"【以旧换新】"&amp;_xlfn.XLOOKUP(A231&amp;B231&amp;C231,盘货信息!$A:$A&amp;盘货信息!$B:$B&amp;盘货信息!$C:$C,盘货信息!$K:$K)&amp;"元以旧换新补贴（可无旧机换新）",""))</f>
        <v/>
      </c>
      <c r="P231" s="18" t="str">
        <f t="array" ref="P231">_xlfn.XLOOKUP(A231&amp;B231&amp;C231,赠品!$A:$A&amp;赠品!$B:$B&amp;赠品!$C:$C,赠品!$D:$D)</f>
        <v/>
      </c>
      <c r="Q231" s="18" t="str">
        <f>IF($C231="","",IF(AND(M231="",N231="",P231=""),"",固定信息!$B$1))</f>
        <v/>
      </c>
      <c r="R231" s="18" t="str">
        <f t="array" ref="R231">IF(ISNUMBER(SEARCH("是",_xlfn.XLOOKUP(A231&amp;B231&amp;C231,盘货信息!$A:$A&amp;盘货信息!$B:$B&amp;盘货信息!$C:$C,盘货信息!$U:$U))),"【折扣】指定型号满2类享96折，满3类享94折","")</f>
        <v/>
      </c>
      <c r="S231" s="18" t="str">
        <f t="array" ref="S231">IF(_xlfn.XLOOKUP(A231&amp;B231&amp;C231,盘货信息!$A:$A&amp;盘货信息!$B:$B&amp;盘货信息!$C:$C,盘货信息!$Q:$Q)&lt;1,"","【红包】活动时间购机送"&amp;_xlfn.TEXTJOIN("",,IF(ISNUMBER(--MID(_xlfn.XLOOKUP(A231&amp;B231&amp;C231,盘货信息!$A:$A&amp;盘货信息!$B:$B&amp;盘货信息!$C:$C,盘货信息!$Q:$Q),_xlfn.SEQUENCE(LEN(_xlfn.XLOOKUP(A231&amp;B231&amp;C231,盘货信息!$A:$A&amp;盘货信息!$B:$B&amp;盘货信息!$C:$C,盘货信息!$Q:$Q))),1)),MID(_xlfn.XLOOKUP(A231&amp;B231&amp;C231,盘货信息!$A:$A&amp;盘货信息!$B:$B&amp;盘货信息!$C:$C,盘货信息!$Q:$Q),_xlfn.SEQUENCE(LEN(_xlfn.XLOOKUP(A231&amp;B231&amp;C231,盘货信息!$A:$A&amp;盘货信息!$B:$B&amp;盘货信息!$C:$C,盘货信息!$Q:$Q))),1),""))&amp;"元")</f>
        <v/>
      </c>
      <c r="T231" s="18" t="str">
        <f t="array" ref="T231">IF(ISNUMBER(SEARCH("是",_xlfn.XLOOKUP(A231&amp;B231&amp;C231,盘货信息!$A:$A&amp;盘货信息!$B:$B&amp;盘货信息!$C:$C,盘货信息!$T:$T))),"【瓜分】"&amp;固定信息!$B$7,"")</f>
        <v/>
      </c>
      <c r="U231" s="18" t="str">
        <f>IF($C231="","",IF(AND(R231="",S231="",T231=""),"",固定信息!$B$1))</f>
        <v/>
      </c>
      <c r="V231" s="18" t="str">
        <f t="array" ref="V231">IF(C231="","","【服务】"&amp;IF(_xlfn.XLOOKUP(A231&amp;B231&amp;C231,盘货信息!$A:$A&amp;盘货信息!$B:$B&amp;盘货信息!$C:$C,盘货信息!$V:$V)="","",_xlfn.XLOOKUP(A231&amp;B231&amp;C231,盘货信息!$A:$A&amp;盘货信息!$B:$B&amp;盘货信息!$C:$C,盘货信息!$V:$V)&amp;"免息,")&amp;IF(_xlfn.XLOOKUP(A231&amp;B231&amp;C231,盘货信息!$A:$A&amp;盘货信息!$B:$B&amp;盘货信息!$C:$C,盘货信息!$W:$W)="","",_xlfn.XLOOKUP(A231&amp;B231&amp;C231,盘货信息!$A:$A&amp;盘货信息!$B:$B&amp;盘货信息!$C:$C,盘货信息!$W:$W)&amp;"，")&amp;"送货入户，退换免运费")</f>
        <v/>
      </c>
    </row>
    <row r="232" customHeight="1" spans="1:22">
      <c r="A232" s="17" t="str">
        <f>IF(盘货信息!A232="","",盘货信息!A232)</f>
        <v/>
      </c>
      <c r="B232" s="20" t="str">
        <f>IF(盘货信息!B232="","",盘货信息!B232)</f>
        <v/>
      </c>
      <c r="C232" s="18" t="str">
        <f>IF(盘货信息!C232="","",盘货信息!C232)</f>
        <v/>
      </c>
      <c r="D232" s="18" t="str">
        <f ca="1" t="shared" si="3"/>
        <v/>
      </c>
      <c r="E232" s="18" t="str">
        <f>IF(C232="","",固定信息!$B$2)</f>
        <v/>
      </c>
      <c r="F232" s="18" t="str">
        <f t="array" ref="F232">IF(C232="","","【"&amp;C232&amp;"】"&amp;_xlfn.XLOOKUP(A232&amp;B232&amp;C232,盘货信息!$A:$A&amp;盘货信息!$B:$B&amp;盘货信息!$C:$C,盘货信息!$D:$D))</f>
        <v/>
      </c>
      <c r="G232" s="18" t="str">
        <f>IF(C232="","","【"&amp;"活动时间："&amp;固定信息!$B$3&amp;"】")</f>
        <v/>
      </c>
      <c r="H232" s="18" t="str">
        <f>IF($C232="","",固定信息!$B$1)</f>
        <v/>
      </c>
      <c r="I232" s="18"/>
      <c r="J232" s="18" t="str">
        <f t="array" ref="J232">_xlfn.XLOOKUP(A232&amp;B232&amp;C232,价格信息!$A:$A&amp;价格信息!$B:$B&amp;价格信息!$C:$C,价格信息!$D:$D)</f>
        <v/>
      </c>
      <c r="K232" s="31" t="str">
        <f t="array" ref="K232">IF(_xlfn.XLOOKUP(A232&amp;B232&amp;C232,价格信息!$A:$A&amp;价格信息!$B:$B&amp;价格信息!$C:$C,价格信息!$I:$I)="","","【优惠券链接】"&amp;固定信息!$B$6)</f>
        <v/>
      </c>
      <c r="L232" s="31" t="str">
        <f>IF($C232="","",固定信息!$B$1)</f>
        <v/>
      </c>
      <c r="M232" s="18" t="str">
        <f t="array" ref="M232">IF(_xlfn.XLOOKUP(A232&amp;B232&amp;C232,盘货信息!$A:$A&amp;盘货信息!$B:$B&amp;盘货信息!$C:$C,盘货信息!$O:$O)="","","【优惠券】领"&amp;INDEX(_wpsfn.REGEXP(_xlfn.XLOOKUP(A232&amp;B232&amp;C232,盘货信息!$A:$A&amp;盘货信息!$B:$B&amp;盘货信息!$C:$C,盘货信息!$O:$O),"\d+"),1,1)&amp;"元优惠券下单更优惠，优惠卷："&amp;_xlfn.XLOOKUP(A232&amp;B232&amp;C232,盘货信息!$A:$A&amp;盘货信息!$B:$B&amp;盘货信息!$C:$C,盘货信息!$P:$P))</f>
        <v/>
      </c>
      <c r="N232" s="18" t="str">
        <f t="array" ref="N232">IF(AND(ISNUMBER(_xlfn.XLOOKUP(A232&amp;B232&amp;C232,盘货信息!$A:$A&amp;盘货信息!$B:$B&amp;盘货信息!$C:$C,盘货信息!$I:$I)),_xlfn.XLOOKUP(A232&amp;B232&amp;C232,盘货信息!$A:$A&amp;盘货信息!$B:$B&amp;盘货信息!$C:$C,盘货信息!$I:$I)&gt;1),"【88VIP】立减"&amp;_xlfn.XLOOKUP(A232&amp;B232&amp;C232,盘货信息!$A:$A&amp;盘货信息!$B:$B&amp;盘货信息!$C:$C,盘货信息!$I:$I)&amp;"元","")</f>
        <v/>
      </c>
      <c r="O232" s="18" t="str">
        <f t="array" ref="O232">IF(_xlfn.XLOOKUP(A232&amp;B232&amp;C232,盘货信息!$A:$A&amp;盘货信息!$B:$B&amp;盘货信息!$C:$C,盘货信息!$K:$K)="","",IF(AND(_xlfn.XLOOKUP(A232&amp;B232&amp;C232,盘货信息!$A:$A&amp;盘货信息!$B:$B&amp;盘货信息!$C:$C,盘货信息!$G:$G)="不参加",_xlfn.XLOOKUP(A232&amp;B232&amp;C232,盘货信息!$A:$A&amp;盘货信息!$B:$B&amp;盘货信息!$C:$C,盘货信息!$H:$H)=""),"【以旧换新】"&amp;_xlfn.XLOOKUP(A232&amp;B232&amp;C232,盘货信息!$A:$A&amp;盘货信息!$B:$B&amp;盘货信息!$C:$C,盘货信息!$K:$K)&amp;"元以旧换新补贴（可无旧机换新）",""))</f>
        <v/>
      </c>
      <c r="P232" s="18" t="str">
        <f t="array" ref="P232">_xlfn.XLOOKUP(A232&amp;B232&amp;C232,赠品!$A:$A&amp;赠品!$B:$B&amp;赠品!$C:$C,赠品!$D:$D)</f>
        <v/>
      </c>
      <c r="Q232" s="18" t="str">
        <f>IF($C232="","",IF(AND(M232="",N232="",P232=""),"",固定信息!$B$1))</f>
        <v/>
      </c>
      <c r="R232" s="18" t="str">
        <f t="array" ref="R232">IF(ISNUMBER(SEARCH("是",_xlfn.XLOOKUP(A232&amp;B232&amp;C232,盘货信息!$A:$A&amp;盘货信息!$B:$B&amp;盘货信息!$C:$C,盘货信息!$U:$U))),"【折扣】指定型号满2类享96折，满3类享94折","")</f>
        <v/>
      </c>
      <c r="S232" s="18" t="str">
        <f t="array" ref="S232">IF(_xlfn.XLOOKUP(A232&amp;B232&amp;C232,盘货信息!$A:$A&amp;盘货信息!$B:$B&amp;盘货信息!$C:$C,盘货信息!$Q:$Q)&lt;1,"","【红包】活动时间购机送"&amp;_xlfn.TEXTJOIN("",,IF(ISNUMBER(--MID(_xlfn.XLOOKUP(A232&amp;B232&amp;C232,盘货信息!$A:$A&amp;盘货信息!$B:$B&amp;盘货信息!$C:$C,盘货信息!$Q:$Q),_xlfn.SEQUENCE(LEN(_xlfn.XLOOKUP(A232&amp;B232&amp;C232,盘货信息!$A:$A&amp;盘货信息!$B:$B&amp;盘货信息!$C:$C,盘货信息!$Q:$Q))),1)),MID(_xlfn.XLOOKUP(A232&amp;B232&amp;C232,盘货信息!$A:$A&amp;盘货信息!$B:$B&amp;盘货信息!$C:$C,盘货信息!$Q:$Q),_xlfn.SEQUENCE(LEN(_xlfn.XLOOKUP(A232&amp;B232&amp;C232,盘货信息!$A:$A&amp;盘货信息!$B:$B&amp;盘货信息!$C:$C,盘货信息!$Q:$Q))),1),""))&amp;"元")</f>
        <v/>
      </c>
      <c r="T232" s="18" t="str">
        <f t="array" ref="T232">IF(ISNUMBER(SEARCH("是",_xlfn.XLOOKUP(A232&amp;B232&amp;C232,盘货信息!$A:$A&amp;盘货信息!$B:$B&amp;盘货信息!$C:$C,盘货信息!$T:$T))),"【瓜分】"&amp;固定信息!$B$7,"")</f>
        <v/>
      </c>
      <c r="U232" s="18" t="str">
        <f>IF($C232="","",IF(AND(R232="",S232="",T232=""),"",固定信息!$B$1))</f>
        <v/>
      </c>
      <c r="V232" s="18" t="str">
        <f t="array" ref="V232">IF(C232="","","【服务】"&amp;IF(_xlfn.XLOOKUP(A232&amp;B232&amp;C232,盘货信息!$A:$A&amp;盘货信息!$B:$B&amp;盘货信息!$C:$C,盘货信息!$V:$V)="","",_xlfn.XLOOKUP(A232&amp;B232&amp;C232,盘货信息!$A:$A&amp;盘货信息!$B:$B&amp;盘货信息!$C:$C,盘货信息!$V:$V)&amp;"免息,")&amp;IF(_xlfn.XLOOKUP(A232&amp;B232&amp;C232,盘货信息!$A:$A&amp;盘货信息!$B:$B&amp;盘货信息!$C:$C,盘货信息!$W:$W)="","",_xlfn.XLOOKUP(A232&amp;B232&amp;C232,盘货信息!$A:$A&amp;盘货信息!$B:$B&amp;盘货信息!$C:$C,盘货信息!$W:$W)&amp;"，")&amp;"送货入户，退换免运费")</f>
        <v/>
      </c>
    </row>
    <row r="233" customHeight="1" spans="1:22">
      <c r="A233" s="17" t="str">
        <f>IF(盘货信息!A233="","",盘货信息!A233)</f>
        <v/>
      </c>
      <c r="B233" s="20" t="str">
        <f>IF(盘货信息!B233="","",盘货信息!B233)</f>
        <v/>
      </c>
      <c r="C233" s="18" t="str">
        <f>IF(盘货信息!C233="","",盘货信息!C233)</f>
        <v/>
      </c>
      <c r="D233" s="18" t="str">
        <f ca="1" t="shared" si="3"/>
        <v/>
      </c>
      <c r="E233" s="18" t="str">
        <f>IF(C233="","",固定信息!$B$2)</f>
        <v/>
      </c>
      <c r="F233" s="18" t="str">
        <f t="array" ref="F233">IF(C233="","","【"&amp;C233&amp;"】"&amp;_xlfn.XLOOKUP(A233&amp;B233&amp;C233,盘货信息!$A:$A&amp;盘货信息!$B:$B&amp;盘货信息!$C:$C,盘货信息!$D:$D))</f>
        <v/>
      </c>
      <c r="G233" s="18" t="str">
        <f>IF(C233="","","【"&amp;"活动时间："&amp;固定信息!$B$3&amp;"】")</f>
        <v/>
      </c>
      <c r="H233" s="18" t="str">
        <f>IF($C233="","",固定信息!$B$1)</f>
        <v/>
      </c>
      <c r="I233" s="18"/>
      <c r="J233" s="18" t="str">
        <f t="array" ref="J233">_xlfn.XLOOKUP(A233&amp;B233&amp;C233,价格信息!$A:$A&amp;价格信息!$B:$B&amp;价格信息!$C:$C,价格信息!$D:$D)</f>
        <v/>
      </c>
      <c r="K233" s="31" t="str">
        <f t="array" ref="K233">IF(_xlfn.XLOOKUP(A233&amp;B233&amp;C233,价格信息!$A:$A&amp;价格信息!$B:$B&amp;价格信息!$C:$C,价格信息!$I:$I)="","","【优惠券链接】"&amp;固定信息!$B$6)</f>
        <v/>
      </c>
      <c r="L233" s="31" t="str">
        <f>IF($C233="","",固定信息!$B$1)</f>
        <v/>
      </c>
      <c r="M233" s="18" t="str">
        <f t="array" ref="M233">IF(_xlfn.XLOOKUP(A233&amp;B233&amp;C233,盘货信息!$A:$A&amp;盘货信息!$B:$B&amp;盘货信息!$C:$C,盘货信息!$O:$O)="","","【优惠券】领"&amp;INDEX(_wpsfn.REGEXP(_xlfn.XLOOKUP(A233&amp;B233&amp;C233,盘货信息!$A:$A&amp;盘货信息!$B:$B&amp;盘货信息!$C:$C,盘货信息!$O:$O),"\d+"),1,1)&amp;"元优惠券下单更优惠，优惠卷："&amp;_xlfn.XLOOKUP(A233&amp;B233&amp;C233,盘货信息!$A:$A&amp;盘货信息!$B:$B&amp;盘货信息!$C:$C,盘货信息!$P:$P))</f>
        <v/>
      </c>
      <c r="N233" s="18" t="str">
        <f t="array" ref="N233">IF(AND(ISNUMBER(_xlfn.XLOOKUP(A233&amp;B233&amp;C233,盘货信息!$A:$A&amp;盘货信息!$B:$B&amp;盘货信息!$C:$C,盘货信息!$I:$I)),_xlfn.XLOOKUP(A233&amp;B233&amp;C233,盘货信息!$A:$A&amp;盘货信息!$B:$B&amp;盘货信息!$C:$C,盘货信息!$I:$I)&gt;1),"【88VIP】立减"&amp;_xlfn.XLOOKUP(A233&amp;B233&amp;C233,盘货信息!$A:$A&amp;盘货信息!$B:$B&amp;盘货信息!$C:$C,盘货信息!$I:$I)&amp;"元","")</f>
        <v/>
      </c>
      <c r="O233" s="18" t="str">
        <f t="array" ref="O233">IF(_xlfn.XLOOKUP(A233&amp;B233&amp;C233,盘货信息!$A:$A&amp;盘货信息!$B:$B&amp;盘货信息!$C:$C,盘货信息!$K:$K)="","",IF(AND(_xlfn.XLOOKUP(A233&amp;B233&amp;C233,盘货信息!$A:$A&amp;盘货信息!$B:$B&amp;盘货信息!$C:$C,盘货信息!$G:$G)="不参加",_xlfn.XLOOKUP(A233&amp;B233&amp;C233,盘货信息!$A:$A&amp;盘货信息!$B:$B&amp;盘货信息!$C:$C,盘货信息!$H:$H)=""),"【以旧换新】"&amp;_xlfn.XLOOKUP(A233&amp;B233&amp;C233,盘货信息!$A:$A&amp;盘货信息!$B:$B&amp;盘货信息!$C:$C,盘货信息!$K:$K)&amp;"元以旧换新补贴（可无旧机换新）",""))</f>
        <v/>
      </c>
      <c r="P233" s="18" t="str">
        <f t="array" ref="P233">_xlfn.XLOOKUP(A233&amp;B233&amp;C233,赠品!$A:$A&amp;赠品!$B:$B&amp;赠品!$C:$C,赠品!$D:$D)</f>
        <v/>
      </c>
      <c r="Q233" s="18" t="str">
        <f>IF($C233="","",IF(AND(M233="",N233="",P233=""),"",固定信息!$B$1))</f>
        <v/>
      </c>
      <c r="R233" s="18" t="str">
        <f t="array" ref="R233">IF(ISNUMBER(SEARCH("是",_xlfn.XLOOKUP(A233&amp;B233&amp;C233,盘货信息!$A:$A&amp;盘货信息!$B:$B&amp;盘货信息!$C:$C,盘货信息!$U:$U))),"【折扣】指定型号满2类享96折，满3类享94折","")</f>
        <v/>
      </c>
      <c r="S233" s="18" t="str">
        <f t="array" ref="S233">IF(_xlfn.XLOOKUP(A233&amp;B233&amp;C233,盘货信息!$A:$A&amp;盘货信息!$B:$B&amp;盘货信息!$C:$C,盘货信息!$Q:$Q)&lt;1,"","【红包】活动时间购机送"&amp;_xlfn.TEXTJOIN("",,IF(ISNUMBER(--MID(_xlfn.XLOOKUP(A233&amp;B233&amp;C233,盘货信息!$A:$A&amp;盘货信息!$B:$B&amp;盘货信息!$C:$C,盘货信息!$Q:$Q),_xlfn.SEQUENCE(LEN(_xlfn.XLOOKUP(A233&amp;B233&amp;C233,盘货信息!$A:$A&amp;盘货信息!$B:$B&amp;盘货信息!$C:$C,盘货信息!$Q:$Q))),1)),MID(_xlfn.XLOOKUP(A233&amp;B233&amp;C233,盘货信息!$A:$A&amp;盘货信息!$B:$B&amp;盘货信息!$C:$C,盘货信息!$Q:$Q),_xlfn.SEQUENCE(LEN(_xlfn.XLOOKUP(A233&amp;B233&amp;C233,盘货信息!$A:$A&amp;盘货信息!$B:$B&amp;盘货信息!$C:$C,盘货信息!$Q:$Q))),1),""))&amp;"元")</f>
        <v/>
      </c>
      <c r="T233" s="18" t="str">
        <f t="array" ref="T233">IF(ISNUMBER(SEARCH("是",_xlfn.XLOOKUP(A233&amp;B233&amp;C233,盘货信息!$A:$A&amp;盘货信息!$B:$B&amp;盘货信息!$C:$C,盘货信息!$T:$T))),"【瓜分】"&amp;固定信息!$B$7,"")</f>
        <v/>
      </c>
      <c r="U233" s="18" t="str">
        <f>IF($C233="","",IF(AND(R233="",S233="",T233=""),"",固定信息!$B$1))</f>
        <v/>
      </c>
      <c r="V233" s="18" t="str">
        <f t="array" ref="V233">IF(C233="","","【服务】"&amp;IF(_xlfn.XLOOKUP(A233&amp;B233&amp;C233,盘货信息!$A:$A&amp;盘货信息!$B:$B&amp;盘货信息!$C:$C,盘货信息!$V:$V)="","",_xlfn.XLOOKUP(A233&amp;B233&amp;C233,盘货信息!$A:$A&amp;盘货信息!$B:$B&amp;盘货信息!$C:$C,盘货信息!$V:$V)&amp;"免息,")&amp;IF(_xlfn.XLOOKUP(A233&amp;B233&amp;C233,盘货信息!$A:$A&amp;盘货信息!$B:$B&amp;盘货信息!$C:$C,盘货信息!$W:$W)="","",_xlfn.XLOOKUP(A233&amp;B233&amp;C233,盘货信息!$A:$A&amp;盘货信息!$B:$B&amp;盘货信息!$C:$C,盘货信息!$W:$W)&amp;"，")&amp;"送货入户，退换免运费")</f>
        <v/>
      </c>
    </row>
    <row r="234" customHeight="1" spans="1:22">
      <c r="A234" s="17" t="str">
        <f>IF(盘货信息!A234="","",盘货信息!A234)</f>
        <v/>
      </c>
      <c r="B234" s="20" t="str">
        <f>IF(盘货信息!B234="","",盘货信息!B234)</f>
        <v/>
      </c>
      <c r="C234" s="18" t="str">
        <f>IF(盘货信息!C234="","",盘货信息!C234)</f>
        <v/>
      </c>
      <c r="D234" s="18" t="str">
        <f ca="1" t="shared" si="3"/>
        <v/>
      </c>
      <c r="E234" s="18" t="str">
        <f>IF(C234="","",固定信息!$B$2)</f>
        <v/>
      </c>
      <c r="F234" s="18" t="str">
        <f t="array" ref="F234">IF(C234="","","【"&amp;C234&amp;"】"&amp;_xlfn.XLOOKUP(A234&amp;B234&amp;C234,盘货信息!$A:$A&amp;盘货信息!$B:$B&amp;盘货信息!$C:$C,盘货信息!$D:$D))</f>
        <v/>
      </c>
      <c r="G234" s="18" t="str">
        <f>IF(C234="","","【"&amp;"活动时间："&amp;固定信息!$B$3&amp;"】")</f>
        <v/>
      </c>
      <c r="H234" s="18" t="str">
        <f>IF($C234="","",固定信息!$B$1)</f>
        <v/>
      </c>
      <c r="I234" s="18"/>
      <c r="J234" s="18" t="str">
        <f t="array" ref="J234">_xlfn.XLOOKUP(A234&amp;B234&amp;C234,价格信息!$A:$A&amp;价格信息!$B:$B&amp;价格信息!$C:$C,价格信息!$D:$D)</f>
        <v/>
      </c>
      <c r="K234" s="31" t="str">
        <f t="array" ref="K234">IF(_xlfn.XLOOKUP(A234&amp;B234&amp;C234,价格信息!$A:$A&amp;价格信息!$B:$B&amp;价格信息!$C:$C,价格信息!$I:$I)="","","【优惠券链接】"&amp;固定信息!$B$6)</f>
        <v/>
      </c>
      <c r="L234" s="31" t="str">
        <f>IF($C234="","",固定信息!$B$1)</f>
        <v/>
      </c>
      <c r="M234" s="18" t="str">
        <f t="array" ref="M234">IF(_xlfn.XLOOKUP(A234&amp;B234&amp;C234,盘货信息!$A:$A&amp;盘货信息!$B:$B&amp;盘货信息!$C:$C,盘货信息!$O:$O)="","","【优惠券】领"&amp;INDEX(_wpsfn.REGEXP(_xlfn.XLOOKUP(A234&amp;B234&amp;C234,盘货信息!$A:$A&amp;盘货信息!$B:$B&amp;盘货信息!$C:$C,盘货信息!$O:$O),"\d+"),1,1)&amp;"元优惠券下单更优惠，优惠卷："&amp;_xlfn.XLOOKUP(A234&amp;B234&amp;C234,盘货信息!$A:$A&amp;盘货信息!$B:$B&amp;盘货信息!$C:$C,盘货信息!$P:$P))</f>
        <v/>
      </c>
      <c r="N234" s="18" t="str">
        <f t="array" ref="N234">IF(AND(ISNUMBER(_xlfn.XLOOKUP(A234&amp;B234&amp;C234,盘货信息!$A:$A&amp;盘货信息!$B:$B&amp;盘货信息!$C:$C,盘货信息!$I:$I)),_xlfn.XLOOKUP(A234&amp;B234&amp;C234,盘货信息!$A:$A&amp;盘货信息!$B:$B&amp;盘货信息!$C:$C,盘货信息!$I:$I)&gt;1),"【88VIP】立减"&amp;_xlfn.XLOOKUP(A234&amp;B234&amp;C234,盘货信息!$A:$A&amp;盘货信息!$B:$B&amp;盘货信息!$C:$C,盘货信息!$I:$I)&amp;"元","")</f>
        <v/>
      </c>
      <c r="O234" s="18" t="str">
        <f t="array" ref="O234">IF(_xlfn.XLOOKUP(A234&amp;B234&amp;C234,盘货信息!$A:$A&amp;盘货信息!$B:$B&amp;盘货信息!$C:$C,盘货信息!$K:$K)="","",IF(AND(_xlfn.XLOOKUP(A234&amp;B234&amp;C234,盘货信息!$A:$A&amp;盘货信息!$B:$B&amp;盘货信息!$C:$C,盘货信息!$G:$G)="不参加",_xlfn.XLOOKUP(A234&amp;B234&amp;C234,盘货信息!$A:$A&amp;盘货信息!$B:$B&amp;盘货信息!$C:$C,盘货信息!$H:$H)=""),"【以旧换新】"&amp;_xlfn.XLOOKUP(A234&amp;B234&amp;C234,盘货信息!$A:$A&amp;盘货信息!$B:$B&amp;盘货信息!$C:$C,盘货信息!$K:$K)&amp;"元以旧换新补贴（可无旧机换新）",""))</f>
        <v/>
      </c>
      <c r="P234" s="18" t="str">
        <f t="array" ref="P234">_xlfn.XLOOKUP(A234&amp;B234&amp;C234,赠品!$A:$A&amp;赠品!$B:$B&amp;赠品!$C:$C,赠品!$D:$D)</f>
        <v/>
      </c>
      <c r="Q234" s="18" t="str">
        <f>IF($C234="","",IF(AND(M234="",N234="",P234=""),"",固定信息!$B$1))</f>
        <v/>
      </c>
      <c r="R234" s="18" t="str">
        <f t="array" ref="R234">IF(ISNUMBER(SEARCH("是",_xlfn.XLOOKUP(A234&amp;B234&amp;C234,盘货信息!$A:$A&amp;盘货信息!$B:$B&amp;盘货信息!$C:$C,盘货信息!$U:$U))),"【折扣】指定型号满2类享96折，满3类享94折","")</f>
        <v/>
      </c>
      <c r="S234" s="18" t="str">
        <f t="array" ref="S234">IF(_xlfn.XLOOKUP(A234&amp;B234&amp;C234,盘货信息!$A:$A&amp;盘货信息!$B:$B&amp;盘货信息!$C:$C,盘货信息!$Q:$Q)&lt;1,"","【红包】活动时间购机送"&amp;_xlfn.TEXTJOIN("",,IF(ISNUMBER(--MID(_xlfn.XLOOKUP(A234&amp;B234&amp;C234,盘货信息!$A:$A&amp;盘货信息!$B:$B&amp;盘货信息!$C:$C,盘货信息!$Q:$Q),_xlfn.SEQUENCE(LEN(_xlfn.XLOOKUP(A234&amp;B234&amp;C234,盘货信息!$A:$A&amp;盘货信息!$B:$B&amp;盘货信息!$C:$C,盘货信息!$Q:$Q))),1)),MID(_xlfn.XLOOKUP(A234&amp;B234&amp;C234,盘货信息!$A:$A&amp;盘货信息!$B:$B&amp;盘货信息!$C:$C,盘货信息!$Q:$Q),_xlfn.SEQUENCE(LEN(_xlfn.XLOOKUP(A234&amp;B234&amp;C234,盘货信息!$A:$A&amp;盘货信息!$B:$B&amp;盘货信息!$C:$C,盘货信息!$Q:$Q))),1),""))&amp;"元")</f>
        <v/>
      </c>
      <c r="T234" s="18" t="str">
        <f t="array" ref="T234">IF(ISNUMBER(SEARCH("是",_xlfn.XLOOKUP(A234&amp;B234&amp;C234,盘货信息!$A:$A&amp;盘货信息!$B:$B&amp;盘货信息!$C:$C,盘货信息!$T:$T))),"【瓜分】"&amp;固定信息!$B$7,"")</f>
        <v/>
      </c>
      <c r="U234" s="18" t="str">
        <f>IF($C234="","",IF(AND(R234="",S234="",T234=""),"",固定信息!$B$1))</f>
        <v/>
      </c>
      <c r="V234" s="18" t="str">
        <f t="array" ref="V234">IF(C234="","","【服务】"&amp;IF(_xlfn.XLOOKUP(A234&amp;B234&amp;C234,盘货信息!$A:$A&amp;盘货信息!$B:$B&amp;盘货信息!$C:$C,盘货信息!$V:$V)="","",_xlfn.XLOOKUP(A234&amp;B234&amp;C234,盘货信息!$A:$A&amp;盘货信息!$B:$B&amp;盘货信息!$C:$C,盘货信息!$V:$V)&amp;"免息,")&amp;IF(_xlfn.XLOOKUP(A234&amp;B234&amp;C234,盘货信息!$A:$A&amp;盘货信息!$B:$B&amp;盘货信息!$C:$C,盘货信息!$W:$W)="","",_xlfn.XLOOKUP(A234&amp;B234&amp;C234,盘货信息!$A:$A&amp;盘货信息!$B:$B&amp;盘货信息!$C:$C,盘货信息!$W:$W)&amp;"，")&amp;"送货入户，退换免运费")</f>
        <v/>
      </c>
    </row>
    <row r="235" customHeight="1" spans="1:22">
      <c r="A235" s="17" t="str">
        <f>IF(盘货信息!A235="","",盘货信息!A235)</f>
        <v/>
      </c>
      <c r="B235" s="20" t="str">
        <f>IF(盘货信息!B235="","",盘货信息!B235)</f>
        <v/>
      </c>
      <c r="C235" s="18" t="str">
        <f>IF(盘货信息!C235="","",盘货信息!C235)</f>
        <v/>
      </c>
      <c r="D235" s="18" t="str">
        <f ca="1" t="shared" si="3"/>
        <v/>
      </c>
      <c r="E235" s="18" t="str">
        <f>IF(C235="","",固定信息!$B$2)</f>
        <v/>
      </c>
      <c r="F235" s="18" t="str">
        <f t="array" ref="F235">IF(C235="","","【"&amp;C235&amp;"】"&amp;_xlfn.XLOOKUP(A235&amp;B235&amp;C235,盘货信息!$A:$A&amp;盘货信息!$B:$B&amp;盘货信息!$C:$C,盘货信息!$D:$D))</f>
        <v/>
      </c>
      <c r="G235" s="18" t="str">
        <f>IF(C235="","","【"&amp;"活动时间："&amp;固定信息!$B$3&amp;"】")</f>
        <v/>
      </c>
      <c r="H235" s="18" t="str">
        <f>IF($C235="","",固定信息!$B$1)</f>
        <v/>
      </c>
      <c r="I235" s="18"/>
      <c r="J235" s="18" t="str">
        <f t="array" ref="J235">_xlfn.XLOOKUP(A235&amp;B235&amp;C235,价格信息!$A:$A&amp;价格信息!$B:$B&amp;价格信息!$C:$C,价格信息!$D:$D)</f>
        <v/>
      </c>
      <c r="K235" s="31" t="str">
        <f t="array" ref="K235">IF(_xlfn.XLOOKUP(A235&amp;B235&amp;C235,价格信息!$A:$A&amp;价格信息!$B:$B&amp;价格信息!$C:$C,价格信息!$I:$I)="","","【优惠券链接】"&amp;固定信息!$B$6)</f>
        <v/>
      </c>
      <c r="L235" s="31" t="str">
        <f>IF($C235="","",固定信息!$B$1)</f>
        <v/>
      </c>
      <c r="M235" s="18" t="str">
        <f t="array" ref="M235">IF(_xlfn.XLOOKUP(A235&amp;B235&amp;C235,盘货信息!$A:$A&amp;盘货信息!$B:$B&amp;盘货信息!$C:$C,盘货信息!$O:$O)="","","【优惠券】领"&amp;INDEX(_wpsfn.REGEXP(_xlfn.XLOOKUP(A235&amp;B235&amp;C235,盘货信息!$A:$A&amp;盘货信息!$B:$B&amp;盘货信息!$C:$C,盘货信息!$O:$O),"\d+"),1,1)&amp;"元优惠券下单更优惠，优惠卷："&amp;_xlfn.XLOOKUP(A235&amp;B235&amp;C235,盘货信息!$A:$A&amp;盘货信息!$B:$B&amp;盘货信息!$C:$C,盘货信息!$P:$P))</f>
        <v/>
      </c>
      <c r="N235" s="18" t="str">
        <f t="array" ref="N235">IF(AND(ISNUMBER(_xlfn.XLOOKUP(A235&amp;B235&amp;C235,盘货信息!$A:$A&amp;盘货信息!$B:$B&amp;盘货信息!$C:$C,盘货信息!$I:$I)),_xlfn.XLOOKUP(A235&amp;B235&amp;C235,盘货信息!$A:$A&amp;盘货信息!$B:$B&amp;盘货信息!$C:$C,盘货信息!$I:$I)&gt;1),"【88VIP】立减"&amp;_xlfn.XLOOKUP(A235&amp;B235&amp;C235,盘货信息!$A:$A&amp;盘货信息!$B:$B&amp;盘货信息!$C:$C,盘货信息!$I:$I)&amp;"元","")</f>
        <v/>
      </c>
      <c r="O235" s="18" t="str">
        <f t="array" ref="O235">IF(_xlfn.XLOOKUP(A235&amp;B235&amp;C235,盘货信息!$A:$A&amp;盘货信息!$B:$B&amp;盘货信息!$C:$C,盘货信息!$K:$K)="","",IF(AND(_xlfn.XLOOKUP(A235&amp;B235&amp;C235,盘货信息!$A:$A&amp;盘货信息!$B:$B&amp;盘货信息!$C:$C,盘货信息!$G:$G)="不参加",_xlfn.XLOOKUP(A235&amp;B235&amp;C235,盘货信息!$A:$A&amp;盘货信息!$B:$B&amp;盘货信息!$C:$C,盘货信息!$H:$H)=""),"【以旧换新】"&amp;_xlfn.XLOOKUP(A235&amp;B235&amp;C235,盘货信息!$A:$A&amp;盘货信息!$B:$B&amp;盘货信息!$C:$C,盘货信息!$K:$K)&amp;"元以旧换新补贴（可无旧机换新）",""))</f>
        <v/>
      </c>
      <c r="P235" s="18" t="str">
        <f t="array" ref="P235">_xlfn.XLOOKUP(A235&amp;B235&amp;C235,赠品!$A:$A&amp;赠品!$B:$B&amp;赠品!$C:$C,赠品!$D:$D)</f>
        <v/>
      </c>
      <c r="Q235" s="18" t="str">
        <f>IF($C235="","",IF(AND(M235="",N235="",P235=""),"",固定信息!$B$1))</f>
        <v/>
      </c>
      <c r="R235" s="18" t="str">
        <f t="array" ref="R235">IF(ISNUMBER(SEARCH("是",_xlfn.XLOOKUP(A235&amp;B235&amp;C235,盘货信息!$A:$A&amp;盘货信息!$B:$B&amp;盘货信息!$C:$C,盘货信息!$U:$U))),"【折扣】指定型号满2类享96折，满3类享94折","")</f>
        <v/>
      </c>
      <c r="S235" s="18" t="str">
        <f t="array" ref="S235">IF(_xlfn.XLOOKUP(A235&amp;B235&amp;C235,盘货信息!$A:$A&amp;盘货信息!$B:$B&amp;盘货信息!$C:$C,盘货信息!$Q:$Q)&lt;1,"","【红包】活动时间购机送"&amp;_xlfn.TEXTJOIN("",,IF(ISNUMBER(--MID(_xlfn.XLOOKUP(A235&amp;B235&amp;C235,盘货信息!$A:$A&amp;盘货信息!$B:$B&amp;盘货信息!$C:$C,盘货信息!$Q:$Q),_xlfn.SEQUENCE(LEN(_xlfn.XLOOKUP(A235&amp;B235&amp;C235,盘货信息!$A:$A&amp;盘货信息!$B:$B&amp;盘货信息!$C:$C,盘货信息!$Q:$Q))),1)),MID(_xlfn.XLOOKUP(A235&amp;B235&amp;C235,盘货信息!$A:$A&amp;盘货信息!$B:$B&amp;盘货信息!$C:$C,盘货信息!$Q:$Q),_xlfn.SEQUENCE(LEN(_xlfn.XLOOKUP(A235&amp;B235&amp;C235,盘货信息!$A:$A&amp;盘货信息!$B:$B&amp;盘货信息!$C:$C,盘货信息!$Q:$Q))),1),""))&amp;"元")</f>
        <v/>
      </c>
      <c r="T235" s="18" t="str">
        <f t="array" ref="T235">IF(ISNUMBER(SEARCH("是",_xlfn.XLOOKUP(A235&amp;B235&amp;C235,盘货信息!$A:$A&amp;盘货信息!$B:$B&amp;盘货信息!$C:$C,盘货信息!$T:$T))),"【瓜分】"&amp;固定信息!$B$7,"")</f>
        <v/>
      </c>
      <c r="U235" s="18" t="str">
        <f>IF($C235="","",IF(AND(R235="",S235="",T235=""),"",固定信息!$B$1))</f>
        <v/>
      </c>
      <c r="V235" s="18" t="str">
        <f t="array" ref="V235">IF(C235="","","【服务】"&amp;IF(_xlfn.XLOOKUP(A235&amp;B235&amp;C235,盘货信息!$A:$A&amp;盘货信息!$B:$B&amp;盘货信息!$C:$C,盘货信息!$V:$V)="","",_xlfn.XLOOKUP(A235&amp;B235&amp;C235,盘货信息!$A:$A&amp;盘货信息!$B:$B&amp;盘货信息!$C:$C,盘货信息!$V:$V)&amp;"免息,")&amp;IF(_xlfn.XLOOKUP(A235&amp;B235&amp;C235,盘货信息!$A:$A&amp;盘货信息!$B:$B&amp;盘货信息!$C:$C,盘货信息!$W:$W)="","",_xlfn.XLOOKUP(A235&amp;B235&amp;C235,盘货信息!$A:$A&amp;盘货信息!$B:$B&amp;盘货信息!$C:$C,盘货信息!$W:$W)&amp;"，")&amp;"送货入户，退换免运费")</f>
        <v/>
      </c>
    </row>
    <row r="236" customHeight="1" spans="1:22">
      <c r="A236" s="17" t="str">
        <f>IF(盘货信息!A236="","",盘货信息!A236)</f>
        <v/>
      </c>
      <c r="B236" s="20" t="str">
        <f>IF(盘货信息!B236="","",盘货信息!B236)</f>
        <v/>
      </c>
      <c r="C236" s="18" t="str">
        <f>IF(盘货信息!C236="","",盘货信息!C236)</f>
        <v/>
      </c>
      <c r="D236" s="18" t="str">
        <f ca="1" t="shared" si="3"/>
        <v/>
      </c>
      <c r="E236" s="18" t="str">
        <f>IF(C236="","",固定信息!$B$2)</f>
        <v/>
      </c>
      <c r="F236" s="18" t="str">
        <f t="array" ref="F236">IF(C236="","","【"&amp;C236&amp;"】"&amp;_xlfn.XLOOKUP(A236&amp;B236&amp;C236,盘货信息!$A:$A&amp;盘货信息!$B:$B&amp;盘货信息!$C:$C,盘货信息!$D:$D))</f>
        <v/>
      </c>
      <c r="G236" s="18" t="str">
        <f>IF(C236="","","【"&amp;"活动时间："&amp;固定信息!$B$3&amp;"】")</f>
        <v/>
      </c>
      <c r="H236" s="18" t="str">
        <f>IF($C236="","",固定信息!$B$1)</f>
        <v/>
      </c>
      <c r="I236" s="18"/>
      <c r="J236" s="18" t="str">
        <f t="array" ref="J236">_xlfn.XLOOKUP(A236&amp;B236&amp;C236,价格信息!$A:$A&amp;价格信息!$B:$B&amp;价格信息!$C:$C,价格信息!$D:$D)</f>
        <v/>
      </c>
      <c r="K236" s="31" t="str">
        <f t="array" ref="K236">IF(_xlfn.XLOOKUP(A236&amp;B236&amp;C236,价格信息!$A:$A&amp;价格信息!$B:$B&amp;价格信息!$C:$C,价格信息!$I:$I)="","","【优惠券链接】"&amp;固定信息!$B$6)</f>
        <v/>
      </c>
      <c r="L236" s="31" t="str">
        <f>IF($C236="","",固定信息!$B$1)</f>
        <v/>
      </c>
      <c r="M236" s="18" t="str">
        <f t="array" ref="M236">IF(_xlfn.XLOOKUP(A236&amp;B236&amp;C236,盘货信息!$A:$A&amp;盘货信息!$B:$B&amp;盘货信息!$C:$C,盘货信息!$O:$O)="","","【优惠券】领"&amp;INDEX(_wpsfn.REGEXP(_xlfn.XLOOKUP(A236&amp;B236&amp;C236,盘货信息!$A:$A&amp;盘货信息!$B:$B&amp;盘货信息!$C:$C,盘货信息!$O:$O),"\d+"),1,1)&amp;"元优惠券下单更优惠，优惠卷："&amp;_xlfn.XLOOKUP(A236&amp;B236&amp;C236,盘货信息!$A:$A&amp;盘货信息!$B:$B&amp;盘货信息!$C:$C,盘货信息!$P:$P))</f>
        <v/>
      </c>
      <c r="N236" s="18" t="str">
        <f t="array" ref="N236">IF(AND(ISNUMBER(_xlfn.XLOOKUP(A236&amp;B236&amp;C236,盘货信息!$A:$A&amp;盘货信息!$B:$B&amp;盘货信息!$C:$C,盘货信息!$I:$I)),_xlfn.XLOOKUP(A236&amp;B236&amp;C236,盘货信息!$A:$A&amp;盘货信息!$B:$B&amp;盘货信息!$C:$C,盘货信息!$I:$I)&gt;1),"【88VIP】立减"&amp;_xlfn.XLOOKUP(A236&amp;B236&amp;C236,盘货信息!$A:$A&amp;盘货信息!$B:$B&amp;盘货信息!$C:$C,盘货信息!$I:$I)&amp;"元","")</f>
        <v/>
      </c>
      <c r="O236" s="18" t="str">
        <f t="array" ref="O236">IF(_xlfn.XLOOKUP(A236&amp;B236&amp;C236,盘货信息!$A:$A&amp;盘货信息!$B:$B&amp;盘货信息!$C:$C,盘货信息!$K:$K)="","",IF(AND(_xlfn.XLOOKUP(A236&amp;B236&amp;C236,盘货信息!$A:$A&amp;盘货信息!$B:$B&amp;盘货信息!$C:$C,盘货信息!$G:$G)="不参加",_xlfn.XLOOKUP(A236&amp;B236&amp;C236,盘货信息!$A:$A&amp;盘货信息!$B:$B&amp;盘货信息!$C:$C,盘货信息!$H:$H)=""),"【以旧换新】"&amp;_xlfn.XLOOKUP(A236&amp;B236&amp;C236,盘货信息!$A:$A&amp;盘货信息!$B:$B&amp;盘货信息!$C:$C,盘货信息!$K:$K)&amp;"元以旧换新补贴（可无旧机换新）",""))</f>
        <v/>
      </c>
      <c r="P236" s="18" t="str">
        <f t="array" ref="P236">_xlfn.XLOOKUP(A236&amp;B236&amp;C236,赠品!$A:$A&amp;赠品!$B:$B&amp;赠品!$C:$C,赠品!$D:$D)</f>
        <v/>
      </c>
      <c r="Q236" s="18" t="str">
        <f>IF($C236="","",IF(AND(M236="",N236="",P236=""),"",固定信息!$B$1))</f>
        <v/>
      </c>
      <c r="R236" s="18" t="str">
        <f t="array" ref="R236">IF(ISNUMBER(SEARCH("是",_xlfn.XLOOKUP(A236&amp;B236&amp;C236,盘货信息!$A:$A&amp;盘货信息!$B:$B&amp;盘货信息!$C:$C,盘货信息!$U:$U))),"【折扣】指定型号满2类享96折，满3类享94折","")</f>
        <v/>
      </c>
      <c r="S236" s="18" t="str">
        <f t="array" ref="S236">IF(_xlfn.XLOOKUP(A236&amp;B236&amp;C236,盘货信息!$A:$A&amp;盘货信息!$B:$B&amp;盘货信息!$C:$C,盘货信息!$Q:$Q)&lt;1,"","【红包】活动时间购机送"&amp;_xlfn.TEXTJOIN("",,IF(ISNUMBER(--MID(_xlfn.XLOOKUP(A236&amp;B236&amp;C236,盘货信息!$A:$A&amp;盘货信息!$B:$B&amp;盘货信息!$C:$C,盘货信息!$Q:$Q),_xlfn.SEQUENCE(LEN(_xlfn.XLOOKUP(A236&amp;B236&amp;C236,盘货信息!$A:$A&amp;盘货信息!$B:$B&amp;盘货信息!$C:$C,盘货信息!$Q:$Q))),1)),MID(_xlfn.XLOOKUP(A236&amp;B236&amp;C236,盘货信息!$A:$A&amp;盘货信息!$B:$B&amp;盘货信息!$C:$C,盘货信息!$Q:$Q),_xlfn.SEQUENCE(LEN(_xlfn.XLOOKUP(A236&amp;B236&amp;C236,盘货信息!$A:$A&amp;盘货信息!$B:$B&amp;盘货信息!$C:$C,盘货信息!$Q:$Q))),1),""))&amp;"元")</f>
        <v/>
      </c>
      <c r="T236" s="18" t="str">
        <f t="array" ref="T236">IF(ISNUMBER(SEARCH("是",_xlfn.XLOOKUP(A236&amp;B236&amp;C236,盘货信息!$A:$A&amp;盘货信息!$B:$B&amp;盘货信息!$C:$C,盘货信息!$T:$T))),"【瓜分】"&amp;固定信息!$B$7,"")</f>
        <v/>
      </c>
      <c r="U236" s="18" t="str">
        <f>IF($C236="","",IF(AND(R236="",S236="",T236=""),"",固定信息!$B$1))</f>
        <v/>
      </c>
      <c r="V236" s="18" t="str">
        <f t="array" ref="V236">IF(C236="","","【服务】"&amp;IF(_xlfn.XLOOKUP(A236&amp;B236&amp;C236,盘货信息!$A:$A&amp;盘货信息!$B:$B&amp;盘货信息!$C:$C,盘货信息!$V:$V)="","",_xlfn.XLOOKUP(A236&amp;B236&amp;C236,盘货信息!$A:$A&amp;盘货信息!$B:$B&amp;盘货信息!$C:$C,盘货信息!$V:$V)&amp;"免息,")&amp;IF(_xlfn.XLOOKUP(A236&amp;B236&amp;C236,盘货信息!$A:$A&amp;盘货信息!$B:$B&amp;盘货信息!$C:$C,盘货信息!$W:$W)="","",_xlfn.XLOOKUP(A236&amp;B236&amp;C236,盘货信息!$A:$A&amp;盘货信息!$B:$B&amp;盘货信息!$C:$C,盘货信息!$W:$W)&amp;"，")&amp;"送货入户，退换免运费")</f>
        <v/>
      </c>
    </row>
    <row r="237" customHeight="1" spans="1:22">
      <c r="A237" s="17" t="str">
        <f>IF(盘货信息!A237="","",盘货信息!A237)</f>
        <v/>
      </c>
      <c r="B237" s="20" t="str">
        <f>IF(盘货信息!B237="","",盘货信息!B237)</f>
        <v/>
      </c>
      <c r="C237" s="18" t="str">
        <f>IF(盘货信息!C237="","",盘货信息!C237)</f>
        <v/>
      </c>
      <c r="D237" s="18" t="str">
        <f ca="1" t="shared" si="3"/>
        <v/>
      </c>
      <c r="E237" s="18" t="str">
        <f>IF(C237="","",固定信息!$B$2)</f>
        <v/>
      </c>
      <c r="F237" s="18" t="str">
        <f t="array" ref="F237">IF(C237="","","【"&amp;C237&amp;"】"&amp;_xlfn.XLOOKUP(A237&amp;B237&amp;C237,盘货信息!$A:$A&amp;盘货信息!$B:$B&amp;盘货信息!$C:$C,盘货信息!$D:$D))</f>
        <v/>
      </c>
      <c r="G237" s="18" t="str">
        <f>IF(C237="","","【"&amp;"活动时间："&amp;固定信息!$B$3&amp;"】")</f>
        <v/>
      </c>
      <c r="H237" s="18" t="str">
        <f>IF($C237="","",固定信息!$B$1)</f>
        <v/>
      </c>
      <c r="I237" s="18"/>
      <c r="J237" s="18" t="str">
        <f t="array" ref="J237">_xlfn.XLOOKUP(A237&amp;B237&amp;C237,价格信息!$A:$A&amp;价格信息!$B:$B&amp;价格信息!$C:$C,价格信息!$D:$D)</f>
        <v/>
      </c>
      <c r="K237" s="31" t="str">
        <f t="array" ref="K237">IF(_xlfn.XLOOKUP(A237&amp;B237&amp;C237,价格信息!$A:$A&amp;价格信息!$B:$B&amp;价格信息!$C:$C,价格信息!$I:$I)="","","【优惠券链接】"&amp;固定信息!$B$6)</f>
        <v/>
      </c>
      <c r="L237" s="31" t="str">
        <f>IF($C237="","",固定信息!$B$1)</f>
        <v/>
      </c>
      <c r="M237" s="18" t="str">
        <f t="array" ref="M237">IF(_xlfn.XLOOKUP(A237&amp;B237&amp;C237,盘货信息!$A:$A&amp;盘货信息!$B:$B&amp;盘货信息!$C:$C,盘货信息!$O:$O)="","","【优惠券】领"&amp;INDEX(_wpsfn.REGEXP(_xlfn.XLOOKUP(A237&amp;B237&amp;C237,盘货信息!$A:$A&amp;盘货信息!$B:$B&amp;盘货信息!$C:$C,盘货信息!$O:$O),"\d+"),1,1)&amp;"元优惠券下单更优惠，优惠卷："&amp;_xlfn.XLOOKUP(A237&amp;B237&amp;C237,盘货信息!$A:$A&amp;盘货信息!$B:$B&amp;盘货信息!$C:$C,盘货信息!$P:$P))</f>
        <v/>
      </c>
      <c r="N237" s="18" t="str">
        <f t="array" ref="N237">IF(AND(ISNUMBER(_xlfn.XLOOKUP(A237&amp;B237&amp;C237,盘货信息!$A:$A&amp;盘货信息!$B:$B&amp;盘货信息!$C:$C,盘货信息!$I:$I)),_xlfn.XLOOKUP(A237&amp;B237&amp;C237,盘货信息!$A:$A&amp;盘货信息!$B:$B&amp;盘货信息!$C:$C,盘货信息!$I:$I)&gt;1),"【88VIP】立减"&amp;_xlfn.XLOOKUP(A237&amp;B237&amp;C237,盘货信息!$A:$A&amp;盘货信息!$B:$B&amp;盘货信息!$C:$C,盘货信息!$I:$I)&amp;"元","")</f>
        <v/>
      </c>
      <c r="O237" s="18" t="str">
        <f t="array" ref="O237">IF(_xlfn.XLOOKUP(A237&amp;B237&amp;C237,盘货信息!$A:$A&amp;盘货信息!$B:$B&amp;盘货信息!$C:$C,盘货信息!$K:$K)="","",IF(AND(_xlfn.XLOOKUP(A237&amp;B237&amp;C237,盘货信息!$A:$A&amp;盘货信息!$B:$B&amp;盘货信息!$C:$C,盘货信息!$G:$G)="不参加",_xlfn.XLOOKUP(A237&amp;B237&amp;C237,盘货信息!$A:$A&amp;盘货信息!$B:$B&amp;盘货信息!$C:$C,盘货信息!$H:$H)=""),"【以旧换新】"&amp;_xlfn.XLOOKUP(A237&amp;B237&amp;C237,盘货信息!$A:$A&amp;盘货信息!$B:$B&amp;盘货信息!$C:$C,盘货信息!$K:$K)&amp;"元以旧换新补贴（可无旧机换新）",""))</f>
        <v/>
      </c>
      <c r="P237" s="18" t="str">
        <f t="array" ref="P237">_xlfn.XLOOKUP(A237&amp;B237&amp;C237,赠品!$A:$A&amp;赠品!$B:$B&amp;赠品!$C:$C,赠品!$D:$D)</f>
        <v/>
      </c>
      <c r="Q237" s="18" t="str">
        <f>IF($C237="","",IF(AND(M237="",N237="",P237=""),"",固定信息!$B$1))</f>
        <v/>
      </c>
      <c r="R237" s="18" t="str">
        <f t="array" ref="R237">IF(ISNUMBER(SEARCH("是",_xlfn.XLOOKUP(A237&amp;B237&amp;C237,盘货信息!$A:$A&amp;盘货信息!$B:$B&amp;盘货信息!$C:$C,盘货信息!$U:$U))),"【折扣】指定型号满2类享96折，满3类享94折","")</f>
        <v/>
      </c>
      <c r="S237" s="18" t="str">
        <f t="array" ref="S237">IF(_xlfn.XLOOKUP(A237&amp;B237&amp;C237,盘货信息!$A:$A&amp;盘货信息!$B:$B&amp;盘货信息!$C:$C,盘货信息!$Q:$Q)&lt;1,"","【红包】活动时间购机送"&amp;_xlfn.TEXTJOIN("",,IF(ISNUMBER(--MID(_xlfn.XLOOKUP(A237&amp;B237&amp;C237,盘货信息!$A:$A&amp;盘货信息!$B:$B&amp;盘货信息!$C:$C,盘货信息!$Q:$Q),_xlfn.SEQUENCE(LEN(_xlfn.XLOOKUP(A237&amp;B237&amp;C237,盘货信息!$A:$A&amp;盘货信息!$B:$B&amp;盘货信息!$C:$C,盘货信息!$Q:$Q))),1)),MID(_xlfn.XLOOKUP(A237&amp;B237&amp;C237,盘货信息!$A:$A&amp;盘货信息!$B:$B&amp;盘货信息!$C:$C,盘货信息!$Q:$Q),_xlfn.SEQUENCE(LEN(_xlfn.XLOOKUP(A237&amp;B237&amp;C237,盘货信息!$A:$A&amp;盘货信息!$B:$B&amp;盘货信息!$C:$C,盘货信息!$Q:$Q))),1),""))&amp;"元")</f>
        <v/>
      </c>
      <c r="T237" s="18" t="str">
        <f t="array" ref="T237">IF(ISNUMBER(SEARCH("是",_xlfn.XLOOKUP(A237&amp;B237&amp;C237,盘货信息!$A:$A&amp;盘货信息!$B:$B&amp;盘货信息!$C:$C,盘货信息!$T:$T))),"【瓜分】"&amp;固定信息!$B$7,"")</f>
        <v/>
      </c>
      <c r="U237" s="18" t="str">
        <f>IF($C237="","",IF(AND(R237="",S237="",T237=""),"",固定信息!$B$1))</f>
        <v/>
      </c>
      <c r="V237" s="18" t="str">
        <f t="array" ref="V237">IF(C237="","","【服务】"&amp;IF(_xlfn.XLOOKUP(A237&amp;B237&amp;C237,盘货信息!$A:$A&amp;盘货信息!$B:$B&amp;盘货信息!$C:$C,盘货信息!$V:$V)="","",_xlfn.XLOOKUP(A237&amp;B237&amp;C237,盘货信息!$A:$A&amp;盘货信息!$B:$B&amp;盘货信息!$C:$C,盘货信息!$V:$V)&amp;"免息,")&amp;IF(_xlfn.XLOOKUP(A237&amp;B237&amp;C237,盘货信息!$A:$A&amp;盘货信息!$B:$B&amp;盘货信息!$C:$C,盘货信息!$W:$W)="","",_xlfn.XLOOKUP(A237&amp;B237&amp;C237,盘货信息!$A:$A&amp;盘货信息!$B:$B&amp;盘货信息!$C:$C,盘货信息!$W:$W)&amp;"，")&amp;"送货入户，退换免运费")</f>
        <v/>
      </c>
    </row>
    <row r="238" customHeight="1" spans="1:22">
      <c r="A238" s="17" t="str">
        <f>IF(盘货信息!A238="","",盘货信息!A238)</f>
        <v/>
      </c>
      <c r="B238" s="20" t="str">
        <f>IF(盘货信息!B238="","",盘货信息!B238)</f>
        <v/>
      </c>
      <c r="C238" s="18" t="str">
        <f>IF(盘货信息!C238="","",盘货信息!C238)</f>
        <v/>
      </c>
      <c r="D238" s="18" t="str">
        <f ca="1" t="shared" si="3"/>
        <v/>
      </c>
      <c r="E238" s="18" t="str">
        <f>IF(C238="","",固定信息!$B$2)</f>
        <v/>
      </c>
      <c r="F238" s="18" t="str">
        <f t="array" ref="F238">IF(C238="","","【"&amp;C238&amp;"】"&amp;_xlfn.XLOOKUP(A238&amp;B238&amp;C238,盘货信息!$A:$A&amp;盘货信息!$B:$B&amp;盘货信息!$C:$C,盘货信息!$D:$D))</f>
        <v/>
      </c>
      <c r="G238" s="18" t="str">
        <f>IF(C238="","","【"&amp;"活动时间："&amp;固定信息!$B$3&amp;"】")</f>
        <v/>
      </c>
      <c r="H238" s="18" t="str">
        <f>IF($C238="","",固定信息!$B$1)</f>
        <v/>
      </c>
      <c r="I238" s="18"/>
      <c r="J238" s="18" t="str">
        <f t="array" ref="J238">_xlfn.XLOOKUP(A238&amp;B238&amp;C238,价格信息!$A:$A&amp;价格信息!$B:$B&amp;价格信息!$C:$C,价格信息!$D:$D)</f>
        <v/>
      </c>
      <c r="K238" s="31" t="str">
        <f t="array" ref="K238">IF(_xlfn.XLOOKUP(A238&amp;B238&amp;C238,价格信息!$A:$A&amp;价格信息!$B:$B&amp;价格信息!$C:$C,价格信息!$I:$I)="","","【优惠券链接】"&amp;固定信息!$B$6)</f>
        <v/>
      </c>
      <c r="L238" s="31" t="str">
        <f>IF($C238="","",固定信息!$B$1)</f>
        <v/>
      </c>
      <c r="M238" s="18" t="str">
        <f t="array" ref="M238">IF(_xlfn.XLOOKUP(A238&amp;B238&amp;C238,盘货信息!$A:$A&amp;盘货信息!$B:$B&amp;盘货信息!$C:$C,盘货信息!$O:$O)="","","【优惠券】领"&amp;INDEX(_wpsfn.REGEXP(_xlfn.XLOOKUP(A238&amp;B238&amp;C238,盘货信息!$A:$A&amp;盘货信息!$B:$B&amp;盘货信息!$C:$C,盘货信息!$O:$O),"\d+"),1,1)&amp;"元优惠券下单更优惠，优惠卷："&amp;_xlfn.XLOOKUP(A238&amp;B238&amp;C238,盘货信息!$A:$A&amp;盘货信息!$B:$B&amp;盘货信息!$C:$C,盘货信息!$P:$P))</f>
        <v/>
      </c>
      <c r="N238" s="18" t="str">
        <f t="array" ref="N238">IF(AND(ISNUMBER(_xlfn.XLOOKUP(A238&amp;B238&amp;C238,盘货信息!$A:$A&amp;盘货信息!$B:$B&amp;盘货信息!$C:$C,盘货信息!$I:$I)),_xlfn.XLOOKUP(A238&amp;B238&amp;C238,盘货信息!$A:$A&amp;盘货信息!$B:$B&amp;盘货信息!$C:$C,盘货信息!$I:$I)&gt;1),"【88VIP】立减"&amp;_xlfn.XLOOKUP(A238&amp;B238&amp;C238,盘货信息!$A:$A&amp;盘货信息!$B:$B&amp;盘货信息!$C:$C,盘货信息!$I:$I)&amp;"元","")</f>
        <v/>
      </c>
      <c r="O238" s="18" t="str">
        <f t="array" ref="O238">IF(_xlfn.XLOOKUP(A238&amp;B238&amp;C238,盘货信息!$A:$A&amp;盘货信息!$B:$B&amp;盘货信息!$C:$C,盘货信息!$K:$K)="","",IF(AND(_xlfn.XLOOKUP(A238&amp;B238&amp;C238,盘货信息!$A:$A&amp;盘货信息!$B:$B&amp;盘货信息!$C:$C,盘货信息!$G:$G)="不参加",_xlfn.XLOOKUP(A238&amp;B238&amp;C238,盘货信息!$A:$A&amp;盘货信息!$B:$B&amp;盘货信息!$C:$C,盘货信息!$H:$H)=""),"【以旧换新】"&amp;_xlfn.XLOOKUP(A238&amp;B238&amp;C238,盘货信息!$A:$A&amp;盘货信息!$B:$B&amp;盘货信息!$C:$C,盘货信息!$K:$K)&amp;"元以旧换新补贴（可无旧机换新）",""))</f>
        <v/>
      </c>
      <c r="P238" s="18" t="str">
        <f t="array" ref="P238">_xlfn.XLOOKUP(A238&amp;B238&amp;C238,赠品!$A:$A&amp;赠品!$B:$B&amp;赠品!$C:$C,赠品!$D:$D)</f>
        <v/>
      </c>
      <c r="Q238" s="18" t="str">
        <f>IF($C238="","",IF(AND(M238="",N238="",P238=""),"",固定信息!$B$1))</f>
        <v/>
      </c>
      <c r="R238" s="18" t="str">
        <f t="array" ref="R238">IF(ISNUMBER(SEARCH("是",_xlfn.XLOOKUP(A238&amp;B238&amp;C238,盘货信息!$A:$A&amp;盘货信息!$B:$B&amp;盘货信息!$C:$C,盘货信息!$U:$U))),"【折扣】指定型号满2类享96折，满3类享94折","")</f>
        <v/>
      </c>
      <c r="S238" s="18" t="str">
        <f t="array" ref="S238">IF(_xlfn.XLOOKUP(A238&amp;B238&amp;C238,盘货信息!$A:$A&amp;盘货信息!$B:$B&amp;盘货信息!$C:$C,盘货信息!$Q:$Q)&lt;1,"","【红包】活动时间购机送"&amp;_xlfn.TEXTJOIN("",,IF(ISNUMBER(--MID(_xlfn.XLOOKUP(A238&amp;B238&amp;C238,盘货信息!$A:$A&amp;盘货信息!$B:$B&amp;盘货信息!$C:$C,盘货信息!$Q:$Q),_xlfn.SEQUENCE(LEN(_xlfn.XLOOKUP(A238&amp;B238&amp;C238,盘货信息!$A:$A&amp;盘货信息!$B:$B&amp;盘货信息!$C:$C,盘货信息!$Q:$Q))),1)),MID(_xlfn.XLOOKUP(A238&amp;B238&amp;C238,盘货信息!$A:$A&amp;盘货信息!$B:$B&amp;盘货信息!$C:$C,盘货信息!$Q:$Q),_xlfn.SEQUENCE(LEN(_xlfn.XLOOKUP(A238&amp;B238&amp;C238,盘货信息!$A:$A&amp;盘货信息!$B:$B&amp;盘货信息!$C:$C,盘货信息!$Q:$Q))),1),""))&amp;"元")</f>
        <v/>
      </c>
      <c r="T238" s="18" t="str">
        <f t="array" ref="T238">IF(ISNUMBER(SEARCH("是",_xlfn.XLOOKUP(A238&amp;B238&amp;C238,盘货信息!$A:$A&amp;盘货信息!$B:$B&amp;盘货信息!$C:$C,盘货信息!$T:$T))),"【瓜分】"&amp;固定信息!$B$7,"")</f>
        <v/>
      </c>
      <c r="U238" s="18" t="str">
        <f>IF($C238="","",IF(AND(R238="",S238="",T238=""),"",固定信息!$B$1))</f>
        <v/>
      </c>
      <c r="V238" s="18" t="str">
        <f t="array" ref="V238">IF(C238="","","【服务】"&amp;IF(_xlfn.XLOOKUP(A238&amp;B238&amp;C238,盘货信息!$A:$A&amp;盘货信息!$B:$B&amp;盘货信息!$C:$C,盘货信息!$V:$V)="","",_xlfn.XLOOKUP(A238&amp;B238&amp;C238,盘货信息!$A:$A&amp;盘货信息!$B:$B&amp;盘货信息!$C:$C,盘货信息!$V:$V)&amp;"免息,")&amp;IF(_xlfn.XLOOKUP(A238&amp;B238&amp;C238,盘货信息!$A:$A&amp;盘货信息!$B:$B&amp;盘货信息!$C:$C,盘货信息!$W:$W)="","",_xlfn.XLOOKUP(A238&amp;B238&amp;C238,盘货信息!$A:$A&amp;盘货信息!$B:$B&amp;盘货信息!$C:$C,盘货信息!$W:$W)&amp;"，")&amp;"送货入户，退换免运费")</f>
        <v/>
      </c>
    </row>
    <row r="239" customHeight="1" spans="1:22">
      <c r="A239" s="17" t="str">
        <f>IF(盘货信息!A239="","",盘货信息!A239)</f>
        <v/>
      </c>
      <c r="B239" s="20" t="str">
        <f>IF(盘货信息!B239="","",盘货信息!B239)</f>
        <v/>
      </c>
      <c r="C239" s="18" t="str">
        <f>IF(盘货信息!C239="","",盘货信息!C239)</f>
        <v/>
      </c>
      <c r="D239" s="18" t="str">
        <f ca="1" t="shared" si="3"/>
        <v/>
      </c>
      <c r="E239" s="18" t="str">
        <f>IF(C239="","",固定信息!$B$2)</f>
        <v/>
      </c>
      <c r="F239" s="18" t="str">
        <f t="array" ref="F239">IF(C239="","","【"&amp;C239&amp;"】"&amp;_xlfn.XLOOKUP(A239&amp;B239&amp;C239,盘货信息!$A:$A&amp;盘货信息!$B:$B&amp;盘货信息!$C:$C,盘货信息!$D:$D))</f>
        <v/>
      </c>
      <c r="G239" s="18" t="str">
        <f>IF(C239="","","【"&amp;"活动时间："&amp;固定信息!$B$3&amp;"】")</f>
        <v/>
      </c>
      <c r="H239" s="18" t="str">
        <f>IF($C239="","",固定信息!$B$1)</f>
        <v/>
      </c>
      <c r="I239" s="18"/>
      <c r="J239" s="18" t="str">
        <f t="array" ref="J239">_xlfn.XLOOKUP(A239&amp;B239&amp;C239,价格信息!$A:$A&amp;价格信息!$B:$B&amp;价格信息!$C:$C,价格信息!$D:$D)</f>
        <v/>
      </c>
      <c r="K239" s="31" t="str">
        <f t="array" ref="K239">IF(_xlfn.XLOOKUP(A239&amp;B239&amp;C239,价格信息!$A:$A&amp;价格信息!$B:$B&amp;价格信息!$C:$C,价格信息!$I:$I)="","","【优惠券链接】"&amp;固定信息!$B$6)</f>
        <v/>
      </c>
      <c r="L239" s="31" t="str">
        <f>IF($C239="","",固定信息!$B$1)</f>
        <v/>
      </c>
      <c r="M239" s="18" t="str">
        <f t="array" ref="M239">IF(_xlfn.XLOOKUP(A239&amp;B239&amp;C239,盘货信息!$A:$A&amp;盘货信息!$B:$B&amp;盘货信息!$C:$C,盘货信息!$O:$O)="","","【优惠券】领"&amp;INDEX(_wpsfn.REGEXP(_xlfn.XLOOKUP(A239&amp;B239&amp;C239,盘货信息!$A:$A&amp;盘货信息!$B:$B&amp;盘货信息!$C:$C,盘货信息!$O:$O),"\d+"),1,1)&amp;"元优惠券下单更优惠，优惠卷："&amp;_xlfn.XLOOKUP(A239&amp;B239&amp;C239,盘货信息!$A:$A&amp;盘货信息!$B:$B&amp;盘货信息!$C:$C,盘货信息!$P:$P))</f>
        <v/>
      </c>
      <c r="N239" s="18" t="str">
        <f t="array" ref="N239">IF(AND(ISNUMBER(_xlfn.XLOOKUP(A239&amp;B239&amp;C239,盘货信息!$A:$A&amp;盘货信息!$B:$B&amp;盘货信息!$C:$C,盘货信息!$I:$I)),_xlfn.XLOOKUP(A239&amp;B239&amp;C239,盘货信息!$A:$A&amp;盘货信息!$B:$B&amp;盘货信息!$C:$C,盘货信息!$I:$I)&gt;1),"【88VIP】立减"&amp;_xlfn.XLOOKUP(A239&amp;B239&amp;C239,盘货信息!$A:$A&amp;盘货信息!$B:$B&amp;盘货信息!$C:$C,盘货信息!$I:$I)&amp;"元","")</f>
        <v/>
      </c>
      <c r="O239" s="18" t="str">
        <f t="array" ref="O239">IF(_xlfn.XLOOKUP(A239&amp;B239&amp;C239,盘货信息!$A:$A&amp;盘货信息!$B:$B&amp;盘货信息!$C:$C,盘货信息!$K:$K)="","",IF(AND(_xlfn.XLOOKUP(A239&amp;B239&amp;C239,盘货信息!$A:$A&amp;盘货信息!$B:$B&amp;盘货信息!$C:$C,盘货信息!$G:$G)="不参加",_xlfn.XLOOKUP(A239&amp;B239&amp;C239,盘货信息!$A:$A&amp;盘货信息!$B:$B&amp;盘货信息!$C:$C,盘货信息!$H:$H)=""),"【以旧换新】"&amp;_xlfn.XLOOKUP(A239&amp;B239&amp;C239,盘货信息!$A:$A&amp;盘货信息!$B:$B&amp;盘货信息!$C:$C,盘货信息!$K:$K)&amp;"元以旧换新补贴（可无旧机换新）",""))</f>
        <v/>
      </c>
      <c r="P239" s="18" t="str">
        <f t="array" ref="P239">_xlfn.XLOOKUP(A239&amp;B239&amp;C239,赠品!$A:$A&amp;赠品!$B:$B&amp;赠品!$C:$C,赠品!$D:$D)</f>
        <v/>
      </c>
      <c r="Q239" s="18" t="str">
        <f>IF($C239="","",IF(AND(M239="",N239="",P239=""),"",固定信息!$B$1))</f>
        <v/>
      </c>
      <c r="R239" s="18" t="str">
        <f t="array" ref="R239">IF(ISNUMBER(SEARCH("是",_xlfn.XLOOKUP(A239&amp;B239&amp;C239,盘货信息!$A:$A&amp;盘货信息!$B:$B&amp;盘货信息!$C:$C,盘货信息!$U:$U))),"【折扣】指定型号满2类享96折，满3类享94折","")</f>
        <v/>
      </c>
      <c r="S239" s="18" t="str">
        <f t="array" ref="S239">IF(_xlfn.XLOOKUP(A239&amp;B239&amp;C239,盘货信息!$A:$A&amp;盘货信息!$B:$B&amp;盘货信息!$C:$C,盘货信息!$Q:$Q)&lt;1,"","【红包】活动时间购机送"&amp;_xlfn.TEXTJOIN("",,IF(ISNUMBER(--MID(_xlfn.XLOOKUP(A239&amp;B239&amp;C239,盘货信息!$A:$A&amp;盘货信息!$B:$B&amp;盘货信息!$C:$C,盘货信息!$Q:$Q),_xlfn.SEQUENCE(LEN(_xlfn.XLOOKUP(A239&amp;B239&amp;C239,盘货信息!$A:$A&amp;盘货信息!$B:$B&amp;盘货信息!$C:$C,盘货信息!$Q:$Q))),1)),MID(_xlfn.XLOOKUP(A239&amp;B239&amp;C239,盘货信息!$A:$A&amp;盘货信息!$B:$B&amp;盘货信息!$C:$C,盘货信息!$Q:$Q),_xlfn.SEQUENCE(LEN(_xlfn.XLOOKUP(A239&amp;B239&amp;C239,盘货信息!$A:$A&amp;盘货信息!$B:$B&amp;盘货信息!$C:$C,盘货信息!$Q:$Q))),1),""))&amp;"元")</f>
        <v/>
      </c>
      <c r="T239" s="18" t="str">
        <f t="array" ref="T239">IF(ISNUMBER(SEARCH("是",_xlfn.XLOOKUP(A239&amp;B239&amp;C239,盘货信息!$A:$A&amp;盘货信息!$B:$B&amp;盘货信息!$C:$C,盘货信息!$T:$T))),"【瓜分】"&amp;固定信息!$B$7,"")</f>
        <v/>
      </c>
      <c r="U239" s="18" t="str">
        <f>IF($C239="","",IF(AND(R239="",S239="",T239=""),"",固定信息!$B$1))</f>
        <v/>
      </c>
      <c r="V239" s="18" t="str">
        <f t="array" ref="V239">IF(C239="","","【服务】"&amp;IF(_xlfn.XLOOKUP(A239&amp;B239&amp;C239,盘货信息!$A:$A&amp;盘货信息!$B:$B&amp;盘货信息!$C:$C,盘货信息!$V:$V)="","",_xlfn.XLOOKUP(A239&amp;B239&amp;C239,盘货信息!$A:$A&amp;盘货信息!$B:$B&amp;盘货信息!$C:$C,盘货信息!$V:$V)&amp;"免息,")&amp;IF(_xlfn.XLOOKUP(A239&amp;B239&amp;C239,盘货信息!$A:$A&amp;盘货信息!$B:$B&amp;盘货信息!$C:$C,盘货信息!$W:$W)="","",_xlfn.XLOOKUP(A239&amp;B239&amp;C239,盘货信息!$A:$A&amp;盘货信息!$B:$B&amp;盘货信息!$C:$C,盘货信息!$W:$W)&amp;"，")&amp;"送货入户，退换免运费")</f>
        <v/>
      </c>
    </row>
    <row r="240" customHeight="1" spans="1:22">
      <c r="A240" s="17" t="str">
        <f>IF(盘货信息!A240="","",盘货信息!A240)</f>
        <v/>
      </c>
      <c r="B240" s="20" t="str">
        <f>IF(盘货信息!B240="","",盘货信息!B240)</f>
        <v/>
      </c>
      <c r="C240" s="18" t="str">
        <f>IF(盘货信息!C240="","",盘货信息!C240)</f>
        <v/>
      </c>
      <c r="D240" s="18" t="str">
        <f ca="1" t="shared" si="3"/>
        <v/>
      </c>
      <c r="E240" s="18" t="str">
        <f>IF(C240="","",固定信息!$B$2)</f>
        <v/>
      </c>
      <c r="F240" s="18" t="str">
        <f t="array" ref="F240">IF(C240="","","【"&amp;C240&amp;"】"&amp;_xlfn.XLOOKUP(A240&amp;B240&amp;C240,盘货信息!$A:$A&amp;盘货信息!$B:$B&amp;盘货信息!$C:$C,盘货信息!$D:$D))</f>
        <v/>
      </c>
      <c r="G240" s="18" t="str">
        <f>IF(C240="","","【"&amp;"活动时间："&amp;固定信息!$B$3&amp;"】")</f>
        <v/>
      </c>
      <c r="H240" s="18" t="str">
        <f>IF($C240="","",固定信息!$B$1)</f>
        <v/>
      </c>
      <c r="I240" s="18"/>
      <c r="J240" s="18" t="str">
        <f t="array" ref="J240">_xlfn.XLOOKUP(A240&amp;B240&amp;C240,价格信息!$A:$A&amp;价格信息!$B:$B&amp;价格信息!$C:$C,价格信息!$D:$D)</f>
        <v/>
      </c>
      <c r="K240" s="31" t="str">
        <f t="array" ref="K240">IF(_xlfn.XLOOKUP(A240&amp;B240&amp;C240,价格信息!$A:$A&amp;价格信息!$B:$B&amp;价格信息!$C:$C,价格信息!$I:$I)="","","【优惠券链接】"&amp;固定信息!$B$6)</f>
        <v/>
      </c>
      <c r="L240" s="31" t="str">
        <f>IF($C240="","",固定信息!$B$1)</f>
        <v/>
      </c>
      <c r="M240" s="18" t="str">
        <f t="array" ref="M240">IF(_xlfn.XLOOKUP(A240&amp;B240&amp;C240,盘货信息!$A:$A&amp;盘货信息!$B:$B&amp;盘货信息!$C:$C,盘货信息!$O:$O)="","","【优惠券】领"&amp;INDEX(_wpsfn.REGEXP(_xlfn.XLOOKUP(A240&amp;B240&amp;C240,盘货信息!$A:$A&amp;盘货信息!$B:$B&amp;盘货信息!$C:$C,盘货信息!$O:$O),"\d+"),1,1)&amp;"元优惠券下单更优惠，优惠卷："&amp;_xlfn.XLOOKUP(A240&amp;B240&amp;C240,盘货信息!$A:$A&amp;盘货信息!$B:$B&amp;盘货信息!$C:$C,盘货信息!$P:$P))</f>
        <v/>
      </c>
      <c r="N240" s="18" t="str">
        <f t="array" ref="N240">IF(AND(ISNUMBER(_xlfn.XLOOKUP(A240&amp;B240&amp;C240,盘货信息!$A:$A&amp;盘货信息!$B:$B&amp;盘货信息!$C:$C,盘货信息!$I:$I)),_xlfn.XLOOKUP(A240&amp;B240&amp;C240,盘货信息!$A:$A&amp;盘货信息!$B:$B&amp;盘货信息!$C:$C,盘货信息!$I:$I)&gt;1),"【88VIP】立减"&amp;_xlfn.XLOOKUP(A240&amp;B240&amp;C240,盘货信息!$A:$A&amp;盘货信息!$B:$B&amp;盘货信息!$C:$C,盘货信息!$I:$I)&amp;"元","")</f>
        <v/>
      </c>
      <c r="O240" s="18" t="str">
        <f t="array" ref="O240">IF(_xlfn.XLOOKUP(A240&amp;B240&amp;C240,盘货信息!$A:$A&amp;盘货信息!$B:$B&amp;盘货信息!$C:$C,盘货信息!$K:$K)="","",IF(AND(_xlfn.XLOOKUP(A240&amp;B240&amp;C240,盘货信息!$A:$A&amp;盘货信息!$B:$B&amp;盘货信息!$C:$C,盘货信息!$G:$G)="不参加",_xlfn.XLOOKUP(A240&amp;B240&amp;C240,盘货信息!$A:$A&amp;盘货信息!$B:$B&amp;盘货信息!$C:$C,盘货信息!$H:$H)=""),"【以旧换新】"&amp;_xlfn.XLOOKUP(A240&amp;B240&amp;C240,盘货信息!$A:$A&amp;盘货信息!$B:$B&amp;盘货信息!$C:$C,盘货信息!$K:$K)&amp;"元以旧换新补贴（可无旧机换新）",""))</f>
        <v/>
      </c>
      <c r="P240" s="18" t="str">
        <f t="array" ref="P240">_xlfn.XLOOKUP(A240&amp;B240&amp;C240,赠品!$A:$A&amp;赠品!$B:$B&amp;赠品!$C:$C,赠品!$D:$D)</f>
        <v/>
      </c>
      <c r="Q240" s="18" t="str">
        <f>IF($C240="","",IF(AND(M240="",N240="",P240=""),"",固定信息!$B$1))</f>
        <v/>
      </c>
      <c r="R240" s="18" t="str">
        <f t="array" ref="R240">IF(ISNUMBER(SEARCH("是",_xlfn.XLOOKUP(A240&amp;B240&amp;C240,盘货信息!$A:$A&amp;盘货信息!$B:$B&amp;盘货信息!$C:$C,盘货信息!$U:$U))),"【折扣】指定型号满2类享96折，满3类享94折","")</f>
        <v/>
      </c>
      <c r="S240" s="18" t="str">
        <f t="array" ref="S240">IF(_xlfn.XLOOKUP(A240&amp;B240&amp;C240,盘货信息!$A:$A&amp;盘货信息!$B:$B&amp;盘货信息!$C:$C,盘货信息!$Q:$Q)&lt;1,"","【红包】活动时间购机送"&amp;_xlfn.TEXTJOIN("",,IF(ISNUMBER(--MID(_xlfn.XLOOKUP(A240&amp;B240&amp;C240,盘货信息!$A:$A&amp;盘货信息!$B:$B&amp;盘货信息!$C:$C,盘货信息!$Q:$Q),_xlfn.SEQUENCE(LEN(_xlfn.XLOOKUP(A240&amp;B240&amp;C240,盘货信息!$A:$A&amp;盘货信息!$B:$B&amp;盘货信息!$C:$C,盘货信息!$Q:$Q))),1)),MID(_xlfn.XLOOKUP(A240&amp;B240&amp;C240,盘货信息!$A:$A&amp;盘货信息!$B:$B&amp;盘货信息!$C:$C,盘货信息!$Q:$Q),_xlfn.SEQUENCE(LEN(_xlfn.XLOOKUP(A240&amp;B240&amp;C240,盘货信息!$A:$A&amp;盘货信息!$B:$B&amp;盘货信息!$C:$C,盘货信息!$Q:$Q))),1),""))&amp;"元")</f>
        <v/>
      </c>
      <c r="T240" s="18" t="str">
        <f t="array" ref="T240">IF(ISNUMBER(SEARCH("是",_xlfn.XLOOKUP(A240&amp;B240&amp;C240,盘货信息!$A:$A&amp;盘货信息!$B:$B&amp;盘货信息!$C:$C,盘货信息!$T:$T))),"【瓜分】"&amp;固定信息!$B$7,"")</f>
        <v/>
      </c>
      <c r="U240" s="18" t="str">
        <f>IF($C240="","",IF(AND(R240="",S240="",T240=""),"",固定信息!$B$1))</f>
        <v/>
      </c>
      <c r="V240" s="18" t="str">
        <f t="array" ref="V240">IF(C240="","","【服务】"&amp;IF(_xlfn.XLOOKUP(A240&amp;B240&amp;C240,盘货信息!$A:$A&amp;盘货信息!$B:$B&amp;盘货信息!$C:$C,盘货信息!$V:$V)="","",_xlfn.XLOOKUP(A240&amp;B240&amp;C240,盘货信息!$A:$A&amp;盘货信息!$B:$B&amp;盘货信息!$C:$C,盘货信息!$V:$V)&amp;"免息,")&amp;IF(_xlfn.XLOOKUP(A240&amp;B240&amp;C240,盘货信息!$A:$A&amp;盘货信息!$B:$B&amp;盘货信息!$C:$C,盘货信息!$W:$W)="","",_xlfn.XLOOKUP(A240&amp;B240&amp;C240,盘货信息!$A:$A&amp;盘货信息!$B:$B&amp;盘货信息!$C:$C,盘货信息!$W:$W)&amp;"，")&amp;"送货入户，退换免运费")</f>
        <v/>
      </c>
    </row>
    <row r="241" customHeight="1" spans="1:22">
      <c r="A241" s="17" t="str">
        <f>IF(盘货信息!A241="","",盘货信息!A241)</f>
        <v/>
      </c>
      <c r="B241" s="20" t="str">
        <f>IF(盘货信息!B241="","",盘货信息!B241)</f>
        <v/>
      </c>
      <c r="C241" s="18" t="str">
        <f>IF(盘货信息!C241="","",盘货信息!C241)</f>
        <v/>
      </c>
      <c r="D241" s="18" t="str">
        <f ca="1" t="shared" si="3"/>
        <v/>
      </c>
      <c r="E241" s="18" t="str">
        <f>IF(C241="","",固定信息!$B$2)</f>
        <v/>
      </c>
      <c r="F241" s="18" t="str">
        <f t="array" ref="F241">IF(C241="","","【"&amp;C241&amp;"】"&amp;_xlfn.XLOOKUP(A241&amp;B241&amp;C241,盘货信息!$A:$A&amp;盘货信息!$B:$B&amp;盘货信息!$C:$C,盘货信息!$D:$D))</f>
        <v/>
      </c>
      <c r="G241" s="18" t="str">
        <f>IF(C241="","","【"&amp;"活动时间："&amp;固定信息!$B$3&amp;"】")</f>
        <v/>
      </c>
      <c r="H241" s="18" t="str">
        <f>IF($C241="","",固定信息!$B$1)</f>
        <v/>
      </c>
      <c r="I241" s="18"/>
      <c r="J241" s="18" t="str">
        <f t="array" ref="J241">_xlfn.XLOOKUP(A241&amp;B241&amp;C241,价格信息!$A:$A&amp;价格信息!$B:$B&amp;价格信息!$C:$C,价格信息!$D:$D)</f>
        <v/>
      </c>
      <c r="K241" s="31" t="str">
        <f t="array" ref="K241">IF(_xlfn.XLOOKUP(A241&amp;B241&amp;C241,价格信息!$A:$A&amp;价格信息!$B:$B&amp;价格信息!$C:$C,价格信息!$I:$I)="","","【优惠券链接】"&amp;固定信息!$B$6)</f>
        <v/>
      </c>
      <c r="L241" s="31" t="str">
        <f>IF($C241="","",固定信息!$B$1)</f>
        <v/>
      </c>
      <c r="M241" s="18" t="str">
        <f t="array" ref="M241">IF(_xlfn.XLOOKUP(A241&amp;B241&amp;C241,盘货信息!$A:$A&amp;盘货信息!$B:$B&amp;盘货信息!$C:$C,盘货信息!$O:$O)="","","【优惠券】领"&amp;INDEX(_wpsfn.REGEXP(_xlfn.XLOOKUP(A241&amp;B241&amp;C241,盘货信息!$A:$A&amp;盘货信息!$B:$B&amp;盘货信息!$C:$C,盘货信息!$O:$O),"\d+"),1,1)&amp;"元优惠券下单更优惠，优惠卷："&amp;_xlfn.XLOOKUP(A241&amp;B241&amp;C241,盘货信息!$A:$A&amp;盘货信息!$B:$B&amp;盘货信息!$C:$C,盘货信息!$P:$P))</f>
        <v/>
      </c>
      <c r="N241" s="18" t="str">
        <f t="array" ref="N241">IF(AND(ISNUMBER(_xlfn.XLOOKUP(A241&amp;B241&amp;C241,盘货信息!$A:$A&amp;盘货信息!$B:$B&amp;盘货信息!$C:$C,盘货信息!$I:$I)),_xlfn.XLOOKUP(A241&amp;B241&amp;C241,盘货信息!$A:$A&amp;盘货信息!$B:$B&amp;盘货信息!$C:$C,盘货信息!$I:$I)&gt;1),"【88VIP】立减"&amp;_xlfn.XLOOKUP(A241&amp;B241&amp;C241,盘货信息!$A:$A&amp;盘货信息!$B:$B&amp;盘货信息!$C:$C,盘货信息!$I:$I)&amp;"元","")</f>
        <v/>
      </c>
      <c r="O241" s="18" t="str">
        <f t="array" ref="O241">IF(_xlfn.XLOOKUP(A241&amp;B241&amp;C241,盘货信息!$A:$A&amp;盘货信息!$B:$B&amp;盘货信息!$C:$C,盘货信息!$K:$K)="","",IF(AND(_xlfn.XLOOKUP(A241&amp;B241&amp;C241,盘货信息!$A:$A&amp;盘货信息!$B:$B&amp;盘货信息!$C:$C,盘货信息!$G:$G)="不参加",_xlfn.XLOOKUP(A241&amp;B241&amp;C241,盘货信息!$A:$A&amp;盘货信息!$B:$B&amp;盘货信息!$C:$C,盘货信息!$H:$H)=""),"【以旧换新】"&amp;_xlfn.XLOOKUP(A241&amp;B241&amp;C241,盘货信息!$A:$A&amp;盘货信息!$B:$B&amp;盘货信息!$C:$C,盘货信息!$K:$K)&amp;"元以旧换新补贴（可无旧机换新）",""))</f>
        <v/>
      </c>
      <c r="P241" s="18" t="str">
        <f t="array" ref="P241">_xlfn.XLOOKUP(A241&amp;B241&amp;C241,赠品!$A:$A&amp;赠品!$B:$B&amp;赠品!$C:$C,赠品!$D:$D)</f>
        <v/>
      </c>
      <c r="Q241" s="18" t="str">
        <f>IF($C241="","",IF(AND(M241="",N241="",P241=""),"",固定信息!$B$1))</f>
        <v/>
      </c>
      <c r="R241" s="18" t="str">
        <f t="array" ref="R241">IF(ISNUMBER(SEARCH("是",_xlfn.XLOOKUP(A241&amp;B241&amp;C241,盘货信息!$A:$A&amp;盘货信息!$B:$B&amp;盘货信息!$C:$C,盘货信息!$U:$U))),"【折扣】指定型号满2类享96折，满3类享94折","")</f>
        <v/>
      </c>
      <c r="S241" s="18" t="str">
        <f t="array" ref="S241">IF(_xlfn.XLOOKUP(A241&amp;B241&amp;C241,盘货信息!$A:$A&amp;盘货信息!$B:$B&amp;盘货信息!$C:$C,盘货信息!$Q:$Q)&lt;1,"","【红包】活动时间购机送"&amp;_xlfn.TEXTJOIN("",,IF(ISNUMBER(--MID(_xlfn.XLOOKUP(A241&amp;B241&amp;C241,盘货信息!$A:$A&amp;盘货信息!$B:$B&amp;盘货信息!$C:$C,盘货信息!$Q:$Q),_xlfn.SEQUENCE(LEN(_xlfn.XLOOKUP(A241&amp;B241&amp;C241,盘货信息!$A:$A&amp;盘货信息!$B:$B&amp;盘货信息!$C:$C,盘货信息!$Q:$Q))),1)),MID(_xlfn.XLOOKUP(A241&amp;B241&amp;C241,盘货信息!$A:$A&amp;盘货信息!$B:$B&amp;盘货信息!$C:$C,盘货信息!$Q:$Q),_xlfn.SEQUENCE(LEN(_xlfn.XLOOKUP(A241&amp;B241&amp;C241,盘货信息!$A:$A&amp;盘货信息!$B:$B&amp;盘货信息!$C:$C,盘货信息!$Q:$Q))),1),""))&amp;"元")</f>
        <v/>
      </c>
      <c r="T241" s="18" t="str">
        <f t="array" ref="T241">IF(ISNUMBER(SEARCH("是",_xlfn.XLOOKUP(A241&amp;B241&amp;C241,盘货信息!$A:$A&amp;盘货信息!$B:$B&amp;盘货信息!$C:$C,盘货信息!$T:$T))),"【瓜分】"&amp;固定信息!$B$7,"")</f>
        <v/>
      </c>
      <c r="U241" s="18" t="str">
        <f>IF($C241="","",IF(AND(R241="",S241="",T241=""),"",固定信息!$B$1))</f>
        <v/>
      </c>
      <c r="V241" s="18" t="str">
        <f t="array" ref="V241">IF(C241="","","【服务】"&amp;IF(_xlfn.XLOOKUP(A241&amp;B241&amp;C241,盘货信息!$A:$A&amp;盘货信息!$B:$B&amp;盘货信息!$C:$C,盘货信息!$V:$V)="","",_xlfn.XLOOKUP(A241&amp;B241&amp;C241,盘货信息!$A:$A&amp;盘货信息!$B:$B&amp;盘货信息!$C:$C,盘货信息!$V:$V)&amp;"免息,")&amp;IF(_xlfn.XLOOKUP(A241&amp;B241&amp;C241,盘货信息!$A:$A&amp;盘货信息!$B:$B&amp;盘货信息!$C:$C,盘货信息!$W:$W)="","",_xlfn.XLOOKUP(A241&amp;B241&amp;C241,盘货信息!$A:$A&amp;盘货信息!$B:$B&amp;盘货信息!$C:$C,盘货信息!$W:$W)&amp;"，")&amp;"送货入户，退换免运费")</f>
        <v/>
      </c>
    </row>
    <row r="242" customHeight="1" spans="1:22">
      <c r="A242" s="17" t="str">
        <f>IF(盘货信息!A242="","",盘货信息!A242)</f>
        <v/>
      </c>
      <c r="B242" s="20" t="str">
        <f>IF(盘货信息!B242="","",盘货信息!B242)</f>
        <v/>
      </c>
      <c r="C242" s="18" t="str">
        <f>IF(盘货信息!C242="","",盘货信息!C242)</f>
        <v/>
      </c>
      <c r="D242" s="18" t="str">
        <f ca="1" t="shared" si="3"/>
        <v/>
      </c>
      <c r="E242" s="18" t="str">
        <f>IF(C242="","",固定信息!$B$2)</f>
        <v/>
      </c>
      <c r="F242" s="18" t="str">
        <f t="array" ref="F242">IF(C242="","","【"&amp;C242&amp;"】"&amp;_xlfn.XLOOKUP(A242&amp;B242&amp;C242,盘货信息!$A:$A&amp;盘货信息!$B:$B&amp;盘货信息!$C:$C,盘货信息!$D:$D))</f>
        <v/>
      </c>
      <c r="G242" s="18" t="str">
        <f>IF(C242="","","【"&amp;"活动时间："&amp;固定信息!$B$3&amp;"】")</f>
        <v/>
      </c>
      <c r="H242" s="18" t="str">
        <f>IF($C242="","",固定信息!$B$1)</f>
        <v/>
      </c>
      <c r="I242" s="18"/>
      <c r="J242" s="18" t="str">
        <f t="array" ref="J242">_xlfn.XLOOKUP(A242&amp;B242&amp;C242,价格信息!$A:$A&amp;价格信息!$B:$B&amp;价格信息!$C:$C,价格信息!$D:$D)</f>
        <v/>
      </c>
      <c r="K242" s="31" t="str">
        <f t="array" ref="K242">IF(_xlfn.XLOOKUP(A242&amp;B242&amp;C242,价格信息!$A:$A&amp;价格信息!$B:$B&amp;价格信息!$C:$C,价格信息!$I:$I)="","","【优惠券链接】"&amp;固定信息!$B$6)</f>
        <v/>
      </c>
      <c r="L242" s="31" t="str">
        <f>IF($C242="","",固定信息!$B$1)</f>
        <v/>
      </c>
      <c r="M242" s="18" t="str">
        <f t="array" ref="M242">IF(_xlfn.XLOOKUP(A242&amp;B242&amp;C242,盘货信息!$A:$A&amp;盘货信息!$B:$B&amp;盘货信息!$C:$C,盘货信息!$O:$O)="","","【优惠券】领"&amp;INDEX(_wpsfn.REGEXP(_xlfn.XLOOKUP(A242&amp;B242&amp;C242,盘货信息!$A:$A&amp;盘货信息!$B:$B&amp;盘货信息!$C:$C,盘货信息!$O:$O),"\d+"),1,1)&amp;"元优惠券下单更优惠，优惠卷："&amp;_xlfn.XLOOKUP(A242&amp;B242&amp;C242,盘货信息!$A:$A&amp;盘货信息!$B:$B&amp;盘货信息!$C:$C,盘货信息!$P:$P))</f>
        <v/>
      </c>
      <c r="N242" s="18" t="str">
        <f t="array" ref="N242">IF(AND(ISNUMBER(_xlfn.XLOOKUP(A242&amp;B242&amp;C242,盘货信息!$A:$A&amp;盘货信息!$B:$B&amp;盘货信息!$C:$C,盘货信息!$I:$I)),_xlfn.XLOOKUP(A242&amp;B242&amp;C242,盘货信息!$A:$A&amp;盘货信息!$B:$B&amp;盘货信息!$C:$C,盘货信息!$I:$I)&gt;1),"【88VIP】立减"&amp;_xlfn.XLOOKUP(A242&amp;B242&amp;C242,盘货信息!$A:$A&amp;盘货信息!$B:$B&amp;盘货信息!$C:$C,盘货信息!$I:$I)&amp;"元","")</f>
        <v/>
      </c>
      <c r="O242" s="18" t="str">
        <f t="array" ref="O242">IF(_xlfn.XLOOKUP(A242&amp;B242&amp;C242,盘货信息!$A:$A&amp;盘货信息!$B:$B&amp;盘货信息!$C:$C,盘货信息!$K:$K)="","",IF(AND(_xlfn.XLOOKUP(A242&amp;B242&amp;C242,盘货信息!$A:$A&amp;盘货信息!$B:$B&amp;盘货信息!$C:$C,盘货信息!$G:$G)="不参加",_xlfn.XLOOKUP(A242&amp;B242&amp;C242,盘货信息!$A:$A&amp;盘货信息!$B:$B&amp;盘货信息!$C:$C,盘货信息!$H:$H)=""),"【以旧换新】"&amp;_xlfn.XLOOKUP(A242&amp;B242&amp;C242,盘货信息!$A:$A&amp;盘货信息!$B:$B&amp;盘货信息!$C:$C,盘货信息!$K:$K)&amp;"元以旧换新补贴（可无旧机换新）",""))</f>
        <v/>
      </c>
      <c r="P242" s="18" t="str">
        <f t="array" ref="P242">_xlfn.XLOOKUP(A242&amp;B242&amp;C242,赠品!$A:$A&amp;赠品!$B:$B&amp;赠品!$C:$C,赠品!$D:$D)</f>
        <v/>
      </c>
      <c r="Q242" s="18" t="str">
        <f>IF($C242="","",IF(AND(M242="",N242="",P242=""),"",固定信息!$B$1))</f>
        <v/>
      </c>
      <c r="R242" s="18" t="str">
        <f t="array" ref="R242">IF(ISNUMBER(SEARCH("是",_xlfn.XLOOKUP(A242&amp;B242&amp;C242,盘货信息!$A:$A&amp;盘货信息!$B:$B&amp;盘货信息!$C:$C,盘货信息!$U:$U))),"【折扣】指定型号满2类享96折，满3类享94折","")</f>
        <v/>
      </c>
      <c r="S242" s="18" t="str">
        <f t="array" ref="S242">IF(_xlfn.XLOOKUP(A242&amp;B242&amp;C242,盘货信息!$A:$A&amp;盘货信息!$B:$B&amp;盘货信息!$C:$C,盘货信息!$Q:$Q)&lt;1,"","【红包】活动时间购机送"&amp;_xlfn.TEXTJOIN("",,IF(ISNUMBER(--MID(_xlfn.XLOOKUP(A242&amp;B242&amp;C242,盘货信息!$A:$A&amp;盘货信息!$B:$B&amp;盘货信息!$C:$C,盘货信息!$Q:$Q),_xlfn.SEQUENCE(LEN(_xlfn.XLOOKUP(A242&amp;B242&amp;C242,盘货信息!$A:$A&amp;盘货信息!$B:$B&amp;盘货信息!$C:$C,盘货信息!$Q:$Q))),1)),MID(_xlfn.XLOOKUP(A242&amp;B242&amp;C242,盘货信息!$A:$A&amp;盘货信息!$B:$B&amp;盘货信息!$C:$C,盘货信息!$Q:$Q),_xlfn.SEQUENCE(LEN(_xlfn.XLOOKUP(A242&amp;B242&amp;C242,盘货信息!$A:$A&amp;盘货信息!$B:$B&amp;盘货信息!$C:$C,盘货信息!$Q:$Q))),1),""))&amp;"元")</f>
        <v/>
      </c>
      <c r="T242" s="18" t="str">
        <f t="array" ref="T242">IF(ISNUMBER(SEARCH("是",_xlfn.XLOOKUP(A242&amp;B242&amp;C242,盘货信息!$A:$A&amp;盘货信息!$B:$B&amp;盘货信息!$C:$C,盘货信息!$T:$T))),"【瓜分】"&amp;固定信息!$B$7,"")</f>
        <v/>
      </c>
      <c r="U242" s="18" t="str">
        <f>IF($C242="","",IF(AND(R242="",S242="",T242=""),"",固定信息!$B$1))</f>
        <v/>
      </c>
      <c r="V242" s="18" t="str">
        <f t="array" ref="V242">IF(C242="","","【服务】"&amp;IF(_xlfn.XLOOKUP(A242&amp;B242&amp;C242,盘货信息!$A:$A&amp;盘货信息!$B:$B&amp;盘货信息!$C:$C,盘货信息!$V:$V)="","",_xlfn.XLOOKUP(A242&amp;B242&amp;C242,盘货信息!$A:$A&amp;盘货信息!$B:$B&amp;盘货信息!$C:$C,盘货信息!$V:$V)&amp;"免息,")&amp;IF(_xlfn.XLOOKUP(A242&amp;B242&amp;C242,盘货信息!$A:$A&amp;盘货信息!$B:$B&amp;盘货信息!$C:$C,盘货信息!$W:$W)="","",_xlfn.XLOOKUP(A242&amp;B242&amp;C242,盘货信息!$A:$A&amp;盘货信息!$B:$B&amp;盘货信息!$C:$C,盘货信息!$W:$W)&amp;"，")&amp;"送货入户，退换免运费")</f>
        <v/>
      </c>
    </row>
    <row r="243" customHeight="1" spans="1:22">
      <c r="A243" s="17" t="str">
        <f>IF(盘货信息!A243="","",盘货信息!A243)</f>
        <v/>
      </c>
      <c r="B243" s="20" t="str">
        <f>IF(盘货信息!B243="","",盘货信息!B243)</f>
        <v/>
      </c>
      <c r="C243" s="18" t="str">
        <f>IF(盘货信息!C243="","",盘货信息!C243)</f>
        <v/>
      </c>
      <c r="D243" s="18" t="str">
        <f ca="1" t="shared" si="3"/>
        <v/>
      </c>
      <c r="E243" s="18" t="str">
        <f>IF(C243="","",固定信息!$B$2)</f>
        <v/>
      </c>
      <c r="F243" s="18" t="str">
        <f t="array" ref="F243">IF(C243="","","【"&amp;C243&amp;"】"&amp;_xlfn.XLOOKUP(A243&amp;B243&amp;C243,盘货信息!$A:$A&amp;盘货信息!$B:$B&amp;盘货信息!$C:$C,盘货信息!$D:$D))</f>
        <v/>
      </c>
      <c r="G243" s="18" t="str">
        <f>IF(C243="","","【"&amp;"活动时间："&amp;固定信息!$B$3&amp;"】")</f>
        <v/>
      </c>
      <c r="H243" s="18" t="str">
        <f>IF($C243="","",固定信息!$B$1)</f>
        <v/>
      </c>
      <c r="I243" s="18"/>
      <c r="J243" s="18" t="str">
        <f t="array" ref="J243">_xlfn.XLOOKUP(A243&amp;B243&amp;C243,价格信息!$A:$A&amp;价格信息!$B:$B&amp;价格信息!$C:$C,价格信息!$D:$D)</f>
        <v/>
      </c>
      <c r="K243" s="31" t="str">
        <f t="array" ref="K243">IF(_xlfn.XLOOKUP(A243&amp;B243&amp;C243,价格信息!$A:$A&amp;价格信息!$B:$B&amp;价格信息!$C:$C,价格信息!$I:$I)="","","【优惠券链接】"&amp;固定信息!$B$6)</f>
        <v/>
      </c>
      <c r="L243" s="31" t="str">
        <f>IF($C243="","",固定信息!$B$1)</f>
        <v/>
      </c>
      <c r="M243" s="18" t="str">
        <f t="array" ref="M243">IF(_xlfn.XLOOKUP(A243&amp;B243&amp;C243,盘货信息!$A:$A&amp;盘货信息!$B:$B&amp;盘货信息!$C:$C,盘货信息!$O:$O)="","","【优惠券】领"&amp;INDEX(_wpsfn.REGEXP(_xlfn.XLOOKUP(A243&amp;B243&amp;C243,盘货信息!$A:$A&amp;盘货信息!$B:$B&amp;盘货信息!$C:$C,盘货信息!$O:$O),"\d+"),1,1)&amp;"元优惠券下单更优惠，优惠卷："&amp;_xlfn.XLOOKUP(A243&amp;B243&amp;C243,盘货信息!$A:$A&amp;盘货信息!$B:$B&amp;盘货信息!$C:$C,盘货信息!$P:$P))</f>
        <v/>
      </c>
      <c r="N243" s="18" t="str">
        <f t="array" ref="N243">IF(AND(ISNUMBER(_xlfn.XLOOKUP(A243&amp;B243&amp;C243,盘货信息!$A:$A&amp;盘货信息!$B:$B&amp;盘货信息!$C:$C,盘货信息!$I:$I)),_xlfn.XLOOKUP(A243&amp;B243&amp;C243,盘货信息!$A:$A&amp;盘货信息!$B:$B&amp;盘货信息!$C:$C,盘货信息!$I:$I)&gt;1),"【88VIP】立减"&amp;_xlfn.XLOOKUP(A243&amp;B243&amp;C243,盘货信息!$A:$A&amp;盘货信息!$B:$B&amp;盘货信息!$C:$C,盘货信息!$I:$I)&amp;"元","")</f>
        <v/>
      </c>
      <c r="O243" s="18" t="str">
        <f t="array" ref="O243">IF(_xlfn.XLOOKUP(A243&amp;B243&amp;C243,盘货信息!$A:$A&amp;盘货信息!$B:$B&amp;盘货信息!$C:$C,盘货信息!$K:$K)="","",IF(AND(_xlfn.XLOOKUP(A243&amp;B243&amp;C243,盘货信息!$A:$A&amp;盘货信息!$B:$B&amp;盘货信息!$C:$C,盘货信息!$G:$G)="不参加",_xlfn.XLOOKUP(A243&amp;B243&amp;C243,盘货信息!$A:$A&amp;盘货信息!$B:$B&amp;盘货信息!$C:$C,盘货信息!$H:$H)=""),"【以旧换新】"&amp;_xlfn.XLOOKUP(A243&amp;B243&amp;C243,盘货信息!$A:$A&amp;盘货信息!$B:$B&amp;盘货信息!$C:$C,盘货信息!$K:$K)&amp;"元以旧换新补贴（可无旧机换新）",""))</f>
        <v/>
      </c>
      <c r="P243" s="18" t="str">
        <f t="array" ref="P243">_xlfn.XLOOKUP(A243&amp;B243&amp;C243,赠品!$A:$A&amp;赠品!$B:$B&amp;赠品!$C:$C,赠品!$D:$D)</f>
        <v/>
      </c>
      <c r="Q243" s="18" t="str">
        <f>IF($C243="","",IF(AND(M243="",N243="",P243=""),"",固定信息!$B$1))</f>
        <v/>
      </c>
      <c r="R243" s="18" t="str">
        <f t="array" ref="R243">IF(ISNUMBER(SEARCH("是",_xlfn.XLOOKUP(A243&amp;B243&amp;C243,盘货信息!$A:$A&amp;盘货信息!$B:$B&amp;盘货信息!$C:$C,盘货信息!$U:$U))),"【折扣】指定型号满2类享96折，满3类享94折","")</f>
        <v/>
      </c>
      <c r="S243" s="18" t="str">
        <f t="array" ref="S243">IF(_xlfn.XLOOKUP(A243&amp;B243&amp;C243,盘货信息!$A:$A&amp;盘货信息!$B:$B&amp;盘货信息!$C:$C,盘货信息!$Q:$Q)&lt;1,"","【红包】活动时间购机送"&amp;_xlfn.TEXTJOIN("",,IF(ISNUMBER(--MID(_xlfn.XLOOKUP(A243&amp;B243&amp;C243,盘货信息!$A:$A&amp;盘货信息!$B:$B&amp;盘货信息!$C:$C,盘货信息!$Q:$Q),_xlfn.SEQUENCE(LEN(_xlfn.XLOOKUP(A243&amp;B243&amp;C243,盘货信息!$A:$A&amp;盘货信息!$B:$B&amp;盘货信息!$C:$C,盘货信息!$Q:$Q))),1)),MID(_xlfn.XLOOKUP(A243&amp;B243&amp;C243,盘货信息!$A:$A&amp;盘货信息!$B:$B&amp;盘货信息!$C:$C,盘货信息!$Q:$Q),_xlfn.SEQUENCE(LEN(_xlfn.XLOOKUP(A243&amp;B243&amp;C243,盘货信息!$A:$A&amp;盘货信息!$B:$B&amp;盘货信息!$C:$C,盘货信息!$Q:$Q))),1),""))&amp;"元")</f>
        <v/>
      </c>
      <c r="T243" s="18" t="str">
        <f t="array" ref="T243">IF(ISNUMBER(SEARCH("是",_xlfn.XLOOKUP(A243&amp;B243&amp;C243,盘货信息!$A:$A&amp;盘货信息!$B:$B&amp;盘货信息!$C:$C,盘货信息!$T:$T))),"【瓜分】"&amp;固定信息!$B$7,"")</f>
        <v/>
      </c>
      <c r="U243" s="18" t="str">
        <f>IF($C243="","",IF(AND(R243="",S243="",T243=""),"",固定信息!$B$1))</f>
        <v/>
      </c>
      <c r="V243" s="18" t="str">
        <f t="array" ref="V243">IF(C243="","","【服务】"&amp;IF(_xlfn.XLOOKUP(A243&amp;B243&amp;C243,盘货信息!$A:$A&amp;盘货信息!$B:$B&amp;盘货信息!$C:$C,盘货信息!$V:$V)="","",_xlfn.XLOOKUP(A243&amp;B243&amp;C243,盘货信息!$A:$A&amp;盘货信息!$B:$B&amp;盘货信息!$C:$C,盘货信息!$V:$V)&amp;"免息,")&amp;IF(_xlfn.XLOOKUP(A243&amp;B243&amp;C243,盘货信息!$A:$A&amp;盘货信息!$B:$B&amp;盘货信息!$C:$C,盘货信息!$W:$W)="","",_xlfn.XLOOKUP(A243&amp;B243&amp;C243,盘货信息!$A:$A&amp;盘货信息!$B:$B&amp;盘货信息!$C:$C,盘货信息!$W:$W)&amp;"，")&amp;"送货入户，退换免运费")</f>
        <v/>
      </c>
    </row>
    <row r="244" customHeight="1" spans="1:22">
      <c r="A244" s="17" t="str">
        <f>IF(盘货信息!A244="","",盘货信息!A244)</f>
        <v/>
      </c>
      <c r="B244" s="20" t="str">
        <f>IF(盘货信息!B244="","",盘货信息!B244)</f>
        <v/>
      </c>
      <c r="C244" s="18" t="str">
        <f>IF(盘货信息!C244="","",盘货信息!C244)</f>
        <v/>
      </c>
      <c r="D244" s="18" t="str">
        <f ca="1" t="shared" si="3"/>
        <v/>
      </c>
      <c r="E244" s="18" t="str">
        <f>IF(C244="","",固定信息!$B$2)</f>
        <v/>
      </c>
      <c r="F244" s="18" t="str">
        <f t="array" ref="F244">IF(C244="","","【"&amp;C244&amp;"】"&amp;_xlfn.XLOOKUP(A244&amp;B244&amp;C244,盘货信息!$A:$A&amp;盘货信息!$B:$B&amp;盘货信息!$C:$C,盘货信息!$D:$D))</f>
        <v/>
      </c>
      <c r="G244" s="18" t="str">
        <f>IF(C244="","","【"&amp;"活动时间："&amp;固定信息!$B$3&amp;"】")</f>
        <v/>
      </c>
      <c r="H244" s="18" t="str">
        <f>IF($C244="","",固定信息!$B$1)</f>
        <v/>
      </c>
      <c r="I244" s="18"/>
      <c r="J244" s="18" t="str">
        <f t="array" ref="J244">_xlfn.XLOOKUP(A244&amp;B244&amp;C244,价格信息!$A:$A&amp;价格信息!$B:$B&amp;价格信息!$C:$C,价格信息!$D:$D)</f>
        <v/>
      </c>
      <c r="K244" s="31" t="str">
        <f t="array" ref="K244">IF(_xlfn.XLOOKUP(A244&amp;B244&amp;C244,价格信息!$A:$A&amp;价格信息!$B:$B&amp;价格信息!$C:$C,价格信息!$I:$I)="","","【优惠券链接】"&amp;固定信息!$B$6)</f>
        <v/>
      </c>
      <c r="L244" s="31" t="str">
        <f>IF($C244="","",固定信息!$B$1)</f>
        <v/>
      </c>
      <c r="M244" s="18" t="str">
        <f t="array" ref="M244">IF(_xlfn.XLOOKUP(A244&amp;B244&amp;C244,盘货信息!$A:$A&amp;盘货信息!$B:$B&amp;盘货信息!$C:$C,盘货信息!$O:$O)="","","【优惠券】领"&amp;INDEX(_wpsfn.REGEXP(_xlfn.XLOOKUP(A244&amp;B244&amp;C244,盘货信息!$A:$A&amp;盘货信息!$B:$B&amp;盘货信息!$C:$C,盘货信息!$O:$O),"\d+"),1,1)&amp;"元优惠券下单更优惠，优惠卷："&amp;_xlfn.XLOOKUP(A244&amp;B244&amp;C244,盘货信息!$A:$A&amp;盘货信息!$B:$B&amp;盘货信息!$C:$C,盘货信息!$P:$P))</f>
        <v/>
      </c>
      <c r="N244" s="18" t="str">
        <f t="array" ref="N244">IF(AND(ISNUMBER(_xlfn.XLOOKUP(A244&amp;B244&amp;C244,盘货信息!$A:$A&amp;盘货信息!$B:$B&amp;盘货信息!$C:$C,盘货信息!$I:$I)),_xlfn.XLOOKUP(A244&amp;B244&amp;C244,盘货信息!$A:$A&amp;盘货信息!$B:$B&amp;盘货信息!$C:$C,盘货信息!$I:$I)&gt;1),"【88VIP】立减"&amp;_xlfn.XLOOKUP(A244&amp;B244&amp;C244,盘货信息!$A:$A&amp;盘货信息!$B:$B&amp;盘货信息!$C:$C,盘货信息!$I:$I)&amp;"元","")</f>
        <v/>
      </c>
      <c r="O244" s="18" t="str">
        <f t="array" ref="O244">IF(_xlfn.XLOOKUP(A244&amp;B244&amp;C244,盘货信息!$A:$A&amp;盘货信息!$B:$B&amp;盘货信息!$C:$C,盘货信息!$K:$K)="","",IF(AND(_xlfn.XLOOKUP(A244&amp;B244&amp;C244,盘货信息!$A:$A&amp;盘货信息!$B:$B&amp;盘货信息!$C:$C,盘货信息!$G:$G)="不参加",_xlfn.XLOOKUP(A244&amp;B244&amp;C244,盘货信息!$A:$A&amp;盘货信息!$B:$B&amp;盘货信息!$C:$C,盘货信息!$H:$H)=""),"【以旧换新】"&amp;_xlfn.XLOOKUP(A244&amp;B244&amp;C244,盘货信息!$A:$A&amp;盘货信息!$B:$B&amp;盘货信息!$C:$C,盘货信息!$K:$K)&amp;"元以旧换新补贴（可无旧机换新）",""))</f>
        <v/>
      </c>
      <c r="P244" s="18" t="str">
        <f t="array" ref="P244">_xlfn.XLOOKUP(A244&amp;B244&amp;C244,赠品!$A:$A&amp;赠品!$B:$B&amp;赠品!$C:$C,赠品!$D:$D)</f>
        <v/>
      </c>
      <c r="Q244" s="18" t="str">
        <f>IF($C244="","",IF(AND(M244="",N244="",P244=""),"",固定信息!$B$1))</f>
        <v/>
      </c>
      <c r="R244" s="18" t="str">
        <f t="array" ref="R244">IF(ISNUMBER(SEARCH("是",_xlfn.XLOOKUP(A244&amp;B244&amp;C244,盘货信息!$A:$A&amp;盘货信息!$B:$B&amp;盘货信息!$C:$C,盘货信息!$U:$U))),"【折扣】指定型号满2类享96折，满3类享94折","")</f>
        <v/>
      </c>
      <c r="S244" s="18" t="str">
        <f t="array" ref="S244">IF(_xlfn.XLOOKUP(A244&amp;B244&amp;C244,盘货信息!$A:$A&amp;盘货信息!$B:$B&amp;盘货信息!$C:$C,盘货信息!$Q:$Q)&lt;1,"","【红包】活动时间购机送"&amp;_xlfn.TEXTJOIN("",,IF(ISNUMBER(--MID(_xlfn.XLOOKUP(A244&amp;B244&amp;C244,盘货信息!$A:$A&amp;盘货信息!$B:$B&amp;盘货信息!$C:$C,盘货信息!$Q:$Q),_xlfn.SEQUENCE(LEN(_xlfn.XLOOKUP(A244&amp;B244&amp;C244,盘货信息!$A:$A&amp;盘货信息!$B:$B&amp;盘货信息!$C:$C,盘货信息!$Q:$Q))),1)),MID(_xlfn.XLOOKUP(A244&amp;B244&amp;C244,盘货信息!$A:$A&amp;盘货信息!$B:$B&amp;盘货信息!$C:$C,盘货信息!$Q:$Q),_xlfn.SEQUENCE(LEN(_xlfn.XLOOKUP(A244&amp;B244&amp;C244,盘货信息!$A:$A&amp;盘货信息!$B:$B&amp;盘货信息!$C:$C,盘货信息!$Q:$Q))),1),""))&amp;"元")</f>
        <v/>
      </c>
      <c r="T244" s="18" t="str">
        <f t="array" ref="T244">IF(ISNUMBER(SEARCH("是",_xlfn.XLOOKUP(A244&amp;B244&amp;C244,盘货信息!$A:$A&amp;盘货信息!$B:$B&amp;盘货信息!$C:$C,盘货信息!$T:$T))),"【瓜分】"&amp;固定信息!$B$7,"")</f>
        <v/>
      </c>
      <c r="U244" s="18" t="str">
        <f>IF($C244="","",IF(AND(R244="",S244="",T244=""),"",固定信息!$B$1))</f>
        <v/>
      </c>
      <c r="V244" s="18" t="str">
        <f t="array" ref="V244">IF(C244="","","【服务】"&amp;IF(_xlfn.XLOOKUP(A244&amp;B244&amp;C244,盘货信息!$A:$A&amp;盘货信息!$B:$B&amp;盘货信息!$C:$C,盘货信息!$V:$V)="","",_xlfn.XLOOKUP(A244&amp;B244&amp;C244,盘货信息!$A:$A&amp;盘货信息!$B:$B&amp;盘货信息!$C:$C,盘货信息!$V:$V)&amp;"免息,")&amp;IF(_xlfn.XLOOKUP(A244&amp;B244&amp;C244,盘货信息!$A:$A&amp;盘货信息!$B:$B&amp;盘货信息!$C:$C,盘货信息!$W:$W)="","",_xlfn.XLOOKUP(A244&amp;B244&amp;C244,盘货信息!$A:$A&amp;盘货信息!$B:$B&amp;盘货信息!$C:$C,盘货信息!$W:$W)&amp;"，")&amp;"送货入户，退换免运费")</f>
        <v/>
      </c>
    </row>
    <row r="245" customHeight="1" spans="1:22">
      <c r="A245" s="17" t="str">
        <f>IF(盘货信息!A245="","",盘货信息!A245)</f>
        <v/>
      </c>
      <c r="B245" s="20" t="str">
        <f>IF(盘货信息!B245="","",盘货信息!B245)</f>
        <v/>
      </c>
      <c r="C245" s="18" t="str">
        <f>IF(盘货信息!C245="","",盘货信息!C245)</f>
        <v/>
      </c>
      <c r="D245" s="18" t="str">
        <f ca="1" t="shared" si="3"/>
        <v/>
      </c>
      <c r="E245" s="18" t="str">
        <f>IF(C245="","",固定信息!$B$2)</f>
        <v/>
      </c>
      <c r="F245" s="18" t="str">
        <f t="array" ref="F245">IF(C245="","","【"&amp;C245&amp;"】"&amp;_xlfn.XLOOKUP(A245&amp;B245&amp;C245,盘货信息!$A:$A&amp;盘货信息!$B:$B&amp;盘货信息!$C:$C,盘货信息!$D:$D))</f>
        <v/>
      </c>
      <c r="G245" s="18" t="str">
        <f>IF(C245="","","【"&amp;"活动时间："&amp;固定信息!$B$3&amp;"】")</f>
        <v/>
      </c>
      <c r="H245" s="18" t="str">
        <f>IF($C245="","",固定信息!$B$1)</f>
        <v/>
      </c>
      <c r="I245" s="18"/>
      <c r="J245" s="18" t="str">
        <f t="array" ref="J245">_xlfn.XLOOKUP(A245&amp;B245&amp;C245,价格信息!$A:$A&amp;价格信息!$B:$B&amp;价格信息!$C:$C,价格信息!$D:$D)</f>
        <v/>
      </c>
      <c r="K245" s="31" t="str">
        <f t="array" ref="K245">IF(_xlfn.XLOOKUP(A245&amp;B245&amp;C245,价格信息!$A:$A&amp;价格信息!$B:$B&amp;价格信息!$C:$C,价格信息!$I:$I)="","","【优惠券链接】"&amp;固定信息!$B$6)</f>
        <v/>
      </c>
      <c r="L245" s="31" t="str">
        <f>IF($C245="","",固定信息!$B$1)</f>
        <v/>
      </c>
      <c r="M245" s="18" t="str">
        <f t="array" ref="M245">IF(_xlfn.XLOOKUP(A245&amp;B245&amp;C245,盘货信息!$A:$A&amp;盘货信息!$B:$B&amp;盘货信息!$C:$C,盘货信息!$O:$O)="","","【优惠券】领"&amp;INDEX(_wpsfn.REGEXP(_xlfn.XLOOKUP(A245&amp;B245&amp;C245,盘货信息!$A:$A&amp;盘货信息!$B:$B&amp;盘货信息!$C:$C,盘货信息!$O:$O),"\d+"),1,1)&amp;"元优惠券下单更优惠，优惠卷："&amp;_xlfn.XLOOKUP(A245&amp;B245&amp;C245,盘货信息!$A:$A&amp;盘货信息!$B:$B&amp;盘货信息!$C:$C,盘货信息!$P:$P))</f>
        <v/>
      </c>
      <c r="N245" s="18" t="str">
        <f t="array" ref="N245">IF(AND(ISNUMBER(_xlfn.XLOOKUP(A245&amp;B245&amp;C245,盘货信息!$A:$A&amp;盘货信息!$B:$B&amp;盘货信息!$C:$C,盘货信息!$I:$I)),_xlfn.XLOOKUP(A245&amp;B245&amp;C245,盘货信息!$A:$A&amp;盘货信息!$B:$B&amp;盘货信息!$C:$C,盘货信息!$I:$I)&gt;1),"【88VIP】立减"&amp;_xlfn.XLOOKUP(A245&amp;B245&amp;C245,盘货信息!$A:$A&amp;盘货信息!$B:$B&amp;盘货信息!$C:$C,盘货信息!$I:$I)&amp;"元","")</f>
        <v/>
      </c>
      <c r="O245" s="18" t="str">
        <f t="array" ref="O245">IF(_xlfn.XLOOKUP(A245&amp;B245&amp;C245,盘货信息!$A:$A&amp;盘货信息!$B:$B&amp;盘货信息!$C:$C,盘货信息!$K:$K)="","",IF(AND(_xlfn.XLOOKUP(A245&amp;B245&amp;C245,盘货信息!$A:$A&amp;盘货信息!$B:$B&amp;盘货信息!$C:$C,盘货信息!$G:$G)="不参加",_xlfn.XLOOKUP(A245&amp;B245&amp;C245,盘货信息!$A:$A&amp;盘货信息!$B:$B&amp;盘货信息!$C:$C,盘货信息!$H:$H)=""),"【以旧换新】"&amp;_xlfn.XLOOKUP(A245&amp;B245&amp;C245,盘货信息!$A:$A&amp;盘货信息!$B:$B&amp;盘货信息!$C:$C,盘货信息!$K:$K)&amp;"元以旧换新补贴（可无旧机换新）",""))</f>
        <v/>
      </c>
      <c r="P245" s="18" t="str">
        <f t="array" ref="P245">_xlfn.XLOOKUP(A245&amp;B245&amp;C245,赠品!$A:$A&amp;赠品!$B:$B&amp;赠品!$C:$C,赠品!$D:$D)</f>
        <v/>
      </c>
      <c r="Q245" s="18" t="str">
        <f>IF($C245="","",IF(AND(M245="",N245="",P245=""),"",固定信息!$B$1))</f>
        <v/>
      </c>
      <c r="R245" s="18" t="str">
        <f t="array" ref="R245">IF(ISNUMBER(SEARCH("是",_xlfn.XLOOKUP(A245&amp;B245&amp;C245,盘货信息!$A:$A&amp;盘货信息!$B:$B&amp;盘货信息!$C:$C,盘货信息!$U:$U))),"【折扣】指定型号满2类享96折，满3类享94折","")</f>
        <v/>
      </c>
      <c r="S245" s="18" t="str">
        <f t="array" ref="S245">IF(_xlfn.XLOOKUP(A245&amp;B245&amp;C245,盘货信息!$A:$A&amp;盘货信息!$B:$B&amp;盘货信息!$C:$C,盘货信息!$Q:$Q)&lt;1,"","【红包】活动时间购机送"&amp;_xlfn.TEXTJOIN("",,IF(ISNUMBER(--MID(_xlfn.XLOOKUP(A245&amp;B245&amp;C245,盘货信息!$A:$A&amp;盘货信息!$B:$B&amp;盘货信息!$C:$C,盘货信息!$Q:$Q),_xlfn.SEQUENCE(LEN(_xlfn.XLOOKUP(A245&amp;B245&amp;C245,盘货信息!$A:$A&amp;盘货信息!$B:$B&amp;盘货信息!$C:$C,盘货信息!$Q:$Q))),1)),MID(_xlfn.XLOOKUP(A245&amp;B245&amp;C245,盘货信息!$A:$A&amp;盘货信息!$B:$B&amp;盘货信息!$C:$C,盘货信息!$Q:$Q),_xlfn.SEQUENCE(LEN(_xlfn.XLOOKUP(A245&amp;B245&amp;C245,盘货信息!$A:$A&amp;盘货信息!$B:$B&amp;盘货信息!$C:$C,盘货信息!$Q:$Q))),1),""))&amp;"元")</f>
        <v/>
      </c>
      <c r="T245" s="18" t="str">
        <f t="array" ref="T245">IF(ISNUMBER(SEARCH("是",_xlfn.XLOOKUP(A245&amp;B245&amp;C245,盘货信息!$A:$A&amp;盘货信息!$B:$B&amp;盘货信息!$C:$C,盘货信息!$T:$T))),"【瓜分】"&amp;固定信息!$B$7,"")</f>
        <v/>
      </c>
      <c r="U245" s="18" t="str">
        <f>IF($C245="","",IF(AND(R245="",S245="",T245=""),"",固定信息!$B$1))</f>
        <v/>
      </c>
      <c r="V245" s="18" t="str">
        <f t="array" ref="V245">IF(C245="","","【服务】"&amp;IF(_xlfn.XLOOKUP(A245&amp;B245&amp;C245,盘货信息!$A:$A&amp;盘货信息!$B:$B&amp;盘货信息!$C:$C,盘货信息!$V:$V)="","",_xlfn.XLOOKUP(A245&amp;B245&amp;C245,盘货信息!$A:$A&amp;盘货信息!$B:$B&amp;盘货信息!$C:$C,盘货信息!$V:$V)&amp;"免息,")&amp;IF(_xlfn.XLOOKUP(A245&amp;B245&amp;C245,盘货信息!$A:$A&amp;盘货信息!$B:$B&amp;盘货信息!$C:$C,盘货信息!$W:$W)="","",_xlfn.XLOOKUP(A245&amp;B245&amp;C245,盘货信息!$A:$A&amp;盘货信息!$B:$B&amp;盘货信息!$C:$C,盘货信息!$W:$W)&amp;"，")&amp;"送货入户，退换免运费")</f>
        <v/>
      </c>
    </row>
    <row r="246" customHeight="1" spans="1:22">
      <c r="A246" s="17" t="str">
        <f>IF(盘货信息!A246="","",盘货信息!A246)</f>
        <v/>
      </c>
      <c r="B246" s="20" t="str">
        <f>IF(盘货信息!B246="","",盘货信息!B246)</f>
        <v/>
      </c>
      <c r="C246" s="18" t="str">
        <f>IF(盘货信息!C246="","",盘货信息!C246)</f>
        <v/>
      </c>
      <c r="D246" s="18" t="str">
        <f ca="1" t="shared" si="3"/>
        <v/>
      </c>
      <c r="E246" s="18" t="str">
        <f>IF(C246="","",固定信息!$B$2)</f>
        <v/>
      </c>
      <c r="F246" s="18" t="str">
        <f t="array" ref="F246">IF(C246="","","【"&amp;C246&amp;"】"&amp;_xlfn.XLOOKUP(A246&amp;B246&amp;C246,盘货信息!$A:$A&amp;盘货信息!$B:$B&amp;盘货信息!$C:$C,盘货信息!$D:$D))</f>
        <v/>
      </c>
      <c r="G246" s="18" t="str">
        <f>IF(C246="","","【"&amp;"活动时间："&amp;固定信息!$B$3&amp;"】")</f>
        <v/>
      </c>
      <c r="H246" s="18" t="str">
        <f>IF($C246="","",固定信息!$B$1)</f>
        <v/>
      </c>
      <c r="I246" s="18"/>
      <c r="J246" s="18" t="str">
        <f t="array" ref="J246">_xlfn.XLOOKUP(A246&amp;B246&amp;C246,价格信息!$A:$A&amp;价格信息!$B:$B&amp;价格信息!$C:$C,价格信息!$D:$D)</f>
        <v/>
      </c>
      <c r="K246" s="31" t="str">
        <f t="array" ref="K246">IF(_xlfn.XLOOKUP(A246&amp;B246&amp;C246,价格信息!$A:$A&amp;价格信息!$B:$B&amp;价格信息!$C:$C,价格信息!$I:$I)="","","【优惠券链接】"&amp;固定信息!$B$6)</f>
        <v/>
      </c>
      <c r="L246" s="31" t="str">
        <f>IF($C246="","",固定信息!$B$1)</f>
        <v/>
      </c>
      <c r="M246" s="18" t="str">
        <f t="array" ref="M246">IF(_xlfn.XLOOKUP(A246&amp;B246&amp;C246,盘货信息!$A:$A&amp;盘货信息!$B:$B&amp;盘货信息!$C:$C,盘货信息!$O:$O)="","","【优惠券】领"&amp;INDEX(_wpsfn.REGEXP(_xlfn.XLOOKUP(A246&amp;B246&amp;C246,盘货信息!$A:$A&amp;盘货信息!$B:$B&amp;盘货信息!$C:$C,盘货信息!$O:$O),"\d+"),1,1)&amp;"元优惠券下单更优惠，优惠卷："&amp;_xlfn.XLOOKUP(A246&amp;B246&amp;C246,盘货信息!$A:$A&amp;盘货信息!$B:$B&amp;盘货信息!$C:$C,盘货信息!$P:$P))</f>
        <v/>
      </c>
      <c r="N246" s="18" t="str">
        <f t="array" ref="N246">IF(AND(ISNUMBER(_xlfn.XLOOKUP(A246&amp;B246&amp;C246,盘货信息!$A:$A&amp;盘货信息!$B:$B&amp;盘货信息!$C:$C,盘货信息!$I:$I)),_xlfn.XLOOKUP(A246&amp;B246&amp;C246,盘货信息!$A:$A&amp;盘货信息!$B:$B&amp;盘货信息!$C:$C,盘货信息!$I:$I)&gt;1),"【88VIP】立减"&amp;_xlfn.XLOOKUP(A246&amp;B246&amp;C246,盘货信息!$A:$A&amp;盘货信息!$B:$B&amp;盘货信息!$C:$C,盘货信息!$I:$I)&amp;"元","")</f>
        <v/>
      </c>
      <c r="O246" s="18" t="str">
        <f t="array" ref="O246">IF(_xlfn.XLOOKUP(A246&amp;B246&amp;C246,盘货信息!$A:$A&amp;盘货信息!$B:$B&amp;盘货信息!$C:$C,盘货信息!$K:$K)="","",IF(AND(_xlfn.XLOOKUP(A246&amp;B246&amp;C246,盘货信息!$A:$A&amp;盘货信息!$B:$B&amp;盘货信息!$C:$C,盘货信息!$G:$G)="不参加",_xlfn.XLOOKUP(A246&amp;B246&amp;C246,盘货信息!$A:$A&amp;盘货信息!$B:$B&amp;盘货信息!$C:$C,盘货信息!$H:$H)=""),"【以旧换新】"&amp;_xlfn.XLOOKUP(A246&amp;B246&amp;C246,盘货信息!$A:$A&amp;盘货信息!$B:$B&amp;盘货信息!$C:$C,盘货信息!$K:$K)&amp;"元以旧换新补贴（可无旧机换新）",""))</f>
        <v/>
      </c>
      <c r="P246" s="18" t="str">
        <f t="array" ref="P246">_xlfn.XLOOKUP(A246&amp;B246&amp;C246,赠品!$A:$A&amp;赠品!$B:$B&amp;赠品!$C:$C,赠品!$D:$D)</f>
        <v/>
      </c>
      <c r="Q246" s="18" t="str">
        <f>IF($C246="","",IF(AND(M246="",N246="",P246=""),"",固定信息!$B$1))</f>
        <v/>
      </c>
      <c r="R246" s="18" t="str">
        <f t="array" ref="R246">IF(ISNUMBER(SEARCH("是",_xlfn.XLOOKUP(A246&amp;B246&amp;C246,盘货信息!$A:$A&amp;盘货信息!$B:$B&amp;盘货信息!$C:$C,盘货信息!$U:$U))),"【折扣】指定型号满2类享96折，满3类享94折","")</f>
        <v/>
      </c>
      <c r="S246" s="18" t="str">
        <f t="array" ref="S246">IF(_xlfn.XLOOKUP(A246&amp;B246&amp;C246,盘货信息!$A:$A&amp;盘货信息!$B:$B&amp;盘货信息!$C:$C,盘货信息!$Q:$Q)&lt;1,"","【红包】活动时间购机送"&amp;_xlfn.TEXTJOIN("",,IF(ISNUMBER(--MID(_xlfn.XLOOKUP(A246&amp;B246&amp;C246,盘货信息!$A:$A&amp;盘货信息!$B:$B&amp;盘货信息!$C:$C,盘货信息!$Q:$Q),_xlfn.SEQUENCE(LEN(_xlfn.XLOOKUP(A246&amp;B246&amp;C246,盘货信息!$A:$A&amp;盘货信息!$B:$B&amp;盘货信息!$C:$C,盘货信息!$Q:$Q))),1)),MID(_xlfn.XLOOKUP(A246&amp;B246&amp;C246,盘货信息!$A:$A&amp;盘货信息!$B:$B&amp;盘货信息!$C:$C,盘货信息!$Q:$Q),_xlfn.SEQUENCE(LEN(_xlfn.XLOOKUP(A246&amp;B246&amp;C246,盘货信息!$A:$A&amp;盘货信息!$B:$B&amp;盘货信息!$C:$C,盘货信息!$Q:$Q))),1),""))&amp;"元")</f>
        <v/>
      </c>
      <c r="T246" s="18" t="str">
        <f t="array" ref="T246">IF(ISNUMBER(SEARCH("是",_xlfn.XLOOKUP(A246&amp;B246&amp;C246,盘货信息!$A:$A&amp;盘货信息!$B:$B&amp;盘货信息!$C:$C,盘货信息!$T:$T))),"【瓜分】"&amp;固定信息!$B$7,"")</f>
        <v/>
      </c>
      <c r="U246" s="18" t="str">
        <f>IF($C246="","",IF(AND(R246="",S246="",T246=""),"",固定信息!$B$1))</f>
        <v/>
      </c>
      <c r="V246" s="18" t="str">
        <f t="array" ref="V246">IF(C246="","","【服务】"&amp;IF(_xlfn.XLOOKUP(A246&amp;B246&amp;C246,盘货信息!$A:$A&amp;盘货信息!$B:$B&amp;盘货信息!$C:$C,盘货信息!$V:$V)="","",_xlfn.XLOOKUP(A246&amp;B246&amp;C246,盘货信息!$A:$A&amp;盘货信息!$B:$B&amp;盘货信息!$C:$C,盘货信息!$V:$V)&amp;"免息,")&amp;IF(_xlfn.XLOOKUP(A246&amp;B246&amp;C246,盘货信息!$A:$A&amp;盘货信息!$B:$B&amp;盘货信息!$C:$C,盘货信息!$W:$W)="","",_xlfn.XLOOKUP(A246&amp;B246&amp;C246,盘货信息!$A:$A&amp;盘货信息!$B:$B&amp;盘货信息!$C:$C,盘货信息!$W:$W)&amp;"，")&amp;"送货入户，退换免运费")</f>
        <v/>
      </c>
    </row>
    <row r="247" customHeight="1" spans="1:22">
      <c r="A247" s="17" t="str">
        <f>IF(盘货信息!A247="","",盘货信息!A247)</f>
        <v/>
      </c>
      <c r="B247" s="20" t="str">
        <f>IF(盘货信息!B247="","",盘货信息!B247)</f>
        <v/>
      </c>
      <c r="C247" s="18" t="str">
        <f>IF(盘货信息!C247="","",盘货信息!C247)</f>
        <v/>
      </c>
      <c r="D247" s="18" t="str">
        <f ca="1" t="shared" si="3"/>
        <v/>
      </c>
      <c r="E247" s="18" t="str">
        <f>IF(C247="","",固定信息!$B$2)</f>
        <v/>
      </c>
      <c r="F247" s="18" t="str">
        <f t="array" ref="F247">IF(C247="","","【"&amp;C247&amp;"】"&amp;_xlfn.XLOOKUP(A247&amp;B247&amp;C247,盘货信息!$A:$A&amp;盘货信息!$B:$B&amp;盘货信息!$C:$C,盘货信息!$D:$D))</f>
        <v/>
      </c>
      <c r="G247" s="18" t="str">
        <f>IF(C247="","","【"&amp;"活动时间："&amp;固定信息!$B$3&amp;"】")</f>
        <v/>
      </c>
      <c r="H247" s="18" t="str">
        <f>IF($C247="","",固定信息!$B$1)</f>
        <v/>
      </c>
      <c r="I247" s="18"/>
      <c r="J247" s="18" t="str">
        <f t="array" ref="J247">_xlfn.XLOOKUP(A247&amp;B247&amp;C247,价格信息!$A:$A&amp;价格信息!$B:$B&amp;价格信息!$C:$C,价格信息!$D:$D)</f>
        <v/>
      </c>
      <c r="K247" s="31" t="str">
        <f t="array" ref="K247">IF(_xlfn.XLOOKUP(A247&amp;B247&amp;C247,价格信息!$A:$A&amp;价格信息!$B:$B&amp;价格信息!$C:$C,价格信息!$I:$I)="","","【优惠券链接】"&amp;固定信息!$B$6)</f>
        <v/>
      </c>
      <c r="L247" s="31" t="str">
        <f>IF($C247="","",固定信息!$B$1)</f>
        <v/>
      </c>
      <c r="M247" s="18" t="str">
        <f t="array" ref="M247">IF(_xlfn.XLOOKUP(A247&amp;B247&amp;C247,盘货信息!$A:$A&amp;盘货信息!$B:$B&amp;盘货信息!$C:$C,盘货信息!$O:$O)="","","【优惠券】领"&amp;INDEX(_wpsfn.REGEXP(_xlfn.XLOOKUP(A247&amp;B247&amp;C247,盘货信息!$A:$A&amp;盘货信息!$B:$B&amp;盘货信息!$C:$C,盘货信息!$O:$O),"\d+"),1,1)&amp;"元优惠券下单更优惠，优惠卷："&amp;_xlfn.XLOOKUP(A247&amp;B247&amp;C247,盘货信息!$A:$A&amp;盘货信息!$B:$B&amp;盘货信息!$C:$C,盘货信息!$P:$P))</f>
        <v/>
      </c>
      <c r="N247" s="18" t="str">
        <f t="array" ref="N247">IF(AND(ISNUMBER(_xlfn.XLOOKUP(A247&amp;B247&amp;C247,盘货信息!$A:$A&amp;盘货信息!$B:$B&amp;盘货信息!$C:$C,盘货信息!$I:$I)),_xlfn.XLOOKUP(A247&amp;B247&amp;C247,盘货信息!$A:$A&amp;盘货信息!$B:$B&amp;盘货信息!$C:$C,盘货信息!$I:$I)&gt;1),"【88VIP】立减"&amp;_xlfn.XLOOKUP(A247&amp;B247&amp;C247,盘货信息!$A:$A&amp;盘货信息!$B:$B&amp;盘货信息!$C:$C,盘货信息!$I:$I)&amp;"元","")</f>
        <v/>
      </c>
      <c r="O247" s="18" t="str">
        <f t="array" ref="O247">IF(_xlfn.XLOOKUP(A247&amp;B247&amp;C247,盘货信息!$A:$A&amp;盘货信息!$B:$B&amp;盘货信息!$C:$C,盘货信息!$K:$K)="","",IF(AND(_xlfn.XLOOKUP(A247&amp;B247&amp;C247,盘货信息!$A:$A&amp;盘货信息!$B:$B&amp;盘货信息!$C:$C,盘货信息!$G:$G)="不参加",_xlfn.XLOOKUP(A247&amp;B247&amp;C247,盘货信息!$A:$A&amp;盘货信息!$B:$B&amp;盘货信息!$C:$C,盘货信息!$H:$H)=""),"【以旧换新】"&amp;_xlfn.XLOOKUP(A247&amp;B247&amp;C247,盘货信息!$A:$A&amp;盘货信息!$B:$B&amp;盘货信息!$C:$C,盘货信息!$K:$K)&amp;"元以旧换新补贴（可无旧机换新）",""))</f>
        <v/>
      </c>
      <c r="P247" s="18" t="str">
        <f t="array" ref="P247">_xlfn.XLOOKUP(A247&amp;B247&amp;C247,赠品!$A:$A&amp;赠品!$B:$B&amp;赠品!$C:$C,赠品!$D:$D)</f>
        <v/>
      </c>
      <c r="Q247" s="18" t="str">
        <f>IF($C247="","",IF(AND(M247="",N247="",P247=""),"",固定信息!$B$1))</f>
        <v/>
      </c>
      <c r="R247" s="18" t="str">
        <f t="array" ref="R247">IF(ISNUMBER(SEARCH("是",_xlfn.XLOOKUP(A247&amp;B247&amp;C247,盘货信息!$A:$A&amp;盘货信息!$B:$B&amp;盘货信息!$C:$C,盘货信息!$U:$U))),"【折扣】指定型号满2类享96折，满3类享94折","")</f>
        <v/>
      </c>
      <c r="S247" s="18" t="str">
        <f t="array" ref="S247">IF(_xlfn.XLOOKUP(A247&amp;B247&amp;C247,盘货信息!$A:$A&amp;盘货信息!$B:$B&amp;盘货信息!$C:$C,盘货信息!$Q:$Q)&lt;1,"","【红包】活动时间购机送"&amp;_xlfn.TEXTJOIN("",,IF(ISNUMBER(--MID(_xlfn.XLOOKUP(A247&amp;B247&amp;C247,盘货信息!$A:$A&amp;盘货信息!$B:$B&amp;盘货信息!$C:$C,盘货信息!$Q:$Q),_xlfn.SEQUENCE(LEN(_xlfn.XLOOKUP(A247&amp;B247&amp;C247,盘货信息!$A:$A&amp;盘货信息!$B:$B&amp;盘货信息!$C:$C,盘货信息!$Q:$Q))),1)),MID(_xlfn.XLOOKUP(A247&amp;B247&amp;C247,盘货信息!$A:$A&amp;盘货信息!$B:$B&amp;盘货信息!$C:$C,盘货信息!$Q:$Q),_xlfn.SEQUENCE(LEN(_xlfn.XLOOKUP(A247&amp;B247&amp;C247,盘货信息!$A:$A&amp;盘货信息!$B:$B&amp;盘货信息!$C:$C,盘货信息!$Q:$Q))),1),""))&amp;"元")</f>
        <v/>
      </c>
      <c r="T247" s="18" t="str">
        <f t="array" ref="T247">IF(ISNUMBER(SEARCH("是",_xlfn.XLOOKUP(A247&amp;B247&amp;C247,盘货信息!$A:$A&amp;盘货信息!$B:$B&amp;盘货信息!$C:$C,盘货信息!$T:$T))),"【瓜分】"&amp;固定信息!$B$7,"")</f>
        <v/>
      </c>
      <c r="U247" s="18" t="str">
        <f>IF($C247="","",IF(AND(R247="",S247="",T247=""),"",固定信息!$B$1))</f>
        <v/>
      </c>
      <c r="V247" s="18" t="str">
        <f t="array" ref="V247">IF(C247="","","【服务】"&amp;IF(_xlfn.XLOOKUP(A247&amp;B247&amp;C247,盘货信息!$A:$A&amp;盘货信息!$B:$B&amp;盘货信息!$C:$C,盘货信息!$V:$V)="","",_xlfn.XLOOKUP(A247&amp;B247&amp;C247,盘货信息!$A:$A&amp;盘货信息!$B:$B&amp;盘货信息!$C:$C,盘货信息!$V:$V)&amp;"免息,")&amp;IF(_xlfn.XLOOKUP(A247&amp;B247&amp;C247,盘货信息!$A:$A&amp;盘货信息!$B:$B&amp;盘货信息!$C:$C,盘货信息!$W:$W)="","",_xlfn.XLOOKUP(A247&amp;B247&amp;C247,盘货信息!$A:$A&amp;盘货信息!$B:$B&amp;盘货信息!$C:$C,盘货信息!$W:$W)&amp;"，")&amp;"送货入户，退换免运费")</f>
        <v/>
      </c>
    </row>
    <row r="248" customHeight="1" spans="1:22">
      <c r="A248" s="17" t="str">
        <f>IF(盘货信息!A248="","",盘货信息!A248)</f>
        <v/>
      </c>
      <c r="B248" s="20" t="str">
        <f>IF(盘货信息!B248="","",盘货信息!B248)</f>
        <v/>
      </c>
      <c r="C248" s="18" t="str">
        <f>IF(盘货信息!C248="","",盘货信息!C248)</f>
        <v/>
      </c>
      <c r="D248" s="18" t="str">
        <f ca="1" t="shared" si="3"/>
        <v/>
      </c>
      <c r="E248" s="18" t="str">
        <f>IF(C248="","",固定信息!$B$2)</f>
        <v/>
      </c>
      <c r="F248" s="18" t="str">
        <f t="array" ref="F248">IF(C248="","","【"&amp;C248&amp;"】"&amp;_xlfn.XLOOKUP(A248&amp;B248&amp;C248,盘货信息!$A:$A&amp;盘货信息!$B:$B&amp;盘货信息!$C:$C,盘货信息!$D:$D))</f>
        <v/>
      </c>
      <c r="G248" s="18" t="str">
        <f>IF(C248="","","【"&amp;"活动时间："&amp;固定信息!$B$3&amp;"】")</f>
        <v/>
      </c>
      <c r="H248" s="18" t="str">
        <f>IF($C248="","",固定信息!$B$1)</f>
        <v/>
      </c>
      <c r="I248" s="18"/>
      <c r="J248" s="18" t="str">
        <f t="array" ref="J248">_xlfn.XLOOKUP(A248&amp;B248&amp;C248,价格信息!$A:$A&amp;价格信息!$B:$B&amp;价格信息!$C:$C,价格信息!$D:$D)</f>
        <v/>
      </c>
      <c r="K248" s="31" t="str">
        <f t="array" ref="K248">IF(_xlfn.XLOOKUP(A248&amp;B248&amp;C248,价格信息!$A:$A&amp;价格信息!$B:$B&amp;价格信息!$C:$C,价格信息!$I:$I)="","","【优惠券链接】"&amp;固定信息!$B$6)</f>
        <v/>
      </c>
      <c r="L248" s="31" t="str">
        <f>IF($C248="","",固定信息!$B$1)</f>
        <v/>
      </c>
      <c r="M248" s="18" t="str">
        <f t="array" ref="M248">IF(_xlfn.XLOOKUP(A248&amp;B248&amp;C248,盘货信息!$A:$A&amp;盘货信息!$B:$B&amp;盘货信息!$C:$C,盘货信息!$O:$O)="","","【优惠券】领"&amp;INDEX(_wpsfn.REGEXP(_xlfn.XLOOKUP(A248&amp;B248&amp;C248,盘货信息!$A:$A&amp;盘货信息!$B:$B&amp;盘货信息!$C:$C,盘货信息!$O:$O),"\d+"),1,1)&amp;"元优惠券下单更优惠，优惠卷："&amp;_xlfn.XLOOKUP(A248&amp;B248&amp;C248,盘货信息!$A:$A&amp;盘货信息!$B:$B&amp;盘货信息!$C:$C,盘货信息!$P:$P))</f>
        <v/>
      </c>
      <c r="N248" s="18" t="str">
        <f t="array" ref="N248">IF(AND(ISNUMBER(_xlfn.XLOOKUP(A248&amp;B248&amp;C248,盘货信息!$A:$A&amp;盘货信息!$B:$B&amp;盘货信息!$C:$C,盘货信息!$I:$I)),_xlfn.XLOOKUP(A248&amp;B248&amp;C248,盘货信息!$A:$A&amp;盘货信息!$B:$B&amp;盘货信息!$C:$C,盘货信息!$I:$I)&gt;1),"【88VIP】立减"&amp;_xlfn.XLOOKUP(A248&amp;B248&amp;C248,盘货信息!$A:$A&amp;盘货信息!$B:$B&amp;盘货信息!$C:$C,盘货信息!$I:$I)&amp;"元","")</f>
        <v/>
      </c>
      <c r="O248" s="18" t="str">
        <f t="array" ref="O248">IF(_xlfn.XLOOKUP(A248&amp;B248&amp;C248,盘货信息!$A:$A&amp;盘货信息!$B:$B&amp;盘货信息!$C:$C,盘货信息!$K:$K)="","",IF(AND(_xlfn.XLOOKUP(A248&amp;B248&amp;C248,盘货信息!$A:$A&amp;盘货信息!$B:$B&amp;盘货信息!$C:$C,盘货信息!$G:$G)="不参加",_xlfn.XLOOKUP(A248&amp;B248&amp;C248,盘货信息!$A:$A&amp;盘货信息!$B:$B&amp;盘货信息!$C:$C,盘货信息!$H:$H)=""),"【以旧换新】"&amp;_xlfn.XLOOKUP(A248&amp;B248&amp;C248,盘货信息!$A:$A&amp;盘货信息!$B:$B&amp;盘货信息!$C:$C,盘货信息!$K:$K)&amp;"元以旧换新补贴（可无旧机换新）",""))</f>
        <v/>
      </c>
      <c r="P248" s="18" t="str">
        <f t="array" ref="P248">_xlfn.XLOOKUP(A248&amp;B248&amp;C248,赠品!$A:$A&amp;赠品!$B:$B&amp;赠品!$C:$C,赠品!$D:$D)</f>
        <v/>
      </c>
      <c r="Q248" s="18" t="str">
        <f>IF($C248="","",IF(AND(M248="",N248="",P248=""),"",固定信息!$B$1))</f>
        <v/>
      </c>
      <c r="R248" s="18" t="str">
        <f t="array" ref="R248">IF(ISNUMBER(SEARCH("是",_xlfn.XLOOKUP(A248&amp;B248&amp;C248,盘货信息!$A:$A&amp;盘货信息!$B:$B&amp;盘货信息!$C:$C,盘货信息!$U:$U))),"【折扣】指定型号满2类享96折，满3类享94折","")</f>
        <v/>
      </c>
      <c r="S248" s="18" t="str">
        <f t="array" ref="S248">IF(_xlfn.XLOOKUP(A248&amp;B248&amp;C248,盘货信息!$A:$A&amp;盘货信息!$B:$B&amp;盘货信息!$C:$C,盘货信息!$Q:$Q)&lt;1,"","【红包】活动时间购机送"&amp;_xlfn.TEXTJOIN("",,IF(ISNUMBER(--MID(_xlfn.XLOOKUP(A248&amp;B248&amp;C248,盘货信息!$A:$A&amp;盘货信息!$B:$B&amp;盘货信息!$C:$C,盘货信息!$Q:$Q),_xlfn.SEQUENCE(LEN(_xlfn.XLOOKUP(A248&amp;B248&amp;C248,盘货信息!$A:$A&amp;盘货信息!$B:$B&amp;盘货信息!$C:$C,盘货信息!$Q:$Q))),1)),MID(_xlfn.XLOOKUP(A248&amp;B248&amp;C248,盘货信息!$A:$A&amp;盘货信息!$B:$B&amp;盘货信息!$C:$C,盘货信息!$Q:$Q),_xlfn.SEQUENCE(LEN(_xlfn.XLOOKUP(A248&amp;B248&amp;C248,盘货信息!$A:$A&amp;盘货信息!$B:$B&amp;盘货信息!$C:$C,盘货信息!$Q:$Q))),1),""))&amp;"元")</f>
        <v/>
      </c>
      <c r="T248" s="18" t="str">
        <f t="array" ref="T248">IF(ISNUMBER(SEARCH("是",_xlfn.XLOOKUP(A248&amp;B248&amp;C248,盘货信息!$A:$A&amp;盘货信息!$B:$B&amp;盘货信息!$C:$C,盘货信息!$T:$T))),"【瓜分】"&amp;固定信息!$B$7,"")</f>
        <v/>
      </c>
      <c r="U248" s="18" t="str">
        <f>IF($C248="","",IF(AND(R248="",S248="",T248=""),"",固定信息!$B$1))</f>
        <v/>
      </c>
      <c r="V248" s="18" t="str">
        <f t="array" ref="V248">IF(C248="","","【服务】"&amp;IF(_xlfn.XLOOKUP(A248&amp;B248&amp;C248,盘货信息!$A:$A&amp;盘货信息!$B:$B&amp;盘货信息!$C:$C,盘货信息!$V:$V)="","",_xlfn.XLOOKUP(A248&amp;B248&amp;C248,盘货信息!$A:$A&amp;盘货信息!$B:$B&amp;盘货信息!$C:$C,盘货信息!$V:$V)&amp;"免息,")&amp;IF(_xlfn.XLOOKUP(A248&amp;B248&amp;C248,盘货信息!$A:$A&amp;盘货信息!$B:$B&amp;盘货信息!$C:$C,盘货信息!$W:$W)="","",_xlfn.XLOOKUP(A248&amp;B248&amp;C248,盘货信息!$A:$A&amp;盘货信息!$B:$B&amp;盘货信息!$C:$C,盘货信息!$W:$W)&amp;"，")&amp;"送货入户，退换免运费")</f>
        <v/>
      </c>
    </row>
    <row r="249" customHeight="1" spans="1:22">
      <c r="A249" s="17" t="str">
        <f>IF(盘货信息!A249="","",盘货信息!A249)</f>
        <v/>
      </c>
      <c r="B249" s="20" t="str">
        <f>IF(盘货信息!B249="","",盘货信息!B249)</f>
        <v/>
      </c>
      <c r="C249" s="18" t="str">
        <f>IF(盘货信息!C249="","",盘货信息!C249)</f>
        <v/>
      </c>
      <c r="D249" s="18" t="str">
        <f ca="1" t="shared" si="3"/>
        <v/>
      </c>
      <c r="E249" s="18" t="str">
        <f>IF(C249="","",固定信息!$B$2)</f>
        <v/>
      </c>
      <c r="F249" s="18" t="str">
        <f t="array" ref="F249">IF(C249="","","【"&amp;C249&amp;"】"&amp;_xlfn.XLOOKUP(A249&amp;B249&amp;C249,盘货信息!$A:$A&amp;盘货信息!$B:$B&amp;盘货信息!$C:$C,盘货信息!$D:$D))</f>
        <v/>
      </c>
      <c r="G249" s="18" t="str">
        <f>IF(C249="","","【"&amp;"活动时间："&amp;固定信息!$B$3&amp;"】")</f>
        <v/>
      </c>
      <c r="H249" s="18" t="str">
        <f>IF($C249="","",固定信息!$B$1)</f>
        <v/>
      </c>
      <c r="I249" s="18"/>
      <c r="J249" s="18" t="str">
        <f t="array" ref="J249">_xlfn.XLOOKUP(A249&amp;B249&amp;C249,价格信息!$A:$A&amp;价格信息!$B:$B&amp;价格信息!$C:$C,价格信息!$D:$D)</f>
        <v/>
      </c>
      <c r="K249" s="31" t="str">
        <f t="array" ref="K249">IF(_xlfn.XLOOKUP(A249&amp;B249&amp;C249,价格信息!$A:$A&amp;价格信息!$B:$B&amp;价格信息!$C:$C,价格信息!$I:$I)="","","【优惠券链接】"&amp;固定信息!$B$6)</f>
        <v/>
      </c>
      <c r="L249" s="31" t="str">
        <f>IF($C249="","",固定信息!$B$1)</f>
        <v/>
      </c>
      <c r="M249" s="18" t="str">
        <f t="array" ref="M249">IF(_xlfn.XLOOKUP(A249&amp;B249&amp;C249,盘货信息!$A:$A&amp;盘货信息!$B:$B&amp;盘货信息!$C:$C,盘货信息!$O:$O)="","","【优惠券】领"&amp;INDEX(_wpsfn.REGEXP(_xlfn.XLOOKUP(A249&amp;B249&amp;C249,盘货信息!$A:$A&amp;盘货信息!$B:$B&amp;盘货信息!$C:$C,盘货信息!$O:$O),"\d+"),1,1)&amp;"元优惠券下单更优惠，优惠卷："&amp;_xlfn.XLOOKUP(A249&amp;B249&amp;C249,盘货信息!$A:$A&amp;盘货信息!$B:$B&amp;盘货信息!$C:$C,盘货信息!$P:$P))</f>
        <v/>
      </c>
      <c r="N249" s="18" t="str">
        <f t="array" ref="N249">IF(AND(ISNUMBER(_xlfn.XLOOKUP(A249&amp;B249&amp;C249,盘货信息!$A:$A&amp;盘货信息!$B:$B&amp;盘货信息!$C:$C,盘货信息!$I:$I)),_xlfn.XLOOKUP(A249&amp;B249&amp;C249,盘货信息!$A:$A&amp;盘货信息!$B:$B&amp;盘货信息!$C:$C,盘货信息!$I:$I)&gt;1),"【88VIP】立减"&amp;_xlfn.XLOOKUP(A249&amp;B249&amp;C249,盘货信息!$A:$A&amp;盘货信息!$B:$B&amp;盘货信息!$C:$C,盘货信息!$I:$I)&amp;"元","")</f>
        <v/>
      </c>
      <c r="O249" s="18" t="str">
        <f t="array" ref="O249">IF(_xlfn.XLOOKUP(A249&amp;B249&amp;C249,盘货信息!$A:$A&amp;盘货信息!$B:$B&amp;盘货信息!$C:$C,盘货信息!$K:$K)="","",IF(AND(_xlfn.XLOOKUP(A249&amp;B249&amp;C249,盘货信息!$A:$A&amp;盘货信息!$B:$B&amp;盘货信息!$C:$C,盘货信息!$G:$G)="不参加",_xlfn.XLOOKUP(A249&amp;B249&amp;C249,盘货信息!$A:$A&amp;盘货信息!$B:$B&amp;盘货信息!$C:$C,盘货信息!$H:$H)=""),"【以旧换新】"&amp;_xlfn.XLOOKUP(A249&amp;B249&amp;C249,盘货信息!$A:$A&amp;盘货信息!$B:$B&amp;盘货信息!$C:$C,盘货信息!$K:$K)&amp;"元以旧换新补贴（可无旧机换新）",""))</f>
        <v/>
      </c>
      <c r="P249" s="18" t="str">
        <f t="array" ref="P249">_xlfn.XLOOKUP(A249&amp;B249&amp;C249,赠品!$A:$A&amp;赠品!$B:$B&amp;赠品!$C:$C,赠品!$D:$D)</f>
        <v/>
      </c>
      <c r="Q249" s="18" t="str">
        <f>IF($C249="","",IF(AND(M249="",N249="",P249=""),"",固定信息!$B$1))</f>
        <v/>
      </c>
      <c r="R249" s="18" t="str">
        <f t="array" ref="R249">IF(ISNUMBER(SEARCH("是",_xlfn.XLOOKUP(A249&amp;B249&amp;C249,盘货信息!$A:$A&amp;盘货信息!$B:$B&amp;盘货信息!$C:$C,盘货信息!$U:$U))),"【折扣】指定型号满2类享96折，满3类享94折","")</f>
        <v/>
      </c>
      <c r="S249" s="18" t="str">
        <f t="array" ref="S249">IF(_xlfn.XLOOKUP(A249&amp;B249&amp;C249,盘货信息!$A:$A&amp;盘货信息!$B:$B&amp;盘货信息!$C:$C,盘货信息!$Q:$Q)&lt;1,"","【红包】活动时间购机送"&amp;_xlfn.TEXTJOIN("",,IF(ISNUMBER(--MID(_xlfn.XLOOKUP(A249&amp;B249&amp;C249,盘货信息!$A:$A&amp;盘货信息!$B:$B&amp;盘货信息!$C:$C,盘货信息!$Q:$Q),_xlfn.SEQUENCE(LEN(_xlfn.XLOOKUP(A249&amp;B249&amp;C249,盘货信息!$A:$A&amp;盘货信息!$B:$B&amp;盘货信息!$C:$C,盘货信息!$Q:$Q))),1)),MID(_xlfn.XLOOKUP(A249&amp;B249&amp;C249,盘货信息!$A:$A&amp;盘货信息!$B:$B&amp;盘货信息!$C:$C,盘货信息!$Q:$Q),_xlfn.SEQUENCE(LEN(_xlfn.XLOOKUP(A249&amp;B249&amp;C249,盘货信息!$A:$A&amp;盘货信息!$B:$B&amp;盘货信息!$C:$C,盘货信息!$Q:$Q))),1),""))&amp;"元")</f>
        <v/>
      </c>
      <c r="T249" s="18" t="str">
        <f t="array" ref="T249">IF(ISNUMBER(SEARCH("是",_xlfn.XLOOKUP(A249&amp;B249&amp;C249,盘货信息!$A:$A&amp;盘货信息!$B:$B&amp;盘货信息!$C:$C,盘货信息!$T:$T))),"【瓜分】"&amp;固定信息!$B$7,"")</f>
        <v/>
      </c>
      <c r="U249" s="18" t="str">
        <f>IF($C249="","",IF(AND(R249="",S249="",T249=""),"",固定信息!$B$1))</f>
        <v/>
      </c>
      <c r="V249" s="18" t="str">
        <f t="array" ref="V249">IF(C249="","","【服务】"&amp;IF(_xlfn.XLOOKUP(A249&amp;B249&amp;C249,盘货信息!$A:$A&amp;盘货信息!$B:$B&amp;盘货信息!$C:$C,盘货信息!$V:$V)="","",_xlfn.XLOOKUP(A249&amp;B249&amp;C249,盘货信息!$A:$A&amp;盘货信息!$B:$B&amp;盘货信息!$C:$C,盘货信息!$V:$V)&amp;"免息,")&amp;IF(_xlfn.XLOOKUP(A249&amp;B249&amp;C249,盘货信息!$A:$A&amp;盘货信息!$B:$B&amp;盘货信息!$C:$C,盘货信息!$W:$W)="","",_xlfn.XLOOKUP(A249&amp;B249&amp;C249,盘货信息!$A:$A&amp;盘货信息!$B:$B&amp;盘货信息!$C:$C,盘货信息!$W:$W)&amp;"，")&amp;"送货入户，退换免运费")</f>
        <v/>
      </c>
    </row>
    <row r="250" customHeight="1" spans="1:22">
      <c r="A250" s="17" t="str">
        <f>IF(盘货信息!A250="","",盘货信息!A250)</f>
        <v/>
      </c>
      <c r="B250" s="20" t="str">
        <f>IF(盘货信息!B250="","",盘货信息!B250)</f>
        <v/>
      </c>
      <c r="C250" s="18" t="str">
        <f>IF(盘货信息!C250="","",盘货信息!C250)</f>
        <v/>
      </c>
      <c r="D250" s="18" t="str">
        <f ca="1" t="shared" si="3"/>
        <v/>
      </c>
      <c r="E250" s="18" t="str">
        <f>IF(C250="","",固定信息!$B$2)</f>
        <v/>
      </c>
      <c r="F250" s="18" t="str">
        <f t="array" ref="F250">IF(C250="","","【"&amp;C250&amp;"】"&amp;_xlfn.XLOOKUP(A250&amp;B250&amp;C250,盘货信息!$A:$A&amp;盘货信息!$B:$B&amp;盘货信息!$C:$C,盘货信息!$D:$D))</f>
        <v/>
      </c>
      <c r="G250" s="18" t="str">
        <f>IF(C250="","","【"&amp;"活动时间："&amp;固定信息!$B$3&amp;"】")</f>
        <v/>
      </c>
      <c r="H250" s="18" t="str">
        <f>IF($C250="","",固定信息!$B$1)</f>
        <v/>
      </c>
      <c r="I250" s="18"/>
      <c r="J250" s="18" t="str">
        <f t="array" ref="J250">_xlfn.XLOOKUP(A250&amp;B250&amp;C250,价格信息!$A:$A&amp;价格信息!$B:$B&amp;价格信息!$C:$C,价格信息!$D:$D)</f>
        <v/>
      </c>
      <c r="K250" s="31" t="str">
        <f t="array" ref="K250">IF(_xlfn.XLOOKUP(A250&amp;B250&amp;C250,价格信息!$A:$A&amp;价格信息!$B:$B&amp;价格信息!$C:$C,价格信息!$I:$I)="","","【优惠券链接】"&amp;固定信息!$B$6)</f>
        <v/>
      </c>
      <c r="L250" s="31" t="str">
        <f>IF($C250="","",固定信息!$B$1)</f>
        <v/>
      </c>
      <c r="M250" s="18" t="str">
        <f t="array" ref="M250">IF(_xlfn.XLOOKUP(A250&amp;B250&amp;C250,盘货信息!$A:$A&amp;盘货信息!$B:$B&amp;盘货信息!$C:$C,盘货信息!$O:$O)="","","【优惠券】领"&amp;INDEX(_wpsfn.REGEXP(_xlfn.XLOOKUP(A250&amp;B250&amp;C250,盘货信息!$A:$A&amp;盘货信息!$B:$B&amp;盘货信息!$C:$C,盘货信息!$O:$O),"\d+"),1,1)&amp;"元优惠券下单更优惠，优惠卷："&amp;_xlfn.XLOOKUP(A250&amp;B250&amp;C250,盘货信息!$A:$A&amp;盘货信息!$B:$B&amp;盘货信息!$C:$C,盘货信息!$P:$P))</f>
        <v/>
      </c>
      <c r="N250" s="18" t="str">
        <f t="array" ref="N250">IF(AND(ISNUMBER(_xlfn.XLOOKUP(A250&amp;B250&amp;C250,盘货信息!$A:$A&amp;盘货信息!$B:$B&amp;盘货信息!$C:$C,盘货信息!$I:$I)),_xlfn.XLOOKUP(A250&amp;B250&amp;C250,盘货信息!$A:$A&amp;盘货信息!$B:$B&amp;盘货信息!$C:$C,盘货信息!$I:$I)&gt;1),"【88VIP】立减"&amp;_xlfn.XLOOKUP(A250&amp;B250&amp;C250,盘货信息!$A:$A&amp;盘货信息!$B:$B&amp;盘货信息!$C:$C,盘货信息!$I:$I)&amp;"元","")</f>
        <v/>
      </c>
      <c r="O250" s="18" t="str">
        <f t="array" ref="O250">IF(_xlfn.XLOOKUP(A250&amp;B250&amp;C250,盘货信息!$A:$A&amp;盘货信息!$B:$B&amp;盘货信息!$C:$C,盘货信息!$K:$K)="","",IF(AND(_xlfn.XLOOKUP(A250&amp;B250&amp;C250,盘货信息!$A:$A&amp;盘货信息!$B:$B&amp;盘货信息!$C:$C,盘货信息!$G:$G)="不参加",_xlfn.XLOOKUP(A250&amp;B250&amp;C250,盘货信息!$A:$A&amp;盘货信息!$B:$B&amp;盘货信息!$C:$C,盘货信息!$H:$H)=""),"【以旧换新】"&amp;_xlfn.XLOOKUP(A250&amp;B250&amp;C250,盘货信息!$A:$A&amp;盘货信息!$B:$B&amp;盘货信息!$C:$C,盘货信息!$K:$K)&amp;"元以旧换新补贴（可无旧机换新）",""))</f>
        <v/>
      </c>
      <c r="P250" s="18" t="str">
        <f t="array" ref="P250">_xlfn.XLOOKUP(A250&amp;B250&amp;C250,赠品!$A:$A&amp;赠品!$B:$B&amp;赠品!$C:$C,赠品!$D:$D)</f>
        <v/>
      </c>
      <c r="Q250" s="18" t="str">
        <f>IF($C250="","",IF(AND(M250="",N250="",P250=""),"",固定信息!$B$1))</f>
        <v/>
      </c>
      <c r="R250" s="18" t="str">
        <f t="array" ref="R250">IF(ISNUMBER(SEARCH("是",_xlfn.XLOOKUP(A250&amp;B250&amp;C250,盘货信息!$A:$A&amp;盘货信息!$B:$B&amp;盘货信息!$C:$C,盘货信息!$U:$U))),"【折扣】指定型号满2类享96折，满3类享94折","")</f>
        <v/>
      </c>
      <c r="S250" s="18" t="str">
        <f t="array" ref="S250">IF(_xlfn.XLOOKUP(A250&amp;B250&amp;C250,盘货信息!$A:$A&amp;盘货信息!$B:$B&amp;盘货信息!$C:$C,盘货信息!$Q:$Q)&lt;1,"","【红包】活动时间购机送"&amp;_xlfn.TEXTJOIN("",,IF(ISNUMBER(--MID(_xlfn.XLOOKUP(A250&amp;B250&amp;C250,盘货信息!$A:$A&amp;盘货信息!$B:$B&amp;盘货信息!$C:$C,盘货信息!$Q:$Q),_xlfn.SEQUENCE(LEN(_xlfn.XLOOKUP(A250&amp;B250&amp;C250,盘货信息!$A:$A&amp;盘货信息!$B:$B&amp;盘货信息!$C:$C,盘货信息!$Q:$Q))),1)),MID(_xlfn.XLOOKUP(A250&amp;B250&amp;C250,盘货信息!$A:$A&amp;盘货信息!$B:$B&amp;盘货信息!$C:$C,盘货信息!$Q:$Q),_xlfn.SEQUENCE(LEN(_xlfn.XLOOKUP(A250&amp;B250&amp;C250,盘货信息!$A:$A&amp;盘货信息!$B:$B&amp;盘货信息!$C:$C,盘货信息!$Q:$Q))),1),""))&amp;"元")</f>
        <v/>
      </c>
      <c r="T250" s="18" t="str">
        <f t="array" ref="T250">IF(ISNUMBER(SEARCH("是",_xlfn.XLOOKUP(A250&amp;B250&amp;C250,盘货信息!$A:$A&amp;盘货信息!$B:$B&amp;盘货信息!$C:$C,盘货信息!$T:$T))),"【瓜分】"&amp;固定信息!$B$7,"")</f>
        <v/>
      </c>
      <c r="U250" s="18" t="str">
        <f>IF($C250="","",IF(AND(R250="",S250="",T250=""),"",固定信息!$B$1))</f>
        <v/>
      </c>
      <c r="V250" s="18" t="str">
        <f t="array" ref="V250">IF(C250="","","【服务】"&amp;IF(_xlfn.XLOOKUP(A250&amp;B250&amp;C250,盘货信息!$A:$A&amp;盘货信息!$B:$B&amp;盘货信息!$C:$C,盘货信息!$V:$V)="","",_xlfn.XLOOKUP(A250&amp;B250&amp;C250,盘货信息!$A:$A&amp;盘货信息!$B:$B&amp;盘货信息!$C:$C,盘货信息!$V:$V)&amp;"免息,")&amp;IF(_xlfn.XLOOKUP(A250&amp;B250&amp;C250,盘货信息!$A:$A&amp;盘货信息!$B:$B&amp;盘货信息!$C:$C,盘货信息!$W:$W)="","",_xlfn.XLOOKUP(A250&amp;B250&amp;C250,盘货信息!$A:$A&amp;盘货信息!$B:$B&amp;盘货信息!$C:$C,盘货信息!$W:$W)&amp;"，")&amp;"送货入户，退换免运费")</f>
        <v/>
      </c>
    </row>
    <row r="251" customHeight="1" spans="1:22">
      <c r="A251" s="17" t="str">
        <f>IF(盘货信息!A251="","",盘货信息!A251)</f>
        <v/>
      </c>
      <c r="B251" s="20" t="str">
        <f>IF(盘货信息!B251="","",盘货信息!B251)</f>
        <v/>
      </c>
      <c r="C251" s="18" t="str">
        <f>IF(盘货信息!C251="","",盘货信息!C251)</f>
        <v/>
      </c>
      <c r="D251" s="18" t="str">
        <f ca="1" t="shared" si="3"/>
        <v/>
      </c>
      <c r="E251" s="18" t="str">
        <f>IF(C251="","",固定信息!$B$2)</f>
        <v/>
      </c>
      <c r="F251" s="18" t="str">
        <f t="array" ref="F251">IF(C251="","","【"&amp;C251&amp;"】"&amp;_xlfn.XLOOKUP(A251&amp;B251&amp;C251,盘货信息!$A:$A&amp;盘货信息!$B:$B&amp;盘货信息!$C:$C,盘货信息!$D:$D))</f>
        <v/>
      </c>
      <c r="G251" s="18" t="str">
        <f>IF(C251="","","【"&amp;"活动时间："&amp;固定信息!$B$3&amp;"】")</f>
        <v/>
      </c>
      <c r="H251" s="18" t="str">
        <f>IF($C251="","",固定信息!$B$1)</f>
        <v/>
      </c>
      <c r="I251" s="18"/>
      <c r="J251" s="18" t="str">
        <f t="array" ref="J251">_xlfn.XLOOKUP(A251&amp;B251&amp;C251,价格信息!$A:$A&amp;价格信息!$B:$B&amp;价格信息!$C:$C,价格信息!$D:$D)</f>
        <v/>
      </c>
      <c r="K251" s="31" t="str">
        <f t="array" ref="K251">IF(_xlfn.XLOOKUP(A251&amp;B251&amp;C251,价格信息!$A:$A&amp;价格信息!$B:$B&amp;价格信息!$C:$C,价格信息!$I:$I)="","","【优惠券链接】"&amp;固定信息!$B$6)</f>
        <v/>
      </c>
      <c r="L251" s="31" t="str">
        <f>IF($C251="","",固定信息!$B$1)</f>
        <v/>
      </c>
      <c r="M251" s="18" t="str">
        <f t="array" ref="M251">IF(_xlfn.XLOOKUP(A251&amp;B251&amp;C251,盘货信息!$A:$A&amp;盘货信息!$B:$B&amp;盘货信息!$C:$C,盘货信息!$O:$O)="","","【优惠券】领"&amp;INDEX(_wpsfn.REGEXP(_xlfn.XLOOKUP(A251&amp;B251&amp;C251,盘货信息!$A:$A&amp;盘货信息!$B:$B&amp;盘货信息!$C:$C,盘货信息!$O:$O),"\d+"),1,1)&amp;"元优惠券下单更优惠，优惠卷："&amp;_xlfn.XLOOKUP(A251&amp;B251&amp;C251,盘货信息!$A:$A&amp;盘货信息!$B:$B&amp;盘货信息!$C:$C,盘货信息!$P:$P))</f>
        <v/>
      </c>
      <c r="N251" s="18" t="str">
        <f t="array" ref="N251">IF(AND(ISNUMBER(_xlfn.XLOOKUP(A251&amp;B251&amp;C251,盘货信息!$A:$A&amp;盘货信息!$B:$B&amp;盘货信息!$C:$C,盘货信息!$I:$I)),_xlfn.XLOOKUP(A251&amp;B251&amp;C251,盘货信息!$A:$A&amp;盘货信息!$B:$B&amp;盘货信息!$C:$C,盘货信息!$I:$I)&gt;1),"【88VIP】立减"&amp;_xlfn.XLOOKUP(A251&amp;B251&amp;C251,盘货信息!$A:$A&amp;盘货信息!$B:$B&amp;盘货信息!$C:$C,盘货信息!$I:$I)&amp;"元","")</f>
        <v/>
      </c>
      <c r="O251" s="18" t="str">
        <f t="array" ref="O251">IF(_xlfn.XLOOKUP(A251&amp;B251&amp;C251,盘货信息!$A:$A&amp;盘货信息!$B:$B&amp;盘货信息!$C:$C,盘货信息!$K:$K)="","",IF(AND(_xlfn.XLOOKUP(A251&amp;B251&amp;C251,盘货信息!$A:$A&amp;盘货信息!$B:$B&amp;盘货信息!$C:$C,盘货信息!$G:$G)="不参加",_xlfn.XLOOKUP(A251&amp;B251&amp;C251,盘货信息!$A:$A&amp;盘货信息!$B:$B&amp;盘货信息!$C:$C,盘货信息!$H:$H)=""),"【以旧换新】"&amp;_xlfn.XLOOKUP(A251&amp;B251&amp;C251,盘货信息!$A:$A&amp;盘货信息!$B:$B&amp;盘货信息!$C:$C,盘货信息!$K:$K)&amp;"元以旧换新补贴（可无旧机换新）",""))</f>
        <v/>
      </c>
      <c r="P251" s="18" t="str">
        <f t="array" ref="P251">_xlfn.XLOOKUP(A251&amp;B251&amp;C251,赠品!$A:$A&amp;赠品!$B:$B&amp;赠品!$C:$C,赠品!$D:$D)</f>
        <v/>
      </c>
      <c r="Q251" s="18" t="str">
        <f>IF($C251="","",IF(AND(M251="",N251="",P251=""),"",固定信息!$B$1))</f>
        <v/>
      </c>
      <c r="R251" s="18" t="str">
        <f t="array" ref="R251">IF(ISNUMBER(SEARCH("是",_xlfn.XLOOKUP(A251&amp;B251&amp;C251,盘货信息!$A:$A&amp;盘货信息!$B:$B&amp;盘货信息!$C:$C,盘货信息!$U:$U))),"【折扣】指定型号满2类享96折，满3类享94折","")</f>
        <v/>
      </c>
      <c r="S251" s="18" t="str">
        <f t="array" ref="S251">IF(_xlfn.XLOOKUP(A251&amp;B251&amp;C251,盘货信息!$A:$A&amp;盘货信息!$B:$B&amp;盘货信息!$C:$C,盘货信息!$Q:$Q)&lt;1,"","【红包】活动时间购机送"&amp;_xlfn.TEXTJOIN("",,IF(ISNUMBER(--MID(_xlfn.XLOOKUP(A251&amp;B251&amp;C251,盘货信息!$A:$A&amp;盘货信息!$B:$B&amp;盘货信息!$C:$C,盘货信息!$Q:$Q),_xlfn.SEQUENCE(LEN(_xlfn.XLOOKUP(A251&amp;B251&amp;C251,盘货信息!$A:$A&amp;盘货信息!$B:$B&amp;盘货信息!$C:$C,盘货信息!$Q:$Q))),1)),MID(_xlfn.XLOOKUP(A251&amp;B251&amp;C251,盘货信息!$A:$A&amp;盘货信息!$B:$B&amp;盘货信息!$C:$C,盘货信息!$Q:$Q),_xlfn.SEQUENCE(LEN(_xlfn.XLOOKUP(A251&amp;B251&amp;C251,盘货信息!$A:$A&amp;盘货信息!$B:$B&amp;盘货信息!$C:$C,盘货信息!$Q:$Q))),1),""))&amp;"元")</f>
        <v/>
      </c>
      <c r="T251" s="18" t="str">
        <f t="array" ref="T251">IF(ISNUMBER(SEARCH("是",_xlfn.XLOOKUP(A251&amp;B251&amp;C251,盘货信息!$A:$A&amp;盘货信息!$B:$B&amp;盘货信息!$C:$C,盘货信息!$T:$T))),"【瓜分】"&amp;固定信息!$B$7,"")</f>
        <v/>
      </c>
      <c r="U251" s="18" t="str">
        <f>IF($C251="","",IF(AND(R251="",S251="",T251=""),"",固定信息!$B$1))</f>
        <v/>
      </c>
      <c r="V251" s="18" t="str">
        <f t="array" ref="V251">IF(C251="","","【服务】"&amp;IF(_xlfn.XLOOKUP(A251&amp;B251&amp;C251,盘货信息!$A:$A&amp;盘货信息!$B:$B&amp;盘货信息!$C:$C,盘货信息!$V:$V)="","",_xlfn.XLOOKUP(A251&amp;B251&amp;C251,盘货信息!$A:$A&amp;盘货信息!$B:$B&amp;盘货信息!$C:$C,盘货信息!$V:$V)&amp;"免息,")&amp;IF(_xlfn.XLOOKUP(A251&amp;B251&amp;C251,盘货信息!$A:$A&amp;盘货信息!$B:$B&amp;盘货信息!$C:$C,盘货信息!$W:$W)="","",_xlfn.XLOOKUP(A251&amp;B251&amp;C251,盘货信息!$A:$A&amp;盘货信息!$B:$B&amp;盘货信息!$C:$C,盘货信息!$W:$W)&amp;"，")&amp;"送货入户，退换免运费")</f>
        <v/>
      </c>
    </row>
    <row r="252" customHeight="1" spans="1:22">
      <c r="A252" s="17" t="str">
        <f>IF(盘货信息!A252="","",盘货信息!A252)</f>
        <v/>
      </c>
      <c r="B252" s="20" t="str">
        <f>IF(盘货信息!B252="","",盘货信息!B252)</f>
        <v/>
      </c>
      <c r="C252" s="18" t="str">
        <f>IF(盘货信息!C252="","",盘货信息!C252)</f>
        <v/>
      </c>
      <c r="D252" s="18" t="str">
        <f ca="1" t="shared" si="3"/>
        <v/>
      </c>
      <c r="E252" s="18" t="str">
        <f>IF(C252="","",固定信息!$B$2)</f>
        <v/>
      </c>
      <c r="F252" s="18" t="str">
        <f t="array" ref="F252">IF(C252="","","【"&amp;C252&amp;"】"&amp;_xlfn.XLOOKUP(A252&amp;B252&amp;C252,盘货信息!$A:$A&amp;盘货信息!$B:$B&amp;盘货信息!$C:$C,盘货信息!$D:$D))</f>
        <v/>
      </c>
      <c r="G252" s="18" t="str">
        <f>IF(C252="","","【"&amp;"活动时间："&amp;固定信息!$B$3&amp;"】")</f>
        <v/>
      </c>
      <c r="H252" s="18" t="str">
        <f>IF($C252="","",固定信息!$B$1)</f>
        <v/>
      </c>
      <c r="I252" s="18"/>
      <c r="J252" s="18" t="str">
        <f t="array" ref="J252">_xlfn.XLOOKUP(A252&amp;B252&amp;C252,价格信息!$A:$A&amp;价格信息!$B:$B&amp;价格信息!$C:$C,价格信息!$D:$D)</f>
        <v/>
      </c>
      <c r="K252" s="31" t="str">
        <f t="array" ref="K252">IF(_xlfn.XLOOKUP(A252&amp;B252&amp;C252,价格信息!$A:$A&amp;价格信息!$B:$B&amp;价格信息!$C:$C,价格信息!$I:$I)="","","【优惠券链接】"&amp;固定信息!$B$6)</f>
        <v/>
      </c>
      <c r="L252" s="31" t="str">
        <f>IF($C252="","",固定信息!$B$1)</f>
        <v/>
      </c>
      <c r="M252" s="18" t="str">
        <f t="array" ref="M252">IF(_xlfn.XLOOKUP(A252&amp;B252&amp;C252,盘货信息!$A:$A&amp;盘货信息!$B:$B&amp;盘货信息!$C:$C,盘货信息!$O:$O)="","","【优惠券】领"&amp;INDEX(_wpsfn.REGEXP(_xlfn.XLOOKUP(A252&amp;B252&amp;C252,盘货信息!$A:$A&amp;盘货信息!$B:$B&amp;盘货信息!$C:$C,盘货信息!$O:$O),"\d+"),1,1)&amp;"元优惠券下单更优惠，优惠卷："&amp;_xlfn.XLOOKUP(A252&amp;B252&amp;C252,盘货信息!$A:$A&amp;盘货信息!$B:$B&amp;盘货信息!$C:$C,盘货信息!$P:$P))</f>
        <v/>
      </c>
      <c r="N252" s="18" t="str">
        <f t="array" ref="N252">IF(AND(ISNUMBER(_xlfn.XLOOKUP(A252&amp;B252&amp;C252,盘货信息!$A:$A&amp;盘货信息!$B:$B&amp;盘货信息!$C:$C,盘货信息!$I:$I)),_xlfn.XLOOKUP(A252&amp;B252&amp;C252,盘货信息!$A:$A&amp;盘货信息!$B:$B&amp;盘货信息!$C:$C,盘货信息!$I:$I)&gt;1),"【88VIP】立减"&amp;_xlfn.XLOOKUP(A252&amp;B252&amp;C252,盘货信息!$A:$A&amp;盘货信息!$B:$B&amp;盘货信息!$C:$C,盘货信息!$I:$I)&amp;"元","")</f>
        <v/>
      </c>
      <c r="O252" s="18" t="str">
        <f t="array" ref="O252">IF(_xlfn.XLOOKUP(A252&amp;B252&amp;C252,盘货信息!$A:$A&amp;盘货信息!$B:$B&amp;盘货信息!$C:$C,盘货信息!$K:$K)="","",IF(AND(_xlfn.XLOOKUP(A252&amp;B252&amp;C252,盘货信息!$A:$A&amp;盘货信息!$B:$B&amp;盘货信息!$C:$C,盘货信息!$G:$G)="不参加",_xlfn.XLOOKUP(A252&amp;B252&amp;C252,盘货信息!$A:$A&amp;盘货信息!$B:$B&amp;盘货信息!$C:$C,盘货信息!$H:$H)=""),"【以旧换新】"&amp;_xlfn.XLOOKUP(A252&amp;B252&amp;C252,盘货信息!$A:$A&amp;盘货信息!$B:$B&amp;盘货信息!$C:$C,盘货信息!$K:$K)&amp;"元以旧换新补贴（可无旧机换新）",""))</f>
        <v/>
      </c>
      <c r="P252" s="18" t="str">
        <f t="array" ref="P252">_xlfn.XLOOKUP(A252&amp;B252&amp;C252,赠品!$A:$A&amp;赠品!$B:$B&amp;赠品!$C:$C,赠品!$D:$D)</f>
        <v/>
      </c>
      <c r="Q252" s="18" t="str">
        <f>IF($C252="","",IF(AND(M252="",N252="",P252=""),"",固定信息!$B$1))</f>
        <v/>
      </c>
      <c r="R252" s="18" t="str">
        <f t="array" ref="R252">IF(ISNUMBER(SEARCH("是",_xlfn.XLOOKUP(A252&amp;B252&amp;C252,盘货信息!$A:$A&amp;盘货信息!$B:$B&amp;盘货信息!$C:$C,盘货信息!$U:$U))),"【折扣】指定型号满2类享96折，满3类享94折","")</f>
        <v/>
      </c>
      <c r="S252" s="18" t="str">
        <f t="array" ref="S252">IF(_xlfn.XLOOKUP(A252&amp;B252&amp;C252,盘货信息!$A:$A&amp;盘货信息!$B:$B&amp;盘货信息!$C:$C,盘货信息!$Q:$Q)&lt;1,"","【红包】活动时间购机送"&amp;_xlfn.TEXTJOIN("",,IF(ISNUMBER(--MID(_xlfn.XLOOKUP(A252&amp;B252&amp;C252,盘货信息!$A:$A&amp;盘货信息!$B:$B&amp;盘货信息!$C:$C,盘货信息!$Q:$Q),_xlfn.SEQUENCE(LEN(_xlfn.XLOOKUP(A252&amp;B252&amp;C252,盘货信息!$A:$A&amp;盘货信息!$B:$B&amp;盘货信息!$C:$C,盘货信息!$Q:$Q))),1)),MID(_xlfn.XLOOKUP(A252&amp;B252&amp;C252,盘货信息!$A:$A&amp;盘货信息!$B:$B&amp;盘货信息!$C:$C,盘货信息!$Q:$Q),_xlfn.SEQUENCE(LEN(_xlfn.XLOOKUP(A252&amp;B252&amp;C252,盘货信息!$A:$A&amp;盘货信息!$B:$B&amp;盘货信息!$C:$C,盘货信息!$Q:$Q))),1),""))&amp;"元")</f>
        <v/>
      </c>
      <c r="T252" s="18" t="str">
        <f t="array" ref="T252">IF(ISNUMBER(SEARCH("是",_xlfn.XLOOKUP(A252&amp;B252&amp;C252,盘货信息!$A:$A&amp;盘货信息!$B:$B&amp;盘货信息!$C:$C,盘货信息!$T:$T))),"【瓜分】"&amp;固定信息!$B$7,"")</f>
        <v/>
      </c>
      <c r="U252" s="18" t="str">
        <f>IF($C252="","",IF(AND(R252="",S252="",T252=""),"",固定信息!$B$1))</f>
        <v/>
      </c>
      <c r="V252" s="18" t="str">
        <f t="array" ref="V252">IF(C252="","","【服务】"&amp;IF(_xlfn.XLOOKUP(A252&amp;B252&amp;C252,盘货信息!$A:$A&amp;盘货信息!$B:$B&amp;盘货信息!$C:$C,盘货信息!$V:$V)="","",_xlfn.XLOOKUP(A252&amp;B252&amp;C252,盘货信息!$A:$A&amp;盘货信息!$B:$B&amp;盘货信息!$C:$C,盘货信息!$V:$V)&amp;"免息,")&amp;IF(_xlfn.XLOOKUP(A252&amp;B252&amp;C252,盘货信息!$A:$A&amp;盘货信息!$B:$B&amp;盘货信息!$C:$C,盘货信息!$W:$W)="","",_xlfn.XLOOKUP(A252&amp;B252&amp;C252,盘货信息!$A:$A&amp;盘货信息!$B:$B&amp;盘货信息!$C:$C,盘货信息!$W:$W)&amp;"，")&amp;"送货入户，退换免运费")</f>
        <v/>
      </c>
    </row>
    <row r="253" customHeight="1" spans="1:22">
      <c r="A253" s="17" t="str">
        <f>IF(盘货信息!A253="","",盘货信息!A253)</f>
        <v/>
      </c>
      <c r="B253" s="20" t="str">
        <f>IF(盘货信息!B253="","",盘货信息!B253)</f>
        <v/>
      </c>
      <c r="C253" s="18" t="str">
        <f>IF(盘货信息!C253="","",盘货信息!C253)</f>
        <v/>
      </c>
      <c r="D253" s="18" t="str">
        <f ca="1" t="shared" si="3"/>
        <v/>
      </c>
      <c r="E253" s="18" t="str">
        <f>IF(C253="","",固定信息!$B$2)</f>
        <v/>
      </c>
      <c r="F253" s="18" t="str">
        <f t="array" ref="F253">IF(C253="","","【"&amp;C253&amp;"】"&amp;_xlfn.XLOOKUP(A253&amp;B253&amp;C253,盘货信息!$A:$A&amp;盘货信息!$B:$B&amp;盘货信息!$C:$C,盘货信息!$D:$D))</f>
        <v/>
      </c>
      <c r="G253" s="18" t="str">
        <f>IF(C253="","","【"&amp;"活动时间："&amp;固定信息!$B$3&amp;"】")</f>
        <v/>
      </c>
      <c r="H253" s="18" t="str">
        <f>IF($C253="","",固定信息!$B$1)</f>
        <v/>
      </c>
      <c r="I253" s="18"/>
      <c r="J253" s="18" t="str">
        <f t="array" ref="J253">_xlfn.XLOOKUP(A253&amp;B253&amp;C253,价格信息!$A:$A&amp;价格信息!$B:$B&amp;价格信息!$C:$C,价格信息!$D:$D)</f>
        <v/>
      </c>
      <c r="K253" s="31" t="str">
        <f t="array" ref="K253">IF(_xlfn.XLOOKUP(A253&amp;B253&amp;C253,价格信息!$A:$A&amp;价格信息!$B:$B&amp;价格信息!$C:$C,价格信息!$I:$I)="","","【优惠券链接】"&amp;固定信息!$B$6)</f>
        <v/>
      </c>
      <c r="L253" s="31" t="str">
        <f>IF($C253="","",固定信息!$B$1)</f>
        <v/>
      </c>
      <c r="M253" s="18" t="str">
        <f t="array" ref="M253">IF(_xlfn.XLOOKUP(A253&amp;B253&amp;C253,盘货信息!$A:$A&amp;盘货信息!$B:$B&amp;盘货信息!$C:$C,盘货信息!$O:$O)="","","【优惠券】领"&amp;INDEX(_wpsfn.REGEXP(_xlfn.XLOOKUP(A253&amp;B253&amp;C253,盘货信息!$A:$A&amp;盘货信息!$B:$B&amp;盘货信息!$C:$C,盘货信息!$O:$O),"\d+"),1,1)&amp;"元优惠券下单更优惠，优惠卷："&amp;_xlfn.XLOOKUP(A253&amp;B253&amp;C253,盘货信息!$A:$A&amp;盘货信息!$B:$B&amp;盘货信息!$C:$C,盘货信息!$P:$P))</f>
        <v/>
      </c>
      <c r="N253" s="18" t="str">
        <f t="array" ref="N253">IF(AND(ISNUMBER(_xlfn.XLOOKUP(A253&amp;B253&amp;C253,盘货信息!$A:$A&amp;盘货信息!$B:$B&amp;盘货信息!$C:$C,盘货信息!$I:$I)),_xlfn.XLOOKUP(A253&amp;B253&amp;C253,盘货信息!$A:$A&amp;盘货信息!$B:$B&amp;盘货信息!$C:$C,盘货信息!$I:$I)&gt;1),"【88VIP】立减"&amp;_xlfn.XLOOKUP(A253&amp;B253&amp;C253,盘货信息!$A:$A&amp;盘货信息!$B:$B&amp;盘货信息!$C:$C,盘货信息!$I:$I)&amp;"元","")</f>
        <v/>
      </c>
      <c r="O253" s="18" t="str">
        <f t="array" ref="O253">IF(_xlfn.XLOOKUP(A253&amp;B253&amp;C253,盘货信息!$A:$A&amp;盘货信息!$B:$B&amp;盘货信息!$C:$C,盘货信息!$K:$K)="","",IF(AND(_xlfn.XLOOKUP(A253&amp;B253&amp;C253,盘货信息!$A:$A&amp;盘货信息!$B:$B&amp;盘货信息!$C:$C,盘货信息!$G:$G)="不参加",_xlfn.XLOOKUP(A253&amp;B253&amp;C253,盘货信息!$A:$A&amp;盘货信息!$B:$B&amp;盘货信息!$C:$C,盘货信息!$H:$H)=""),"【以旧换新】"&amp;_xlfn.XLOOKUP(A253&amp;B253&amp;C253,盘货信息!$A:$A&amp;盘货信息!$B:$B&amp;盘货信息!$C:$C,盘货信息!$K:$K)&amp;"元以旧换新补贴（可无旧机换新）",""))</f>
        <v/>
      </c>
      <c r="P253" s="18" t="str">
        <f t="array" ref="P253">_xlfn.XLOOKUP(A253&amp;B253&amp;C253,赠品!$A:$A&amp;赠品!$B:$B&amp;赠品!$C:$C,赠品!$D:$D)</f>
        <v/>
      </c>
      <c r="Q253" s="18" t="str">
        <f>IF($C253="","",IF(AND(M253="",N253="",P253=""),"",固定信息!$B$1))</f>
        <v/>
      </c>
      <c r="R253" s="18" t="str">
        <f t="array" ref="R253">IF(ISNUMBER(SEARCH("是",_xlfn.XLOOKUP(A253&amp;B253&amp;C253,盘货信息!$A:$A&amp;盘货信息!$B:$B&amp;盘货信息!$C:$C,盘货信息!$U:$U))),"【折扣】指定型号满2类享96折，满3类享94折","")</f>
        <v/>
      </c>
      <c r="S253" s="18" t="str">
        <f t="array" ref="S253">IF(_xlfn.XLOOKUP(A253&amp;B253&amp;C253,盘货信息!$A:$A&amp;盘货信息!$B:$B&amp;盘货信息!$C:$C,盘货信息!$Q:$Q)&lt;1,"","【红包】活动时间购机送"&amp;_xlfn.TEXTJOIN("",,IF(ISNUMBER(--MID(_xlfn.XLOOKUP(A253&amp;B253&amp;C253,盘货信息!$A:$A&amp;盘货信息!$B:$B&amp;盘货信息!$C:$C,盘货信息!$Q:$Q),_xlfn.SEQUENCE(LEN(_xlfn.XLOOKUP(A253&amp;B253&amp;C253,盘货信息!$A:$A&amp;盘货信息!$B:$B&amp;盘货信息!$C:$C,盘货信息!$Q:$Q))),1)),MID(_xlfn.XLOOKUP(A253&amp;B253&amp;C253,盘货信息!$A:$A&amp;盘货信息!$B:$B&amp;盘货信息!$C:$C,盘货信息!$Q:$Q),_xlfn.SEQUENCE(LEN(_xlfn.XLOOKUP(A253&amp;B253&amp;C253,盘货信息!$A:$A&amp;盘货信息!$B:$B&amp;盘货信息!$C:$C,盘货信息!$Q:$Q))),1),""))&amp;"元")</f>
        <v/>
      </c>
      <c r="T253" s="18" t="str">
        <f t="array" ref="T253">IF(ISNUMBER(SEARCH("是",_xlfn.XLOOKUP(A253&amp;B253&amp;C253,盘货信息!$A:$A&amp;盘货信息!$B:$B&amp;盘货信息!$C:$C,盘货信息!$T:$T))),"【瓜分】"&amp;固定信息!$B$7,"")</f>
        <v/>
      </c>
      <c r="U253" s="18" t="str">
        <f>IF($C253="","",IF(AND(R253="",S253="",T253=""),"",固定信息!$B$1))</f>
        <v/>
      </c>
      <c r="V253" s="18" t="str">
        <f t="array" ref="V253">IF(C253="","","【服务】"&amp;IF(_xlfn.XLOOKUP(A253&amp;B253&amp;C253,盘货信息!$A:$A&amp;盘货信息!$B:$B&amp;盘货信息!$C:$C,盘货信息!$V:$V)="","",_xlfn.XLOOKUP(A253&amp;B253&amp;C253,盘货信息!$A:$A&amp;盘货信息!$B:$B&amp;盘货信息!$C:$C,盘货信息!$V:$V)&amp;"免息,")&amp;IF(_xlfn.XLOOKUP(A253&amp;B253&amp;C253,盘货信息!$A:$A&amp;盘货信息!$B:$B&amp;盘货信息!$C:$C,盘货信息!$W:$W)="","",_xlfn.XLOOKUP(A253&amp;B253&amp;C253,盘货信息!$A:$A&amp;盘货信息!$B:$B&amp;盘货信息!$C:$C,盘货信息!$W:$W)&amp;"，")&amp;"送货入户，退换免运费")</f>
        <v/>
      </c>
    </row>
    <row r="254" customHeight="1" spans="1:22">
      <c r="A254" s="17" t="str">
        <f>IF(盘货信息!A254="","",盘货信息!A254)</f>
        <v/>
      </c>
      <c r="B254" s="20" t="str">
        <f>IF(盘货信息!B254="","",盘货信息!B254)</f>
        <v/>
      </c>
      <c r="C254" s="18" t="str">
        <f>IF(盘货信息!C254="","",盘货信息!C254)</f>
        <v/>
      </c>
      <c r="D254" s="18" t="str">
        <f ca="1" t="shared" si="3"/>
        <v/>
      </c>
      <c r="E254" s="18" t="str">
        <f>IF(C254="","",固定信息!$B$2)</f>
        <v/>
      </c>
      <c r="F254" s="18" t="str">
        <f t="array" ref="F254">IF(C254="","","【"&amp;C254&amp;"】"&amp;_xlfn.XLOOKUP(A254&amp;B254&amp;C254,盘货信息!$A:$A&amp;盘货信息!$B:$B&amp;盘货信息!$C:$C,盘货信息!$D:$D))</f>
        <v/>
      </c>
      <c r="G254" s="18" t="str">
        <f>IF(C254="","","【"&amp;"活动时间："&amp;固定信息!$B$3&amp;"】")</f>
        <v/>
      </c>
      <c r="H254" s="18" t="str">
        <f>IF($C254="","",固定信息!$B$1)</f>
        <v/>
      </c>
      <c r="I254" s="18"/>
      <c r="J254" s="18" t="str">
        <f t="array" ref="J254">_xlfn.XLOOKUP(A254&amp;B254&amp;C254,价格信息!$A:$A&amp;价格信息!$B:$B&amp;价格信息!$C:$C,价格信息!$D:$D)</f>
        <v/>
      </c>
      <c r="K254" s="31" t="str">
        <f t="array" ref="K254">IF(_xlfn.XLOOKUP(A254&amp;B254&amp;C254,价格信息!$A:$A&amp;价格信息!$B:$B&amp;价格信息!$C:$C,价格信息!$I:$I)="","","【优惠券链接】"&amp;固定信息!$B$6)</f>
        <v/>
      </c>
      <c r="L254" s="31" t="str">
        <f>IF($C254="","",固定信息!$B$1)</f>
        <v/>
      </c>
      <c r="M254" s="18" t="str">
        <f t="array" ref="M254">IF(_xlfn.XLOOKUP(A254&amp;B254&amp;C254,盘货信息!$A:$A&amp;盘货信息!$B:$B&amp;盘货信息!$C:$C,盘货信息!$O:$O)="","","【优惠券】领"&amp;INDEX(_wpsfn.REGEXP(_xlfn.XLOOKUP(A254&amp;B254&amp;C254,盘货信息!$A:$A&amp;盘货信息!$B:$B&amp;盘货信息!$C:$C,盘货信息!$O:$O),"\d+"),1,1)&amp;"元优惠券下单更优惠，优惠卷："&amp;_xlfn.XLOOKUP(A254&amp;B254&amp;C254,盘货信息!$A:$A&amp;盘货信息!$B:$B&amp;盘货信息!$C:$C,盘货信息!$P:$P))</f>
        <v/>
      </c>
      <c r="N254" s="18" t="str">
        <f t="array" ref="N254">IF(AND(ISNUMBER(_xlfn.XLOOKUP(A254&amp;B254&amp;C254,盘货信息!$A:$A&amp;盘货信息!$B:$B&amp;盘货信息!$C:$C,盘货信息!$I:$I)),_xlfn.XLOOKUP(A254&amp;B254&amp;C254,盘货信息!$A:$A&amp;盘货信息!$B:$B&amp;盘货信息!$C:$C,盘货信息!$I:$I)&gt;1),"【88VIP】立减"&amp;_xlfn.XLOOKUP(A254&amp;B254&amp;C254,盘货信息!$A:$A&amp;盘货信息!$B:$B&amp;盘货信息!$C:$C,盘货信息!$I:$I)&amp;"元","")</f>
        <v/>
      </c>
      <c r="O254" s="18" t="str">
        <f t="array" ref="O254">IF(_xlfn.XLOOKUP(A254&amp;B254&amp;C254,盘货信息!$A:$A&amp;盘货信息!$B:$B&amp;盘货信息!$C:$C,盘货信息!$K:$K)="","",IF(AND(_xlfn.XLOOKUP(A254&amp;B254&amp;C254,盘货信息!$A:$A&amp;盘货信息!$B:$B&amp;盘货信息!$C:$C,盘货信息!$G:$G)="不参加",_xlfn.XLOOKUP(A254&amp;B254&amp;C254,盘货信息!$A:$A&amp;盘货信息!$B:$B&amp;盘货信息!$C:$C,盘货信息!$H:$H)=""),"【以旧换新】"&amp;_xlfn.XLOOKUP(A254&amp;B254&amp;C254,盘货信息!$A:$A&amp;盘货信息!$B:$B&amp;盘货信息!$C:$C,盘货信息!$K:$K)&amp;"元以旧换新补贴（可无旧机换新）",""))</f>
        <v/>
      </c>
      <c r="P254" s="18" t="str">
        <f t="array" ref="P254">_xlfn.XLOOKUP(A254&amp;B254&amp;C254,赠品!$A:$A&amp;赠品!$B:$B&amp;赠品!$C:$C,赠品!$D:$D)</f>
        <v/>
      </c>
      <c r="Q254" s="18" t="str">
        <f>IF($C254="","",IF(AND(M254="",N254="",P254=""),"",固定信息!$B$1))</f>
        <v/>
      </c>
      <c r="R254" s="18" t="str">
        <f t="array" ref="R254">IF(ISNUMBER(SEARCH("是",_xlfn.XLOOKUP(A254&amp;B254&amp;C254,盘货信息!$A:$A&amp;盘货信息!$B:$B&amp;盘货信息!$C:$C,盘货信息!$U:$U))),"【折扣】指定型号满2类享96折，满3类享94折","")</f>
        <v/>
      </c>
      <c r="S254" s="18" t="str">
        <f t="array" ref="S254">IF(_xlfn.XLOOKUP(A254&amp;B254&amp;C254,盘货信息!$A:$A&amp;盘货信息!$B:$B&amp;盘货信息!$C:$C,盘货信息!$Q:$Q)&lt;1,"","【红包】活动时间购机送"&amp;_xlfn.TEXTJOIN("",,IF(ISNUMBER(--MID(_xlfn.XLOOKUP(A254&amp;B254&amp;C254,盘货信息!$A:$A&amp;盘货信息!$B:$B&amp;盘货信息!$C:$C,盘货信息!$Q:$Q),_xlfn.SEQUENCE(LEN(_xlfn.XLOOKUP(A254&amp;B254&amp;C254,盘货信息!$A:$A&amp;盘货信息!$B:$B&amp;盘货信息!$C:$C,盘货信息!$Q:$Q))),1)),MID(_xlfn.XLOOKUP(A254&amp;B254&amp;C254,盘货信息!$A:$A&amp;盘货信息!$B:$B&amp;盘货信息!$C:$C,盘货信息!$Q:$Q),_xlfn.SEQUENCE(LEN(_xlfn.XLOOKUP(A254&amp;B254&amp;C254,盘货信息!$A:$A&amp;盘货信息!$B:$B&amp;盘货信息!$C:$C,盘货信息!$Q:$Q))),1),""))&amp;"元")</f>
        <v/>
      </c>
      <c r="T254" s="18" t="str">
        <f t="array" ref="T254">IF(ISNUMBER(SEARCH("是",_xlfn.XLOOKUP(A254&amp;B254&amp;C254,盘货信息!$A:$A&amp;盘货信息!$B:$B&amp;盘货信息!$C:$C,盘货信息!$T:$T))),"【瓜分】"&amp;固定信息!$B$7,"")</f>
        <v/>
      </c>
      <c r="U254" s="18" t="str">
        <f>IF($C254="","",IF(AND(R254="",S254="",T254=""),"",固定信息!$B$1))</f>
        <v/>
      </c>
      <c r="V254" s="18" t="str">
        <f t="array" ref="V254">IF(C254="","","【服务】"&amp;IF(_xlfn.XLOOKUP(A254&amp;B254&amp;C254,盘货信息!$A:$A&amp;盘货信息!$B:$B&amp;盘货信息!$C:$C,盘货信息!$V:$V)="","",_xlfn.XLOOKUP(A254&amp;B254&amp;C254,盘货信息!$A:$A&amp;盘货信息!$B:$B&amp;盘货信息!$C:$C,盘货信息!$V:$V)&amp;"免息,")&amp;IF(_xlfn.XLOOKUP(A254&amp;B254&amp;C254,盘货信息!$A:$A&amp;盘货信息!$B:$B&amp;盘货信息!$C:$C,盘货信息!$W:$W)="","",_xlfn.XLOOKUP(A254&amp;B254&amp;C254,盘货信息!$A:$A&amp;盘货信息!$B:$B&amp;盘货信息!$C:$C,盘货信息!$W:$W)&amp;"，")&amp;"送货入户，退换免运费")</f>
        <v/>
      </c>
    </row>
    <row r="255" customHeight="1" spans="1:22">
      <c r="A255" s="17" t="str">
        <f>IF(盘货信息!A255="","",盘货信息!A255)</f>
        <v/>
      </c>
      <c r="B255" s="20" t="str">
        <f>IF(盘货信息!B255="","",盘货信息!B255)</f>
        <v/>
      </c>
      <c r="C255" s="18" t="str">
        <f>IF(盘货信息!C255="","",盘货信息!C255)</f>
        <v/>
      </c>
      <c r="D255" s="18" t="str">
        <f ca="1" t="shared" si="3"/>
        <v/>
      </c>
      <c r="E255" s="18" t="str">
        <f>IF(C255="","",固定信息!$B$2)</f>
        <v/>
      </c>
      <c r="F255" s="18" t="str">
        <f t="array" ref="F255">IF(C255="","","【"&amp;C255&amp;"】"&amp;_xlfn.XLOOKUP(A255&amp;B255&amp;C255,盘货信息!$A:$A&amp;盘货信息!$B:$B&amp;盘货信息!$C:$C,盘货信息!$D:$D))</f>
        <v/>
      </c>
      <c r="G255" s="18" t="str">
        <f>IF(C255="","","【"&amp;"活动时间："&amp;固定信息!$B$3&amp;"】")</f>
        <v/>
      </c>
      <c r="H255" s="18" t="str">
        <f>IF($C255="","",固定信息!$B$1)</f>
        <v/>
      </c>
      <c r="I255" s="18"/>
      <c r="J255" s="18" t="str">
        <f t="array" ref="J255">_xlfn.XLOOKUP(A255&amp;B255&amp;C255,价格信息!$A:$A&amp;价格信息!$B:$B&amp;价格信息!$C:$C,价格信息!$D:$D)</f>
        <v/>
      </c>
      <c r="K255" s="31" t="str">
        <f t="array" ref="K255">IF(_xlfn.XLOOKUP(A255&amp;B255&amp;C255,价格信息!$A:$A&amp;价格信息!$B:$B&amp;价格信息!$C:$C,价格信息!$I:$I)="","","【优惠券链接】"&amp;固定信息!$B$6)</f>
        <v/>
      </c>
      <c r="L255" s="31" t="str">
        <f>IF($C255="","",固定信息!$B$1)</f>
        <v/>
      </c>
      <c r="M255" s="18" t="str">
        <f t="array" ref="M255">IF(_xlfn.XLOOKUP(A255&amp;B255&amp;C255,盘货信息!$A:$A&amp;盘货信息!$B:$B&amp;盘货信息!$C:$C,盘货信息!$O:$O)="","","【优惠券】领"&amp;INDEX(_wpsfn.REGEXP(_xlfn.XLOOKUP(A255&amp;B255&amp;C255,盘货信息!$A:$A&amp;盘货信息!$B:$B&amp;盘货信息!$C:$C,盘货信息!$O:$O),"\d+"),1,1)&amp;"元优惠券下单更优惠，优惠卷："&amp;_xlfn.XLOOKUP(A255&amp;B255&amp;C255,盘货信息!$A:$A&amp;盘货信息!$B:$B&amp;盘货信息!$C:$C,盘货信息!$P:$P))</f>
        <v/>
      </c>
      <c r="N255" s="18" t="str">
        <f t="array" ref="N255">IF(AND(ISNUMBER(_xlfn.XLOOKUP(A255&amp;B255&amp;C255,盘货信息!$A:$A&amp;盘货信息!$B:$B&amp;盘货信息!$C:$C,盘货信息!$I:$I)),_xlfn.XLOOKUP(A255&amp;B255&amp;C255,盘货信息!$A:$A&amp;盘货信息!$B:$B&amp;盘货信息!$C:$C,盘货信息!$I:$I)&gt;1),"【88VIP】立减"&amp;_xlfn.XLOOKUP(A255&amp;B255&amp;C255,盘货信息!$A:$A&amp;盘货信息!$B:$B&amp;盘货信息!$C:$C,盘货信息!$I:$I)&amp;"元","")</f>
        <v/>
      </c>
      <c r="O255" s="18" t="str">
        <f t="array" ref="O255">IF(_xlfn.XLOOKUP(A255&amp;B255&amp;C255,盘货信息!$A:$A&amp;盘货信息!$B:$B&amp;盘货信息!$C:$C,盘货信息!$K:$K)="","",IF(AND(_xlfn.XLOOKUP(A255&amp;B255&amp;C255,盘货信息!$A:$A&amp;盘货信息!$B:$B&amp;盘货信息!$C:$C,盘货信息!$G:$G)="不参加",_xlfn.XLOOKUP(A255&amp;B255&amp;C255,盘货信息!$A:$A&amp;盘货信息!$B:$B&amp;盘货信息!$C:$C,盘货信息!$H:$H)=""),"【以旧换新】"&amp;_xlfn.XLOOKUP(A255&amp;B255&amp;C255,盘货信息!$A:$A&amp;盘货信息!$B:$B&amp;盘货信息!$C:$C,盘货信息!$K:$K)&amp;"元以旧换新补贴（可无旧机换新）",""))</f>
        <v/>
      </c>
      <c r="P255" s="18" t="str">
        <f t="array" ref="P255">_xlfn.XLOOKUP(A255&amp;B255&amp;C255,赠品!$A:$A&amp;赠品!$B:$B&amp;赠品!$C:$C,赠品!$D:$D)</f>
        <v/>
      </c>
      <c r="Q255" s="18" t="str">
        <f>IF($C255="","",IF(AND(M255="",N255="",P255=""),"",固定信息!$B$1))</f>
        <v/>
      </c>
      <c r="R255" s="18" t="str">
        <f t="array" ref="R255">IF(ISNUMBER(SEARCH("是",_xlfn.XLOOKUP(A255&amp;B255&amp;C255,盘货信息!$A:$A&amp;盘货信息!$B:$B&amp;盘货信息!$C:$C,盘货信息!$U:$U))),"【折扣】指定型号满2类享96折，满3类享94折","")</f>
        <v/>
      </c>
      <c r="S255" s="18" t="str">
        <f t="array" ref="S255">IF(_xlfn.XLOOKUP(A255&amp;B255&amp;C255,盘货信息!$A:$A&amp;盘货信息!$B:$B&amp;盘货信息!$C:$C,盘货信息!$Q:$Q)&lt;1,"","【红包】活动时间购机送"&amp;_xlfn.TEXTJOIN("",,IF(ISNUMBER(--MID(_xlfn.XLOOKUP(A255&amp;B255&amp;C255,盘货信息!$A:$A&amp;盘货信息!$B:$B&amp;盘货信息!$C:$C,盘货信息!$Q:$Q),_xlfn.SEQUENCE(LEN(_xlfn.XLOOKUP(A255&amp;B255&amp;C255,盘货信息!$A:$A&amp;盘货信息!$B:$B&amp;盘货信息!$C:$C,盘货信息!$Q:$Q))),1)),MID(_xlfn.XLOOKUP(A255&amp;B255&amp;C255,盘货信息!$A:$A&amp;盘货信息!$B:$B&amp;盘货信息!$C:$C,盘货信息!$Q:$Q),_xlfn.SEQUENCE(LEN(_xlfn.XLOOKUP(A255&amp;B255&amp;C255,盘货信息!$A:$A&amp;盘货信息!$B:$B&amp;盘货信息!$C:$C,盘货信息!$Q:$Q))),1),""))&amp;"元")</f>
        <v/>
      </c>
      <c r="T255" s="18" t="str">
        <f t="array" ref="T255">IF(ISNUMBER(SEARCH("是",_xlfn.XLOOKUP(A255&amp;B255&amp;C255,盘货信息!$A:$A&amp;盘货信息!$B:$B&amp;盘货信息!$C:$C,盘货信息!$T:$T))),"【瓜分】"&amp;固定信息!$B$7,"")</f>
        <v/>
      </c>
      <c r="U255" s="18" t="str">
        <f>IF($C255="","",IF(AND(R255="",S255="",T255=""),"",固定信息!$B$1))</f>
        <v/>
      </c>
      <c r="V255" s="18" t="str">
        <f t="array" ref="V255">IF(C255="","","【服务】"&amp;IF(_xlfn.XLOOKUP(A255&amp;B255&amp;C255,盘货信息!$A:$A&amp;盘货信息!$B:$B&amp;盘货信息!$C:$C,盘货信息!$V:$V)="","",_xlfn.XLOOKUP(A255&amp;B255&amp;C255,盘货信息!$A:$A&amp;盘货信息!$B:$B&amp;盘货信息!$C:$C,盘货信息!$V:$V)&amp;"免息,")&amp;IF(_xlfn.XLOOKUP(A255&amp;B255&amp;C255,盘货信息!$A:$A&amp;盘货信息!$B:$B&amp;盘货信息!$C:$C,盘货信息!$W:$W)="","",_xlfn.XLOOKUP(A255&amp;B255&amp;C255,盘货信息!$A:$A&amp;盘货信息!$B:$B&amp;盘货信息!$C:$C,盘货信息!$W:$W)&amp;"，")&amp;"送货入户，退换免运费")</f>
        <v/>
      </c>
    </row>
    <row r="256" customHeight="1" spans="1:22">
      <c r="A256" s="17" t="str">
        <f>IF(盘货信息!A256="","",盘货信息!A256)</f>
        <v/>
      </c>
      <c r="B256" s="20" t="str">
        <f>IF(盘货信息!B256="","",盘货信息!B256)</f>
        <v/>
      </c>
      <c r="C256" s="18" t="str">
        <f>IF(盘货信息!C256="","",盘货信息!C256)</f>
        <v/>
      </c>
      <c r="D256" s="18" t="str">
        <f ca="1" t="shared" si="3"/>
        <v/>
      </c>
      <c r="E256" s="18" t="str">
        <f>IF(C256="","",固定信息!$B$2)</f>
        <v/>
      </c>
      <c r="F256" s="18" t="str">
        <f t="array" ref="F256">IF(C256="","","【"&amp;C256&amp;"】"&amp;_xlfn.XLOOKUP(A256&amp;B256&amp;C256,盘货信息!$A:$A&amp;盘货信息!$B:$B&amp;盘货信息!$C:$C,盘货信息!$D:$D))</f>
        <v/>
      </c>
      <c r="G256" s="18" t="str">
        <f>IF(C256="","","【"&amp;"活动时间："&amp;固定信息!$B$3&amp;"】")</f>
        <v/>
      </c>
      <c r="H256" s="18" t="str">
        <f>IF($C256="","",固定信息!$B$1)</f>
        <v/>
      </c>
      <c r="I256" s="18"/>
      <c r="J256" s="18" t="str">
        <f t="array" ref="J256">_xlfn.XLOOKUP(A256&amp;B256&amp;C256,价格信息!$A:$A&amp;价格信息!$B:$B&amp;价格信息!$C:$C,价格信息!$D:$D)</f>
        <v/>
      </c>
      <c r="K256" s="31" t="str">
        <f t="array" ref="K256">IF(_xlfn.XLOOKUP(A256&amp;B256&amp;C256,价格信息!$A:$A&amp;价格信息!$B:$B&amp;价格信息!$C:$C,价格信息!$I:$I)="","","【优惠券链接】"&amp;固定信息!$B$6)</f>
        <v/>
      </c>
      <c r="L256" s="31" t="str">
        <f>IF($C256="","",固定信息!$B$1)</f>
        <v/>
      </c>
      <c r="M256" s="18" t="str">
        <f t="array" ref="M256">IF(_xlfn.XLOOKUP(A256&amp;B256&amp;C256,盘货信息!$A:$A&amp;盘货信息!$B:$B&amp;盘货信息!$C:$C,盘货信息!$O:$O)="","","【优惠券】领"&amp;INDEX(_wpsfn.REGEXP(_xlfn.XLOOKUP(A256&amp;B256&amp;C256,盘货信息!$A:$A&amp;盘货信息!$B:$B&amp;盘货信息!$C:$C,盘货信息!$O:$O),"\d+"),1,1)&amp;"元优惠券下单更优惠，优惠卷："&amp;_xlfn.XLOOKUP(A256&amp;B256&amp;C256,盘货信息!$A:$A&amp;盘货信息!$B:$B&amp;盘货信息!$C:$C,盘货信息!$P:$P))</f>
        <v/>
      </c>
      <c r="N256" s="18" t="str">
        <f t="array" ref="N256">IF(AND(ISNUMBER(_xlfn.XLOOKUP(A256&amp;B256&amp;C256,盘货信息!$A:$A&amp;盘货信息!$B:$B&amp;盘货信息!$C:$C,盘货信息!$I:$I)),_xlfn.XLOOKUP(A256&amp;B256&amp;C256,盘货信息!$A:$A&amp;盘货信息!$B:$B&amp;盘货信息!$C:$C,盘货信息!$I:$I)&gt;1),"【88VIP】立减"&amp;_xlfn.XLOOKUP(A256&amp;B256&amp;C256,盘货信息!$A:$A&amp;盘货信息!$B:$B&amp;盘货信息!$C:$C,盘货信息!$I:$I)&amp;"元","")</f>
        <v/>
      </c>
      <c r="O256" s="18" t="str">
        <f t="array" ref="O256">IF(_xlfn.XLOOKUP(A256&amp;B256&amp;C256,盘货信息!$A:$A&amp;盘货信息!$B:$B&amp;盘货信息!$C:$C,盘货信息!$K:$K)="","",IF(AND(_xlfn.XLOOKUP(A256&amp;B256&amp;C256,盘货信息!$A:$A&amp;盘货信息!$B:$B&amp;盘货信息!$C:$C,盘货信息!$G:$G)="不参加",_xlfn.XLOOKUP(A256&amp;B256&amp;C256,盘货信息!$A:$A&amp;盘货信息!$B:$B&amp;盘货信息!$C:$C,盘货信息!$H:$H)=""),"【以旧换新】"&amp;_xlfn.XLOOKUP(A256&amp;B256&amp;C256,盘货信息!$A:$A&amp;盘货信息!$B:$B&amp;盘货信息!$C:$C,盘货信息!$K:$K)&amp;"元以旧换新补贴（可无旧机换新）",""))</f>
        <v/>
      </c>
      <c r="P256" s="18" t="str">
        <f t="array" ref="P256">_xlfn.XLOOKUP(A256&amp;B256&amp;C256,赠品!$A:$A&amp;赠品!$B:$B&amp;赠品!$C:$C,赠品!$D:$D)</f>
        <v/>
      </c>
      <c r="Q256" s="18" t="str">
        <f>IF($C256="","",IF(AND(M256="",N256="",P256=""),"",固定信息!$B$1))</f>
        <v/>
      </c>
      <c r="R256" s="18" t="str">
        <f t="array" ref="R256">IF(ISNUMBER(SEARCH("是",_xlfn.XLOOKUP(A256&amp;B256&amp;C256,盘货信息!$A:$A&amp;盘货信息!$B:$B&amp;盘货信息!$C:$C,盘货信息!$U:$U))),"【折扣】指定型号满2类享96折，满3类享94折","")</f>
        <v/>
      </c>
      <c r="S256" s="18" t="str">
        <f t="array" ref="S256">IF(_xlfn.XLOOKUP(A256&amp;B256&amp;C256,盘货信息!$A:$A&amp;盘货信息!$B:$B&amp;盘货信息!$C:$C,盘货信息!$Q:$Q)&lt;1,"","【红包】活动时间购机送"&amp;_xlfn.TEXTJOIN("",,IF(ISNUMBER(--MID(_xlfn.XLOOKUP(A256&amp;B256&amp;C256,盘货信息!$A:$A&amp;盘货信息!$B:$B&amp;盘货信息!$C:$C,盘货信息!$Q:$Q),_xlfn.SEQUENCE(LEN(_xlfn.XLOOKUP(A256&amp;B256&amp;C256,盘货信息!$A:$A&amp;盘货信息!$B:$B&amp;盘货信息!$C:$C,盘货信息!$Q:$Q))),1)),MID(_xlfn.XLOOKUP(A256&amp;B256&amp;C256,盘货信息!$A:$A&amp;盘货信息!$B:$B&amp;盘货信息!$C:$C,盘货信息!$Q:$Q),_xlfn.SEQUENCE(LEN(_xlfn.XLOOKUP(A256&amp;B256&amp;C256,盘货信息!$A:$A&amp;盘货信息!$B:$B&amp;盘货信息!$C:$C,盘货信息!$Q:$Q))),1),""))&amp;"元")</f>
        <v/>
      </c>
      <c r="T256" s="18" t="str">
        <f t="array" ref="T256">IF(ISNUMBER(SEARCH("是",_xlfn.XLOOKUP(A256&amp;B256&amp;C256,盘货信息!$A:$A&amp;盘货信息!$B:$B&amp;盘货信息!$C:$C,盘货信息!$T:$T))),"【瓜分】"&amp;固定信息!$B$7,"")</f>
        <v/>
      </c>
      <c r="U256" s="18" t="str">
        <f>IF($C256="","",IF(AND(R256="",S256="",T256=""),"",固定信息!$B$1))</f>
        <v/>
      </c>
      <c r="V256" s="18" t="str">
        <f t="array" ref="V256">IF(C256="","","【服务】"&amp;IF(_xlfn.XLOOKUP(A256&amp;B256&amp;C256,盘货信息!$A:$A&amp;盘货信息!$B:$B&amp;盘货信息!$C:$C,盘货信息!$V:$V)="","",_xlfn.XLOOKUP(A256&amp;B256&amp;C256,盘货信息!$A:$A&amp;盘货信息!$B:$B&amp;盘货信息!$C:$C,盘货信息!$V:$V)&amp;"免息,")&amp;IF(_xlfn.XLOOKUP(A256&amp;B256&amp;C256,盘货信息!$A:$A&amp;盘货信息!$B:$B&amp;盘货信息!$C:$C,盘货信息!$W:$W)="","",_xlfn.XLOOKUP(A256&amp;B256&amp;C256,盘货信息!$A:$A&amp;盘货信息!$B:$B&amp;盘货信息!$C:$C,盘货信息!$W:$W)&amp;"，")&amp;"送货入户，退换免运费")</f>
        <v/>
      </c>
    </row>
    <row r="257" customHeight="1" spans="1:22">
      <c r="A257" s="17" t="str">
        <f>IF(盘货信息!A257="","",盘货信息!A257)</f>
        <v/>
      </c>
      <c r="B257" s="20" t="str">
        <f>IF(盘货信息!B257="","",盘货信息!B257)</f>
        <v/>
      </c>
      <c r="C257" s="18" t="str">
        <f>IF(盘货信息!C257="","",盘货信息!C257)</f>
        <v/>
      </c>
      <c r="D257" s="18" t="str">
        <f ca="1" t="shared" si="3"/>
        <v/>
      </c>
      <c r="E257" s="18" t="str">
        <f>IF(C257="","",固定信息!$B$2)</f>
        <v/>
      </c>
      <c r="F257" s="18" t="str">
        <f t="array" ref="F257">IF(C257="","","【"&amp;C257&amp;"】"&amp;_xlfn.XLOOKUP(A257&amp;B257&amp;C257,盘货信息!$A:$A&amp;盘货信息!$B:$B&amp;盘货信息!$C:$C,盘货信息!$D:$D))</f>
        <v/>
      </c>
      <c r="G257" s="18" t="str">
        <f>IF(C257="","","【"&amp;"活动时间："&amp;固定信息!$B$3&amp;"】")</f>
        <v/>
      </c>
      <c r="H257" s="18" t="str">
        <f>IF($C257="","",固定信息!$B$1)</f>
        <v/>
      </c>
      <c r="I257" s="18"/>
      <c r="J257" s="18" t="str">
        <f t="array" ref="J257">_xlfn.XLOOKUP(A257&amp;B257&amp;C257,价格信息!$A:$A&amp;价格信息!$B:$B&amp;价格信息!$C:$C,价格信息!$D:$D)</f>
        <v/>
      </c>
      <c r="K257" s="31" t="str">
        <f t="array" ref="K257">IF(_xlfn.XLOOKUP(A257&amp;B257&amp;C257,价格信息!$A:$A&amp;价格信息!$B:$B&amp;价格信息!$C:$C,价格信息!$I:$I)="","","【优惠券链接】"&amp;固定信息!$B$6)</f>
        <v/>
      </c>
      <c r="L257" s="31" t="str">
        <f>IF($C257="","",固定信息!$B$1)</f>
        <v/>
      </c>
      <c r="M257" s="18" t="str">
        <f t="array" ref="M257">IF(_xlfn.XLOOKUP(A257&amp;B257&amp;C257,盘货信息!$A:$A&amp;盘货信息!$B:$B&amp;盘货信息!$C:$C,盘货信息!$O:$O)="","","【优惠券】领"&amp;INDEX(_wpsfn.REGEXP(_xlfn.XLOOKUP(A257&amp;B257&amp;C257,盘货信息!$A:$A&amp;盘货信息!$B:$B&amp;盘货信息!$C:$C,盘货信息!$O:$O),"\d+"),1,1)&amp;"元优惠券下单更优惠，优惠卷："&amp;_xlfn.XLOOKUP(A257&amp;B257&amp;C257,盘货信息!$A:$A&amp;盘货信息!$B:$B&amp;盘货信息!$C:$C,盘货信息!$P:$P))</f>
        <v/>
      </c>
      <c r="N257" s="18" t="str">
        <f t="array" ref="N257">IF(AND(ISNUMBER(_xlfn.XLOOKUP(A257&amp;B257&amp;C257,盘货信息!$A:$A&amp;盘货信息!$B:$B&amp;盘货信息!$C:$C,盘货信息!$I:$I)),_xlfn.XLOOKUP(A257&amp;B257&amp;C257,盘货信息!$A:$A&amp;盘货信息!$B:$B&amp;盘货信息!$C:$C,盘货信息!$I:$I)&gt;1),"【88VIP】立减"&amp;_xlfn.XLOOKUP(A257&amp;B257&amp;C257,盘货信息!$A:$A&amp;盘货信息!$B:$B&amp;盘货信息!$C:$C,盘货信息!$I:$I)&amp;"元","")</f>
        <v/>
      </c>
      <c r="O257" s="18" t="str">
        <f t="array" ref="O257">IF(_xlfn.XLOOKUP(A257&amp;B257&amp;C257,盘货信息!$A:$A&amp;盘货信息!$B:$B&amp;盘货信息!$C:$C,盘货信息!$K:$K)="","",IF(AND(_xlfn.XLOOKUP(A257&amp;B257&amp;C257,盘货信息!$A:$A&amp;盘货信息!$B:$B&amp;盘货信息!$C:$C,盘货信息!$G:$G)="不参加",_xlfn.XLOOKUP(A257&amp;B257&amp;C257,盘货信息!$A:$A&amp;盘货信息!$B:$B&amp;盘货信息!$C:$C,盘货信息!$H:$H)=""),"【以旧换新】"&amp;_xlfn.XLOOKUP(A257&amp;B257&amp;C257,盘货信息!$A:$A&amp;盘货信息!$B:$B&amp;盘货信息!$C:$C,盘货信息!$K:$K)&amp;"元以旧换新补贴（可无旧机换新）",""))</f>
        <v/>
      </c>
      <c r="P257" s="18" t="str">
        <f t="array" ref="P257">_xlfn.XLOOKUP(A257&amp;B257&amp;C257,赠品!$A:$A&amp;赠品!$B:$B&amp;赠品!$C:$C,赠品!$D:$D)</f>
        <v/>
      </c>
      <c r="Q257" s="18" t="str">
        <f>IF($C257="","",IF(AND(M257="",N257="",P257=""),"",固定信息!$B$1))</f>
        <v/>
      </c>
      <c r="R257" s="18" t="str">
        <f t="array" ref="R257">IF(ISNUMBER(SEARCH("是",_xlfn.XLOOKUP(A257&amp;B257&amp;C257,盘货信息!$A:$A&amp;盘货信息!$B:$B&amp;盘货信息!$C:$C,盘货信息!$U:$U))),"【折扣】指定型号满2类享96折，满3类享94折","")</f>
        <v/>
      </c>
      <c r="S257" s="18" t="str">
        <f t="array" ref="S257">IF(_xlfn.XLOOKUP(A257&amp;B257&amp;C257,盘货信息!$A:$A&amp;盘货信息!$B:$B&amp;盘货信息!$C:$C,盘货信息!$Q:$Q)&lt;1,"","【红包】活动时间购机送"&amp;_xlfn.TEXTJOIN("",,IF(ISNUMBER(--MID(_xlfn.XLOOKUP(A257&amp;B257&amp;C257,盘货信息!$A:$A&amp;盘货信息!$B:$B&amp;盘货信息!$C:$C,盘货信息!$Q:$Q),_xlfn.SEQUENCE(LEN(_xlfn.XLOOKUP(A257&amp;B257&amp;C257,盘货信息!$A:$A&amp;盘货信息!$B:$B&amp;盘货信息!$C:$C,盘货信息!$Q:$Q))),1)),MID(_xlfn.XLOOKUP(A257&amp;B257&amp;C257,盘货信息!$A:$A&amp;盘货信息!$B:$B&amp;盘货信息!$C:$C,盘货信息!$Q:$Q),_xlfn.SEQUENCE(LEN(_xlfn.XLOOKUP(A257&amp;B257&amp;C257,盘货信息!$A:$A&amp;盘货信息!$B:$B&amp;盘货信息!$C:$C,盘货信息!$Q:$Q))),1),""))&amp;"元")</f>
        <v/>
      </c>
      <c r="T257" s="18" t="str">
        <f t="array" ref="T257">IF(ISNUMBER(SEARCH("是",_xlfn.XLOOKUP(A257&amp;B257&amp;C257,盘货信息!$A:$A&amp;盘货信息!$B:$B&amp;盘货信息!$C:$C,盘货信息!$T:$T))),"【瓜分】"&amp;固定信息!$B$7,"")</f>
        <v/>
      </c>
      <c r="U257" s="18" t="str">
        <f>IF($C257="","",IF(AND(R257="",S257="",T257=""),"",固定信息!$B$1))</f>
        <v/>
      </c>
      <c r="V257" s="18" t="str">
        <f t="array" ref="V257">IF(C257="","","【服务】"&amp;IF(_xlfn.XLOOKUP(A257&amp;B257&amp;C257,盘货信息!$A:$A&amp;盘货信息!$B:$B&amp;盘货信息!$C:$C,盘货信息!$V:$V)="","",_xlfn.XLOOKUP(A257&amp;B257&amp;C257,盘货信息!$A:$A&amp;盘货信息!$B:$B&amp;盘货信息!$C:$C,盘货信息!$V:$V)&amp;"免息,")&amp;IF(_xlfn.XLOOKUP(A257&amp;B257&amp;C257,盘货信息!$A:$A&amp;盘货信息!$B:$B&amp;盘货信息!$C:$C,盘货信息!$W:$W)="","",_xlfn.XLOOKUP(A257&amp;B257&amp;C257,盘货信息!$A:$A&amp;盘货信息!$B:$B&amp;盘货信息!$C:$C,盘货信息!$W:$W)&amp;"，")&amp;"送货入户，退换免运费")</f>
        <v/>
      </c>
    </row>
    <row r="258" customHeight="1" spans="1:22">
      <c r="A258" s="17" t="str">
        <f>IF(盘货信息!A258="","",盘货信息!A258)</f>
        <v/>
      </c>
      <c r="B258" s="20" t="str">
        <f>IF(盘货信息!B258="","",盘货信息!B258)</f>
        <v/>
      </c>
      <c r="C258" s="18" t="str">
        <f>IF(盘货信息!C258="","",盘货信息!C258)</f>
        <v/>
      </c>
      <c r="D258" s="18" t="str">
        <f ca="1" t="shared" ref="D258:D321" si="4">_xlfn.TEXTJOIN(CHAR(10),TRUE,OFFSET(INDIRECT("RC",FALSE),0,1,1,30))</f>
        <v/>
      </c>
      <c r="E258" s="18" t="str">
        <f>IF(C258="","",固定信息!$B$2)</f>
        <v/>
      </c>
      <c r="F258" s="18" t="str">
        <f t="array" ref="F258">IF(C258="","","【"&amp;C258&amp;"】"&amp;_xlfn.XLOOKUP(A258&amp;B258&amp;C258,盘货信息!$A:$A&amp;盘货信息!$B:$B&amp;盘货信息!$C:$C,盘货信息!$D:$D))</f>
        <v/>
      </c>
      <c r="G258" s="18" t="str">
        <f>IF(C258="","","【"&amp;"活动时间："&amp;固定信息!$B$3&amp;"】")</f>
        <v/>
      </c>
      <c r="H258" s="18" t="str">
        <f>IF($C258="","",固定信息!$B$1)</f>
        <v/>
      </c>
      <c r="I258" s="18"/>
      <c r="J258" s="18" t="str">
        <f t="array" ref="J258">_xlfn.XLOOKUP(A258&amp;B258&amp;C258,价格信息!$A:$A&amp;价格信息!$B:$B&amp;价格信息!$C:$C,价格信息!$D:$D)</f>
        <v/>
      </c>
      <c r="K258" s="31" t="str">
        <f t="array" ref="K258">IF(_xlfn.XLOOKUP(A258&amp;B258&amp;C258,价格信息!$A:$A&amp;价格信息!$B:$B&amp;价格信息!$C:$C,价格信息!$I:$I)="","","【优惠券链接】"&amp;固定信息!$B$6)</f>
        <v/>
      </c>
      <c r="L258" s="31" t="str">
        <f>IF($C258="","",固定信息!$B$1)</f>
        <v/>
      </c>
      <c r="M258" s="18" t="str">
        <f t="array" ref="M258">IF(_xlfn.XLOOKUP(A258&amp;B258&amp;C258,盘货信息!$A:$A&amp;盘货信息!$B:$B&amp;盘货信息!$C:$C,盘货信息!$O:$O)="","","【优惠券】领"&amp;INDEX(_wpsfn.REGEXP(_xlfn.XLOOKUP(A258&amp;B258&amp;C258,盘货信息!$A:$A&amp;盘货信息!$B:$B&amp;盘货信息!$C:$C,盘货信息!$O:$O),"\d+"),1,1)&amp;"元优惠券下单更优惠，优惠卷："&amp;_xlfn.XLOOKUP(A258&amp;B258&amp;C258,盘货信息!$A:$A&amp;盘货信息!$B:$B&amp;盘货信息!$C:$C,盘货信息!$P:$P))</f>
        <v/>
      </c>
      <c r="N258" s="18" t="str">
        <f t="array" ref="N258">IF(AND(ISNUMBER(_xlfn.XLOOKUP(A258&amp;B258&amp;C258,盘货信息!$A:$A&amp;盘货信息!$B:$B&amp;盘货信息!$C:$C,盘货信息!$I:$I)),_xlfn.XLOOKUP(A258&amp;B258&amp;C258,盘货信息!$A:$A&amp;盘货信息!$B:$B&amp;盘货信息!$C:$C,盘货信息!$I:$I)&gt;1),"【88VIP】立减"&amp;_xlfn.XLOOKUP(A258&amp;B258&amp;C258,盘货信息!$A:$A&amp;盘货信息!$B:$B&amp;盘货信息!$C:$C,盘货信息!$I:$I)&amp;"元","")</f>
        <v/>
      </c>
      <c r="O258" s="18" t="str">
        <f t="array" ref="O258">IF(_xlfn.XLOOKUP(A258&amp;B258&amp;C258,盘货信息!$A:$A&amp;盘货信息!$B:$B&amp;盘货信息!$C:$C,盘货信息!$K:$K)="","",IF(AND(_xlfn.XLOOKUP(A258&amp;B258&amp;C258,盘货信息!$A:$A&amp;盘货信息!$B:$B&amp;盘货信息!$C:$C,盘货信息!$G:$G)="不参加",_xlfn.XLOOKUP(A258&amp;B258&amp;C258,盘货信息!$A:$A&amp;盘货信息!$B:$B&amp;盘货信息!$C:$C,盘货信息!$H:$H)=""),"【以旧换新】"&amp;_xlfn.XLOOKUP(A258&amp;B258&amp;C258,盘货信息!$A:$A&amp;盘货信息!$B:$B&amp;盘货信息!$C:$C,盘货信息!$K:$K)&amp;"元以旧换新补贴（可无旧机换新）",""))</f>
        <v/>
      </c>
      <c r="P258" s="18" t="str">
        <f t="array" ref="P258">_xlfn.XLOOKUP(A258&amp;B258&amp;C258,赠品!$A:$A&amp;赠品!$B:$B&amp;赠品!$C:$C,赠品!$D:$D)</f>
        <v/>
      </c>
      <c r="Q258" s="18" t="str">
        <f>IF($C258="","",IF(AND(M258="",N258="",P258=""),"",固定信息!$B$1))</f>
        <v/>
      </c>
      <c r="R258" s="18" t="str">
        <f t="array" ref="R258">IF(ISNUMBER(SEARCH("是",_xlfn.XLOOKUP(A258&amp;B258&amp;C258,盘货信息!$A:$A&amp;盘货信息!$B:$B&amp;盘货信息!$C:$C,盘货信息!$U:$U))),"【折扣】指定型号满2类享96折，满3类享94折","")</f>
        <v/>
      </c>
      <c r="S258" s="18" t="str">
        <f t="array" ref="S258">IF(_xlfn.XLOOKUP(A258&amp;B258&amp;C258,盘货信息!$A:$A&amp;盘货信息!$B:$B&amp;盘货信息!$C:$C,盘货信息!$Q:$Q)&lt;1,"","【红包】活动时间购机送"&amp;_xlfn.TEXTJOIN("",,IF(ISNUMBER(--MID(_xlfn.XLOOKUP(A258&amp;B258&amp;C258,盘货信息!$A:$A&amp;盘货信息!$B:$B&amp;盘货信息!$C:$C,盘货信息!$Q:$Q),_xlfn.SEQUENCE(LEN(_xlfn.XLOOKUP(A258&amp;B258&amp;C258,盘货信息!$A:$A&amp;盘货信息!$B:$B&amp;盘货信息!$C:$C,盘货信息!$Q:$Q))),1)),MID(_xlfn.XLOOKUP(A258&amp;B258&amp;C258,盘货信息!$A:$A&amp;盘货信息!$B:$B&amp;盘货信息!$C:$C,盘货信息!$Q:$Q),_xlfn.SEQUENCE(LEN(_xlfn.XLOOKUP(A258&amp;B258&amp;C258,盘货信息!$A:$A&amp;盘货信息!$B:$B&amp;盘货信息!$C:$C,盘货信息!$Q:$Q))),1),""))&amp;"元")</f>
        <v/>
      </c>
      <c r="T258" s="18" t="str">
        <f t="array" ref="T258">IF(ISNUMBER(SEARCH("是",_xlfn.XLOOKUP(A258&amp;B258&amp;C258,盘货信息!$A:$A&amp;盘货信息!$B:$B&amp;盘货信息!$C:$C,盘货信息!$T:$T))),"【瓜分】"&amp;固定信息!$B$7,"")</f>
        <v/>
      </c>
      <c r="U258" s="18" t="str">
        <f>IF($C258="","",IF(AND(R258="",S258="",T258=""),"",固定信息!$B$1))</f>
        <v/>
      </c>
      <c r="V258" s="18" t="str">
        <f t="array" ref="V258">IF(C258="","","【服务】"&amp;IF(_xlfn.XLOOKUP(A258&amp;B258&amp;C258,盘货信息!$A:$A&amp;盘货信息!$B:$B&amp;盘货信息!$C:$C,盘货信息!$V:$V)="","",_xlfn.XLOOKUP(A258&amp;B258&amp;C258,盘货信息!$A:$A&amp;盘货信息!$B:$B&amp;盘货信息!$C:$C,盘货信息!$V:$V)&amp;"免息,")&amp;IF(_xlfn.XLOOKUP(A258&amp;B258&amp;C258,盘货信息!$A:$A&amp;盘货信息!$B:$B&amp;盘货信息!$C:$C,盘货信息!$W:$W)="","",_xlfn.XLOOKUP(A258&amp;B258&amp;C258,盘货信息!$A:$A&amp;盘货信息!$B:$B&amp;盘货信息!$C:$C,盘货信息!$W:$W)&amp;"，")&amp;"送货入户，退换免运费")</f>
        <v/>
      </c>
    </row>
    <row r="259" customHeight="1" spans="1:22">
      <c r="A259" s="17" t="str">
        <f>IF(盘货信息!A259="","",盘货信息!A259)</f>
        <v/>
      </c>
      <c r="B259" s="20" t="str">
        <f>IF(盘货信息!B259="","",盘货信息!B259)</f>
        <v/>
      </c>
      <c r="C259" s="18" t="str">
        <f>IF(盘货信息!C259="","",盘货信息!C259)</f>
        <v/>
      </c>
      <c r="D259" s="18" t="str">
        <f ca="1" t="shared" si="4"/>
        <v/>
      </c>
      <c r="E259" s="18" t="str">
        <f>IF(C259="","",固定信息!$B$2)</f>
        <v/>
      </c>
      <c r="F259" s="18" t="str">
        <f t="array" ref="F259">IF(C259="","","【"&amp;C259&amp;"】"&amp;_xlfn.XLOOKUP(A259&amp;B259&amp;C259,盘货信息!$A:$A&amp;盘货信息!$B:$B&amp;盘货信息!$C:$C,盘货信息!$D:$D))</f>
        <v/>
      </c>
      <c r="G259" s="18" t="str">
        <f>IF(C259="","","【"&amp;"活动时间："&amp;固定信息!$B$3&amp;"】")</f>
        <v/>
      </c>
      <c r="H259" s="18" t="str">
        <f>IF($C259="","",固定信息!$B$1)</f>
        <v/>
      </c>
      <c r="I259" s="18"/>
      <c r="J259" s="18" t="str">
        <f t="array" ref="J259">_xlfn.XLOOKUP(A259&amp;B259&amp;C259,价格信息!$A:$A&amp;价格信息!$B:$B&amp;价格信息!$C:$C,价格信息!$D:$D)</f>
        <v/>
      </c>
      <c r="K259" s="31" t="str">
        <f t="array" ref="K259">IF(_xlfn.XLOOKUP(A259&amp;B259&amp;C259,价格信息!$A:$A&amp;价格信息!$B:$B&amp;价格信息!$C:$C,价格信息!$I:$I)="","","【优惠券链接】"&amp;固定信息!$B$6)</f>
        <v/>
      </c>
      <c r="L259" s="31" t="str">
        <f>IF($C259="","",固定信息!$B$1)</f>
        <v/>
      </c>
      <c r="M259" s="18" t="str">
        <f t="array" ref="M259">IF(_xlfn.XLOOKUP(A259&amp;B259&amp;C259,盘货信息!$A:$A&amp;盘货信息!$B:$B&amp;盘货信息!$C:$C,盘货信息!$O:$O)="","","【优惠券】领"&amp;INDEX(_wpsfn.REGEXP(_xlfn.XLOOKUP(A259&amp;B259&amp;C259,盘货信息!$A:$A&amp;盘货信息!$B:$B&amp;盘货信息!$C:$C,盘货信息!$O:$O),"\d+"),1,1)&amp;"元优惠券下单更优惠，优惠卷："&amp;_xlfn.XLOOKUP(A259&amp;B259&amp;C259,盘货信息!$A:$A&amp;盘货信息!$B:$B&amp;盘货信息!$C:$C,盘货信息!$P:$P))</f>
        <v/>
      </c>
      <c r="N259" s="18" t="str">
        <f t="array" ref="N259">IF(AND(ISNUMBER(_xlfn.XLOOKUP(A259&amp;B259&amp;C259,盘货信息!$A:$A&amp;盘货信息!$B:$B&amp;盘货信息!$C:$C,盘货信息!$I:$I)),_xlfn.XLOOKUP(A259&amp;B259&amp;C259,盘货信息!$A:$A&amp;盘货信息!$B:$B&amp;盘货信息!$C:$C,盘货信息!$I:$I)&gt;1),"【88VIP】立减"&amp;_xlfn.XLOOKUP(A259&amp;B259&amp;C259,盘货信息!$A:$A&amp;盘货信息!$B:$B&amp;盘货信息!$C:$C,盘货信息!$I:$I)&amp;"元","")</f>
        <v/>
      </c>
      <c r="O259" s="18" t="str">
        <f t="array" ref="O259">IF(_xlfn.XLOOKUP(A259&amp;B259&amp;C259,盘货信息!$A:$A&amp;盘货信息!$B:$B&amp;盘货信息!$C:$C,盘货信息!$K:$K)="","",IF(AND(_xlfn.XLOOKUP(A259&amp;B259&amp;C259,盘货信息!$A:$A&amp;盘货信息!$B:$B&amp;盘货信息!$C:$C,盘货信息!$G:$G)="不参加",_xlfn.XLOOKUP(A259&amp;B259&amp;C259,盘货信息!$A:$A&amp;盘货信息!$B:$B&amp;盘货信息!$C:$C,盘货信息!$H:$H)=""),"【以旧换新】"&amp;_xlfn.XLOOKUP(A259&amp;B259&amp;C259,盘货信息!$A:$A&amp;盘货信息!$B:$B&amp;盘货信息!$C:$C,盘货信息!$K:$K)&amp;"元以旧换新补贴（可无旧机换新）",""))</f>
        <v/>
      </c>
      <c r="P259" s="18" t="str">
        <f t="array" ref="P259">_xlfn.XLOOKUP(A259&amp;B259&amp;C259,赠品!$A:$A&amp;赠品!$B:$B&amp;赠品!$C:$C,赠品!$D:$D)</f>
        <v/>
      </c>
      <c r="Q259" s="18" t="str">
        <f>IF($C259="","",IF(AND(M259="",N259="",P259=""),"",固定信息!$B$1))</f>
        <v/>
      </c>
      <c r="R259" s="18" t="str">
        <f t="array" ref="R259">IF(ISNUMBER(SEARCH("是",_xlfn.XLOOKUP(A259&amp;B259&amp;C259,盘货信息!$A:$A&amp;盘货信息!$B:$B&amp;盘货信息!$C:$C,盘货信息!$U:$U))),"【折扣】指定型号满2类享96折，满3类享94折","")</f>
        <v/>
      </c>
      <c r="S259" s="18" t="str">
        <f t="array" ref="S259">IF(_xlfn.XLOOKUP(A259&amp;B259&amp;C259,盘货信息!$A:$A&amp;盘货信息!$B:$B&amp;盘货信息!$C:$C,盘货信息!$Q:$Q)&lt;1,"","【红包】活动时间购机送"&amp;_xlfn.TEXTJOIN("",,IF(ISNUMBER(--MID(_xlfn.XLOOKUP(A259&amp;B259&amp;C259,盘货信息!$A:$A&amp;盘货信息!$B:$B&amp;盘货信息!$C:$C,盘货信息!$Q:$Q),_xlfn.SEQUENCE(LEN(_xlfn.XLOOKUP(A259&amp;B259&amp;C259,盘货信息!$A:$A&amp;盘货信息!$B:$B&amp;盘货信息!$C:$C,盘货信息!$Q:$Q))),1)),MID(_xlfn.XLOOKUP(A259&amp;B259&amp;C259,盘货信息!$A:$A&amp;盘货信息!$B:$B&amp;盘货信息!$C:$C,盘货信息!$Q:$Q),_xlfn.SEQUENCE(LEN(_xlfn.XLOOKUP(A259&amp;B259&amp;C259,盘货信息!$A:$A&amp;盘货信息!$B:$B&amp;盘货信息!$C:$C,盘货信息!$Q:$Q))),1),""))&amp;"元")</f>
        <v/>
      </c>
      <c r="T259" s="18" t="str">
        <f t="array" ref="T259">IF(ISNUMBER(SEARCH("是",_xlfn.XLOOKUP(A259&amp;B259&amp;C259,盘货信息!$A:$A&amp;盘货信息!$B:$B&amp;盘货信息!$C:$C,盘货信息!$T:$T))),"【瓜分】"&amp;固定信息!$B$7,"")</f>
        <v/>
      </c>
      <c r="U259" s="18" t="str">
        <f>IF($C259="","",IF(AND(R259="",S259="",T259=""),"",固定信息!$B$1))</f>
        <v/>
      </c>
      <c r="V259" s="18" t="str">
        <f t="array" ref="V259">IF(C259="","","【服务】"&amp;IF(_xlfn.XLOOKUP(A259&amp;B259&amp;C259,盘货信息!$A:$A&amp;盘货信息!$B:$B&amp;盘货信息!$C:$C,盘货信息!$V:$V)="","",_xlfn.XLOOKUP(A259&amp;B259&amp;C259,盘货信息!$A:$A&amp;盘货信息!$B:$B&amp;盘货信息!$C:$C,盘货信息!$V:$V)&amp;"免息,")&amp;IF(_xlfn.XLOOKUP(A259&amp;B259&amp;C259,盘货信息!$A:$A&amp;盘货信息!$B:$B&amp;盘货信息!$C:$C,盘货信息!$W:$W)="","",_xlfn.XLOOKUP(A259&amp;B259&amp;C259,盘货信息!$A:$A&amp;盘货信息!$B:$B&amp;盘货信息!$C:$C,盘货信息!$W:$W)&amp;"，")&amp;"送货入户，退换免运费")</f>
        <v/>
      </c>
    </row>
    <row r="260" customHeight="1" spans="1:22">
      <c r="A260" s="17" t="str">
        <f>IF(盘货信息!A260="","",盘货信息!A260)</f>
        <v/>
      </c>
      <c r="B260" s="20" t="str">
        <f>IF(盘货信息!B260="","",盘货信息!B260)</f>
        <v/>
      </c>
      <c r="C260" s="18" t="str">
        <f>IF(盘货信息!C260="","",盘货信息!C260)</f>
        <v/>
      </c>
      <c r="D260" s="18" t="str">
        <f ca="1" t="shared" si="4"/>
        <v/>
      </c>
      <c r="E260" s="18" t="str">
        <f>IF(C260="","",固定信息!$B$2)</f>
        <v/>
      </c>
      <c r="F260" s="18" t="str">
        <f t="array" ref="F260">IF(C260="","","【"&amp;C260&amp;"】"&amp;_xlfn.XLOOKUP(A260&amp;B260&amp;C260,盘货信息!$A:$A&amp;盘货信息!$B:$B&amp;盘货信息!$C:$C,盘货信息!$D:$D))</f>
        <v/>
      </c>
      <c r="G260" s="18" t="str">
        <f>IF(C260="","","【"&amp;"活动时间："&amp;固定信息!$B$3&amp;"】")</f>
        <v/>
      </c>
      <c r="H260" s="18" t="str">
        <f>IF($C260="","",固定信息!$B$1)</f>
        <v/>
      </c>
      <c r="I260" s="18"/>
      <c r="J260" s="18" t="str">
        <f t="array" ref="J260">_xlfn.XLOOKUP(A260&amp;B260&amp;C260,价格信息!$A:$A&amp;价格信息!$B:$B&amp;价格信息!$C:$C,价格信息!$D:$D)</f>
        <v/>
      </c>
      <c r="K260" s="31" t="str">
        <f t="array" ref="K260">IF(_xlfn.XLOOKUP(A260&amp;B260&amp;C260,价格信息!$A:$A&amp;价格信息!$B:$B&amp;价格信息!$C:$C,价格信息!$I:$I)="","","【优惠券链接】"&amp;固定信息!$B$6)</f>
        <v/>
      </c>
      <c r="L260" s="31" t="str">
        <f>IF($C260="","",固定信息!$B$1)</f>
        <v/>
      </c>
      <c r="M260" s="18" t="str">
        <f t="array" ref="M260">IF(_xlfn.XLOOKUP(A260&amp;B260&amp;C260,盘货信息!$A:$A&amp;盘货信息!$B:$B&amp;盘货信息!$C:$C,盘货信息!$O:$O)="","","【优惠券】领"&amp;INDEX(_wpsfn.REGEXP(_xlfn.XLOOKUP(A260&amp;B260&amp;C260,盘货信息!$A:$A&amp;盘货信息!$B:$B&amp;盘货信息!$C:$C,盘货信息!$O:$O),"\d+"),1,1)&amp;"元优惠券下单更优惠，优惠卷："&amp;_xlfn.XLOOKUP(A260&amp;B260&amp;C260,盘货信息!$A:$A&amp;盘货信息!$B:$B&amp;盘货信息!$C:$C,盘货信息!$P:$P))</f>
        <v/>
      </c>
      <c r="N260" s="18" t="str">
        <f t="array" ref="N260">IF(AND(ISNUMBER(_xlfn.XLOOKUP(A260&amp;B260&amp;C260,盘货信息!$A:$A&amp;盘货信息!$B:$B&amp;盘货信息!$C:$C,盘货信息!$I:$I)),_xlfn.XLOOKUP(A260&amp;B260&amp;C260,盘货信息!$A:$A&amp;盘货信息!$B:$B&amp;盘货信息!$C:$C,盘货信息!$I:$I)&gt;1),"【88VIP】立减"&amp;_xlfn.XLOOKUP(A260&amp;B260&amp;C260,盘货信息!$A:$A&amp;盘货信息!$B:$B&amp;盘货信息!$C:$C,盘货信息!$I:$I)&amp;"元","")</f>
        <v/>
      </c>
      <c r="O260" s="18" t="str">
        <f t="array" ref="O260">IF(_xlfn.XLOOKUP(A260&amp;B260&amp;C260,盘货信息!$A:$A&amp;盘货信息!$B:$B&amp;盘货信息!$C:$C,盘货信息!$K:$K)="","",IF(AND(_xlfn.XLOOKUP(A260&amp;B260&amp;C260,盘货信息!$A:$A&amp;盘货信息!$B:$B&amp;盘货信息!$C:$C,盘货信息!$G:$G)="不参加",_xlfn.XLOOKUP(A260&amp;B260&amp;C260,盘货信息!$A:$A&amp;盘货信息!$B:$B&amp;盘货信息!$C:$C,盘货信息!$H:$H)=""),"【以旧换新】"&amp;_xlfn.XLOOKUP(A260&amp;B260&amp;C260,盘货信息!$A:$A&amp;盘货信息!$B:$B&amp;盘货信息!$C:$C,盘货信息!$K:$K)&amp;"元以旧换新补贴（可无旧机换新）",""))</f>
        <v/>
      </c>
      <c r="P260" s="18" t="str">
        <f t="array" ref="P260">_xlfn.XLOOKUP(A260&amp;B260&amp;C260,赠品!$A:$A&amp;赠品!$B:$B&amp;赠品!$C:$C,赠品!$D:$D)</f>
        <v/>
      </c>
      <c r="Q260" s="18" t="str">
        <f>IF($C260="","",IF(AND(M260="",N260="",P260=""),"",固定信息!$B$1))</f>
        <v/>
      </c>
      <c r="R260" s="18" t="str">
        <f t="array" ref="R260">IF(ISNUMBER(SEARCH("是",_xlfn.XLOOKUP(A260&amp;B260&amp;C260,盘货信息!$A:$A&amp;盘货信息!$B:$B&amp;盘货信息!$C:$C,盘货信息!$U:$U))),"【折扣】指定型号满2类享96折，满3类享94折","")</f>
        <v/>
      </c>
      <c r="S260" s="18" t="str">
        <f t="array" ref="S260">IF(_xlfn.XLOOKUP(A260&amp;B260&amp;C260,盘货信息!$A:$A&amp;盘货信息!$B:$B&amp;盘货信息!$C:$C,盘货信息!$Q:$Q)&lt;1,"","【红包】活动时间购机送"&amp;_xlfn.TEXTJOIN("",,IF(ISNUMBER(--MID(_xlfn.XLOOKUP(A260&amp;B260&amp;C260,盘货信息!$A:$A&amp;盘货信息!$B:$B&amp;盘货信息!$C:$C,盘货信息!$Q:$Q),_xlfn.SEQUENCE(LEN(_xlfn.XLOOKUP(A260&amp;B260&amp;C260,盘货信息!$A:$A&amp;盘货信息!$B:$B&amp;盘货信息!$C:$C,盘货信息!$Q:$Q))),1)),MID(_xlfn.XLOOKUP(A260&amp;B260&amp;C260,盘货信息!$A:$A&amp;盘货信息!$B:$B&amp;盘货信息!$C:$C,盘货信息!$Q:$Q),_xlfn.SEQUENCE(LEN(_xlfn.XLOOKUP(A260&amp;B260&amp;C260,盘货信息!$A:$A&amp;盘货信息!$B:$B&amp;盘货信息!$C:$C,盘货信息!$Q:$Q))),1),""))&amp;"元")</f>
        <v/>
      </c>
      <c r="T260" s="18" t="str">
        <f t="array" ref="T260">IF(ISNUMBER(SEARCH("是",_xlfn.XLOOKUP(A260&amp;B260&amp;C260,盘货信息!$A:$A&amp;盘货信息!$B:$B&amp;盘货信息!$C:$C,盘货信息!$T:$T))),"【瓜分】"&amp;固定信息!$B$7,"")</f>
        <v/>
      </c>
      <c r="U260" s="18" t="str">
        <f>IF($C260="","",IF(AND(R260="",S260="",T260=""),"",固定信息!$B$1))</f>
        <v/>
      </c>
      <c r="V260" s="18" t="str">
        <f t="array" ref="V260">IF(C260="","","【服务】"&amp;IF(_xlfn.XLOOKUP(A260&amp;B260&amp;C260,盘货信息!$A:$A&amp;盘货信息!$B:$B&amp;盘货信息!$C:$C,盘货信息!$V:$V)="","",_xlfn.XLOOKUP(A260&amp;B260&amp;C260,盘货信息!$A:$A&amp;盘货信息!$B:$B&amp;盘货信息!$C:$C,盘货信息!$V:$V)&amp;"免息,")&amp;IF(_xlfn.XLOOKUP(A260&amp;B260&amp;C260,盘货信息!$A:$A&amp;盘货信息!$B:$B&amp;盘货信息!$C:$C,盘货信息!$W:$W)="","",_xlfn.XLOOKUP(A260&amp;B260&amp;C260,盘货信息!$A:$A&amp;盘货信息!$B:$B&amp;盘货信息!$C:$C,盘货信息!$W:$W)&amp;"，")&amp;"送货入户，退换免运费")</f>
        <v/>
      </c>
    </row>
    <row r="261" customHeight="1" spans="1:22">
      <c r="A261" s="17" t="str">
        <f>IF(盘货信息!A261="","",盘货信息!A261)</f>
        <v/>
      </c>
      <c r="B261" s="20" t="str">
        <f>IF(盘货信息!B261="","",盘货信息!B261)</f>
        <v/>
      </c>
      <c r="C261" s="18" t="str">
        <f>IF(盘货信息!C261="","",盘货信息!C261)</f>
        <v/>
      </c>
      <c r="D261" s="18" t="str">
        <f ca="1" t="shared" si="4"/>
        <v/>
      </c>
      <c r="E261" s="18" t="str">
        <f>IF(C261="","",固定信息!$B$2)</f>
        <v/>
      </c>
      <c r="F261" s="18" t="str">
        <f t="array" ref="F261">IF(C261="","","【"&amp;C261&amp;"】"&amp;_xlfn.XLOOKUP(A261&amp;B261&amp;C261,盘货信息!$A:$A&amp;盘货信息!$B:$B&amp;盘货信息!$C:$C,盘货信息!$D:$D))</f>
        <v/>
      </c>
      <c r="G261" s="18" t="str">
        <f>IF(C261="","","【"&amp;"活动时间："&amp;固定信息!$B$3&amp;"】")</f>
        <v/>
      </c>
      <c r="H261" s="18" t="str">
        <f>IF($C261="","",固定信息!$B$1)</f>
        <v/>
      </c>
      <c r="I261" s="18"/>
      <c r="J261" s="18" t="str">
        <f t="array" ref="J261">_xlfn.XLOOKUP(A261&amp;B261&amp;C261,价格信息!$A:$A&amp;价格信息!$B:$B&amp;价格信息!$C:$C,价格信息!$D:$D)</f>
        <v/>
      </c>
      <c r="K261" s="31" t="str">
        <f t="array" ref="K261">IF(_xlfn.XLOOKUP(A261&amp;B261&amp;C261,价格信息!$A:$A&amp;价格信息!$B:$B&amp;价格信息!$C:$C,价格信息!$I:$I)="","","【优惠券链接】"&amp;固定信息!$B$6)</f>
        <v/>
      </c>
      <c r="L261" s="31" t="str">
        <f>IF($C261="","",固定信息!$B$1)</f>
        <v/>
      </c>
      <c r="M261" s="18" t="str">
        <f t="array" ref="M261">IF(_xlfn.XLOOKUP(A261&amp;B261&amp;C261,盘货信息!$A:$A&amp;盘货信息!$B:$B&amp;盘货信息!$C:$C,盘货信息!$O:$O)="","","【优惠券】领"&amp;INDEX(_wpsfn.REGEXP(_xlfn.XLOOKUP(A261&amp;B261&amp;C261,盘货信息!$A:$A&amp;盘货信息!$B:$B&amp;盘货信息!$C:$C,盘货信息!$O:$O),"\d+"),1,1)&amp;"元优惠券下单更优惠，优惠卷："&amp;_xlfn.XLOOKUP(A261&amp;B261&amp;C261,盘货信息!$A:$A&amp;盘货信息!$B:$B&amp;盘货信息!$C:$C,盘货信息!$P:$P))</f>
        <v/>
      </c>
      <c r="N261" s="18" t="str">
        <f t="array" ref="N261">IF(AND(ISNUMBER(_xlfn.XLOOKUP(A261&amp;B261&amp;C261,盘货信息!$A:$A&amp;盘货信息!$B:$B&amp;盘货信息!$C:$C,盘货信息!$I:$I)),_xlfn.XLOOKUP(A261&amp;B261&amp;C261,盘货信息!$A:$A&amp;盘货信息!$B:$B&amp;盘货信息!$C:$C,盘货信息!$I:$I)&gt;1),"【88VIP】立减"&amp;_xlfn.XLOOKUP(A261&amp;B261&amp;C261,盘货信息!$A:$A&amp;盘货信息!$B:$B&amp;盘货信息!$C:$C,盘货信息!$I:$I)&amp;"元","")</f>
        <v/>
      </c>
      <c r="O261" s="18" t="str">
        <f t="array" ref="O261">IF(_xlfn.XLOOKUP(A261&amp;B261&amp;C261,盘货信息!$A:$A&amp;盘货信息!$B:$B&amp;盘货信息!$C:$C,盘货信息!$K:$K)="","",IF(AND(_xlfn.XLOOKUP(A261&amp;B261&amp;C261,盘货信息!$A:$A&amp;盘货信息!$B:$B&amp;盘货信息!$C:$C,盘货信息!$G:$G)="不参加",_xlfn.XLOOKUP(A261&amp;B261&amp;C261,盘货信息!$A:$A&amp;盘货信息!$B:$B&amp;盘货信息!$C:$C,盘货信息!$H:$H)=""),"【以旧换新】"&amp;_xlfn.XLOOKUP(A261&amp;B261&amp;C261,盘货信息!$A:$A&amp;盘货信息!$B:$B&amp;盘货信息!$C:$C,盘货信息!$K:$K)&amp;"元以旧换新补贴（可无旧机换新）",""))</f>
        <v/>
      </c>
      <c r="P261" s="18" t="str">
        <f t="array" ref="P261">_xlfn.XLOOKUP(A261&amp;B261&amp;C261,赠品!$A:$A&amp;赠品!$B:$B&amp;赠品!$C:$C,赠品!$D:$D)</f>
        <v/>
      </c>
      <c r="Q261" s="18" t="str">
        <f>IF($C261="","",IF(AND(M261="",N261="",P261=""),"",固定信息!$B$1))</f>
        <v/>
      </c>
      <c r="R261" s="18" t="str">
        <f t="array" ref="R261">IF(ISNUMBER(SEARCH("是",_xlfn.XLOOKUP(A261&amp;B261&amp;C261,盘货信息!$A:$A&amp;盘货信息!$B:$B&amp;盘货信息!$C:$C,盘货信息!$U:$U))),"【折扣】指定型号满2类享96折，满3类享94折","")</f>
        <v/>
      </c>
      <c r="S261" s="18" t="str">
        <f t="array" ref="S261">IF(_xlfn.XLOOKUP(A261&amp;B261&amp;C261,盘货信息!$A:$A&amp;盘货信息!$B:$B&amp;盘货信息!$C:$C,盘货信息!$Q:$Q)&lt;1,"","【红包】活动时间购机送"&amp;_xlfn.TEXTJOIN("",,IF(ISNUMBER(--MID(_xlfn.XLOOKUP(A261&amp;B261&amp;C261,盘货信息!$A:$A&amp;盘货信息!$B:$B&amp;盘货信息!$C:$C,盘货信息!$Q:$Q),_xlfn.SEQUENCE(LEN(_xlfn.XLOOKUP(A261&amp;B261&amp;C261,盘货信息!$A:$A&amp;盘货信息!$B:$B&amp;盘货信息!$C:$C,盘货信息!$Q:$Q))),1)),MID(_xlfn.XLOOKUP(A261&amp;B261&amp;C261,盘货信息!$A:$A&amp;盘货信息!$B:$B&amp;盘货信息!$C:$C,盘货信息!$Q:$Q),_xlfn.SEQUENCE(LEN(_xlfn.XLOOKUP(A261&amp;B261&amp;C261,盘货信息!$A:$A&amp;盘货信息!$B:$B&amp;盘货信息!$C:$C,盘货信息!$Q:$Q))),1),""))&amp;"元")</f>
        <v/>
      </c>
      <c r="T261" s="18" t="str">
        <f t="array" ref="T261">IF(ISNUMBER(SEARCH("是",_xlfn.XLOOKUP(A261&amp;B261&amp;C261,盘货信息!$A:$A&amp;盘货信息!$B:$B&amp;盘货信息!$C:$C,盘货信息!$T:$T))),"【瓜分】"&amp;固定信息!$B$7,"")</f>
        <v/>
      </c>
      <c r="U261" s="18" t="str">
        <f>IF($C261="","",IF(AND(R261="",S261="",T261=""),"",固定信息!$B$1))</f>
        <v/>
      </c>
      <c r="V261" s="18" t="str">
        <f t="array" ref="V261">IF(C261="","","【服务】"&amp;IF(_xlfn.XLOOKUP(A261&amp;B261&amp;C261,盘货信息!$A:$A&amp;盘货信息!$B:$B&amp;盘货信息!$C:$C,盘货信息!$V:$V)="","",_xlfn.XLOOKUP(A261&amp;B261&amp;C261,盘货信息!$A:$A&amp;盘货信息!$B:$B&amp;盘货信息!$C:$C,盘货信息!$V:$V)&amp;"免息,")&amp;IF(_xlfn.XLOOKUP(A261&amp;B261&amp;C261,盘货信息!$A:$A&amp;盘货信息!$B:$B&amp;盘货信息!$C:$C,盘货信息!$W:$W)="","",_xlfn.XLOOKUP(A261&amp;B261&amp;C261,盘货信息!$A:$A&amp;盘货信息!$B:$B&amp;盘货信息!$C:$C,盘货信息!$W:$W)&amp;"，")&amp;"送货入户，退换免运费")</f>
        <v/>
      </c>
    </row>
    <row r="262" customHeight="1" spans="1:22">
      <c r="A262" s="17" t="str">
        <f>IF(盘货信息!A262="","",盘货信息!A262)</f>
        <v/>
      </c>
      <c r="B262" s="20" t="str">
        <f>IF(盘货信息!B262="","",盘货信息!B262)</f>
        <v/>
      </c>
      <c r="C262" s="18" t="str">
        <f>IF(盘货信息!C262="","",盘货信息!C262)</f>
        <v/>
      </c>
      <c r="D262" s="18" t="str">
        <f ca="1" t="shared" si="4"/>
        <v/>
      </c>
      <c r="E262" s="18" t="str">
        <f>IF(C262="","",固定信息!$B$2)</f>
        <v/>
      </c>
      <c r="F262" s="18" t="str">
        <f t="array" ref="F262">IF(C262="","","【"&amp;C262&amp;"】"&amp;_xlfn.XLOOKUP(A262&amp;B262&amp;C262,盘货信息!$A:$A&amp;盘货信息!$B:$B&amp;盘货信息!$C:$C,盘货信息!$D:$D))</f>
        <v/>
      </c>
      <c r="G262" s="18" t="str">
        <f>IF(C262="","","【"&amp;"活动时间："&amp;固定信息!$B$3&amp;"】")</f>
        <v/>
      </c>
      <c r="H262" s="18" t="str">
        <f>IF($C262="","",固定信息!$B$1)</f>
        <v/>
      </c>
      <c r="I262" s="18"/>
      <c r="J262" s="18" t="str">
        <f t="array" ref="J262">_xlfn.XLOOKUP(A262&amp;B262&amp;C262,价格信息!$A:$A&amp;价格信息!$B:$B&amp;价格信息!$C:$C,价格信息!$D:$D)</f>
        <v/>
      </c>
      <c r="K262" s="31" t="str">
        <f t="array" ref="K262">IF(_xlfn.XLOOKUP(A262&amp;B262&amp;C262,价格信息!$A:$A&amp;价格信息!$B:$B&amp;价格信息!$C:$C,价格信息!$I:$I)="","","【优惠券链接】"&amp;固定信息!$B$6)</f>
        <v/>
      </c>
      <c r="L262" s="31" t="str">
        <f>IF($C262="","",固定信息!$B$1)</f>
        <v/>
      </c>
      <c r="M262" s="18" t="str">
        <f t="array" ref="M262">IF(_xlfn.XLOOKUP(A262&amp;B262&amp;C262,盘货信息!$A:$A&amp;盘货信息!$B:$B&amp;盘货信息!$C:$C,盘货信息!$O:$O)="","","【优惠券】领"&amp;INDEX(_wpsfn.REGEXP(_xlfn.XLOOKUP(A262&amp;B262&amp;C262,盘货信息!$A:$A&amp;盘货信息!$B:$B&amp;盘货信息!$C:$C,盘货信息!$O:$O),"\d+"),1,1)&amp;"元优惠券下单更优惠，优惠卷："&amp;_xlfn.XLOOKUP(A262&amp;B262&amp;C262,盘货信息!$A:$A&amp;盘货信息!$B:$B&amp;盘货信息!$C:$C,盘货信息!$P:$P))</f>
        <v/>
      </c>
      <c r="N262" s="18" t="str">
        <f t="array" ref="N262">IF(AND(ISNUMBER(_xlfn.XLOOKUP(A262&amp;B262&amp;C262,盘货信息!$A:$A&amp;盘货信息!$B:$B&amp;盘货信息!$C:$C,盘货信息!$I:$I)),_xlfn.XLOOKUP(A262&amp;B262&amp;C262,盘货信息!$A:$A&amp;盘货信息!$B:$B&amp;盘货信息!$C:$C,盘货信息!$I:$I)&gt;1),"【88VIP】立减"&amp;_xlfn.XLOOKUP(A262&amp;B262&amp;C262,盘货信息!$A:$A&amp;盘货信息!$B:$B&amp;盘货信息!$C:$C,盘货信息!$I:$I)&amp;"元","")</f>
        <v/>
      </c>
      <c r="O262" s="18" t="str">
        <f t="array" ref="O262">IF(_xlfn.XLOOKUP(A262&amp;B262&amp;C262,盘货信息!$A:$A&amp;盘货信息!$B:$B&amp;盘货信息!$C:$C,盘货信息!$K:$K)="","",IF(AND(_xlfn.XLOOKUP(A262&amp;B262&amp;C262,盘货信息!$A:$A&amp;盘货信息!$B:$B&amp;盘货信息!$C:$C,盘货信息!$G:$G)="不参加",_xlfn.XLOOKUP(A262&amp;B262&amp;C262,盘货信息!$A:$A&amp;盘货信息!$B:$B&amp;盘货信息!$C:$C,盘货信息!$H:$H)=""),"【以旧换新】"&amp;_xlfn.XLOOKUP(A262&amp;B262&amp;C262,盘货信息!$A:$A&amp;盘货信息!$B:$B&amp;盘货信息!$C:$C,盘货信息!$K:$K)&amp;"元以旧换新补贴（可无旧机换新）",""))</f>
        <v/>
      </c>
      <c r="P262" s="18" t="str">
        <f t="array" ref="P262">_xlfn.XLOOKUP(A262&amp;B262&amp;C262,赠品!$A:$A&amp;赠品!$B:$B&amp;赠品!$C:$C,赠品!$D:$D)</f>
        <v/>
      </c>
      <c r="Q262" s="18" t="str">
        <f>IF($C262="","",IF(AND(M262="",N262="",P262=""),"",固定信息!$B$1))</f>
        <v/>
      </c>
      <c r="R262" s="18" t="str">
        <f t="array" ref="R262">IF(ISNUMBER(SEARCH("是",_xlfn.XLOOKUP(A262&amp;B262&amp;C262,盘货信息!$A:$A&amp;盘货信息!$B:$B&amp;盘货信息!$C:$C,盘货信息!$U:$U))),"【折扣】指定型号满2类享96折，满3类享94折","")</f>
        <v/>
      </c>
      <c r="S262" s="18" t="str">
        <f t="array" ref="S262">IF(_xlfn.XLOOKUP(A262&amp;B262&amp;C262,盘货信息!$A:$A&amp;盘货信息!$B:$B&amp;盘货信息!$C:$C,盘货信息!$Q:$Q)&lt;1,"","【红包】活动时间购机送"&amp;_xlfn.TEXTJOIN("",,IF(ISNUMBER(--MID(_xlfn.XLOOKUP(A262&amp;B262&amp;C262,盘货信息!$A:$A&amp;盘货信息!$B:$B&amp;盘货信息!$C:$C,盘货信息!$Q:$Q),_xlfn.SEQUENCE(LEN(_xlfn.XLOOKUP(A262&amp;B262&amp;C262,盘货信息!$A:$A&amp;盘货信息!$B:$B&amp;盘货信息!$C:$C,盘货信息!$Q:$Q))),1)),MID(_xlfn.XLOOKUP(A262&amp;B262&amp;C262,盘货信息!$A:$A&amp;盘货信息!$B:$B&amp;盘货信息!$C:$C,盘货信息!$Q:$Q),_xlfn.SEQUENCE(LEN(_xlfn.XLOOKUP(A262&amp;B262&amp;C262,盘货信息!$A:$A&amp;盘货信息!$B:$B&amp;盘货信息!$C:$C,盘货信息!$Q:$Q))),1),""))&amp;"元")</f>
        <v/>
      </c>
      <c r="T262" s="18" t="str">
        <f t="array" ref="T262">IF(ISNUMBER(SEARCH("是",_xlfn.XLOOKUP(A262&amp;B262&amp;C262,盘货信息!$A:$A&amp;盘货信息!$B:$B&amp;盘货信息!$C:$C,盘货信息!$T:$T))),"【瓜分】"&amp;固定信息!$B$7,"")</f>
        <v/>
      </c>
      <c r="U262" s="18" t="str">
        <f>IF($C262="","",IF(AND(R262="",S262="",T262=""),"",固定信息!$B$1))</f>
        <v/>
      </c>
      <c r="V262" s="18" t="str">
        <f t="array" ref="V262">IF(C262="","","【服务】"&amp;IF(_xlfn.XLOOKUP(A262&amp;B262&amp;C262,盘货信息!$A:$A&amp;盘货信息!$B:$B&amp;盘货信息!$C:$C,盘货信息!$V:$V)="","",_xlfn.XLOOKUP(A262&amp;B262&amp;C262,盘货信息!$A:$A&amp;盘货信息!$B:$B&amp;盘货信息!$C:$C,盘货信息!$V:$V)&amp;"免息,")&amp;IF(_xlfn.XLOOKUP(A262&amp;B262&amp;C262,盘货信息!$A:$A&amp;盘货信息!$B:$B&amp;盘货信息!$C:$C,盘货信息!$W:$W)="","",_xlfn.XLOOKUP(A262&amp;B262&amp;C262,盘货信息!$A:$A&amp;盘货信息!$B:$B&amp;盘货信息!$C:$C,盘货信息!$W:$W)&amp;"，")&amp;"送货入户，退换免运费")</f>
        <v/>
      </c>
    </row>
    <row r="263" customHeight="1" spans="1:22">
      <c r="A263" s="17" t="str">
        <f>IF(盘货信息!A263="","",盘货信息!A263)</f>
        <v/>
      </c>
      <c r="B263" s="20" t="str">
        <f>IF(盘货信息!B263="","",盘货信息!B263)</f>
        <v/>
      </c>
      <c r="C263" s="18" t="str">
        <f>IF(盘货信息!C263="","",盘货信息!C263)</f>
        <v/>
      </c>
      <c r="D263" s="18" t="str">
        <f ca="1" t="shared" si="4"/>
        <v/>
      </c>
      <c r="E263" s="18" t="str">
        <f>IF(C263="","",固定信息!$B$2)</f>
        <v/>
      </c>
      <c r="F263" s="18" t="str">
        <f t="array" ref="F263">IF(C263="","","【"&amp;C263&amp;"】"&amp;_xlfn.XLOOKUP(A263&amp;B263&amp;C263,盘货信息!$A:$A&amp;盘货信息!$B:$B&amp;盘货信息!$C:$C,盘货信息!$D:$D))</f>
        <v/>
      </c>
      <c r="G263" s="18" t="str">
        <f>IF(C263="","","【"&amp;"活动时间："&amp;固定信息!$B$3&amp;"】")</f>
        <v/>
      </c>
      <c r="H263" s="18" t="str">
        <f>IF($C263="","",固定信息!$B$1)</f>
        <v/>
      </c>
      <c r="I263" s="18"/>
      <c r="J263" s="18" t="str">
        <f t="array" ref="J263">_xlfn.XLOOKUP(A263&amp;B263&amp;C263,价格信息!$A:$A&amp;价格信息!$B:$B&amp;价格信息!$C:$C,价格信息!$D:$D)</f>
        <v/>
      </c>
      <c r="K263" s="31" t="str">
        <f t="array" ref="K263">IF(_xlfn.XLOOKUP(A263&amp;B263&amp;C263,价格信息!$A:$A&amp;价格信息!$B:$B&amp;价格信息!$C:$C,价格信息!$I:$I)="","","【优惠券链接】"&amp;固定信息!$B$6)</f>
        <v/>
      </c>
      <c r="L263" s="31" t="str">
        <f>IF($C263="","",固定信息!$B$1)</f>
        <v/>
      </c>
      <c r="M263" s="18" t="str">
        <f t="array" ref="M263">IF(_xlfn.XLOOKUP(A263&amp;B263&amp;C263,盘货信息!$A:$A&amp;盘货信息!$B:$B&amp;盘货信息!$C:$C,盘货信息!$O:$O)="","","【优惠券】领"&amp;INDEX(_wpsfn.REGEXP(_xlfn.XLOOKUP(A263&amp;B263&amp;C263,盘货信息!$A:$A&amp;盘货信息!$B:$B&amp;盘货信息!$C:$C,盘货信息!$O:$O),"\d+"),1,1)&amp;"元优惠券下单更优惠，优惠卷："&amp;_xlfn.XLOOKUP(A263&amp;B263&amp;C263,盘货信息!$A:$A&amp;盘货信息!$B:$B&amp;盘货信息!$C:$C,盘货信息!$P:$P))</f>
        <v/>
      </c>
      <c r="N263" s="18" t="str">
        <f t="array" ref="N263">IF(AND(ISNUMBER(_xlfn.XLOOKUP(A263&amp;B263&amp;C263,盘货信息!$A:$A&amp;盘货信息!$B:$B&amp;盘货信息!$C:$C,盘货信息!$I:$I)),_xlfn.XLOOKUP(A263&amp;B263&amp;C263,盘货信息!$A:$A&amp;盘货信息!$B:$B&amp;盘货信息!$C:$C,盘货信息!$I:$I)&gt;1),"【88VIP】立减"&amp;_xlfn.XLOOKUP(A263&amp;B263&amp;C263,盘货信息!$A:$A&amp;盘货信息!$B:$B&amp;盘货信息!$C:$C,盘货信息!$I:$I)&amp;"元","")</f>
        <v/>
      </c>
      <c r="O263" s="18" t="str">
        <f t="array" ref="O263">IF(_xlfn.XLOOKUP(A263&amp;B263&amp;C263,盘货信息!$A:$A&amp;盘货信息!$B:$B&amp;盘货信息!$C:$C,盘货信息!$K:$K)="","",IF(AND(_xlfn.XLOOKUP(A263&amp;B263&amp;C263,盘货信息!$A:$A&amp;盘货信息!$B:$B&amp;盘货信息!$C:$C,盘货信息!$G:$G)="不参加",_xlfn.XLOOKUP(A263&amp;B263&amp;C263,盘货信息!$A:$A&amp;盘货信息!$B:$B&amp;盘货信息!$C:$C,盘货信息!$H:$H)=""),"【以旧换新】"&amp;_xlfn.XLOOKUP(A263&amp;B263&amp;C263,盘货信息!$A:$A&amp;盘货信息!$B:$B&amp;盘货信息!$C:$C,盘货信息!$K:$K)&amp;"元以旧换新补贴（可无旧机换新）",""))</f>
        <v/>
      </c>
      <c r="P263" s="18" t="str">
        <f t="array" ref="P263">_xlfn.XLOOKUP(A263&amp;B263&amp;C263,赠品!$A:$A&amp;赠品!$B:$B&amp;赠品!$C:$C,赠品!$D:$D)</f>
        <v/>
      </c>
      <c r="Q263" s="18" t="str">
        <f>IF($C263="","",IF(AND(M263="",N263="",P263=""),"",固定信息!$B$1))</f>
        <v/>
      </c>
      <c r="R263" s="18" t="str">
        <f t="array" ref="R263">IF(ISNUMBER(SEARCH("是",_xlfn.XLOOKUP(A263&amp;B263&amp;C263,盘货信息!$A:$A&amp;盘货信息!$B:$B&amp;盘货信息!$C:$C,盘货信息!$U:$U))),"【折扣】指定型号满2类享96折，满3类享94折","")</f>
        <v/>
      </c>
      <c r="S263" s="18" t="str">
        <f t="array" ref="S263">IF(_xlfn.XLOOKUP(A263&amp;B263&amp;C263,盘货信息!$A:$A&amp;盘货信息!$B:$B&amp;盘货信息!$C:$C,盘货信息!$Q:$Q)&lt;1,"","【红包】活动时间购机送"&amp;_xlfn.TEXTJOIN("",,IF(ISNUMBER(--MID(_xlfn.XLOOKUP(A263&amp;B263&amp;C263,盘货信息!$A:$A&amp;盘货信息!$B:$B&amp;盘货信息!$C:$C,盘货信息!$Q:$Q),_xlfn.SEQUENCE(LEN(_xlfn.XLOOKUP(A263&amp;B263&amp;C263,盘货信息!$A:$A&amp;盘货信息!$B:$B&amp;盘货信息!$C:$C,盘货信息!$Q:$Q))),1)),MID(_xlfn.XLOOKUP(A263&amp;B263&amp;C263,盘货信息!$A:$A&amp;盘货信息!$B:$B&amp;盘货信息!$C:$C,盘货信息!$Q:$Q),_xlfn.SEQUENCE(LEN(_xlfn.XLOOKUP(A263&amp;B263&amp;C263,盘货信息!$A:$A&amp;盘货信息!$B:$B&amp;盘货信息!$C:$C,盘货信息!$Q:$Q))),1),""))&amp;"元")</f>
        <v/>
      </c>
      <c r="T263" s="18" t="str">
        <f t="array" ref="T263">IF(ISNUMBER(SEARCH("是",_xlfn.XLOOKUP(A263&amp;B263&amp;C263,盘货信息!$A:$A&amp;盘货信息!$B:$B&amp;盘货信息!$C:$C,盘货信息!$T:$T))),"【瓜分】"&amp;固定信息!$B$7,"")</f>
        <v/>
      </c>
      <c r="U263" s="18" t="str">
        <f>IF($C263="","",IF(AND(R263="",S263="",T263=""),"",固定信息!$B$1))</f>
        <v/>
      </c>
      <c r="V263" s="18" t="str">
        <f t="array" ref="V263">IF(C263="","","【服务】"&amp;IF(_xlfn.XLOOKUP(A263&amp;B263&amp;C263,盘货信息!$A:$A&amp;盘货信息!$B:$B&amp;盘货信息!$C:$C,盘货信息!$V:$V)="","",_xlfn.XLOOKUP(A263&amp;B263&amp;C263,盘货信息!$A:$A&amp;盘货信息!$B:$B&amp;盘货信息!$C:$C,盘货信息!$V:$V)&amp;"免息,")&amp;IF(_xlfn.XLOOKUP(A263&amp;B263&amp;C263,盘货信息!$A:$A&amp;盘货信息!$B:$B&amp;盘货信息!$C:$C,盘货信息!$W:$W)="","",_xlfn.XLOOKUP(A263&amp;B263&amp;C263,盘货信息!$A:$A&amp;盘货信息!$B:$B&amp;盘货信息!$C:$C,盘货信息!$W:$W)&amp;"，")&amp;"送货入户，退换免运费")</f>
        <v/>
      </c>
    </row>
    <row r="264" customHeight="1" spans="1:22">
      <c r="A264" s="17" t="str">
        <f>IF(盘货信息!A264="","",盘货信息!A264)</f>
        <v/>
      </c>
      <c r="B264" s="20" t="str">
        <f>IF(盘货信息!B264="","",盘货信息!B264)</f>
        <v/>
      </c>
      <c r="C264" s="18" t="str">
        <f>IF(盘货信息!C264="","",盘货信息!C264)</f>
        <v/>
      </c>
      <c r="D264" s="18" t="str">
        <f ca="1" t="shared" si="4"/>
        <v/>
      </c>
      <c r="E264" s="18" t="str">
        <f>IF(C264="","",固定信息!$B$2)</f>
        <v/>
      </c>
      <c r="F264" s="18" t="str">
        <f t="array" ref="F264">IF(C264="","","【"&amp;C264&amp;"】"&amp;_xlfn.XLOOKUP(A264&amp;B264&amp;C264,盘货信息!$A:$A&amp;盘货信息!$B:$B&amp;盘货信息!$C:$C,盘货信息!$D:$D))</f>
        <v/>
      </c>
      <c r="G264" s="18" t="str">
        <f>IF(C264="","","【"&amp;"活动时间："&amp;固定信息!$B$3&amp;"】")</f>
        <v/>
      </c>
      <c r="H264" s="18" t="str">
        <f>IF($C264="","",固定信息!$B$1)</f>
        <v/>
      </c>
      <c r="I264" s="18"/>
      <c r="J264" s="18" t="str">
        <f t="array" ref="J264">_xlfn.XLOOKUP(A264&amp;B264&amp;C264,价格信息!$A:$A&amp;价格信息!$B:$B&amp;价格信息!$C:$C,价格信息!$D:$D)</f>
        <v/>
      </c>
      <c r="K264" s="31" t="str">
        <f t="array" ref="K264">IF(_xlfn.XLOOKUP(A264&amp;B264&amp;C264,价格信息!$A:$A&amp;价格信息!$B:$B&amp;价格信息!$C:$C,价格信息!$I:$I)="","","【优惠券链接】"&amp;固定信息!$B$6)</f>
        <v/>
      </c>
      <c r="L264" s="31" t="str">
        <f>IF($C264="","",固定信息!$B$1)</f>
        <v/>
      </c>
      <c r="M264" s="18" t="str">
        <f t="array" ref="M264">IF(_xlfn.XLOOKUP(A264&amp;B264&amp;C264,盘货信息!$A:$A&amp;盘货信息!$B:$B&amp;盘货信息!$C:$C,盘货信息!$O:$O)="","","【优惠券】领"&amp;INDEX(_wpsfn.REGEXP(_xlfn.XLOOKUP(A264&amp;B264&amp;C264,盘货信息!$A:$A&amp;盘货信息!$B:$B&amp;盘货信息!$C:$C,盘货信息!$O:$O),"\d+"),1,1)&amp;"元优惠券下单更优惠，优惠卷："&amp;_xlfn.XLOOKUP(A264&amp;B264&amp;C264,盘货信息!$A:$A&amp;盘货信息!$B:$B&amp;盘货信息!$C:$C,盘货信息!$P:$P))</f>
        <v/>
      </c>
      <c r="N264" s="18" t="str">
        <f t="array" ref="N264">IF(AND(ISNUMBER(_xlfn.XLOOKUP(A264&amp;B264&amp;C264,盘货信息!$A:$A&amp;盘货信息!$B:$B&amp;盘货信息!$C:$C,盘货信息!$I:$I)),_xlfn.XLOOKUP(A264&amp;B264&amp;C264,盘货信息!$A:$A&amp;盘货信息!$B:$B&amp;盘货信息!$C:$C,盘货信息!$I:$I)&gt;1),"【88VIP】立减"&amp;_xlfn.XLOOKUP(A264&amp;B264&amp;C264,盘货信息!$A:$A&amp;盘货信息!$B:$B&amp;盘货信息!$C:$C,盘货信息!$I:$I)&amp;"元","")</f>
        <v/>
      </c>
      <c r="O264" s="18" t="str">
        <f t="array" ref="O264">IF(_xlfn.XLOOKUP(A264&amp;B264&amp;C264,盘货信息!$A:$A&amp;盘货信息!$B:$B&amp;盘货信息!$C:$C,盘货信息!$K:$K)="","",IF(AND(_xlfn.XLOOKUP(A264&amp;B264&amp;C264,盘货信息!$A:$A&amp;盘货信息!$B:$B&amp;盘货信息!$C:$C,盘货信息!$G:$G)="不参加",_xlfn.XLOOKUP(A264&amp;B264&amp;C264,盘货信息!$A:$A&amp;盘货信息!$B:$B&amp;盘货信息!$C:$C,盘货信息!$H:$H)=""),"【以旧换新】"&amp;_xlfn.XLOOKUP(A264&amp;B264&amp;C264,盘货信息!$A:$A&amp;盘货信息!$B:$B&amp;盘货信息!$C:$C,盘货信息!$K:$K)&amp;"元以旧换新补贴（可无旧机换新）",""))</f>
        <v/>
      </c>
      <c r="P264" s="18" t="str">
        <f t="array" ref="P264">_xlfn.XLOOKUP(A264&amp;B264&amp;C264,赠品!$A:$A&amp;赠品!$B:$B&amp;赠品!$C:$C,赠品!$D:$D)</f>
        <v/>
      </c>
      <c r="Q264" s="18" t="str">
        <f>IF($C264="","",IF(AND(M264="",N264="",P264=""),"",固定信息!$B$1))</f>
        <v/>
      </c>
      <c r="R264" s="18" t="str">
        <f t="array" ref="R264">IF(ISNUMBER(SEARCH("是",_xlfn.XLOOKUP(A264&amp;B264&amp;C264,盘货信息!$A:$A&amp;盘货信息!$B:$B&amp;盘货信息!$C:$C,盘货信息!$U:$U))),"【折扣】指定型号满2类享96折，满3类享94折","")</f>
        <v/>
      </c>
      <c r="S264" s="18" t="str">
        <f t="array" ref="S264">IF(_xlfn.XLOOKUP(A264&amp;B264&amp;C264,盘货信息!$A:$A&amp;盘货信息!$B:$B&amp;盘货信息!$C:$C,盘货信息!$Q:$Q)&lt;1,"","【红包】活动时间购机送"&amp;_xlfn.TEXTJOIN("",,IF(ISNUMBER(--MID(_xlfn.XLOOKUP(A264&amp;B264&amp;C264,盘货信息!$A:$A&amp;盘货信息!$B:$B&amp;盘货信息!$C:$C,盘货信息!$Q:$Q),_xlfn.SEQUENCE(LEN(_xlfn.XLOOKUP(A264&amp;B264&amp;C264,盘货信息!$A:$A&amp;盘货信息!$B:$B&amp;盘货信息!$C:$C,盘货信息!$Q:$Q))),1)),MID(_xlfn.XLOOKUP(A264&amp;B264&amp;C264,盘货信息!$A:$A&amp;盘货信息!$B:$B&amp;盘货信息!$C:$C,盘货信息!$Q:$Q),_xlfn.SEQUENCE(LEN(_xlfn.XLOOKUP(A264&amp;B264&amp;C264,盘货信息!$A:$A&amp;盘货信息!$B:$B&amp;盘货信息!$C:$C,盘货信息!$Q:$Q))),1),""))&amp;"元")</f>
        <v/>
      </c>
      <c r="T264" s="18" t="str">
        <f t="array" ref="T264">IF(ISNUMBER(SEARCH("是",_xlfn.XLOOKUP(A264&amp;B264&amp;C264,盘货信息!$A:$A&amp;盘货信息!$B:$B&amp;盘货信息!$C:$C,盘货信息!$T:$T))),"【瓜分】"&amp;固定信息!$B$7,"")</f>
        <v/>
      </c>
      <c r="U264" s="18" t="str">
        <f>IF($C264="","",IF(AND(R264="",S264="",T264=""),"",固定信息!$B$1))</f>
        <v/>
      </c>
      <c r="V264" s="18" t="str">
        <f t="array" ref="V264">IF(C264="","","【服务】"&amp;IF(_xlfn.XLOOKUP(A264&amp;B264&amp;C264,盘货信息!$A:$A&amp;盘货信息!$B:$B&amp;盘货信息!$C:$C,盘货信息!$V:$V)="","",_xlfn.XLOOKUP(A264&amp;B264&amp;C264,盘货信息!$A:$A&amp;盘货信息!$B:$B&amp;盘货信息!$C:$C,盘货信息!$V:$V)&amp;"免息,")&amp;IF(_xlfn.XLOOKUP(A264&amp;B264&amp;C264,盘货信息!$A:$A&amp;盘货信息!$B:$B&amp;盘货信息!$C:$C,盘货信息!$W:$W)="","",_xlfn.XLOOKUP(A264&amp;B264&amp;C264,盘货信息!$A:$A&amp;盘货信息!$B:$B&amp;盘货信息!$C:$C,盘货信息!$W:$W)&amp;"，")&amp;"送货入户，退换免运费")</f>
        <v/>
      </c>
    </row>
    <row r="265" customHeight="1" spans="1:22">
      <c r="A265" s="17" t="str">
        <f>IF(盘货信息!A265="","",盘货信息!A265)</f>
        <v/>
      </c>
      <c r="B265" s="20" t="str">
        <f>IF(盘货信息!B265="","",盘货信息!B265)</f>
        <v/>
      </c>
      <c r="C265" s="18" t="str">
        <f>IF(盘货信息!C265="","",盘货信息!C265)</f>
        <v/>
      </c>
      <c r="D265" s="18" t="str">
        <f ca="1" t="shared" si="4"/>
        <v/>
      </c>
      <c r="E265" s="18" t="str">
        <f>IF(C265="","",固定信息!$B$2)</f>
        <v/>
      </c>
      <c r="F265" s="18" t="str">
        <f t="array" ref="F265">IF(C265="","","【"&amp;C265&amp;"】"&amp;_xlfn.XLOOKUP(A265&amp;B265&amp;C265,盘货信息!$A:$A&amp;盘货信息!$B:$B&amp;盘货信息!$C:$C,盘货信息!$D:$D))</f>
        <v/>
      </c>
      <c r="G265" s="18" t="str">
        <f>IF(C265="","","【"&amp;"活动时间："&amp;固定信息!$B$3&amp;"】")</f>
        <v/>
      </c>
      <c r="H265" s="18" t="str">
        <f>IF($C265="","",固定信息!$B$1)</f>
        <v/>
      </c>
      <c r="I265" s="18"/>
      <c r="J265" s="18" t="str">
        <f t="array" ref="J265">_xlfn.XLOOKUP(A265&amp;B265&amp;C265,价格信息!$A:$A&amp;价格信息!$B:$B&amp;价格信息!$C:$C,价格信息!$D:$D)</f>
        <v/>
      </c>
      <c r="K265" s="31" t="str">
        <f t="array" ref="K265">IF(_xlfn.XLOOKUP(A265&amp;B265&amp;C265,价格信息!$A:$A&amp;价格信息!$B:$B&amp;价格信息!$C:$C,价格信息!$I:$I)="","","【优惠券链接】"&amp;固定信息!$B$6)</f>
        <v/>
      </c>
      <c r="L265" s="31" t="str">
        <f>IF($C265="","",固定信息!$B$1)</f>
        <v/>
      </c>
      <c r="M265" s="18" t="str">
        <f t="array" ref="M265">IF(_xlfn.XLOOKUP(A265&amp;B265&amp;C265,盘货信息!$A:$A&amp;盘货信息!$B:$B&amp;盘货信息!$C:$C,盘货信息!$O:$O)="","","【优惠券】领"&amp;INDEX(_wpsfn.REGEXP(_xlfn.XLOOKUP(A265&amp;B265&amp;C265,盘货信息!$A:$A&amp;盘货信息!$B:$B&amp;盘货信息!$C:$C,盘货信息!$O:$O),"\d+"),1,1)&amp;"元优惠券下单更优惠，优惠卷："&amp;_xlfn.XLOOKUP(A265&amp;B265&amp;C265,盘货信息!$A:$A&amp;盘货信息!$B:$B&amp;盘货信息!$C:$C,盘货信息!$P:$P))</f>
        <v/>
      </c>
      <c r="N265" s="18" t="str">
        <f t="array" ref="N265">IF(AND(ISNUMBER(_xlfn.XLOOKUP(A265&amp;B265&amp;C265,盘货信息!$A:$A&amp;盘货信息!$B:$B&amp;盘货信息!$C:$C,盘货信息!$I:$I)),_xlfn.XLOOKUP(A265&amp;B265&amp;C265,盘货信息!$A:$A&amp;盘货信息!$B:$B&amp;盘货信息!$C:$C,盘货信息!$I:$I)&gt;1),"【88VIP】立减"&amp;_xlfn.XLOOKUP(A265&amp;B265&amp;C265,盘货信息!$A:$A&amp;盘货信息!$B:$B&amp;盘货信息!$C:$C,盘货信息!$I:$I)&amp;"元","")</f>
        <v/>
      </c>
      <c r="O265" s="18" t="str">
        <f t="array" ref="O265">IF(_xlfn.XLOOKUP(A265&amp;B265&amp;C265,盘货信息!$A:$A&amp;盘货信息!$B:$B&amp;盘货信息!$C:$C,盘货信息!$K:$K)="","",IF(AND(_xlfn.XLOOKUP(A265&amp;B265&amp;C265,盘货信息!$A:$A&amp;盘货信息!$B:$B&amp;盘货信息!$C:$C,盘货信息!$G:$G)="不参加",_xlfn.XLOOKUP(A265&amp;B265&amp;C265,盘货信息!$A:$A&amp;盘货信息!$B:$B&amp;盘货信息!$C:$C,盘货信息!$H:$H)=""),"【以旧换新】"&amp;_xlfn.XLOOKUP(A265&amp;B265&amp;C265,盘货信息!$A:$A&amp;盘货信息!$B:$B&amp;盘货信息!$C:$C,盘货信息!$K:$K)&amp;"元以旧换新补贴（可无旧机换新）",""))</f>
        <v/>
      </c>
      <c r="P265" s="18" t="str">
        <f t="array" ref="P265">_xlfn.XLOOKUP(A265&amp;B265&amp;C265,赠品!$A:$A&amp;赠品!$B:$B&amp;赠品!$C:$C,赠品!$D:$D)</f>
        <v/>
      </c>
      <c r="Q265" s="18" t="str">
        <f>IF($C265="","",IF(AND(M265="",N265="",P265=""),"",固定信息!$B$1))</f>
        <v/>
      </c>
      <c r="R265" s="18" t="str">
        <f t="array" ref="R265">IF(ISNUMBER(SEARCH("是",_xlfn.XLOOKUP(A265&amp;B265&amp;C265,盘货信息!$A:$A&amp;盘货信息!$B:$B&amp;盘货信息!$C:$C,盘货信息!$U:$U))),"【折扣】指定型号满2类享96折，满3类享94折","")</f>
        <v/>
      </c>
      <c r="S265" s="18" t="str">
        <f t="array" ref="S265">IF(_xlfn.XLOOKUP(A265&amp;B265&amp;C265,盘货信息!$A:$A&amp;盘货信息!$B:$B&amp;盘货信息!$C:$C,盘货信息!$Q:$Q)&lt;1,"","【红包】活动时间购机送"&amp;_xlfn.TEXTJOIN("",,IF(ISNUMBER(--MID(_xlfn.XLOOKUP(A265&amp;B265&amp;C265,盘货信息!$A:$A&amp;盘货信息!$B:$B&amp;盘货信息!$C:$C,盘货信息!$Q:$Q),_xlfn.SEQUENCE(LEN(_xlfn.XLOOKUP(A265&amp;B265&amp;C265,盘货信息!$A:$A&amp;盘货信息!$B:$B&amp;盘货信息!$C:$C,盘货信息!$Q:$Q))),1)),MID(_xlfn.XLOOKUP(A265&amp;B265&amp;C265,盘货信息!$A:$A&amp;盘货信息!$B:$B&amp;盘货信息!$C:$C,盘货信息!$Q:$Q),_xlfn.SEQUENCE(LEN(_xlfn.XLOOKUP(A265&amp;B265&amp;C265,盘货信息!$A:$A&amp;盘货信息!$B:$B&amp;盘货信息!$C:$C,盘货信息!$Q:$Q))),1),""))&amp;"元")</f>
        <v/>
      </c>
      <c r="T265" s="18" t="str">
        <f t="array" ref="T265">IF(ISNUMBER(SEARCH("是",_xlfn.XLOOKUP(A265&amp;B265&amp;C265,盘货信息!$A:$A&amp;盘货信息!$B:$B&amp;盘货信息!$C:$C,盘货信息!$T:$T))),"【瓜分】"&amp;固定信息!$B$7,"")</f>
        <v/>
      </c>
      <c r="U265" s="18" t="str">
        <f>IF($C265="","",IF(AND(R265="",S265="",T265=""),"",固定信息!$B$1))</f>
        <v/>
      </c>
      <c r="V265" s="18" t="str">
        <f t="array" ref="V265">IF(C265="","","【服务】"&amp;IF(_xlfn.XLOOKUP(A265&amp;B265&amp;C265,盘货信息!$A:$A&amp;盘货信息!$B:$B&amp;盘货信息!$C:$C,盘货信息!$V:$V)="","",_xlfn.XLOOKUP(A265&amp;B265&amp;C265,盘货信息!$A:$A&amp;盘货信息!$B:$B&amp;盘货信息!$C:$C,盘货信息!$V:$V)&amp;"免息,")&amp;IF(_xlfn.XLOOKUP(A265&amp;B265&amp;C265,盘货信息!$A:$A&amp;盘货信息!$B:$B&amp;盘货信息!$C:$C,盘货信息!$W:$W)="","",_xlfn.XLOOKUP(A265&amp;B265&amp;C265,盘货信息!$A:$A&amp;盘货信息!$B:$B&amp;盘货信息!$C:$C,盘货信息!$W:$W)&amp;"，")&amp;"送货入户，退换免运费")</f>
        <v/>
      </c>
    </row>
    <row r="266" customHeight="1" spans="1:22">
      <c r="A266" s="17" t="str">
        <f>IF(盘货信息!A266="","",盘货信息!A266)</f>
        <v/>
      </c>
      <c r="B266" s="20" t="str">
        <f>IF(盘货信息!B266="","",盘货信息!B266)</f>
        <v/>
      </c>
      <c r="C266" s="18" t="str">
        <f>IF(盘货信息!C266="","",盘货信息!C266)</f>
        <v/>
      </c>
      <c r="D266" s="18" t="str">
        <f ca="1" t="shared" si="4"/>
        <v/>
      </c>
      <c r="E266" s="18" t="str">
        <f>IF(C266="","",固定信息!$B$2)</f>
        <v/>
      </c>
      <c r="F266" s="18" t="str">
        <f t="array" ref="F266">IF(C266="","","【"&amp;C266&amp;"】"&amp;_xlfn.XLOOKUP(A266&amp;B266&amp;C266,盘货信息!$A:$A&amp;盘货信息!$B:$B&amp;盘货信息!$C:$C,盘货信息!$D:$D))</f>
        <v/>
      </c>
      <c r="G266" s="18" t="str">
        <f>IF(C266="","","【"&amp;"活动时间："&amp;固定信息!$B$3&amp;"】")</f>
        <v/>
      </c>
      <c r="H266" s="18" t="str">
        <f>IF($C266="","",固定信息!$B$1)</f>
        <v/>
      </c>
      <c r="I266" s="18"/>
      <c r="J266" s="18" t="str">
        <f t="array" ref="J266">_xlfn.XLOOKUP(A266&amp;B266&amp;C266,价格信息!$A:$A&amp;价格信息!$B:$B&amp;价格信息!$C:$C,价格信息!$D:$D)</f>
        <v/>
      </c>
      <c r="K266" s="31" t="str">
        <f t="array" ref="K266">IF(_xlfn.XLOOKUP(A266&amp;B266&amp;C266,价格信息!$A:$A&amp;价格信息!$B:$B&amp;价格信息!$C:$C,价格信息!$I:$I)="","","【优惠券链接】"&amp;固定信息!$B$6)</f>
        <v/>
      </c>
      <c r="L266" s="31" t="str">
        <f>IF($C266="","",固定信息!$B$1)</f>
        <v/>
      </c>
      <c r="M266" s="18" t="str">
        <f t="array" ref="M266">IF(_xlfn.XLOOKUP(A266&amp;B266&amp;C266,盘货信息!$A:$A&amp;盘货信息!$B:$B&amp;盘货信息!$C:$C,盘货信息!$O:$O)="","","【优惠券】领"&amp;INDEX(_wpsfn.REGEXP(_xlfn.XLOOKUP(A266&amp;B266&amp;C266,盘货信息!$A:$A&amp;盘货信息!$B:$B&amp;盘货信息!$C:$C,盘货信息!$O:$O),"\d+"),1,1)&amp;"元优惠券下单更优惠，优惠卷："&amp;_xlfn.XLOOKUP(A266&amp;B266&amp;C266,盘货信息!$A:$A&amp;盘货信息!$B:$B&amp;盘货信息!$C:$C,盘货信息!$P:$P))</f>
        <v/>
      </c>
      <c r="N266" s="18" t="str">
        <f t="array" ref="N266">IF(AND(ISNUMBER(_xlfn.XLOOKUP(A266&amp;B266&amp;C266,盘货信息!$A:$A&amp;盘货信息!$B:$B&amp;盘货信息!$C:$C,盘货信息!$I:$I)),_xlfn.XLOOKUP(A266&amp;B266&amp;C266,盘货信息!$A:$A&amp;盘货信息!$B:$B&amp;盘货信息!$C:$C,盘货信息!$I:$I)&gt;1),"【88VIP】立减"&amp;_xlfn.XLOOKUP(A266&amp;B266&amp;C266,盘货信息!$A:$A&amp;盘货信息!$B:$B&amp;盘货信息!$C:$C,盘货信息!$I:$I)&amp;"元","")</f>
        <v/>
      </c>
      <c r="O266" s="18" t="str">
        <f t="array" ref="O266">IF(_xlfn.XLOOKUP(A266&amp;B266&amp;C266,盘货信息!$A:$A&amp;盘货信息!$B:$B&amp;盘货信息!$C:$C,盘货信息!$K:$K)="","",IF(AND(_xlfn.XLOOKUP(A266&amp;B266&amp;C266,盘货信息!$A:$A&amp;盘货信息!$B:$B&amp;盘货信息!$C:$C,盘货信息!$G:$G)="不参加",_xlfn.XLOOKUP(A266&amp;B266&amp;C266,盘货信息!$A:$A&amp;盘货信息!$B:$B&amp;盘货信息!$C:$C,盘货信息!$H:$H)=""),"【以旧换新】"&amp;_xlfn.XLOOKUP(A266&amp;B266&amp;C266,盘货信息!$A:$A&amp;盘货信息!$B:$B&amp;盘货信息!$C:$C,盘货信息!$K:$K)&amp;"元以旧换新补贴（可无旧机换新）",""))</f>
        <v/>
      </c>
      <c r="P266" s="18" t="str">
        <f t="array" ref="P266">_xlfn.XLOOKUP(A266&amp;B266&amp;C266,赠品!$A:$A&amp;赠品!$B:$B&amp;赠品!$C:$C,赠品!$D:$D)</f>
        <v/>
      </c>
      <c r="Q266" s="18" t="str">
        <f>IF($C266="","",IF(AND(M266="",N266="",P266=""),"",固定信息!$B$1))</f>
        <v/>
      </c>
      <c r="R266" s="18" t="str">
        <f t="array" ref="R266">IF(ISNUMBER(SEARCH("是",_xlfn.XLOOKUP(A266&amp;B266&amp;C266,盘货信息!$A:$A&amp;盘货信息!$B:$B&amp;盘货信息!$C:$C,盘货信息!$U:$U))),"【折扣】指定型号满2类享96折，满3类享94折","")</f>
        <v/>
      </c>
      <c r="S266" s="18" t="str">
        <f t="array" ref="S266">IF(_xlfn.XLOOKUP(A266&amp;B266&amp;C266,盘货信息!$A:$A&amp;盘货信息!$B:$B&amp;盘货信息!$C:$C,盘货信息!$Q:$Q)&lt;1,"","【红包】活动时间购机送"&amp;_xlfn.TEXTJOIN("",,IF(ISNUMBER(--MID(_xlfn.XLOOKUP(A266&amp;B266&amp;C266,盘货信息!$A:$A&amp;盘货信息!$B:$B&amp;盘货信息!$C:$C,盘货信息!$Q:$Q),_xlfn.SEQUENCE(LEN(_xlfn.XLOOKUP(A266&amp;B266&amp;C266,盘货信息!$A:$A&amp;盘货信息!$B:$B&amp;盘货信息!$C:$C,盘货信息!$Q:$Q))),1)),MID(_xlfn.XLOOKUP(A266&amp;B266&amp;C266,盘货信息!$A:$A&amp;盘货信息!$B:$B&amp;盘货信息!$C:$C,盘货信息!$Q:$Q),_xlfn.SEQUENCE(LEN(_xlfn.XLOOKUP(A266&amp;B266&amp;C266,盘货信息!$A:$A&amp;盘货信息!$B:$B&amp;盘货信息!$C:$C,盘货信息!$Q:$Q))),1),""))&amp;"元")</f>
        <v/>
      </c>
      <c r="T266" s="18" t="str">
        <f t="array" ref="T266">IF(ISNUMBER(SEARCH("是",_xlfn.XLOOKUP(A266&amp;B266&amp;C266,盘货信息!$A:$A&amp;盘货信息!$B:$B&amp;盘货信息!$C:$C,盘货信息!$T:$T))),"【瓜分】"&amp;固定信息!$B$7,"")</f>
        <v/>
      </c>
      <c r="U266" s="18" t="str">
        <f>IF($C266="","",IF(AND(R266="",S266="",T266=""),"",固定信息!$B$1))</f>
        <v/>
      </c>
      <c r="V266" s="18" t="str">
        <f t="array" ref="V266">IF(C266="","","【服务】"&amp;IF(_xlfn.XLOOKUP(A266&amp;B266&amp;C266,盘货信息!$A:$A&amp;盘货信息!$B:$B&amp;盘货信息!$C:$C,盘货信息!$V:$V)="","",_xlfn.XLOOKUP(A266&amp;B266&amp;C266,盘货信息!$A:$A&amp;盘货信息!$B:$B&amp;盘货信息!$C:$C,盘货信息!$V:$V)&amp;"免息,")&amp;IF(_xlfn.XLOOKUP(A266&amp;B266&amp;C266,盘货信息!$A:$A&amp;盘货信息!$B:$B&amp;盘货信息!$C:$C,盘货信息!$W:$W)="","",_xlfn.XLOOKUP(A266&amp;B266&amp;C266,盘货信息!$A:$A&amp;盘货信息!$B:$B&amp;盘货信息!$C:$C,盘货信息!$W:$W)&amp;"，")&amp;"送货入户，退换免运费")</f>
        <v/>
      </c>
    </row>
    <row r="267" customHeight="1" spans="1:22">
      <c r="A267" s="17" t="str">
        <f>IF(盘货信息!A267="","",盘货信息!A267)</f>
        <v/>
      </c>
      <c r="B267" s="20" t="str">
        <f>IF(盘货信息!B267="","",盘货信息!B267)</f>
        <v/>
      </c>
      <c r="C267" s="18" t="str">
        <f>IF(盘货信息!C267="","",盘货信息!C267)</f>
        <v/>
      </c>
      <c r="D267" s="18" t="str">
        <f ca="1" t="shared" si="4"/>
        <v/>
      </c>
      <c r="E267" s="18" t="str">
        <f>IF(C267="","",固定信息!$B$2)</f>
        <v/>
      </c>
      <c r="F267" s="18" t="str">
        <f t="array" ref="F267">IF(C267="","","【"&amp;C267&amp;"】"&amp;_xlfn.XLOOKUP(A267&amp;B267&amp;C267,盘货信息!$A:$A&amp;盘货信息!$B:$B&amp;盘货信息!$C:$C,盘货信息!$D:$D))</f>
        <v/>
      </c>
      <c r="G267" s="18" t="str">
        <f>IF(C267="","","【"&amp;"活动时间："&amp;固定信息!$B$3&amp;"】")</f>
        <v/>
      </c>
      <c r="H267" s="18" t="str">
        <f>IF($C267="","",固定信息!$B$1)</f>
        <v/>
      </c>
      <c r="I267" s="18"/>
      <c r="J267" s="18" t="str">
        <f t="array" ref="J267">_xlfn.XLOOKUP(A267&amp;B267&amp;C267,价格信息!$A:$A&amp;价格信息!$B:$B&amp;价格信息!$C:$C,价格信息!$D:$D)</f>
        <v/>
      </c>
      <c r="K267" s="31" t="str">
        <f t="array" ref="K267">IF(_xlfn.XLOOKUP(A267&amp;B267&amp;C267,价格信息!$A:$A&amp;价格信息!$B:$B&amp;价格信息!$C:$C,价格信息!$I:$I)="","","【优惠券链接】"&amp;固定信息!$B$6)</f>
        <v/>
      </c>
      <c r="L267" s="31" t="str">
        <f>IF($C267="","",固定信息!$B$1)</f>
        <v/>
      </c>
      <c r="M267" s="18" t="str">
        <f t="array" ref="M267">IF(_xlfn.XLOOKUP(A267&amp;B267&amp;C267,盘货信息!$A:$A&amp;盘货信息!$B:$B&amp;盘货信息!$C:$C,盘货信息!$O:$O)="","","【优惠券】领"&amp;INDEX(_wpsfn.REGEXP(_xlfn.XLOOKUP(A267&amp;B267&amp;C267,盘货信息!$A:$A&amp;盘货信息!$B:$B&amp;盘货信息!$C:$C,盘货信息!$O:$O),"\d+"),1,1)&amp;"元优惠券下单更优惠，优惠卷："&amp;_xlfn.XLOOKUP(A267&amp;B267&amp;C267,盘货信息!$A:$A&amp;盘货信息!$B:$B&amp;盘货信息!$C:$C,盘货信息!$P:$P))</f>
        <v/>
      </c>
      <c r="N267" s="18" t="str">
        <f t="array" ref="N267">IF(AND(ISNUMBER(_xlfn.XLOOKUP(A267&amp;B267&amp;C267,盘货信息!$A:$A&amp;盘货信息!$B:$B&amp;盘货信息!$C:$C,盘货信息!$I:$I)),_xlfn.XLOOKUP(A267&amp;B267&amp;C267,盘货信息!$A:$A&amp;盘货信息!$B:$B&amp;盘货信息!$C:$C,盘货信息!$I:$I)&gt;1),"【88VIP】立减"&amp;_xlfn.XLOOKUP(A267&amp;B267&amp;C267,盘货信息!$A:$A&amp;盘货信息!$B:$B&amp;盘货信息!$C:$C,盘货信息!$I:$I)&amp;"元","")</f>
        <v/>
      </c>
      <c r="O267" s="18" t="str">
        <f t="array" ref="O267">IF(_xlfn.XLOOKUP(A267&amp;B267&amp;C267,盘货信息!$A:$A&amp;盘货信息!$B:$B&amp;盘货信息!$C:$C,盘货信息!$K:$K)="","",IF(AND(_xlfn.XLOOKUP(A267&amp;B267&amp;C267,盘货信息!$A:$A&amp;盘货信息!$B:$B&amp;盘货信息!$C:$C,盘货信息!$G:$G)="不参加",_xlfn.XLOOKUP(A267&amp;B267&amp;C267,盘货信息!$A:$A&amp;盘货信息!$B:$B&amp;盘货信息!$C:$C,盘货信息!$H:$H)=""),"【以旧换新】"&amp;_xlfn.XLOOKUP(A267&amp;B267&amp;C267,盘货信息!$A:$A&amp;盘货信息!$B:$B&amp;盘货信息!$C:$C,盘货信息!$K:$K)&amp;"元以旧换新补贴（可无旧机换新）",""))</f>
        <v/>
      </c>
      <c r="P267" s="18" t="str">
        <f t="array" ref="P267">_xlfn.XLOOKUP(A267&amp;B267&amp;C267,赠品!$A:$A&amp;赠品!$B:$B&amp;赠品!$C:$C,赠品!$D:$D)</f>
        <v/>
      </c>
      <c r="Q267" s="18" t="str">
        <f>IF($C267="","",IF(AND(M267="",N267="",P267=""),"",固定信息!$B$1))</f>
        <v/>
      </c>
      <c r="R267" s="18" t="str">
        <f t="array" ref="R267">IF(ISNUMBER(SEARCH("是",_xlfn.XLOOKUP(A267&amp;B267&amp;C267,盘货信息!$A:$A&amp;盘货信息!$B:$B&amp;盘货信息!$C:$C,盘货信息!$U:$U))),"【折扣】指定型号满2类享96折，满3类享94折","")</f>
        <v/>
      </c>
      <c r="S267" s="18" t="str">
        <f t="array" ref="S267">IF(_xlfn.XLOOKUP(A267&amp;B267&amp;C267,盘货信息!$A:$A&amp;盘货信息!$B:$B&amp;盘货信息!$C:$C,盘货信息!$Q:$Q)&lt;1,"","【红包】活动时间购机送"&amp;_xlfn.TEXTJOIN("",,IF(ISNUMBER(--MID(_xlfn.XLOOKUP(A267&amp;B267&amp;C267,盘货信息!$A:$A&amp;盘货信息!$B:$B&amp;盘货信息!$C:$C,盘货信息!$Q:$Q),_xlfn.SEQUENCE(LEN(_xlfn.XLOOKUP(A267&amp;B267&amp;C267,盘货信息!$A:$A&amp;盘货信息!$B:$B&amp;盘货信息!$C:$C,盘货信息!$Q:$Q))),1)),MID(_xlfn.XLOOKUP(A267&amp;B267&amp;C267,盘货信息!$A:$A&amp;盘货信息!$B:$B&amp;盘货信息!$C:$C,盘货信息!$Q:$Q),_xlfn.SEQUENCE(LEN(_xlfn.XLOOKUP(A267&amp;B267&amp;C267,盘货信息!$A:$A&amp;盘货信息!$B:$B&amp;盘货信息!$C:$C,盘货信息!$Q:$Q))),1),""))&amp;"元")</f>
        <v/>
      </c>
      <c r="T267" s="18" t="str">
        <f t="array" ref="T267">IF(ISNUMBER(SEARCH("是",_xlfn.XLOOKUP(A267&amp;B267&amp;C267,盘货信息!$A:$A&amp;盘货信息!$B:$B&amp;盘货信息!$C:$C,盘货信息!$T:$T))),"【瓜分】"&amp;固定信息!$B$7,"")</f>
        <v/>
      </c>
      <c r="U267" s="18" t="str">
        <f>IF($C267="","",IF(AND(R267="",S267="",T267=""),"",固定信息!$B$1))</f>
        <v/>
      </c>
      <c r="V267" s="18" t="str">
        <f t="array" ref="V267">IF(C267="","","【服务】"&amp;IF(_xlfn.XLOOKUP(A267&amp;B267&amp;C267,盘货信息!$A:$A&amp;盘货信息!$B:$B&amp;盘货信息!$C:$C,盘货信息!$V:$V)="","",_xlfn.XLOOKUP(A267&amp;B267&amp;C267,盘货信息!$A:$A&amp;盘货信息!$B:$B&amp;盘货信息!$C:$C,盘货信息!$V:$V)&amp;"免息,")&amp;IF(_xlfn.XLOOKUP(A267&amp;B267&amp;C267,盘货信息!$A:$A&amp;盘货信息!$B:$B&amp;盘货信息!$C:$C,盘货信息!$W:$W)="","",_xlfn.XLOOKUP(A267&amp;B267&amp;C267,盘货信息!$A:$A&amp;盘货信息!$B:$B&amp;盘货信息!$C:$C,盘货信息!$W:$W)&amp;"，")&amp;"送货入户，退换免运费")</f>
        <v/>
      </c>
    </row>
    <row r="268" customHeight="1" spans="1:22">
      <c r="A268" s="17" t="str">
        <f>IF(盘货信息!A268="","",盘货信息!A268)</f>
        <v/>
      </c>
      <c r="B268" s="20" t="str">
        <f>IF(盘货信息!B268="","",盘货信息!B268)</f>
        <v/>
      </c>
      <c r="C268" s="18" t="str">
        <f>IF(盘货信息!C268="","",盘货信息!C268)</f>
        <v/>
      </c>
      <c r="D268" s="18" t="str">
        <f ca="1" t="shared" si="4"/>
        <v/>
      </c>
      <c r="E268" s="18" t="str">
        <f>IF(C268="","",固定信息!$B$2)</f>
        <v/>
      </c>
      <c r="F268" s="18" t="str">
        <f t="array" ref="F268">IF(C268="","","【"&amp;C268&amp;"】"&amp;_xlfn.XLOOKUP(A268&amp;B268&amp;C268,盘货信息!$A:$A&amp;盘货信息!$B:$B&amp;盘货信息!$C:$C,盘货信息!$D:$D))</f>
        <v/>
      </c>
      <c r="G268" s="18" t="str">
        <f>IF(C268="","","【"&amp;"活动时间："&amp;固定信息!$B$3&amp;"】")</f>
        <v/>
      </c>
      <c r="H268" s="18" t="str">
        <f>IF($C268="","",固定信息!$B$1)</f>
        <v/>
      </c>
      <c r="I268" s="18"/>
      <c r="J268" s="18" t="str">
        <f t="array" ref="J268">_xlfn.XLOOKUP(A268&amp;B268&amp;C268,价格信息!$A:$A&amp;价格信息!$B:$B&amp;价格信息!$C:$C,价格信息!$D:$D)</f>
        <v/>
      </c>
      <c r="K268" s="31" t="str">
        <f t="array" ref="K268">IF(_xlfn.XLOOKUP(A268&amp;B268&amp;C268,价格信息!$A:$A&amp;价格信息!$B:$B&amp;价格信息!$C:$C,价格信息!$I:$I)="","","【优惠券链接】"&amp;固定信息!$B$6)</f>
        <v/>
      </c>
      <c r="L268" s="31" t="str">
        <f>IF($C268="","",固定信息!$B$1)</f>
        <v/>
      </c>
      <c r="M268" s="18" t="str">
        <f t="array" ref="M268">IF(_xlfn.XLOOKUP(A268&amp;B268&amp;C268,盘货信息!$A:$A&amp;盘货信息!$B:$B&amp;盘货信息!$C:$C,盘货信息!$O:$O)="","","【优惠券】领"&amp;INDEX(_wpsfn.REGEXP(_xlfn.XLOOKUP(A268&amp;B268&amp;C268,盘货信息!$A:$A&amp;盘货信息!$B:$B&amp;盘货信息!$C:$C,盘货信息!$O:$O),"\d+"),1,1)&amp;"元优惠券下单更优惠，优惠卷："&amp;_xlfn.XLOOKUP(A268&amp;B268&amp;C268,盘货信息!$A:$A&amp;盘货信息!$B:$B&amp;盘货信息!$C:$C,盘货信息!$P:$P))</f>
        <v/>
      </c>
      <c r="N268" s="18" t="str">
        <f t="array" ref="N268">IF(AND(ISNUMBER(_xlfn.XLOOKUP(A268&amp;B268&amp;C268,盘货信息!$A:$A&amp;盘货信息!$B:$B&amp;盘货信息!$C:$C,盘货信息!$I:$I)),_xlfn.XLOOKUP(A268&amp;B268&amp;C268,盘货信息!$A:$A&amp;盘货信息!$B:$B&amp;盘货信息!$C:$C,盘货信息!$I:$I)&gt;1),"【88VIP】立减"&amp;_xlfn.XLOOKUP(A268&amp;B268&amp;C268,盘货信息!$A:$A&amp;盘货信息!$B:$B&amp;盘货信息!$C:$C,盘货信息!$I:$I)&amp;"元","")</f>
        <v/>
      </c>
      <c r="O268" s="18" t="str">
        <f t="array" ref="O268">IF(_xlfn.XLOOKUP(A268&amp;B268&amp;C268,盘货信息!$A:$A&amp;盘货信息!$B:$B&amp;盘货信息!$C:$C,盘货信息!$K:$K)="","",IF(AND(_xlfn.XLOOKUP(A268&amp;B268&amp;C268,盘货信息!$A:$A&amp;盘货信息!$B:$B&amp;盘货信息!$C:$C,盘货信息!$G:$G)="不参加",_xlfn.XLOOKUP(A268&amp;B268&amp;C268,盘货信息!$A:$A&amp;盘货信息!$B:$B&amp;盘货信息!$C:$C,盘货信息!$H:$H)=""),"【以旧换新】"&amp;_xlfn.XLOOKUP(A268&amp;B268&amp;C268,盘货信息!$A:$A&amp;盘货信息!$B:$B&amp;盘货信息!$C:$C,盘货信息!$K:$K)&amp;"元以旧换新补贴（可无旧机换新）",""))</f>
        <v/>
      </c>
      <c r="P268" s="18" t="str">
        <f t="array" ref="P268">_xlfn.XLOOKUP(A268&amp;B268&amp;C268,赠品!$A:$A&amp;赠品!$B:$B&amp;赠品!$C:$C,赠品!$D:$D)</f>
        <v/>
      </c>
      <c r="Q268" s="18" t="str">
        <f>IF($C268="","",IF(AND(M268="",N268="",P268=""),"",固定信息!$B$1))</f>
        <v/>
      </c>
      <c r="R268" s="18" t="str">
        <f t="array" ref="R268">IF(ISNUMBER(SEARCH("是",_xlfn.XLOOKUP(A268&amp;B268&amp;C268,盘货信息!$A:$A&amp;盘货信息!$B:$B&amp;盘货信息!$C:$C,盘货信息!$U:$U))),"【折扣】指定型号满2类享96折，满3类享94折","")</f>
        <v/>
      </c>
      <c r="S268" s="18" t="str">
        <f t="array" ref="S268">IF(_xlfn.XLOOKUP(A268&amp;B268&amp;C268,盘货信息!$A:$A&amp;盘货信息!$B:$B&amp;盘货信息!$C:$C,盘货信息!$Q:$Q)&lt;1,"","【红包】活动时间购机送"&amp;_xlfn.TEXTJOIN("",,IF(ISNUMBER(--MID(_xlfn.XLOOKUP(A268&amp;B268&amp;C268,盘货信息!$A:$A&amp;盘货信息!$B:$B&amp;盘货信息!$C:$C,盘货信息!$Q:$Q),_xlfn.SEQUENCE(LEN(_xlfn.XLOOKUP(A268&amp;B268&amp;C268,盘货信息!$A:$A&amp;盘货信息!$B:$B&amp;盘货信息!$C:$C,盘货信息!$Q:$Q))),1)),MID(_xlfn.XLOOKUP(A268&amp;B268&amp;C268,盘货信息!$A:$A&amp;盘货信息!$B:$B&amp;盘货信息!$C:$C,盘货信息!$Q:$Q),_xlfn.SEQUENCE(LEN(_xlfn.XLOOKUP(A268&amp;B268&amp;C268,盘货信息!$A:$A&amp;盘货信息!$B:$B&amp;盘货信息!$C:$C,盘货信息!$Q:$Q))),1),""))&amp;"元")</f>
        <v/>
      </c>
      <c r="T268" s="18" t="str">
        <f t="array" ref="T268">IF(ISNUMBER(SEARCH("是",_xlfn.XLOOKUP(A268&amp;B268&amp;C268,盘货信息!$A:$A&amp;盘货信息!$B:$B&amp;盘货信息!$C:$C,盘货信息!$T:$T))),"【瓜分】"&amp;固定信息!$B$7,"")</f>
        <v/>
      </c>
      <c r="U268" s="18" t="str">
        <f>IF($C268="","",IF(AND(R268="",S268="",T268=""),"",固定信息!$B$1))</f>
        <v/>
      </c>
      <c r="V268" s="18" t="str">
        <f t="array" ref="V268">IF(C268="","","【服务】"&amp;IF(_xlfn.XLOOKUP(A268&amp;B268&amp;C268,盘货信息!$A:$A&amp;盘货信息!$B:$B&amp;盘货信息!$C:$C,盘货信息!$V:$V)="","",_xlfn.XLOOKUP(A268&amp;B268&amp;C268,盘货信息!$A:$A&amp;盘货信息!$B:$B&amp;盘货信息!$C:$C,盘货信息!$V:$V)&amp;"免息,")&amp;IF(_xlfn.XLOOKUP(A268&amp;B268&amp;C268,盘货信息!$A:$A&amp;盘货信息!$B:$B&amp;盘货信息!$C:$C,盘货信息!$W:$W)="","",_xlfn.XLOOKUP(A268&amp;B268&amp;C268,盘货信息!$A:$A&amp;盘货信息!$B:$B&amp;盘货信息!$C:$C,盘货信息!$W:$W)&amp;"，")&amp;"送货入户，退换免运费")</f>
        <v/>
      </c>
    </row>
    <row r="269" customHeight="1" spans="1:22">
      <c r="A269" s="17" t="str">
        <f>IF(盘货信息!A269="","",盘货信息!A269)</f>
        <v/>
      </c>
      <c r="B269" s="20" t="str">
        <f>IF(盘货信息!B269="","",盘货信息!B269)</f>
        <v/>
      </c>
      <c r="C269" s="18" t="str">
        <f>IF(盘货信息!C269="","",盘货信息!C269)</f>
        <v/>
      </c>
      <c r="D269" s="18" t="str">
        <f ca="1" t="shared" si="4"/>
        <v/>
      </c>
      <c r="E269" s="18" t="str">
        <f>IF(C269="","",固定信息!$B$2)</f>
        <v/>
      </c>
      <c r="F269" s="18" t="str">
        <f t="array" ref="F269">IF(C269="","","【"&amp;C269&amp;"】"&amp;_xlfn.XLOOKUP(A269&amp;B269&amp;C269,盘货信息!$A:$A&amp;盘货信息!$B:$B&amp;盘货信息!$C:$C,盘货信息!$D:$D))</f>
        <v/>
      </c>
      <c r="G269" s="18" t="str">
        <f>IF(C269="","","【"&amp;"活动时间："&amp;固定信息!$B$3&amp;"】")</f>
        <v/>
      </c>
      <c r="H269" s="18" t="str">
        <f>IF($C269="","",固定信息!$B$1)</f>
        <v/>
      </c>
      <c r="I269" s="18"/>
      <c r="J269" s="18" t="str">
        <f t="array" ref="J269">_xlfn.XLOOKUP(A269&amp;B269&amp;C269,价格信息!$A:$A&amp;价格信息!$B:$B&amp;价格信息!$C:$C,价格信息!$D:$D)</f>
        <v/>
      </c>
      <c r="K269" s="31" t="str">
        <f t="array" ref="K269">IF(_xlfn.XLOOKUP(A269&amp;B269&amp;C269,价格信息!$A:$A&amp;价格信息!$B:$B&amp;价格信息!$C:$C,价格信息!$I:$I)="","","【优惠券链接】"&amp;固定信息!$B$6)</f>
        <v/>
      </c>
      <c r="L269" s="31" t="str">
        <f>IF($C269="","",固定信息!$B$1)</f>
        <v/>
      </c>
      <c r="M269" s="18" t="str">
        <f t="array" ref="M269">IF(_xlfn.XLOOKUP(A269&amp;B269&amp;C269,盘货信息!$A:$A&amp;盘货信息!$B:$B&amp;盘货信息!$C:$C,盘货信息!$O:$O)="","","【优惠券】领"&amp;INDEX(_wpsfn.REGEXP(_xlfn.XLOOKUP(A269&amp;B269&amp;C269,盘货信息!$A:$A&amp;盘货信息!$B:$B&amp;盘货信息!$C:$C,盘货信息!$O:$O),"\d+"),1,1)&amp;"元优惠券下单更优惠，优惠卷："&amp;_xlfn.XLOOKUP(A269&amp;B269&amp;C269,盘货信息!$A:$A&amp;盘货信息!$B:$B&amp;盘货信息!$C:$C,盘货信息!$P:$P))</f>
        <v/>
      </c>
      <c r="N269" s="18" t="str">
        <f t="array" ref="N269">IF(AND(ISNUMBER(_xlfn.XLOOKUP(A269&amp;B269&amp;C269,盘货信息!$A:$A&amp;盘货信息!$B:$B&amp;盘货信息!$C:$C,盘货信息!$I:$I)),_xlfn.XLOOKUP(A269&amp;B269&amp;C269,盘货信息!$A:$A&amp;盘货信息!$B:$B&amp;盘货信息!$C:$C,盘货信息!$I:$I)&gt;1),"【88VIP】立减"&amp;_xlfn.XLOOKUP(A269&amp;B269&amp;C269,盘货信息!$A:$A&amp;盘货信息!$B:$B&amp;盘货信息!$C:$C,盘货信息!$I:$I)&amp;"元","")</f>
        <v/>
      </c>
      <c r="O269" s="18" t="str">
        <f t="array" ref="O269">IF(_xlfn.XLOOKUP(A269&amp;B269&amp;C269,盘货信息!$A:$A&amp;盘货信息!$B:$B&amp;盘货信息!$C:$C,盘货信息!$K:$K)="","",IF(AND(_xlfn.XLOOKUP(A269&amp;B269&amp;C269,盘货信息!$A:$A&amp;盘货信息!$B:$B&amp;盘货信息!$C:$C,盘货信息!$G:$G)="不参加",_xlfn.XLOOKUP(A269&amp;B269&amp;C269,盘货信息!$A:$A&amp;盘货信息!$B:$B&amp;盘货信息!$C:$C,盘货信息!$H:$H)=""),"【以旧换新】"&amp;_xlfn.XLOOKUP(A269&amp;B269&amp;C269,盘货信息!$A:$A&amp;盘货信息!$B:$B&amp;盘货信息!$C:$C,盘货信息!$K:$K)&amp;"元以旧换新补贴（可无旧机换新）",""))</f>
        <v/>
      </c>
      <c r="P269" s="18" t="str">
        <f t="array" ref="P269">_xlfn.XLOOKUP(A269&amp;B269&amp;C269,赠品!$A:$A&amp;赠品!$B:$B&amp;赠品!$C:$C,赠品!$D:$D)</f>
        <v/>
      </c>
      <c r="Q269" s="18" t="str">
        <f>IF($C269="","",IF(AND(M269="",N269="",P269=""),"",固定信息!$B$1))</f>
        <v/>
      </c>
      <c r="R269" s="18" t="str">
        <f t="array" ref="R269">IF(ISNUMBER(SEARCH("是",_xlfn.XLOOKUP(A269&amp;B269&amp;C269,盘货信息!$A:$A&amp;盘货信息!$B:$B&amp;盘货信息!$C:$C,盘货信息!$U:$U))),"【折扣】指定型号满2类享96折，满3类享94折","")</f>
        <v/>
      </c>
      <c r="S269" s="18" t="str">
        <f t="array" ref="S269">IF(_xlfn.XLOOKUP(A269&amp;B269&amp;C269,盘货信息!$A:$A&amp;盘货信息!$B:$B&amp;盘货信息!$C:$C,盘货信息!$Q:$Q)&lt;1,"","【红包】活动时间购机送"&amp;_xlfn.TEXTJOIN("",,IF(ISNUMBER(--MID(_xlfn.XLOOKUP(A269&amp;B269&amp;C269,盘货信息!$A:$A&amp;盘货信息!$B:$B&amp;盘货信息!$C:$C,盘货信息!$Q:$Q),_xlfn.SEQUENCE(LEN(_xlfn.XLOOKUP(A269&amp;B269&amp;C269,盘货信息!$A:$A&amp;盘货信息!$B:$B&amp;盘货信息!$C:$C,盘货信息!$Q:$Q))),1)),MID(_xlfn.XLOOKUP(A269&amp;B269&amp;C269,盘货信息!$A:$A&amp;盘货信息!$B:$B&amp;盘货信息!$C:$C,盘货信息!$Q:$Q),_xlfn.SEQUENCE(LEN(_xlfn.XLOOKUP(A269&amp;B269&amp;C269,盘货信息!$A:$A&amp;盘货信息!$B:$B&amp;盘货信息!$C:$C,盘货信息!$Q:$Q))),1),""))&amp;"元")</f>
        <v/>
      </c>
      <c r="T269" s="18" t="str">
        <f t="array" ref="T269">IF(ISNUMBER(SEARCH("是",_xlfn.XLOOKUP(A269&amp;B269&amp;C269,盘货信息!$A:$A&amp;盘货信息!$B:$B&amp;盘货信息!$C:$C,盘货信息!$T:$T))),"【瓜分】"&amp;固定信息!$B$7,"")</f>
        <v/>
      </c>
      <c r="U269" s="18" t="str">
        <f>IF($C269="","",IF(AND(R269="",S269="",T269=""),"",固定信息!$B$1))</f>
        <v/>
      </c>
      <c r="V269" s="18" t="str">
        <f t="array" ref="V269">IF(C269="","","【服务】"&amp;IF(_xlfn.XLOOKUP(A269&amp;B269&amp;C269,盘货信息!$A:$A&amp;盘货信息!$B:$B&amp;盘货信息!$C:$C,盘货信息!$V:$V)="","",_xlfn.XLOOKUP(A269&amp;B269&amp;C269,盘货信息!$A:$A&amp;盘货信息!$B:$B&amp;盘货信息!$C:$C,盘货信息!$V:$V)&amp;"免息,")&amp;IF(_xlfn.XLOOKUP(A269&amp;B269&amp;C269,盘货信息!$A:$A&amp;盘货信息!$B:$B&amp;盘货信息!$C:$C,盘货信息!$W:$W)="","",_xlfn.XLOOKUP(A269&amp;B269&amp;C269,盘货信息!$A:$A&amp;盘货信息!$B:$B&amp;盘货信息!$C:$C,盘货信息!$W:$W)&amp;"，")&amp;"送货入户，退换免运费")</f>
        <v/>
      </c>
    </row>
    <row r="270" customHeight="1" spans="1:22">
      <c r="A270" s="17" t="str">
        <f>IF(盘货信息!A270="","",盘货信息!A270)</f>
        <v/>
      </c>
      <c r="B270" s="20" t="str">
        <f>IF(盘货信息!B270="","",盘货信息!B270)</f>
        <v/>
      </c>
      <c r="C270" s="18" t="str">
        <f>IF(盘货信息!C270="","",盘货信息!C270)</f>
        <v/>
      </c>
      <c r="D270" s="18" t="str">
        <f ca="1" t="shared" si="4"/>
        <v/>
      </c>
      <c r="E270" s="18" t="str">
        <f>IF(C270="","",固定信息!$B$2)</f>
        <v/>
      </c>
      <c r="F270" s="18" t="str">
        <f t="array" ref="F270">IF(C270="","","【"&amp;C270&amp;"】"&amp;_xlfn.XLOOKUP(A270&amp;B270&amp;C270,盘货信息!$A:$A&amp;盘货信息!$B:$B&amp;盘货信息!$C:$C,盘货信息!$D:$D))</f>
        <v/>
      </c>
      <c r="G270" s="18" t="str">
        <f>IF(C270="","","【"&amp;"活动时间："&amp;固定信息!$B$3&amp;"】")</f>
        <v/>
      </c>
      <c r="H270" s="18" t="str">
        <f>IF($C270="","",固定信息!$B$1)</f>
        <v/>
      </c>
      <c r="I270" s="18"/>
      <c r="J270" s="18" t="str">
        <f t="array" ref="J270">_xlfn.XLOOKUP(A270&amp;B270&amp;C270,价格信息!$A:$A&amp;价格信息!$B:$B&amp;价格信息!$C:$C,价格信息!$D:$D)</f>
        <v/>
      </c>
      <c r="K270" s="31" t="str">
        <f t="array" ref="K270">IF(_xlfn.XLOOKUP(A270&amp;B270&amp;C270,价格信息!$A:$A&amp;价格信息!$B:$B&amp;价格信息!$C:$C,价格信息!$I:$I)="","","【优惠券链接】"&amp;固定信息!$B$6)</f>
        <v/>
      </c>
      <c r="L270" s="31" t="str">
        <f>IF($C270="","",固定信息!$B$1)</f>
        <v/>
      </c>
      <c r="M270" s="18" t="str">
        <f t="array" ref="M270">IF(_xlfn.XLOOKUP(A270&amp;B270&amp;C270,盘货信息!$A:$A&amp;盘货信息!$B:$B&amp;盘货信息!$C:$C,盘货信息!$O:$O)="","","【优惠券】领"&amp;INDEX(_wpsfn.REGEXP(_xlfn.XLOOKUP(A270&amp;B270&amp;C270,盘货信息!$A:$A&amp;盘货信息!$B:$B&amp;盘货信息!$C:$C,盘货信息!$O:$O),"\d+"),1,1)&amp;"元优惠券下单更优惠，优惠卷："&amp;_xlfn.XLOOKUP(A270&amp;B270&amp;C270,盘货信息!$A:$A&amp;盘货信息!$B:$B&amp;盘货信息!$C:$C,盘货信息!$P:$P))</f>
        <v/>
      </c>
      <c r="N270" s="18" t="str">
        <f t="array" ref="N270">IF(AND(ISNUMBER(_xlfn.XLOOKUP(A270&amp;B270&amp;C270,盘货信息!$A:$A&amp;盘货信息!$B:$B&amp;盘货信息!$C:$C,盘货信息!$I:$I)),_xlfn.XLOOKUP(A270&amp;B270&amp;C270,盘货信息!$A:$A&amp;盘货信息!$B:$B&amp;盘货信息!$C:$C,盘货信息!$I:$I)&gt;1),"【88VIP】立减"&amp;_xlfn.XLOOKUP(A270&amp;B270&amp;C270,盘货信息!$A:$A&amp;盘货信息!$B:$B&amp;盘货信息!$C:$C,盘货信息!$I:$I)&amp;"元","")</f>
        <v/>
      </c>
      <c r="O270" s="18" t="str">
        <f t="array" ref="O270">IF(_xlfn.XLOOKUP(A270&amp;B270&amp;C270,盘货信息!$A:$A&amp;盘货信息!$B:$B&amp;盘货信息!$C:$C,盘货信息!$K:$K)="","",IF(AND(_xlfn.XLOOKUP(A270&amp;B270&amp;C270,盘货信息!$A:$A&amp;盘货信息!$B:$B&amp;盘货信息!$C:$C,盘货信息!$G:$G)="不参加",_xlfn.XLOOKUP(A270&amp;B270&amp;C270,盘货信息!$A:$A&amp;盘货信息!$B:$B&amp;盘货信息!$C:$C,盘货信息!$H:$H)=""),"【以旧换新】"&amp;_xlfn.XLOOKUP(A270&amp;B270&amp;C270,盘货信息!$A:$A&amp;盘货信息!$B:$B&amp;盘货信息!$C:$C,盘货信息!$K:$K)&amp;"元以旧换新补贴（可无旧机换新）",""))</f>
        <v/>
      </c>
      <c r="P270" s="18" t="str">
        <f t="array" ref="P270">_xlfn.XLOOKUP(A270&amp;B270&amp;C270,赠品!$A:$A&amp;赠品!$B:$B&amp;赠品!$C:$C,赠品!$D:$D)</f>
        <v/>
      </c>
      <c r="Q270" s="18" t="str">
        <f>IF($C270="","",IF(AND(M270="",N270="",P270=""),"",固定信息!$B$1))</f>
        <v/>
      </c>
      <c r="R270" s="18" t="str">
        <f t="array" ref="R270">IF(ISNUMBER(SEARCH("是",_xlfn.XLOOKUP(A270&amp;B270&amp;C270,盘货信息!$A:$A&amp;盘货信息!$B:$B&amp;盘货信息!$C:$C,盘货信息!$U:$U))),"【折扣】指定型号满2类享96折，满3类享94折","")</f>
        <v/>
      </c>
      <c r="S270" s="18" t="str">
        <f t="array" ref="S270">IF(_xlfn.XLOOKUP(A270&amp;B270&amp;C270,盘货信息!$A:$A&amp;盘货信息!$B:$B&amp;盘货信息!$C:$C,盘货信息!$Q:$Q)&lt;1,"","【红包】活动时间购机送"&amp;_xlfn.TEXTJOIN("",,IF(ISNUMBER(--MID(_xlfn.XLOOKUP(A270&amp;B270&amp;C270,盘货信息!$A:$A&amp;盘货信息!$B:$B&amp;盘货信息!$C:$C,盘货信息!$Q:$Q),_xlfn.SEQUENCE(LEN(_xlfn.XLOOKUP(A270&amp;B270&amp;C270,盘货信息!$A:$A&amp;盘货信息!$B:$B&amp;盘货信息!$C:$C,盘货信息!$Q:$Q))),1)),MID(_xlfn.XLOOKUP(A270&amp;B270&amp;C270,盘货信息!$A:$A&amp;盘货信息!$B:$B&amp;盘货信息!$C:$C,盘货信息!$Q:$Q),_xlfn.SEQUENCE(LEN(_xlfn.XLOOKUP(A270&amp;B270&amp;C270,盘货信息!$A:$A&amp;盘货信息!$B:$B&amp;盘货信息!$C:$C,盘货信息!$Q:$Q))),1),""))&amp;"元")</f>
        <v/>
      </c>
      <c r="T270" s="18" t="str">
        <f t="array" ref="T270">IF(ISNUMBER(SEARCH("是",_xlfn.XLOOKUP(A270&amp;B270&amp;C270,盘货信息!$A:$A&amp;盘货信息!$B:$B&amp;盘货信息!$C:$C,盘货信息!$T:$T))),"【瓜分】"&amp;固定信息!$B$7,"")</f>
        <v/>
      </c>
      <c r="U270" s="18" t="str">
        <f>IF($C270="","",IF(AND(R270="",S270="",T270=""),"",固定信息!$B$1))</f>
        <v/>
      </c>
      <c r="V270" s="18" t="str">
        <f t="array" ref="V270">IF(C270="","","【服务】"&amp;IF(_xlfn.XLOOKUP(A270&amp;B270&amp;C270,盘货信息!$A:$A&amp;盘货信息!$B:$B&amp;盘货信息!$C:$C,盘货信息!$V:$V)="","",_xlfn.XLOOKUP(A270&amp;B270&amp;C270,盘货信息!$A:$A&amp;盘货信息!$B:$B&amp;盘货信息!$C:$C,盘货信息!$V:$V)&amp;"免息,")&amp;IF(_xlfn.XLOOKUP(A270&amp;B270&amp;C270,盘货信息!$A:$A&amp;盘货信息!$B:$B&amp;盘货信息!$C:$C,盘货信息!$W:$W)="","",_xlfn.XLOOKUP(A270&amp;B270&amp;C270,盘货信息!$A:$A&amp;盘货信息!$B:$B&amp;盘货信息!$C:$C,盘货信息!$W:$W)&amp;"，")&amp;"送货入户，退换免运费")</f>
        <v/>
      </c>
    </row>
    <row r="271" customHeight="1" spans="1:22">
      <c r="A271" s="17" t="str">
        <f>IF(盘货信息!A271="","",盘货信息!A271)</f>
        <v/>
      </c>
      <c r="B271" s="20" t="str">
        <f>IF(盘货信息!B271="","",盘货信息!B271)</f>
        <v/>
      </c>
      <c r="C271" s="18" t="str">
        <f>IF(盘货信息!C271="","",盘货信息!C271)</f>
        <v/>
      </c>
      <c r="D271" s="18" t="str">
        <f ca="1" t="shared" si="4"/>
        <v/>
      </c>
      <c r="E271" s="18" t="str">
        <f>IF(C271="","",固定信息!$B$2)</f>
        <v/>
      </c>
      <c r="F271" s="18" t="str">
        <f t="array" ref="F271">IF(C271="","","【"&amp;C271&amp;"】"&amp;_xlfn.XLOOKUP(A271&amp;B271&amp;C271,盘货信息!$A:$A&amp;盘货信息!$B:$B&amp;盘货信息!$C:$C,盘货信息!$D:$D))</f>
        <v/>
      </c>
      <c r="G271" s="18" t="str">
        <f>IF(C271="","","【"&amp;"活动时间："&amp;固定信息!$B$3&amp;"】")</f>
        <v/>
      </c>
      <c r="H271" s="18" t="str">
        <f>IF($C271="","",固定信息!$B$1)</f>
        <v/>
      </c>
      <c r="I271" s="18"/>
      <c r="J271" s="18" t="str">
        <f t="array" ref="J271">_xlfn.XLOOKUP(A271&amp;B271&amp;C271,价格信息!$A:$A&amp;价格信息!$B:$B&amp;价格信息!$C:$C,价格信息!$D:$D)</f>
        <v/>
      </c>
      <c r="K271" s="31" t="str">
        <f t="array" ref="K271">IF(_xlfn.XLOOKUP(A271&amp;B271&amp;C271,价格信息!$A:$A&amp;价格信息!$B:$B&amp;价格信息!$C:$C,价格信息!$I:$I)="","","【优惠券链接】"&amp;固定信息!$B$6)</f>
        <v/>
      </c>
      <c r="L271" s="31" t="str">
        <f>IF($C271="","",固定信息!$B$1)</f>
        <v/>
      </c>
      <c r="M271" s="18" t="str">
        <f t="array" ref="M271">IF(_xlfn.XLOOKUP(A271&amp;B271&amp;C271,盘货信息!$A:$A&amp;盘货信息!$B:$B&amp;盘货信息!$C:$C,盘货信息!$O:$O)="","","【优惠券】领"&amp;INDEX(_wpsfn.REGEXP(_xlfn.XLOOKUP(A271&amp;B271&amp;C271,盘货信息!$A:$A&amp;盘货信息!$B:$B&amp;盘货信息!$C:$C,盘货信息!$O:$O),"\d+"),1,1)&amp;"元优惠券下单更优惠，优惠卷："&amp;_xlfn.XLOOKUP(A271&amp;B271&amp;C271,盘货信息!$A:$A&amp;盘货信息!$B:$B&amp;盘货信息!$C:$C,盘货信息!$P:$P))</f>
        <v/>
      </c>
      <c r="N271" s="18" t="str">
        <f t="array" ref="N271">IF(AND(ISNUMBER(_xlfn.XLOOKUP(A271&amp;B271&amp;C271,盘货信息!$A:$A&amp;盘货信息!$B:$B&amp;盘货信息!$C:$C,盘货信息!$I:$I)),_xlfn.XLOOKUP(A271&amp;B271&amp;C271,盘货信息!$A:$A&amp;盘货信息!$B:$B&amp;盘货信息!$C:$C,盘货信息!$I:$I)&gt;1),"【88VIP】立减"&amp;_xlfn.XLOOKUP(A271&amp;B271&amp;C271,盘货信息!$A:$A&amp;盘货信息!$B:$B&amp;盘货信息!$C:$C,盘货信息!$I:$I)&amp;"元","")</f>
        <v/>
      </c>
      <c r="O271" s="18" t="str">
        <f t="array" ref="O271">IF(_xlfn.XLOOKUP(A271&amp;B271&amp;C271,盘货信息!$A:$A&amp;盘货信息!$B:$B&amp;盘货信息!$C:$C,盘货信息!$K:$K)="","",IF(AND(_xlfn.XLOOKUP(A271&amp;B271&amp;C271,盘货信息!$A:$A&amp;盘货信息!$B:$B&amp;盘货信息!$C:$C,盘货信息!$G:$G)="不参加",_xlfn.XLOOKUP(A271&amp;B271&amp;C271,盘货信息!$A:$A&amp;盘货信息!$B:$B&amp;盘货信息!$C:$C,盘货信息!$H:$H)=""),"【以旧换新】"&amp;_xlfn.XLOOKUP(A271&amp;B271&amp;C271,盘货信息!$A:$A&amp;盘货信息!$B:$B&amp;盘货信息!$C:$C,盘货信息!$K:$K)&amp;"元以旧换新补贴（可无旧机换新）",""))</f>
        <v/>
      </c>
      <c r="P271" s="18" t="str">
        <f t="array" ref="P271">_xlfn.XLOOKUP(A271&amp;B271&amp;C271,赠品!$A:$A&amp;赠品!$B:$B&amp;赠品!$C:$C,赠品!$D:$D)</f>
        <v/>
      </c>
      <c r="Q271" s="18" t="str">
        <f>IF($C271="","",IF(AND(M271="",N271="",P271=""),"",固定信息!$B$1))</f>
        <v/>
      </c>
      <c r="R271" s="18" t="str">
        <f t="array" ref="R271">IF(ISNUMBER(SEARCH("是",_xlfn.XLOOKUP(A271&amp;B271&amp;C271,盘货信息!$A:$A&amp;盘货信息!$B:$B&amp;盘货信息!$C:$C,盘货信息!$U:$U))),"【折扣】指定型号满2类享96折，满3类享94折","")</f>
        <v/>
      </c>
      <c r="S271" s="18" t="str">
        <f t="array" ref="S271">IF(_xlfn.XLOOKUP(A271&amp;B271&amp;C271,盘货信息!$A:$A&amp;盘货信息!$B:$B&amp;盘货信息!$C:$C,盘货信息!$Q:$Q)&lt;1,"","【红包】活动时间购机送"&amp;_xlfn.TEXTJOIN("",,IF(ISNUMBER(--MID(_xlfn.XLOOKUP(A271&amp;B271&amp;C271,盘货信息!$A:$A&amp;盘货信息!$B:$B&amp;盘货信息!$C:$C,盘货信息!$Q:$Q),_xlfn.SEQUENCE(LEN(_xlfn.XLOOKUP(A271&amp;B271&amp;C271,盘货信息!$A:$A&amp;盘货信息!$B:$B&amp;盘货信息!$C:$C,盘货信息!$Q:$Q))),1)),MID(_xlfn.XLOOKUP(A271&amp;B271&amp;C271,盘货信息!$A:$A&amp;盘货信息!$B:$B&amp;盘货信息!$C:$C,盘货信息!$Q:$Q),_xlfn.SEQUENCE(LEN(_xlfn.XLOOKUP(A271&amp;B271&amp;C271,盘货信息!$A:$A&amp;盘货信息!$B:$B&amp;盘货信息!$C:$C,盘货信息!$Q:$Q))),1),""))&amp;"元")</f>
        <v/>
      </c>
      <c r="T271" s="18" t="str">
        <f t="array" ref="T271">IF(ISNUMBER(SEARCH("是",_xlfn.XLOOKUP(A271&amp;B271&amp;C271,盘货信息!$A:$A&amp;盘货信息!$B:$B&amp;盘货信息!$C:$C,盘货信息!$T:$T))),"【瓜分】"&amp;固定信息!$B$7,"")</f>
        <v/>
      </c>
      <c r="U271" s="18" t="str">
        <f>IF($C271="","",IF(AND(R271="",S271="",T271=""),"",固定信息!$B$1))</f>
        <v/>
      </c>
      <c r="V271" s="18" t="str">
        <f t="array" ref="V271">IF(C271="","","【服务】"&amp;IF(_xlfn.XLOOKUP(A271&amp;B271&amp;C271,盘货信息!$A:$A&amp;盘货信息!$B:$B&amp;盘货信息!$C:$C,盘货信息!$V:$V)="","",_xlfn.XLOOKUP(A271&amp;B271&amp;C271,盘货信息!$A:$A&amp;盘货信息!$B:$B&amp;盘货信息!$C:$C,盘货信息!$V:$V)&amp;"免息,")&amp;IF(_xlfn.XLOOKUP(A271&amp;B271&amp;C271,盘货信息!$A:$A&amp;盘货信息!$B:$B&amp;盘货信息!$C:$C,盘货信息!$W:$W)="","",_xlfn.XLOOKUP(A271&amp;B271&amp;C271,盘货信息!$A:$A&amp;盘货信息!$B:$B&amp;盘货信息!$C:$C,盘货信息!$W:$W)&amp;"，")&amp;"送货入户，退换免运费")</f>
        <v/>
      </c>
    </row>
    <row r="272" customHeight="1" spans="1:22">
      <c r="A272" s="17" t="str">
        <f>IF(盘货信息!A272="","",盘货信息!A272)</f>
        <v/>
      </c>
      <c r="B272" s="20" t="str">
        <f>IF(盘货信息!B272="","",盘货信息!B272)</f>
        <v/>
      </c>
      <c r="C272" s="18" t="str">
        <f>IF(盘货信息!C272="","",盘货信息!C272)</f>
        <v/>
      </c>
      <c r="D272" s="18" t="str">
        <f ca="1" t="shared" si="4"/>
        <v/>
      </c>
      <c r="E272" s="18" t="str">
        <f>IF(C272="","",固定信息!$B$2)</f>
        <v/>
      </c>
      <c r="F272" s="18" t="str">
        <f t="array" ref="F272">IF(C272="","","【"&amp;C272&amp;"】"&amp;_xlfn.XLOOKUP(A272&amp;B272&amp;C272,盘货信息!$A:$A&amp;盘货信息!$B:$B&amp;盘货信息!$C:$C,盘货信息!$D:$D))</f>
        <v/>
      </c>
      <c r="G272" s="18" t="str">
        <f>IF(C272="","","【"&amp;"活动时间："&amp;固定信息!$B$3&amp;"】")</f>
        <v/>
      </c>
      <c r="H272" s="18" t="str">
        <f>IF($C272="","",固定信息!$B$1)</f>
        <v/>
      </c>
      <c r="I272" s="18"/>
      <c r="J272" s="18" t="str">
        <f t="array" ref="J272">_xlfn.XLOOKUP(A272&amp;B272&amp;C272,价格信息!$A:$A&amp;价格信息!$B:$B&amp;价格信息!$C:$C,价格信息!$D:$D)</f>
        <v/>
      </c>
      <c r="K272" s="31" t="str">
        <f t="array" ref="K272">IF(_xlfn.XLOOKUP(A272&amp;B272&amp;C272,价格信息!$A:$A&amp;价格信息!$B:$B&amp;价格信息!$C:$C,价格信息!$I:$I)="","","【优惠券链接】"&amp;固定信息!$B$6)</f>
        <v/>
      </c>
      <c r="L272" s="31" t="str">
        <f>IF($C272="","",固定信息!$B$1)</f>
        <v/>
      </c>
      <c r="M272" s="18" t="str">
        <f t="array" ref="M272">IF(_xlfn.XLOOKUP(A272&amp;B272&amp;C272,盘货信息!$A:$A&amp;盘货信息!$B:$B&amp;盘货信息!$C:$C,盘货信息!$O:$O)="","","【优惠券】领"&amp;INDEX(_wpsfn.REGEXP(_xlfn.XLOOKUP(A272&amp;B272&amp;C272,盘货信息!$A:$A&amp;盘货信息!$B:$B&amp;盘货信息!$C:$C,盘货信息!$O:$O),"\d+"),1,1)&amp;"元优惠券下单更优惠，优惠卷："&amp;_xlfn.XLOOKUP(A272&amp;B272&amp;C272,盘货信息!$A:$A&amp;盘货信息!$B:$B&amp;盘货信息!$C:$C,盘货信息!$P:$P))</f>
        <v/>
      </c>
      <c r="N272" s="18" t="str">
        <f t="array" ref="N272">IF(AND(ISNUMBER(_xlfn.XLOOKUP(A272&amp;B272&amp;C272,盘货信息!$A:$A&amp;盘货信息!$B:$B&amp;盘货信息!$C:$C,盘货信息!$I:$I)),_xlfn.XLOOKUP(A272&amp;B272&amp;C272,盘货信息!$A:$A&amp;盘货信息!$B:$B&amp;盘货信息!$C:$C,盘货信息!$I:$I)&gt;1),"【88VIP】立减"&amp;_xlfn.XLOOKUP(A272&amp;B272&amp;C272,盘货信息!$A:$A&amp;盘货信息!$B:$B&amp;盘货信息!$C:$C,盘货信息!$I:$I)&amp;"元","")</f>
        <v/>
      </c>
      <c r="O272" s="18" t="str">
        <f t="array" ref="O272">IF(_xlfn.XLOOKUP(A272&amp;B272&amp;C272,盘货信息!$A:$A&amp;盘货信息!$B:$B&amp;盘货信息!$C:$C,盘货信息!$K:$K)="","",IF(AND(_xlfn.XLOOKUP(A272&amp;B272&amp;C272,盘货信息!$A:$A&amp;盘货信息!$B:$B&amp;盘货信息!$C:$C,盘货信息!$G:$G)="不参加",_xlfn.XLOOKUP(A272&amp;B272&amp;C272,盘货信息!$A:$A&amp;盘货信息!$B:$B&amp;盘货信息!$C:$C,盘货信息!$H:$H)=""),"【以旧换新】"&amp;_xlfn.XLOOKUP(A272&amp;B272&amp;C272,盘货信息!$A:$A&amp;盘货信息!$B:$B&amp;盘货信息!$C:$C,盘货信息!$K:$K)&amp;"元以旧换新补贴（可无旧机换新）",""))</f>
        <v/>
      </c>
      <c r="P272" s="18" t="str">
        <f t="array" ref="P272">_xlfn.XLOOKUP(A272&amp;B272&amp;C272,赠品!$A:$A&amp;赠品!$B:$B&amp;赠品!$C:$C,赠品!$D:$D)</f>
        <v/>
      </c>
      <c r="Q272" s="18" t="str">
        <f>IF($C272="","",IF(AND(M272="",N272="",P272=""),"",固定信息!$B$1))</f>
        <v/>
      </c>
      <c r="R272" s="18" t="str">
        <f t="array" ref="R272">IF(ISNUMBER(SEARCH("是",_xlfn.XLOOKUP(A272&amp;B272&amp;C272,盘货信息!$A:$A&amp;盘货信息!$B:$B&amp;盘货信息!$C:$C,盘货信息!$U:$U))),"【折扣】指定型号满2类享96折，满3类享94折","")</f>
        <v/>
      </c>
      <c r="S272" s="18" t="str">
        <f t="array" ref="S272">IF(_xlfn.XLOOKUP(A272&amp;B272&amp;C272,盘货信息!$A:$A&amp;盘货信息!$B:$B&amp;盘货信息!$C:$C,盘货信息!$Q:$Q)&lt;1,"","【红包】活动时间购机送"&amp;_xlfn.TEXTJOIN("",,IF(ISNUMBER(--MID(_xlfn.XLOOKUP(A272&amp;B272&amp;C272,盘货信息!$A:$A&amp;盘货信息!$B:$B&amp;盘货信息!$C:$C,盘货信息!$Q:$Q),_xlfn.SEQUENCE(LEN(_xlfn.XLOOKUP(A272&amp;B272&amp;C272,盘货信息!$A:$A&amp;盘货信息!$B:$B&amp;盘货信息!$C:$C,盘货信息!$Q:$Q))),1)),MID(_xlfn.XLOOKUP(A272&amp;B272&amp;C272,盘货信息!$A:$A&amp;盘货信息!$B:$B&amp;盘货信息!$C:$C,盘货信息!$Q:$Q),_xlfn.SEQUENCE(LEN(_xlfn.XLOOKUP(A272&amp;B272&amp;C272,盘货信息!$A:$A&amp;盘货信息!$B:$B&amp;盘货信息!$C:$C,盘货信息!$Q:$Q))),1),""))&amp;"元")</f>
        <v/>
      </c>
      <c r="T272" s="18" t="str">
        <f t="array" ref="T272">IF(ISNUMBER(SEARCH("是",_xlfn.XLOOKUP(A272&amp;B272&amp;C272,盘货信息!$A:$A&amp;盘货信息!$B:$B&amp;盘货信息!$C:$C,盘货信息!$T:$T))),"【瓜分】"&amp;固定信息!$B$7,"")</f>
        <v/>
      </c>
      <c r="U272" s="18" t="str">
        <f>IF($C272="","",IF(AND(R272="",S272="",T272=""),"",固定信息!$B$1))</f>
        <v/>
      </c>
      <c r="V272" s="18" t="str">
        <f t="array" ref="V272">IF(C272="","","【服务】"&amp;IF(_xlfn.XLOOKUP(A272&amp;B272&amp;C272,盘货信息!$A:$A&amp;盘货信息!$B:$B&amp;盘货信息!$C:$C,盘货信息!$V:$V)="","",_xlfn.XLOOKUP(A272&amp;B272&amp;C272,盘货信息!$A:$A&amp;盘货信息!$B:$B&amp;盘货信息!$C:$C,盘货信息!$V:$V)&amp;"免息,")&amp;IF(_xlfn.XLOOKUP(A272&amp;B272&amp;C272,盘货信息!$A:$A&amp;盘货信息!$B:$B&amp;盘货信息!$C:$C,盘货信息!$W:$W)="","",_xlfn.XLOOKUP(A272&amp;B272&amp;C272,盘货信息!$A:$A&amp;盘货信息!$B:$B&amp;盘货信息!$C:$C,盘货信息!$W:$W)&amp;"，")&amp;"送货入户，退换免运费")</f>
        <v/>
      </c>
    </row>
    <row r="273" customHeight="1" spans="1:22">
      <c r="A273" s="17" t="str">
        <f>IF(盘货信息!A273="","",盘货信息!A273)</f>
        <v/>
      </c>
      <c r="B273" s="20" t="str">
        <f>IF(盘货信息!B273="","",盘货信息!B273)</f>
        <v/>
      </c>
      <c r="C273" s="18" t="str">
        <f>IF(盘货信息!C273="","",盘货信息!C273)</f>
        <v/>
      </c>
      <c r="D273" s="18" t="str">
        <f ca="1" t="shared" si="4"/>
        <v/>
      </c>
      <c r="E273" s="18" t="str">
        <f>IF(C273="","",固定信息!$B$2)</f>
        <v/>
      </c>
      <c r="F273" s="18" t="str">
        <f t="array" ref="F273">IF(C273="","","【"&amp;C273&amp;"】"&amp;_xlfn.XLOOKUP(A273&amp;B273&amp;C273,盘货信息!$A:$A&amp;盘货信息!$B:$B&amp;盘货信息!$C:$C,盘货信息!$D:$D))</f>
        <v/>
      </c>
      <c r="G273" s="18" t="str">
        <f>IF(C273="","","【"&amp;"活动时间："&amp;固定信息!$B$3&amp;"】")</f>
        <v/>
      </c>
      <c r="H273" s="18" t="str">
        <f>IF($C273="","",固定信息!$B$1)</f>
        <v/>
      </c>
      <c r="I273" s="18"/>
      <c r="J273" s="18" t="str">
        <f t="array" ref="J273">_xlfn.XLOOKUP(A273&amp;B273&amp;C273,价格信息!$A:$A&amp;价格信息!$B:$B&amp;价格信息!$C:$C,价格信息!$D:$D)</f>
        <v/>
      </c>
      <c r="K273" s="31" t="str">
        <f t="array" ref="K273">IF(_xlfn.XLOOKUP(A273&amp;B273&amp;C273,价格信息!$A:$A&amp;价格信息!$B:$B&amp;价格信息!$C:$C,价格信息!$I:$I)="","","【优惠券链接】"&amp;固定信息!$B$6)</f>
        <v/>
      </c>
      <c r="L273" s="31" t="str">
        <f>IF($C273="","",固定信息!$B$1)</f>
        <v/>
      </c>
      <c r="M273" s="18" t="str">
        <f t="array" ref="M273">IF(_xlfn.XLOOKUP(A273&amp;B273&amp;C273,盘货信息!$A:$A&amp;盘货信息!$B:$B&amp;盘货信息!$C:$C,盘货信息!$O:$O)="","","【优惠券】领"&amp;INDEX(_wpsfn.REGEXP(_xlfn.XLOOKUP(A273&amp;B273&amp;C273,盘货信息!$A:$A&amp;盘货信息!$B:$B&amp;盘货信息!$C:$C,盘货信息!$O:$O),"\d+"),1,1)&amp;"元优惠券下单更优惠，优惠卷："&amp;_xlfn.XLOOKUP(A273&amp;B273&amp;C273,盘货信息!$A:$A&amp;盘货信息!$B:$B&amp;盘货信息!$C:$C,盘货信息!$P:$P))</f>
        <v/>
      </c>
      <c r="N273" s="18" t="str">
        <f t="array" ref="N273">IF(AND(ISNUMBER(_xlfn.XLOOKUP(A273&amp;B273&amp;C273,盘货信息!$A:$A&amp;盘货信息!$B:$B&amp;盘货信息!$C:$C,盘货信息!$I:$I)),_xlfn.XLOOKUP(A273&amp;B273&amp;C273,盘货信息!$A:$A&amp;盘货信息!$B:$B&amp;盘货信息!$C:$C,盘货信息!$I:$I)&gt;1),"【88VIP】立减"&amp;_xlfn.XLOOKUP(A273&amp;B273&amp;C273,盘货信息!$A:$A&amp;盘货信息!$B:$B&amp;盘货信息!$C:$C,盘货信息!$I:$I)&amp;"元","")</f>
        <v/>
      </c>
      <c r="O273" s="18" t="str">
        <f t="array" ref="O273">IF(_xlfn.XLOOKUP(A273&amp;B273&amp;C273,盘货信息!$A:$A&amp;盘货信息!$B:$B&amp;盘货信息!$C:$C,盘货信息!$K:$K)="","",IF(AND(_xlfn.XLOOKUP(A273&amp;B273&amp;C273,盘货信息!$A:$A&amp;盘货信息!$B:$B&amp;盘货信息!$C:$C,盘货信息!$G:$G)="不参加",_xlfn.XLOOKUP(A273&amp;B273&amp;C273,盘货信息!$A:$A&amp;盘货信息!$B:$B&amp;盘货信息!$C:$C,盘货信息!$H:$H)=""),"【以旧换新】"&amp;_xlfn.XLOOKUP(A273&amp;B273&amp;C273,盘货信息!$A:$A&amp;盘货信息!$B:$B&amp;盘货信息!$C:$C,盘货信息!$K:$K)&amp;"元以旧换新补贴（可无旧机换新）",""))</f>
        <v/>
      </c>
      <c r="P273" s="18" t="str">
        <f t="array" ref="P273">_xlfn.XLOOKUP(A273&amp;B273&amp;C273,赠品!$A:$A&amp;赠品!$B:$B&amp;赠品!$C:$C,赠品!$D:$D)</f>
        <v/>
      </c>
      <c r="Q273" s="18" t="str">
        <f>IF($C273="","",IF(AND(M273="",N273="",P273=""),"",固定信息!$B$1))</f>
        <v/>
      </c>
      <c r="R273" s="18" t="str">
        <f t="array" ref="R273">IF(ISNUMBER(SEARCH("是",_xlfn.XLOOKUP(A273&amp;B273&amp;C273,盘货信息!$A:$A&amp;盘货信息!$B:$B&amp;盘货信息!$C:$C,盘货信息!$U:$U))),"【折扣】指定型号满2类享96折，满3类享94折","")</f>
        <v/>
      </c>
      <c r="S273" s="18" t="str">
        <f t="array" ref="S273">IF(_xlfn.XLOOKUP(A273&amp;B273&amp;C273,盘货信息!$A:$A&amp;盘货信息!$B:$B&amp;盘货信息!$C:$C,盘货信息!$Q:$Q)&lt;1,"","【红包】活动时间购机送"&amp;_xlfn.TEXTJOIN("",,IF(ISNUMBER(--MID(_xlfn.XLOOKUP(A273&amp;B273&amp;C273,盘货信息!$A:$A&amp;盘货信息!$B:$B&amp;盘货信息!$C:$C,盘货信息!$Q:$Q),_xlfn.SEQUENCE(LEN(_xlfn.XLOOKUP(A273&amp;B273&amp;C273,盘货信息!$A:$A&amp;盘货信息!$B:$B&amp;盘货信息!$C:$C,盘货信息!$Q:$Q))),1)),MID(_xlfn.XLOOKUP(A273&amp;B273&amp;C273,盘货信息!$A:$A&amp;盘货信息!$B:$B&amp;盘货信息!$C:$C,盘货信息!$Q:$Q),_xlfn.SEQUENCE(LEN(_xlfn.XLOOKUP(A273&amp;B273&amp;C273,盘货信息!$A:$A&amp;盘货信息!$B:$B&amp;盘货信息!$C:$C,盘货信息!$Q:$Q))),1),""))&amp;"元")</f>
        <v/>
      </c>
      <c r="T273" s="18" t="str">
        <f t="array" ref="T273">IF(ISNUMBER(SEARCH("是",_xlfn.XLOOKUP(A273&amp;B273&amp;C273,盘货信息!$A:$A&amp;盘货信息!$B:$B&amp;盘货信息!$C:$C,盘货信息!$T:$T))),"【瓜分】"&amp;固定信息!$B$7,"")</f>
        <v/>
      </c>
      <c r="U273" s="18" t="str">
        <f>IF($C273="","",IF(AND(R273="",S273="",T273=""),"",固定信息!$B$1))</f>
        <v/>
      </c>
      <c r="V273" s="18" t="str">
        <f t="array" ref="V273">IF(C273="","","【服务】"&amp;IF(_xlfn.XLOOKUP(A273&amp;B273&amp;C273,盘货信息!$A:$A&amp;盘货信息!$B:$B&amp;盘货信息!$C:$C,盘货信息!$V:$V)="","",_xlfn.XLOOKUP(A273&amp;B273&amp;C273,盘货信息!$A:$A&amp;盘货信息!$B:$B&amp;盘货信息!$C:$C,盘货信息!$V:$V)&amp;"免息,")&amp;IF(_xlfn.XLOOKUP(A273&amp;B273&amp;C273,盘货信息!$A:$A&amp;盘货信息!$B:$B&amp;盘货信息!$C:$C,盘货信息!$W:$W)="","",_xlfn.XLOOKUP(A273&amp;B273&amp;C273,盘货信息!$A:$A&amp;盘货信息!$B:$B&amp;盘货信息!$C:$C,盘货信息!$W:$W)&amp;"，")&amp;"送货入户，退换免运费")</f>
        <v/>
      </c>
    </row>
    <row r="274" customHeight="1" spans="1:22">
      <c r="A274" s="17" t="str">
        <f>IF(盘货信息!A274="","",盘货信息!A274)</f>
        <v/>
      </c>
      <c r="B274" s="20" t="str">
        <f>IF(盘货信息!B274="","",盘货信息!B274)</f>
        <v/>
      </c>
      <c r="C274" s="18" t="str">
        <f>IF(盘货信息!C274="","",盘货信息!C274)</f>
        <v/>
      </c>
      <c r="D274" s="18" t="str">
        <f ca="1" t="shared" si="4"/>
        <v/>
      </c>
      <c r="E274" s="18" t="str">
        <f>IF(C274="","",固定信息!$B$2)</f>
        <v/>
      </c>
      <c r="F274" s="18" t="str">
        <f t="array" ref="F274">IF(C274="","","【"&amp;C274&amp;"】"&amp;_xlfn.XLOOKUP(A274&amp;B274&amp;C274,盘货信息!$A:$A&amp;盘货信息!$B:$B&amp;盘货信息!$C:$C,盘货信息!$D:$D))</f>
        <v/>
      </c>
      <c r="G274" s="18" t="str">
        <f>IF(C274="","","【"&amp;"活动时间："&amp;固定信息!$B$3&amp;"】")</f>
        <v/>
      </c>
      <c r="H274" s="18" t="str">
        <f>IF($C274="","",固定信息!$B$1)</f>
        <v/>
      </c>
      <c r="I274" s="18"/>
      <c r="J274" s="18" t="str">
        <f t="array" ref="J274">_xlfn.XLOOKUP(A274&amp;B274&amp;C274,价格信息!$A:$A&amp;价格信息!$B:$B&amp;价格信息!$C:$C,价格信息!$D:$D)</f>
        <v/>
      </c>
      <c r="K274" s="31" t="str">
        <f t="array" ref="K274">IF(_xlfn.XLOOKUP(A274&amp;B274&amp;C274,价格信息!$A:$A&amp;价格信息!$B:$B&amp;价格信息!$C:$C,价格信息!$I:$I)="","","【优惠券链接】"&amp;固定信息!$B$6)</f>
        <v/>
      </c>
      <c r="L274" s="31" t="str">
        <f>IF($C274="","",固定信息!$B$1)</f>
        <v/>
      </c>
      <c r="M274" s="18" t="str">
        <f t="array" ref="M274">IF(_xlfn.XLOOKUP(A274&amp;B274&amp;C274,盘货信息!$A:$A&amp;盘货信息!$B:$B&amp;盘货信息!$C:$C,盘货信息!$O:$O)="","","【优惠券】领"&amp;INDEX(_wpsfn.REGEXP(_xlfn.XLOOKUP(A274&amp;B274&amp;C274,盘货信息!$A:$A&amp;盘货信息!$B:$B&amp;盘货信息!$C:$C,盘货信息!$O:$O),"\d+"),1,1)&amp;"元优惠券下单更优惠，优惠卷："&amp;_xlfn.XLOOKUP(A274&amp;B274&amp;C274,盘货信息!$A:$A&amp;盘货信息!$B:$B&amp;盘货信息!$C:$C,盘货信息!$P:$P))</f>
        <v/>
      </c>
      <c r="N274" s="18" t="str">
        <f t="array" ref="N274">IF(AND(ISNUMBER(_xlfn.XLOOKUP(A274&amp;B274&amp;C274,盘货信息!$A:$A&amp;盘货信息!$B:$B&amp;盘货信息!$C:$C,盘货信息!$I:$I)),_xlfn.XLOOKUP(A274&amp;B274&amp;C274,盘货信息!$A:$A&amp;盘货信息!$B:$B&amp;盘货信息!$C:$C,盘货信息!$I:$I)&gt;1),"【88VIP】立减"&amp;_xlfn.XLOOKUP(A274&amp;B274&amp;C274,盘货信息!$A:$A&amp;盘货信息!$B:$B&amp;盘货信息!$C:$C,盘货信息!$I:$I)&amp;"元","")</f>
        <v/>
      </c>
      <c r="O274" s="18" t="str">
        <f t="array" ref="O274">IF(_xlfn.XLOOKUP(A274&amp;B274&amp;C274,盘货信息!$A:$A&amp;盘货信息!$B:$B&amp;盘货信息!$C:$C,盘货信息!$K:$K)="","",IF(AND(_xlfn.XLOOKUP(A274&amp;B274&amp;C274,盘货信息!$A:$A&amp;盘货信息!$B:$B&amp;盘货信息!$C:$C,盘货信息!$G:$G)="不参加",_xlfn.XLOOKUP(A274&amp;B274&amp;C274,盘货信息!$A:$A&amp;盘货信息!$B:$B&amp;盘货信息!$C:$C,盘货信息!$H:$H)=""),"【以旧换新】"&amp;_xlfn.XLOOKUP(A274&amp;B274&amp;C274,盘货信息!$A:$A&amp;盘货信息!$B:$B&amp;盘货信息!$C:$C,盘货信息!$K:$K)&amp;"元以旧换新补贴（可无旧机换新）",""))</f>
        <v/>
      </c>
      <c r="P274" s="18" t="str">
        <f t="array" ref="P274">_xlfn.XLOOKUP(A274&amp;B274&amp;C274,赠品!$A:$A&amp;赠品!$B:$B&amp;赠品!$C:$C,赠品!$D:$D)</f>
        <v/>
      </c>
      <c r="Q274" s="18" t="str">
        <f>IF($C274="","",IF(AND(M274="",N274="",P274=""),"",固定信息!$B$1))</f>
        <v/>
      </c>
      <c r="R274" s="18" t="str">
        <f t="array" ref="R274">IF(ISNUMBER(SEARCH("是",_xlfn.XLOOKUP(A274&amp;B274&amp;C274,盘货信息!$A:$A&amp;盘货信息!$B:$B&amp;盘货信息!$C:$C,盘货信息!$U:$U))),"【折扣】指定型号满2类享96折，满3类享94折","")</f>
        <v/>
      </c>
      <c r="S274" s="18" t="str">
        <f t="array" ref="S274">IF(_xlfn.XLOOKUP(A274&amp;B274&amp;C274,盘货信息!$A:$A&amp;盘货信息!$B:$B&amp;盘货信息!$C:$C,盘货信息!$Q:$Q)&lt;1,"","【红包】活动时间购机送"&amp;_xlfn.TEXTJOIN("",,IF(ISNUMBER(--MID(_xlfn.XLOOKUP(A274&amp;B274&amp;C274,盘货信息!$A:$A&amp;盘货信息!$B:$B&amp;盘货信息!$C:$C,盘货信息!$Q:$Q),_xlfn.SEQUENCE(LEN(_xlfn.XLOOKUP(A274&amp;B274&amp;C274,盘货信息!$A:$A&amp;盘货信息!$B:$B&amp;盘货信息!$C:$C,盘货信息!$Q:$Q))),1)),MID(_xlfn.XLOOKUP(A274&amp;B274&amp;C274,盘货信息!$A:$A&amp;盘货信息!$B:$B&amp;盘货信息!$C:$C,盘货信息!$Q:$Q),_xlfn.SEQUENCE(LEN(_xlfn.XLOOKUP(A274&amp;B274&amp;C274,盘货信息!$A:$A&amp;盘货信息!$B:$B&amp;盘货信息!$C:$C,盘货信息!$Q:$Q))),1),""))&amp;"元")</f>
        <v/>
      </c>
      <c r="T274" s="18" t="str">
        <f t="array" ref="T274">IF(ISNUMBER(SEARCH("是",_xlfn.XLOOKUP(A274&amp;B274&amp;C274,盘货信息!$A:$A&amp;盘货信息!$B:$B&amp;盘货信息!$C:$C,盘货信息!$T:$T))),"【瓜分】"&amp;固定信息!$B$7,"")</f>
        <v/>
      </c>
      <c r="U274" s="18" t="str">
        <f>IF($C274="","",IF(AND(R274="",S274="",T274=""),"",固定信息!$B$1))</f>
        <v/>
      </c>
      <c r="V274" s="18" t="str">
        <f t="array" ref="V274">IF(C274="","","【服务】"&amp;IF(_xlfn.XLOOKUP(A274&amp;B274&amp;C274,盘货信息!$A:$A&amp;盘货信息!$B:$B&amp;盘货信息!$C:$C,盘货信息!$V:$V)="","",_xlfn.XLOOKUP(A274&amp;B274&amp;C274,盘货信息!$A:$A&amp;盘货信息!$B:$B&amp;盘货信息!$C:$C,盘货信息!$V:$V)&amp;"免息,")&amp;IF(_xlfn.XLOOKUP(A274&amp;B274&amp;C274,盘货信息!$A:$A&amp;盘货信息!$B:$B&amp;盘货信息!$C:$C,盘货信息!$W:$W)="","",_xlfn.XLOOKUP(A274&amp;B274&amp;C274,盘货信息!$A:$A&amp;盘货信息!$B:$B&amp;盘货信息!$C:$C,盘货信息!$W:$W)&amp;"，")&amp;"送货入户，退换免运费")</f>
        <v/>
      </c>
    </row>
    <row r="275" customHeight="1" spans="1:22">
      <c r="A275" s="17" t="str">
        <f>IF(盘货信息!A275="","",盘货信息!A275)</f>
        <v/>
      </c>
      <c r="B275" s="20" t="str">
        <f>IF(盘货信息!B275="","",盘货信息!B275)</f>
        <v/>
      </c>
      <c r="C275" s="18" t="str">
        <f>IF(盘货信息!C275="","",盘货信息!C275)</f>
        <v/>
      </c>
      <c r="D275" s="18" t="str">
        <f ca="1" t="shared" si="4"/>
        <v/>
      </c>
      <c r="E275" s="18" t="str">
        <f>IF(C275="","",固定信息!$B$2)</f>
        <v/>
      </c>
      <c r="F275" s="18" t="str">
        <f t="array" ref="F275">IF(C275="","","【"&amp;C275&amp;"】"&amp;_xlfn.XLOOKUP(A275&amp;B275&amp;C275,盘货信息!$A:$A&amp;盘货信息!$B:$B&amp;盘货信息!$C:$C,盘货信息!$D:$D))</f>
        <v/>
      </c>
      <c r="G275" s="18" t="str">
        <f>IF(C275="","","【"&amp;"活动时间："&amp;固定信息!$B$3&amp;"】")</f>
        <v/>
      </c>
      <c r="H275" s="18" t="str">
        <f>IF($C275="","",固定信息!$B$1)</f>
        <v/>
      </c>
      <c r="I275" s="18"/>
      <c r="J275" s="18" t="str">
        <f t="array" ref="J275">_xlfn.XLOOKUP(A275&amp;B275&amp;C275,价格信息!$A:$A&amp;价格信息!$B:$B&amp;价格信息!$C:$C,价格信息!$D:$D)</f>
        <v/>
      </c>
      <c r="K275" s="31" t="str">
        <f t="array" ref="K275">IF(_xlfn.XLOOKUP(A275&amp;B275&amp;C275,价格信息!$A:$A&amp;价格信息!$B:$B&amp;价格信息!$C:$C,价格信息!$I:$I)="","","【优惠券链接】"&amp;固定信息!$B$6)</f>
        <v/>
      </c>
      <c r="L275" s="31" t="str">
        <f>IF($C275="","",固定信息!$B$1)</f>
        <v/>
      </c>
      <c r="M275" s="18" t="str">
        <f t="array" ref="M275">IF(_xlfn.XLOOKUP(A275&amp;B275&amp;C275,盘货信息!$A:$A&amp;盘货信息!$B:$B&amp;盘货信息!$C:$C,盘货信息!$O:$O)="","","【优惠券】领"&amp;INDEX(_wpsfn.REGEXP(_xlfn.XLOOKUP(A275&amp;B275&amp;C275,盘货信息!$A:$A&amp;盘货信息!$B:$B&amp;盘货信息!$C:$C,盘货信息!$O:$O),"\d+"),1,1)&amp;"元优惠券下单更优惠，优惠卷："&amp;_xlfn.XLOOKUP(A275&amp;B275&amp;C275,盘货信息!$A:$A&amp;盘货信息!$B:$B&amp;盘货信息!$C:$C,盘货信息!$P:$P))</f>
        <v/>
      </c>
      <c r="N275" s="18" t="str">
        <f t="array" ref="N275">IF(AND(ISNUMBER(_xlfn.XLOOKUP(A275&amp;B275&amp;C275,盘货信息!$A:$A&amp;盘货信息!$B:$B&amp;盘货信息!$C:$C,盘货信息!$I:$I)),_xlfn.XLOOKUP(A275&amp;B275&amp;C275,盘货信息!$A:$A&amp;盘货信息!$B:$B&amp;盘货信息!$C:$C,盘货信息!$I:$I)&gt;1),"【88VIP】立减"&amp;_xlfn.XLOOKUP(A275&amp;B275&amp;C275,盘货信息!$A:$A&amp;盘货信息!$B:$B&amp;盘货信息!$C:$C,盘货信息!$I:$I)&amp;"元","")</f>
        <v/>
      </c>
      <c r="O275" s="18" t="str">
        <f t="array" ref="O275">IF(_xlfn.XLOOKUP(A275&amp;B275&amp;C275,盘货信息!$A:$A&amp;盘货信息!$B:$B&amp;盘货信息!$C:$C,盘货信息!$K:$K)="","",IF(AND(_xlfn.XLOOKUP(A275&amp;B275&amp;C275,盘货信息!$A:$A&amp;盘货信息!$B:$B&amp;盘货信息!$C:$C,盘货信息!$G:$G)="不参加",_xlfn.XLOOKUP(A275&amp;B275&amp;C275,盘货信息!$A:$A&amp;盘货信息!$B:$B&amp;盘货信息!$C:$C,盘货信息!$H:$H)=""),"【以旧换新】"&amp;_xlfn.XLOOKUP(A275&amp;B275&amp;C275,盘货信息!$A:$A&amp;盘货信息!$B:$B&amp;盘货信息!$C:$C,盘货信息!$K:$K)&amp;"元以旧换新补贴（可无旧机换新）",""))</f>
        <v/>
      </c>
      <c r="P275" s="18" t="str">
        <f t="array" ref="P275">_xlfn.XLOOKUP(A275&amp;B275&amp;C275,赠品!$A:$A&amp;赠品!$B:$B&amp;赠品!$C:$C,赠品!$D:$D)</f>
        <v/>
      </c>
      <c r="Q275" s="18" t="str">
        <f>IF($C275="","",IF(AND(M275="",N275="",P275=""),"",固定信息!$B$1))</f>
        <v/>
      </c>
      <c r="R275" s="18" t="str">
        <f t="array" ref="R275">IF(ISNUMBER(SEARCH("是",_xlfn.XLOOKUP(A275&amp;B275&amp;C275,盘货信息!$A:$A&amp;盘货信息!$B:$B&amp;盘货信息!$C:$C,盘货信息!$U:$U))),"【折扣】指定型号满2类享96折，满3类享94折","")</f>
        <v/>
      </c>
      <c r="S275" s="18" t="str">
        <f t="array" ref="S275">IF(_xlfn.XLOOKUP(A275&amp;B275&amp;C275,盘货信息!$A:$A&amp;盘货信息!$B:$B&amp;盘货信息!$C:$C,盘货信息!$Q:$Q)&lt;1,"","【红包】活动时间购机送"&amp;_xlfn.TEXTJOIN("",,IF(ISNUMBER(--MID(_xlfn.XLOOKUP(A275&amp;B275&amp;C275,盘货信息!$A:$A&amp;盘货信息!$B:$B&amp;盘货信息!$C:$C,盘货信息!$Q:$Q),_xlfn.SEQUENCE(LEN(_xlfn.XLOOKUP(A275&amp;B275&amp;C275,盘货信息!$A:$A&amp;盘货信息!$B:$B&amp;盘货信息!$C:$C,盘货信息!$Q:$Q))),1)),MID(_xlfn.XLOOKUP(A275&amp;B275&amp;C275,盘货信息!$A:$A&amp;盘货信息!$B:$B&amp;盘货信息!$C:$C,盘货信息!$Q:$Q),_xlfn.SEQUENCE(LEN(_xlfn.XLOOKUP(A275&amp;B275&amp;C275,盘货信息!$A:$A&amp;盘货信息!$B:$B&amp;盘货信息!$C:$C,盘货信息!$Q:$Q))),1),""))&amp;"元")</f>
        <v/>
      </c>
      <c r="T275" s="18" t="str">
        <f t="array" ref="T275">IF(ISNUMBER(SEARCH("是",_xlfn.XLOOKUP(A275&amp;B275&amp;C275,盘货信息!$A:$A&amp;盘货信息!$B:$B&amp;盘货信息!$C:$C,盘货信息!$T:$T))),"【瓜分】"&amp;固定信息!$B$7,"")</f>
        <v/>
      </c>
      <c r="U275" s="18" t="str">
        <f>IF($C275="","",IF(AND(R275="",S275="",T275=""),"",固定信息!$B$1))</f>
        <v/>
      </c>
      <c r="V275" s="18" t="str">
        <f t="array" ref="V275">IF(C275="","","【服务】"&amp;IF(_xlfn.XLOOKUP(A275&amp;B275&amp;C275,盘货信息!$A:$A&amp;盘货信息!$B:$B&amp;盘货信息!$C:$C,盘货信息!$V:$V)="","",_xlfn.XLOOKUP(A275&amp;B275&amp;C275,盘货信息!$A:$A&amp;盘货信息!$B:$B&amp;盘货信息!$C:$C,盘货信息!$V:$V)&amp;"免息,")&amp;IF(_xlfn.XLOOKUP(A275&amp;B275&amp;C275,盘货信息!$A:$A&amp;盘货信息!$B:$B&amp;盘货信息!$C:$C,盘货信息!$W:$W)="","",_xlfn.XLOOKUP(A275&amp;B275&amp;C275,盘货信息!$A:$A&amp;盘货信息!$B:$B&amp;盘货信息!$C:$C,盘货信息!$W:$W)&amp;"，")&amp;"送货入户，退换免运费")</f>
        <v/>
      </c>
    </row>
    <row r="276" customHeight="1" spans="1:22">
      <c r="A276" s="17" t="str">
        <f>IF(盘货信息!A276="","",盘货信息!A276)</f>
        <v/>
      </c>
      <c r="B276" s="20" t="str">
        <f>IF(盘货信息!B276="","",盘货信息!B276)</f>
        <v/>
      </c>
      <c r="C276" s="18" t="str">
        <f>IF(盘货信息!C276="","",盘货信息!C276)</f>
        <v/>
      </c>
      <c r="D276" s="18" t="str">
        <f ca="1" t="shared" si="4"/>
        <v/>
      </c>
      <c r="E276" s="18" t="str">
        <f>IF(C276="","",固定信息!$B$2)</f>
        <v/>
      </c>
      <c r="F276" s="18" t="str">
        <f t="array" ref="F276">IF(C276="","","【"&amp;C276&amp;"】"&amp;_xlfn.XLOOKUP(A276&amp;B276&amp;C276,盘货信息!$A:$A&amp;盘货信息!$B:$B&amp;盘货信息!$C:$C,盘货信息!$D:$D))</f>
        <v/>
      </c>
      <c r="G276" s="18" t="str">
        <f>IF(C276="","","【"&amp;"活动时间："&amp;固定信息!$B$3&amp;"】")</f>
        <v/>
      </c>
      <c r="H276" s="18" t="str">
        <f>IF($C276="","",固定信息!$B$1)</f>
        <v/>
      </c>
      <c r="I276" s="18"/>
      <c r="J276" s="18" t="str">
        <f t="array" ref="J276">_xlfn.XLOOKUP(A276&amp;B276&amp;C276,价格信息!$A:$A&amp;价格信息!$B:$B&amp;价格信息!$C:$C,价格信息!$D:$D)</f>
        <v/>
      </c>
      <c r="K276" s="31" t="str">
        <f t="array" ref="K276">IF(_xlfn.XLOOKUP(A276&amp;B276&amp;C276,价格信息!$A:$A&amp;价格信息!$B:$B&amp;价格信息!$C:$C,价格信息!$I:$I)="","","【优惠券链接】"&amp;固定信息!$B$6)</f>
        <v/>
      </c>
      <c r="L276" s="31" t="str">
        <f>IF($C276="","",固定信息!$B$1)</f>
        <v/>
      </c>
      <c r="M276" s="18" t="str">
        <f t="array" ref="M276">IF(_xlfn.XLOOKUP(A276&amp;B276&amp;C276,盘货信息!$A:$A&amp;盘货信息!$B:$B&amp;盘货信息!$C:$C,盘货信息!$O:$O)="","","【优惠券】领"&amp;INDEX(_wpsfn.REGEXP(_xlfn.XLOOKUP(A276&amp;B276&amp;C276,盘货信息!$A:$A&amp;盘货信息!$B:$B&amp;盘货信息!$C:$C,盘货信息!$O:$O),"\d+"),1,1)&amp;"元优惠券下单更优惠，优惠卷："&amp;_xlfn.XLOOKUP(A276&amp;B276&amp;C276,盘货信息!$A:$A&amp;盘货信息!$B:$B&amp;盘货信息!$C:$C,盘货信息!$P:$P))</f>
        <v/>
      </c>
      <c r="N276" s="18" t="str">
        <f t="array" ref="N276">IF(AND(ISNUMBER(_xlfn.XLOOKUP(A276&amp;B276&amp;C276,盘货信息!$A:$A&amp;盘货信息!$B:$B&amp;盘货信息!$C:$C,盘货信息!$I:$I)),_xlfn.XLOOKUP(A276&amp;B276&amp;C276,盘货信息!$A:$A&amp;盘货信息!$B:$B&amp;盘货信息!$C:$C,盘货信息!$I:$I)&gt;1),"【88VIP】立减"&amp;_xlfn.XLOOKUP(A276&amp;B276&amp;C276,盘货信息!$A:$A&amp;盘货信息!$B:$B&amp;盘货信息!$C:$C,盘货信息!$I:$I)&amp;"元","")</f>
        <v/>
      </c>
      <c r="O276" s="18" t="str">
        <f t="array" ref="O276">IF(_xlfn.XLOOKUP(A276&amp;B276&amp;C276,盘货信息!$A:$A&amp;盘货信息!$B:$B&amp;盘货信息!$C:$C,盘货信息!$K:$K)="","",IF(AND(_xlfn.XLOOKUP(A276&amp;B276&amp;C276,盘货信息!$A:$A&amp;盘货信息!$B:$B&amp;盘货信息!$C:$C,盘货信息!$G:$G)="不参加",_xlfn.XLOOKUP(A276&amp;B276&amp;C276,盘货信息!$A:$A&amp;盘货信息!$B:$B&amp;盘货信息!$C:$C,盘货信息!$H:$H)=""),"【以旧换新】"&amp;_xlfn.XLOOKUP(A276&amp;B276&amp;C276,盘货信息!$A:$A&amp;盘货信息!$B:$B&amp;盘货信息!$C:$C,盘货信息!$K:$K)&amp;"元以旧换新补贴（可无旧机换新）",""))</f>
        <v/>
      </c>
      <c r="P276" s="18" t="str">
        <f t="array" ref="P276">_xlfn.XLOOKUP(A276&amp;B276&amp;C276,赠品!$A:$A&amp;赠品!$B:$B&amp;赠品!$C:$C,赠品!$D:$D)</f>
        <v/>
      </c>
      <c r="Q276" s="18" t="str">
        <f>IF($C276="","",IF(AND(M276="",N276="",P276=""),"",固定信息!$B$1))</f>
        <v/>
      </c>
      <c r="R276" s="18" t="str">
        <f t="array" ref="R276">IF(ISNUMBER(SEARCH("是",_xlfn.XLOOKUP(A276&amp;B276&amp;C276,盘货信息!$A:$A&amp;盘货信息!$B:$B&amp;盘货信息!$C:$C,盘货信息!$U:$U))),"【折扣】指定型号满2类享96折，满3类享94折","")</f>
        <v/>
      </c>
      <c r="S276" s="18" t="str">
        <f t="array" ref="S276">IF(_xlfn.XLOOKUP(A276&amp;B276&amp;C276,盘货信息!$A:$A&amp;盘货信息!$B:$B&amp;盘货信息!$C:$C,盘货信息!$Q:$Q)&lt;1,"","【红包】活动时间购机送"&amp;_xlfn.TEXTJOIN("",,IF(ISNUMBER(--MID(_xlfn.XLOOKUP(A276&amp;B276&amp;C276,盘货信息!$A:$A&amp;盘货信息!$B:$B&amp;盘货信息!$C:$C,盘货信息!$Q:$Q),_xlfn.SEQUENCE(LEN(_xlfn.XLOOKUP(A276&amp;B276&amp;C276,盘货信息!$A:$A&amp;盘货信息!$B:$B&amp;盘货信息!$C:$C,盘货信息!$Q:$Q))),1)),MID(_xlfn.XLOOKUP(A276&amp;B276&amp;C276,盘货信息!$A:$A&amp;盘货信息!$B:$B&amp;盘货信息!$C:$C,盘货信息!$Q:$Q),_xlfn.SEQUENCE(LEN(_xlfn.XLOOKUP(A276&amp;B276&amp;C276,盘货信息!$A:$A&amp;盘货信息!$B:$B&amp;盘货信息!$C:$C,盘货信息!$Q:$Q))),1),""))&amp;"元")</f>
        <v/>
      </c>
      <c r="T276" s="18" t="str">
        <f t="array" ref="T276">IF(ISNUMBER(SEARCH("是",_xlfn.XLOOKUP(A276&amp;B276&amp;C276,盘货信息!$A:$A&amp;盘货信息!$B:$B&amp;盘货信息!$C:$C,盘货信息!$T:$T))),"【瓜分】"&amp;固定信息!$B$7,"")</f>
        <v/>
      </c>
      <c r="U276" s="18" t="str">
        <f>IF($C276="","",IF(AND(R276="",S276="",T276=""),"",固定信息!$B$1))</f>
        <v/>
      </c>
      <c r="V276" s="18" t="str">
        <f t="array" ref="V276">IF(C276="","","【服务】"&amp;IF(_xlfn.XLOOKUP(A276&amp;B276&amp;C276,盘货信息!$A:$A&amp;盘货信息!$B:$B&amp;盘货信息!$C:$C,盘货信息!$V:$V)="","",_xlfn.XLOOKUP(A276&amp;B276&amp;C276,盘货信息!$A:$A&amp;盘货信息!$B:$B&amp;盘货信息!$C:$C,盘货信息!$V:$V)&amp;"免息,")&amp;IF(_xlfn.XLOOKUP(A276&amp;B276&amp;C276,盘货信息!$A:$A&amp;盘货信息!$B:$B&amp;盘货信息!$C:$C,盘货信息!$W:$W)="","",_xlfn.XLOOKUP(A276&amp;B276&amp;C276,盘货信息!$A:$A&amp;盘货信息!$B:$B&amp;盘货信息!$C:$C,盘货信息!$W:$W)&amp;"，")&amp;"送货入户，退换免运费")</f>
        <v/>
      </c>
    </row>
    <row r="277" customHeight="1" spans="1:22">
      <c r="A277" s="17" t="str">
        <f>IF(盘货信息!A277="","",盘货信息!A277)</f>
        <v/>
      </c>
      <c r="B277" s="20" t="str">
        <f>IF(盘货信息!B277="","",盘货信息!B277)</f>
        <v/>
      </c>
      <c r="C277" s="18" t="str">
        <f>IF(盘货信息!C277="","",盘货信息!C277)</f>
        <v/>
      </c>
      <c r="D277" s="18" t="str">
        <f ca="1" t="shared" si="4"/>
        <v/>
      </c>
      <c r="E277" s="18" t="str">
        <f>IF(C277="","",固定信息!$B$2)</f>
        <v/>
      </c>
      <c r="F277" s="18" t="str">
        <f t="array" ref="F277">IF(C277="","","【"&amp;C277&amp;"】"&amp;_xlfn.XLOOKUP(A277&amp;B277&amp;C277,盘货信息!$A:$A&amp;盘货信息!$B:$B&amp;盘货信息!$C:$C,盘货信息!$D:$D))</f>
        <v/>
      </c>
      <c r="G277" s="18" t="str">
        <f>IF(C277="","","【"&amp;"活动时间："&amp;固定信息!$B$3&amp;"】")</f>
        <v/>
      </c>
      <c r="H277" s="18" t="str">
        <f>IF($C277="","",固定信息!$B$1)</f>
        <v/>
      </c>
      <c r="I277" s="18"/>
      <c r="J277" s="18" t="str">
        <f t="array" ref="J277">_xlfn.XLOOKUP(A277&amp;B277&amp;C277,价格信息!$A:$A&amp;价格信息!$B:$B&amp;价格信息!$C:$C,价格信息!$D:$D)</f>
        <v/>
      </c>
      <c r="K277" s="31" t="str">
        <f t="array" ref="K277">IF(_xlfn.XLOOKUP(A277&amp;B277&amp;C277,价格信息!$A:$A&amp;价格信息!$B:$B&amp;价格信息!$C:$C,价格信息!$I:$I)="","","【优惠券链接】"&amp;固定信息!$B$6)</f>
        <v/>
      </c>
      <c r="L277" s="31" t="str">
        <f>IF($C277="","",固定信息!$B$1)</f>
        <v/>
      </c>
      <c r="M277" s="18" t="str">
        <f t="array" ref="M277">IF(_xlfn.XLOOKUP(A277&amp;B277&amp;C277,盘货信息!$A:$A&amp;盘货信息!$B:$B&amp;盘货信息!$C:$C,盘货信息!$O:$O)="","","【优惠券】领"&amp;INDEX(_wpsfn.REGEXP(_xlfn.XLOOKUP(A277&amp;B277&amp;C277,盘货信息!$A:$A&amp;盘货信息!$B:$B&amp;盘货信息!$C:$C,盘货信息!$O:$O),"\d+"),1,1)&amp;"元优惠券下单更优惠，优惠卷："&amp;_xlfn.XLOOKUP(A277&amp;B277&amp;C277,盘货信息!$A:$A&amp;盘货信息!$B:$B&amp;盘货信息!$C:$C,盘货信息!$P:$P))</f>
        <v/>
      </c>
      <c r="N277" s="18" t="str">
        <f t="array" ref="N277">IF(AND(ISNUMBER(_xlfn.XLOOKUP(A277&amp;B277&amp;C277,盘货信息!$A:$A&amp;盘货信息!$B:$B&amp;盘货信息!$C:$C,盘货信息!$I:$I)),_xlfn.XLOOKUP(A277&amp;B277&amp;C277,盘货信息!$A:$A&amp;盘货信息!$B:$B&amp;盘货信息!$C:$C,盘货信息!$I:$I)&gt;1),"【88VIP】立减"&amp;_xlfn.XLOOKUP(A277&amp;B277&amp;C277,盘货信息!$A:$A&amp;盘货信息!$B:$B&amp;盘货信息!$C:$C,盘货信息!$I:$I)&amp;"元","")</f>
        <v/>
      </c>
      <c r="O277" s="18" t="str">
        <f t="array" ref="O277">IF(_xlfn.XLOOKUP(A277&amp;B277&amp;C277,盘货信息!$A:$A&amp;盘货信息!$B:$B&amp;盘货信息!$C:$C,盘货信息!$K:$K)="","",IF(AND(_xlfn.XLOOKUP(A277&amp;B277&amp;C277,盘货信息!$A:$A&amp;盘货信息!$B:$B&amp;盘货信息!$C:$C,盘货信息!$G:$G)="不参加",_xlfn.XLOOKUP(A277&amp;B277&amp;C277,盘货信息!$A:$A&amp;盘货信息!$B:$B&amp;盘货信息!$C:$C,盘货信息!$H:$H)=""),"【以旧换新】"&amp;_xlfn.XLOOKUP(A277&amp;B277&amp;C277,盘货信息!$A:$A&amp;盘货信息!$B:$B&amp;盘货信息!$C:$C,盘货信息!$K:$K)&amp;"元以旧换新补贴（可无旧机换新）",""))</f>
        <v/>
      </c>
      <c r="P277" s="18" t="str">
        <f t="array" ref="P277">_xlfn.XLOOKUP(A277&amp;B277&amp;C277,赠品!$A:$A&amp;赠品!$B:$B&amp;赠品!$C:$C,赠品!$D:$D)</f>
        <v/>
      </c>
      <c r="Q277" s="18" t="str">
        <f>IF($C277="","",IF(AND(M277="",N277="",P277=""),"",固定信息!$B$1))</f>
        <v/>
      </c>
      <c r="R277" s="18" t="str">
        <f t="array" ref="R277">IF(ISNUMBER(SEARCH("是",_xlfn.XLOOKUP(A277&amp;B277&amp;C277,盘货信息!$A:$A&amp;盘货信息!$B:$B&amp;盘货信息!$C:$C,盘货信息!$U:$U))),"【折扣】指定型号满2类享96折，满3类享94折","")</f>
        <v/>
      </c>
      <c r="S277" s="18" t="str">
        <f t="array" ref="S277">IF(_xlfn.XLOOKUP(A277&amp;B277&amp;C277,盘货信息!$A:$A&amp;盘货信息!$B:$B&amp;盘货信息!$C:$C,盘货信息!$Q:$Q)&lt;1,"","【红包】活动时间购机送"&amp;_xlfn.TEXTJOIN("",,IF(ISNUMBER(--MID(_xlfn.XLOOKUP(A277&amp;B277&amp;C277,盘货信息!$A:$A&amp;盘货信息!$B:$B&amp;盘货信息!$C:$C,盘货信息!$Q:$Q),_xlfn.SEQUENCE(LEN(_xlfn.XLOOKUP(A277&amp;B277&amp;C277,盘货信息!$A:$A&amp;盘货信息!$B:$B&amp;盘货信息!$C:$C,盘货信息!$Q:$Q))),1)),MID(_xlfn.XLOOKUP(A277&amp;B277&amp;C277,盘货信息!$A:$A&amp;盘货信息!$B:$B&amp;盘货信息!$C:$C,盘货信息!$Q:$Q),_xlfn.SEQUENCE(LEN(_xlfn.XLOOKUP(A277&amp;B277&amp;C277,盘货信息!$A:$A&amp;盘货信息!$B:$B&amp;盘货信息!$C:$C,盘货信息!$Q:$Q))),1),""))&amp;"元")</f>
        <v/>
      </c>
      <c r="T277" s="18" t="str">
        <f t="array" ref="T277">IF(ISNUMBER(SEARCH("是",_xlfn.XLOOKUP(A277&amp;B277&amp;C277,盘货信息!$A:$A&amp;盘货信息!$B:$B&amp;盘货信息!$C:$C,盘货信息!$T:$T))),"【瓜分】"&amp;固定信息!$B$7,"")</f>
        <v/>
      </c>
      <c r="U277" s="18" t="str">
        <f>IF($C277="","",IF(AND(R277="",S277="",T277=""),"",固定信息!$B$1))</f>
        <v/>
      </c>
      <c r="V277" s="18" t="str">
        <f t="array" ref="V277">IF(C277="","","【服务】"&amp;IF(_xlfn.XLOOKUP(A277&amp;B277&amp;C277,盘货信息!$A:$A&amp;盘货信息!$B:$B&amp;盘货信息!$C:$C,盘货信息!$V:$V)="","",_xlfn.XLOOKUP(A277&amp;B277&amp;C277,盘货信息!$A:$A&amp;盘货信息!$B:$B&amp;盘货信息!$C:$C,盘货信息!$V:$V)&amp;"免息,")&amp;IF(_xlfn.XLOOKUP(A277&amp;B277&amp;C277,盘货信息!$A:$A&amp;盘货信息!$B:$B&amp;盘货信息!$C:$C,盘货信息!$W:$W)="","",_xlfn.XLOOKUP(A277&amp;B277&amp;C277,盘货信息!$A:$A&amp;盘货信息!$B:$B&amp;盘货信息!$C:$C,盘货信息!$W:$W)&amp;"，")&amp;"送货入户，退换免运费")</f>
        <v/>
      </c>
    </row>
    <row r="278" customHeight="1" spans="1:22">
      <c r="A278" s="17" t="str">
        <f>IF(盘货信息!A278="","",盘货信息!A278)</f>
        <v/>
      </c>
      <c r="B278" s="20" t="str">
        <f>IF(盘货信息!B278="","",盘货信息!B278)</f>
        <v/>
      </c>
      <c r="C278" s="18" t="str">
        <f>IF(盘货信息!C278="","",盘货信息!C278)</f>
        <v/>
      </c>
      <c r="D278" s="18" t="str">
        <f ca="1" t="shared" si="4"/>
        <v/>
      </c>
      <c r="E278" s="18" t="str">
        <f>IF(C278="","",固定信息!$B$2)</f>
        <v/>
      </c>
      <c r="F278" s="18" t="str">
        <f t="array" ref="F278">IF(C278="","","【"&amp;C278&amp;"】"&amp;_xlfn.XLOOKUP(A278&amp;B278&amp;C278,盘货信息!$A:$A&amp;盘货信息!$B:$B&amp;盘货信息!$C:$C,盘货信息!$D:$D))</f>
        <v/>
      </c>
      <c r="G278" s="18" t="str">
        <f>IF(C278="","","【"&amp;"活动时间："&amp;固定信息!$B$3&amp;"】")</f>
        <v/>
      </c>
      <c r="H278" s="18" t="str">
        <f>IF($C278="","",固定信息!$B$1)</f>
        <v/>
      </c>
      <c r="I278" s="18"/>
      <c r="J278" s="18" t="str">
        <f t="array" ref="J278">_xlfn.XLOOKUP(A278&amp;B278&amp;C278,价格信息!$A:$A&amp;价格信息!$B:$B&amp;价格信息!$C:$C,价格信息!$D:$D)</f>
        <v/>
      </c>
      <c r="K278" s="31" t="str">
        <f t="array" ref="K278">IF(_xlfn.XLOOKUP(A278&amp;B278&amp;C278,价格信息!$A:$A&amp;价格信息!$B:$B&amp;价格信息!$C:$C,价格信息!$I:$I)="","","【优惠券链接】"&amp;固定信息!$B$6)</f>
        <v/>
      </c>
      <c r="L278" s="31" t="str">
        <f>IF($C278="","",固定信息!$B$1)</f>
        <v/>
      </c>
      <c r="M278" s="18" t="str">
        <f t="array" ref="M278">IF(_xlfn.XLOOKUP(A278&amp;B278&amp;C278,盘货信息!$A:$A&amp;盘货信息!$B:$B&amp;盘货信息!$C:$C,盘货信息!$O:$O)="","","【优惠券】领"&amp;INDEX(_wpsfn.REGEXP(_xlfn.XLOOKUP(A278&amp;B278&amp;C278,盘货信息!$A:$A&amp;盘货信息!$B:$B&amp;盘货信息!$C:$C,盘货信息!$O:$O),"\d+"),1,1)&amp;"元优惠券下单更优惠，优惠卷："&amp;_xlfn.XLOOKUP(A278&amp;B278&amp;C278,盘货信息!$A:$A&amp;盘货信息!$B:$B&amp;盘货信息!$C:$C,盘货信息!$P:$P))</f>
        <v/>
      </c>
      <c r="N278" s="18" t="str">
        <f t="array" ref="N278">IF(AND(ISNUMBER(_xlfn.XLOOKUP(A278&amp;B278&amp;C278,盘货信息!$A:$A&amp;盘货信息!$B:$B&amp;盘货信息!$C:$C,盘货信息!$I:$I)),_xlfn.XLOOKUP(A278&amp;B278&amp;C278,盘货信息!$A:$A&amp;盘货信息!$B:$B&amp;盘货信息!$C:$C,盘货信息!$I:$I)&gt;1),"【88VIP】立减"&amp;_xlfn.XLOOKUP(A278&amp;B278&amp;C278,盘货信息!$A:$A&amp;盘货信息!$B:$B&amp;盘货信息!$C:$C,盘货信息!$I:$I)&amp;"元","")</f>
        <v/>
      </c>
      <c r="O278" s="18" t="str">
        <f t="array" ref="O278">IF(_xlfn.XLOOKUP(A278&amp;B278&amp;C278,盘货信息!$A:$A&amp;盘货信息!$B:$B&amp;盘货信息!$C:$C,盘货信息!$K:$K)="","",IF(AND(_xlfn.XLOOKUP(A278&amp;B278&amp;C278,盘货信息!$A:$A&amp;盘货信息!$B:$B&amp;盘货信息!$C:$C,盘货信息!$G:$G)="不参加",_xlfn.XLOOKUP(A278&amp;B278&amp;C278,盘货信息!$A:$A&amp;盘货信息!$B:$B&amp;盘货信息!$C:$C,盘货信息!$H:$H)=""),"【以旧换新】"&amp;_xlfn.XLOOKUP(A278&amp;B278&amp;C278,盘货信息!$A:$A&amp;盘货信息!$B:$B&amp;盘货信息!$C:$C,盘货信息!$K:$K)&amp;"元以旧换新补贴（可无旧机换新）",""))</f>
        <v/>
      </c>
      <c r="P278" s="18" t="str">
        <f t="array" ref="P278">_xlfn.XLOOKUP(A278&amp;B278&amp;C278,赠品!$A:$A&amp;赠品!$B:$B&amp;赠品!$C:$C,赠品!$D:$D)</f>
        <v/>
      </c>
      <c r="Q278" s="18" t="str">
        <f>IF($C278="","",IF(AND(M278="",N278="",P278=""),"",固定信息!$B$1))</f>
        <v/>
      </c>
      <c r="R278" s="18" t="str">
        <f t="array" ref="R278">IF(ISNUMBER(SEARCH("是",_xlfn.XLOOKUP(A278&amp;B278&amp;C278,盘货信息!$A:$A&amp;盘货信息!$B:$B&amp;盘货信息!$C:$C,盘货信息!$U:$U))),"【折扣】指定型号满2类享96折，满3类享94折","")</f>
        <v/>
      </c>
      <c r="S278" s="18" t="str">
        <f t="array" ref="S278">IF(_xlfn.XLOOKUP(A278&amp;B278&amp;C278,盘货信息!$A:$A&amp;盘货信息!$B:$B&amp;盘货信息!$C:$C,盘货信息!$Q:$Q)&lt;1,"","【红包】活动时间购机送"&amp;_xlfn.TEXTJOIN("",,IF(ISNUMBER(--MID(_xlfn.XLOOKUP(A278&amp;B278&amp;C278,盘货信息!$A:$A&amp;盘货信息!$B:$B&amp;盘货信息!$C:$C,盘货信息!$Q:$Q),_xlfn.SEQUENCE(LEN(_xlfn.XLOOKUP(A278&amp;B278&amp;C278,盘货信息!$A:$A&amp;盘货信息!$B:$B&amp;盘货信息!$C:$C,盘货信息!$Q:$Q))),1)),MID(_xlfn.XLOOKUP(A278&amp;B278&amp;C278,盘货信息!$A:$A&amp;盘货信息!$B:$B&amp;盘货信息!$C:$C,盘货信息!$Q:$Q),_xlfn.SEQUENCE(LEN(_xlfn.XLOOKUP(A278&amp;B278&amp;C278,盘货信息!$A:$A&amp;盘货信息!$B:$B&amp;盘货信息!$C:$C,盘货信息!$Q:$Q))),1),""))&amp;"元")</f>
        <v/>
      </c>
      <c r="T278" s="18" t="str">
        <f t="array" ref="T278">IF(ISNUMBER(SEARCH("是",_xlfn.XLOOKUP(A278&amp;B278&amp;C278,盘货信息!$A:$A&amp;盘货信息!$B:$B&amp;盘货信息!$C:$C,盘货信息!$T:$T))),"【瓜分】"&amp;固定信息!$B$7,"")</f>
        <v/>
      </c>
      <c r="U278" s="18" t="str">
        <f>IF($C278="","",IF(AND(R278="",S278="",T278=""),"",固定信息!$B$1))</f>
        <v/>
      </c>
      <c r="V278" s="18" t="str">
        <f t="array" ref="V278">IF(C278="","","【服务】"&amp;IF(_xlfn.XLOOKUP(A278&amp;B278&amp;C278,盘货信息!$A:$A&amp;盘货信息!$B:$B&amp;盘货信息!$C:$C,盘货信息!$V:$V)="","",_xlfn.XLOOKUP(A278&amp;B278&amp;C278,盘货信息!$A:$A&amp;盘货信息!$B:$B&amp;盘货信息!$C:$C,盘货信息!$V:$V)&amp;"免息,")&amp;IF(_xlfn.XLOOKUP(A278&amp;B278&amp;C278,盘货信息!$A:$A&amp;盘货信息!$B:$B&amp;盘货信息!$C:$C,盘货信息!$W:$W)="","",_xlfn.XLOOKUP(A278&amp;B278&amp;C278,盘货信息!$A:$A&amp;盘货信息!$B:$B&amp;盘货信息!$C:$C,盘货信息!$W:$W)&amp;"，")&amp;"送货入户，退换免运费")</f>
        <v/>
      </c>
    </row>
    <row r="279" customHeight="1" spans="1:22">
      <c r="A279" s="17" t="str">
        <f>IF(盘货信息!A279="","",盘货信息!A279)</f>
        <v/>
      </c>
      <c r="B279" s="20" t="str">
        <f>IF(盘货信息!B279="","",盘货信息!B279)</f>
        <v/>
      </c>
      <c r="C279" s="18" t="str">
        <f>IF(盘货信息!C279="","",盘货信息!C279)</f>
        <v/>
      </c>
      <c r="D279" s="18" t="str">
        <f ca="1" t="shared" si="4"/>
        <v/>
      </c>
      <c r="E279" s="18" t="str">
        <f>IF(C279="","",固定信息!$B$2)</f>
        <v/>
      </c>
      <c r="F279" s="18" t="str">
        <f t="array" ref="F279">IF(C279="","","【"&amp;C279&amp;"】"&amp;_xlfn.XLOOKUP(A279&amp;B279&amp;C279,盘货信息!$A:$A&amp;盘货信息!$B:$B&amp;盘货信息!$C:$C,盘货信息!$D:$D))</f>
        <v/>
      </c>
      <c r="G279" s="18" t="str">
        <f>IF(C279="","","【"&amp;"活动时间："&amp;固定信息!$B$3&amp;"】")</f>
        <v/>
      </c>
      <c r="H279" s="18" t="str">
        <f>IF($C279="","",固定信息!$B$1)</f>
        <v/>
      </c>
      <c r="I279" s="18"/>
      <c r="J279" s="18" t="str">
        <f t="array" ref="J279">_xlfn.XLOOKUP(A279&amp;B279&amp;C279,价格信息!$A:$A&amp;价格信息!$B:$B&amp;价格信息!$C:$C,价格信息!$D:$D)</f>
        <v/>
      </c>
      <c r="K279" s="31" t="str">
        <f t="array" ref="K279">IF(_xlfn.XLOOKUP(A279&amp;B279&amp;C279,价格信息!$A:$A&amp;价格信息!$B:$B&amp;价格信息!$C:$C,价格信息!$I:$I)="","","【优惠券链接】"&amp;固定信息!$B$6)</f>
        <v/>
      </c>
      <c r="L279" s="31" t="str">
        <f>IF($C279="","",固定信息!$B$1)</f>
        <v/>
      </c>
      <c r="M279" s="18" t="str">
        <f t="array" ref="M279">IF(_xlfn.XLOOKUP(A279&amp;B279&amp;C279,盘货信息!$A:$A&amp;盘货信息!$B:$B&amp;盘货信息!$C:$C,盘货信息!$O:$O)="","","【优惠券】领"&amp;INDEX(_wpsfn.REGEXP(_xlfn.XLOOKUP(A279&amp;B279&amp;C279,盘货信息!$A:$A&amp;盘货信息!$B:$B&amp;盘货信息!$C:$C,盘货信息!$O:$O),"\d+"),1,1)&amp;"元优惠券下单更优惠，优惠卷："&amp;_xlfn.XLOOKUP(A279&amp;B279&amp;C279,盘货信息!$A:$A&amp;盘货信息!$B:$B&amp;盘货信息!$C:$C,盘货信息!$P:$P))</f>
        <v/>
      </c>
      <c r="N279" s="18" t="str">
        <f t="array" ref="N279">IF(AND(ISNUMBER(_xlfn.XLOOKUP(A279&amp;B279&amp;C279,盘货信息!$A:$A&amp;盘货信息!$B:$B&amp;盘货信息!$C:$C,盘货信息!$I:$I)),_xlfn.XLOOKUP(A279&amp;B279&amp;C279,盘货信息!$A:$A&amp;盘货信息!$B:$B&amp;盘货信息!$C:$C,盘货信息!$I:$I)&gt;1),"【88VIP】立减"&amp;_xlfn.XLOOKUP(A279&amp;B279&amp;C279,盘货信息!$A:$A&amp;盘货信息!$B:$B&amp;盘货信息!$C:$C,盘货信息!$I:$I)&amp;"元","")</f>
        <v/>
      </c>
      <c r="O279" s="18" t="str">
        <f t="array" ref="O279">IF(_xlfn.XLOOKUP(A279&amp;B279&amp;C279,盘货信息!$A:$A&amp;盘货信息!$B:$B&amp;盘货信息!$C:$C,盘货信息!$K:$K)="","",IF(AND(_xlfn.XLOOKUP(A279&amp;B279&amp;C279,盘货信息!$A:$A&amp;盘货信息!$B:$B&amp;盘货信息!$C:$C,盘货信息!$G:$G)="不参加",_xlfn.XLOOKUP(A279&amp;B279&amp;C279,盘货信息!$A:$A&amp;盘货信息!$B:$B&amp;盘货信息!$C:$C,盘货信息!$H:$H)=""),"【以旧换新】"&amp;_xlfn.XLOOKUP(A279&amp;B279&amp;C279,盘货信息!$A:$A&amp;盘货信息!$B:$B&amp;盘货信息!$C:$C,盘货信息!$K:$K)&amp;"元以旧换新补贴（可无旧机换新）",""))</f>
        <v/>
      </c>
      <c r="P279" s="18" t="str">
        <f t="array" ref="P279">_xlfn.XLOOKUP(A279&amp;B279&amp;C279,赠品!$A:$A&amp;赠品!$B:$B&amp;赠品!$C:$C,赠品!$D:$D)</f>
        <v/>
      </c>
      <c r="Q279" s="18" t="str">
        <f>IF($C279="","",IF(AND(M279="",N279="",P279=""),"",固定信息!$B$1))</f>
        <v/>
      </c>
      <c r="R279" s="18" t="str">
        <f t="array" ref="R279">IF(ISNUMBER(SEARCH("是",_xlfn.XLOOKUP(A279&amp;B279&amp;C279,盘货信息!$A:$A&amp;盘货信息!$B:$B&amp;盘货信息!$C:$C,盘货信息!$U:$U))),"【折扣】指定型号满2类享96折，满3类享94折","")</f>
        <v/>
      </c>
      <c r="S279" s="18" t="str">
        <f t="array" ref="S279">IF(_xlfn.XLOOKUP(A279&amp;B279&amp;C279,盘货信息!$A:$A&amp;盘货信息!$B:$B&amp;盘货信息!$C:$C,盘货信息!$Q:$Q)&lt;1,"","【红包】活动时间购机送"&amp;_xlfn.TEXTJOIN("",,IF(ISNUMBER(--MID(_xlfn.XLOOKUP(A279&amp;B279&amp;C279,盘货信息!$A:$A&amp;盘货信息!$B:$B&amp;盘货信息!$C:$C,盘货信息!$Q:$Q),_xlfn.SEQUENCE(LEN(_xlfn.XLOOKUP(A279&amp;B279&amp;C279,盘货信息!$A:$A&amp;盘货信息!$B:$B&amp;盘货信息!$C:$C,盘货信息!$Q:$Q))),1)),MID(_xlfn.XLOOKUP(A279&amp;B279&amp;C279,盘货信息!$A:$A&amp;盘货信息!$B:$B&amp;盘货信息!$C:$C,盘货信息!$Q:$Q),_xlfn.SEQUENCE(LEN(_xlfn.XLOOKUP(A279&amp;B279&amp;C279,盘货信息!$A:$A&amp;盘货信息!$B:$B&amp;盘货信息!$C:$C,盘货信息!$Q:$Q))),1),""))&amp;"元")</f>
        <v/>
      </c>
      <c r="T279" s="18" t="str">
        <f t="array" ref="T279">IF(ISNUMBER(SEARCH("是",_xlfn.XLOOKUP(A279&amp;B279&amp;C279,盘货信息!$A:$A&amp;盘货信息!$B:$B&amp;盘货信息!$C:$C,盘货信息!$T:$T))),"【瓜分】"&amp;固定信息!$B$7,"")</f>
        <v/>
      </c>
      <c r="U279" s="18" t="str">
        <f>IF($C279="","",IF(AND(R279="",S279="",T279=""),"",固定信息!$B$1))</f>
        <v/>
      </c>
      <c r="V279" s="18" t="str">
        <f t="array" ref="V279">IF(C279="","","【服务】"&amp;IF(_xlfn.XLOOKUP(A279&amp;B279&amp;C279,盘货信息!$A:$A&amp;盘货信息!$B:$B&amp;盘货信息!$C:$C,盘货信息!$V:$V)="","",_xlfn.XLOOKUP(A279&amp;B279&amp;C279,盘货信息!$A:$A&amp;盘货信息!$B:$B&amp;盘货信息!$C:$C,盘货信息!$V:$V)&amp;"免息,")&amp;IF(_xlfn.XLOOKUP(A279&amp;B279&amp;C279,盘货信息!$A:$A&amp;盘货信息!$B:$B&amp;盘货信息!$C:$C,盘货信息!$W:$W)="","",_xlfn.XLOOKUP(A279&amp;B279&amp;C279,盘货信息!$A:$A&amp;盘货信息!$B:$B&amp;盘货信息!$C:$C,盘货信息!$W:$W)&amp;"，")&amp;"送货入户，退换免运费")</f>
        <v/>
      </c>
    </row>
    <row r="280" customHeight="1" spans="1:22">
      <c r="A280" s="17" t="str">
        <f>IF(盘货信息!A280="","",盘货信息!A280)</f>
        <v/>
      </c>
      <c r="B280" s="20" t="str">
        <f>IF(盘货信息!B280="","",盘货信息!B280)</f>
        <v/>
      </c>
      <c r="C280" s="18" t="str">
        <f>IF(盘货信息!C280="","",盘货信息!C280)</f>
        <v/>
      </c>
      <c r="D280" s="18" t="str">
        <f ca="1" t="shared" si="4"/>
        <v/>
      </c>
      <c r="E280" s="18" t="str">
        <f>IF(C280="","",固定信息!$B$2)</f>
        <v/>
      </c>
      <c r="F280" s="18" t="str">
        <f t="array" ref="F280">IF(C280="","","【"&amp;C280&amp;"】"&amp;_xlfn.XLOOKUP(A280&amp;B280&amp;C280,盘货信息!$A:$A&amp;盘货信息!$B:$B&amp;盘货信息!$C:$C,盘货信息!$D:$D))</f>
        <v/>
      </c>
      <c r="G280" s="18" t="str">
        <f>IF(C280="","","【"&amp;"活动时间："&amp;固定信息!$B$3&amp;"】")</f>
        <v/>
      </c>
      <c r="H280" s="18" t="str">
        <f>IF($C280="","",固定信息!$B$1)</f>
        <v/>
      </c>
      <c r="I280" s="18"/>
      <c r="J280" s="18" t="str">
        <f t="array" ref="J280">_xlfn.XLOOKUP(A280&amp;B280&amp;C280,价格信息!$A:$A&amp;价格信息!$B:$B&amp;价格信息!$C:$C,价格信息!$D:$D)</f>
        <v/>
      </c>
      <c r="K280" s="31" t="str">
        <f t="array" ref="K280">IF(_xlfn.XLOOKUP(A280&amp;B280&amp;C280,价格信息!$A:$A&amp;价格信息!$B:$B&amp;价格信息!$C:$C,价格信息!$I:$I)="","","【优惠券链接】"&amp;固定信息!$B$6)</f>
        <v/>
      </c>
      <c r="L280" s="31" t="str">
        <f>IF($C280="","",固定信息!$B$1)</f>
        <v/>
      </c>
      <c r="M280" s="18" t="str">
        <f t="array" ref="M280">IF(_xlfn.XLOOKUP(A280&amp;B280&amp;C280,盘货信息!$A:$A&amp;盘货信息!$B:$B&amp;盘货信息!$C:$C,盘货信息!$O:$O)="","","【优惠券】领"&amp;INDEX(_wpsfn.REGEXP(_xlfn.XLOOKUP(A280&amp;B280&amp;C280,盘货信息!$A:$A&amp;盘货信息!$B:$B&amp;盘货信息!$C:$C,盘货信息!$O:$O),"\d+"),1,1)&amp;"元优惠券下单更优惠，优惠卷："&amp;_xlfn.XLOOKUP(A280&amp;B280&amp;C280,盘货信息!$A:$A&amp;盘货信息!$B:$B&amp;盘货信息!$C:$C,盘货信息!$P:$P))</f>
        <v/>
      </c>
      <c r="N280" s="18" t="str">
        <f t="array" ref="N280">IF(AND(ISNUMBER(_xlfn.XLOOKUP(A280&amp;B280&amp;C280,盘货信息!$A:$A&amp;盘货信息!$B:$B&amp;盘货信息!$C:$C,盘货信息!$I:$I)),_xlfn.XLOOKUP(A280&amp;B280&amp;C280,盘货信息!$A:$A&amp;盘货信息!$B:$B&amp;盘货信息!$C:$C,盘货信息!$I:$I)&gt;1),"【88VIP】立减"&amp;_xlfn.XLOOKUP(A280&amp;B280&amp;C280,盘货信息!$A:$A&amp;盘货信息!$B:$B&amp;盘货信息!$C:$C,盘货信息!$I:$I)&amp;"元","")</f>
        <v/>
      </c>
      <c r="O280" s="18" t="str">
        <f t="array" ref="O280">IF(_xlfn.XLOOKUP(A280&amp;B280&amp;C280,盘货信息!$A:$A&amp;盘货信息!$B:$B&amp;盘货信息!$C:$C,盘货信息!$K:$K)="","",IF(AND(_xlfn.XLOOKUP(A280&amp;B280&amp;C280,盘货信息!$A:$A&amp;盘货信息!$B:$B&amp;盘货信息!$C:$C,盘货信息!$G:$G)="不参加",_xlfn.XLOOKUP(A280&amp;B280&amp;C280,盘货信息!$A:$A&amp;盘货信息!$B:$B&amp;盘货信息!$C:$C,盘货信息!$H:$H)=""),"【以旧换新】"&amp;_xlfn.XLOOKUP(A280&amp;B280&amp;C280,盘货信息!$A:$A&amp;盘货信息!$B:$B&amp;盘货信息!$C:$C,盘货信息!$K:$K)&amp;"元以旧换新补贴（可无旧机换新）",""))</f>
        <v/>
      </c>
      <c r="P280" s="18" t="str">
        <f t="array" ref="P280">_xlfn.XLOOKUP(A280&amp;B280&amp;C280,赠品!$A:$A&amp;赠品!$B:$B&amp;赠品!$C:$C,赠品!$D:$D)</f>
        <v/>
      </c>
      <c r="Q280" s="18" t="str">
        <f>IF($C280="","",IF(AND(M280="",N280="",P280=""),"",固定信息!$B$1))</f>
        <v/>
      </c>
      <c r="R280" s="18" t="str">
        <f t="array" ref="R280">IF(ISNUMBER(SEARCH("是",_xlfn.XLOOKUP(A280&amp;B280&amp;C280,盘货信息!$A:$A&amp;盘货信息!$B:$B&amp;盘货信息!$C:$C,盘货信息!$U:$U))),"【折扣】指定型号满2类享96折，满3类享94折","")</f>
        <v/>
      </c>
      <c r="S280" s="18" t="str">
        <f t="array" ref="S280">IF(_xlfn.XLOOKUP(A280&amp;B280&amp;C280,盘货信息!$A:$A&amp;盘货信息!$B:$B&amp;盘货信息!$C:$C,盘货信息!$Q:$Q)&lt;1,"","【红包】活动时间购机送"&amp;_xlfn.TEXTJOIN("",,IF(ISNUMBER(--MID(_xlfn.XLOOKUP(A280&amp;B280&amp;C280,盘货信息!$A:$A&amp;盘货信息!$B:$B&amp;盘货信息!$C:$C,盘货信息!$Q:$Q),_xlfn.SEQUENCE(LEN(_xlfn.XLOOKUP(A280&amp;B280&amp;C280,盘货信息!$A:$A&amp;盘货信息!$B:$B&amp;盘货信息!$C:$C,盘货信息!$Q:$Q))),1)),MID(_xlfn.XLOOKUP(A280&amp;B280&amp;C280,盘货信息!$A:$A&amp;盘货信息!$B:$B&amp;盘货信息!$C:$C,盘货信息!$Q:$Q),_xlfn.SEQUENCE(LEN(_xlfn.XLOOKUP(A280&amp;B280&amp;C280,盘货信息!$A:$A&amp;盘货信息!$B:$B&amp;盘货信息!$C:$C,盘货信息!$Q:$Q))),1),""))&amp;"元")</f>
        <v/>
      </c>
      <c r="T280" s="18" t="str">
        <f t="array" ref="T280">IF(ISNUMBER(SEARCH("是",_xlfn.XLOOKUP(A280&amp;B280&amp;C280,盘货信息!$A:$A&amp;盘货信息!$B:$B&amp;盘货信息!$C:$C,盘货信息!$T:$T))),"【瓜分】"&amp;固定信息!$B$7,"")</f>
        <v/>
      </c>
      <c r="U280" s="18" t="str">
        <f>IF($C280="","",IF(AND(R280="",S280="",T280=""),"",固定信息!$B$1))</f>
        <v/>
      </c>
      <c r="V280" s="18" t="str">
        <f t="array" ref="V280">IF(C280="","","【服务】"&amp;IF(_xlfn.XLOOKUP(A280&amp;B280&amp;C280,盘货信息!$A:$A&amp;盘货信息!$B:$B&amp;盘货信息!$C:$C,盘货信息!$V:$V)="","",_xlfn.XLOOKUP(A280&amp;B280&amp;C280,盘货信息!$A:$A&amp;盘货信息!$B:$B&amp;盘货信息!$C:$C,盘货信息!$V:$V)&amp;"免息,")&amp;IF(_xlfn.XLOOKUP(A280&amp;B280&amp;C280,盘货信息!$A:$A&amp;盘货信息!$B:$B&amp;盘货信息!$C:$C,盘货信息!$W:$W)="","",_xlfn.XLOOKUP(A280&amp;B280&amp;C280,盘货信息!$A:$A&amp;盘货信息!$B:$B&amp;盘货信息!$C:$C,盘货信息!$W:$W)&amp;"，")&amp;"送货入户，退换免运费")</f>
        <v/>
      </c>
    </row>
    <row r="281" customHeight="1" spans="1:22">
      <c r="A281" s="17" t="str">
        <f>IF(盘货信息!A281="","",盘货信息!A281)</f>
        <v/>
      </c>
      <c r="B281" s="20" t="str">
        <f>IF(盘货信息!B281="","",盘货信息!B281)</f>
        <v/>
      </c>
      <c r="C281" s="18" t="str">
        <f>IF(盘货信息!C281="","",盘货信息!C281)</f>
        <v/>
      </c>
      <c r="D281" s="18" t="str">
        <f ca="1" t="shared" si="4"/>
        <v/>
      </c>
      <c r="E281" s="18" t="str">
        <f>IF(C281="","",固定信息!$B$2)</f>
        <v/>
      </c>
      <c r="F281" s="18" t="str">
        <f t="array" ref="F281">IF(C281="","","【"&amp;C281&amp;"】"&amp;_xlfn.XLOOKUP(A281&amp;B281&amp;C281,盘货信息!$A:$A&amp;盘货信息!$B:$B&amp;盘货信息!$C:$C,盘货信息!$D:$D))</f>
        <v/>
      </c>
      <c r="G281" s="18" t="str">
        <f>IF(C281="","","【"&amp;"活动时间："&amp;固定信息!$B$3&amp;"】")</f>
        <v/>
      </c>
      <c r="H281" s="18" t="str">
        <f>IF($C281="","",固定信息!$B$1)</f>
        <v/>
      </c>
      <c r="I281" s="18"/>
      <c r="J281" s="18" t="str">
        <f t="array" ref="J281">_xlfn.XLOOKUP(A281&amp;B281&amp;C281,价格信息!$A:$A&amp;价格信息!$B:$B&amp;价格信息!$C:$C,价格信息!$D:$D)</f>
        <v/>
      </c>
      <c r="K281" s="31" t="str">
        <f t="array" ref="K281">IF(_xlfn.XLOOKUP(A281&amp;B281&amp;C281,价格信息!$A:$A&amp;价格信息!$B:$B&amp;价格信息!$C:$C,价格信息!$I:$I)="","","【优惠券链接】"&amp;固定信息!$B$6)</f>
        <v/>
      </c>
      <c r="L281" s="31" t="str">
        <f>IF($C281="","",固定信息!$B$1)</f>
        <v/>
      </c>
      <c r="M281" s="18" t="str">
        <f t="array" ref="M281">IF(_xlfn.XLOOKUP(A281&amp;B281&amp;C281,盘货信息!$A:$A&amp;盘货信息!$B:$B&amp;盘货信息!$C:$C,盘货信息!$O:$O)="","","【优惠券】领"&amp;INDEX(_wpsfn.REGEXP(_xlfn.XLOOKUP(A281&amp;B281&amp;C281,盘货信息!$A:$A&amp;盘货信息!$B:$B&amp;盘货信息!$C:$C,盘货信息!$O:$O),"\d+"),1,1)&amp;"元优惠券下单更优惠，优惠卷："&amp;_xlfn.XLOOKUP(A281&amp;B281&amp;C281,盘货信息!$A:$A&amp;盘货信息!$B:$B&amp;盘货信息!$C:$C,盘货信息!$P:$P))</f>
        <v/>
      </c>
      <c r="N281" s="18" t="str">
        <f t="array" ref="N281">IF(AND(ISNUMBER(_xlfn.XLOOKUP(A281&amp;B281&amp;C281,盘货信息!$A:$A&amp;盘货信息!$B:$B&amp;盘货信息!$C:$C,盘货信息!$I:$I)),_xlfn.XLOOKUP(A281&amp;B281&amp;C281,盘货信息!$A:$A&amp;盘货信息!$B:$B&amp;盘货信息!$C:$C,盘货信息!$I:$I)&gt;1),"【88VIP】立减"&amp;_xlfn.XLOOKUP(A281&amp;B281&amp;C281,盘货信息!$A:$A&amp;盘货信息!$B:$B&amp;盘货信息!$C:$C,盘货信息!$I:$I)&amp;"元","")</f>
        <v/>
      </c>
      <c r="O281" s="18" t="str">
        <f t="array" ref="O281">IF(_xlfn.XLOOKUP(A281&amp;B281&amp;C281,盘货信息!$A:$A&amp;盘货信息!$B:$B&amp;盘货信息!$C:$C,盘货信息!$K:$K)="","",IF(AND(_xlfn.XLOOKUP(A281&amp;B281&amp;C281,盘货信息!$A:$A&amp;盘货信息!$B:$B&amp;盘货信息!$C:$C,盘货信息!$G:$G)="不参加",_xlfn.XLOOKUP(A281&amp;B281&amp;C281,盘货信息!$A:$A&amp;盘货信息!$B:$B&amp;盘货信息!$C:$C,盘货信息!$H:$H)=""),"【以旧换新】"&amp;_xlfn.XLOOKUP(A281&amp;B281&amp;C281,盘货信息!$A:$A&amp;盘货信息!$B:$B&amp;盘货信息!$C:$C,盘货信息!$K:$K)&amp;"元以旧换新补贴（可无旧机换新）",""))</f>
        <v/>
      </c>
      <c r="P281" s="18" t="str">
        <f t="array" ref="P281">_xlfn.XLOOKUP(A281&amp;B281&amp;C281,赠品!$A:$A&amp;赠品!$B:$B&amp;赠品!$C:$C,赠品!$D:$D)</f>
        <v/>
      </c>
      <c r="Q281" s="18" t="str">
        <f>IF($C281="","",IF(AND(M281="",N281="",P281=""),"",固定信息!$B$1))</f>
        <v/>
      </c>
      <c r="R281" s="18" t="str">
        <f t="array" ref="R281">IF(ISNUMBER(SEARCH("是",_xlfn.XLOOKUP(A281&amp;B281&amp;C281,盘货信息!$A:$A&amp;盘货信息!$B:$B&amp;盘货信息!$C:$C,盘货信息!$U:$U))),"【折扣】指定型号满2类享96折，满3类享94折","")</f>
        <v/>
      </c>
      <c r="S281" s="18" t="str">
        <f t="array" ref="S281">IF(_xlfn.XLOOKUP(A281&amp;B281&amp;C281,盘货信息!$A:$A&amp;盘货信息!$B:$B&amp;盘货信息!$C:$C,盘货信息!$Q:$Q)&lt;1,"","【红包】活动时间购机送"&amp;_xlfn.TEXTJOIN("",,IF(ISNUMBER(--MID(_xlfn.XLOOKUP(A281&amp;B281&amp;C281,盘货信息!$A:$A&amp;盘货信息!$B:$B&amp;盘货信息!$C:$C,盘货信息!$Q:$Q),_xlfn.SEQUENCE(LEN(_xlfn.XLOOKUP(A281&amp;B281&amp;C281,盘货信息!$A:$A&amp;盘货信息!$B:$B&amp;盘货信息!$C:$C,盘货信息!$Q:$Q))),1)),MID(_xlfn.XLOOKUP(A281&amp;B281&amp;C281,盘货信息!$A:$A&amp;盘货信息!$B:$B&amp;盘货信息!$C:$C,盘货信息!$Q:$Q),_xlfn.SEQUENCE(LEN(_xlfn.XLOOKUP(A281&amp;B281&amp;C281,盘货信息!$A:$A&amp;盘货信息!$B:$B&amp;盘货信息!$C:$C,盘货信息!$Q:$Q))),1),""))&amp;"元")</f>
        <v/>
      </c>
      <c r="T281" s="18" t="str">
        <f t="array" ref="T281">IF(ISNUMBER(SEARCH("是",_xlfn.XLOOKUP(A281&amp;B281&amp;C281,盘货信息!$A:$A&amp;盘货信息!$B:$B&amp;盘货信息!$C:$C,盘货信息!$T:$T))),"【瓜分】"&amp;固定信息!$B$7,"")</f>
        <v/>
      </c>
      <c r="U281" s="18" t="str">
        <f>IF($C281="","",IF(AND(R281="",S281="",T281=""),"",固定信息!$B$1))</f>
        <v/>
      </c>
      <c r="V281" s="18" t="str">
        <f t="array" ref="V281">IF(C281="","","【服务】"&amp;IF(_xlfn.XLOOKUP(A281&amp;B281&amp;C281,盘货信息!$A:$A&amp;盘货信息!$B:$B&amp;盘货信息!$C:$C,盘货信息!$V:$V)="","",_xlfn.XLOOKUP(A281&amp;B281&amp;C281,盘货信息!$A:$A&amp;盘货信息!$B:$B&amp;盘货信息!$C:$C,盘货信息!$V:$V)&amp;"免息,")&amp;IF(_xlfn.XLOOKUP(A281&amp;B281&amp;C281,盘货信息!$A:$A&amp;盘货信息!$B:$B&amp;盘货信息!$C:$C,盘货信息!$W:$W)="","",_xlfn.XLOOKUP(A281&amp;B281&amp;C281,盘货信息!$A:$A&amp;盘货信息!$B:$B&amp;盘货信息!$C:$C,盘货信息!$W:$W)&amp;"，")&amp;"送货入户，退换免运费")</f>
        <v/>
      </c>
    </row>
    <row r="282" customHeight="1" spans="1:22">
      <c r="A282" s="17" t="str">
        <f>IF(盘货信息!A282="","",盘货信息!A282)</f>
        <v/>
      </c>
      <c r="B282" s="20" t="str">
        <f>IF(盘货信息!B282="","",盘货信息!B282)</f>
        <v/>
      </c>
      <c r="C282" s="18" t="str">
        <f>IF(盘货信息!C282="","",盘货信息!C282)</f>
        <v/>
      </c>
      <c r="D282" s="18" t="str">
        <f ca="1" t="shared" si="4"/>
        <v/>
      </c>
      <c r="E282" s="18" t="str">
        <f>IF(C282="","",固定信息!$B$2)</f>
        <v/>
      </c>
      <c r="F282" s="18" t="str">
        <f t="array" ref="F282">IF(C282="","","【"&amp;C282&amp;"】"&amp;_xlfn.XLOOKUP(A282&amp;B282&amp;C282,盘货信息!$A:$A&amp;盘货信息!$B:$B&amp;盘货信息!$C:$C,盘货信息!$D:$D))</f>
        <v/>
      </c>
      <c r="G282" s="18" t="str">
        <f>IF(C282="","","【"&amp;"活动时间："&amp;固定信息!$B$3&amp;"】")</f>
        <v/>
      </c>
      <c r="H282" s="18" t="str">
        <f>IF($C282="","",固定信息!$B$1)</f>
        <v/>
      </c>
      <c r="I282" s="18"/>
      <c r="J282" s="18" t="str">
        <f t="array" ref="J282">_xlfn.XLOOKUP(A282&amp;B282&amp;C282,价格信息!$A:$A&amp;价格信息!$B:$B&amp;价格信息!$C:$C,价格信息!$D:$D)</f>
        <v/>
      </c>
      <c r="K282" s="31" t="str">
        <f t="array" ref="K282">IF(_xlfn.XLOOKUP(A282&amp;B282&amp;C282,价格信息!$A:$A&amp;价格信息!$B:$B&amp;价格信息!$C:$C,价格信息!$I:$I)="","","【优惠券链接】"&amp;固定信息!$B$6)</f>
        <v/>
      </c>
      <c r="L282" s="31" t="str">
        <f>IF($C282="","",固定信息!$B$1)</f>
        <v/>
      </c>
      <c r="M282" s="18" t="str">
        <f t="array" ref="M282">IF(_xlfn.XLOOKUP(A282&amp;B282&amp;C282,盘货信息!$A:$A&amp;盘货信息!$B:$B&amp;盘货信息!$C:$C,盘货信息!$O:$O)="","","【优惠券】领"&amp;INDEX(_wpsfn.REGEXP(_xlfn.XLOOKUP(A282&amp;B282&amp;C282,盘货信息!$A:$A&amp;盘货信息!$B:$B&amp;盘货信息!$C:$C,盘货信息!$O:$O),"\d+"),1,1)&amp;"元优惠券下单更优惠，优惠卷："&amp;_xlfn.XLOOKUP(A282&amp;B282&amp;C282,盘货信息!$A:$A&amp;盘货信息!$B:$B&amp;盘货信息!$C:$C,盘货信息!$P:$P))</f>
        <v/>
      </c>
      <c r="N282" s="18" t="str">
        <f t="array" ref="N282">IF(AND(ISNUMBER(_xlfn.XLOOKUP(A282&amp;B282&amp;C282,盘货信息!$A:$A&amp;盘货信息!$B:$B&amp;盘货信息!$C:$C,盘货信息!$I:$I)),_xlfn.XLOOKUP(A282&amp;B282&amp;C282,盘货信息!$A:$A&amp;盘货信息!$B:$B&amp;盘货信息!$C:$C,盘货信息!$I:$I)&gt;1),"【88VIP】立减"&amp;_xlfn.XLOOKUP(A282&amp;B282&amp;C282,盘货信息!$A:$A&amp;盘货信息!$B:$B&amp;盘货信息!$C:$C,盘货信息!$I:$I)&amp;"元","")</f>
        <v/>
      </c>
      <c r="O282" s="18" t="str">
        <f t="array" ref="O282">IF(_xlfn.XLOOKUP(A282&amp;B282&amp;C282,盘货信息!$A:$A&amp;盘货信息!$B:$B&amp;盘货信息!$C:$C,盘货信息!$K:$K)="","",IF(AND(_xlfn.XLOOKUP(A282&amp;B282&amp;C282,盘货信息!$A:$A&amp;盘货信息!$B:$B&amp;盘货信息!$C:$C,盘货信息!$G:$G)="不参加",_xlfn.XLOOKUP(A282&amp;B282&amp;C282,盘货信息!$A:$A&amp;盘货信息!$B:$B&amp;盘货信息!$C:$C,盘货信息!$H:$H)=""),"【以旧换新】"&amp;_xlfn.XLOOKUP(A282&amp;B282&amp;C282,盘货信息!$A:$A&amp;盘货信息!$B:$B&amp;盘货信息!$C:$C,盘货信息!$K:$K)&amp;"元以旧换新补贴（可无旧机换新）",""))</f>
        <v/>
      </c>
      <c r="P282" s="18" t="str">
        <f t="array" ref="P282">_xlfn.XLOOKUP(A282&amp;B282&amp;C282,赠品!$A:$A&amp;赠品!$B:$B&amp;赠品!$C:$C,赠品!$D:$D)</f>
        <v/>
      </c>
      <c r="Q282" s="18" t="str">
        <f>IF($C282="","",IF(AND(M282="",N282="",P282=""),"",固定信息!$B$1))</f>
        <v/>
      </c>
      <c r="R282" s="18" t="str">
        <f t="array" ref="R282">IF(ISNUMBER(SEARCH("是",_xlfn.XLOOKUP(A282&amp;B282&amp;C282,盘货信息!$A:$A&amp;盘货信息!$B:$B&amp;盘货信息!$C:$C,盘货信息!$U:$U))),"【折扣】指定型号满2类享96折，满3类享94折","")</f>
        <v/>
      </c>
      <c r="S282" s="18" t="str">
        <f t="array" ref="S282">IF(_xlfn.XLOOKUP(A282&amp;B282&amp;C282,盘货信息!$A:$A&amp;盘货信息!$B:$B&amp;盘货信息!$C:$C,盘货信息!$Q:$Q)&lt;1,"","【红包】活动时间购机送"&amp;_xlfn.TEXTJOIN("",,IF(ISNUMBER(--MID(_xlfn.XLOOKUP(A282&amp;B282&amp;C282,盘货信息!$A:$A&amp;盘货信息!$B:$B&amp;盘货信息!$C:$C,盘货信息!$Q:$Q),_xlfn.SEQUENCE(LEN(_xlfn.XLOOKUP(A282&amp;B282&amp;C282,盘货信息!$A:$A&amp;盘货信息!$B:$B&amp;盘货信息!$C:$C,盘货信息!$Q:$Q))),1)),MID(_xlfn.XLOOKUP(A282&amp;B282&amp;C282,盘货信息!$A:$A&amp;盘货信息!$B:$B&amp;盘货信息!$C:$C,盘货信息!$Q:$Q),_xlfn.SEQUENCE(LEN(_xlfn.XLOOKUP(A282&amp;B282&amp;C282,盘货信息!$A:$A&amp;盘货信息!$B:$B&amp;盘货信息!$C:$C,盘货信息!$Q:$Q))),1),""))&amp;"元")</f>
        <v/>
      </c>
      <c r="T282" s="18" t="str">
        <f t="array" ref="T282">IF(ISNUMBER(SEARCH("是",_xlfn.XLOOKUP(A282&amp;B282&amp;C282,盘货信息!$A:$A&amp;盘货信息!$B:$B&amp;盘货信息!$C:$C,盘货信息!$T:$T))),"【瓜分】"&amp;固定信息!$B$7,"")</f>
        <v/>
      </c>
      <c r="U282" s="18" t="str">
        <f>IF($C282="","",IF(AND(R282="",S282="",T282=""),"",固定信息!$B$1))</f>
        <v/>
      </c>
      <c r="V282" s="18" t="str">
        <f t="array" ref="V282">IF(C282="","","【服务】"&amp;IF(_xlfn.XLOOKUP(A282&amp;B282&amp;C282,盘货信息!$A:$A&amp;盘货信息!$B:$B&amp;盘货信息!$C:$C,盘货信息!$V:$V)="","",_xlfn.XLOOKUP(A282&amp;B282&amp;C282,盘货信息!$A:$A&amp;盘货信息!$B:$B&amp;盘货信息!$C:$C,盘货信息!$V:$V)&amp;"免息,")&amp;IF(_xlfn.XLOOKUP(A282&amp;B282&amp;C282,盘货信息!$A:$A&amp;盘货信息!$B:$B&amp;盘货信息!$C:$C,盘货信息!$W:$W)="","",_xlfn.XLOOKUP(A282&amp;B282&amp;C282,盘货信息!$A:$A&amp;盘货信息!$B:$B&amp;盘货信息!$C:$C,盘货信息!$W:$W)&amp;"，")&amp;"送货入户，退换免运费")</f>
        <v/>
      </c>
    </row>
    <row r="283" customHeight="1" spans="1:22">
      <c r="A283" s="17" t="str">
        <f>IF(盘货信息!A283="","",盘货信息!A283)</f>
        <v/>
      </c>
      <c r="B283" s="20" t="str">
        <f>IF(盘货信息!B283="","",盘货信息!B283)</f>
        <v/>
      </c>
      <c r="C283" s="18" t="str">
        <f>IF(盘货信息!C283="","",盘货信息!C283)</f>
        <v/>
      </c>
      <c r="D283" s="18" t="str">
        <f ca="1" t="shared" si="4"/>
        <v/>
      </c>
      <c r="E283" s="18" t="str">
        <f>IF(C283="","",固定信息!$B$2)</f>
        <v/>
      </c>
      <c r="F283" s="18" t="str">
        <f t="array" ref="F283">IF(C283="","","【"&amp;C283&amp;"】"&amp;_xlfn.XLOOKUP(A283&amp;B283&amp;C283,盘货信息!$A:$A&amp;盘货信息!$B:$B&amp;盘货信息!$C:$C,盘货信息!$D:$D))</f>
        <v/>
      </c>
      <c r="G283" s="18" t="str">
        <f>IF(C283="","","【"&amp;"活动时间："&amp;固定信息!$B$3&amp;"】")</f>
        <v/>
      </c>
      <c r="H283" s="18" t="str">
        <f>IF($C283="","",固定信息!$B$1)</f>
        <v/>
      </c>
      <c r="I283" s="18"/>
      <c r="J283" s="18" t="str">
        <f t="array" ref="J283">_xlfn.XLOOKUP(A283&amp;B283&amp;C283,价格信息!$A:$A&amp;价格信息!$B:$B&amp;价格信息!$C:$C,价格信息!$D:$D)</f>
        <v/>
      </c>
      <c r="K283" s="31" t="str">
        <f t="array" ref="K283">IF(_xlfn.XLOOKUP(A283&amp;B283&amp;C283,价格信息!$A:$A&amp;价格信息!$B:$B&amp;价格信息!$C:$C,价格信息!$I:$I)="","","【优惠券链接】"&amp;固定信息!$B$6)</f>
        <v/>
      </c>
      <c r="L283" s="31" t="str">
        <f>IF($C283="","",固定信息!$B$1)</f>
        <v/>
      </c>
      <c r="M283" s="18" t="str">
        <f t="array" ref="M283">IF(_xlfn.XLOOKUP(A283&amp;B283&amp;C283,盘货信息!$A:$A&amp;盘货信息!$B:$B&amp;盘货信息!$C:$C,盘货信息!$O:$O)="","","【优惠券】领"&amp;INDEX(_wpsfn.REGEXP(_xlfn.XLOOKUP(A283&amp;B283&amp;C283,盘货信息!$A:$A&amp;盘货信息!$B:$B&amp;盘货信息!$C:$C,盘货信息!$O:$O),"\d+"),1,1)&amp;"元优惠券下单更优惠，优惠卷："&amp;_xlfn.XLOOKUP(A283&amp;B283&amp;C283,盘货信息!$A:$A&amp;盘货信息!$B:$B&amp;盘货信息!$C:$C,盘货信息!$P:$P))</f>
        <v/>
      </c>
      <c r="N283" s="18" t="str">
        <f t="array" ref="N283">IF(AND(ISNUMBER(_xlfn.XLOOKUP(A283&amp;B283&amp;C283,盘货信息!$A:$A&amp;盘货信息!$B:$B&amp;盘货信息!$C:$C,盘货信息!$I:$I)),_xlfn.XLOOKUP(A283&amp;B283&amp;C283,盘货信息!$A:$A&amp;盘货信息!$B:$B&amp;盘货信息!$C:$C,盘货信息!$I:$I)&gt;1),"【88VIP】立减"&amp;_xlfn.XLOOKUP(A283&amp;B283&amp;C283,盘货信息!$A:$A&amp;盘货信息!$B:$B&amp;盘货信息!$C:$C,盘货信息!$I:$I)&amp;"元","")</f>
        <v/>
      </c>
      <c r="O283" s="18" t="str">
        <f t="array" ref="O283">IF(_xlfn.XLOOKUP(A283&amp;B283&amp;C283,盘货信息!$A:$A&amp;盘货信息!$B:$B&amp;盘货信息!$C:$C,盘货信息!$K:$K)="","",IF(AND(_xlfn.XLOOKUP(A283&amp;B283&amp;C283,盘货信息!$A:$A&amp;盘货信息!$B:$B&amp;盘货信息!$C:$C,盘货信息!$G:$G)="不参加",_xlfn.XLOOKUP(A283&amp;B283&amp;C283,盘货信息!$A:$A&amp;盘货信息!$B:$B&amp;盘货信息!$C:$C,盘货信息!$H:$H)=""),"【以旧换新】"&amp;_xlfn.XLOOKUP(A283&amp;B283&amp;C283,盘货信息!$A:$A&amp;盘货信息!$B:$B&amp;盘货信息!$C:$C,盘货信息!$K:$K)&amp;"元以旧换新补贴（可无旧机换新）",""))</f>
        <v/>
      </c>
      <c r="P283" s="18" t="str">
        <f t="array" ref="P283">_xlfn.XLOOKUP(A283&amp;B283&amp;C283,赠品!$A:$A&amp;赠品!$B:$B&amp;赠品!$C:$C,赠品!$D:$D)</f>
        <v/>
      </c>
      <c r="Q283" s="18" t="str">
        <f>IF($C283="","",IF(AND(M283="",N283="",P283=""),"",固定信息!$B$1))</f>
        <v/>
      </c>
      <c r="R283" s="18" t="str">
        <f t="array" ref="R283">IF(ISNUMBER(SEARCH("是",_xlfn.XLOOKUP(A283&amp;B283&amp;C283,盘货信息!$A:$A&amp;盘货信息!$B:$B&amp;盘货信息!$C:$C,盘货信息!$U:$U))),"【折扣】指定型号满2类享96折，满3类享94折","")</f>
        <v/>
      </c>
      <c r="S283" s="18" t="str">
        <f t="array" ref="S283">IF(_xlfn.XLOOKUP(A283&amp;B283&amp;C283,盘货信息!$A:$A&amp;盘货信息!$B:$B&amp;盘货信息!$C:$C,盘货信息!$Q:$Q)&lt;1,"","【红包】活动时间购机送"&amp;_xlfn.TEXTJOIN("",,IF(ISNUMBER(--MID(_xlfn.XLOOKUP(A283&amp;B283&amp;C283,盘货信息!$A:$A&amp;盘货信息!$B:$B&amp;盘货信息!$C:$C,盘货信息!$Q:$Q),_xlfn.SEQUENCE(LEN(_xlfn.XLOOKUP(A283&amp;B283&amp;C283,盘货信息!$A:$A&amp;盘货信息!$B:$B&amp;盘货信息!$C:$C,盘货信息!$Q:$Q))),1)),MID(_xlfn.XLOOKUP(A283&amp;B283&amp;C283,盘货信息!$A:$A&amp;盘货信息!$B:$B&amp;盘货信息!$C:$C,盘货信息!$Q:$Q),_xlfn.SEQUENCE(LEN(_xlfn.XLOOKUP(A283&amp;B283&amp;C283,盘货信息!$A:$A&amp;盘货信息!$B:$B&amp;盘货信息!$C:$C,盘货信息!$Q:$Q))),1),""))&amp;"元")</f>
        <v/>
      </c>
      <c r="T283" s="18" t="str">
        <f t="array" ref="T283">IF(ISNUMBER(SEARCH("是",_xlfn.XLOOKUP(A283&amp;B283&amp;C283,盘货信息!$A:$A&amp;盘货信息!$B:$B&amp;盘货信息!$C:$C,盘货信息!$T:$T))),"【瓜分】"&amp;固定信息!$B$7,"")</f>
        <v/>
      </c>
      <c r="U283" s="18" t="str">
        <f>IF($C283="","",IF(AND(R283="",S283="",T283=""),"",固定信息!$B$1))</f>
        <v/>
      </c>
      <c r="V283" s="18" t="str">
        <f t="array" ref="V283">IF(C283="","","【服务】"&amp;IF(_xlfn.XLOOKUP(A283&amp;B283&amp;C283,盘货信息!$A:$A&amp;盘货信息!$B:$B&amp;盘货信息!$C:$C,盘货信息!$V:$V)="","",_xlfn.XLOOKUP(A283&amp;B283&amp;C283,盘货信息!$A:$A&amp;盘货信息!$B:$B&amp;盘货信息!$C:$C,盘货信息!$V:$V)&amp;"免息,")&amp;IF(_xlfn.XLOOKUP(A283&amp;B283&amp;C283,盘货信息!$A:$A&amp;盘货信息!$B:$B&amp;盘货信息!$C:$C,盘货信息!$W:$W)="","",_xlfn.XLOOKUP(A283&amp;B283&amp;C283,盘货信息!$A:$A&amp;盘货信息!$B:$B&amp;盘货信息!$C:$C,盘货信息!$W:$W)&amp;"，")&amp;"送货入户，退换免运费")</f>
        <v/>
      </c>
    </row>
    <row r="284" customHeight="1" spans="1:22">
      <c r="A284" s="17" t="str">
        <f>IF(盘货信息!A284="","",盘货信息!A284)</f>
        <v/>
      </c>
      <c r="B284" s="20" t="str">
        <f>IF(盘货信息!B284="","",盘货信息!B284)</f>
        <v/>
      </c>
      <c r="C284" s="18" t="str">
        <f>IF(盘货信息!C284="","",盘货信息!C284)</f>
        <v/>
      </c>
      <c r="D284" s="18" t="str">
        <f ca="1" t="shared" si="4"/>
        <v/>
      </c>
      <c r="E284" s="18" t="str">
        <f>IF(C284="","",固定信息!$B$2)</f>
        <v/>
      </c>
      <c r="F284" s="18" t="str">
        <f t="array" ref="F284">IF(C284="","","【"&amp;C284&amp;"】"&amp;_xlfn.XLOOKUP(A284&amp;B284&amp;C284,盘货信息!$A:$A&amp;盘货信息!$B:$B&amp;盘货信息!$C:$C,盘货信息!$D:$D))</f>
        <v/>
      </c>
      <c r="G284" s="18" t="str">
        <f>IF(C284="","","【"&amp;"活动时间："&amp;固定信息!$B$3&amp;"】")</f>
        <v/>
      </c>
      <c r="H284" s="18" t="str">
        <f>IF($C284="","",固定信息!$B$1)</f>
        <v/>
      </c>
      <c r="I284" s="18"/>
      <c r="J284" s="18" t="str">
        <f t="array" ref="J284">_xlfn.XLOOKUP(A284&amp;B284&amp;C284,价格信息!$A:$A&amp;价格信息!$B:$B&amp;价格信息!$C:$C,价格信息!$D:$D)</f>
        <v/>
      </c>
      <c r="K284" s="31" t="str">
        <f t="array" ref="K284">IF(_xlfn.XLOOKUP(A284&amp;B284&amp;C284,价格信息!$A:$A&amp;价格信息!$B:$B&amp;价格信息!$C:$C,价格信息!$I:$I)="","","【优惠券链接】"&amp;固定信息!$B$6)</f>
        <v/>
      </c>
      <c r="L284" s="31" t="str">
        <f>IF($C284="","",固定信息!$B$1)</f>
        <v/>
      </c>
      <c r="M284" s="18" t="str">
        <f t="array" ref="M284">IF(_xlfn.XLOOKUP(A284&amp;B284&amp;C284,盘货信息!$A:$A&amp;盘货信息!$B:$B&amp;盘货信息!$C:$C,盘货信息!$O:$O)="","","【优惠券】领"&amp;INDEX(_wpsfn.REGEXP(_xlfn.XLOOKUP(A284&amp;B284&amp;C284,盘货信息!$A:$A&amp;盘货信息!$B:$B&amp;盘货信息!$C:$C,盘货信息!$O:$O),"\d+"),1,1)&amp;"元优惠券下单更优惠，优惠卷："&amp;_xlfn.XLOOKUP(A284&amp;B284&amp;C284,盘货信息!$A:$A&amp;盘货信息!$B:$B&amp;盘货信息!$C:$C,盘货信息!$P:$P))</f>
        <v/>
      </c>
      <c r="N284" s="18" t="str">
        <f t="array" ref="N284">IF(AND(ISNUMBER(_xlfn.XLOOKUP(A284&amp;B284&amp;C284,盘货信息!$A:$A&amp;盘货信息!$B:$B&amp;盘货信息!$C:$C,盘货信息!$I:$I)),_xlfn.XLOOKUP(A284&amp;B284&amp;C284,盘货信息!$A:$A&amp;盘货信息!$B:$B&amp;盘货信息!$C:$C,盘货信息!$I:$I)&gt;1),"【88VIP】立减"&amp;_xlfn.XLOOKUP(A284&amp;B284&amp;C284,盘货信息!$A:$A&amp;盘货信息!$B:$B&amp;盘货信息!$C:$C,盘货信息!$I:$I)&amp;"元","")</f>
        <v/>
      </c>
      <c r="O284" s="18" t="str">
        <f t="array" ref="O284">IF(_xlfn.XLOOKUP(A284&amp;B284&amp;C284,盘货信息!$A:$A&amp;盘货信息!$B:$B&amp;盘货信息!$C:$C,盘货信息!$K:$K)="","",IF(AND(_xlfn.XLOOKUP(A284&amp;B284&amp;C284,盘货信息!$A:$A&amp;盘货信息!$B:$B&amp;盘货信息!$C:$C,盘货信息!$G:$G)="不参加",_xlfn.XLOOKUP(A284&amp;B284&amp;C284,盘货信息!$A:$A&amp;盘货信息!$B:$B&amp;盘货信息!$C:$C,盘货信息!$H:$H)=""),"【以旧换新】"&amp;_xlfn.XLOOKUP(A284&amp;B284&amp;C284,盘货信息!$A:$A&amp;盘货信息!$B:$B&amp;盘货信息!$C:$C,盘货信息!$K:$K)&amp;"元以旧换新补贴（可无旧机换新）",""))</f>
        <v/>
      </c>
      <c r="P284" s="18" t="str">
        <f t="array" ref="P284">_xlfn.XLOOKUP(A284&amp;B284&amp;C284,赠品!$A:$A&amp;赠品!$B:$B&amp;赠品!$C:$C,赠品!$D:$D)</f>
        <v/>
      </c>
      <c r="Q284" s="18" t="str">
        <f>IF($C284="","",IF(AND(M284="",N284="",P284=""),"",固定信息!$B$1))</f>
        <v/>
      </c>
      <c r="R284" s="18" t="str">
        <f t="array" ref="R284">IF(ISNUMBER(SEARCH("是",_xlfn.XLOOKUP(A284&amp;B284&amp;C284,盘货信息!$A:$A&amp;盘货信息!$B:$B&amp;盘货信息!$C:$C,盘货信息!$U:$U))),"【折扣】指定型号满2类享96折，满3类享94折","")</f>
        <v/>
      </c>
      <c r="S284" s="18" t="str">
        <f t="array" ref="S284">IF(_xlfn.XLOOKUP(A284&amp;B284&amp;C284,盘货信息!$A:$A&amp;盘货信息!$B:$B&amp;盘货信息!$C:$C,盘货信息!$Q:$Q)&lt;1,"","【红包】活动时间购机送"&amp;_xlfn.TEXTJOIN("",,IF(ISNUMBER(--MID(_xlfn.XLOOKUP(A284&amp;B284&amp;C284,盘货信息!$A:$A&amp;盘货信息!$B:$B&amp;盘货信息!$C:$C,盘货信息!$Q:$Q),_xlfn.SEQUENCE(LEN(_xlfn.XLOOKUP(A284&amp;B284&amp;C284,盘货信息!$A:$A&amp;盘货信息!$B:$B&amp;盘货信息!$C:$C,盘货信息!$Q:$Q))),1)),MID(_xlfn.XLOOKUP(A284&amp;B284&amp;C284,盘货信息!$A:$A&amp;盘货信息!$B:$B&amp;盘货信息!$C:$C,盘货信息!$Q:$Q),_xlfn.SEQUENCE(LEN(_xlfn.XLOOKUP(A284&amp;B284&amp;C284,盘货信息!$A:$A&amp;盘货信息!$B:$B&amp;盘货信息!$C:$C,盘货信息!$Q:$Q))),1),""))&amp;"元")</f>
        <v/>
      </c>
      <c r="T284" s="18" t="str">
        <f t="array" ref="T284">IF(ISNUMBER(SEARCH("是",_xlfn.XLOOKUP(A284&amp;B284&amp;C284,盘货信息!$A:$A&amp;盘货信息!$B:$B&amp;盘货信息!$C:$C,盘货信息!$T:$T))),"【瓜分】"&amp;固定信息!$B$7,"")</f>
        <v/>
      </c>
      <c r="U284" s="18" t="str">
        <f>IF($C284="","",IF(AND(R284="",S284="",T284=""),"",固定信息!$B$1))</f>
        <v/>
      </c>
      <c r="V284" s="18" t="str">
        <f t="array" ref="V284">IF(C284="","","【服务】"&amp;IF(_xlfn.XLOOKUP(A284&amp;B284&amp;C284,盘货信息!$A:$A&amp;盘货信息!$B:$B&amp;盘货信息!$C:$C,盘货信息!$V:$V)="","",_xlfn.XLOOKUP(A284&amp;B284&amp;C284,盘货信息!$A:$A&amp;盘货信息!$B:$B&amp;盘货信息!$C:$C,盘货信息!$V:$V)&amp;"免息,")&amp;IF(_xlfn.XLOOKUP(A284&amp;B284&amp;C284,盘货信息!$A:$A&amp;盘货信息!$B:$B&amp;盘货信息!$C:$C,盘货信息!$W:$W)="","",_xlfn.XLOOKUP(A284&amp;B284&amp;C284,盘货信息!$A:$A&amp;盘货信息!$B:$B&amp;盘货信息!$C:$C,盘货信息!$W:$W)&amp;"，")&amp;"送货入户，退换免运费")</f>
        <v/>
      </c>
    </row>
    <row r="285" customHeight="1" spans="1:22">
      <c r="A285" s="17" t="str">
        <f>IF(盘货信息!A285="","",盘货信息!A285)</f>
        <v/>
      </c>
      <c r="B285" s="20" t="str">
        <f>IF(盘货信息!B285="","",盘货信息!B285)</f>
        <v/>
      </c>
      <c r="C285" s="18" t="str">
        <f>IF(盘货信息!C285="","",盘货信息!C285)</f>
        <v/>
      </c>
      <c r="D285" s="18" t="str">
        <f ca="1" t="shared" si="4"/>
        <v/>
      </c>
      <c r="E285" s="18" t="str">
        <f>IF(C285="","",固定信息!$B$2)</f>
        <v/>
      </c>
      <c r="F285" s="18" t="str">
        <f t="array" ref="F285">IF(C285="","","【"&amp;C285&amp;"】"&amp;_xlfn.XLOOKUP(A285&amp;B285&amp;C285,盘货信息!$A:$A&amp;盘货信息!$B:$B&amp;盘货信息!$C:$C,盘货信息!$D:$D))</f>
        <v/>
      </c>
      <c r="G285" s="18" t="str">
        <f>IF(C285="","","【"&amp;"活动时间："&amp;固定信息!$B$3&amp;"】")</f>
        <v/>
      </c>
      <c r="H285" s="18" t="str">
        <f>IF($C285="","",固定信息!$B$1)</f>
        <v/>
      </c>
      <c r="I285" s="18"/>
      <c r="J285" s="18" t="str">
        <f t="array" ref="J285">_xlfn.XLOOKUP(A285&amp;B285&amp;C285,价格信息!$A:$A&amp;价格信息!$B:$B&amp;价格信息!$C:$C,价格信息!$D:$D)</f>
        <v/>
      </c>
      <c r="K285" s="31" t="str">
        <f t="array" ref="K285">IF(_xlfn.XLOOKUP(A285&amp;B285&amp;C285,价格信息!$A:$A&amp;价格信息!$B:$B&amp;价格信息!$C:$C,价格信息!$I:$I)="","","【优惠券链接】"&amp;固定信息!$B$6)</f>
        <v/>
      </c>
      <c r="L285" s="31" t="str">
        <f>IF($C285="","",固定信息!$B$1)</f>
        <v/>
      </c>
      <c r="M285" s="18" t="str">
        <f t="array" ref="M285">IF(_xlfn.XLOOKUP(A285&amp;B285&amp;C285,盘货信息!$A:$A&amp;盘货信息!$B:$B&amp;盘货信息!$C:$C,盘货信息!$O:$O)="","","【优惠券】领"&amp;INDEX(_wpsfn.REGEXP(_xlfn.XLOOKUP(A285&amp;B285&amp;C285,盘货信息!$A:$A&amp;盘货信息!$B:$B&amp;盘货信息!$C:$C,盘货信息!$O:$O),"\d+"),1,1)&amp;"元优惠券下单更优惠，优惠卷："&amp;_xlfn.XLOOKUP(A285&amp;B285&amp;C285,盘货信息!$A:$A&amp;盘货信息!$B:$B&amp;盘货信息!$C:$C,盘货信息!$P:$P))</f>
        <v/>
      </c>
      <c r="N285" s="18" t="str">
        <f t="array" ref="N285">IF(AND(ISNUMBER(_xlfn.XLOOKUP(A285&amp;B285&amp;C285,盘货信息!$A:$A&amp;盘货信息!$B:$B&amp;盘货信息!$C:$C,盘货信息!$I:$I)),_xlfn.XLOOKUP(A285&amp;B285&amp;C285,盘货信息!$A:$A&amp;盘货信息!$B:$B&amp;盘货信息!$C:$C,盘货信息!$I:$I)&gt;1),"【88VIP】立减"&amp;_xlfn.XLOOKUP(A285&amp;B285&amp;C285,盘货信息!$A:$A&amp;盘货信息!$B:$B&amp;盘货信息!$C:$C,盘货信息!$I:$I)&amp;"元","")</f>
        <v/>
      </c>
      <c r="O285" s="18" t="str">
        <f t="array" ref="O285">IF(_xlfn.XLOOKUP(A285&amp;B285&amp;C285,盘货信息!$A:$A&amp;盘货信息!$B:$B&amp;盘货信息!$C:$C,盘货信息!$K:$K)="","",IF(AND(_xlfn.XLOOKUP(A285&amp;B285&amp;C285,盘货信息!$A:$A&amp;盘货信息!$B:$B&amp;盘货信息!$C:$C,盘货信息!$G:$G)="不参加",_xlfn.XLOOKUP(A285&amp;B285&amp;C285,盘货信息!$A:$A&amp;盘货信息!$B:$B&amp;盘货信息!$C:$C,盘货信息!$H:$H)=""),"【以旧换新】"&amp;_xlfn.XLOOKUP(A285&amp;B285&amp;C285,盘货信息!$A:$A&amp;盘货信息!$B:$B&amp;盘货信息!$C:$C,盘货信息!$K:$K)&amp;"元以旧换新补贴（可无旧机换新）",""))</f>
        <v/>
      </c>
      <c r="P285" s="18" t="str">
        <f t="array" ref="P285">_xlfn.XLOOKUP(A285&amp;B285&amp;C285,赠品!$A:$A&amp;赠品!$B:$B&amp;赠品!$C:$C,赠品!$D:$D)</f>
        <v/>
      </c>
      <c r="Q285" s="18" t="str">
        <f>IF($C285="","",IF(AND(M285="",N285="",P285=""),"",固定信息!$B$1))</f>
        <v/>
      </c>
      <c r="R285" s="18" t="str">
        <f t="array" ref="R285">IF(ISNUMBER(SEARCH("是",_xlfn.XLOOKUP(A285&amp;B285&amp;C285,盘货信息!$A:$A&amp;盘货信息!$B:$B&amp;盘货信息!$C:$C,盘货信息!$U:$U))),"【折扣】指定型号满2类享96折，满3类享94折","")</f>
        <v/>
      </c>
      <c r="S285" s="18" t="str">
        <f t="array" ref="S285">IF(_xlfn.XLOOKUP(A285&amp;B285&amp;C285,盘货信息!$A:$A&amp;盘货信息!$B:$B&amp;盘货信息!$C:$C,盘货信息!$Q:$Q)&lt;1,"","【红包】活动时间购机送"&amp;_xlfn.TEXTJOIN("",,IF(ISNUMBER(--MID(_xlfn.XLOOKUP(A285&amp;B285&amp;C285,盘货信息!$A:$A&amp;盘货信息!$B:$B&amp;盘货信息!$C:$C,盘货信息!$Q:$Q),_xlfn.SEQUENCE(LEN(_xlfn.XLOOKUP(A285&amp;B285&amp;C285,盘货信息!$A:$A&amp;盘货信息!$B:$B&amp;盘货信息!$C:$C,盘货信息!$Q:$Q))),1)),MID(_xlfn.XLOOKUP(A285&amp;B285&amp;C285,盘货信息!$A:$A&amp;盘货信息!$B:$B&amp;盘货信息!$C:$C,盘货信息!$Q:$Q),_xlfn.SEQUENCE(LEN(_xlfn.XLOOKUP(A285&amp;B285&amp;C285,盘货信息!$A:$A&amp;盘货信息!$B:$B&amp;盘货信息!$C:$C,盘货信息!$Q:$Q))),1),""))&amp;"元")</f>
        <v/>
      </c>
      <c r="T285" s="18" t="str">
        <f t="array" ref="T285">IF(ISNUMBER(SEARCH("是",_xlfn.XLOOKUP(A285&amp;B285&amp;C285,盘货信息!$A:$A&amp;盘货信息!$B:$B&amp;盘货信息!$C:$C,盘货信息!$T:$T))),"【瓜分】"&amp;固定信息!$B$7,"")</f>
        <v/>
      </c>
      <c r="U285" s="18" t="str">
        <f>IF($C285="","",IF(AND(R285="",S285="",T285=""),"",固定信息!$B$1))</f>
        <v/>
      </c>
      <c r="V285" s="18" t="str">
        <f t="array" ref="V285">IF(C285="","","【服务】"&amp;IF(_xlfn.XLOOKUP(A285&amp;B285&amp;C285,盘货信息!$A:$A&amp;盘货信息!$B:$B&amp;盘货信息!$C:$C,盘货信息!$V:$V)="","",_xlfn.XLOOKUP(A285&amp;B285&amp;C285,盘货信息!$A:$A&amp;盘货信息!$B:$B&amp;盘货信息!$C:$C,盘货信息!$V:$V)&amp;"免息,")&amp;IF(_xlfn.XLOOKUP(A285&amp;B285&amp;C285,盘货信息!$A:$A&amp;盘货信息!$B:$B&amp;盘货信息!$C:$C,盘货信息!$W:$W)="","",_xlfn.XLOOKUP(A285&amp;B285&amp;C285,盘货信息!$A:$A&amp;盘货信息!$B:$B&amp;盘货信息!$C:$C,盘货信息!$W:$W)&amp;"，")&amp;"送货入户，退换免运费")</f>
        <v/>
      </c>
    </row>
    <row r="286" customHeight="1" spans="1:22">
      <c r="A286" s="17" t="str">
        <f>IF(盘货信息!A286="","",盘货信息!A286)</f>
        <v/>
      </c>
      <c r="B286" s="20" t="str">
        <f>IF(盘货信息!B286="","",盘货信息!B286)</f>
        <v/>
      </c>
      <c r="C286" s="18" t="str">
        <f>IF(盘货信息!C286="","",盘货信息!C286)</f>
        <v/>
      </c>
      <c r="D286" s="18" t="str">
        <f ca="1" t="shared" si="4"/>
        <v/>
      </c>
      <c r="E286" s="18" t="str">
        <f>IF(C286="","",固定信息!$B$2)</f>
        <v/>
      </c>
      <c r="F286" s="18" t="str">
        <f t="array" ref="F286">IF(C286="","","【"&amp;C286&amp;"】"&amp;_xlfn.XLOOKUP(A286&amp;B286&amp;C286,盘货信息!$A:$A&amp;盘货信息!$B:$B&amp;盘货信息!$C:$C,盘货信息!$D:$D))</f>
        <v/>
      </c>
      <c r="G286" s="18" t="str">
        <f>IF(C286="","","【"&amp;"活动时间："&amp;固定信息!$B$3&amp;"】")</f>
        <v/>
      </c>
      <c r="H286" s="18" t="str">
        <f>IF($C286="","",固定信息!$B$1)</f>
        <v/>
      </c>
      <c r="I286" s="18"/>
      <c r="J286" s="18" t="str">
        <f t="array" ref="J286">_xlfn.XLOOKUP(A286&amp;B286&amp;C286,价格信息!$A:$A&amp;价格信息!$B:$B&amp;价格信息!$C:$C,价格信息!$D:$D)</f>
        <v/>
      </c>
      <c r="K286" s="31" t="str">
        <f t="array" ref="K286">IF(_xlfn.XLOOKUP(A286&amp;B286&amp;C286,价格信息!$A:$A&amp;价格信息!$B:$B&amp;价格信息!$C:$C,价格信息!$I:$I)="","","【优惠券链接】"&amp;固定信息!$B$6)</f>
        <v/>
      </c>
      <c r="L286" s="31" t="str">
        <f>IF($C286="","",固定信息!$B$1)</f>
        <v/>
      </c>
      <c r="M286" s="18" t="str">
        <f t="array" ref="M286">IF(_xlfn.XLOOKUP(A286&amp;B286&amp;C286,盘货信息!$A:$A&amp;盘货信息!$B:$B&amp;盘货信息!$C:$C,盘货信息!$O:$O)="","","【优惠券】领"&amp;INDEX(_wpsfn.REGEXP(_xlfn.XLOOKUP(A286&amp;B286&amp;C286,盘货信息!$A:$A&amp;盘货信息!$B:$B&amp;盘货信息!$C:$C,盘货信息!$O:$O),"\d+"),1,1)&amp;"元优惠券下单更优惠，优惠卷："&amp;_xlfn.XLOOKUP(A286&amp;B286&amp;C286,盘货信息!$A:$A&amp;盘货信息!$B:$B&amp;盘货信息!$C:$C,盘货信息!$P:$P))</f>
        <v/>
      </c>
      <c r="N286" s="18" t="str">
        <f t="array" ref="N286">IF(AND(ISNUMBER(_xlfn.XLOOKUP(A286&amp;B286&amp;C286,盘货信息!$A:$A&amp;盘货信息!$B:$B&amp;盘货信息!$C:$C,盘货信息!$I:$I)),_xlfn.XLOOKUP(A286&amp;B286&amp;C286,盘货信息!$A:$A&amp;盘货信息!$B:$B&amp;盘货信息!$C:$C,盘货信息!$I:$I)&gt;1),"【88VIP】立减"&amp;_xlfn.XLOOKUP(A286&amp;B286&amp;C286,盘货信息!$A:$A&amp;盘货信息!$B:$B&amp;盘货信息!$C:$C,盘货信息!$I:$I)&amp;"元","")</f>
        <v/>
      </c>
      <c r="O286" s="18" t="str">
        <f t="array" ref="O286">IF(_xlfn.XLOOKUP(A286&amp;B286&amp;C286,盘货信息!$A:$A&amp;盘货信息!$B:$B&amp;盘货信息!$C:$C,盘货信息!$K:$K)="","",IF(AND(_xlfn.XLOOKUP(A286&amp;B286&amp;C286,盘货信息!$A:$A&amp;盘货信息!$B:$B&amp;盘货信息!$C:$C,盘货信息!$G:$G)="不参加",_xlfn.XLOOKUP(A286&amp;B286&amp;C286,盘货信息!$A:$A&amp;盘货信息!$B:$B&amp;盘货信息!$C:$C,盘货信息!$H:$H)=""),"【以旧换新】"&amp;_xlfn.XLOOKUP(A286&amp;B286&amp;C286,盘货信息!$A:$A&amp;盘货信息!$B:$B&amp;盘货信息!$C:$C,盘货信息!$K:$K)&amp;"元以旧换新补贴（可无旧机换新）",""))</f>
        <v/>
      </c>
      <c r="P286" s="18" t="str">
        <f t="array" ref="P286">_xlfn.XLOOKUP(A286&amp;B286&amp;C286,赠品!$A:$A&amp;赠品!$B:$B&amp;赠品!$C:$C,赠品!$D:$D)</f>
        <v/>
      </c>
      <c r="Q286" s="18" t="str">
        <f>IF($C286="","",IF(AND(M286="",N286="",P286=""),"",固定信息!$B$1))</f>
        <v/>
      </c>
      <c r="R286" s="18" t="str">
        <f t="array" ref="R286">IF(ISNUMBER(SEARCH("是",_xlfn.XLOOKUP(A286&amp;B286&amp;C286,盘货信息!$A:$A&amp;盘货信息!$B:$B&amp;盘货信息!$C:$C,盘货信息!$U:$U))),"【折扣】指定型号满2类享96折，满3类享94折","")</f>
        <v/>
      </c>
      <c r="S286" s="18" t="str">
        <f t="array" ref="S286">IF(_xlfn.XLOOKUP(A286&amp;B286&amp;C286,盘货信息!$A:$A&amp;盘货信息!$B:$B&amp;盘货信息!$C:$C,盘货信息!$Q:$Q)&lt;1,"","【红包】活动时间购机送"&amp;_xlfn.TEXTJOIN("",,IF(ISNUMBER(--MID(_xlfn.XLOOKUP(A286&amp;B286&amp;C286,盘货信息!$A:$A&amp;盘货信息!$B:$B&amp;盘货信息!$C:$C,盘货信息!$Q:$Q),_xlfn.SEQUENCE(LEN(_xlfn.XLOOKUP(A286&amp;B286&amp;C286,盘货信息!$A:$A&amp;盘货信息!$B:$B&amp;盘货信息!$C:$C,盘货信息!$Q:$Q))),1)),MID(_xlfn.XLOOKUP(A286&amp;B286&amp;C286,盘货信息!$A:$A&amp;盘货信息!$B:$B&amp;盘货信息!$C:$C,盘货信息!$Q:$Q),_xlfn.SEQUENCE(LEN(_xlfn.XLOOKUP(A286&amp;B286&amp;C286,盘货信息!$A:$A&amp;盘货信息!$B:$B&amp;盘货信息!$C:$C,盘货信息!$Q:$Q))),1),""))&amp;"元")</f>
        <v/>
      </c>
      <c r="T286" s="18" t="str">
        <f t="array" ref="T286">IF(ISNUMBER(SEARCH("是",_xlfn.XLOOKUP(A286&amp;B286&amp;C286,盘货信息!$A:$A&amp;盘货信息!$B:$B&amp;盘货信息!$C:$C,盘货信息!$T:$T))),"【瓜分】"&amp;固定信息!$B$7,"")</f>
        <v/>
      </c>
      <c r="U286" s="18" t="str">
        <f>IF($C286="","",IF(AND(R286="",S286="",T286=""),"",固定信息!$B$1))</f>
        <v/>
      </c>
      <c r="V286" s="18" t="str">
        <f t="array" ref="V286">IF(C286="","","【服务】"&amp;IF(_xlfn.XLOOKUP(A286&amp;B286&amp;C286,盘货信息!$A:$A&amp;盘货信息!$B:$B&amp;盘货信息!$C:$C,盘货信息!$V:$V)="","",_xlfn.XLOOKUP(A286&amp;B286&amp;C286,盘货信息!$A:$A&amp;盘货信息!$B:$B&amp;盘货信息!$C:$C,盘货信息!$V:$V)&amp;"免息,")&amp;IF(_xlfn.XLOOKUP(A286&amp;B286&amp;C286,盘货信息!$A:$A&amp;盘货信息!$B:$B&amp;盘货信息!$C:$C,盘货信息!$W:$W)="","",_xlfn.XLOOKUP(A286&amp;B286&amp;C286,盘货信息!$A:$A&amp;盘货信息!$B:$B&amp;盘货信息!$C:$C,盘货信息!$W:$W)&amp;"，")&amp;"送货入户，退换免运费")</f>
        <v/>
      </c>
    </row>
    <row r="287" customHeight="1" spans="1:22">
      <c r="A287" s="17" t="str">
        <f>IF(盘货信息!A287="","",盘货信息!A287)</f>
        <v/>
      </c>
      <c r="B287" s="20" t="str">
        <f>IF(盘货信息!B287="","",盘货信息!B287)</f>
        <v/>
      </c>
      <c r="C287" s="18" t="str">
        <f>IF(盘货信息!C287="","",盘货信息!C287)</f>
        <v/>
      </c>
      <c r="D287" s="18" t="str">
        <f ca="1" t="shared" si="4"/>
        <v/>
      </c>
      <c r="E287" s="18" t="str">
        <f>IF(C287="","",固定信息!$B$2)</f>
        <v/>
      </c>
      <c r="F287" s="18" t="str">
        <f t="array" ref="F287">IF(C287="","","【"&amp;C287&amp;"】"&amp;_xlfn.XLOOKUP(A287&amp;B287&amp;C287,盘货信息!$A:$A&amp;盘货信息!$B:$B&amp;盘货信息!$C:$C,盘货信息!$D:$D))</f>
        <v/>
      </c>
      <c r="G287" s="18" t="str">
        <f>IF(C287="","","【"&amp;"活动时间："&amp;固定信息!$B$3&amp;"】")</f>
        <v/>
      </c>
      <c r="H287" s="18" t="str">
        <f>IF($C287="","",固定信息!$B$1)</f>
        <v/>
      </c>
      <c r="I287" s="18"/>
      <c r="J287" s="18" t="str">
        <f t="array" ref="J287">_xlfn.XLOOKUP(A287&amp;B287&amp;C287,价格信息!$A:$A&amp;价格信息!$B:$B&amp;价格信息!$C:$C,价格信息!$D:$D)</f>
        <v/>
      </c>
      <c r="K287" s="31" t="str">
        <f t="array" ref="K287">IF(_xlfn.XLOOKUP(A287&amp;B287&amp;C287,价格信息!$A:$A&amp;价格信息!$B:$B&amp;价格信息!$C:$C,价格信息!$I:$I)="","","【优惠券链接】"&amp;固定信息!$B$6)</f>
        <v/>
      </c>
      <c r="L287" s="31" t="str">
        <f>IF($C287="","",固定信息!$B$1)</f>
        <v/>
      </c>
      <c r="M287" s="18" t="str">
        <f t="array" ref="M287">IF(_xlfn.XLOOKUP(A287&amp;B287&amp;C287,盘货信息!$A:$A&amp;盘货信息!$B:$B&amp;盘货信息!$C:$C,盘货信息!$O:$O)="","","【优惠券】领"&amp;INDEX(_wpsfn.REGEXP(_xlfn.XLOOKUP(A287&amp;B287&amp;C287,盘货信息!$A:$A&amp;盘货信息!$B:$B&amp;盘货信息!$C:$C,盘货信息!$O:$O),"\d+"),1,1)&amp;"元优惠券下单更优惠，优惠卷："&amp;_xlfn.XLOOKUP(A287&amp;B287&amp;C287,盘货信息!$A:$A&amp;盘货信息!$B:$B&amp;盘货信息!$C:$C,盘货信息!$P:$P))</f>
        <v/>
      </c>
      <c r="N287" s="18" t="str">
        <f t="array" ref="N287">IF(AND(ISNUMBER(_xlfn.XLOOKUP(A287&amp;B287&amp;C287,盘货信息!$A:$A&amp;盘货信息!$B:$B&amp;盘货信息!$C:$C,盘货信息!$I:$I)),_xlfn.XLOOKUP(A287&amp;B287&amp;C287,盘货信息!$A:$A&amp;盘货信息!$B:$B&amp;盘货信息!$C:$C,盘货信息!$I:$I)&gt;1),"【88VIP】立减"&amp;_xlfn.XLOOKUP(A287&amp;B287&amp;C287,盘货信息!$A:$A&amp;盘货信息!$B:$B&amp;盘货信息!$C:$C,盘货信息!$I:$I)&amp;"元","")</f>
        <v/>
      </c>
      <c r="O287" s="18" t="str">
        <f t="array" ref="O287">IF(_xlfn.XLOOKUP(A287&amp;B287&amp;C287,盘货信息!$A:$A&amp;盘货信息!$B:$B&amp;盘货信息!$C:$C,盘货信息!$K:$K)="","",IF(AND(_xlfn.XLOOKUP(A287&amp;B287&amp;C287,盘货信息!$A:$A&amp;盘货信息!$B:$B&amp;盘货信息!$C:$C,盘货信息!$G:$G)="不参加",_xlfn.XLOOKUP(A287&amp;B287&amp;C287,盘货信息!$A:$A&amp;盘货信息!$B:$B&amp;盘货信息!$C:$C,盘货信息!$H:$H)=""),"【以旧换新】"&amp;_xlfn.XLOOKUP(A287&amp;B287&amp;C287,盘货信息!$A:$A&amp;盘货信息!$B:$B&amp;盘货信息!$C:$C,盘货信息!$K:$K)&amp;"元以旧换新补贴（可无旧机换新）",""))</f>
        <v/>
      </c>
      <c r="P287" s="18" t="str">
        <f t="array" ref="P287">_xlfn.XLOOKUP(A287&amp;B287&amp;C287,赠品!$A:$A&amp;赠品!$B:$B&amp;赠品!$C:$C,赠品!$D:$D)</f>
        <v/>
      </c>
      <c r="Q287" s="18" t="str">
        <f>IF($C287="","",IF(AND(M287="",N287="",P287=""),"",固定信息!$B$1))</f>
        <v/>
      </c>
      <c r="R287" s="18" t="str">
        <f t="array" ref="R287">IF(ISNUMBER(SEARCH("是",_xlfn.XLOOKUP(A287&amp;B287&amp;C287,盘货信息!$A:$A&amp;盘货信息!$B:$B&amp;盘货信息!$C:$C,盘货信息!$U:$U))),"【折扣】指定型号满2类享96折，满3类享94折","")</f>
        <v/>
      </c>
      <c r="S287" s="18" t="str">
        <f t="array" ref="S287">IF(_xlfn.XLOOKUP(A287&amp;B287&amp;C287,盘货信息!$A:$A&amp;盘货信息!$B:$B&amp;盘货信息!$C:$C,盘货信息!$Q:$Q)&lt;1,"","【红包】活动时间购机送"&amp;_xlfn.TEXTJOIN("",,IF(ISNUMBER(--MID(_xlfn.XLOOKUP(A287&amp;B287&amp;C287,盘货信息!$A:$A&amp;盘货信息!$B:$B&amp;盘货信息!$C:$C,盘货信息!$Q:$Q),_xlfn.SEQUENCE(LEN(_xlfn.XLOOKUP(A287&amp;B287&amp;C287,盘货信息!$A:$A&amp;盘货信息!$B:$B&amp;盘货信息!$C:$C,盘货信息!$Q:$Q))),1)),MID(_xlfn.XLOOKUP(A287&amp;B287&amp;C287,盘货信息!$A:$A&amp;盘货信息!$B:$B&amp;盘货信息!$C:$C,盘货信息!$Q:$Q),_xlfn.SEQUENCE(LEN(_xlfn.XLOOKUP(A287&amp;B287&amp;C287,盘货信息!$A:$A&amp;盘货信息!$B:$B&amp;盘货信息!$C:$C,盘货信息!$Q:$Q))),1),""))&amp;"元")</f>
        <v/>
      </c>
      <c r="T287" s="18" t="str">
        <f t="array" ref="T287">IF(ISNUMBER(SEARCH("是",_xlfn.XLOOKUP(A287&amp;B287&amp;C287,盘货信息!$A:$A&amp;盘货信息!$B:$B&amp;盘货信息!$C:$C,盘货信息!$T:$T))),"【瓜分】"&amp;固定信息!$B$7,"")</f>
        <v/>
      </c>
      <c r="U287" s="18" t="str">
        <f>IF($C287="","",IF(AND(R287="",S287="",T287=""),"",固定信息!$B$1))</f>
        <v/>
      </c>
      <c r="V287" s="18" t="str">
        <f t="array" ref="V287">IF(C287="","","【服务】"&amp;IF(_xlfn.XLOOKUP(A287&amp;B287&amp;C287,盘货信息!$A:$A&amp;盘货信息!$B:$B&amp;盘货信息!$C:$C,盘货信息!$V:$V)="","",_xlfn.XLOOKUP(A287&amp;B287&amp;C287,盘货信息!$A:$A&amp;盘货信息!$B:$B&amp;盘货信息!$C:$C,盘货信息!$V:$V)&amp;"免息,")&amp;IF(_xlfn.XLOOKUP(A287&amp;B287&amp;C287,盘货信息!$A:$A&amp;盘货信息!$B:$B&amp;盘货信息!$C:$C,盘货信息!$W:$W)="","",_xlfn.XLOOKUP(A287&amp;B287&amp;C287,盘货信息!$A:$A&amp;盘货信息!$B:$B&amp;盘货信息!$C:$C,盘货信息!$W:$W)&amp;"，")&amp;"送货入户，退换免运费")</f>
        <v/>
      </c>
    </row>
    <row r="288" customHeight="1" spans="1:22">
      <c r="A288" s="17" t="str">
        <f>IF(盘货信息!A288="","",盘货信息!A288)</f>
        <v/>
      </c>
      <c r="B288" s="20" t="str">
        <f>IF(盘货信息!B288="","",盘货信息!B288)</f>
        <v/>
      </c>
      <c r="C288" s="18" t="str">
        <f>IF(盘货信息!C288="","",盘货信息!C288)</f>
        <v/>
      </c>
      <c r="D288" s="18" t="str">
        <f ca="1" t="shared" si="4"/>
        <v/>
      </c>
      <c r="E288" s="18" t="str">
        <f>IF(C288="","",固定信息!$B$2)</f>
        <v/>
      </c>
      <c r="F288" s="18" t="str">
        <f t="array" ref="F288">IF(C288="","","【"&amp;C288&amp;"】"&amp;_xlfn.XLOOKUP(A288&amp;B288&amp;C288,盘货信息!$A:$A&amp;盘货信息!$B:$B&amp;盘货信息!$C:$C,盘货信息!$D:$D))</f>
        <v/>
      </c>
      <c r="G288" s="18" t="str">
        <f>IF(C288="","","【"&amp;"活动时间："&amp;固定信息!$B$3&amp;"】")</f>
        <v/>
      </c>
      <c r="H288" s="18" t="str">
        <f>IF($C288="","",固定信息!$B$1)</f>
        <v/>
      </c>
      <c r="I288" s="18"/>
      <c r="J288" s="18" t="str">
        <f t="array" ref="J288">_xlfn.XLOOKUP(A288&amp;B288&amp;C288,价格信息!$A:$A&amp;价格信息!$B:$B&amp;价格信息!$C:$C,价格信息!$D:$D)</f>
        <v/>
      </c>
      <c r="K288" s="31" t="str">
        <f t="array" ref="K288">IF(_xlfn.XLOOKUP(A288&amp;B288&amp;C288,价格信息!$A:$A&amp;价格信息!$B:$B&amp;价格信息!$C:$C,价格信息!$I:$I)="","","【优惠券链接】"&amp;固定信息!$B$6)</f>
        <v/>
      </c>
      <c r="L288" s="31" t="str">
        <f>IF($C288="","",固定信息!$B$1)</f>
        <v/>
      </c>
      <c r="M288" s="18" t="str">
        <f t="array" ref="M288">IF(_xlfn.XLOOKUP(A288&amp;B288&amp;C288,盘货信息!$A:$A&amp;盘货信息!$B:$B&amp;盘货信息!$C:$C,盘货信息!$O:$O)="","","【优惠券】领"&amp;INDEX(_wpsfn.REGEXP(_xlfn.XLOOKUP(A288&amp;B288&amp;C288,盘货信息!$A:$A&amp;盘货信息!$B:$B&amp;盘货信息!$C:$C,盘货信息!$O:$O),"\d+"),1,1)&amp;"元优惠券下单更优惠，优惠卷："&amp;_xlfn.XLOOKUP(A288&amp;B288&amp;C288,盘货信息!$A:$A&amp;盘货信息!$B:$B&amp;盘货信息!$C:$C,盘货信息!$P:$P))</f>
        <v/>
      </c>
      <c r="N288" s="18" t="str">
        <f t="array" ref="N288">IF(AND(ISNUMBER(_xlfn.XLOOKUP(A288&amp;B288&amp;C288,盘货信息!$A:$A&amp;盘货信息!$B:$B&amp;盘货信息!$C:$C,盘货信息!$I:$I)),_xlfn.XLOOKUP(A288&amp;B288&amp;C288,盘货信息!$A:$A&amp;盘货信息!$B:$B&amp;盘货信息!$C:$C,盘货信息!$I:$I)&gt;1),"【88VIP】立减"&amp;_xlfn.XLOOKUP(A288&amp;B288&amp;C288,盘货信息!$A:$A&amp;盘货信息!$B:$B&amp;盘货信息!$C:$C,盘货信息!$I:$I)&amp;"元","")</f>
        <v/>
      </c>
      <c r="O288" s="18" t="str">
        <f t="array" ref="O288">IF(_xlfn.XLOOKUP(A288&amp;B288&amp;C288,盘货信息!$A:$A&amp;盘货信息!$B:$B&amp;盘货信息!$C:$C,盘货信息!$K:$K)="","",IF(AND(_xlfn.XLOOKUP(A288&amp;B288&amp;C288,盘货信息!$A:$A&amp;盘货信息!$B:$B&amp;盘货信息!$C:$C,盘货信息!$G:$G)="不参加",_xlfn.XLOOKUP(A288&amp;B288&amp;C288,盘货信息!$A:$A&amp;盘货信息!$B:$B&amp;盘货信息!$C:$C,盘货信息!$H:$H)=""),"【以旧换新】"&amp;_xlfn.XLOOKUP(A288&amp;B288&amp;C288,盘货信息!$A:$A&amp;盘货信息!$B:$B&amp;盘货信息!$C:$C,盘货信息!$K:$K)&amp;"元以旧换新补贴（可无旧机换新）",""))</f>
        <v/>
      </c>
      <c r="P288" s="18" t="str">
        <f t="array" ref="P288">_xlfn.XLOOKUP(A288&amp;B288&amp;C288,赠品!$A:$A&amp;赠品!$B:$B&amp;赠品!$C:$C,赠品!$D:$D)</f>
        <v/>
      </c>
      <c r="Q288" s="18" t="str">
        <f>IF($C288="","",IF(AND(M288="",N288="",P288=""),"",固定信息!$B$1))</f>
        <v/>
      </c>
      <c r="R288" s="18" t="str">
        <f t="array" ref="R288">IF(ISNUMBER(SEARCH("是",_xlfn.XLOOKUP(A288&amp;B288&amp;C288,盘货信息!$A:$A&amp;盘货信息!$B:$B&amp;盘货信息!$C:$C,盘货信息!$U:$U))),"【折扣】指定型号满2类享96折，满3类享94折","")</f>
        <v/>
      </c>
      <c r="S288" s="18" t="str">
        <f t="array" ref="S288">IF(_xlfn.XLOOKUP(A288&amp;B288&amp;C288,盘货信息!$A:$A&amp;盘货信息!$B:$B&amp;盘货信息!$C:$C,盘货信息!$Q:$Q)&lt;1,"","【红包】活动时间购机送"&amp;_xlfn.TEXTJOIN("",,IF(ISNUMBER(--MID(_xlfn.XLOOKUP(A288&amp;B288&amp;C288,盘货信息!$A:$A&amp;盘货信息!$B:$B&amp;盘货信息!$C:$C,盘货信息!$Q:$Q),_xlfn.SEQUENCE(LEN(_xlfn.XLOOKUP(A288&amp;B288&amp;C288,盘货信息!$A:$A&amp;盘货信息!$B:$B&amp;盘货信息!$C:$C,盘货信息!$Q:$Q))),1)),MID(_xlfn.XLOOKUP(A288&amp;B288&amp;C288,盘货信息!$A:$A&amp;盘货信息!$B:$B&amp;盘货信息!$C:$C,盘货信息!$Q:$Q),_xlfn.SEQUENCE(LEN(_xlfn.XLOOKUP(A288&amp;B288&amp;C288,盘货信息!$A:$A&amp;盘货信息!$B:$B&amp;盘货信息!$C:$C,盘货信息!$Q:$Q))),1),""))&amp;"元")</f>
        <v/>
      </c>
      <c r="T288" s="18" t="str">
        <f t="array" ref="T288">IF(ISNUMBER(SEARCH("是",_xlfn.XLOOKUP(A288&amp;B288&amp;C288,盘货信息!$A:$A&amp;盘货信息!$B:$B&amp;盘货信息!$C:$C,盘货信息!$T:$T))),"【瓜分】"&amp;固定信息!$B$7,"")</f>
        <v/>
      </c>
      <c r="U288" s="18" t="str">
        <f>IF($C288="","",IF(AND(R288="",S288="",T288=""),"",固定信息!$B$1))</f>
        <v/>
      </c>
      <c r="V288" s="18" t="str">
        <f t="array" ref="V288">IF(C288="","","【服务】"&amp;IF(_xlfn.XLOOKUP(A288&amp;B288&amp;C288,盘货信息!$A:$A&amp;盘货信息!$B:$B&amp;盘货信息!$C:$C,盘货信息!$V:$V)="","",_xlfn.XLOOKUP(A288&amp;B288&amp;C288,盘货信息!$A:$A&amp;盘货信息!$B:$B&amp;盘货信息!$C:$C,盘货信息!$V:$V)&amp;"免息,")&amp;IF(_xlfn.XLOOKUP(A288&amp;B288&amp;C288,盘货信息!$A:$A&amp;盘货信息!$B:$B&amp;盘货信息!$C:$C,盘货信息!$W:$W)="","",_xlfn.XLOOKUP(A288&amp;B288&amp;C288,盘货信息!$A:$A&amp;盘货信息!$B:$B&amp;盘货信息!$C:$C,盘货信息!$W:$W)&amp;"，")&amp;"送货入户，退换免运费")</f>
        <v/>
      </c>
    </row>
    <row r="289" customHeight="1" spans="1:22">
      <c r="A289" s="17" t="str">
        <f>IF(盘货信息!A289="","",盘货信息!A289)</f>
        <v/>
      </c>
      <c r="B289" s="20" t="str">
        <f>IF(盘货信息!B289="","",盘货信息!B289)</f>
        <v/>
      </c>
      <c r="C289" s="18" t="str">
        <f>IF(盘货信息!C289="","",盘货信息!C289)</f>
        <v/>
      </c>
      <c r="D289" s="18" t="str">
        <f ca="1" t="shared" si="4"/>
        <v/>
      </c>
      <c r="E289" s="18" t="str">
        <f>IF(C289="","",固定信息!$B$2)</f>
        <v/>
      </c>
      <c r="F289" s="18" t="str">
        <f t="array" ref="F289">IF(C289="","","【"&amp;C289&amp;"】"&amp;_xlfn.XLOOKUP(A289&amp;B289&amp;C289,盘货信息!$A:$A&amp;盘货信息!$B:$B&amp;盘货信息!$C:$C,盘货信息!$D:$D))</f>
        <v/>
      </c>
      <c r="G289" s="18" t="str">
        <f>IF(C289="","","【"&amp;"活动时间："&amp;固定信息!$B$3&amp;"】")</f>
        <v/>
      </c>
      <c r="H289" s="18" t="str">
        <f>IF($C289="","",固定信息!$B$1)</f>
        <v/>
      </c>
      <c r="I289" s="18"/>
      <c r="J289" s="18" t="str">
        <f t="array" ref="J289">_xlfn.XLOOKUP(A289&amp;B289&amp;C289,价格信息!$A:$A&amp;价格信息!$B:$B&amp;价格信息!$C:$C,价格信息!$D:$D)</f>
        <v/>
      </c>
      <c r="K289" s="31" t="str">
        <f t="array" ref="K289">IF(_xlfn.XLOOKUP(A289&amp;B289&amp;C289,价格信息!$A:$A&amp;价格信息!$B:$B&amp;价格信息!$C:$C,价格信息!$I:$I)="","","【优惠券链接】"&amp;固定信息!$B$6)</f>
        <v/>
      </c>
      <c r="L289" s="31" t="str">
        <f>IF($C289="","",固定信息!$B$1)</f>
        <v/>
      </c>
      <c r="M289" s="18" t="str">
        <f t="array" ref="M289">IF(_xlfn.XLOOKUP(A289&amp;B289&amp;C289,盘货信息!$A:$A&amp;盘货信息!$B:$B&amp;盘货信息!$C:$C,盘货信息!$O:$O)="","","【优惠券】领"&amp;INDEX(_wpsfn.REGEXP(_xlfn.XLOOKUP(A289&amp;B289&amp;C289,盘货信息!$A:$A&amp;盘货信息!$B:$B&amp;盘货信息!$C:$C,盘货信息!$O:$O),"\d+"),1,1)&amp;"元优惠券下单更优惠，优惠卷："&amp;_xlfn.XLOOKUP(A289&amp;B289&amp;C289,盘货信息!$A:$A&amp;盘货信息!$B:$B&amp;盘货信息!$C:$C,盘货信息!$P:$P))</f>
        <v/>
      </c>
      <c r="N289" s="18" t="str">
        <f t="array" ref="N289">IF(AND(ISNUMBER(_xlfn.XLOOKUP(A289&amp;B289&amp;C289,盘货信息!$A:$A&amp;盘货信息!$B:$B&amp;盘货信息!$C:$C,盘货信息!$I:$I)),_xlfn.XLOOKUP(A289&amp;B289&amp;C289,盘货信息!$A:$A&amp;盘货信息!$B:$B&amp;盘货信息!$C:$C,盘货信息!$I:$I)&gt;1),"【88VIP】立减"&amp;_xlfn.XLOOKUP(A289&amp;B289&amp;C289,盘货信息!$A:$A&amp;盘货信息!$B:$B&amp;盘货信息!$C:$C,盘货信息!$I:$I)&amp;"元","")</f>
        <v/>
      </c>
      <c r="O289" s="18" t="str">
        <f t="array" ref="O289">IF(_xlfn.XLOOKUP(A289&amp;B289&amp;C289,盘货信息!$A:$A&amp;盘货信息!$B:$B&amp;盘货信息!$C:$C,盘货信息!$K:$K)="","",IF(AND(_xlfn.XLOOKUP(A289&amp;B289&amp;C289,盘货信息!$A:$A&amp;盘货信息!$B:$B&amp;盘货信息!$C:$C,盘货信息!$G:$G)="不参加",_xlfn.XLOOKUP(A289&amp;B289&amp;C289,盘货信息!$A:$A&amp;盘货信息!$B:$B&amp;盘货信息!$C:$C,盘货信息!$H:$H)=""),"【以旧换新】"&amp;_xlfn.XLOOKUP(A289&amp;B289&amp;C289,盘货信息!$A:$A&amp;盘货信息!$B:$B&amp;盘货信息!$C:$C,盘货信息!$K:$K)&amp;"元以旧换新补贴（可无旧机换新）",""))</f>
        <v/>
      </c>
      <c r="P289" s="18" t="str">
        <f t="array" ref="P289">_xlfn.XLOOKUP(A289&amp;B289&amp;C289,赠品!$A:$A&amp;赠品!$B:$B&amp;赠品!$C:$C,赠品!$D:$D)</f>
        <v/>
      </c>
      <c r="Q289" s="18" t="str">
        <f>IF($C289="","",IF(AND(M289="",N289="",P289=""),"",固定信息!$B$1))</f>
        <v/>
      </c>
      <c r="R289" s="18" t="str">
        <f t="array" ref="R289">IF(ISNUMBER(SEARCH("是",_xlfn.XLOOKUP(A289&amp;B289&amp;C289,盘货信息!$A:$A&amp;盘货信息!$B:$B&amp;盘货信息!$C:$C,盘货信息!$U:$U))),"【折扣】指定型号满2类享96折，满3类享94折","")</f>
        <v/>
      </c>
      <c r="S289" s="18" t="str">
        <f t="array" ref="S289">IF(_xlfn.XLOOKUP(A289&amp;B289&amp;C289,盘货信息!$A:$A&amp;盘货信息!$B:$B&amp;盘货信息!$C:$C,盘货信息!$Q:$Q)&lt;1,"","【红包】活动时间购机送"&amp;_xlfn.TEXTJOIN("",,IF(ISNUMBER(--MID(_xlfn.XLOOKUP(A289&amp;B289&amp;C289,盘货信息!$A:$A&amp;盘货信息!$B:$B&amp;盘货信息!$C:$C,盘货信息!$Q:$Q),_xlfn.SEQUENCE(LEN(_xlfn.XLOOKUP(A289&amp;B289&amp;C289,盘货信息!$A:$A&amp;盘货信息!$B:$B&amp;盘货信息!$C:$C,盘货信息!$Q:$Q))),1)),MID(_xlfn.XLOOKUP(A289&amp;B289&amp;C289,盘货信息!$A:$A&amp;盘货信息!$B:$B&amp;盘货信息!$C:$C,盘货信息!$Q:$Q),_xlfn.SEQUENCE(LEN(_xlfn.XLOOKUP(A289&amp;B289&amp;C289,盘货信息!$A:$A&amp;盘货信息!$B:$B&amp;盘货信息!$C:$C,盘货信息!$Q:$Q))),1),""))&amp;"元")</f>
        <v/>
      </c>
      <c r="T289" s="18" t="str">
        <f t="array" ref="T289">IF(ISNUMBER(SEARCH("是",_xlfn.XLOOKUP(A289&amp;B289&amp;C289,盘货信息!$A:$A&amp;盘货信息!$B:$B&amp;盘货信息!$C:$C,盘货信息!$T:$T))),"【瓜分】"&amp;固定信息!$B$7,"")</f>
        <v/>
      </c>
      <c r="U289" s="18" t="str">
        <f>IF($C289="","",IF(AND(R289="",S289="",T289=""),"",固定信息!$B$1))</f>
        <v/>
      </c>
      <c r="V289" s="18" t="str">
        <f t="array" ref="V289">IF(C289="","","【服务】"&amp;IF(_xlfn.XLOOKUP(A289&amp;B289&amp;C289,盘货信息!$A:$A&amp;盘货信息!$B:$B&amp;盘货信息!$C:$C,盘货信息!$V:$V)="","",_xlfn.XLOOKUP(A289&amp;B289&amp;C289,盘货信息!$A:$A&amp;盘货信息!$B:$B&amp;盘货信息!$C:$C,盘货信息!$V:$V)&amp;"免息,")&amp;IF(_xlfn.XLOOKUP(A289&amp;B289&amp;C289,盘货信息!$A:$A&amp;盘货信息!$B:$B&amp;盘货信息!$C:$C,盘货信息!$W:$W)="","",_xlfn.XLOOKUP(A289&amp;B289&amp;C289,盘货信息!$A:$A&amp;盘货信息!$B:$B&amp;盘货信息!$C:$C,盘货信息!$W:$W)&amp;"，")&amp;"送货入户，退换免运费")</f>
        <v/>
      </c>
    </row>
    <row r="290" customHeight="1" spans="1:22">
      <c r="A290" s="17" t="str">
        <f>IF(盘货信息!A290="","",盘货信息!A290)</f>
        <v/>
      </c>
      <c r="B290" s="20" t="str">
        <f>IF(盘货信息!B290="","",盘货信息!B290)</f>
        <v/>
      </c>
      <c r="C290" s="18" t="str">
        <f>IF(盘货信息!C290="","",盘货信息!C290)</f>
        <v/>
      </c>
      <c r="D290" s="18" t="str">
        <f ca="1" t="shared" si="4"/>
        <v/>
      </c>
      <c r="E290" s="18" t="str">
        <f>IF(C290="","",固定信息!$B$2)</f>
        <v/>
      </c>
      <c r="F290" s="18" t="str">
        <f t="array" ref="F290">IF(C290="","","【"&amp;C290&amp;"】"&amp;_xlfn.XLOOKUP(A290&amp;B290&amp;C290,盘货信息!$A:$A&amp;盘货信息!$B:$B&amp;盘货信息!$C:$C,盘货信息!$D:$D))</f>
        <v/>
      </c>
      <c r="G290" s="18" t="str">
        <f>IF(C290="","","【"&amp;"活动时间："&amp;固定信息!$B$3&amp;"】")</f>
        <v/>
      </c>
      <c r="H290" s="18" t="str">
        <f>IF($C290="","",固定信息!$B$1)</f>
        <v/>
      </c>
      <c r="I290" s="18"/>
      <c r="J290" s="18" t="str">
        <f t="array" ref="J290">_xlfn.XLOOKUP(A290&amp;B290&amp;C290,价格信息!$A:$A&amp;价格信息!$B:$B&amp;价格信息!$C:$C,价格信息!$D:$D)</f>
        <v/>
      </c>
      <c r="K290" s="31" t="str">
        <f t="array" ref="K290">IF(_xlfn.XLOOKUP(A290&amp;B290&amp;C290,价格信息!$A:$A&amp;价格信息!$B:$B&amp;价格信息!$C:$C,价格信息!$I:$I)="","","【优惠券链接】"&amp;固定信息!$B$6)</f>
        <v/>
      </c>
      <c r="L290" s="31" t="str">
        <f>IF($C290="","",固定信息!$B$1)</f>
        <v/>
      </c>
      <c r="M290" s="18" t="str">
        <f t="array" ref="M290">IF(_xlfn.XLOOKUP(A290&amp;B290&amp;C290,盘货信息!$A:$A&amp;盘货信息!$B:$B&amp;盘货信息!$C:$C,盘货信息!$O:$O)="","","【优惠券】领"&amp;INDEX(_wpsfn.REGEXP(_xlfn.XLOOKUP(A290&amp;B290&amp;C290,盘货信息!$A:$A&amp;盘货信息!$B:$B&amp;盘货信息!$C:$C,盘货信息!$O:$O),"\d+"),1,1)&amp;"元优惠券下单更优惠，优惠卷："&amp;_xlfn.XLOOKUP(A290&amp;B290&amp;C290,盘货信息!$A:$A&amp;盘货信息!$B:$B&amp;盘货信息!$C:$C,盘货信息!$P:$P))</f>
        <v/>
      </c>
      <c r="N290" s="18" t="str">
        <f t="array" ref="N290">IF(AND(ISNUMBER(_xlfn.XLOOKUP(A290&amp;B290&amp;C290,盘货信息!$A:$A&amp;盘货信息!$B:$B&amp;盘货信息!$C:$C,盘货信息!$I:$I)),_xlfn.XLOOKUP(A290&amp;B290&amp;C290,盘货信息!$A:$A&amp;盘货信息!$B:$B&amp;盘货信息!$C:$C,盘货信息!$I:$I)&gt;1),"【88VIP】立减"&amp;_xlfn.XLOOKUP(A290&amp;B290&amp;C290,盘货信息!$A:$A&amp;盘货信息!$B:$B&amp;盘货信息!$C:$C,盘货信息!$I:$I)&amp;"元","")</f>
        <v/>
      </c>
      <c r="O290" s="18" t="str">
        <f t="array" ref="O290">IF(_xlfn.XLOOKUP(A290&amp;B290&amp;C290,盘货信息!$A:$A&amp;盘货信息!$B:$B&amp;盘货信息!$C:$C,盘货信息!$K:$K)="","",IF(AND(_xlfn.XLOOKUP(A290&amp;B290&amp;C290,盘货信息!$A:$A&amp;盘货信息!$B:$B&amp;盘货信息!$C:$C,盘货信息!$G:$G)="不参加",_xlfn.XLOOKUP(A290&amp;B290&amp;C290,盘货信息!$A:$A&amp;盘货信息!$B:$B&amp;盘货信息!$C:$C,盘货信息!$H:$H)=""),"【以旧换新】"&amp;_xlfn.XLOOKUP(A290&amp;B290&amp;C290,盘货信息!$A:$A&amp;盘货信息!$B:$B&amp;盘货信息!$C:$C,盘货信息!$K:$K)&amp;"元以旧换新补贴（可无旧机换新）",""))</f>
        <v/>
      </c>
      <c r="P290" s="18" t="str">
        <f t="array" ref="P290">_xlfn.XLOOKUP(A290&amp;B290&amp;C290,赠品!$A:$A&amp;赠品!$B:$B&amp;赠品!$C:$C,赠品!$D:$D)</f>
        <v/>
      </c>
      <c r="Q290" s="18" t="str">
        <f>IF($C290="","",IF(AND(M290="",N290="",P290=""),"",固定信息!$B$1))</f>
        <v/>
      </c>
      <c r="R290" s="18" t="str">
        <f t="array" ref="R290">IF(ISNUMBER(SEARCH("是",_xlfn.XLOOKUP(A290&amp;B290&amp;C290,盘货信息!$A:$A&amp;盘货信息!$B:$B&amp;盘货信息!$C:$C,盘货信息!$U:$U))),"【折扣】指定型号满2类享96折，满3类享94折","")</f>
        <v/>
      </c>
      <c r="S290" s="18" t="str">
        <f t="array" ref="S290">IF(_xlfn.XLOOKUP(A290&amp;B290&amp;C290,盘货信息!$A:$A&amp;盘货信息!$B:$B&amp;盘货信息!$C:$C,盘货信息!$Q:$Q)&lt;1,"","【红包】活动时间购机送"&amp;_xlfn.TEXTJOIN("",,IF(ISNUMBER(--MID(_xlfn.XLOOKUP(A290&amp;B290&amp;C290,盘货信息!$A:$A&amp;盘货信息!$B:$B&amp;盘货信息!$C:$C,盘货信息!$Q:$Q),_xlfn.SEQUENCE(LEN(_xlfn.XLOOKUP(A290&amp;B290&amp;C290,盘货信息!$A:$A&amp;盘货信息!$B:$B&amp;盘货信息!$C:$C,盘货信息!$Q:$Q))),1)),MID(_xlfn.XLOOKUP(A290&amp;B290&amp;C290,盘货信息!$A:$A&amp;盘货信息!$B:$B&amp;盘货信息!$C:$C,盘货信息!$Q:$Q),_xlfn.SEQUENCE(LEN(_xlfn.XLOOKUP(A290&amp;B290&amp;C290,盘货信息!$A:$A&amp;盘货信息!$B:$B&amp;盘货信息!$C:$C,盘货信息!$Q:$Q))),1),""))&amp;"元")</f>
        <v/>
      </c>
      <c r="T290" s="18" t="str">
        <f t="array" ref="T290">IF(ISNUMBER(SEARCH("是",_xlfn.XLOOKUP(A290&amp;B290&amp;C290,盘货信息!$A:$A&amp;盘货信息!$B:$B&amp;盘货信息!$C:$C,盘货信息!$T:$T))),"【瓜分】"&amp;固定信息!$B$7,"")</f>
        <v/>
      </c>
      <c r="U290" s="18" t="str">
        <f>IF($C290="","",IF(AND(R290="",S290="",T290=""),"",固定信息!$B$1))</f>
        <v/>
      </c>
      <c r="V290" s="18" t="str">
        <f t="array" ref="V290">IF(C290="","","【服务】"&amp;IF(_xlfn.XLOOKUP(A290&amp;B290&amp;C290,盘货信息!$A:$A&amp;盘货信息!$B:$B&amp;盘货信息!$C:$C,盘货信息!$V:$V)="","",_xlfn.XLOOKUP(A290&amp;B290&amp;C290,盘货信息!$A:$A&amp;盘货信息!$B:$B&amp;盘货信息!$C:$C,盘货信息!$V:$V)&amp;"免息,")&amp;IF(_xlfn.XLOOKUP(A290&amp;B290&amp;C290,盘货信息!$A:$A&amp;盘货信息!$B:$B&amp;盘货信息!$C:$C,盘货信息!$W:$W)="","",_xlfn.XLOOKUP(A290&amp;B290&amp;C290,盘货信息!$A:$A&amp;盘货信息!$B:$B&amp;盘货信息!$C:$C,盘货信息!$W:$W)&amp;"，")&amp;"送货入户，退换免运费")</f>
        <v/>
      </c>
    </row>
    <row r="291" customHeight="1" spans="1:22">
      <c r="A291" s="17" t="str">
        <f>IF(盘货信息!A291="","",盘货信息!A291)</f>
        <v/>
      </c>
      <c r="B291" s="20" t="str">
        <f>IF(盘货信息!B291="","",盘货信息!B291)</f>
        <v/>
      </c>
      <c r="C291" s="18" t="str">
        <f>IF(盘货信息!C291="","",盘货信息!C291)</f>
        <v/>
      </c>
      <c r="D291" s="18" t="str">
        <f ca="1" t="shared" si="4"/>
        <v/>
      </c>
      <c r="E291" s="18" t="str">
        <f>IF(C291="","",固定信息!$B$2)</f>
        <v/>
      </c>
      <c r="F291" s="18" t="str">
        <f t="array" ref="F291">IF(C291="","","【"&amp;C291&amp;"】"&amp;_xlfn.XLOOKUP(A291&amp;B291&amp;C291,盘货信息!$A:$A&amp;盘货信息!$B:$B&amp;盘货信息!$C:$C,盘货信息!$D:$D))</f>
        <v/>
      </c>
      <c r="G291" s="18" t="str">
        <f>IF(C291="","","【"&amp;"活动时间："&amp;固定信息!$B$3&amp;"】")</f>
        <v/>
      </c>
      <c r="H291" s="18" t="str">
        <f>IF($C291="","",固定信息!$B$1)</f>
        <v/>
      </c>
      <c r="I291" s="18"/>
      <c r="J291" s="18" t="str">
        <f t="array" ref="J291">_xlfn.XLOOKUP(A291&amp;B291&amp;C291,价格信息!$A:$A&amp;价格信息!$B:$B&amp;价格信息!$C:$C,价格信息!$D:$D)</f>
        <v/>
      </c>
      <c r="K291" s="31" t="str">
        <f t="array" ref="K291">IF(_xlfn.XLOOKUP(A291&amp;B291&amp;C291,价格信息!$A:$A&amp;价格信息!$B:$B&amp;价格信息!$C:$C,价格信息!$I:$I)="","","【优惠券链接】"&amp;固定信息!$B$6)</f>
        <v/>
      </c>
      <c r="L291" s="31" t="str">
        <f>IF($C291="","",固定信息!$B$1)</f>
        <v/>
      </c>
      <c r="M291" s="18" t="str">
        <f t="array" ref="M291">IF(_xlfn.XLOOKUP(A291&amp;B291&amp;C291,盘货信息!$A:$A&amp;盘货信息!$B:$B&amp;盘货信息!$C:$C,盘货信息!$O:$O)="","","【优惠券】领"&amp;INDEX(_wpsfn.REGEXP(_xlfn.XLOOKUP(A291&amp;B291&amp;C291,盘货信息!$A:$A&amp;盘货信息!$B:$B&amp;盘货信息!$C:$C,盘货信息!$O:$O),"\d+"),1,1)&amp;"元优惠券下单更优惠，优惠卷："&amp;_xlfn.XLOOKUP(A291&amp;B291&amp;C291,盘货信息!$A:$A&amp;盘货信息!$B:$B&amp;盘货信息!$C:$C,盘货信息!$P:$P))</f>
        <v/>
      </c>
      <c r="N291" s="18" t="str">
        <f t="array" ref="N291">IF(AND(ISNUMBER(_xlfn.XLOOKUP(A291&amp;B291&amp;C291,盘货信息!$A:$A&amp;盘货信息!$B:$B&amp;盘货信息!$C:$C,盘货信息!$I:$I)),_xlfn.XLOOKUP(A291&amp;B291&amp;C291,盘货信息!$A:$A&amp;盘货信息!$B:$B&amp;盘货信息!$C:$C,盘货信息!$I:$I)&gt;1),"【88VIP】立减"&amp;_xlfn.XLOOKUP(A291&amp;B291&amp;C291,盘货信息!$A:$A&amp;盘货信息!$B:$B&amp;盘货信息!$C:$C,盘货信息!$I:$I)&amp;"元","")</f>
        <v/>
      </c>
      <c r="O291" s="18" t="str">
        <f t="array" ref="O291">IF(_xlfn.XLOOKUP(A291&amp;B291&amp;C291,盘货信息!$A:$A&amp;盘货信息!$B:$B&amp;盘货信息!$C:$C,盘货信息!$K:$K)="","",IF(AND(_xlfn.XLOOKUP(A291&amp;B291&amp;C291,盘货信息!$A:$A&amp;盘货信息!$B:$B&amp;盘货信息!$C:$C,盘货信息!$G:$G)="不参加",_xlfn.XLOOKUP(A291&amp;B291&amp;C291,盘货信息!$A:$A&amp;盘货信息!$B:$B&amp;盘货信息!$C:$C,盘货信息!$H:$H)=""),"【以旧换新】"&amp;_xlfn.XLOOKUP(A291&amp;B291&amp;C291,盘货信息!$A:$A&amp;盘货信息!$B:$B&amp;盘货信息!$C:$C,盘货信息!$K:$K)&amp;"元以旧换新补贴（可无旧机换新）",""))</f>
        <v/>
      </c>
      <c r="P291" s="18" t="str">
        <f t="array" ref="P291">_xlfn.XLOOKUP(A291&amp;B291&amp;C291,赠品!$A:$A&amp;赠品!$B:$B&amp;赠品!$C:$C,赠品!$D:$D)</f>
        <v/>
      </c>
      <c r="Q291" s="18" t="str">
        <f>IF($C291="","",IF(AND(M291="",N291="",P291=""),"",固定信息!$B$1))</f>
        <v/>
      </c>
      <c r="R291" s="18" t="str">
        <f t="array" ref="R291">IF(ISNUMBER(SEARCH("是",_xlfn.XLOOKUP(A291&amp;B291&amp;C291,盘货信息!$A:$A&amp;盘货信息!$B:$B&amp;盘货信息!$C:$C,盘货信息!$U:$U))),"【折扣】指定型号满2类享96折，满3类享94折","")</f>
        <v/>
      </c>
      <c r="S291" s="18" t="str">
        <f t="array" ref="S291">IF(_xlfn.XLOOKUP(A291&amp;B291&amp;C291,盘货信息!$A:$A&amp;盘货信息!$B:$B&amp;盘货信息!$C:$C,盘货信息!$Q:$Q)&lt;1,"","【红包】活动时间购机送"&amp;_xlfn.TEXTJOIN("",,IF(ISNUMBER(--MID(_xlfn.XLOOKUP(A291&amp;B291&amp;C291,盘货信息!$A:$A&amp;盘货信息!$B:$B&amp;盘货信息!$C:$C,盘货信息!$Q:$Q),_xlfn.SEQUENCE(LEN(_xlfn.XLOOKUP(A291&amp;B291&amp;C291,盘货信息!$A:$A&amp;盘货信息!$B:$B&amp;盘货信息!$C:$C,盘货信息!$Q:$Q))),1)),MID(_xlfn.XLOOKUP(A291&amp;B291&amp;C291,盘货信息!$A:$A&amp;盘货信息!$B:$B&amp;盘货信息!$C:$C,盘货信息!$Q:$Q),_xlfn.SEQUENCE(LEN(_xlfn.XLOOKUP(A291&amp;B291&amp;C291,盘货信息!$A:$A&amp;盘货信息!$B:$B&amp;盘货信息!$C:$C,盘货信息!$Q:$Q))),1),""))&amp;"元")</f>
        <v/>
      </c>
      <c r="T291" s="18" t="str">
        <f t="array" ref="T291">IF(ISNUMBER(SEARCH("是",_xlfn.XLOOKUP(A291&amp;B291&amp;C291,盘货信息!$A:$A&amp;盘货信息!$B:$B&amp;盘货信息!$C:$C,盘货信息!$T:$T))),"【瓜分】"&amp;固定信息!$B$7,"")</f>
        <v/>
      </c>
      <c r="U291" s="18" t="str">
        <f>IF($C291="","",IF(AND(R291="",S291="",T291=""),"",固定信息!$B$1))</f>
        <v/>
      </c>
      <c r="V291" s="18" t="str">
        <f t="array" ref="V291">IF(C291="","","【服务】"&amp;IF(_xlfn.XLOOKUP(A291&amp;B291&amp;C291,盘货信息!$A:$A&amp;盘货信息!$B:$B&amp;盘货信息!$C:$C,盘货信息!$V:$V)="","",_xlfn.XLOOKUP(A291&amp;B291&amp;C291,盘货信息!$A:$A&amp;盘货信息!$B:$B&amp;盘货信息!$C:$C,盘货信息!$V:$V)&amp;"免息,")&amp;IF(_xlfn.XLOOKUP(A291&amp;B291&amp;C291,盘货信息!$A:$A&amp;盘货信息!$B:$B&amp;盘货信息!$C:$C,盘货信息!$W:$W)="","",_xlfn.XLOOKUP(A291&amp;B291&amp;C291,盘货信息!$A:$A&amp;盘货信息!$B:$B&amp;盘货信息!$C:$C,盘货信息!$W:$W)&amp;"，")&amp;"送货入户，退换免运费")</f>
        <v/>
      </c>
    </row>
    <row r="292" customHeight="1" spans="1:22">
      <c r="A292" s="17" t="str">
        <f>IF(盘货信息!A292="","",盘货信息!A292)</f>
        <v/>
      </c>
      <c r="B292" s="20" t="str">
        <f>IF(盘货信息!B292="","",盘货信息!B292)</f>
        <v/>
      </c>
      <c r="C292" s="18" t="str">
        <f>IF(盘货信息!C292="","",盘货信息!C292)</f>
        <v/>
      </c>
      <c r="D292" s="18" t="str">
        <f ca="1" t="shared" si="4"/>
        <v/>
      </c>
      <c r="E292" s="18" t="str">
        <f>IF(C292="","",固定信息!$B$2)</f>
        <v/>
      </c>
      <c r="F292" s="18" t="str">
        <f t="array" ref="F292">IF(C292="","","【"&amp;C292&amp;"】"&amp;_xlfn.XLOOKUP(A292&amp;B292&amp;C292,盘货信息!$A:$A&amp;盘货信息!$B:$B&amp;盘货信息!$C:$C,盘货信息!$D:$D))</f>
        <v/>
      </c>
      <c r="G292" s="18" t="str">
        <f>IF(C292="","","【"&amp;"活动时间："&amp;固定信息!$B$3&amp;"】")</f>
        <v/>
      </c>
      <c r="H292" s="18" t="str">
        <f>IF($C292="","",固定信息!$B$1)</f>
        <v/>
      </c>
      <c r="I292" s="18"/>
      <c r="J292" s="18" t="str">
        <f t="array" ref="J292">_xlfn.XLOOKUP(A292&amp;B292&amp;C292,价格信息!$A:$A&amp;价格信息!$B:$B&amp;价格信息!$C:$C,价格信息!$D:$D)</f>
        <v/>
      </c>
      <c r="K292" s="31" t="str">
        <f t="array" ref="K292">IF(_xlfn.XLOOKUP(A292&amp;B292&amp;C292,价格信息!$A:$A&amp;价格信息!$B:$B&amp;价格信息!$C:$C,价格信息!$I:$I)="","","【优惠券链接】"&amp;固定信息!$B$6)</f>
        <v/>
      </c>
      <c r="L292" s="31" t="str">
        <f>IF($C292="","",固定信息!$B$1)</f>
        <v/>
      </c>
      <c r="M292" s="18" t="str">
        <f t="array" ref="M292">IF(_xlfn.XLOOKUP(A292&amp;B292&amp;C292,盘货信息!$A:$A&amp;盘货信息!$B:$B&amp;盘货信息!$C:$C,盘货信息!$O:$O)="","","【优惠券】领"&amp;INDEX(_wpsfn.REGEXP(_xlfn.XLOOKUP(A292&amp;B292&amp;C292,盘货信息!$A:$A&amp;盘货信息!$B:$B&amp;盘货信息!$C:$C,盘货信息!$O:$O),"\d+"),1,1)&amp;"元优惠券下单更优惠，优惠卷："&amp;_xlfn.XLOOKUP(A292&amp;B292&amp;C292,盘货信息!$A:$A&amp;盘货信息!$B:$B&amp;盘货信息!$C:$C,盘货信息!$P:$P))</f>
        <v/>
      </c>
      <c r="N292" s="18" t="str">
        <f t="array" ref="N292">IF(AND(ISNUMBER(_xlfn.XLOOKUP(A292&amp;B292&amp;C292,盘货信息!$A:$A&amp;盘货信息!$B:$B&amp;盘货信息!$C:$C,盘货信息!$I:$I)),_xlfn.XLOOKUP(A292&amp;B292&amp;C292,盘货信息!$A:$A&amp;盘货信息!$B:$B&amp;盘货信息!$C:$C,盘货信息!$I:$I)&gt;1),"【88VIP】立减"&amp;_xlfn.XLOOKUP(A292&amp;B292&amp;C292,盘货信息!$A:$A&amp;盘货信息!$B:$B&amp;盘货信息!$C:$C,盘货信息!$I:$I)&amp;"元","")</f>
        <v/>
      </c>
      <c r="O292" s="18" t="str">
        <f t="array" ref="O292">IF(_xlfn.XLOOKUP(A292&amp;B292&amp;C292,盘货信息!$A:$A&amp;盘货信息!$B:$B&amp;盘货信息!$C:$C,盘货信息!$K:$K)="","",IF(AND(_xlfn.XLOOKUP(A292&amp;B292&amp;C292,盘货信息!$A:$A&amp;盘货信息!$B:$B&amp;盘货信息!$C:$C,盘货信息!$G:$G)="不参加",_xlfn.XLOOKUP(A292&amp;B292&amp;C292,盘货信息!$A:$A&amp;盘货信息!$B:$B&amp;盘货信息!$C:$C,盘货信息!$H:$H)=""),"【以旧换新】"&amp;_xlfn.XLOOKUP(A292&amp;B292&amp;C292,盘货信息!$A:$A&amp;盘货信息!$B:$B&amp;盘货信息!$C:$C,盘货信息!$K:$K)&amp;"元以旧换新补贴（可无旧机换新）",""))</f>
        <v/>
      </c>
      <c r="P292" s="18" t="str">
        <f t="array" ref="P292">_xlfn.XLOOKUP(A292&amp;B292&amp;C292,赠品!$A:$A&amp;赠品!$B:$B&amp;赠品!$C:$C,赠品!$D:$D)</f>
        <v/>
      </c>
      <c r="Q292" s="18" t="str">
        <f>IF($C292="","",IF(AND(M292="",N292="",P292=""),"",固定信息!$B$1))</f>
        <v/>
      </c>
      <c r="R292" s="18" t="str">
        <f t="array" ref="R292">IF(ISNUMBER(SEARCH("是",_xlfn.XLOOKUP(A292&amp;B292&amp;C292,盘货信息!$A:$A&amp;盘货信息!$B:$B&amp;盘货信息!$C:$C,盘货信息!$U:$U))),"【折扣】指定型号满2类享96折，满3类享94折","")</f>
        <v/>
      </c>
      <c r="S292" s="18" t="str">
        <f t="array" ref="S292">IF(_xlfn.XLOOKUP(A292&amp;B292&amp;C292,盘货信息!$A:$A&amp;盘货信息!$B:$B&amp;盘货信息!$C:$C,盘货信息!$Q:$Q)&lt;1,"","【红包】活动时间购机送"&amp;_xlfn.TEXTJOIN("",,IF(ISNUMBER(--MID(_xlfn.XLOOKUP(A292&amp;B292&amp;C292,盘货信息!$A:$A&amp;盘货信息!$B:$B&amp;盘货信息!$C:$C,盘货信息!$Q:$Q),_xlfn.SEQUENCE(LEN(_xlfn.XLOOKUP(A292&amp;B292&amp;C292,盘货信息!$A:$A&amp;盘货信息!$B:$B&amp;盘货信息!$C:$C,盘货信息!$Q:$Q))),1)),MID(_xlfn.XLOOKUP(A292&amp;B292&amp;C292,盘货信息!$A:$A&amp;盘货信息!$B:$B&amp;盘货信息!$C:$C,盘货信息!$Q:$Q),_xlfn.SEQUENCE(LEN(_xlfn.XLOOKUP(A292&amp;B292&amp;C292,盘货信息!$A:$A&amp;盘货信息!$B:$B&amp;盘货信息!$C:$C,盘货信息!$Q:$Q))),1),""))&amp;"元")</f>
        <v/>
      </c>
      <c r="T292" s="18" t="str">
        <f t="array" ref="T292">IF(ISNUMBER(SEARCH("是",_xlfn.XLOOKUP(A292&amp;B292&amp;C292,盘货信息!$A:$A&amp;盘货信息!$B:$B&amp;盘货信息!$C:$C,盘货信息!$T:$T))),"【瓜分】"&amp;固定信息!$B$7,"")</f>
        <v/>
      </c>
      <c r="U292" s="18" t="str">
        <f>IF($C292="","",IF(AND(R292="",S292="",T292=""),"",固定信息!$B$1))</f>
        <v/>
      </c>
      <c r="V292" s="18" t="str">
        <f t="array" ref="V292">IF(C292="","","【服务】"&amp;IF(_xlfn.XLOOKUP(A292&amp;B292&amp;C292,盘货信息!$A:$A&amp;盘货信息!$B:$B&amp;盘货信息!$C:$C,盘货信息!$V:$V)="","",_xlfn.XLOOKUP(A292&amp;B292&amp;C292,盘货信息!$A:$A&amp;盘货信息!$B:$B&amp;盘货信息!$C:$C,盘货信息!$V:$V)&amp;"免息,")&amp;IF(_xlfn.XLOOKUP(A292&amp;B292&amp;C292,盘货信息!$A:$A&amp;盘货信息!$B:$B&amp;盘货信息!$C:$C,盘货信息!$W:$W)="","",_xlfn.XLOOKUP(A292&amp;B292&amp;C292,盘货信息!$A:$A&amp;盘货信息!$B:$B&amp;盘货信息!$C:$C,盘货信息!$W:$W)&amp;"，")&amp;"送货入户，退换免运费")</f>
        <v/>
      </c>
    </row>
    <row r="293" customHeight="1" spans="1:22">
      <c r="A293" s="17" t="str">
        <f>IF(盘货信息!A293="","",盘货信息!A293)</f>
        <v/>
      </c>
      <c r="B293" s="20" t="str">
        <f>IF(盘货信息!B293="","",盘货信息!B293)</f>
        <v/>
      </c>
      <c r="C293" s="18" t="str">
        <f>IF(盘货信息!C293="","",盘货信息!C293)</f>
        <v/>
      </c>
      <c r="D293" s="18" t="str">
        <f ca="1" t="shared" si="4"/>
        <v/>
      </c>
      <c r="E293" s="18" t="str">
        <f>IF(C293="","",固定信息!$B$2)</f>
        <v/>
      </c>
      <c r="F293" s="18" t="str">
        <f t="array" ref="F293">IF(C293="","","【"&amp;C293&amp;"】"&amp;_xlfn.XLOOKUP(A293&amp;B293&amp;C293,盘货信息!$A:$A&amp;盘货信息!$B:$B&amp;盘货信息!$C:$C,盘货信息!$D:$D))</f>
        <v/>
      </c>
      <c r="G293" s="18" t="str">
        <f>IF(C293="","","【"&amp;"活动时间："&amp;固定信息!$B$3&amp;"】")</f>
        <v/>
      </c>
      <c r="H293" s="18" t="str">
        <f>IF($C293="","",固定信息!$B$1)</f>
        <v/>
      </c>
      <c r="I293" s="18"/>
      <c r="J293" s="18" t="str">
        <f t="array" ref="J293">_xlfn.XLOOKUP(A293&amp;B293&amp;C293,价格信息!$A:$A&amp;价格信息!$B:$B&amp;价格信息!$C:$C,价格信息!$D:$D)</f>
        <v/>
      </c>
      <c r="K293" s="31" t="str">
        <f t="array" ref="K293">IF(_xlfn.XLOOKUP(A293&amp;B293&amp;C293,价格信息!$A:$A&amp;价格信息!$B:$B&amp;价格信息!$C:$C,价格信息!$I:$I)="","","【优惠券链接】"&amp;固定信息!$B$6)</f>
        <v/>
      </c>
      <c r="L293" s="31" t="str">
        <f>IF($C293="","",固定信息!$B$1)</f>
        <v/>
      </c>
      <c r="M293" s="18" t="str">
        <f t="array" ref="M293">IF(_xlfn.XLOOKUP(A293&amp;B293&amp;C293,盘货信息!$A:$A&amp;盘货信息!$B:$B&amp;盘货信息!$C:$C,盘货信息!$O:$O)="","","【优惠券】领"&amp;INDEX(_wpsfn.REGEXP(_xlfn.XLOOKUP(A293&amp;B293&amp;C293,盘货信息!$A:$A&amp;盘货信息!$B:$B&amp;盘货信息!$C:$C,盘货信息!$O:$O),"\d+"),1,1)&amp;"元优惠券下单更优惠，优惠卷："&amp;_xlfn.XLOOKUP(A293&amp;B293&amp;C293,盘货信息!$A:$A&amp;盘货信息!$B:$B&amp;盘货信息!$C:$C,盘货信息!$P:$P))</f>
        <v/>
      </c>
      <c r="N293" s="18" t="str">
        <f t="array" ref="N293">IF(AND(ISNUMBER(_xlfn.XLOOKUP(A293&amp;B293&amp;C293,盘货信息!$A:$A&amp;盘货信息!$B:$B&amp;盘货信息!$C:$C,盘货信息!$I:$I)),_xlfn.XLOOKUP(A293&amp;B293&amp;C293,盘货信息!$A:$A&amp;盘货信息!$B:$B&amp;盘货信息!$C:$C,盘货信息!$I:$I)&gt;1),"【88VIP】立减"&amp;_xlfn.XLOOKUP(A293&amp;B293&amp;C293,盘货信息!$A:$A&amp;盘货信息!$B:$B&amp;盘货信息!$C:$C,盘货信息!$I:$I)&amp;"元","")</f>
        <v/>
      </c>
      <c r="O293" s="18" t="str">
        <f t="array" ref="O293">IF(_xlfn.XLOOKUP(A293&amp;B293&amp;C293,盘货信息!$A:$A&amp;盘货信息!$B:$B&amp;盘货信息!$C:$C,盘货信息!$K:$K)="","",IF(AND(_xlfn.XLOOKUP(A293&amp;B293&amp;C293,盘货信息!$A:$A&amp;盘货信息!$B:$B&amp;盘货信息!$C:$C,盘货信息!$G:$G)="不参加",_xlfn.XLOOKUP(A293&amp;B293&amp;C293,盘货信息!$A:$A&amp;盘货信息!$B:$B&amp;盘货信息!$C:$C,盘货信息!$H:$H)=""),"【以旧换新】"&amp;_xlfn.XLOOKUP(A293&amp;B293&amp;C293,盘货信息!$A:$A&amp;盘货信息!$B:$B&amp;盘货信息!$C:$C,盘货信息!$K:$K)&amp;"元以旧换新补贴（可无旧机换新）",""))</f>
        <v/>
      </c>
      <c r="P293" s="18" t="str">
        <f t="array" ref="P293">_xlfn.XLOOKUP(A293&amp;B293&amp;C293,赠品!$A:$A&amp;赠品!$B:$B&amp;赠品!$C:$C,赠品!$D:$D)</f>
        <v/>
      </c>
      <c r="Q293" s="18" t="str">
        <f>IF($C293="","",IF(AND(M293="",N293="",P293=""),"",固定信息!$B$1))</f>
        <v/>
      </c>
      <c r="R293" s="18" t="str">
        <f t="array" ref="R293">IF(ISNUMBER(SEARCH("是",_xlfn.XLOOKUP(A293&amp;B293&amp;C293,盘货信息!$A:$A&amp;盘货信息!$B:$B&amp;盘货信息!$C:$C,盘货信息!$U:$U))),"【折扣】指定型号满2类享96折，满3类享94折","")</f>
        <v/>
      </c>
      <c r="S293" s="18" t="str">
        <f t="array" ref="S293">IF(_xlfn.XLOOKUP(A293&amp;B293&amp;C293,盘货信息!$A:$A&amp;盘货信息!$B:$B&amp;盘货信息!$C:$C,盘货信息!$Q:$Q)&lt;1,"","【红包】活动时间购机送"&amp;_xlfn.TEXTJOIN("",,IF(ISNUMBER(--MID(_xlfn.XLOOKUP(A293&amp;B293&amp;C293,盘货信息!$A:$A&amp;盘货信息!$B:$B&amp;盘货信息!$C:$C,盘货信息!$Q:$Q),_xlfn.SEQUENCE(LEN(_xlfn.XLOOKUP(A293&amp;B293&amp;C293,盘货信息!$A:$A&amp;盘货信息!$B:$B&amp;盘货信息!$C:$C,盘货信息!$Q:$Q))),1)),MID(_xlfn.XLOOKUP(A293&amp;B293&amp;C293,盘货信息!$A:$A&amp;盘货信息!$B:$B&amp;盘货信息!$C:$C,盘货信息!$Q:$Q),_xlfn.SEQUENCE(LEN(_xlfn.XLOOKUP(A293&amp;B293&amp;C293,盘货信息!$A:$A&amp;盘货信息!$B:$B&amp;盘货信息!$C:$C,盘货信息!$Q:$Q))),1),""))&amp;"元")</f>
        <v/>
      </c>
      <c r="T293" s="18" t="str">
        <f t="array" ref="T293">IF(ISNUMBER(SEARCH("是",_xlfn.XLOOKUP(A293&amp;B293&amp;C293,盘货信息!$A:$A&amp;盘货信息!$B:$B&amp;盘货信息!$C:$C,盘货信息!$T:$T))),"【瓜分】"&amp;固定信息!$B$7,"")</f>
        <v/>
      </c>
      <c r="U293" s="18" t="str">
        <f>IF($C293="","",IF(AND(R293="",S293="",T293=""),"",固定信息!$B$1))</f>
        <v/>
      </c>
      <c r="V293" s="18" t="str">
        <f t="array" ref="V293">IF(C293="","","【服务】"&amp;IF(_xlfn.XLOOKUP(A293&amp;B293&amp;C293,盘货信息!$A:$A&amp;盘货信息!$B:$B&amp;盘货信息!$C:$C,盘货信息!$V:$V)="","",_xlfn.XLOOKUP(A293&amp;B293&amp;C293,盘货信息!$A:$A&amp;盘货信息!$B:$B&amp;盘货信息!$C:$C,盘货信息!$V:$V)&amp;"免息,")&amp;IF(_xlfn.XLOOKUP(A293&amp;B293&amp;C293,盘货信息!$A:$A&amp;盘货信息!$B:$B&amp;盘货信息!$C:$C,盘货信息!$W:$W)="","",_xlfn.XLOOKUP(A293&amp;B293&amp;C293,盘货信息!$A:$A&amp;盘货信息!$B:$B&amp;盘货信息!$C:$C,盘货信息!$W:$W)&amp;"，")&amp;"送货入户，退换免运费")</f>
        <v/>
      </c>
    </row>
    <row r="294" customHeight="1" spans="1:22">
      <c r="A294" s="17" t="str">
        <f>IF(盘货信息!A294="","",盘货信息!A294)</f>
        <v/>
      </c>
      <c r="B294" s="20" t="str">
        <f>IF(盘货信息!B294="","",盘货信息!B294)</f>
        <v/>
      </c>
      <c r="C294" s="18" t="str">
        <f>IF(盘货信息!C294="","",盘货信息!C294)</f>
        <v/>
      </c>
      <c r="D294" s="18" t="str">
        <f ca="1" t="shared" si="4"/>
        <v/>
      </c>
      <c r="E294" s="18" t="str">
        <f>IF(C294="","",固定信息!$B$2)</f>
        <v/>
      </c>
      <c r="F294" s="18" t="str">
        <f t="array" ref="F294">IF(C294="","","【"&amp;C294&amp;"】"&amp;_xlfn.XLOOKUP(A294&amp;B294&amp;C294,盘货信息!$A:$A&amp;盘货信息!$B:$B&amp;盘货信息!$C:$C,盘货信息!$D:$D))</f>
        <v/>
      </c>
      <c r="G294" s="18" t="str">
        <f>IF(C294="","","【"&amp;"活动时间："&amp;固定信息!$B$3&amp;"】")</f>
        <v/>
      </c>
      <c r="H294" s="18" t="str">
        <f>IF($C294="","",固定信息!$B$1)</f>
        <v/>
      </c>
      <c r="I294" s="18"/>
      <c r="J294" s="18" t="str">
        <f t="array" ref="J294">_xlfn.XLOOKUP(A294&amp;B294&amp;C294,价格信息!$A:$A&amp;价格信息!$B:$B&amp;价格信息!$C:$C,价格信息!$D:$D)</f>
        <v/>
      </c>
      <c r="K294" s="31" t="str">
        <f t="array" ref="K294">IF(_xlfn.XLOOKUP(A294&amp;B294&amp;C294,价格信息!$A:$A&amp;价格信息!$B:$B&amp;价格信息!$C:$C,价格信息!$I:$I)="","","【优惠券链接】"&amp;固定信息!$B$6)</f>
        <v/>
      </c>
      <c r="L294" s="31" t="str">
        <f>IF($C294="","",固定信息!$B$1)</f>
        <v/>
      </c>
      <c r="M294" s="18" t="str">
        <f t="array" ref="M294">IF(_xlfn.XLOOKUP(A294&amp;B294&amp;C294,盘货信息!$A:$A&amp;盘货信息!$B:$B&amp;盘货信息!$C:$C,盘货信息!$O:$O)="","","【优惠券】领"&amp;INDEX(_wpsfn.REGEXP(_xlfn.XLOOKUP(A294&amp;B294&amp;C294,盘货信息!$A:$A&amp;盘货信息!$B:$B&amp;盘货信息!$C:$C,盘货信息!$O:$O),"\d+"),1,1)&amp;"元优惠券下单更优惠，优惠卷："&amp;_xlfn.XLOOKUP(A294&amp;B294&amp;C294,盘货信息!$A:$A&amp;盘货信息!$B:$B&amp;盘货信息!$C:$C,盘货信息!$P:$P))</f>
        <v/>
      </c>
      <c r="N294" s="18" t="str">
        <f t="array" ref="N294">IF(AND(ISNUMBER(_xlfn.XLOOKUP(A294&amp;B294&amp;C294,盘货信息!$A:$A&amp;盘货信息!$B:$B&amp;盘货信息!$C:$C,盘货信息!$I:$I)),_xlfn.XLOOKUP(A294&amp;B294&amp;C294,盘货信息!$A:$A&amp;盘货信息!$B:$B&amp;盘货信息!$C:$C,盘货信息!$I:$I)&gt;1),"【88VIP】立减"&amp;_xlfn.XLOOKUP(A294&amp;B294&amp;C294,盘货信息!$A:$A&amp;盘货信息!$B:$B&amp;盘货信息!$C:$C,盘货信息!$I:$I)&amp;"元","")</f>
        <v/>
      </c>
      <c r="O294" s="18" t="str">
        <f t="array" ref="O294">IF(_xlfn.XLOOKUP(A294&amp;B294&amp;C294,盘货信息!$A:$A&amp;盘货信息!$B:$B&amp;盘货信息!$C:$C,盘货信息!$K:$K)="","",IF(AND(_xlfn.XLOOKUP(A294&amp;B294&amp;C294,盘货信息!$A:$A&amp;盘货信息!$B:$B&amp;盘货信息!$C:$C,盘货信息!$G:$G)="不参加",_xlfn.XLOOKUP(A294&amp;B294&amp;C294,盘货信息!$A:$A&amp;盘货信息!$B:$B&amp;盘货信息!$C:$C,盘货信息!$H:$H)=""),"【以旧换新】"&amp;_xlfn.XLOOKUP(A294&amp;B294&amp;C294,盘货信息!$A:$A&amp;盘货信息!$B:$B&amp;盘货信息!$C:$C,盘货信息!$K:$K)&amp;"元以旧换新补贴（可无旧机换新）",""))</f>
        <v/>
      </c>
      <c r="P294" s="18" t="str">
        <f t="array" ref="P294">_xlfn.XLOOKUP(A294&amp;B294&amp;C294,赠品!$A:$A&amp;赠品!$B:$B&amp;赠品!$C:$C,赠品!$D:$D)</f>
        <v/>
      </c>
      <c r="Q294" s="18" t="str">
        <f>IF($C294="","",IF(AND(M294="",N294="",P294=""),"",固定信息!$B$1))</f>
        <v/>
      </c>
      <c r="R294" s="18" t="str">
        <f t="array" ref="R294">IF(ISNUMBER(SEARCH("是",_xlfn.XLOOKUP(A294&amp;B294&amp;C294,盘货信息!$A:$A&amp;盘货信息!$B:$B&amp;盘货信息!$C:$C,盘货信息!$U:$U))),"【折扣】指定型号满2类享96折，满3类享94折","")</f>
        <v/>
      </c>
      <c r="S294" s="18" t="str">
        <f t="array" ref="S294">IF(_xlfn.XLOOKUP(A294&amp;B294&amp;C294,盘货信息!$A:$A&amp;盘货信息!$B:$B&amp;盘货信息!$C:$C,盘货信息!$Q:$Q)&lt;1,"","【红包】活动时间购机送"&amp;_xlfn.TEXTJOIN("",,IF(ISNUMBER(--MID(_xlfn.XLOOKUP(A294&amp;B294&amp;C294,盘货信息!$A:$A&amp;盘货信息!$B:$B&amp;盘货信息!$C:$C,盘货信息!$Q:$Q),_xlfn.SEQUENCE(LEN(_xlfn.XLOOKUP(A294&amp;B294&amp;C294,盘货信息!$A:$A&amp;盘货信息!$B:$B&amp;盘货信息!$C:$C,盘货信息!$Q:$Q))),1)),MID(_xlfn.XLOOKUP(A294&amp;B294&amp;C294,盘货信息!$A:$A&amp;盘货信息!$B:$B&amp;盘货信息!$C:$C,盘货信息!$Q:$Q),_xlfn.SEQUENCE(LEN(_xlfn.XLOOKUP(A294&amp;B294&amp;C294,盘货信息!$A:$A&amp;盘货信息!$B:$B&amp;盘货信息!$C:$C,盘货信息!$Q:$Q))),1),""))&amp;"元")</f>
        <v/>
      </c>
      <c r="T294" s="18" t="str">
        <f t="array" ref="T294">IF(ISNUMBER(SEARCH("是",_xlfn.XLOOKUP(A294&amp;B294&amp;C294,盘货信息!$A:$A&amp;盘货信息!$B:$B&amp;盘货信息!$C:$C,盘货信息!$T:$T))),"【瓜分】"&amp;固定信息!$B$7,"")</f>
        <v/>
      </c>
      <c r="U294" s="18" t="str">
        <f>IF($C294="","",IF(AND(R294="",S294="",T294=""),"",固定信息!$B$1))</f>
        <v/>
      </c>
      <c r="V294" s="18" t="str">
        <f t="array" ref="V294">IF(C294="","","【服务】"&amp;IF(_xlfn.XLOOKUP(A294&amp;B294&amp;C294,盘货信息!$A:$A&amp;盘货信息!$B:$B&amp;盘货信息!$C:$C,盘货信息!$V:$V)="","",_xlfn.XLOOKUP(A294&amp;B294&amp;C294,盘货信息!$A:$A&amp;盘货信息!$B:$B&amp;盘货信息!$C:$C,盘货信息!$V:$V)&amp;"免息,")&amp;IF(_xlfn.XLOOKUP(A294&amp;B294&amp;C294,盘货信息!$A:$A&amp;盘货信息!$B:$B&amp;盘货信息!$C:$C,盘货信息!$W:$W)="","",_xlfn.XLOOKUP(A294&amp;B294&amp;C294,盘货信息!$A:$A&amp;盘货信息!$B:$B&amp;盘货信息!$C:$C,盘货信息!$W:$W)&amp;"，")&amp;"送货入户，退换免运费")</f>
        <v/>
      </c>
    </row>
    <row r="295" customHeight="1" spans="1:22">
      <c r="A295" s="17" t="str">
        <f>IF(盘货信息!A295="","",盘货信息!A295)</f>
        <v/>
      </c>
      <c r="B295" s="20" t="str">
        <f>IF(盘货信息!B295="","",盘货信息!B295)</f>
        <v/>
      </c>
      <c r="C295" s="18" t="str">
        <f>IF(盘货信息!C295="","",盘货信息!C295)</f>
        <v/>
      </c>
      <c r="D295" s="18" t="str">
        <f ca="1" t="shared" si="4"/>
        <v/>
      </c>
      <c r="E295" s="18" t="str">
        <f>IF(C295="","",固定信息!$B$2)</f>
        <v/>
      </c>
      <c r="F295" s="18" t="str">
        <f t="array" ref="F295">IF(C295="","","【"&amp;C295&amp;"】"&amp;_xlfn.XLOOKUP(A295&amp;B295&amp;C295,盘货信息!$A:$A&amp;盘货信息!$B:$B&amp;盘货信息!$C:$C,盘货信息!$D:$D))</f>
        <v/>
      </c>
      <c r="G295" s="18" t="str">
        <f>IF(C295="","","【"&amp;"活动时间："&amp;固定信息!$B$3&amp;"】")</f>
        <v/>
      </c>
      <c r="H295" s="18" t="str">
        <f>IF($C295="","",固定信息!$B$1)</f>
        <v/>
      </c>
      <c r="I295" s="18"/>
      <c r="J295" s="18" t="str">
        <f t="array" ref="J295">_xlfn.XLOOKUP(A295&amp;B295&amp;C295,价格信息!$A:$A&amp;价格信息!$B:$B&amp;价格信息!$C:$C,价格信息!$D:$D)</f>
        <v/>
      </c>
      <c r="K295" s="31" t="str">
        <f t="array" ref="K295">IF(_xlfn.XLOOKUP(A295&amp;B295&amp;C295,价格信息!$A:$A&amp;价格信息!$B:$B&amp;价格信息!$C:$C,价格信息!$I:$I)="","","【优惠券链接】"&amp;固定信息!$B$6)</f>
        <v/>
      </c>
      <c r="L295" s="31" t="str">
        <f>IF($C295="","",固定信息!$B$1)</f>
        <v/>
      </c>
      <c r="M295" s="18" t="str">
        <f t="array" ref="M295">IF(_xlfn.XLOOKUP(A295&amp;B295&amp;C295,盘货信息!$A:$A&amp;盘货信息!$B:$B&amp;盘货信息!$C:$C,盘货信息!$O:$O)="","","【优惠券】领"&amp;INDEX(_wpsfn.REGEXP(_xlfn.XLOOKUP(A295&amp;B295&amp;C295,盘货信息!$A:$A&amp;盘货信息!$B:$B&amp;盘货信息!$C:$C,盘货信息!$O:$O),"\d+"),1,1)&amp;"元优惠券下单更优惠，优惠卷："&amp;_xlfn.XLOOKUP(A295&amp;B295&amp;C295,盘货信息!$A:$A&amp;盘货信息!$B:$B&amp;盘货信息!$C:$C,盘货信息!$P:$P))</f>
        <v/>
      </c>
      <c r="N295" s="18" t="str">
        <f t="array" ref="N295">IF(AND(ISNUMBER(_xlfn.XLOOKUP(A295&amp;B295&amp;C295,盘货信息!$A:$A&amp;盘货信息!$B:$B&amp;盘货信息!$C:$C,盘货信息!$I:$I)),_xlfn.XLOOKUP(A295&amp;B295&amp;C295,盘货信息!$A:$A&amp;盘货信息!$B:$B&amp;盘货信息!$C:$C,盘货信息!$I:$I)&gt;1),"【88VIP】立减"&amp;_xlfn.XLOOKUP(A295&amp;B295&amp;C295,盘货信息!$A:$A&amp;盘货信息!$B:$B&amp;盘货信息!$C:$C,盘货信息!$I:$I)&amp;"元","")</f>
        <v/>
      </c>
      <c r="O295" s="18" t="str">
        <f t="array" ref="O295">IF(_xlfn.XLOOKUP(A295&amp;B295&amp;C295,盘货信息!$A:$A&amp;盘货信息!$B:$B&amp;盘货信息!$C:$C,盘货信息!$K:$K)="","",IF(AND(_xlfn.XLOOKUP(A295&amp;B295&amp;C295,盘货信息!$A:$A&amp;盘货信息!$B:$B&amp;盘货信息!$C:$C,盘货信息!$G:$G)="不参加",_xlfn.XLOOKUP(A295&amp;B295&amp;C295,盘货信息!$A:$A&amp;盘货信息!$B:$B&amp;盘货信息!$C:$C,盘货信息!$H:$H)=""),"【以旧换新】"&amp;_xlfn.XLOOKUP(A295&amp;B295&amp;C295,盘货信息!$A:$A&amp;盘货信息!$B:$B&amp;盘货信息!$C:$C,盘货信息!$K:$K)&amp;"元以旧换新补贴（可无旧机换新）",""))</f>
        <v/>
      </c>
      <c r="P295" s="18" t="str">
        <f t="array" ref="P295">_xlfn.XLOOKUP(A295&amp;B295&amp;C295,赠品!$A:$A&amp;赠品!$B:$B&amp;赠品!$C:$C,赠品!$D:$D)</f>
        <v/>
      </c>
      <c r="Q295" s="18" t="str">
        <f>IF($C295="","",IF(AND(M295="",N295="",P295=""),"",固定信息!$B$1))</f>
        <v/>
      </c>
      <c r="R295" s="18" t="str">
        <f t="array" ref="R295">IF(ISNUMBER(SEARCH("是",_xlfn.XLOOKUP(A295&amp;B295&amp;C295,盘货信息!$A:$A&amp;盘货信息!$B:$B&amp;盘货信息!$C:$C,盘货信息!$U:$U))),"【折扣】指定型号满2类享96折，满3类享94折","")</f>
        <v/>
      </c>
      <c r="S295" s="18" t="str">
        <f t="array" ref="S295">IF(_xlfn.XLOOKUP(A295&amp;B295&amp;C295,盘货信息!$A:$A&amp;盘货信息!$B:$B&amp;盘货信息!$C:$C,盘货信息!$Q:$Q)&lt;1,"","【红包】活动时间购机送"&amp;_xlfn.TEXTJOIN("",,IF(ISNUMBER(--MID(_xlfn.XLOOKUP(A295&amp;B295&amp;C295,盘货信息!$A:$A&amp;盘货信息!$B:$B&amp;盘货信息!$C:$C,盘货信息!$Q:$Q),_xlfn.SEQUENCE(LEN(_xlfn.XLOOKUP(A295&amp;B295&amp;C295,盘货信息!$A:$A&amp;盘货信息!$B:$B&amp;盘货信息!$C:$C,盘货信息!$Q:$Q))),1)),MID(_xlfn.XLOOKUP(A295&amp;B295&amp;C295,盘货信息!$A:$A&amp;盘货信息!$B:$B&amp;盘货信息!$C:$C,盘货信息!$Q:$Q),_xlfn.SEQUENCE(LEN(_xlfn.XLOOKUP(A295&amp;B295&amp;C295,盘货信息!$A:$A&amp;盘货信息!$B:$B&amp;盘货信息!$C:$C,盘货信息!$Q:$Q))),1),""))&amp;"元")</f>
        <v/>
      </c>
      <c r="T295" s="18" t="str">
        <f t="array" ref="T295">IF(ISNUMBER(SEARCH("是",_xlfn.XLOOKUP(A295&amp;B295&amp;C295,盘货信息!$A:$A&amp;盘货信息!$B:$B&amp;盘货信息!$C:$C,盘货信息!$T:$T))),"【瓜分】"&amp;固定信息!$B$7,"")</f>
        <v/>
      </c>
      <c r="U295" s="18" t="str">
        <f>IF($C295="","",IF(AND(R295="",S295="",T295=""),"",固定信息!$B$1))</f>
        <v/>
      </c>
      <c r="V295" s="18" t="str">
        <f t="array" ref="V295">IF(C295="","","【服务】"&amp;IF(_xlfn.XLOOKUP(A295&amp;B295&amp;C295,盘货信息!$A:$A&amp;盘货信息!$B:$B&amp;盘货信息!$C:$C,盘货信息!$V:$V)="","",_xlfn.XLOOKUP(A295&amp;B295&amp;C295,盘货信息!$A:$A&amp;盘货信息!$B:$B&amp;盘货信息!$C:$C,盘货信息!$V:$V)&amp;"免息,")&amp;IF(_xlfn.XLOOKUP(A295&amp;B295&amp;C295,盘货信息!$A:$A&amp;盘货信息!$B:$B&amp;盘货信息!$C:$C,盘货信息!$W:$W)="","",_xlfn.XLOOKUP(A295&amp;B295&amp;C295,盘货信息!$A:$A&amp;盘货信息!$B:$B&amp;盘货信息!$C:$C,盘货信息!$W:$W)&amp;"，")&amp;"送货入户，退换免运费")</f>
        <v/>
      </c>
    </row>
    <row r="296" customHeight="1" spans="1:22">
      <c r="A296" s="17" t="str">
        <f>IF(盘货信息!A296="","",盘货信息!A296)</f>
        <v/>
      </c>
      <c r="B296" s="20" t="str">
        <f>IF(盘货信息!B296="","",盘货信息!B296)</f>
        <v/>
      </c>
      <c r="C296" s="18" t="str">
        <f>IF(盘货信息!C296="","",盘货信息!C296)</f>
        <v/>
      </c>
      <c r="D296" s="18" t="str">
        <f ca="1" t="shared" si="4"/>
        <v/>
      </c>
      <c r="E296" s="18" t="str">
        <f>IF(C296="","",固定信息!$B$2)</f>
        <v/>
      </c>
      <c r="F296" s="18" t="str">
        <f t="array" ref="F296">IF(C296="","","【"&amp;C296&amp;"】"&amp;_xlfn.XLOOKUP(A296&amp;B296&amp;C296,盘货信息!$A:$A&amp;盘货信息!$B:$B&amp;盘货信息!$C:$C,盘货信息!$D:$D))</f>
        <v/>
      </c>
      <c r="G296" s="18" t="str">
        <f>IF(C296="","","【"&amp;"活动时间："&amp;固定信息!$B$3&amp;"】")</f>
        <v/>
      </c>
      <c r="H296" s="18" t="str">
        <f>IF($C296="","",固定信息!$B$1)</f>
        <v/>
      </c>
      <c r="I296" s="18"/>
      <c r="J296" s="18" t="str">
        <f t="array" ref="J296">_xlfn.XLOOKUP(A296&amp;B296&amp;C296,价格信息!$A:$A&amp;价格信息!$B:$B&amp;价格信息!$C:$C,价格信息!$D:$D)</f>
        <v/>
      </c>
      <c r="K296" s="31" t="str">
        <f t="array" ref="K296">IF(_xlfn.XLOOKUP(A296&amp;B296&amp;C296,价格信息!$A:$A&amp;价格信息!$B:$B&amp;价格信息!$C:$C,价格信息!$I:$I)="","","【优惠券链接】"&amp;固定信息!$B$6)</f>
        <v/>
      </c>
      <c r="L296" s="31" t="str">
        <f>IF($C296="","",固定信息!$B$1)</f>
        <v/>
      </c>
      <c r="M296" s="18" t="str">
        <f t="array" ref="M296">IF(_xlfn.XLOOKUP(A296&amp;B296&amp;C296,盘货信息!$A:$A&amp;盘货信息!$B:$B&amp;盘货信息!$C:$C,盘货信息!$O:$O)="","","【优惠券】领"&amp;INDEX(_wpsfn.REGEXP(_xlfn.XLOOKUP(A296&amp;B296&amp;C296,盘货信息!$A:$A&amp;盘货信息!$B:$B&amp;盘货信息!$C:$C,盘货信息!$O:$O),"\d+"),1,1)&amp;"元优惠券下单更优惠，优惠卷："&amp;_xlfn.XLOOKUP(A296&amp;B296&amp;C296,盘货信息!$A:$A&amp;盘货信息!$B:$B&amp;盘货信息!$C:$C,盘货信息!$P:$P))</f>
        <v/>
      </c>
      <c r="N296" s="18" t="str">
        <f t="array" ref="N296">IF(AND(ISNUMBER(_xlfn.XLOOKUP(A296&amp;B296&amp;C296,盘货信息!$A:$A&amp;盘货信息!$B:$B&amp;盘货信息!$C:$C,盘货信息!$I:$I)),_xlfn.XLOOKUP(A296&amp;B296&amp;C296,盘货信息!$A:$A&amp;盘货信息!$B:$B&amp;盘货信息!$C:$C,盘货信息!$I:$I)&gt;1),"【88VIP】立减"&amp;_xlfn.XLOOKUP(A296&amp;B296&amp;C296,盘货信息!$A:$A&amp;盘货信息!$B:$B&amp;盘货信息!$C:$C,盘货信息!$I:$I)&amp;"元","")</f>
        <v/>
      </c>
      <c r="O296" s="18" t="str">
        <f t="array" ref="O296">IF(_xlfn.XLOOKUP(A296&amp;B296&amp;C296,盘货信息!$A:$A&amp;盘货信息!$B:$B&amp;盘货信息!$C:$C,盘货信息!$K:$K)="","",IF(AND(_xlfn.XLOOKUP(A296&amp;B296&amp;C296,盘货信息!$A:$A&amp;盘货信息!$B:$B&amp;盘货信息!$C:$C,盘货信息!$G:$G)="不参加",_xlfn.XLOOKUP(A296&amp;B296&amp;C296,盘货信息!$A:$A&amp;盘货信息!$B:$B&amp;盘货信息!$C:$C,盘货信息!$H:$H)=""),"【以旧换新】"&amp;_xlfn.XLOOKUP(A296&amp;B296&amp;C296,盘货信息!$A:$A&amp;盘货信息!$B:$B&amp;盘货信息!$C:$C,盘货信息!$K:$K)&amp;"元以旧换新补贴（可无旧机换新）",""))</f>
        <v/>
      </c>
      <c r="P296" s="18" t="str">
        <f t="array" ref="P296">_xlfn.XLOOKUP(A296&amp;B296&amp;C296,赠品!$A:$A&amp;赠品!$B:$B&amp;赠品!$C:$C,赠品!$D:$D)</f>
        <v/>
      </c>
      <c r="Q296" s="18" t="str">
        <f>IF($C296="","",IF(AND(M296="",N296="",P296=""),"",固定信息!$B$1))</f>
        <v/>
      </c>
      <c r="R296" s="18" t="str">
        <f t="array" ref="R296">IF(ISNUMBER(SEARCH("是",_xlfn.XLOOKUP(A296&amp;B296&amp;C296,盘货信息!$A:$A&amp;盘货信息!$B:$B&amp;盘货信息!$C:$C,盘货信息!$U:$U))),"【折扣】指定型号满2类享96折，满3类享94折","")</f>
        <v/>
      </c>
      <c r="S296" s="18" t="str">
        <f t="array" ref="S296">IF(_xlfn.XLOOKUP(A296&amp;B296&amp;C296,盘货信息!$A:$A&amp;盘货信息!$B:$B&amp;盘货信息!$C:$C,盘货信息!$Q:$Q)&lt;1,"","【红包】活动时间购机送"&amp;_xlfn.TEXTJOIN("",,IF(ISNUMBER(--MID(_xlfn.XLOOKUP(A296&amp;B296&amp;C296,盘货信息!$A:$A&amp;盘货信息!$B:$B&amp;盘货信息!$C:$C,盘货信息!$Q:$Q),_xlfn.SEQUENCE(LEN(_xlfn.XLOOKUP(A296&amp;B296&amp;C296,盘货信息!$A:$A&amp;盘货信息!$B:$B&amp;盘货信息!$C:$C,盘货信息!$Q:$Q))),1)),MID(_xlfn.XLOOKUP(A296&amp;B296&amp;C296,盘货信息!$A:$A&amp;盘货信息!$B:$B&amp;盘货信息!$C:$C,盘货信息!$Q:$Q),_xlfn.SEQUENCE(LEN(_xlfn.XLOOKUP(A296&amp;B296&amp;C296,盘货信息!$A:$A&amp;盘货信息!$B:$B&amp;盘货信息!$C:$C,盘货信息!$Q:$Q))),1),""))&amp;"元")</f>
        <v/>
      </c>
      <c r="T296" s="18" t="str">
        <f t="array" ref="T296">IF(ISNUMBER(SEARCH("是",_xlfn.XLOOKUP(A296&amp;B296&amp;C296,盘货信息!$A:$A&amp;盘货信息!$B:$B&amp;盘货信息!$C:$C,盘货信息!$T:$T))),"【瓜分】"&amp;固定信息!$B$7,"")</f>
        <v/>
      </c>
      <c r="U296" s="18" t="str">
        <f>IF($C296="","",IF(AND(R296="",S296="",T296=""),"",固定信息!$B$1))</f>
        <v/>
      </c>
      <c r="V296" s="18" t="str">
        <f t="array" ref="V296">IF(C296="","","【服务】"&amp;IF(_xlfn.XLOOKUP(A296&amp;B296&amp;C296,盘货信息!$A:$A&amp;盘货信息!$B:$B&amp;盘货信息!$C:$C,盘货信息!$V:$V)="","",_xlfn.XLOOKUP(A296&amp;B296&amp;C296,盘货信息!$A:$A&amp;盘货信息!$B:$B&amp;盘货信息!$C:$C,盘货信息!$V:$V)&amp;"免息,")&amp;IF(_xlfn.XLOOKUP(A296&amp;B296&amp;C296,盘货信息!$A:$A&amp;盘货信息!$B:$B&amp;盘货信息!$C:$C,盘货信息!$W:$W)="","",_xlfn.XLOOKUP(A296&amp;B296&amp;C296,盘货信息!$A:$A&amp;盘货信息!$B:$B&amp;盘货信息!$C:$C,盘货信息!$W:$W)&amp;"，")&amp;"送货入户，退换免运费")</f>
        <v/>
      </c>
    </row>
    <row r="297" customHeight="1" spans="1:22">
      <c r="A297" s="17" t="str">
        <f>IF(盘货信息!A297="","",盘货信息!A297)</f>
        <v/>
      </c>
      <c r="B297" s="20" t="str">
        <f>IF(盘货信息!B297="","",盘货信息!B297)</f>
        <v/>
      </c>
      <c r="C297" s="18" t="str">
        <f>IF(盘货信息!C297="","",盘货信息!C297)</f>
        <v/>
      </c>
      <c r="D297" s="18" t="str">
        <f ca="1" t="shared" si="4"/>
        <v/>
      </c>
      <c r="E297" s="18" t="str">
        <f>IF(C297="","",固定信息!$B$2)</f>
        <v/>
      </c>
      <c r="F297" s="18" t="str">
        <f t="array" ref="F297">IF(C297="","","【"&amp;C297&amp;"】"&amp;_xlfn.XLOOKUP(A297&amp;B297&amp;C297,盘货信息!$A:$A&amp;盘货信息!$B:$B&amp;盘货信息!$C:$C,盘货信息!$D:$D))</f>
        <v/>
      </c>
      <c r="G297" s="18" t="str">
        <f>IF(C297="","","【"&amp;"活动时间："&amp;固定信息!$B$3&amp;"】")</f>
        <v/>
      </c>
      <c r="H297" s="18" t="str">
        <f>IF($C297="","",固定信息!$B$1)</f>
        <v/>
      </c>
      <c r="I297" s="18"/>
      <c r="J297" s="18" t="str">
        <f t="array" ref="J297">_xlfn.XLOOKUP(A297&amp;B297&amp;C297,价格信息!$A:$A&amp;价格信息!$B:$B&amp;价格信息!$C:$C,价格信息!$D:$D)</f>
        <v/>
      </c>
      <c r="K297" s="31" t="str">
        <f t="array" ref="K297">IF(_xlfn.XLOOKUP(A297&amp;B297&amp;C297,价格信息!$A:$A&amp;价格信息!$B:$B&amp;价格信息!$C:$C,价格信息!$I:$I)="","","【优惠券链接】"&amp;固定信息!$B$6)</f>
        <v/>
      </c>
      <c r="L297" s="31" t="str">
        <f>IF($C297="","",固定信息!$B$1)</f>
        <v/>
      </c>
      <c r="M297" s="18" t="str">
        <f t="array" ref="M297">IF(_xlfn.XLOOKUP(A297&amp;B297&amp;C297,盘货信息!$A:$A&amp;盘货信息!$B:$B&amp;盘货信息!$C:$C,盘货信息!$O:$O)="","","【优惠券】领"&amp;INDEX(_wpsfn.REGEXP(_xlfn.XLOOKUP(A297&amp;B297&amp;C297,盘货信息!$A:$A&amp;盘货信息!$B:$B&amp;盘货信息!$C:$C,盘货信息!$O:$O),"\d+"),1,1)&amp;"元优惠券下单更优惠，优惠卷："&amp;_xlfn.XLOOKUP(A297&amp;B297&amp;C297,盘货信息!$A:$A&amp;盘货信息!$B:$B&amp;盘货信息!$C:$C,盘货信息!$P:$P))</f>
        <v/>
      </c>
      <c r="N297" s="18" t="str">
        <f t="array" ref="N297">IF(AND(ISNUMBER(_xlfn.XLOOKUP(A297&amp;B297&amp;C297,盘货信息!$A:$A&amp;盘货信息!$B:$B&amp;盘货信息!$C:$C,盘货信息!$I:$I)),_xlfn.XLOOKUP(A297&amp;B297&amp;C297,盘货信息!$A:$A&amp;盘货信息!$B:$B&amp;盘货信息!$C:$C,盘货信息!$I:$I)&gt;1),"【88VIP】立减"&amp;_xlfn.XLOOKUP(A297&amp;B297&amp;C297,盘货信息!$A:$A&amp;盘货信息!$B:$B&amp;盘货信息!$C:$C,盘货信息!$I:$I)&amp;"元","")</f>
        <v/>
      </c>
      <c r="O297" s="18" t="str">
        <f t="array" ref="O297">IF(_xlfn.XLOOKUP(A297&amp;B297&amp;C297,盘货信息!$A:$A&amp;盘货信息!$B:$B&amp;盘货信息!$C:$C,盘货信息!$K:$K)="","",IF(AND(_xlfn.XLOOKUP(A297&amp;B297&amp;C297,盘货信息!$A:$A&amp;盘货信息!$B:$B&amp;盘货信息!$C:$C,盘货信息!$G:$G)="不参加",_xlfn.XLOOKUP(A297&amp;B297&amp;C297,盘货信息!$A:$A&amp;盘货信息!$B:$B&amp;盘货信息!$C:$C,盘货信息!$H:$H)=""),"【以旧换新】"&amp;_xlfn.XLOOKUP(A297&amp;B297&amp;C297,盘货信息!$A:$A&amp;盘货信息!$B:$B&amp;盘货信息!$C:$C,盘货信息!$K:$K)&amp;"元以旧换新补贴（可无旧机换新）",""))</f>
        <v/>
      </c>
      <c r="P297" s="18" t="str">
        <f t="array" ref="P297">_xlfn.XLOOKUP(A297&amp;B297&amp;C297,赠品!$A:$A&amp;赠品!$B:$B&amp;赠品!$C:$C,赠品!$D:$D)</f>
        <v/>
      </c>
      <c r="Q297" s="18" t="str">
        <f>IF($C297="","",IF(AND(M297="",N297="",P297=""),"",固定信息!$B$1))</f>
        <v/>
      </c>
      <c r="R297" s="18" t="str">
        <f t="array" ref="R297">IF(ISNUMBER(SEARCH("是",_xlfn.XLOOKUP(A297&amp;B297&amp;C297,盘货信息!$A:$A&amp;盘货信息!$B:$B&amp;盘货信息!$C:$C,盘货信息!$U:$U))),"【折扣】指定型号满2类享96折，满3类享94折","")</f>
        <v/>
      </c>
      <c r="S297" s="18" t="str">
        <f t="array" ref="S297">IF(_xlfn.XLOOKUP(A297&amp;B297&amp;C297,盘货信息!$A:$A&amp;盘货信息!$B:$B&amp;盘货信息!$C:$C,盘货信息!$Q:$Q)&lt;1,"","【红包】活动时间购机送"&amp;_xlfn.TEXTJOIN("",,IF(ISNUMBER(--MID(_xlfn.XLOOKUP(A297&amp;B297&amp;C297,盘货信息!$A:$A&amp;盘货信息!$B:$B&amp;盘货信息!$C:$C,盘货信息!$Q:$Q),_xlfn.SEQUENCE(LEN(_xlfn.XLOOKUP(A297&amp;B297&amp;C297,盘货信息!$A:$A&amp;盘货信息!$B:$B&amp;盘货信息!$C:$C,盘货信息!$Q:$Q))),1)),MID(_xlfn.XLOOKUP(A297&amp;B297&amp;C297,盘货信息!$A:$A&amp;盘货信息!$B:$B&amp;盘货信息!$C:$C,盘货信息!$Q:$Q),_xlfn.SEQUENCE(LEN(_xlfn.XLOOKUP(A297&amp;B297&amp;C297,盘货信息!$A:$A&amp;盘货信息!$B:$B&amp;盘货信息!$C:$C,盘货信息!$Q:$Q))),1),""))&amp;"元")</f>
        <v/>
      </c>
      <c r="T297" s="18" t="str">
        <f t="array" ref="T297">IF(ISNUMBER(SEARCH("是",_xlfn.XLOOKUP(A297&amp;B297&amp;C297,盘货信息!$A:$A&amp;盘货信息!$B:$B&amp;盘货信息!$C:$C,盘货信息!$T:$T))),"【瓜分】"&amp;固定信息!$B$7,"")</f>
        <v/>
      </c>
      <c r="U297" s="18" t="str">
        <f>IF($C297="","",IF(AND(R297="",S297="",T297=""),"",固定信息!$B$1))</f>
        <v/>
      </c>
      <c r="V297" s="18" t="str">
        <f t="array" ref="V297">IF(C297="","","【服务】"&amp;IF(_xlfn.XLOOKUP(A297&amp;B297&amp;C297,盘货信息!$A:$A&amp;盘货信息!$B:$B&amp;盘货信息!$C:$C,盘货信息!$V:$V)="","",_xlfn.XLOOKUP(A297&amp;B297&amp;C297,盘货信息!$A:$A&amp;盘货信息!$B:$B&amp;盘货信息!$C:$C,盘货信息!$V:$V)&amp;"免息,")&amp;IF(_xlfn.XLOOKUP(A297&amp;B297&amp;C297,盘货信息!$A:$A&amp;盘货信息!$B:$B&amp;盘货信息!$C:$C,盘货信息!$W:$W)="","",_xlfn.XLOOKUP(A297&amp;B297&amp;C297,盘货信息!$A:$A&amp;盘货信息!$B:$B&amp;盘货信息!$C:$C,盘货信息!$W:$W)&amp;"，")&amp;"送货入户，退换免运费")</f>
        <v/>
      </c>
    </row>
    <row r="298" customHeight="1" spans="1:22">
      <c r="A298" s="17" t="str">
        <f>IF(盘货信息!A298="","",盘货信息!A298)</f>
        <v/>
      </c>
      <c r="B298" s="20" t="str">
        <f>IF(盘货信息!B298="","",盘货信息!B298)</f>
        <v/>
      </c>
      <c r="C298" s="18" t="str">
        <f>IF(盘货信息!C298="","",盘货信息!C298)</f>
        <v/>
      </c>
      <c r="D298" s="18" t="str">
        <f ca="1" t="shared" si="4"/>
        <v/>
      </c>
      <c r="E298" s="18" t="str">
        <f>IF(C298="","",固定信息!$B$2)</f>
        <v/>
      </c>
      <c r="F298" s="18" t="str">
        <f t="array" ref="F298">IF(C298="","","【"&amp;C298&amp;"】"&amp;_xlfn.XLOOKUP(A298&amp;B298&amp;C298,盘货信息!$A:$A&amp;盘货信息!$B:$B&amp;盘货信息!$C:$C,盘货信息!$D:$D))</f>
        <v/>
      </c>
      <c r="G298" s="18" t="str">
        <f>IF(C298="","","【"&amp;"活动时间："&amp;固定信息!$B$3&amp;"】")</f>
        <v/>
      </c>
      <c r="H298" s="18" t="str">
        <f>IF($C298="","",固定信息!$B$1)</f>
        <v/>
      </c>
      <c r="I298" s="18"/>
      <c r="J298" s="18" t="str">
        <f t="array" ref="J298">_xlfn.XLOOKUP(A298&amp;B298&amp;C298,价格信息!$A:$A&amp;价格信息!$B:$B&amp;价格信息!$C:$C,价格信息!$D:$D)</f>
        <v/>
      </c>
      <c r="K298" s="31" t="str">
        <f t="array" ref="K298">IF(_xlfn.XLOOKUP(A298&amp;B298&amp;C298,价格信息!$A:$A&amp;价格信息!$B:$B&amp;价格信息!$C:$C,价格信息!$I:$I)="","","【优惠券链接】"&amp;固定信息!$B$6)</f>
        <v/>
      </c>
      <c r="L298" s="31" t="str">
        <f>IF($C298="","",固定信息!$B$1)</f>
        <v/>
      </c>
      <c r="M298" s="18" t="str">
        <f t="array" ref="M298">IF(_xlfn.XLOOKUP(A298&amp;B298&amp;C298,盘货信息!$A:$A&amp;盘货信息!$B:$B&amp;盘货信息!$C:$C,盘货信息!$O:$O)="","","【优惠券】领"&amp;INDEX(_wpsfn.REGEXP(_xlfn.XLOOKUP(A298&amp;B298&amp;C298,盘货信息!$A:$A&amp;盘货信息!$B:$B&amp;盘货信息!$C:$C,盘货信息!$O:$O),"\d+"),1,1)&amp;"元优惠券下单更优惠，优惠卷："&amp;_xlfn.XLOOKUP(A298&amp;B298&amp;C298,盘货信息!$A:$A&amp;盘货信息!$B:$B&amp;盘货信息!$C:$C,盘货信息!$P:$P))</f>
        <v/>
      </c>
      <c r="N298" s="18" t="str">
        <f t="array" ref="N298">IF(AND(ISNUMBER(_xlfn.XLOOKUP(A298&amp;B298&amp;C298,盘货信息!$A:$A&amp;盘货信息!$B:$B&amp;盘货信息!$C:$C,盘货信息!$I:$I)),_xlfn.XLOOKUP(A298&amp;B298&amp;C298,盘货信息!$A:$A&amp;盘货信息!$B:$B&amp;盘货信息!$C:$C,盘货信息!$I:$I)&gt;1),"【88VIP】立减"&amp;_xlfn.XLOOKUP(A298&amp;B298&amp;C298,盘货信息!$A:$A&amp;盘货信息!$B:$B&amp;盘货信息!$C:$C,盘货信息!$I:$I)&amp;"元","")</f>
        <v/>
      </c>
      <c r="O298" s="18" t="str">
        <f t="array" ref="O298">IF(_xlfn.XLOOKUP(A298&amp;B298&amp;C298,盘货信息!$A:$A&amp;盘货信息!$B:$B&amp;盘货信息!$C:$C,盘货信息!$K:$K)="","",IF(AND(_xlfn.XLOOKUP(A298&amp;B298&amp;C298,盘货信息!$A:$A&amp;盘货信息!$B:$B&amp;盘货信息!$C:$C,盘货信息!$G:$G)="不参加",_xlfn.XLOOKUP(A298&amp;B298&amp;C298,盘货信息!$A:$A&amp;盘货信息!$B:$B&amp;盘货信息!$C:$C,盘货信息!$H:$H)=""),"【以旧换新】"&amp;_xlfn.XLOOKUP(A298&amp;B298&amp;C298,盘货信息!$A:$A&amp;盘货信息!$B:$B&amp;盘货信息!$C:$C,盘货信息!$K:$K)&amp;"元以旧换新补贴（可无旧机换新）",""))</f>
        <v/>
      </c>
      <c r="P298" s="18" t="str">
        <f t="array" ref="P298">_xlfn.XLOOKUP(A298&amp;B298&amp;C298,赠品!$A:$A&amp;赠品!$B:$B&amp;赠品!$C:$C,赠品!$D:$D)</f>
        <v/>
      </c>
      <c r="Q298" s="18" t="str">
        <f>IF($C298="","",IF(AND(M298="",N298="",P298=""),"",固定信息!$B$1))</f>
        <v/>
      </c>
      <c r="R298" s="18" t="str">
        <f t="array" ref="R298">IF(ISNUMBER(SEARCH("是",_xlfn.XLOOKUP(A298&amp;B298&amp;C298,盘货信息!$A:$A&amp;盘货信息!$B:$B&amp;盘货信息!$C:$C,盘货信息!$U:$U))),"【折扣】指定型号满2类享96折，满3类享94折","")</f>
        <v/>
      </c>
      <c r="S298" s="18" t="str">
        <f t="array" ref="S298">IF(_xlfn.XLOOKUP(A298&amp;B298&amp;C298,盘货信息!$A:$A&amp;盘货信息!$B:$B&amp;盘货信息!$C:$C,盘货信息!$Q:$Q)&lt;1,"","【红包】活动时间购机送"&amp;_xlfn.TEXTJOIN("",,IF(ISNUMBER(--MID(_xlfn.XLOOKUP(A298&amp;B298&amp;C298,盘货信息!$A:$A&amp;盘货信息!$B:$B&amp;盘货信息!$C:$C,盘货信息!$Q:$Q),_xlfn.SEQUENCE(LEN(_xlfn.XLOOKUP(A298&amp;B298&amp;C298,盘货信息!$A:$A&amp;盘货信息!$B:$B&amp;盘货信息!$C:$C,盘货信息!$Q:$Q))),1)),MID(_xlfn.XLOOKUP(A298&amp;B298&amp;C298,盘货信息!$A:$A&amp;盘货信息!$B:$B&amp;盘货信息!$C:$C,盘货信息!$Q:$Q),_xlfn.SEQUENCE(LEN(_xlfn.XLOOKUP(A298&amp;B298&amp;C298,盘货信息!$A:$A&amp;盘货信息!$B:$B&amp;盘货信息!$C:$C,盘货信息!$Q:$Q))),1),""))&amp;"元")</f>
        <v/>
      </c>
      <c r="T298" s="18" t="str">
        <f t="array" ref="T298">IF(ISNUMBER(SEARCH("是",_xlfn.XLOOKUP(A298&amp;B298&amp;C298,盘货信息!$A:$A&amp;盘货信息!$B:$B&amp;盘货信息!$C:$C,盘货信息!$T:$T))),"【瓜分】"&amp;固定信息!$B$7,"")</f>
        <v/>
      </c>
      <c r="U298" s="18" t="str">
        <f>IF($C298="","",IF(AND(R298="",S298="",T298=""),"",固定信息!$B$1))</f>
        <v/>
      </c>
      <c r="V298" s="18" t="str">
        <f t="array" ref="V298">IF(C298="","","【服务】"&amp;IF(_xlfn.XLOOKUP(A298&amp;B298&amp;C298,盘货信息!$A:$A&amp;盘货信息!$B:$B&amp;盘货信息!$C:$C,盘货信息!$V:$V)="","",_xlfn.XLOOKUP(A298&amp;B298&amp;C298,盘货信息!$A:$A&amp;盘货信息!$B:$B&amp;盘货信息!$C:$C,盘货信息!$V:$V)&amp;"免息,")&amp;IF(_xlfn.XLOOKUP(A298&amp;B298&amp;C298,盘货信息!$A:$A&amp;盘货信息!$B:$B&amp;盘货信息!$C:$C,盘货信息!$W:$W)="","",_xlfn.XLOOKUP(A298&amp;B298&amp;C298,盘货信息!$A:$A&amp;盘货信息!$B:$B&amp;盘货信息!$C:$C,盘货信息!$W:$W)&amp;"，")&amp;"送货入户，退换免运费")</f>
        <v/>
      </c>
    </row>
    <row r="299" customHeight="1" spans="1:22">
      <c r="A299" s="17" t="str">
        <f>IF(盘货信息!A299="","",盘货信息!A299)</f>
        <v/>
      </c>
      <c r="B299" s="20" t="str">
        <f>IF(盘货信息!B299="","",盘货信息!B299)</f>
        <v/>
      </c>
      <c r="C299" s="18" t="str">
        <f>IF(盘货信息!C299="","",盘货信息!C299)</f>
        <v/>
      </c>
      <c r="D299" s="18" t="str">
        <f ca="1" t="shared" si="4"/>
        <v/>
      </c>
      <c r="E299" s="18" t="str">
        <f>IF(C299="","",固定信息!$B$2)</f>
        <v/>
      </c>
      <c r="F299" s="18" t="str">
        <f t="array" ref="F299">IF(C299="","","【"&amp;C299&amp;"】"&amp;_xlfn.XLOOKUP(A299&amp;B299&amp;C299,盘货信息!$A:$A&amp;盘货信息!$B:$B&amp;盘货信息!$C:$C,盘货信息!$D:$D))</f>
        <v/>
      </c>
      <c r="G299" s="18" t="str">
        <f>IF(C299="","","【"&amp;"活动时间："&amp;固定信息!$B$3&amp;"】")</f>
        <v/>
      </c>
      <c r="H299" s="18" t="str">
        <f>IF($C299="","",固定信息!$B$1)</f>
        <v/>
      </c>
      <c r="I299" s="18"/>
      <c r="J299" s="18" t="str">
        <f t="array" ref="J299">_xlfn.XLOOKUP(A299&amp;B299&amp;C299,价格信息!$A:$A&amp;价格信息!$B:$B&amp;价格信息!$C:$C,价格信息!$D:$D)</f>
        <v/>
      </c>
      <c r="K299" s="31" t="str">
        <f t="array" ref="K299">IF(_xlfn.XLOOKUP(A299&amp;B299&amp;C299,价格信息!$A:$A&amp;价格信息!$B:$B&amp;价格信息!$C:$C,价格信息!$I:$I)="","","【优惠券链接】"&amp;固定信息!$B$6)</f>
        <v/>
      </c>
      <c r="L299" s="31" t="str">
        <f>IF($C299="","",固定信息!$B$1)</f>
        <v/>
      </c>
      <c r="M299" s="18" t="str">
        <f t="array" ref="M299">IF(_xlfn.XLOOKUP(A299&amp;B299&amp;C299,盘货信息!$A:$A&amp;盘货信息!$B:$B&amp;盘货信息!$C:$C,盘货信息!$O:$O)="","","【优惠券】领"&amp;INDEX(_wpsfn.REGEXP(_xlfn.XLOOKUP(A299&amp;B299&amp;C299,盘货信息!$A:$A&amp;盘货信息!$B:$B&amp;盘货信息!$C:$C,盘货信息!$O:$O),"\d+"),1,1)&amp;"元优惠券下单更优惠，优惠卷："&amp;_xlfn.XLOOKUP(A299&amp;B299&amp;C299,盘货信息!$A:$A&amp;盘货信息!$B:$B&amp;盘货信息!$C:$C,盘货信息!$P:$P))</f>
        <v/>
      </c>
      <c r="N299" s="18" t="str">
        <f t="array" ref="N299">IF(AND(ISNUMBER(_xlfn.XLOOKUP(A299&amp;B299&amp;C299,盘货信息!$A:$A&amp;盘货信息!$B:$B&amp;盘货信息!$C:$C,盘货信息!$I:$I)),_xlfn.XLOOKUP(A299&amp;B299&amp;C299,盘货信息!$A:$A&amp;盘货信息!$B:$B&amp;盘货信息!$C:$C,盘货信息!$I:$I)&gt;1),"【88VIP】立减"&amp;_xlfn.XLOOKUP(A299&amp;B299&amp;C299,盘货信息!$A:$A&amp;盘货信息!$B:$B&amp;盘货信息!$C:$C,盘货信息!$I:$I)&amp;"元","")</f>
        <v/>
      </c>
      <c r="O299" s="18" t="str">
        <f t="array" ref="O299">IF(_xlfn.XLOOKUP(A299&amp;B299&amp;C299,盘货信息!$A:$A&amp;盘货信息!$B:$B&amp;盘货信息!$C:$C,盘货信息!$K:$K)="","",IF(AND(_xlfn.XLOOKUP(A299&amp;B299&amp;C299,盘货信息!$A:$A&amp;盘货信息!$B:$B&amp;盘货信息!$C:$C,盘货信息!$G:$G)="不参加",_xlfn.XLOOKUP(A299&amp;B299&amp;C299,盘货信息!$A:$A&amp;盘货信息!$B:$B&amp;盘货信息!$C:$C,盘货信息!$H:$H)=""),"【以旧换新】"&amp;_xlfn.XLOOKUP(A299&amp;B299&amp;C299,盘货信息!$A:$A&amp;盘货信息!$B:$B&amp;盘货信息!$C:$C,盘货信息!$K:$K)&amp;"元以旧换新补贴（可无旧机换新）",""))</f>
        <v/>
      </c>
      <c r="P299" s="18" t="str">
        <f t="array" ref="P299">_xlfn.XLOOKUP(A299&amp;B299&amp;C299,赠品!$A:$A&amp;赠品!$B:$B&amp;赠品!$C:$C,赠品!$D:$D)</f>
        <v/>
      </c>
      <c r="Q299" s="18" t="str">
        <f>IF($C299="","",IF(AND(M299="",N299="",P299=""),"",固定信息!$B$1))</f>
        <v/>
      </c>
      <c r="R299" s="18" t="str">
        <f t="array" ref="R299">IF(ISNUMBER(SEARCH("是",_xlfn.XLOOKUP(A299&amp;B299&amp;C299,盘货信息!$A:$A&amp;盘货信息!$B:$B&amp;盘货信息!$C:$C,盘货信息!$U:$U))),"【折扣】指定型号满2类享96折，满3类享94折","")</f>
        <v/>
      </c>
      <c r="S299" s="18" t="str">
        <f t="array" ref="S299">IF(_xlfn.XLOOKUP(A299&amp;B299&amp;C299,盘货信息!$A:$A&amp;盘货信息!$B:$B&amp;盘货信息!$C:$C,盘货信息!$Q:$Q)&lt;1,"","【红包】活动时间购机送"&amp;_xlfn.TEXTJOIN("",,IF(ISNUMBER(--MID(_xlfn.XLOOKUP(A299&amp;B299&amp;C299,盘货信息!$A:$A&amp;盘货信息!$B:$B&amp;盘货信息!$C:$C,盘货信息!$Q:$Q),_xlfn.SEQUENCE(LEN(_xlfn.XLOOKUP(A299&amp;B299&amp;C299,盘货信息!$A:$A&amp;盘货信息!$B:$B&amp;盘货信息!$C:$C,盘货信息!$Q:$Q))),1)),MID(_xlfn.XLOOKUP(A299&amp;B299&amp;C299,盘货信息!$A:$A&amp;盘货信息!$B:$B&amp;盘货信息!$C:$C,盘货信息!$Q:$Q),_xlfn.SEQUENCE(LEN(_xlfn.XLOOKUP(A299&amp;B299&amp;C299,盘货信息!$A:$A&amp;盘货信息!$B:$B&amp;盘货信息!$C:$C,盘货信息!$Q:$Q))),1),""))&amp;"元")</f>
        <v/>
      </c>
      <c r="T299" s="18" t="str">
        <f t="array" ref="T299">IF(ISNUMBER(SEARCH("是",_xlfn.XLOOKUP(A299&amp;B299&amp;C299,盘货信息!$A:$A&amp;盘货信息!$B:$B&amp;盘货信息!$C:$C,盘货信息!$T:$T))),"【瓜分】"&amp;固定信息!$B$7,"")</f>
        <v/>
      </c>
      <c r="U299" s="18" t="str">
        <f>IF($C299="","",IF(AND(R299="",S299="",T299=""),"",固定信息!$B$1))</f>
        <v/>
      </c>
      <c r="V299" s="18" t="str">
        <f t="array" ref="V299">IF(C299="","","【服务】"&amp;IF(_xlfn.XLOOKUP(A299&amp;B299&amp;C299,盘货信息!$A:$A&amp;盘货信息!$B:$B&amp;盘货信息!$C:$C,盘货信息!$V:$V)="","",_xlfn.XLOOKUP(A299&amp;B299&amp;C299,盘货信息!$A:$A&amp;盘货信息!$B:$B&amp;盘货信息!$C:$C,盘货信息!$V:$V)&amp;"免息,")&amp;IF(_xlfn.XLOOKUP(A299&amp;B299&amp;C299,盘货信息!$A:$A&amp;盘货信息!$B:$B&amp;盘货信息!$C:$C,盘货信息!$W:$W)="","",_xlfn.XLOOKUP(A299&amp;B299&amp;C299,盘货信息!$A:$A&amp;盘货信息!$B:$B&amp;盘货信息!$C:$C,盘货信息!$W:$W)&amp;"，")&amp;"送货入户，退换免运费")</f>
        <v/>
      </c>
    </row>
    <row r="300" customHeight="1" spans="1:22">
      <c r="A300" s="17" t="str">
        <f>IF(盘货信息!A300="","",盘货信息!A300)</f>
        <v/>
      </c>
      <c r="B300" s="20" t="str">
        <f>IF(盘货信息!B300="","",盘货信息!B300)</f>
        <v/>
      </c>
      <c r="C300" s="18" t="str">
        <f>IF(盘货信息!C300="","",盘货信息!C300)</f>
        <v/>
      </c>
      <c r="D300" s="18" t="str">
        <f ca="1" t="shared" si="4"/>
        <v/>
      </c>
      <c r="E300" s="18" t="str">
        <f>IF(C300="","",固定信息!$B$2)</f>
        <v/>
      </c>
      <c r="F300" s="18" t="str">
        <f t="array" ref="F300">IF(C300="","","【"&amp;C300&amp;"】"&amp;_xlfn.XLOOKUP(A300&amp;B300&amp;C300,盘货信息!$A:$A&amp;盘货信息!$B:$B&amp;盘货信息!$C:$C,盘货信息!$D:$D))</f>
        <v/>
      </c>
      <c r="G300" s="18" t="str">
        <f>IF(C300="","","【"&amp;"活动时间："&amp;固定信息!$B$3&amp;"】")</f>
        <v/>
      </c>
      <c r="H300" s="18" t="str">
        <f>IF($C300="","",固定信息!$B$1)</f>
        <v/>
      </c>
      <c r="I300" s="18"/>
      <c r="J300" s="18" t="str">
        <f t="array" ref="J300">_xlfn.XLOOKUP(A300&amp;B300&amp;C300,价格信息!$A:$A&amp;价格信息!$B:$B&amp;价格信息!$C:$C,价格信息!$D:$D)</f>
        <v/>
      </c>
      <c r="K300" s="31" t="str">
        <f t="array" ref="K300">IF(_xlfn.XLOOKUP(A300&amp;B300&amp;C300,价格信息!$A:$A&amp;价格信息!$B:$B&amp;价格信息!$C:$C,价格信息!$I:$I)="","","【优惠券链接】"&amp;固定信息!$B$6)</f>
        <v/>
      </c>
      <c r="L300" s="31" t="str">
        <f>IF($C300="","",固定信息!$B$1)</f>
        <v/>
      </c>
      <c r="M300" s="18" t="str">
        <f t="array" ref="M300">IF(_xlfn.XLOOKUP(A300&amp;B300&amp;C300,盘货信息!$A:$A&amp;盘货信息!$B:$B&amp;盘货信息!$C:$C,盘货信息!$O:$O)="","","【优惠券】领"&amp;INDEX(_wpsfn.REGEXP(_xlfn.XLOOKUP(A300&amp;B300&amp;C300,盘货信息!$A:$A&amp;盘货信息!$B:$B&amp;盘货信息!$C:$C,盘货信息!$O:$O),"\d+"),1,1)&amp;"元优惠券下单更优惠，优惠卷："&amp;_xlfn.XLOOKUP(A300&amp;B300&amp;C300,盘货信息!$A:$A&amp;盘货信息!$B:$B&amp;盘货信息!$C:$C,盘货信息!$P:$P))</f>
        <v/>
      </c>
      <c r="N300" s="18" t="str">
        <f t="array" ref="N300">IF(AND(ISNUMBER(_xlfn.XLOOKUP(A300&amp;B300&amp;C300,盘货信息!$A:$A&amp;盘货信息!$B:$B&amp;盘货信息!$C:$C,盘货信息!$I:$I)),_xlfn.XLOOKUP(A300&amp;B300&amp;C300,盘货信息!$A:$A&amp;盘货信息!$B:$B&amp;盘货信息!$C:$C,盘货信息!$I:$I)&gt;1),"【88VIP】立减"&amp;_xlfn.XLOOKUP(A300&amp;B300&amp;C300,盘货信息!$A:$A&amp;盘货信息!$B:$B&amp;盘货信息!$C:$C,盘货信息!$I:$I)&amp;"元","")</f>
        <v/>
      </c>
      <c r="O300" s="18" t="str">
        <f t="array" ref="O300">IF(_xlfn.XLOOKUP(A300&amp;B300&amp;C300,盘货信息!$A:$A&amp;盘货信息!$B:$B&amp;盘货信息!$C:$C,盘货信息!$K:$K)="","",IF(AND(_xlfn.XLOOKUP(A300&amp;B300&amp;C300,盘货信息!$A:$A&amp;盘货信息!$B:$B&amp;盘货信息!$C:$C,盘货信息!$G:$G)="不参加",_xlfn.XLOOKUP(A300&amp;B300&amp;C300,盘货信息!$A:$A&amp;盘货信息!$B:$B&amp;盘货信息!$C:$C,盘货信息!$H:$H)=""),"【以旧换新】"&amp;_xlfn.XLOOKUP(A300&amp;B300&amp;C300,盘货信息!$A:$A&amp;盘货信息!$B:$B&amp;盘货信息!$C:$C,盘货信息!$K:$K)&amp;"元以旧换新补贴（可无旧机换新）",""))</f>
        <v/>
      </c>
      <c r="P300" s="18" t="str">
        <f t="array" ref="P300">_xlfn.XLOOKUP(A300&amp;B300&amp;C300,赠品!$A:$A&amp;赠品!$B:$B&amp;赠品!$C:$C,赠品!$D:$D)</f>
        <v/>
      </c>
      <c r="Q300" s="18" t="str">
        <f>IF($C300="","",IF(AND(M300="",N300="",P300=""),"",固定信息!$B$1))</f>
        <v/>
      </c>
      <c r="R300" s="18" t="str">
        <f t="array" ref="R300">IF(ISNUMBER(SEARCH("是",_xlfn.XLOOKUP(A300&amp;B300&amp;C300,盘货信息!$A:$A&amp;盘货信息!$B:$B&amp;盘货信息!$C:$C,盘货信息!$U:$U))),"【折扣】指定型号满2类享96折，满3类享94折","")</f>
        <v/>
      </c>
      <c r="S300" s="18" t="str">
        <f t="array" ref="S300">IF(_xlfn.XLOOKUP(A300&amp;B300&amp;C300,盘货信息!$A:$A&amp;盘货信息!$B:$B&amp;盘货信息!$C:$C,盘货信息!$Q:$Q)&lt;1,"","【红包】活动时间购机送"&amp;_xlfn.TEXTJOIN("",,IF(ISNUMBER(--MID(_xlfn.XLOOKUP(A300&amp;B300&amp;C300,盘货信息!$A:$A&amp;盘货信息!$B:$B&amp;盘货信息!$C:$C,盘货信息!$Q:$Q),_xlfn.SEQUENCE(LEN(_xlfn.XLOOKUP(A300&amp;B300&amp;C300,盘货信息!$A:$A&amp;盘货信息!$B:$B&amp;盘货信息!$C:$C,盘货信息!$Q:$Q))),1)),MID(_xlfn.XLOOKUP(A300&amp;B300&amp;C300,盘货信息!$A:$A&amp;盘货信息!$B:$B&amp;盘货信息!$C:$C,盘货信息!$Q:$Q),_xlfn.SEQUENCE(LEN(_xlfn.XLOOKUP(A300&amp;B300&amp;C300,盘货信息!$A:$A&amp;盘货信息!$B:$B&amp;盘货信息!$C:$C,盘货信息!$Q:$Q))),1),""))&amp;"元")</f>
        <v/>
      </c>
      <c r="T300" s="18" t="str">
        <f t="array" ref="T300">IF(ISNUMBER(SEARCH("是",_xlfn.XLOOKUP(A300&amp;B300&amp;C300,盘货信息!$A:$A&amp;盘货信息!$B:$B&amp;盘货信息!$C:$C,盘货信息!$T:$T))),"【瓜分】"&amp;固定信息!$B$7,"")</f>
        <v/>
      </c>
      <c r="U300" s="18" t="str">
        <f>IF($C300="","",IF(AND(R300="",S300="",T300=""),"",固定信息!$B$1))</f>
        <v/>
      </c>
      <c r="V300" s="18" t="str">
        <f t="array" ref="V300">IF(C300="","","【服务】"&amp;IF(_xlfn.XLOOKUP(A300&amp;B300&amp;C300,盘货信息!$A:$A&amp;盘货信息!$B:$B&amp;盘货信息!$C:$C,盘货信息!$V:$V)="","",_xlfn.XLOOKUP(A300&amp;B300&amp;C300,盘货信息!$A:$A&amp;盘货信息!$B:$B&amp;盘货信息!$C:$C,盘货信息!$V:$V)&amp;"免息,")&amp;IF(_xlfn.XLOOKUP(A300&amp;B300&amp;C300,盘货信息!$A:$A&amp;盘货信息!$B:$B&amp;盘货信息!$C:$C,盘货信息!$W:$W)="","",_xlfn.XLOOKUP(A300&amp;B300&amp;C300,盘货信息!$A:$A&amp;盘货信息!$B:$B&amp;盘货信息!$C:$C,盘货信息!$W:$W)&amp;"，")&amp;"送货入户，退换免运费")</f>
        <v/>
      </c>
    </row>
    <row r="301" customHeight="1" spans="1:22">
      <c r="A301" s="17" t="str">
        <f>IF(盘货信息!A301="","",盘货信息!A301)</f>
        <v/>
      </c>
      <c r="B301" s="20" t="str">
        <f>IF(盘货信息!B301="","",盘货信息!B301)</f>
        <v/>
      </c>
      <c r="C301" s="18" t="str">
        <f>IF(盘货信息!C301="","",盘货信息!C301)</f>
        <v/>
      </c>
      <c r="D301" s="18" t="str">
        <f ca="1" t="shared" si="4"/>
        <v/>
      </c>
      <c r="E301" s="18" t="str">
        <f>IF(C301="","",固定信息!$B$2)</f>
        <v/>
      </c>
      <c r="F301" s="18" t="str">
        <f t="array" ref="F301">IF(C301="","","【"&amp;C301&amp;"】"&amp;_xlfn.XLOOKUP(A301&amp;B301&amp;C301,盘货信息!$A:$A&amp;盘货信息!$B:$B&amp;盘货信息!$C:$C,盘货信息!$D:$D))</f>
        <v/>
      </c>
      <c r="G301" s="18" t="str">
        <f>IF(C301="","","【"&amp;"活动时间："&amp;固定信息!$B$3&amp;"】")</f>
        <v/>
      </c>
      <c r="H301" s="18" t="str">
        <f>IF($C301="","",固定信息!$B$1)</f>
        <v/>
      </c>
      <c r="I301" s="18"/>
      <c r="J301" s="18" t="str">
        <f t="array" ref="J301">_xlfn.XLOOKUP(A301&amp;B301&amp;C301,价格信息!$A:$A&amp;价格信息!$B:$B&amp;价格信息!$C:$C,价格信息!$D:$D)</f>
        <v/>
      </c>
      <c r="K301" s="31" t="str">
        <f t="array" ref="K301">IF(_xlfn.XLOOKUP(A301&amp;B301&amp;C301,价格信息!$A:$A&amp;价格信息!$B:$B&amp;价格信息!$C:$C,价格信息!$I:$I)="","","【优惠券链接】"&amp;固定信息!$B$6)</f>
        <v/>
      </c>
      <c r="L301" s="31" t="str">
        <f>IF($C301="","",固定信息!$B$1)</f>
        <v/>
      </c>
      <c r="M301" s="18" t="str">
        <f t="array" ref="M301">IF(_xlfn.XLOOKUP(A301&amp;B301&amp;C301,盘货信息!$A:$A&amp;盘货信息!$B:$B&amp;盘货信息!$C:$C,盘货信息!$O:$O)="","","【优惠券】领"&amp;INDEX(_wpsfn.REGEXP(_xlfn.XLOOKUP(A301&amp;B301&amp;C301,盘货信息!$A:$A&amp;盘货信息!$B:$B&amp;盘货信息!$C:$C,盘货信息!$O:$O),"\d+"),1,1)&amp;"元优惠券下单更优惠，优惠卷："&amp;_xlfn.XLOOKUP(A301&amp;B301&amp;C301,盘货信息!$A:$A&amp;盘货信息!$B:$B&amp;盘货信息!$C:$C,盘货信息!$P:$P))</f>
        <v/>
      </c>
      <c r="N301" s="18" t="str">
        <f t="array" ref="N301">IF(AND(ISNUMBER(_xlfn.XLOOKUP(A301&amp;B301&amp;C301,盘货信息!$A:$A&amp;盘货信息!$B:$B&amp;盘货信息!$C:$C,盘货信息!$I:$I)),_xlfn.XLOOKUP(A301&amp;B301&amp;C301,盘货信息!$A:$A&amp;盘货信息!$B:$B&amp;盘货信息!$C:$C,盘货信息!$I:$I)&gt;1),"【88VIP】立减"&amp;_xlfn.XLOOKUP(A301&amp;B301&amp;C301,盘货信息!$A:$A&amp;盘货信息!$B:$B&amp;盘货信息!$C:$C,盘货信息!$I:$I)&amp;"元","")</f>
        <v/>
      </c>
      <c r="O301" s="18" t="str">
        <f t="array" ref="O301">IF(_xlfn.XLOOKUP(A301&amp;B301&amp;C301,盘货信息!$A:$A&amp;盘货信息!$B:$B&amp;盘货信息!$C:$C,盘货信息!$K:$K)="","",IF(AND(_xlfn.XLOOKUP(A301&amp;B301&amp;C301,盘货信息!$A:$A&amp;盘货信息!$B:$B&amp;盘货信息!$C:$C,盘货信息!$G:$G)="不参加",_xlfn.XLOOKUP(A301&amp;B301&amp;C301,盘货信息!$A:$A&amp;盘货信息!$B:$B&amp;盘货信息!$C:$C,盘货信息!$H:$H)=""),"【以旧换新】"&amp;_xlfn.XLOOKUP(A301&amp;B301&amp;C301,盘货信息!$A:$A&amp;盘货信息!$B:$B&amp;盘货信息!$C:$C,盘货信息!$K:$K)&amp;"元以旧换新补贴（可无旧机换新）",""))</f>
        <v/>
      </c>
      <c r="P301" s="18" t="str">
        <f t="array" ref="P301">_xlfn.XLOOKUP(A301&amp;B301&amp;C301,赠品!$A:$A&amp;赠品!$B:$B&amp;赠品!$C:$C,赠品!$D:$D)</f>
        <v/>
      </c>
      <c r="Q301" s="18" t="str">
        <f>IF($C301="","",IF(AND(M301="",N301="",P301=""),"",固定信息!$B$1))</f>
        <v/>
      </c>
      <c r="R301" s="18" t="str">
        <f t="array" ref="R301">IF(ISNUMBER(SEARCH("是",_xlfn.XLOOKUP(A301&amp;B301&amp;C301,盘货信息!$A:$A&amp;盘货信息!$B:$B&amp;盘货信息!$C:$C,盘货信息!$U:$U))),"【折扣】指定型号满2类享96折，满3类享94折","")</f>
        <v/>
      </c>
      <c r="S301" s="18" t="str">
        <f t="array" ref="S301">IF(_xlfn.XLOOKUP(A301&amp;B301&amp;C301,盘货信息!$A:$A&amp;盘货信息!$B:$B&amp;盘货信息!$C:$C,盘货信息!$Q:$Q)&lt;1,"","【红包】活动时间购机送"&amp;_xlfn.TEXTJOIN("",,IF(ISNUMBER(--MID(_xlfn.XLOOKUP(A301&amp;B301&amp;C301,盘货信息!$A:$A&amp;盘货信息!$B:$B&amp;盘货信息!$C:$C,盘货信息!$Q:$Q),_xlfn.SEQUENCE(LEN(_xlfn.XLOOKUP(A301&amp;B301&amp;C301,盘货信息!$A:$A&amp;盘货信息!$B:$B&amp;盘货信息!$C:$C,盘货信息!$Q:$Q))),1)),MID(_xlfn.XLOOKUP(A301&amp;B301&amp;C301,盘货信息!$A:$A&amp;盘货信息!$B:$B&amp;盘货信息!$C:$C,盘货信息!$Q:$Q),_xlfn.SEQUENCE(LEN(_xlfn.XLOOKUP(A301&amp;B301&amp;C301,盘货信息!$A:$A&amp;盘货信息!$B:$B&amp;盘货信息!$C:$C,盘货信息!$Q:$Q))),1),""))&amp;"元")</f>
        <v/>
      </c>
      <c r="T301" s="18" t="str">
        <f t="array" ref="T301">IF(ISNUMBER(SEARCH("是",_xlfn.XLOOKUP(A301&amp;B301&amp;C301,盘货信息!$A:$A&amp;盘货信息!$B:$B&amp;盘货信息!$C:$C,盘货信息!$T:$T))),"【瓜分】"&amp;固定信息!$B$7,"")</f>
        <v/>
      </c>
      <c r="U301" s="18" t="str">
        <f>IF($C301="","",IF(AND(R301="",S301="",T301=""),"",固定信息!$B$1))</f>
        <v/>
      </c>
      <c r="V301" s="18" t="str">
        <f t="array" ref="V301">IF(C301="","","【服务】"&amp;IF(_xlfn.XLOOKUP(A301&amp;B301&amp;C301,盘货信息!$A:$A&amp;盘货信息!$B:$B&amp;盘货信息!$C:$C,盘货信息!$V:$V)="","",_xlfn.XLOOKUP(A301&amp;B301&amp;C301,盘货信息!$A:$A&amp;盘货信息!$B:$B&amp;盘货信息!$C:$C,盘货信息!$V:$V)&amp;"免息,")&amp;IF(_xlfn.XLOOKUP(A301&amp;B301&amp;C301,盘货信息!$A:$A&amp;盘货信息!$B:$B&amp;盘货信息!$C:$C,盘货信息!$W:$W)="","",_xlfn.XLOOKUP(A301&amp;B301&amp;C301,盘货信息!$A:$A&amp;盘货信息!$B:$B&amp;盘货信息!$C:$C,盘货信息!$W:$W)&amp;"，")&amp;"送货入户，退换免运费")</f>
        <v/>
      </c>
    </row>
    <row r="302" customHeight="1" spans="1:22">
      <c r="A302" s="17" t="str">
        <f>IF(盘货信息!A302="","",盘货信息!A302)</f>
        <v/>
      </c>
      <c r="B302" s="20" t="str">
        <f>IF(盘货信息!B302="","",盘货信息!B302)</f>
        <v/>
      </c>
      <c r="C302" s="18" t="str">
        <f>IF(盘货信息!C302="","",盘货信息!C302)</f>
        <v/>
      </c>
      <c r="D302" s="18" t="str">
        <f ca="1" t="shared" si="4"/>
        <v/>
      </c>
      <c r="E302" s="18" t="str">
        <f>IF(C302="","",固定信息!$B$2)</f>
        <v/>
      </c>
      <c r="F302" s="18" t="str">
        <f t="array" ref="F302">IF(C302="","","【"&amp;C302&amp;"】"&amp;_xlfn.XLOOKUP(A302&amp;B302&amp;C302,盘货信息!$A:$A&amp;盘货信息!$B:$B&amp;盘货信息!$C:$C,盘货信息!$D:$D))</f>
        <v/>
      </c>
      <c r="G302" s="18" t="str">
        <f>IF(C302="","","【"&amp;"活动时间："&amp;固定信息!$B$3&amp;"】")</f>
        <v/>
      </c>
      <c r="H302" s="18" t="str">
        <f>IF($C302="","",固定信息!$B$1)</f>
        <v/>
      </c>
      <c r="I302" s="18"/>
      <c r="J302" s="18" t="str">
        <f t="array" ref="J302">_xlfn.XLOOKUP(A302&amp;B302&amp;C302,价格信息!$A:$A&amp;价格信息!$B:$B&amp;价格信息!$C:$C,价格信息!$D:$D)</f>
        <v/>
      </c>
      <c r="K302" s="31" t="str">
        <f t="array" ref="K302">IF(_xlfn.XLOOKUP(A302&amp;B302&amp;C302,价格信息!$A:$A&amp;价格信息!$B:$B&amp;价格信息!$C:$C,价格信息!$I:$I)="","","【优惠券链接】"&amp;固定信息!$B$6)</f>
        <v/>
      </c>
      <c r="L302" s="31" t="str">
        <f>IF($C302="","",固定信息!$B$1)</f>
        <v/>
      </c>
      <c r="M302" s="18" t="str">
        <f t="array" ref="M302">IF(_xlfn.XLOOKUP(A302&amp;B302&amp;C302,盘货信息!$A:$A&amp;盘货信息!$B:$B&amp;盘货信息!$C:$C,盘货信息!$O:$O)="","","【优惠券】领"&amp;INDEX(_wpsfn.REGEXP(_xlfn.XLOOKUP(A302&amp;B302&amp;C302,盘货信息!$A:$A&amp;盘货信息!$B:$B&amp;盘货信息!$C:$C,盘货信息!$O:$O),"\d+"),1,1)&amp;"元优惠券下单更优惠，优惠卷："&amp;_xlfn.XLOOKUP(A302&amp;B302&amp;C302,盘货信息!$A:$A&amp;盘货信息!$B:$B&amp;盘货信息!$C:$C,盘货信息!$P:$P))</f>
        <v/>
      </c>
      <c r="N302" s="18" t="str">
        <f t="array" ref="N302">IF(AND(ISNUMBER(_xlfn.XLOOKUP(A302&amp;B302&amp;C302,盘货信息!$A:$A&amp;盘货信息!$B:$B&amp;盘货信息!$C:$C,盘货信息!$I:$I)),_xlfn.XLOOKUP(A302&amp;B302&amp;C302,盘货信息!$A:$A&amp;盘货信息!$B:$B&amp;盘货信息!$C:$C,盘货信息!$I:$I)&gt;1),"【88VIP】立减"&amp;_xlfn.XLOOKUP(A302&amp;B302&amp;C302,盘货信息!$A:$A&amp;盘货信息!$B:$B&amp;盘货信息!$C:$C,盘货信息!$I:$I)&amp;"元","")</f>
        <v/>
      </c>
      <c r="O302" s="18" t="str">
        <f t="array" ref="O302">IF(_xlfn.XLOOKUP(A302&amp;B302&amp;C302,盘货信息!$A:$A&amp;盘货信息!$B:$B&amp;盘货信息!$C:$C,盘货信息!$K:$K)="","",IF(AND(_xlfn.XLOOKUP(A302&amp;B302&amp;C302,盘货信息!$A:$A&amp;盘货信息!$B:$B&amp;盘货信息!$C:$C,盘货信息!$G:$G)="不参加",_xlfn.XLOOKUP(A302&amp;B302&amp;C302,盘货信息!$A:$A&amp;盘货信息!$B:$B&amp;盘货信息!$C:$C,盘货信息!$H:$H)=""),"【以旧换新】"&amp;_xlfn.XLOOKUP(A302&amp;B302&amp;C302,盘货信息!$A:$A&amp;盘货信息!$B:$B&amp;盘货信息!$C:$C,盘货信息!$K:$K)&amp;"元以旧换新补贴（可无旧机换新）",""))</f>
        <v/>
      </c>
      <c r="P302" s="18" t="str">
        <f t="array" ref="P302">_xlfn.XLOOKUP(A302&amp;B302&amp;C302,赠品!$A:$A&amp;赠品!$B:$B&amp;赠品!$C:$C,赠品!$D:$D)</f>
        <v/>
      </c>
      <c r="Q302" s="18" t="str">
        <f>IF($C302="","",IF(AND(M302="",N302="",P302=""),"",固定信息!$B$1))</f>
        <v/>
      </c>
      <c r="R302" s="18" t="str">
        <f t="array" ref="R302">IF(ISNUMBER(SEARCH("是",_xlfn.XLOOKUP(A302&amp;B302&amp;C302,盘货信息!$A:$A&amp;盘货信息!$B:$B&amp;盘货信息!$C:$C,盘货信息!$U:$U))),"【折扣】指定型号满2类享96折，满3类享94折","")</f>
        <v/>
      </c>
      <c r="S302" s="18" t="str">
        <f t="array" ref="S302">IF(_xlfn.XLOOKUP(A302&amp;B302&amp;C302,盘货信息!$A:$A&amp;盘货信息!$B:$B&amp;盘货信息!$C:$C,盘货信息!$Q:$Q)&lt;1,"","【红包】活动时间购机送"&amp;_xlfn.TEXTJOIN("",,IF(ISNUMBER(--MID(_xlfn.XLOOKUP(A302&amp;B302&amp;C302,盘货信息!$A:$A&amp;盘货信息!$B:$B&amp;盘货信息!$C:$C,盘货信息!$Q:$Q),_xlfn.SEQUENCE(LEN(_xlfn.XLOOKUP(A302&amp;B302&amp;C302,盘货信息!$A:$A&amp;盘货信息!$B:$B&amp;盘货信息!$C:$C,盘货信息!$Q:$Q))),1)),MID(_xlfn.XLOOKUP(A302&amp;B302&amp;C302,盘货信息!$A:$A&amp;盘货信息!$B:$B&amp;盘货信息!$C:$C,盘货信息!$Q:$Q),_xlfn.SEQUENCE(LEN(_xlfn.XLOOKUP(A302&amp;B302&amp;C302,盘货信息!$A:$A&amp;盘货信息!$B:$B&amp;盘货信息!$C:$C,盘货信息!$Q:$Q))),1),""))&amp;"元")</f>
        <v/>
      </c>
      <c r="T302" s="18" t="str">
        <f t="array" ref="T302">IF(ISNUMBER(SEARCH("是",_xlfn.XLOOKUP(A302&amp;B302&amp;C302,盘货信息!$A:$A&amp;盘货信息!$B:$B&amp;盘货信息!$C:$C,盘货信息!$T:$T))),"【瓜分】"&amp;固定信息!$B$7,"")</f>
        <v/>
      </c>
      <c r="U302" s="18" t="str">
        <f>IF($C302="","",IF(AND(R302="",S302="",T302=""),"",固定信息!$B$1))</f>
        <v/>
      </c>
      <c r="V302" s="18" t="str">
        <f t="array" ref="V302">IF(C302="","","【服务】"&amp;IF(_xlfn.XLOOKUP(A302&amp;B302&amp;C302,盘货信息!$A:$A&amp;盘货信息!$B:$B&amp;盘货信息!$C:$C,盘货信息!$V:$V)="","",_xlfn.XLOOKUP(A302&amp;B302&amp;C302,盘货信息!$A:$A&amp;盘货信息!$B:$B&amp;盘货信息!$C:$C,盘货信息!$V:$V)&amp;"免息,")&amp;IF(_xlfn.XLOOKUP(A302&amp;B302&amp;C302,盘货信息!$A:$A&amp;盘货信息!$B:$B&amp;盘货信息!$C:$C,盘货信息!$W:$W)="","",_xlfn.XLOOKUP(A302&amp;B302&amp;C302,盘货信息!$A:$A&amp;盘货信息!$B:$B&amp;盘货信息!$C:$C,盘货信息!$W:$W)&amp;"，")&amp;"送货入户，退换免运费")</f>
        <v/>
      </c>
    </row>
    <row r="303" customHeight="1" spans="1:22">
      <c r="A303" s="17" t="str">
        <f>IF(盘货信息!A303="","",盘货信息!A303)</f>
        <v/>
      </c>
      <c r="B303" s="20" t="str">
        <f>IF(盘货信息!B303="","",盘货信息!B303)</f>
        <v/>
      </c>
      <c r="C303" s="18" t="str">
        <f>IF(盘货信息!C303="","",盘货信息!C303)</f>
        <v/>
      </c>
      <c r="D303" s="18" t="str">
        <f ca="1" t="shared" si="4"/>
        <v/>
      </c>
      <c r="E303" s="18" t="str">
        <f>IF(C303="","",固定信息!$B$2)</f>
        <v/>
      </c>
      <c r="F303" s="18" t="str">
        <f t="array" ref="F303">IF(C303="","","【"&amp;C303&amp;"】"&amp;_xlfn.XLOOKUP(A303&amp;B303&amp;C303,盘货信息!$A:$A&amp;盘货信息!$B:$B&amp;盘货信息!$C:$C,盘货信息!$D:$D))</f>
        <v/>
      </c>
      <c r="G303" s="18" t="str">
        <f>IF(C303="","","【"&amp;"活动时间："&amp;固定信息!$B$3&amp;"】")</f>
        <v/>
      </c>
      <c r="H303" s="18" t="str">
        <f>IF($C303="","",固定信息!$B$1)</f>
        <v/>
      </c>
      <c r="I303" s="18"/>
      <c r="J303" s="18" t="str">
        <f t="array" ref="J303">_xlfn.XLOOKUP(A303&amp;B303&amp;C303,价格信息!$A:$A&amp;价格信息!$B:$B&amp;价格信息!$C:$C,价格信息!$D:$D)</f>
        <v/>
      </c>
      <c r="K303" s="31" t="str">
        <f t="array" ref="K303">IF(_xlfn.XLOOKUP(A303&amp;B303&amp;C303,价格信息!$A:$A&amp;价格信息!$B:$B&amp;价格信息!$C:$C,价格信息!$I:$I)="","","【优惠券链接】"&amp;固定信息!$B$6)</f>
        <v/>
      </c>
      <c r="L303" s="31" t="str">
        <f>IF($C303="","",固定信息!$B$1)</f>
        <v/>
      </c>
      <c r="M303" s="18" t="str">
        <f t="array" ref="M303">IF(_xlfn.XLOOKUP(A303&amp;B303&amp;C303,盘货信息!$A:$A&amp;盘货信息!$B:$B&amp;盘货信息!$C:$C,盘货信息!$O:$O)="","","【优惠券】领"&amp;INDEX(_wpsfn.REGEXP(_xlfn.XLOOKUP(A303&amp;B303&amp;C303,盘货信息!$A:$A&amp;盘货信息!$B:$B&amp;盘货信息!$C:$C,盘货信息!$O:$O),"\d+"),1,1)&amp;"元优惠券下单更优惠，优惠卷："&amp;_xlfn.XLOOKUP(A303&amp;B303&amp;C303,盘货信息!$A:$A&amp;盘货信息!$B:$B&amp;盘货信息!$C:$C,盘货信息!$P:$P))</f>
        <v/>
      </c>
      <c r="N303" s="18" t="str">
        <f t="array" ref="N303">IF(AND(ISNUMBER(_xlfn.XLOOKUP(A303&amp;B303&amp;C303,盘货信息!$A:$A&amp;盘货信息!$B:$B&amp;盘货信息!$C:$C,盘货信息!$I:$I)),_xlfn.XLOOKUP(A303&amp;B303&amp;C303,盘货信息!$A:$A&amp;盘货信息!$B:$B&amp;盘货信息!$C:$C,盘货信息!$I:$I)&gt;1),"【88VIP】立减"&amp;_xlfn.XLOOKUP(A303&amp;B303&amp;C303,盘货信息!$A:$A&amp;盘货信息!$B:$B&amp;盘货信息!$C:$C,盘货信息!$I:$I)&amp;"元","")</f>
        <v/>
      </c>
      <c r="O303" s="18" t="str">
        <f t="array" ref="O303">IF(_xlfn.XLOOKUP(A303&amp;B303&amp;C303,盘货信息!$A:$A&amp;盘货信息!$B:$B&amp;盘货信息!$C:$C,盘货信息!$K:$K)="","",IF(AND(_xlfn.XLOOKUP(A303&amp;B303&amp;C303,盘货信息!$A:$A&amp;盘货信息!$B:$B&amp;盘货信息!$C:$C,盘货信息!$G:$G)="不参加",_xlfn.XLOOKUP(A303&amp;B303&amp;C303,盘货信息!$A:$A&amp;盘货信息!$B:$B&amp;盘货信息!$C:$C,盘货信息!$H:$H)=""),"【以旧换新】"&amp;_xlfn.XLOOKUP(A303&amp;B303&amp;C303,盘货信息!$A:$A&amp;盘货信息!$B:$B&amp;盘货信息!$C:$C,盘货信息!$K:$K)&amp;"元以旧换新补贴（可无旧机换新）",""))</f>
        <v/>
      </c>
      <c r="P303" s="18" t="str">
        <f t="array" ref="P303">_xlfn.XLOOKUP(A303&amp;B303&amp;C303,赠品!$A:$A&amp;赠品!$B:$B&amp;赠品!$C:$C,赠品!$D:$D)</f>
        <v/>
      </c>
      <c r="Q303" s="18" t="str">
        <f>IF($C303="","",IF(AND(M303="",N303="",P303=""),"",固定信息!$B$1))</f>
        <v/>
      </c>
      <c r="R303" s="18" t="str">
        <f t="array" ref="R303">IF(ISNUMBER(SEARCH("是",_xlfn.XLOOKUP(A303&amp;B303&amp;C303,盘货信息!$A:$A&amp;盘货信息!$B:$B&amp;盘货信息!$C:$C,盘货信息!$U:$U))),"【折扣】指定型号满2类享96折，满3类享94折","")</f>
        <v/>
      </c>
      <c r="S303" s="18" t="str">
        <f t="array" ref="S303">IF(_xlfn.XLOOKUP(A303&amp;B303&amp;C303,盘货信息!$A:$A&amp;盘货信息!$B:$B&amp;盘货信息!$C:$C,盘货信息!$Q:$Q)&lt;1,"","【红包】活动时间购机送"&amp;_xlfn.TEXTJOIN("",,IF(ISNUMBER(--MID(_xlfn.XLOOKUP(A303&amp;B303&amp;C303,盘货信息!$A:$A&amp;盘货信息!$B:$B&amp;盘货信息!$C:$C,盘货信息!$Q:$Q),_xlfn.SEQUENCE(LEN(_xlfn.XLOOKUP(A303&amp;B303&amp;C303,盘货信息!$A:$A&amp;盘货信息!$B:$B&amp;盘货信息!$C:$C,盘货信息!$Q:$Q))),1)),MID(_xlfn.XLOOKUP(A303&amp;B303&amp;C303,盘货信息!$A:$A&amp;盘货信息!$B:$B&amp;盘货信息!$C:$C,盘货信息!$Q:$Q),_xlfn.SEQUENCE(LEN(_xlfn.XLOOKUP(A303&amp;B303&amp;C303,盘货信息!$A:$A&amp;盘货信息!$B:$B&amp;盘货信息!$C:$C,盘货信息!$Q:$Q))),1),""))&amp;"元")</f>
        <v/>
      </c>
      <c r="T303" s="18" t="str">
        <f t="array" ref="T303">IF(ISNUMBER(SEARCH("是",_xlfn.XLOOKUP(A303&amp;B303&amp;C303,盘货信息!$A:$A&amp;盘货信息!$B:$B&amp;盘货信息!$C:$C,盘货信息!$T:$T))),"【瓜分】"&amp;固定信息!$B$7,"")</f>
        <v/>
      </c>
      <c r="U303" s="18" t="str">
        <f>IF($C303="","",IF(AND(R303="",S303="",T303=""),"",固定信息!$B$1))</f>
        <v/>
      </c>
      <c r="V303" s="18" t="str">
        <f t="array" ref="V303">IF(C303="","","【服务】"&amp;IF(_xlfn.XLOOKUP(A303&amp;B303&amp;C303,盘货信息!$A:$A&amp;盘货信息!$B:$B&amp;盘货信息!$C:$C,盘货信息!$V:$V)="","",_xlfn.XLOOKUP(A303&amp;B303&amp;C303,盘货信息!$A:$A&amp;盘货信息!$B:$B&amp;盘货信息!$C:$C,盘货信息!$V:$V)&amp;"免息,")&amp;IF(_xlfn.XLOOKUP(A303&amp;B303&amp;C303,盘货信息!$A:$A&amp;盘货信息!$B:$B&amp;盘货信息!$C:$C,盘货信息!$W:$W)="","",_xlfn.XLOOKUP(A303&amp;B303&amp;C303,盘货信息!$A:$A&amp;盘货信息!$B:$B&amp;盘货信息!$C:$C,盘货信息!$W:$W)&amp;"，")&amp;"送货入户，退换免运费")</f>
        <v/>
      </c>
    </row>
    <row r="304" customHeight="1" spans="1:22">
      <c r="A304" s="17" t="str">
        <f>IF(盘货信息!A304="","",盘货信息!A304)</f>
        <v/>
      </c>
      <c r="B304" s="20" t="str">
        <f>IF(盘货信息!B304="","",盘货信息!B304)</f>
        <v/>
      </c>
      <c r="C304" s="18" t="str">
        <f>IF(盘货信息!C304="","",盘货信息!C304)</f>
        <v/>
      </c>
      <c r="D304" s="18" t="str">
        <f ca="1" t="shared" si="4"/>
        <v/>
      </c>
      <c r="E304" s="18" t="str">
        <f>IF(C304="","",固定信息!$B$2)</f>
        <v/>
      </c>
      <c r="F304" s="18" t="str">
        <f t="array" ref="F304">IF(C304="","","【"&amp;C304&amp;"】"&amp;_xlfn.XLOOKUP(A304&amp;B304&amp;C304,盘货信息!$A:$A&amp;盘货信息!$B:$B&amp;盘货信息!$C:$C,盘货信息!$D:$D))</f>
        <v/>
      </c>
      <c r="G304" s="18" t="str">
        <f>IF(C304="","","【"&amp;"活动时间："&amp;固定信息!$B$3&amp;"】")</f>
        <v/>
      </c>
      <c r="H304" s="18" t="str">
        <f>IF($C304="","",固定信息!$B$1)</f>
        <v/>
      </c>
      <c r="I304" s="18"/>
      <c r="J304" s="18" t="str">
        <f t="array" ref="J304">_xlfn.XLOOKUP(A304&amp;B304&amp;C304,价格信息!$A:$A&amp;价格信息!$B:$B&amp;价格信息!$C:$C,价格信息!$D:$D)</f>
        <v/>
      </c>
      <c r="K304" s="31" t="str">
        <f t="array" ref="K304">IF(_xlfn.XLOOKUP(A304&amp;B304&amp;C304,价格信息!$A:$A&amp;价格信息!$B:$B&amp;价格信息!$C:$C,价格信息!$I:$I)="","","【优惠券链接】"&amp;固定信息!$B$6)</f>
        <v/>
      </c>
      <c r="L304" s="31" t="str">
        <f>IF($C304="","",固定信息!$B$1)</f>
        <v/>
      </c>
      <c r="M304" s="18" t="str">
        <f t="array" ref="M304">IF(_xlfn.XLOOKUP(A304&amp;B304&amp;C304,盘货信息!$A:$A&amp;盘货信息!$B:$B&amp;盘货信息!$C:$C,盘货信息!$O:$O)="","","【优惠券】领"&amp;INDEX(_wpsfn.REGEXP(_xlfn.XLOOKUP(A304&amp;B304&amp;C304,盘货信息!$A:$A&amp;盘货信息!$B:$B&amp;盘货信息!$C:$C,盘货信息!$O:$O),"\d+"),1,1)&amp;"元优惠券下单更优惠，优惠卷："&amp;_xlfn.XLOOKUP(A304&amp;B304&amp;C304,盘货信息!$A:$A&amp;盘货信息!$B:$B&amp;盘货信息!$C:$C,盘货信息!$P:$P))</f>
        <v/>
      </c>
      <c r="N304" s="18" t="str">
        <f t="array" ref="N304">IF(AND(ISNUMBER(_xlfn.XLOOKUP(A304&amp;B304&amp;C304,盘货信息!$A:$A&amp;盘货信息!$B:$B&amp;盘货信息!$C:$C,盘货信息!$I:$I)),_xlfn.XLOOKUP(A304&amp;B304&amp;C304,盘货信息!$A:$A&amp;盘货信息!$B:$B&amp;盘货信息!$C:$C,盘货信息!$I:$I)&gt;1),"【88VIP】立减"&amp;_xlfn.XLOOKUP(A304&amp;B304&amp;C304,盘货信息!$A:$A&amp;盘货信息!$B:$B&amp;盘货信息!$C:$C,盘货信息!$I:$I)&amp;"元","")</f>
        <v/>
      </c>
      <c r="O304" s="18" t="str">
        <f t="array" ref="O304">IF(_xlfn.XLOOKUP(A304&amp;B304&amp;C304,盘货信息!$A:$A&amp;盘货信息!$B:$B&amp;盘货信息!$C:$C,盘货信息!$K:$K)="","",IF(AND(_xlfn.XLOOKUP(A304&amp;B304&amp;C304,盘货信息!$A:$A&amp;盘货信息!$B:$B&amp;盘货信息!$C:$C,盘货信息!$G:$G)="不参加",_xlfn.XLOOKUP(A304&amp;B304&amp;C304,盘货信息!$A:$A&amp;盘货信息!$B:$B&amp;盘货信息!$C:$C,盘货信息!$H:$H)=""),"【以旧换新】"&amp;_xlfn.XLOOKUP(A304&amp;B304&amp;C304,盘货信息!$A:$A&amp;盘货信息!$B:$B&amp;盘货信息!$C:$C,盘货信息!$K:$K)&amp;"元以旧换新补贴（可无旧机换新）",""))</f>
        <v/>
      </c>
      <c r="P304" s="18" t="str">
        <f t="array" ref="P304">_xlfn.XLOOKUP(A304&amp;B304&amp;C304,赠品!$A:$A&amp;赠品!$B:$B&amp;赠品!$C:$C,赠品!$D:$D)</f>
        <v/>
      </c>
      <c r="Q304" s="18" t="str">
        <f>IF($C304="","",IF(AND(M304="",N304="",P304=""),"",固定信息!$B$1))</f>
        <v/>
      </c>
      <c r="R304" s="18" t="str">
        <f t="array" ref="R304">IF(ISNUMBER(SEARCH("是",_xlfn.XLOOKUP(A304&amp;B304&amp;C304,盘货信息!$A:$A&amp;盘货信息!$B:$B&amp;盘货信息!$C:$C,盘货信息!$U:$U))),"【折扣】指定型号满2类享96折，满3类享94折","")</f>
        <v/>
      </c>
      <c r="S304" s="18" t="str">
        <f t="array" ref="S304">IF(_xlfn.XLOOKUP(A304&amp;B304&amp;C304,盘货信息!$A:$A&amp;盘货信息!$B:$B&amp;盘货信息!$C:$C,盘货信息!$Q:$Q)&lt;1,"","【红包】活动时间购机送"&amp;_xlfn.TEXTJOIN("",,IF(ISNUMBER(--MID(_xlfn.XLOOKUP(A304&amp;B304&amp;C304,盘货信息!$A:$A&amp;盘货信息!$B:$B&amp;盘货信息!$C:$C,盘货信息!$Q:$Q),_xlfn.SEQUENCE(LEN(_xlfn.XLOOKUP(A304&amp;B304&amp;C304,盘货信息!$A:$A&amp;盘货信息!$B:$B&amp;盘货信息!$C:$C,盘货信息!$Q:$Q))),1)),MID(_xlfn.XLOOKUP(A304&amp;B304&amp;C304,盘货信息!$A:$A&amp;盘货信息!$B:$B&amp;盘货信息!$C:$C,盘货信息!$Q:$Q),_xlfn.SEQUENCE(LEN(_xlfn.XLOOKUP(A304&amp;B304&amp;C304,盘货信息!$A:$A&amp;盘货信息!$B:$B&amp;盘货信息!$C:$C,盘货信息!$Q:$Q))),1),""))&amp;"元")</f>
        <v/>
      </c>
      <c r="T304" s="18" t="str">
        <f t="array" ref="T304">IF(ISNUMBER(SEARCH("是",_xlfn.XLOOKUP(A304&amp;B304&amp;C304,盘货信息!$A:$A&amp;盘货信息!$B:$B&amp;盘货信息!$C:$C,盘货信息!$T:$T))),"【瓜分】"&amp;固定信息!$B$7,"")</f>
        <v/>
      </c>
      <c r="U304" s="18" t="str">
        <f>IF($C304="","",IF(AND(R304="",S304="",T304=""),"",固定信息!$B$1))</f>
        <v/>
      </c>
      <c r="V304" s="18" t="str">
        <f t="array" ref="V304">IF(C304="","","【服务】"&amp;IF(_xlfn.XLOOKUP(A304&amp;B304&amp;C304,盘货信息!$A:$A&amp;盘货信息!$B:$B&amp;盘货信息!$C:$C,盘货信息!$V:$V)="","",_xlfn.XLOOKUP(A304&amp;B304&amp;C304,盘货信息!$A:$A&amp;盘货信息!$B:$B&amp;盘货信息!$C:$C,盘货信息!$V:$V)&amp;"免息,")&amp;IF(_xlfn.XLOOKUP(A304&amp;B304&amp;C304,盘货信息!$A:$A&amp;盘货信息!$B:$B&amp;盘货信息!$C:$C,盘货信息!$W:$W)="","",_xlfn.XLOOKUP(A304&amp;B304&amp;C304,盘货信息!$A:$A&amp;盘货信息!$B:$B&amp;盘货信息!$C:$C,盘货信息!$W:$W)&amp;"，")&amp;"送货入户，退换免运费")</f>
        <v/>
      </c>
    </row>
    <row r="305" customHeight="1" spans="1:22">
      <c r="A305" s="17" t="str">
        <f>IF(盘货信息!A305="","",盘货信息!A305)</f>
        <v/>
      </c>
      <c r="B305" s="20" t="str">
        <f>IF(盘货信息!B305="","",盘货信息!B305)</f>
        <v/>
      </c>
      <c r="C305" s="18" t="str">
        <f>IF(盘货信息!C305="","",盘货信息!C305)</f>
        <v/>
      </c>
      <c r="D305" s="18" t="str">
        <f ca="1" t="shared" si="4"/>
        <v/>
      </c>
      <c r="E305" s="18" t="str">
        <f>IF(C305="","",固定信息!$B$2)</f>
        <v/>
      </c>
      <c r="F305" s="18" t="str">
        <f t="array" ref="F305">IF(C305="","","【"&amp;C305&amp;"】"&amp;_xlfn.XLOOKUP(A305&amp;B305&amp;C305,盘货信息!$A:$A&amp;盘货信息!$B:$B&amp;盘货信息!$C:$C,盘货信息!$D:$D))</f>
        <v/>
      </c>
      <c r="G305" s="18" t="str">
        <f>IF(C305="","","【"&amp;"活动时间："&amp;固定信息!$B$3&amp;"】")</f>
        <v/>
      </c>
      <c r="H305" s="18" t="str">
        <f>IF($C305="","",固定信息!$B$1)</f>
        <v/>
      </c>
      <c r="I305" s="18"/>
      <c r="J305" s="18" t="str">
        <f t="array" ref="J305">_xlfn.XLOOKUP(A305&amp;B305&amp;C305,价格信息!$A:$A&amp;价格信息!$B:$B&amp;价格信息!$C:$C,价格信息!$D:$D)</f>
        <v/>
      </c>
      <c r="K305" s="31" t="str">
        <f t="array" ref="K305">IF(_xlfn.XLOOKUP(A305&amp;B305&amp;C305,价格信息!$A:$A&amp;价格信息!$B:$B&amp;价格信息!$C:$C,价格信息!$I:$I)="","","【优惠券链接】"&amp;固定信息!$B$6)</f>
        <v/>
      </c>
      <c r="L305" s="31" t="str">
        <f>IF($C305="","",固定信息!$B$1)</f>
        <v/>
      </c>
      <c r="M305" s="18" t="str">
        <f t="array" ref="M305">IF(_xlfn.XLOOKUP(A305&amp;B305&amp;C305,盘货信息!$A:$A&amp;盘货信息!$B:$B&amp;盘货信息!$C:$C,盘货信息!$O:$O)="","","【优惠券】领"&amp;INDEX(_wpsfn.REGEXP(_xlfn.XLOOKUP(A305&amp;B305&amp;C305,盘货信息!$A:$A&amp;盘货信息!$B:$B&amp;盘货信息!$C:$C,盘货信息!$O:$O),"\d+"),1,1)&amp;"元优惠券下单更优惠，优惠卷："&amp;_xlfn.XLOOKUP(A305&amp;B305&amp;C305,盘货信息!$A:$A&amp;盘货信息!$B:$B&amp;盘货信息!$C:$C,盘货信息!$P:$P))</f>
        <v/>
      </c>
      <c r="N305" s="18" t="str">
        <f t="array" ref="N305">IF(AND(ISNUMBER(_xlfn.XLOOKUP(A305&amp;B305&amp;C305,盘货信息!$A:$A&amp;盘货信息!$B:$B&amp;盘货信息!$C:$C,盘货信息!$I:$I)),_xlfn.XLOOKUP(A305&amp;B305&amp;C305,盘货信息!$A:$A&amp;盘货信息!$B:$B&amp;盘货信息!$C:$C,盘货信息!$I:$I)&gt;1),"【88VIP】立减"&amp;_xlfn.XLOOKUP(A305&amp;B305&amp;C305,盘货信息!$A:$A&amp;盘货信息!$B:$B&amp;盘货信息!$C:$C,盘货信息!$I:$I)&amp;"元","")</f>
        <v/>
      </c>
      <c r="O305" s="18" t="str">
        <f t="array" ref="O305">IF(_xlfn.XLOOKUP(A305&amp;B305&amp;C305,盘货信息!$A:$A&amp;盘货信息!$B:$B&amp;盘货信息!$C:$C,盘货信息!$K:$K)="","",IF(AND(_xlfn.XLOOKUP(A305&amp;B305&amp;C305,盘货信息!$A:$A&amp;盘货信息!$B:$B&amp;盘货信息!$C:$C,盘货信息!$G:$G)="不参加",_xlfn.XLOOKUP(A305&amp;B305&amp;C305,盘货信息!$A:$A&amp;盘货信息!$B:$B&amp;盘货信息!$C:$C,盘货信息!$H:$H)=""),"【以旧换新】"&amp;_xlfn.XLOOKUP(A305&amp;B305&amp;C305,盘货信息!$A:$A&amp;盘货信息!$B:$B&amp;盘货信息!$C:$C,盘货信息!$K:$K)&amp;"元以旧换新补贴（可无旧机换新）",""))</f>
        <v/>
      </c>
      <c r="P305" s="18" t="str">
        <f t="array" ref="P305">_xlfn.XLOOKUP(A305&amp;B305&amp;C305,赠品!$A:$A&amp;赠品!$B:$B&amp;赠品!$C:$C,赠品!$D:$D)</f>
        <v/>
      </c>
      <c r="Q305" s="18" t="str">
        <f>IF($C305="","",IF(AND(M305="",N305="",P305=""),"",固定信息!$B$1))</f>
        <v/>
      </c>
      <c r="R305" s="18" t="str">
        <f t="array" ref="R305">IF(ISNUMBER(SEARCH("是",_xlfn.XLOOKUP(A305&amp;B305&amp;C305,盘货信息!$A:$A&amp;盘货信息!$B:$B&amp;盘货信息!$C:$C,盘货信息!$U:$U))),"【折扣】指定型号满2类享96折，满3类享94折","")</f>
        <v/>
      </c>
      <c r="S305" s="18" t="str">
        <f t="array" ref="S305">IF(_xlfn.XLOOKUP(A305&amp;B305&amp;C305,盘货信息!$A:$A&amp;盘货信息!$B:$B&amp;盘货信息!$C:$C,盘货信息!$Q:$Q)&lt;1,"","【红包】活动时间购机送"&amp;_xlfn.TEXTJOIN("",,IF(ISNUMBER(--MID(_xlfn.XLOOKUP(A305&amp;B305&amp;C305,盘货信息!$A:$A&amp;盘货信息!$B:$B&amp;盘货信息!$C:$C,盘货信息!$Q:$Q),_xlfn.SEQUENCE(LEN(_xlfn.XLOOKUP(A305&amp;B305&amp;C305,盘货信息!$A:$A&amp;盘货信息!$B:$B&amp;盘货信息!$C:$C,盘货信息!$Q:$Q))),1)),MID(_xlfn.XLOOKUP(A305&amp;B305&amp;C305,盘货信息!$A:$A&amp;盘货信息!$B:$B&amp;盘货信息!$C:$C,盘货信息!$Q:$Q),_xlfn.SEQUENCE(LEN(_xlfn.XLOOKUP(A305&amp;B305&amp;C305,盘货信息!$A:$A&amp;盘货信息!$B:$B&amp;盘货信息!$C:$C,盘货信息!$Q:$Q))),1),""))&amp;"元")</f>
        <v/>
      </c>
      <c r="T305" s="18" t="str">
        <f t="array" ref="T305">IF(ISNUMBER(SEARCH("是",_xlfn.XLOOKUP(A305&amp;B305&amp;C305,盘货信息!$A:$A&amp;盘货信息!$B:$B&amp;盘货信息!$C:$C,盘货信息!$T:$T))),"【瓜分】"&amp;固定信息!$B$7,"")</f>
        <v/>
      </c>
      <c r="U305" s="18" t="str">
        <f>IF($C305="","",IF(AND(R305="",S305="",T305=""),"",固定信息!$B$1))</f>
        <v/>
      </c>
      <c r="V305" s="18" t="str">
        <f t="array" ref="V305">IF(C305="","","【服务】"&amp;IF(_xlfn.XLOOKUP(A305&amp;B305&amp;C305,盘货信息!$A:$A&amp;盘货信息!$B:$B&amp;盘货信息!$C:$C,盘货信息!$V:$V)="","",_xlfn.XLOOKUP(A305&amp;B305&amp;C305,盘货信息!$A:$A&amp;盘货信息!$B:$B&amp;盘货信息!$C:$C,盘货信息!$V:$V)&amp;"免息,")&amp;IF(_xlfn.XLOOKUP(A305&amp;B305&amp;C305,盘货信息!$A:$A&amp;盘货信息!$B:$B&amp;盘货信息!$C:$C,盘货信息!$W:$W)="","",_xlfn.XLOOKUP(A305&amp;B305&amp;C305,盘货信息!$A:$A&amp;盘货信息!$B:$B&amp;盘货信息!$C:$C,盘货信息!$W:$W)&amp;"，")&amp;"送货入户，退换免运费")</f>
        <v/>
      </c>
    </row>
    <row r="306" customHeight="1" spans="1:22">
      <c r="A306" s="17" t="str">
        <f>IF(盘货信息!A306="","",盘货信息!A306)</f>
        <v/>
      </c>
      <c r="B306" s="20" t="str">
        <f>IF(盘货信息!B306="","",盘货信息!B306)</f>
        <v/>
      </c>
      <c r="C306" s="18" t="str">
        <f>IF(盘货信息!C306="","",盘货信息!C306)</f>
        <v/>
      </c>
      <c r="D306" s="18" t="str">
        <f ca="1" t="shared" si="4"/>
        <v/>
      </c>
      <c r="E306" s="18" t="str">
        <f>IF(C306="","",固定信息!$B$2)</f>
        <v/>
      </c>
      <c r="F306" s="18" t="str">
        <f t="array" ref="F306">IF(C306="","","【"&amp;C306&amp;"】"&amp;_xlfn.XLOOKUP(A306&amp;B306&amp;C306,盘货信息!$A:$A&amp;盘货信息!$B:$B&amp;盘货信息!$C:$C,盘货信息!$D:$D))</f>
        <v/>
      </c>
      <c r="G306" s="18" t="str">
        <f>IF(C306="","","【"&amp;"活动时间："&amp;固定信息!$B$3&amp;"】")</f>
        <v/>
      </c>
      <c r="H306" s="18" t="str">
        <f>IF($C306="","",固定信息!$B$1)</f>
        <v/>
      </c>
      <c r="I306" s="18"/>
      <c r="J306" s="18" t="str">
        <f t="array" ref="J306">_xlfn.XLOOKUP(A306&amp;B306&amp;C306,价格信息!$A:$A&amp;价格信息!$B:$B&amp;价格信息!$C:$C,价格信息!$D:$D)</f>
        <v/>
      </c>
      <c r="K306" s="31" t="str">
        <f t="array" ref="K306">IF(_xlfn.XLOOKUP(A306&amp;B306&amp;C306,价格信息!$A:$A&amp;价格信息!$B:$B&amp;价格信息!$C:$C,价格信息!$I:$I)="","","【优惠券链接】"&amp;固定信息!$B$6)</f>
        <v/>
      </c>
      <c r="L306" s="31" t="str">
        <f>IF($C306="","",固定信息!$B$1)</f>
        <v/>
      </c>
      <c r="M306" s="18" t="str">
        <f t="array" ref="M306">IF(_xlfn.XLOOKUP(A306&amp;B306&amp;C306,盘货信息!$A:$A&amp;盘货信息!$B:$B&amp;盘货信息!$C:$C,盘货信息!$O:$O)="","","【优惠券】领"&amp;INDEX(_wpsfn.REGEXP(_xlfn.XLOOKUP(A306&amp;B306&amp;C306,盘货信息!$A:$A&amp;盘货信息!$B:$B&amp;盘货信息!$C:$C,盘货信息!$O:$O),"\d+"),1,1)&amp;"元优惠券下单更优惠，优惠卷："&amp;_xlfn.XLOOKUP(A306&amp;B306&amp;C306,盘货信息!$A:$A&amp;盘货信息!$B:$B&amp;盘货信息!$C:$C,盘货信息!$P:$P))</f>
        <v/>
      </c>
      <c r="N306" s="18" t="str">
        <f t="array" ref="N306">IF(AND(ISNUMBER(_xlfn.XLOOKUP(A306&amp;B306&amp;C306,盘货信息!$A:$A&amp;盘货信息!$B:$B&amp;盘货信息!$C:$C,盘货信息!$I:$I)),_xlfn.XLOOKUP(A306&amp;B306&amp;C306,盘货信息!$A:$A&amp;盘货信息!$B:$B&amp;盘货信息!$C:$C,盘货信息!$I:$I)&gt;1),"【88VIP】立减"&amp;_xlfn.XLOOKUP(A306&amp;B306&amp;C306,盘货信息!$A:$A&amp;盘货信息!$B:$B&amp;盘货信息!$C:$C,盘货信息!$I:$I)&amp;"元","")</f>
        <v/>
      </c>
      <c r="O306" s="18" t="str">
        <f t="array" ref="O306">IF(_xlfn.XLOOKUP(A306&amp;B306&amp;C306,盘货信息!$A:$A&amp;盘货信息!$B:$B&amp;盘货信息!$C:$C,盘货信息!$K:$K)="","",IF(AND(_xlfn.XLOOKUP(A306&amp;B306&amp;C306,盘货信息!$A:$A&amp;盘货信息!$B:$B&amp;盘货信息!$C:$C,盘货信息!$G:$G)="不参加",_xlfn.XLOOKUP(A306&amp;B306&amp;C306,盘货信息!$A:$A&amp;盘货信息!$B:$B&amp;盘货信息!$C:$C,盘货信息!$H:$H)=""),"【以旧换新】"&amp;_xlfn.XLOOKUP(A306&amp;B306&amp;C306,盘货信息!$A:$A&amp;盘货信息!$B:$B&amp;盘货信息!$C:$C,盘货信息!$K:$K)&amp;"元以旧换新补贴（可无旧机换新）",""))</f>
        <v/>
      </c>
      <c r="P306" s="18" t="str">
        <f t="array" ref="P306">_xlfn.XLOOKUP(A306&amp;B306&amp;C306,赠品!$A:$A&amp;赠品!$B:$B&amp;赠品!$C:$C,赠品!$D:$D)</f>
        <v/>
      </c>
      <c r="Q306" s="18" t="str">
        <f>IF($C306="","",IF(AND(M306="",N306="",P306=""),"",固定信息!$B$1))</f>
        <v/>
      </c>
      <c r="R306" s="18" t="str">
        <f t="array" ref="R306">IF(ISNUMBER(SEARCH("是",_xlfn.XLOOKUP(A306&amp;B306&amp;C306,盘货信息!$A:$A&amp;盘货信息!$B:$B&amp;盘货信息!$C:$C,盘货信息!$U:$U))),"【折扣】指定型号满2类享96折，满3类享94折","")</f>
        <v/>
      </c>
      <c r="S306" s="18" t="str">
        <f t="array" ref="S306">IF(_xlfn.XLOOKUP(A306&amp;B306&amp;C306,盘货信息!$A:$A&amp;盘货信息!$B:$B&amp;盘货信息!$C:$C,盘货信息!$Q:$Q)&lt;1,"","【红包】活动时间购机送"&amp;_xlfn.TEXTJOIN("",,IF(ISNUMBER(--MID(_xlfn.XLOOKUP(A306&amp;B306&amp;C306,盘货信息!$A:$A&amp;盘货信息!$B:$B&amp;盘货信息!$C:$C,盘货信息!$Q:$Q),_xlfn.SEQUENCE(LEN(_xlfn.XLOOKUP(A306&amp;B306&amp;C306,盘货信息!$A:$A&amp;盘货信息!$B:$B&amp;盘货信息!$C:$C,盘货信息!$Q:$Q))),1)),MID(_xlfn.XLOOKUP(A306&amp;B306&amp;C306,盘货信息!$A:$A&amp;盘货信息!$B:$B&amp;盘货信息!$C:$C,盘货信息!$Q:$Q),_xlfn.SEQUENCE(LEN(_xlfn.XLOOKUP(A306&amp;B306&amp;C306,盘货信息!$A:$A&amp;盘货信息!$B:$B&amp;盘货信息!$C:$C,盘货信息!$Q:$Q))),1),""))&amp;"元")</f>
        <v/>
      </c>
      <c r="T306" s="18" t="str">
        <f t="array" ref="T306">IF(ISNUMBER(SEARCH("是",_xlfn.XLOOKUP(A306&amp;B306&amp;C306,盘货信息!$A:$A&amp;盘货信息!$B:$B&amp;盘货信息!$C:$C,盘货信息!$T:$T))),"【瓜分】"&amp;固定信息!$B$7,"")</f>
        <v/>
      </c>
      <c r="U306" s="18" t="str">
        <f>IF($C306="","",IF(AND(R306="",S306="",T306=""),"",固定信息!$B$1))</f>
        <v/>
      </c>
      <c r="V306" s="18" t="str">
        <f t="array" ref="V306">IF(C306="","","【服务】"&amp;IF(_xlfn.XLOOKUP(A306&amp;B306&amp;C306,盘货信息!$A:$A&amp;盘货信息!$B:$B&amp;盘货信息!$C:$C,盘货信息!$V:$V)="","",_xlfn.XLOOKUP(A306&amp;B306&amp;C306,盘货信息!$A:$A&amp;盘货信息!$B:$B&amp;盘货信息!$C:$C,盘货信息!$V:$V)&amp;"免息,")&amp;IF(_xlfn.XLOOKUP(A306&amp;B306&amp;C306,盘货信息!$A:$A&amp;盘货信息!$B:$B&amp;盘货信息!$C:$C,盘货信息!$W:$W)="","",_xlfn.XLOOKUP(A306&amp;B306&amp;C306,盘货信息!$A:$A&amp;盘货信息!$B:$B&amp;盘货信息!$C:$C,盘货信息!$W:$W)&amp;"，")&amp;"送货入户，退换免运费")</f>
        <v/>
      </c>
    </row>
    <row r="307" customHeight="1" spans="1:22">
      <c r="A307" s="17" t="str">
        <f>IF(盘货信息!A307="","",盘货信息!A307)</f>
        <v/>
      </c>
      <c r="B307" s="20" t="str">
        <f>IF(盘货信息!B307="","",盘货信息!B307)</f>
        <v/>
      </c>
      <c r="C307" s="18" t="str">
        <f>IF(盘货信息!C307="","",盘货信息!C307)</f>
        <v/>
      </c>
      <c r="D307" s="18" t="str">
        <f ca="1" t="shared" si="4"/>
        <v/>
      </c>
      <c r="E307" s="18" t="str">
        <f>IF(C307="","",固定信息!$B$2)</f>
        <v/>
      </c>
      <c r="F307" s="18" t="str">
        <f t="array" ref="F307">IF(C307="","","【"&amp;C307&amp;"】"&amp;_xlfn.XLOOKUP(A307&amp;B307&amp;C307,盘货信息!$A:$A&amp;盘货信息!$B:$B&amp;盘货信息!$C:$C,盘货信息!$D:$D))</f>
        <v/>
      </c>
      <c r="G307" s="18" t="str">
        <f>IF(C307="","","【"&amp;"活动时间："&amp;固定信息!$B$3&amp;"】")</f>
        <v/>
      </c>
      <c r="H307" s="18" t="str">
        <f>IF($C307="","",固定信息!$B$1)</f>
        <v/>
      </c>
      <c r="I307" s="18"/>
      <c r="J307" s="18" t="str">
        <f t="array" ref="J307">_xlfn.XLOOKUP(A307&amp;B307&amp;C307,价格信息!$A:$A&amp;价格信息!$B:$B&amp;价格信息!$C:$C,价格信息!$D:$D)</f>
        <v/>
      </c>
      <c r="K307" s="31" t="str">
        <f t="array" ref="K307">IF(_xlfn.XLOOKUP(A307&amp;B307&amp;C307,价格信息!$A:$A&amp;价格信息!$B:$B&amp;价格信息!$C:$C,价格信息!$I:$I)="","","【优惠券链接】"&amp;固定信息!$B$6)</f>
        <v/>
      </c>
      <c r="L307" s="31" t="str">
        <f>IF($C307="","",固定信息!$B$1)</f>
        <v/>
      </c>
      <c r="M307" s="18" t="str">
        <f t="array" ref="M307">IF(_xlfn.XLOOKUP(A307&amp;B307&amp;C307,盘货信息!$A:$A&amp;盘货信息!$B:$B&amp;盘货信息!$C:$C,盘货信息!$O:$O)="","","【优惠券】领"&amp;INDEX(_wpsfn.REGEXP(_xlfn.XLOOKUP(A307&amp;B307&amp;C307,盘货信息!$A:$A&amp;盘货信息!$B:$B&amp;盘货信息!$C:$C,盘货信息!$O:$O),"\d+"),1,1)&amp;"元优惠券下单更优惠，优惠卷："&amp;_xlfn.XLOOKUP(A307&amp;B307&amp;C307,盘货信息!$A:$A&amp;盘货信息!$B:$B&amp;盘货信息!$C:$C,盘货信息!$P:$P))</f>
        <v/>
      </c>
      <c r="N307" s="18" t="str">
        <f t="array" ref="N307">IF(AND(ISNUMBER(_xlfn.XLOOKUP(A307&amp;B307&amp;C307,盘货信息!$A:$A&amp;盘货信息!$B:$B&amp;盘货信息!$C:$C,盘货信息!$I:$I)),_xlfn.XLOOKUP(A307&amp;B307&amp;C307,盘货信息!$A:$A&amp;盘货信息!$B:$B&amp;盘货信息!$C:$C,盘货信息!$I:$I)&gt;1),"【88VIP】立减"&amp;_xlfn.XLOOKUP(A307&amp;B307&amp;C307,盘货信息!$A:$A&amp;盘货信息!$B:$B&amp;盘货信息!$C:$C,盘货信息!$I:$I)&amp;"元","")</f>
        <v/>
      </c>
      <c r="O307" s="18" t="str">
        <f t="array" ref="O307">IF(_xlfn.XLOOKUP(A307&amp;B307&amp;C307,盘货信息!$A:$A&amp;盘货信息!$B:$B&amp;盘货信息!$C:$C,盘货信息!$K:$K)="","",IF(AND(_xlfn.XLOOKUP(A307&amp;B307&amp;C307,盘货信息!$A:$A&amp;盘货信息!$B:$B&amp;盘货信息!$C:$C,盘货信息!$G:$G)="不参加",_xlfn.XLOOKUP(A307&amp;B307&amp;C307,盘货信息!$A:$A&amp;盘货信息!$B:$B&amp;盘货信息!$C:$C,盘货信息!$H:$H)=""),"【以旧换新】"&amp;_xlfn.XLOOKUP(A307&amp;B307&amp;C307,盘货信息!$A:$A&amp;盘货信息!$B:$B&amp;盘货信息!$C:$C,盘货信息!$K:$K)&amp;"元以旧换新补贴（可无旧机换新）",""))</f>
        <v/>
      </c>
      <c r="P307" s="18" t="str">
        <f t="array" ref="P307">_xlfn.XLOOKUP(A307&amp;B307&amp;C307,赠品!$A:$A&amp;赠品!$B:$B&amp;赠品!$C:$C,赠品!$D:$D)</f>
        <v/>
      </c>
      <c r="Q307" s="18" t="str">
        <f>IF($C307="","",IF(AND(M307="",N307="",P307=""),"",固定信息!$B$1))</f>
        <v/>
      </c>
      <c r="R307" s="18" t="str">
        <f t="array" ref="R307">IF(ISNUMBER(SEARCH("是",_xlfn.XLOOKUP(A307&amp;B307&amp;C307,盘货信息!$A:$A&amp;盘货信息!$B:$B&amp;盘货信息!$C:$C,盘货信息!$U:$U))),"【折扣】指定型号满2类享96折，满3类享94折","")</f>
        <v/>
      </c>
      <c r="S307" s="18" t="str">
        <f t="array" ref="S307">IF(_xlfn.XLOOKUP(A307&amp;B307&amp;C307,盘货信息!$A:$A&amp;盘货信息!$B:$B&amp;盘货信息!$C:$C,盘货信息!$Q:$Q)&lt;1,"","【红包】活动时间购机送"&amp;_xlfn.TEXTJOIN("",,IF(ISNUMBER(--MID(_xlfn.XLOOKUP(A307&amp;B307&amp;C307,盘货信息!$A:$A&amp;盘货信息!$B:$B&amp;盘货信息!$C:$C,盘货信息!$Q:$Q),_xlfn.SEQUENCE(LEN(_xlfn.XLOOKUP(A307&amp;B307&amp;C307,盘货信息!$A:$A&amp;盘货信息!$B:$B&amp;盘货信息!$C:$C,盘货信息!$Q:$Q))),1)),MID(_xlfn.XLOOKUP(A307&amp;B307&amp;C307,盘货信息!$A:$A&amp;盘货信息!$B:$B&amp;盘货信息!$C:$C,盘货信息!$Q:$Q),_xlfn.SEQUENCE(LEN(_xlfn.XLOOKUP(A307&amp;B307&amp;C307,盘货信息!$A:$A&amp;盘货信息!$B:$B&amp;盘货信息!$C:$C,盘货信息!$Q:$Q))),1),""))&amp;"元")</f>
        <v/>
      </c>
      <c r="T307" s="18" t="str">
        <f t="array" ref="T307">IF(ISNUMBER(SEARCH("是",_xlfn.XLOOKUP(A307&amp;B307&amp;C307,盘货信息!$A:$A&amp;盘货信息!$B:$B&amp;盘货信息!$C:$C,盘货信息!$T:$T))),"【瓜分】"&amp;固定信息!$B$7,"")</f>
        <v/>
      </c>
      <c r="U307" s="18" t="str">
        <f>IF($C307="","",IF(AND(R307="",S307="",T307=""),"",固定信息!$B$1))</f>
        <v/>
      </c>
      <c r="V307" s="18" t="str">
        <f t="array" ref="V307">IF(C307="","","【服务】"&amp;IF(_xlfn.XLOOKUP(A307&amp;B307&amp;C307,盘货信息!$A:$A&amp;盘货信息!$B:$B&amp;盘货信息!$C:$C,盘货信息!$V:$V)="","",_xlfn.XLOOKUP(A307&amp;B307&amp;C307,盘货信息!$A:$A&amp;盘货信息!$B:$B&amp;盘货信息!$C:$C,盘货信息!$V:$V)&amp;"免息,")&amp;IF(_xlfn.XLOOKUP(A307&amp;B307&amp;C307,盘货信息!$A:$A&amp;盘货信息!$B:$B&amp;盘货信息!$C:$C,盘货信息!$W:$W)="","",_xlfn.XLOOKUP(A307&amp;B307&amp;C307,盘货信息!$A:$A&amp;盘货信息!$B:$B&amp;盘货信息!$C:$C,盘货信息!$W:$W)&amp;"，")&amp;"送货入户，退换免运费")</f>
        <v/>
      </c>
    </row>
    <row r="308" customHeight="1" spans="1:22">
      <c r="A308" s="17" t="str">
        <f>IF(盘货信息!A308="","",盘货信息!A308)</f>
        <v/>
      </c>
      <c r="B308" s="20" t="str">
        <f>IF(盘货信息!B308="","",盘货信息!B308)</f>
        <v/>
      </c>
      <c r="C308" s="18" t="str">
        <f>IF(盘货信息!C308="","",盘货信息!C308)</f>
        <v/>
      </c>
      <c r="D308" s="18" t="str">
        <f ca="1" t="shared" si="4"/>
        <v/>
      </c>
      <c r="E308" s="18" t="str">
        <f>IF(C308="","",固定信息!$B$2)</f>
        <v/>
      </c>
      <c r="F308" s="18" t="str">
        <f t="array" ref="F308">IF(C308="","","【"&amp;C308&amp;"】"&amp;_xlfn.XLOOKUP(A308&amp;B308&amp;C308,盘货信息!$A:$A&amp;盘货信息!$B:$B&amp;盘货信息!$C:$C,盘货信息!$D:$D))</f>
        <v/>
      </c>
      <c r="G308" s="18" t="str">
        <f>IF(C308="","","【"&amp;"活动时间："&amp;固定信息!$B$3&amp;"】")</f>
        <v/>
      </c>
      <c r="H308" s="18" t="str">
        <f>IF($C308="","",固定信息!$B$1)</f>
        <v/>
      </c>
      <c r="I308" s="18"/>
      <c r="J308" s="18" t="str">
        <f t="array" ref="J308">_xlfn.XLOOKUP(A308&amp;B308&amp;C308,价格信息!$A:$A&amp;价格信息!$B:$B&amp;价格信息!$C:$C,价格信息!$D:$D)</f>
        <v/>
      </c>
      <c r="K308" s="31" t="str">
        <f t="array" ref="K308">IF(_xlfn.XLOOKUP(A308&amp;B308&amp;C308,价格信息!$A:$A&amp;价格信息!$B:$B&amp;价格信息!$C:$C,价格信息!$I:$I)="","","【优惠券链接】"&amp;固定信息!$B$6)</f>
        <v/>
      </c>
      <c r="L308" s="31" t="str">
        <f>IF($C308="","",固定信息!$B$1)</f>
        <v/>
      </c>
      <c r="M308" s="18" t="str">
        <f t="array" ref="M308">IF(_xlfn.XLOOKUP(A308&amp;B308&amp;C308,盘货信息!$A:$A&amp;盘货信息!$B:$B&amp;盘货信息!$C:$C,盘货信息!$O:$O)="","","【优惠券】领"&amp;INDEX(_wpsfn.REGEXP(_xlfn.XLOOKUP(A308&amp;B308&amp;C308,盘货信息!$A:$A&amp;盘货信息!$B:$B&amp;盘货信息!$C:$C,盘货信息!$O:$O),"\d+"),1,1)&amp;"元优惠券下单更优惠，优惠卷："&amp;_xlfn.XLOOKUP(A308&amp;B308&amp;C308,盘货信息!$A:$A&amp;盘货信息!$B:$B&amp;盘货信息!$C:$C,盘货信息!$P:$P))</f>
        <v/>
      </c>
      <c r="N308" s="18" t="str">
        <f t="array" ref="N308">IF(AND(ISNUMBER(_xlfn.XLOOKUP(A308&amp;B308&amp;C308,盘货信息!$A:$A&amp;盘货信息!$B:$B&amp;盘货信息!$C:$C,盘货信息!$I:$I)),_xlfn.XLOOKUP(A308&amp;B308&amp;C308,盘货信息!$A:$A&amp;盘货信息!$B:$B&amp;盘货信息!$C:$C,盘货信息!$I:$I)&gt;1),"【88VIP】立减"&amp;_xlfn.XLOOKUP(A308&amp;B308&amp;C308,盘货信息!$A:$A&amp;盘货信息!$B:$B&amp;盘货信息!$C:$C,盘货信息!$I:$I)&amp;"元","")</f>
        <v/>
      </c>
      <c r="O308" s="18" t="str">
        <f t="array" ref="O308">IF(_xlfn.XLOOKUP(A308&amp;B308&amp;C308,盘货信息!$A:$A&amp;盘货信息!$B:$B&amp;盘货信息!$C:$C,盘货信息!$K:$K)="","",IF(AND(_xlfn.XLOOKUP(A308&amp;B308&amp;C308,盘货信息!$A:$A&amp;盘货信息!$B:$B&amp;盘货信息!$C:$C,盘货信息!$G:$G)="不参加",_xlfn.XLOOKUP(A308&amp;B308&amp;C308,盘货信息!$A:$A&amp;盘货信息!$B:$B&amp;盘货信息!$C:$C,盘货信息!$H:$H)=""),"【以旧换新】"&amp;_xlfn.XLOOKUP(A308&amp;B308&amp;C308,盘货信息!$A:$A&amp;盘货信息!$B:$B&amp;盘货信息!$C:$C,盘货信息!$K:$K)&amp;"元以旧换新补贴（可无旧机换新）",""))</f>
        <v/>
      </c>
      <c r="P308" s="18" t="str">
        <f t="array" ref="P308">_xlfn.XLOOKUP(A308&amp;B308&amp;C308,赠品!$A:$A&amp;赠品!$B:$B&amp;赠品!$C:$C,赠品!$D:$D)</f>
        <v/>
      </c>
      <c r="Q308" s="18" t="str">
        <f>IF($C308="","",IF(AND(M308="",N308="",P308=""),"",固定信息!$B$1))</f>
        <v/>
      </c>
      <c r="R308" s="18" t="str">
        <f t="array" ref="R308">IF(ISNUMBER(SEARCH("是",_xlfn.XLOOKUP(A308&amp;B308&amp;C308,盘货信息!$A:$A&amp;盘货信息!$B:$B&amp;盘货信息!$C:$C,盘货信息!$U:$U))),"【折扣】指定型号满2类享96折，满3类享94折","")</f>
        <v/>
      </c>
      <c r="S308" s="18" t="str">
        <f t="array" ref="S308">IF(_xlfn.XLOOKUP(A308&amp;B308&amp;C308,盘货信息!$A:$A&amp;盘货信息!$B:$B&amp;盘货信息!$C:$C,盘货信息!$Q:$Q)&lt;1,"","【红包】活动时间购机送"&amp;_xlfn.TEXTJOIN("",,IF(ISNUMBER(--MID(_xlfn.XLOOKUP(A308&amp;B308&amp;C308,盘货信息!$A:$A&amp;盘货信息!$B:$B&amp;盘货信息!$C:$C,盘货信息!$Q:$Q),_xlfn.SEQUENCE(LEN(_xlfn.XLOOKUP(A308&amp;B308&amp;C308,盘货信息!$A:$A&amp;盘货信息!$B:$B&amp;盘货信息!$C:$C,盘货信息!$Q:$Q))),1)),MID(_xlfn.XLOOKUP(A308&amp;B308&amp;C308,盘货信息!$A:$A&amp;盘货信息!$B:$B&amp;盘货信息!$C:$C,盘货信息!$Q:$Q),_xlfn.SEQUENCE(LEN(_xlfn.XLOOKUP(A308&amp;B308&amp;C308,盘货信息!$A:$A&amp;盘货信息!$B:$B&amp;盘货信息!$C:$C,盘货信息!$Q:$Q))),1),""))&amp;"元")</f>
        <v/>
      </c>
      <c r="T308" s="18" t="str">
        <f t="array" ref="T308">IF(ISNUMBER(SEARCH("是",_xlfn.XLOOKUP(A308&amp;B308&amp;C308,盘货信息!$A:$A&amp;盘货信息!$B:$B&amp;盘货信息!$C:$C,盘货信息!$T:$T))),"【瓜分】"&amp;固定信息!$B$7,"")</f>
        <v/>
      </c>
      <c r="U308" s="18" t="str">
        <f>IF($C308="","",IF(AND(R308="",S308="",T308=""),"",固定信息!$B$1))</f>
        <v/>
      </c>
      <c r="V308" s="18" t="str">
        <f t="array" ref="V308">IF(C308="","","【服务】"&amp;IF(_xlfn.XLOOKUP(A308&amp;B308&amp;C308,盘货信息!$A:$A&amp;盘货信息!$B:$B&amp;盘货信息!$C:$C,盘货信息!$V:$V)="","",_xlfn.XLOOKUP(A308&amp;B308&amp;C308,盘货信息!$A:$A&amp;盘货信息!$B:$B&amp;盘货信息!$C:$C,盘货信息!$V:$V)&amp;"免息,")&amp;IF(_xlfn.XLOOKUP(A308&amp;B308&amp;C308,盘货信息!$A:$A&amp;盘货信息!$B:$B&amp;盘货信息!$C:$C,盘货信息!$W:$W)="","",_xlfn.XLOOKUP(A308&amp;B308&amp;C308,盘货信息!$A:$A&amp;盘货信息!$B:$B&amp;盘货信息!$C:$C,盘货信息!$W:$W)&amp;"，")&amp;"送货入户，退换免运费")</f>
        <v/>
      </c>
    </row>
    <row r="309" customHeight="1" spans="1:22">
      <c r="A309" s="17" t="str">
        <f>IF(盘货信息!A309="","",盘货信息!A309)</f>
        <v/>
      </c>
      <c r="B309" s="20" t="str">
        <f>IF(盘货信息!B309="","",盘货信息!B309)</f>
        <v/>
      </c>
      <c r="C309" s="18" t="str">
        <f>IF(盘货信息!C309="","",盘货信息!C309)</f>
        <v/>
      </c>
      <c r="D309" s="18" t="str">
        <f ca="1" t="shared" si="4"/>
        <v/>
      </c>
      <c r="E309" s="18" t="str">
        <f>IF(C309="","",固定信息!$B$2)</f>
        <v/>
      </c>
      <c r="F309" s="18" t="str">
        <f t="array" ref="F309">IF(C309="","","【"&amp;C309&amp;"】"&amp;_xlfn.XLOOKUP(A309&amp;B309&amp;C309,盘货信息!$A:$A&amp;盘货信息!$B:$B&amp;盘货信息!$C:$C,盘货信息!$D:$D))</f>
        <v/>
      </c>
      <c r="G309" s="18" t="str">
        <f>IF(C309="","","【"&amp;"活动时间："&amp;固定信息!$B$3&amp;"】")</f>
        <v/>
      </c>
      <c r="H309" s="18" t="str">
        <f>IF($C309="","",固定信息!$B$1)</f>
        <v/>
      </c>
      <c r="I309" s="18"/>
      <c r="J309" s="18" t="str">
        <f t="array" ref="J309">_xlfn.XLOOKUP(A309&amp;B309&amp;C309,价格信息!$A:$A&amp;价格信息!$B:$B&amp;价格信息!$C:$C,价格信息!$D:$D)</f>
        <v/>
      </c>
      <c r="K309" s="31" t="str">
        <f t="array" ref="K309">IF(_xlfn.XLOOKUP(A309&amp;B309&amp;C309,价格信息!$A:$A&amp;价格信息!$B:$B&amp;价格信息!$C:$C,价格信息!$I:$I)="","","【优惠券链接】"&amp;固定信息!$B$6)</f>
        <v/>
      </c>
      <c r="L309" s="31" t="str">
        <f>IF($C309="","",固定信息!$B$1)</f>
        <v/>
      </c>
      <c r="M309" s="18" t="str">
        <f t="array" ref="M309">IF(_xlfn.XLOOKUP(A309&amp;B309&amp;C309,盘货信息!$A:$A&amp;盘货信息!$B:$B&amp;盘货信息!$C:$C,盘货信息!$O:$O)="","","【优惠券】领"&amp;INDEX(_wpsfn.REGEXP(_xlfn.XLOOKUP(A309&amp;B309&amp;C309,盘货信息!$A:$A&amp;盘货信息!$B:$B&amp;盘货信息!$C:$C,盘货信息!$O:$O),"\d+"),1,1)&amp;"元优惠券下单更优惠，优惠卷："&amp;_xlfn.XLOOKUP(A309&amp;B309&amp;C309,盘货信息!$A:$A&amp;盘货信息!$B:$B&amp;盘货信息!$C:$C,盘货信息!$P:$P))</f>
        <v/>
      </c>
      <c r="N309" s="18" t="str">
        <f t="array" ref="N309">IF(AND(ISNUMBER(_xlfn.XLOOKUP(A309&amp;B309&amp;C309,盘货信息!$A:$A&amp;盘货信息!$B:$B&amp;盘货信息!$C:$C,盘货信息!$I:$I)),_xlfn.XLOOKUP(A309&amp;B309&amp;C309,盘货信息!$A:$A&amp;盘货信息!$B:$B&amp;盘货信息!$C:$C,盘货信息!$I:$I)&gt;1),"【88VIP】立减"&amp;_xlfn.XLOOKUP(A309&amp;B309&amp;C309,盘货信息!$A:$A&amp;盘货信息!$B:$B&amp;盘货信息!$C:$C,盘货信息!$I:$I)&amp;"元","")</f>
        <v/>
      </c>
      <c r="O309" s="18" t="str">
        <f t="array" ref="O309">IF(_xlfn.XLOOKUP(A309&amp;B309&amp;C309,盘货信息!$A:$A&amp;盘货信息!$B:$B&amp;盘货信息!$C:$C,盘货信息!$K:$K)="","",IF(AND(_xlfn.XLOOKUP(A309&amp;B309&amp;C309,盘货信息!$A:$A&amp;盘货信息!$B:$B&amp;盘货信息!$C:$C,盘货信息!$G:$G)="不参加",_xlfn.XLOOKUP(A309&amp;B309&amp;C309,盘货信息!$A:$A&amp;盘货信息!$B:$B&amp;盘货信息!$C:$C,盘货信息!$H:$H)=""),"【以旧换新】"&amp;_xlfn.XLOOKUP(A309&amp;B309&amp;C309,盘货信息!$A:$A&amp;盘货信息!$B:$B&amp;盘货信息!$C:$C,盘货信息!$K:$K)&amp;"元以旧换新补贴（可无旧机换新）",""))</f>
        <v/>
      </c>
      <c r="P309" s="18" t="str">
        <f t="array" ref="P309">_xlfn.XLOOKUP(A309&amp;B309&amp;C309,赠品!$A:$A&amp;赠品!$B:$B&amp;赠品!$C:$C,赠品!$D:$D)</f>
        <v/>
      </c>
      <c r="Q309" s="18" t="str">
        <f>IF($C309="","",IF(AND(M309="",N309="",P309=""),"",固定信息!$B$1))</f>
        <v/>
      </c>
      <c r="R309" s="18" t="str">
        <f t="array" ref="R309">IF(ISNUMBER(SEARCH("是",_xlfn.XLOOKUP(A309&amp;B309&amp;C309,盘货信息!$A:$A&amp;盘货信息!$B:$B&amp;盘货信息!$C:$C,盘货信息!$U:$U))),"【折扣】指定型号满2类享96折，满3类享94折","")</f>
        <v/>
      </c>
      <c r="S309" s="18" t="str">
        <f t="array" ref="S309">IF(_xlfn.XLOOKUP(A309&amp;B309&amp;C309,盘货信息!$A:$A&amp;盘货信息!$B:$B&amp;盘货信息!$C:$C,盘货信息!$Q:$Q)&lt;1,"","【红包】活动时间购机送"&amp;_xlfn.TEXTJOIN("",,IF(ISNUMBER(--MID(_xlfn.XLOOKUP(A309&amp;B309&amp;C309,盘货信息!$A:$A&amp;盘货信息!$B:$B&amp;盘货信息!$C:$C,盘货信息!$Q:$Q),_xlfn.SEQUENCE(LEN(_xlfn.XLOOKUP(A309&amp;B309&amp;C309,盘货信息!$A:$A&amp;盘货信息!$B:$B&amp;盘货信息!$C:$C,盘货信息!$Q:$Q))),1)),MID(_xlfn.XLOOKUP(A309&amp;B309&amp;C309,盘货信息!$A:$A&amp;盘货信息!$B:$B&amp;盘货信息!$C:$C,盘货信息!$Q:$Q),_xlfn.SEQUENCE(LEN(_xlfn.XLOOKUP(A309&amp;B309&amp;C309,盘货信息!$A:$A&amp;盘货信息!$B:$B&amp;盘货信息!$C:$C,盘货信息!$Q:$Q))),1),""))&amp;"元")</f>
        <v/>
      </c>
      <c r="T309" s="18" t="str">
        <f t="array" ref="T309">IF(ISNUMBER(SEARCH("是",_xlfn.XLOOKUP(A309&amp;B309&amp;C309,盘货信息!$A:$A&amp;盘货信息!$B:$B&amp;盘货信息!$C:$C,盘货信息!$T:$T))),"【瓜分】"&amp;固定信息!$B$7,"")</f>
        <v/>
      </c>
      <c r="U309" s="18" t="str">
        <f>IF($C309="","",IF(AND(R309="",S309="",T309=""),"",固定信息!$B$1))</f>
        <v/>
      </c>
      <c r="V309" s="18" t="str">
        <f t="array" ref="V309">IF(C309="","","【服务】"&amp;IF(_xlfn.XLOOKUP(A309&amp;B309&amp;C309,盘货信息!$A:$A&amp;盘货信息!$B:$B&amp;盘货信息!$C:$C,盘货信息!$V:$V)="","",_xlfn.XLOOKUP(A309&amp;B309&amp;C309,盘货信息!$A:$A&amp;盘货信息!$B:$B&amp;盘货信息!$C:$C,盘货信息!$V:$V)&amp;"免息,")&amp;IF(_xlfn.XLOOKUP(A309&amp;B309&amp;C309,盘货信息!$A:$A&amp;盘货信息!$B:$B&amp;盘货信息!$C:$C,盘货信息!$W:$W)="","",_xlfn.XLOOKUP(A309&amp;B309&amp;C309,盘货信息!$A:$A&amp;盘货信息!$B:$B&amp;盘货信息!$C:$C,盘货信息!$W:$W)&amp;"，")&amp;"送货入户，退换免运费")</f>
        <v/>
      </c>
    </row>
    <row r="310" customHeight="1" spans="1:22">
      <c r="A310" s="17" t="str">
        <f>IF(盘货信息!A310="","",盘货信息!A310)</f>
        <v/>
      </c>
      <c r="B310" s="20" t="str">
        <f>IF(盘货信息!B310="","",盘货信息!B310)</f>
        <v/>
      </c>
      <c r="C310" s="18" t="str">
        <f>IF(盘货信息!C310="","",盘货信息!C310)</f>
        <v/>
      </c>
      <c r="D310" s="18" t="str">
        <f ca="1" t="shared" si="4"/>
        <v/>
      </c>
      <c r="E310" s="18" t="str">
        <f>IF(C310="","",固定信息!$B$2)</f>
        <v/>
      </c>
      <c r="F310" s="18" t="str">
        <f t="array" ref="F310">IF(C310="","","【"&amp;C310&amp;"】"&amp;_xlfn.XLOOKUP(A310&amp;B310&amp;C310,盘货信息!$A:$A&amp;盘货信息!$B:$B&amp;盘货信息!$C:$C,盘货信息!$D:$D))</f>
        <v/>
      </c>
      <c r="G310" s="18" t="str">
        <f>IF(C310="","","【"&amp;"活动时间："&amp;固定信息!$B$3&amp;"】")</f>
        <v/>
      </c>
      <c r="H310" s="18" t="str">
        <f>IF($C310="","",固定信息!$B$1)</f>
        <v/>
      </c>
      <c r="I310" s="18"/>
      <c r="J310" s="18" t="str">
        <f t="array" ref="J310">_xlfn.XLOOKUP(A310&amp;B310&amp;C310,价格信息!$A:$A&amp;价格信息!$B:$B&amp;价格信息!$C:$C,价格信息!$D:$D)</f>
        <v/>
      </c>
      <c r="K310" s="31" t="str">
        <f t="array" ref="K310">IF(_xlfn.XLOOKUP(A310&amp;B310&amp;C310,价格信息!$A:$A&amp;价格信息!$B:$B&amp;价格信息!$C:$C,价格信息!$I:$I)="","","【优惠券链接】"&amp;固定信息!$B$6)</f>
        <v/>
      </c>
      <c r="L310" s="31" t="str">
        <f>IF($C310="","",固定信息!$B$1)</f>
        <v/>
      </c>
      <c r="M310" s="18" t="str">
        <f t="array" ref="M310">IF(_xlfn.XLOOKUP(A310&amp;B310&amp;C310,盘货信息!$A:$A&amp;盘货信息!$B:$B&amp;盘货信息!$C:$C,盘货信息!$O:$O)="","","【优惠券】领"&amp;INDEX(_wpsfn.REGEXP(_xlfn.XLOOKUP(A310&amp;B310&amp;C310,盘货信息!$A:$A&amp;盘货信息!$B:$B&amp;盘货信息!$C:$C,盘货信息!$O:$O),"\d+"),1,1)&amp;"元优惠券下单更优惠，优惠卷："&amp;_xlfn.XLOOKUP(A310&amp;B310&amp;C310,盘货信息!$A:$A&amp;盘货信息!$B:$B&amp;盘货信息!$C:$C,盘货信息!$P:$P))</f>
        <v/>
      </c>
      <c r="N310" s="18" t="str">
        <f t="array" ref="N310">IF(AND(ISNUMBER(_xlfn.XLOOKUP(A310&amp;B310&amp;C310,盘货信息!$A:$A&amp;盘货信息!$B:$B&amp;盘货信息!$C:$C,盘货信息!$I:$I)),_xlfn.XLOOKUP(A310&amp;B310&amp;C310,盘货信息!$A:$A&amp;盘货信息!$B:$B&amp;盘货信息!$C:$C,盘货信息!$I:$I)&gt;1),"【88VIP】立减"&amp;_xlfn.XLOOKUP(A310&amp;B310&amp;C310,盘货信息!$A:$A&amp;盘货信息!$B:$B&amp;盘货信息!$C:$C,盘货信息!$I:$I)&amp;"元","")</f>
        <v/>
      </c>
      <c r="O310" s="18" t="str">
        <f t="array" ref="O310">IF(_xlfn.XLOOKUP(A310&amp;B310&amp;C310,盘货信息!$A:$A&amp;盘货信息!$B:$B&amp;盘货信息!$C:$C,盘货信息!$K:$K)="","",IF(AND(_xlfn.XLOOKUP(A310&amp;B310&amp;C310,盘货信息!$A:$A&amp;盘货信息!$B:$B&amp;盘货信息!$C:$C,盘货信息!$G:$G)="不参加",_xlfn.XLOOKUP(A310&amp;B310&amp;C310,盘货信息!$A:$A&amp;盘货信息!$B:$B&amp;盘货信息!$C:$C,盘货信息!$H:$H)=""),"【以旧换新】"&amp;_xlfn.XLOOKUP(A310&amp;B310&amp;C310,盘货信息!$A:$A&amp;盘货信息!$B:$B&amp;盘货信息!$C:$C,盘货信息!$K:$K)&amp;"元以旧换新补贴（可无旧机换新）",""))</f>
        <v/>
      </c>
      <c r="P310" s="18" t="str">
        <f t="array" ref="P310">_xlfn.XLOOKUP(A310&amp;B310&amp;C310,赠品!$A:$A&amp;赠品!$B:$B&amp;赠品!$C:$C,赠品!$D:$D)</f>
        <v/>
      </c>
      <c r="Q310" s="18" t="str">
        <f>IF($C310="","",IF(AND(M310="",N310="",P310=""),"",固定信息!$B$1))</f>
        <v/>
      </c>
      <c r="R310" s="18" t="str">
        <f t="array" ref="R310">IF(ISNUMBER(SEARCH("是",_xlfn.XLOOKUP(A310&amp;B310&amp;C310,盘货信息!$A:$A&amp;盘货信息!$B:$B&amp;盘货信息!$C:$C,盘货信息!$U:$U))),"【折扣】指定型号满2类享96折，满3类享94折","")</f>
        <v/>
      </c>
      <c r="S310" s="18" t="str">
        <f t="array" ref="S310">IF(_xlfn.XLOOKUP(A310&amp;B310&amp;C310,盘货信息!$A:$A&amp;盘货信息!$B:$B&amp;盘货信息!$C:$C,盘货信息!$Q:$Q)&lt;1,"","【红包】活动时间购机送"&amp;_xlfn.TEXTJOIN("",,IF(ISNUMBER(--MID(_xlfn.XLOOKUP(A310&amp;B310&amp;C310,盘货信息!$A:$A&amp;盘货信息!$B:$B&amp;盘货信息!$C:$C,盘货信息!$Q:$Q),_xlfn.SEQUENCE(LEN(_xlfn.XLOOKUP(A310&amp;B310&amp;C310,盘货信息!$A:$A&amp;盘货信息!$B:$B&amp;盘货信息!$C:$C,盘货信息!$Q:$Q))),1)),MID(_xlfn.XLOOKUP(A310&amp;B310&amp;C310,盘货信息!$A:$A&amp;盘货信息!$B:$B&amp;盘货信息!$C:$C,盘货信息!$Q:$Q),_xlfn.SEQUENCE(LEN(_xlfn.XLOOKUP(A310&amp;B310&amp;C310,盘货信息!$A:$A&amp;盘货信息!$B:$B&amp;盘货信息!$C:$C,盘货信息!$Q:$Q))),1),""))&amp;"元")</f>
        <v/>
      </c>
      <c r="T310" s="18" t="str">
        <f t="array" ref="T310">IF(ISNUMBER(SEARCH("是",_xlfn.XLOOKUP(A310&amp;B310&amp;C310,盘货信息!$A:$A&amp;盘货信息!$B:$B&amp;盘货信息!$C:$C,盘货信息!$T:$T))),"【瓜分】"&amp;固定信息!$B$7,"")</f>
        <v/>
      </c>
      <c r="U310" s="18" t="str">
        <f>IF($C310="","",IF(AND(R310="",S310="",T310=""),"",固定信息!$B$1))</f>
        <v/>
      </c>
      <c r="V310" s="18" t="str">
        <f t="array" ref="V310">IF(C310="","","【服务】"&amp;IF(_xlfn.XLOOKUP(A310&amp;B310&amp;C310,盘货信息!$A:$A&amp;盘货信息!$B:$B&amp;盘货信息!$C:$C,盘货信息!$V:$V)="","",_xlfn.XLOOKUP(A310&amp;B310&amp;C310,盘货信息!$A:$A&amp;盘货信息!$B:$B&amp;盘货信息!$C:$C,盘货信息!$V:$V)&amp;"免息,")&amp;IF(_xlfn.XLOOKUP(A310&amp;B310&amp;C310,盘货信息!$A:$A&amp;盘货信息!$B:$B&amp;盘货信息!$C:$C,盘货信息!$W:$W)="","",_xlfn.XLOOKUP(A310&amp;B310&amp;C310,盘货信息!$A:$A&amp;盘货信息!$B:$B&amp;盘货信息!$C:$C,盘货信息!$W:$W)&amp;"，")&amp;"送货入户，退换免运费")</f>
        <v/>
      </c>
    </row>
    <row r="311" customHeight="1" spans="1:22">
      <c r="A311" s="17" t="str">
        <f>IF(盘货信息!A311="","",盘货信息!A311)</f>
        <v/>
      </c>
      <c r="B311" s="20" t="str">
        <f>IF(盘货信息!B311="","",盘货信息!B311)</f>
        <v/>
      </c>
      <c r="C311" s="18" t="str">
        <f>IF(盘货信息!C311="","",盘货信息!C311)</f>
        <v/>
      </c>
      <c r="D311" s="18" t="str">
        <f ca="1" t="shared" si="4"/>
        <v/>
      </c>
      <c r="E311" s="18" t="str">
        <f>IF(C311="","",固定信息!$B$2)</f>
        <v/>
      </c>
      <c r="F311" s="18" t="str">
        <f t="array" ref="F311">IF(C311="","","【"&amp;C311&amp;"】"&amp;_xlfn.XLOOKUP(A311&amp;B311&amp;C311,盘货信息!$A:$A&amp;盘货信息!$B:$B&amp;盘货信息!$C:$C,盘货信息!$D:$D))</f>
        <v/>
      </c>
      <c r="G311" s="18" t="str">
        <f>IF(C311="","","【"&amp;"活动时间："&amp;固定信息!$B$3&amp;"】")</f>
        <v/>
      </c>
      <c r="H311" s="18" t="str">
        <f>IF($C311="","",固定信息!$B$1)</f>
        <v/>
      </c>
      <c r="I311" s="18"/>
      <c r="J311" s="18" t="str">
        <f t="array" ref="J311">_xlfn.XLOOKUP(A311&amp;B311&amp;C311,价格信息!$A:$A&amp;价格信息!$B:$B&amp;价格信息!$C:$C,价格信息!$D:$D)</f>
        <v/>
      </c>
      <c r="K311" s="31" t="str">
        <f t="array" ref="K311">IF(_xlfn.XLOOKUP(A311&amp;B311&amp;C311,价格信息!$A:$A&amp;价格信息!$B:$B&amp;价格信息!$C:$C,价格信息!$I:$I)="","","【优惠券链接】"&amp;固定信息!$B$6)</f>
        <v/>
      </c>
      <c r="L311" s="31" t="str">
        <f>IF($C311="","",固定信息!$B$1)</f>
        <v/>
      </c>
      <c r="M311" s="18" t="str">
        <f t="array" ref="M311">IF(_xlfn.XLOOKUP(A311&amp;B311&amp;C311,盘货信息!$A:$A&amp;盘货信息!$B:$B&amp;盘货信息!$C:$C,盘货信息!$O:$O)="","","【优惠券】领"&amp;INDEX(_wpsfn.REGEXP(_xlfn.XLOOKUP(A311&amp;B311&amp;C311,盘货信息!$A:$A&amp;盘货信息!$B:$B&amp;盘货信息!$C:$C,盘货信息!$O:$O),"\d+"),1,1)&amp;"元优惠券下单更优惠，优惠卷："&amp;_xlfn.XLOOKUP(A311&amp;B311&amp;C311,盘货信息!$A:$A&amp;盘货信息!$B:$B&amp;盘货信息!$C:$C,盘货信息!$P:$P))</f>
        <v/>
      </c>
      <c r="N311" s="18" t="str">
        <f t="array" ref="N311">IF(AND(ISNUMBER(_xlfn.XLOOKUP(A311&amp;B311&amp;C311,盘货信息!$A:$A&amp;盘货信息!$B:$B&amp;盘货信息!$C:$C,盘货信息!$I:$I)),_xlfn.XLOOKUP(A311&amp;B311&amp;C311,盘货信息!$A:$A&amp;盘货信息!$B:$B&amp;盘货信息!$C:$C,盘货信息!$I:$I)&gt;1),"【88VIP】立减"&amp;_xlfn.XLOOKUP(A311&amp;B311&amp;C311,盘货信息!$A:$A&amp;盘货信息!$B:$B&amp;盘货信息!$C:$C,盘货信息!$I:$I)&amp;"元","")</f>
        <v/>
      </c>
      <c r="O311" s="18" t="str">
        <f t="array" ref="O311">IF(_xlfn.XLOOKUP(A311&amp;B311&amp;C311,盘货信息!$A:$A&amp;盘货信息!$B:$B&amp;盘货信息!$C:$C,盘货信息!$K:$K)="","",IF(AND(_xlfn.XLOOKUP(A311&amp;B311&amp;C311,盘货信息!$A:$A&amp;盘货信息!$B:$B&amp;盘货信息!$C:$C,盘货信息!$G:$G)="不参加",_xlfn.XLOOKUP(A311&amp;B311&amp;C311,盘货信息!$A:$A&amp;盘货信息!$B:$B&amp;盘货信息!$C:$C,盘货信息!$H:$H)=""),"【以旧换新】"&amp;_xlfn.XLOOKUP(A311&amp;B311&amp;C311,盘货信息!$A:$A&amp;盘货信息!$B:$B&amp;盘货信息!$C:$C,盘货信息!$K:$K)&amp;"元以旧换新补贴（可无旧机换新）",""))</f>
        <v/>
      </c>
      <c r="P311" s="18" t="str">
        <f t="array" ref="P311">_xlfn.XLOOKUP(A311&amp;B311&amp;C311,赠品!$A:$A&amp;赠品!$B:$B&amp;赠品!$C:$C,赠品!$D:$D)</f>
        <v/>
      </c>
      <c r="Q311" s="18" t="str">
        <f>IF($C311="","",IF(AND(M311="",N311="",P311=""),"",固定信息!$B$1))</f>
        <v/>
      </c>
      <c r="R311" s="18" t="str">
        <f t="array" ref="R311">IF(ISNUMBER(SEARCH("是",_xlfn.XLOOKUP(A311&amp;B311&amp;C311,盘货信息!$A:$A&amp;盘货信息!$B:$B&amp;盘货信息!$C:$C,盘货信息!$U:$U))),"【折扣】指定型号满2类享96折，满3类享94折","")</f>
        <v/>
      </c>
      <c r="S311" s="18" t="str">
        <f t="array" ref="S311">IF(_xlfn.XLOOKUP(A311&amp;B311&amp;C311,盘货信息!$A:$A&amp;盘货信息!$B:$B&amp;盘货信息!$C:$C,盘货信息!$Q:$Q)&lt;1,"","【红包】活动时间购机送"&amp;_xlfn.TEXTJOIN("",,IF(ISNUMBER(--MID(_xlfn.XLOOKUP(A311&amp;B311&amp;C311,盘货信息!$A:$A&amp;盘货信息!$B:$B&amp;盘货信息!$C:$C,盘货信息!$Q:$Q),_xlfn.SEQUENCE(LEN(_xlfn.XLOOKUP(A311&amp;B311&amp;C311,盘货信息!$A:$A&amp;盘货信息!$B:$B&amp;盘货信息!$C:$C,盘货信息!$Q:$Q))),1)),MID(_xlfn.XLOOKUP(A311&amp;B311&amp;C311,盘货信息!$A:$A&amp;盘货信息!$B:$B&amp;盘货信息!$C:$C,盘货信息!$Q:$Q),_xlfn.SEQUENCE(LEN(_xlfn.XLOOKUP(A311&amp;B311&amp;C311,盘货信息!$A:$A&amp;盘货信息!$B:$B&amp;盘货信息!$C:$C,盘货信息!$Q:$Q))),1),""))&amp;"元")</f>
        <v/>
      </c>
      <c r="T311" s="18" t="str">
        <f t="array" ref="T311">IF(ISNUMBER(SEARCH("是",_xlfn.XLOOKUP(A311&amp;B311&amp;C311,盘货信息!$A:$A&amp;盘货信息!$B:$B&amp;盘货信息!$C:$C,盘货信息!$T:$T))),"【瓜分】"&amp;固定信息!$B$7,"")</f>
        <v/>
      </c>
      <c r="U311" s="18" t="str">
        <f>IF($C311="","",IF(AND(R311="",S311="",T311=""),"",固定信息!$B$1))</f>
        <v/>
      </c>
      <c r="V311" s="18" t="str">
        <f t="array" ref="V311">IF(C311="","","【服务】"&amp;IF(_xlfn.XLOOKUP(A311&amp;B311&amp;C311,盘货信息!$A:$A&amp;盘货信息!$B:$B&amp;盘货信息!$C:$C,盘货信息!$V:$V)="","",_xlfn.XLOOKUP(A311&amp;B311&amp;C311,盘货信息!$A:$A&amp;盘货信息!$B:$B&amp;盘货信息!$C:$C,盘货信息!$V:$V)&amp;"免息,")&amp;IF(_xlfn.XLOOKUP(A311&amp;B311&amp;C311,盘货信息!$A:$A&amp;盘货信息!$B:$B&amp;盘货信息!$C:$C,盘货信息!$W:$W)="","",_xlfn.XLOOKUP(A311&amp;B311&amp;C311,盘货信息!$A:$A&amp;盘货信息!$B:$B&amp;盘货信息!$C:$C,盘货信息!$W:$W)&amp;"，")&amp;"送货入户，退换免运费")</f>
        <v/>
      </c>
    </row>
    <row r="312" customHeight="1" spans="1:22">
      <c r="A312" s="17" t="str">
        <f>IF(盘货信息!A312="","",盘货信息!A312)</f>
        <v/>
      </c>
      <c r="B312" s="20" t="str">
        <f>IF(盘货信息!B312="","",盘货信息!B312)</f>
        <v/>
      </c>
      <c r="C312" s="18" t="str">
        <f>IF(盘货信息!C312="","",盘货信息!C312)</f>
        <v/>
      </c>
      <c r="D312" s="18" t="str">
        <f ca="1" t="shared" si="4"/>
        <v/>
      </c>
      <c r="E312" s="18" t="str">
        <f>IF(C312="","",固定信息!$B$2)</f>
        <v/>
      </c>
      <c r="F312" s="18" t="str">
        <f t="array" ref="F312">IF(C312="","","【"&amp;C312&amp;"】"&amp;_xlfn.XLOOKUP(A312&amp;B312&amp;C312,盘货信息!$A:$A&amp;盘货信息!$B:$B&amp;盘货信息!$C:$C,盘货信息!$D:$D))</f>
        <v/>
      </c>
      <c r="G312" s="18" t="str">
        <f>IF(C312="","","【"&amp;"活动时间："&amp;固定信息!$B$3&amp;"】")</f>
        <v/>
      </c>
      <c r="H312" s="18" t="str">
        <f>IF($C312="","",固定信息!$B$1)</f>
        <v/>
      </c>
      <c r="I312" s="18"/>
      <c r="J312" s="18" t="str">
        <f t="array" ref="J312">_xlfn.XLOOKUP(A312&amp;B312&amp;C312,价格信息!$A:$A&amp;价格信息!$B:$B&amp;价格信息!$C:$C,价格信息!$D:$D)</f>
        <v/>
      </c>
      <c r="K312" s="31" t="str">
        <f t="array" ref="K312">IF(_xlfn.XLOOKUP(A312&amp;B312&amp;C312,价格信息!$A:$A&amp;价格信息!$B:$B&amp;价格信息!$C:$C,价格信息!$I:$I)="","","【优惠券链接】"&amp;固定信息!$B$6)</f>
        <v/>
      </c>
      <c r="L312" s="31" t="str">
        <f>IF($C312="","",固定信息!$B$1)</f>
        <v/>
      </c>
      <c r="M312" s="18" t="str">
        <f t="array" ref="M312">IF(_xlfn.XLOOKUP(A312&amp;B312&amp;C312,盘货信息!$A:$A&amp;盘货信息!$B:$B&amp;盘货信息!$C:$C,盘货信息!$O:$O)="","","【优惠券】领"&amp;INDEX(_wpsfn.REGEXP(_xlfn.XLOOKUP(A312&amp;B312&amp;C312,盘货信息!$A:$A&amp;盘货信息!$B:$B&amp;盘货信息!$C:$C,盘货信息!$O:$O),"\d+"),1,1)&amp;"元优惠券下单更优惠，优惠卷："&amp;_xlfn.XLOOKUP(A312&amp;B312&amp;C312,盘货信息!$A:$A&amp;盘货信息!$B:$B&amp;盘货信息!$C:$C,盘货信息!$P:$P))</f>
        <v/>
      </c>
      <c r="N312" s="18" t="str">
        <f t="array" ref="N312">IF(AND(ISNUMBER(_xlfn.XLOOKUP(A312&amp;B312&amp;C312,盘货信息!$A:$A&amp;盘货信息!$B:$B&amp;盘货信息!$C:$C,盘货信息!$I:$I)),_xlfn.XLOOKUP(A312&amp;B312&amp;C312,盘货信息!$A:$A&amp;盘货信息!$B:$B&amp;盘货信息!$C:$C,盘货信息!$I:$I)&gt;1),"【88VIP】立减"&amp;_xlfn.XLOOKUP(A312&amp;B312&amp;C312,盘货信息!$A:$A&amp;盘货信息!$B:$B&amp;盘货信息!$C:$C,盘货信息!$I:$I)&amp;"元","")</f>
        <v/>
      </c>
      <c r="O312" s="18" t="str">
        <f t="array" ref="O312">IF(_xlfn.XLOOKUP(A312&amp;B312&amp;C312,盘货信息!$A:$A&amp;盘货信息!$B:$B&amp;盘货信息!$C:$C,盘货信息!$K:$K)="","",IF(AND(_xlfn.XLOOKUP(A312&amp;B312&amp;C312,盘货信息!$A:$A&amp;盘货信息!$B:$B&amp;盘货信息!$C:$C,盘货信息!$G:$G)="不参加",_xlfn.XLOOKUP(A312&amp;B312&amp;C312,盘货信息!$A:$A&amp;盘货信息!$B:$B&amp;盘货信息!$C:$C,盘货信息!$H:$H)=""),"【以旧换新】"&amp;_xlfn.XLOOKUP(A312&amp;B312&amp;C312,盘货信息!$A:$A&amp;盘货信息!$B:$B&amp;盘货信息!$C:$C,盘货信息!$K:$K)&amp;"元以旧换新补贴（可无旧机换新）",""))</f>
        <v/>
      </c>
      <c r="P312" s="18" t="str">
        <f t="array" ref="P312">_xlfn.XLOOKUP(A312&amp;B312&amp;C312,赠品!$A:$A&amp;赠品!$B:$B&amp;赠品!$C:$C,赠品!$D:$D)</f>
        <v/>
      </c>
      <c r="Q312" s="18" t="str">
        <f>IF($C312="","",IF(AND(M312="",N312="",P312=""),"",固定信息!$B$1))</f>
        <v/>
      </c>
      <c r="R312" s="18" t="str">
        <f t="array" ref="R312">IF(ISNUMBER(SEARCH("是",_xlfn.XLOOKUP(A312&amp;B312&amp;C312,盘货信息!$A:$A&amp;盘货信息!$B:$B&amp;盘货信息!$C:$C,盘货信息!$U:$U))),"【折扣】指定型号满2类享96折，满3类享94折","")</f>
        <v/>
      </c>
      <c r="S312" s="18" t="str">
        <f t="array" ref="S312">IF(_xlfn.XLOOKUP(A312&amp;B312&amp;C312,盘货信息!$A:$A&amp;盘货信息!$B:$B&amp;盘货信息!$C:$C,盘货信息!$Q:$Q)&lt;1,"","【红包】活动时间购机送"&amp;_xlfn.TEXTJOIN("",,IF(ISNUMBER(--MID(_xlfn.XLOOKUP(A312&amp;B312&amp;C312,盘货信息!$A:$A&amp;盘货信息!$B:$B&amp;盘货信息!$C:$C,盘货信息!$Q:$Q),_xlfn.SEQUENCE(LEN(_xlfn.XLOOKUP(A312&amp;B312&amp;C312,盘货信息!$A:$A&amp;盘货信息!$B:$B&amp;盘货信息!$C:$C,盘货信息!$Q:$Q))),1)),MID(_xlfn.XLOOKUP(A312&amp;B312&amp;C312,盘货信息!$A:$A&amp;盘货信息!$B:$B&amp;盘货信息!$C:$C,盘货信息!$Q:$Q),_xlfn.SEQUENCE(LEN(_xlfn.XLOOKUP(A312&amp;B312&amp;C312,盘货信息!$A:$A&amp;盘货信息!$B:$B&amp;盘货信息!$C:$C,盘货信息!$Q:$Q))),1),""))&amp;"元")</f>
        <v/>
      </c>
      <c r="T312" s="18" t="str">
        <f t="array" ref="T312">IF(ISNUMBER(SEARCH("是",_xlfn.XLOOKUP(A312&amp;B312&amp;C312,盘货信息!$A:$A&amp;盘货信息!$B:$B&amp;盘货信息!$C:$C,盘货信息!$T:$T))),"【瓜分】"&amp;固定信息!$B$7,"")</f>
        <v/>
      </c>
      <c r="U312" s="18" t="str">
        <f>IF($C312="","",IF(AND(R312="",S312="",T312=""),"",固定信息!$B$1))</f>
        <v/>
      </c>
      <c r="V312" s="18" t="str">
        <f t="array" ref="V312">IF(C312="","","【服务】"&amp;IF(_xlfn.XLOOKUP(A312&amp;B312&amp;C312,盘货信息!$A:$A&amp;盘货信息!$B:$B&amp;盘货信息!$C:$C,盘货信息!$V:$V)="","",_xlfn.XLOOKUP(A312&amp;B312&amp;C312,盘货信息!$A:$A&amp;盘货信息!$B:$B&amp;盘货信息!$C:$C,盘货信息!$V:$V)&amp;"免息,")&amp;IF(_xlfn.XLOOKUP(A312&amp;B312&amp;C312,盘货信息!$A:$A&amp;盘货信息!$B:$B&amp;盘货信息!$C:$C,盘货信息!$W:$W)="","",_xlfn.XLOOKUP(A312&amp;B312&amp;C312,盘货信息!$A:$A&amp;盘货信息!$B:$B&amp;盘货信息!$C:$C,盘货信息!$W:$W)&amp;"，")&amp;"送货入户，退换免运费")</f>
        <v/>
      </c>
    </row>
    <row r="313" customHeight="1" spans="1:22">
      <c r="A313" s="17" t="str">
        <f>IF(盘货信息!A313="","",盘货信息!A313)</f>
        <v/>
      </c>
      <c r="B313" s="20" t="str">
        <f>IF(盘货信息!B313="","",盘货信息!B313)</f>
        <v/>
      </c>
      <c r="C313" s="18" t="str">
        <f>IF(盘货信息!C313="","",盘货信息!C313)</f>
        <v/>
      </c>
      <c r="D313" s="18" t="str">
        <f ca="1" t="shared" si="4"/>
        <v/>
      </c>
      <c r="E313" s="18" t="str">
        <f>IF(C313="","",固定信息!$B$2)</f>
        <v/>
      </c>
      <c r="F313" s="18" t="str">
        <f t="array" ref="F313">IF(C313="","","【"&amp;C313&amp;"】"&amp;_xlfn.XLOOKUP(A313&amp;B313&amp;C313,盘货信息!$A:$A&amp;盘货信息!$B:$B&amp;盘货信息!$C:$C,盘货信息!$D:$D))</f>
        <v/>
      </c>
      <c r="G313" s="18" t="str">
        <f>IF(C313="","","【"&amp;"活动时间："&amp;固定信息!$B$3&amp;"】")</f>
        <v/>
      </c>
      <c r="H313" s="18" t="str">
        <f>IF($C313="","",固定信息!$B$1)</f>
        <v/>
      </c>
      <c r="I313" s="18"/>
      <c r="J313" s="18" t="str">
        <f t="array" ref="J313">_xlfn.XLOOKUP(A313&amp;B313&amp;C313,价格信息!$A:$A&amp;价格信息!$B:$B&amp;价格信息!$C:$C,价格信息!$D:$D)</f>
        <v/>
      </c>
      <c r="K313" s="31" t="str">
        <f t="array" ref="K313">IF(_xlfn.XLOOKUP(A313&amp;B313&amp;C313,价格信息!$A:$A&amp;价格信息!$B:$B&amp;价格信息!$C:$C,价格信息!$I:$I)="","","【优惠券链接】"&amp;固定信息!$B$6)</f>
        <v/>
      </c>
      <c r="L313" s="31" t="str">
        <f>IF($C313="","",固定信息!$B$1)</f>
        <v/>
      </c>
      <c r="M313" s="18" t="str">
        <f t="array" ref="M313">IF(_xlfn.XLOOKUP(A313&amp;B313&amp;C313,盘货信息!$A:$A&amp;盘货信息!$B:$B&amp;盘货信息!$C:$C,盘货信息!$O:$O)="","","【优惠券】领"&amp;INDEX(_wpsfn.REGEXP(_xlfn.XLOOKUP(A313&amp;B313&amp;C313,盘货信息!$A:$A&amp;盘货信息!$B:$B&amp;盘货信息!$C:$C,盘货信息!$O:$O),"\d+"),1,1)&amp;"元优惠券下单更优惠，优惠卷："&amp;_xlfn.XLOOKUP(A313&amp;B313&amp;C313,盘货信息!$A:$A&amp;盘货信息!$B:$B&amp;盘货信息!$C:$C,盘货信息!$P:$P))</f>
        <v/>
      </c>
      <c r="N313" s="18" t="str">
        <f t="array" ref="N313">IF(AND(ISNUMBER(_xlfn.XLOOKUP(A313&amp;B313&amp;C313,盘货信息!$A:$A&amp;盘货信息!$B:$B&amp;盘货信息!$C:$C,盘货信息!$I:$I)),_xlfn.XLOOKUP(A313&amp;B313&amp;C313,盘货信息!$A:$A&amp;盘货信息!$B:$B&amp;盘货信息!$C:$C,盘货信息!$I:$I)&gt;1),"【88VIP】立减"&amp;_xlfn.XLOOKUP(A313&amp;B313&amp;C313,盘货信息!$A:$A&amp;盘货信息!$B:$B&amp;盘货信息!$C:$C,盘货信息!$I:$I)&amp;"元","")</f>
        <v/>
      </c>
      <c r="O313" s="18" t="str">
        <f t="array" ref="O313">IF(_xlfn.XLOOKUP(A313&amp;B313&amp;C313,盘货信息!$A:$A&amp;盘货信息!$B:$B&amp;盘货信息!$C:$C,盘货信息!$K:$K)="","",IF(AND(_xlfn.XLOOKUP(A313&amp;B313&amp;C313,盘货信息!$A:$A&amp;盘货信息!$B:$B&amp;盘货信息!$C:$C,盘货信息!$G:$G)="不参加",_xlfn.XLOOKUP(A313&amp;B313&amp;C313,盘货信息!$A:$A&amp;盘货信息!$B:$B&amp;盘货信息!$C:$C,盘货信息!$H:$H)=""),"【以旧换新】"&amp;_xlfn.XLOOKUP(A313&amp;B313&amp;C313,盘货信息!$A:$A&amp;盘货信息!$B:$B&amp;盘货信息!$C:$C,盘货信息!$K:$K)&amp;"元以旧换新补贴（可无旧机换新）",""))</f>
        <v/>
      </c>
      <c r="P313" s="18" t="str">
        <f t="array" ref="P313">_xlfn.XLOOKUP(A313&amp;B313&amp;C313,赠品!$A:$A&amp;赠品!$B:$B&amp;赠品!$C:$C,赠品!$D:$D)</f>
        <v/>
      </c>
      <c r="Q313" s="18" t="str">
        <f>IF($C313="","",IF(AND(M313="",N313="",P313=""),"",固定信息!$B$1))</f>
        <v/>
      </c>
      <c r="R313" s="18" t="str">
        <f t="array" ref="R313">IF(ISNUMBER(SEARCH("是",_xlfn.XLOOKUP(A313&amp;B313&amp;C313,盘货信息!$A:$A&amp;盘货信息!$B:$B&amp;盘货信息!$C:$C,盘货信息!$U:$U))),"【折扣】指定型号满2类享96折，满3类享94折","")</f>
        <v/>
      </c>
      <c r="S313" s="18" t="str">
        <f t="array" ref="S313">IF(_xlfn.XLOOKUP(A313&amp;B313&amp;C313,盘货信息!$A:$A&amp;盘货信息!$B:$B&amp;盘货信息!$C:$C,盘货信息!$Q:$Q)&lt;1,"","【红包】活动时间购机送"&amp;_xlfn.TEXTJOIN("",,IF(ISNUMBER(--MID(_xlfn.XLOOKUP(A313&amp;B313&amp;C313,盘货信息!$A:$A&amp;盘货信息!$B:$B&amp;盘货信息!$C:$C,盘货信息!$Q:$Q),_xlfn.SEQUENCE(LEN(_xlfn.XLOOKUP(A313&amp;B313&amp;C313,盘货信息!$A:$A&amp;盘货信息!$B:$B&amp;盘货信息!$C:$C,盘货信息!$Q:$Q))),1)),MID(_xlfn.XLOOKUP(A313&amp;B313&amp;C313,盘货信息!$A:$A&amp;盘货信息!$B:$B&amp;盘货信息!$C:$C,盘货信息!$Q:$Q),_xlfn.SEQUENCE(LEN(_xlfn.XLOOKUP(A313&amp;B313&amp;C313,盘货信息!$A:$A&amp;盘货信息!$B:$B&amp;盘货信息!$C:$C,盘货信息!$Q:$Q))),1),""))&amp;"元")</f>
        <v/>
      </c>
      <c r="T313" s="18" t="str">
        <f t="array" ref="T313">IF(ISNUMBER(SEARCH("是",_xlfn.XLOOKUP(A313&amp;B313&amp;C313,盘货信息!$A:$A&amp;盘货信息!$B:$B&amp;盘货信息!$C:$C,盘货信息!$T:$T))),"【瓜分】"&amp;固定信息!$B$7,"")</f>
        <v/>
      </c>
      <c r="U313" s="18" t="str">
        <f>IF($C313="","",IF(AND(R313="",S313="",T313=""),"",固定信息!$B$1))</f>
        <v/>
      </c>
      <c r="V313" s="18" t="str">
        <f t="array" ref="V313">IF(C313="","","【服务】"&amp;IF(_xlfn.XLOOKUP(A313&amp;B313&amp;C313,盘货信息!$A:$A&amp;盘货信息!$B:$B&amp;盘货信息!$C:$C,盘货信息!$V:$V)="","",_xlfn.XLOOKUP(A313&amp;B313&amp;C313,盘货信息!$A:$A&amp;盘货信息!$B:$B&amp;盘货信息!$C:$C,盘货信息!$V:$V)&amp;"免息,")&amp;IF(_xlfn.XLOOKUP(A313&amp;B313&amp;C313,盘货信息!$A:$A&amp;盘货信息!$B:$B&amp;盘货信息!$C:$C,盘货信息!$W:$W)="","",_xlfn.XLOOKUP(A313&amp;B313&amp;C313,盘货信息!$A:$A&amp;盘货信息!$B:$B&amp;盘货信息!$C:$C,盘货信息!$W:$W)&amp;"，")&amp;"送货入户，退换免运费")</f>
        <v/>
      </c>
    </row>
    <row r="314" customHeight="1" spans="1:22">
      <c r="A314" s="17" t="str">
        <f>IF(盘货信息!A314="","",盘货信息!A314)</f>
        <v/>
      </c>
      <c r="B314" s="20" t="str">
        <f>IF(盘货信息!B314="","",盘货信息!B314)</f>
        <v/>
      </c>
      <c r="C314" s="18" t="str">
        <f>IF(盘货信息!C314="","",盘货信息!C314)</f>
        <v/>
      </c>
      <c r="D314" s="18" t="str">
        <f ca="1" t="shared" si="4"/>
        <v/>
      </c>
      <c r="E314" s="18" t="str">
        <f>IF(C314="","",固定信息!$B$2)</f>
        <v/>
      </c>
      <c r="F314" s="18" t="str">
        <f t="array" ref="F314">IF(C314="","","【"&amp;C314&amp;"】"&amp;_xlfn.XLOOKUP(A314&amp;B314&amp;C314,盘货信息!$A:$A&amp;盘货信息!$B:$B&amp;盘货信息!$C:$C,盘货信息!$D:$D))</f>
        <v/>
      </c>
      <c r="G314" s="18" t="str">
        <f>IF(C314="","","【"&amp;"活动时间："&amp;固定信息!$B$3&amp;"】")</f>
        <v/>
      </c>
      <c r="H314" s="18" t="str">
        <f>IF($C314="","",固定信息!$B$1)</f>
        <v/>
      </c>
      <c r="I314" s="18"/>
      <c r="J314" s="18" t="str">
        <f t="array" ref="J314">_xlfn.XLOOKUP(A314&amp;B314&amp;C314,价格信息!$A:$A&amp;价格信息!$B:$B&amp;价格信息!$C:$C,价格信息!$D:$D)</f>
        <v/>
      </c>
      <c r="K314" s="31" t="str">
        <f t="array" ref="K314">IF(_xlfn.XLOOKUP(A314&amp;B314&amp;C314,价格信息!$A:$A&amp;价格信息!$B:$B&amp;价格信息!$C:$C,价格信息!$I:$I)="","","【优惠券链接】"&amp;固定信息!$B$6)</f>
        <v/>
      </c>
      <c r="L314" s="31" t="str">
        <f>IF($C314="","",固定信息!$B$1)</f>
        <v/>
      </c>
      <c r="M314" s="18" t="str">
        <f t="array" ref="M314">IF(_xlfn.XLOOKUP(A314&amp;B314&amp;C314,盘货信息!$A:$A&amp;盘货信息!$B:$B&amp;盘货信息!$C:$C,盘货信息!$O:$O)="","","【优惠券】领"&amp;INDEX(_wpsfn.REGEXP(_xlfn.XLOOKUP(A314&amp;B314&amp;C314,盘货信息!$A:$A&amp;盘货信息!$B:$B&amp;盘货信息!$C:$C,盘货信息!$O:$O),"\d+"),1,1)&amp;"元优惠券下单更优惠，优惠卷："&amp;_xlfn.XLOOKUP(A314&amp;B314&amp;C314,盘货信息!$A:$A&amp;盘货信息!$B:$B&amp;盘货信息!$C:$C,盘货信息!$P:$P))</f>
        <v/>
      </c>
      <c r="N314" s="18" t="str">
        <f t="array" ref="N314">IF(AND(ISNUMBER(_xlfn.XLOOKUP(A314&amp;B314&amp;C314,盘货信息!$A:$A&amp;盘货信息!$B:$B&amp;盘货信息!$C:$C,盘货信息!$I:$I)),_xlfn.XLOOKUP(A314&amp;B314&amp;C314,盘货信息!$A:$A&amp;盘货信息!$B:$B&amp;盘货信息!$C:$C,盘货信息!$I:$I)&gt;1),"【88VIP】立减"&amp;_xlfn.XLOOKUP(A314&amp;B314&amp;C314,盘货信息!$A:$A&amp;盘货信息!$B:$B&amp;盘货信息!$C:$C,盘货信息!$I:$I)&amp;"元","")</f>
        <v/>
      </c>
      <c r="O314" s="18" t="str">
        <f t="array" ref="O314">IF(_xlfn.XLOOKUP(A314&amp;B314&amp;C314,盘货信息!$A:$A&amp;盘货信息!$B:$B&amp;盘货信息!$C:$C,盘货信息!$K:$K)="","",IF(AND(_xlfn.XLOOKUP(A314&amp;B314&amp;C314,盘货信息!$A:$A&amp;盘货信息!$B:$B&amp;盘货信息!$C:$C,盘货信息!$G:$G)="不参加",_xlfn.XLOOKUP(A314&amp;B314&amp;C314,盘货信息!$A:$A&amp;盘货信息!$B:$B&amp;盘货信息!$C:$C,盘货信息!$H:$H)=""),"【以旧换新】"&amp;_xlfn.XLOOKUP(A314&amp;B314&amp;C314,盘货信息!$A:$A&amp;盘货信息!$B:$B&amp;盘货信息!$C:$C,盘货信息!$K:$K)&amp;"元以旧换新补贴（可无旧机换新）",""))</f>
        <v/>
      </c>
      <c r="P314" s="18" t="str">
        <f t="array" ref="P314">_xlfn.XLOOKUP(A314&amp;B314&amp;C314,赠品!$A:$A&amp;赠品!$B:$B&amp;赠品!$C:$C,赠品!$D:$D)</f>
        <v/>
      </c>
      <c r="Q314" s="18" t="str">
        <f>IF($C314="","",IF(AND(M314="",N314="",P314=""),"",固定信息!$B$1))</f>
        <v/>
      </c>
      <c r="R314" s="18" t="str">
        <f t="array" ref="R314">IF(ISNUMBER(SEARCH("是",_xlfn.XLOOKUP(A314&amp;B314&amp;C314,盘货信息!$A:$A&amp;盘货信息!$B:$B&amp;盘货信息!$C:$C,盘货信息!$U:$U))),"【折扣】指定型号满2类享96折，满3类享94折","")</f>
        <v/>
      </c>
      <c r="S314" s="18" t="str">
        <f t="array" ref="S314">IF(_xlfn.XLOOKUP(A314&amp;B314&amp;C314,盘货信息!$A:$A&amp;盘货信息!$B:$B&amp;盘货信息!$C:$C,盘货信息!$Q:$Q)&lt;1,"","【红包】活动时间购机送"&amp;_xlfn.TEXTJOIN("",,IF(ISNUMBER(--MID(_xlfn.XLOOKUP(A314&amp;B314&amp;C314,盘货信息!$A:$A&amp;盘货信息!$B:$B&amp;盘货信息!$C:$C,盘货信息!$Q:$Q),_xlfn.SEQUENCE(LEN(_xlfn.XLOOKUP(A314&amp;B314&amp;C314,盘货信息!$A:$A&amp;盘货信息!$B:$B&amp;盘货信息!$C:$C,盘货信息!$Q:$Q))),1)),MID(_xlfn.XLOOKUP(A314&amp;B314&amp;C314,盘货信息!$A:$A&amp;盘货信息!$B:$B&amp;盘货信息!$C:$C,盘货信息!$Q:$Q),_xlfn.SEQUENCE(LEN(_xlfn.XLOOKUP(A314&amp;B314&amp;C314,盘货信息!$A:$A&amp;盘货信息!$B:$B&amp;盘货信息!$C:$C,盘货信息!$Q:$Q))),1),""))&amp;"元")</f>
        <v/>
      </c>
      <c r="T314" s="18" t="str">
        <f t="array" ref="T314">IF(ISNUMBER(SEARCH("是",_xlfn.XLOOKUP(A314&amp;B314&amp;C314,盘货信息!$A:$A&amp;盘货信息!$B:$B&amp;盘货信息!$C:$C,盘货信息!$T:$T))),"【瓜分】"&amp;固定信息!$B$7,"")</f>
        <v/>
      </c>
      <c r="U314" s="18" t="str">
        <f>IF($C314="","",IF(AND(R314="",S314="",T314=""),"",固定信息!$B$1))</f>
        <v/>
      </c>
      <c r="V314" s="18" t="str">
        <f t="array" ref="V314">IF(C314="","","【服务】"&amp;IF(_xlfn.XLOOKUP(A314&amp;B314&amp;C314,盘货信息!$A:$A&amp;盘货信息!$B:$B&amp;盘货信息!$C:$C,盘货信息!$V:$V)="","",_xlfn.XLOOKUP(A314&amp;B314&amp;C314,盘货信息!$A:$A&amp;盘货信息!$B:$B&amp;盘货信息!$C:$C,盘货信息!$V:$V)&amp;"免息,")&amp;IF(_xlfn.XLOOKUP(A314&amp;B314&amp;C314,盘货信息!$A:$A&amp;盘货信息!$B:$B&amp;盘货信息!$C:$C,盘货信息!$W:$W)="","",_xlfn.XLOOKUP(A314&amp;B314&amp;C314,盘货信息!$A:$A&amp;盘货信息!$B:$B&amp;盘货信息!$C:$C,盘货信息!$W:$W)&amp;"，")&amp;"送货入户，退换免运费")</f>
        <v/>
      </c>
    </row>
    <row r="315" customHeight="1" spans="1:22">
      <c r="A315" s="17" t="str">
        <f>IF(盘货信息!A315="","",盘货信息!A315)</f>
        <v/>
      </c>
      <c r="B315" s="20" t="str">
        <f>IF(盘货信息!B315="","",盘货信息!B315)</f>
        <v/>
      </c>
      <c r="C315" s="18" t="str">
        <f>IF(盘货信息!C315="","",盘货信息!C315)</f>
        <v/>
      </c>
      <c r="D315" s="18" t="str">
        <f ca="1" t="shared" si="4"/>
        <v/>
      </c>
      <c r="E315" s="18" t="str">
        <f>IF(C315="","",固定信息!$B$2)</f>
        <v/>
      </c>
      <c r="F315" s="18" t="str">
        <f t="array" ref="F315">IF(C315="","","【"&amp;C315&amp;"】"&amp;_xlfn.XLOOKUP(A315&amp;B315&amp;C315,盘货信息!$A:$A&amp;盘货信息!$B:$B&amp;盘货信息!$C:$C,盘货信息!$D:$D))</f>
        <v/>
      </c>
      <c r="G315" s="18" t="str">
        <f>IF(C315="","","【"&amp;"活动时间："&amp;固定信息!$B$3&amp;"】")</f>
        <v/>
      </c>
      <c r="H315" s="18" t="str">
        <f>IF($C315="","",固定信息!$B$1)</f>
        <v/>
      </c>
      <c r="I315" s="18"/>
      <c r="J315" s="18" t="str">
        <f t="array" ref="J315">_xlfn.XLOOKUP(A315&amp;B315&amp;C315,价格信息!$A:$A&amp;价格信息!$B:$B&amp;价格信息!$C:$C,价格信息!$D:$D)</f>
        <v/>
      </c>
      <c r="K315" s="31" t="str">
        <f t="array" ref="K315">IF(_xlfn.XLOOKUP(A315&amp;B315&amp;C315,价格信息!$A:$A&amp;价格信息!$B:$B&amp;价格信息!$C:$C,价格信息!$I:$I)="","","【优惠券链接】"&amp;固定信息!$B$6)</f>
        <v/>
      </c>
      <c r="L315" s="31" t="str">
        <f>IF($C315="","",固定信息!$B$1)</f>
        <v/>
      </c>
      <c r="M315" s="18" t="str">
        <f t="array" ref="M315">IF(_xlfn.XLOOKUP(A315&amp;B315&amp;C315,盘货信息!$A:$A&amp;盘货信息!$B:$B&amp;盘货信息!$C:$C,盘货信息!$O:$O)="","","【优惠券】领"&amp;INDEX(_wpsfn.REGEXP(_xlfn.XLOOKUP(A315&amp;B315&amp;C315,盘货信息!$A:$A&amp;盘货信息!$B:$B&amp;盘货信息!$C:$C,盘货信息!$O:$O),"\d+"),1,1)&amp;"元优惠券下单更优惠，优惠卷："&amp;_xlfn.XLOOKUP(A315&amp;B315&amp;C315,盘货信息!$A:$A&amp;盘货信息!$B:$B&amp;盘货信息!$C:$C,盘货信息!$P:$P))</f>
        <v/>
      </c>
      <c r="N315" s="18" t="str">
        <f t="array" ref="N315">IF(AND(ISNUMBER(_xlfn.XLOOKUP(A315&amp;B315&amp;C315,盘货信息!$A:$A&amp;盘货信息!$B:$B&amp;盘货信息!$C:$C,盘货信息!$I:$I)),_xlfn.XLOOKUP(A315&amp;B315&amp;C315,盘货信息!$A:$A&amp;盘货信息!$B:$B&amp;盘货信息!$C:$C,盘货信息!$I:$I)&gt;1),"【88VIP】立减"&amp;_xlfn.XLOOKUP(A315&amp;B315&amp;C315,盘货信息!$A:$A&amp;盘货信息!$B:$B&amp;盘货信息!$C:$C,盘货信息!$I:$I)&amp;"元","")</f>
        <v/>
      </c>
      <c r="O315" s="18" t="str">
        <f t="array" ref="O315">IF(_xlfn.XLOOKUP(A315&amp;B315&amp;C315,盘货信息!$A:$A&amp;盘货信息!$B:$B&amp;盘货信息!$C:$C,盘货信息!$K:$K)="","",IF(AND(_xlfn.XLOOKUP(A315&amp;B315&amp;C315,盘货信息!$A:$A&amp;盘货信息!$B:$B&amp;盘货信息!$C:$C,盘货信息!$G:$G)="不参加",_xlfn.XLOOKUP(A315&amp;B315&amp;C315,盘货信息!$A:$A&amp;盘货信息!$B:$B&amp;盘货信息!$C:$C,盘货信息!$H:$H)=""),"【以旧换新】"&amp;_xlfn.XLOOKUP(A315&amp;B315&amp;C315,盘货信息!$A:$A&amp;盘货信息!$B:$B&amp;盘货信息!$C:$C,盘货信息!$K:$K)&amp;"元以旧换新补贴（可无旧机换新）",""))</f>
        <v/>
      </c>
      <c r="P315" s="18" t="str">
        <f t="array" ref="P315">_xlfn.XLOOKUP(A315&amp;B315&amp;C315,赠品!$A:$A&amp;赠品!$B:$B&amp;赠品!$C:$C,赠品!$D:$D)</f>
        <v/>
      </c>
      <c r="Q315" s="18" t="str">
        <f>IF($C315="","",IF(AND(M315="",N315="",P315=""),"",固定信息!$B$1))</f>
        <v/>
      </c>
      <c r="R315" s="18" t="str">
        <f t="array" ref="R315">IF(ISNUMBER(SEARCH("是",_xlfn.XLOOKUP(A315&amp;B315&amp;C315,盘货信息!$A:$A&amp;盘货信息!$B:$B&amp;盘货信息!$C:$C,盘货信息!$U:$U))),"【折扣】指定型号满2类享96折，满3类享94折","")</f>
        <v/>
      </c>
      <c r="S315" s="18" t="str">
        <f t="array" ref="S315">IF(_xlfn.XLOOKUP(A315&amp;B315&amp;C315,盘货信息!$A:$A&amp;盘货信息!$B:$B&amp;盘货信息!$C:$C,盘货信息!$Q:$Q)&lt;1,"","【红包】活动时间购机送"&amp;_xlfn.TEXTJOIN("",,IF(ISNUMBER(--MID(_xlfn.XLOOKUP(A315&amp;B315&amp;C315,盘货信息!$A:$A&amp;盘货信息!$B:$B&amp;盘货信息!$C:$C,盘货信息!$Q:$Q),_xlfn.SEQUENCE(LEN(_xlfn.XLOOKUP(A315&amp;B315&amp;C315,盘货信息!$A:$A&amp;盘货信息!$B:$B&amp;盘货信息!$C:$C,盘货信息!$Q:$Q))),1)),MID(_xlfn.XLOOKUP(A315&amp;B315&amp;C315,盘货信息!$A:$A&amp;盘货信息!$B:$B&amp;盘货信息!$C:$C,盘货信息!$Q:$Q),_xlfn.SEQUENCE(LEN(_xlfn.XLOOKUP(A315&amp;B315&amp;C315,盘货信息!$A:$A&amp;盘货信息!$B:$B&amp;盘货信息!$C:$C,盘货信息!$Q:$Q))),1),""))&amp;"元")</f>
        <v/>
      </c>
      <c r="T315" s="18" t="str">
        <f t="array" ref="T315">IF(ISNUMBER(SEARCH("是",_xlfn.XLOOKUP(A315&amp;B315&amp;C315,盘货信息!$A:$A&amp;盘货信息!$B:$B&amp;盘货信息!$C:$C,盘货信息!$T:$T))),"【瓜分】"&amp;固定信息!$B$7,"")</f>
        <v/>
      </c>
      <c r="U315" s="18" t="str">
        <f>IF($C315="","",IF(AND(R315="",S315="",T315=""),"",固定信息!$B$1))</f>
        <v/>
      </c>
      <c r="V315" s="18" t="str">
        <f t="array" ref="V315">IF(C315="","","【服务】"&amp;IF(_xlfn.XLOOKUP(A315&amp;B315&amp;C315,盘货信息!$A:$A&amp;盘货信息!$B:$B&amp;盘货信息!$C:$C,盘货信息!$V:$V)="","",_xlfn.XLOOKUP(A315&amp;B315&amp;C315,盘货信息!$A:$A&amp;盘货信息!$B:$B&amp;盘货信息!$C:$C,盘货信息!$V:$V)&amp;"免息,")&amp;IF(_xlfn.XLOOKUP(A315&amp;B315&amp;C315,盘货信息!$A:$A&amp;盘货信息!$B:$B&amp;盘货信息!$C:$C,盘货信息!$W:$W)="","",_xlfn.XLOOKUP(A315&amp;B315&amp;C315,盘货信息!$A:$A&amp;盘货信息!$B:$B&amp;盘货信息!$C:$C,盘货信息!$W:$W)&amp;"，")&amp;"送货入户，退换免运费")</f>
        <v/>
      </c>
    </row>
    <row r="316" customHeight="1" spans="1:22">
      <c r="A316" s="17" t="str">
        <f>IF(盘货信息!A316="","",盘货信息!A316)</f>
        <v/>
      </c>
      <c r="B316" s="20" t="str">
        <f>IF(盘货信息!B316="","",盘货信息!B316)</f>
        <v/>
      </c>
      <c r="C316" s="18" t="str">
        <f>IF(盘货信息!C316="","",盘货信息!C316)</f>
        <v/>
      </c>
      <c r="D316" s="18" t="str">
        <f ca="1" t="shared" si="4"/>
        <v/>
      </c>
      <c r="E316" s="18" t="str">
        <f>IF(C316="","",固定信息!$B$2)</f>
        <v/>
      </c>
      <c r="F316" s="18" t="str">
        <f t="array" ref="F316">IF(C316="","","【"&amp;C316&amp;"】"&amp;_xlfn.XLOOKUP(A316&amp;B316&amp;C316,盘货信息!$A:$A&amp;盘货信息!$B:$B&amp;盘货信息!$C:$C,盘货信息!$D:$D))</f>
        <v/>
      </c>
      <c r="G316" s="18" t="str">
        <f>IF(C316="","","【"&amp;"活动时间："&amp;固定信息!$B$3&amp;"】")</f>
        <v/>
      </c>
      <c r="H316" s="18" t="str">
        <f>IF($C316="","",固定信息!$B$1)</f>
        <v/>
      </c>
      <c r="I316" s="18"/>
      <c r="J316" s="18" t="str">
        <f t="array" ref="J316">_xlfn.XLOOKUP(A316&amp;B316&amp;C316,价格信息!$A:$A&amp;价格信息!$B:$B&amp;价格信息!$C:$C,价格信息!$D:$D)</f>
        <v/>
      </c>
      <c r="K316" s="31" t="str">
        <f t="array" ref="K316">IF(_xlfn.XLOOKUP(A316&amp;B316&amp;C316,价格信息!$A:$A&amp;价格信息!$B:$B&amp;价格信息!$C:$C,价格信息!$I:$I)="","","【优惠券链接】"&amp;固定信息!$B$6)</f>
        <v/>
      </c>
      <c r="L316" s="31" t="str">
        <f>IF($C316="","",固定信息!$B$1)</f>
        <v/>
      </c>
      <c r="M316" s="18" t="str">
        <f t="array" ref="M316">IF(_xlfn.XLOOKUP(A316&amp;B316&amp;C316,盘货信息!$A:$A&amp;盘货信息!$B:$B&amp;盘货信息!$C:$C,盘货信息!$O:$O)="","","【优惠券】领"&amp;INDEX(_wpsfn.REGEXP(_xlfn.XLOOKUP(A316&amp;B316&amp;C316,盘货信息!$A:$A&amp;盘货信息!$B:$B&amp;盘货信息!$C:$C,盘货信息!$O:$O),"\d+"),1,1)&amp;"元优惠券下单更优惠，优惠卷："&amp;_xlfn.XLOOKUP(A316&amp;B316&amp;C316,盘货信息!$A:$A&amp;盘货信息!$B:$B&amp;盘货信息!$C:$C,盘货信息!$P:$P))</f>
        <v/>
      </c>
      <c r="N316" s="18" t="str">
        <f t="array" ref="N316">IF(AND(ISNUMBER(_xlfn.XLOOKUP(A316&amp;B316&amp;C316,盘货信息!$A:$A&amp;盘货信息!$B:$B&amp;盘货信息!$C:$C,盘货信息!$I:$I)),_xlfn.XLOOKUP(A316&amp;B316&amp;C316,盘货信息!$A:$A&amp;盘货信息!$B:$B&amp;盘货信息!$C:$C,盘货信息!$I:$I)&gt;1),"【88VIP】立减"&amp;_xlfn.XLOOKUP(A316&amp;B316&amp;C316,盘货信息!$A:$A&amp;盘货信息!$B:$B&amp;盘货信息!$C:$C,盘货信息!$I:$I)&amp;"元","")</f>
        <v/>
      </c>
      <c r="O316" s="18" t="str">
        <f t="array" ref="O316">IF(_xlfn.XLOOKUP(A316&amp;B316&amp;C316,盘货信息!$A:$A&amp;盘货信息!$B:$B&amp;盘货信息!$C:$C,盘货信息!$K:$K)="","",IF(AND(_xlfn.XLOOKUP(A316&amp;B316&amp;C316,盘货信息!$A:$A&amp;盘货信息!$B:$B&amp;盘货信息!$C:$C,盘货信息!$G:$G)="不参加",_xlfn.XLOOKUP(A316&amp;B316&amp;C316,盘货信息!$A:$A&amp;盘货信息!$B:$B&amp;盘货信息!$C:$C,盘货信息!$H:$H)=""),"【以旧换新】"&amp;_xlfn.XLOOKUP(A316&amp;B316&amp;C316,盘货信息!$A:$A&amp;盘货信息!$B:$B&amp;盘货信息!$C:$C,盘货信息!$K:$K)&amp;"元以旧换新补贴（可无旧机换新）",""))</f>
        <v/>
      </c>
      <c r="P316" s="18" t="str">
        <f t="array" ref="P316">_xlfn.XLOOKUP(A316&amp;B316&amp;C316,赠品!$A:$A&amp;赠品!$B:$B&amp;赠品!$C:$C,赠品!$D:$D)</f>
        <v/>
      </c>
      <c r="Q316" s="18" t="str">
        <f>IF($C316="","",IF(AND(M316="",N316="",P316=""),"",固定信息!$B$1))</f>
        <v/>
      </c>
      <c r="R316" s="18" t="str">
        <f t="array" ref="R316">IF(ISNUMBER(SEARCH("是",_xlfn.XLOOKUP(A316&amp;B316&amp;C316,盘货信息!$A:$A&amp;盘货信息!$B:$B&amp;盘货信息!$C:$C,盘货信息!$U:$U))),"【折扣】指定型号满2类享96折，满3类享94折","")</f>
        <v/>
      </c>
      <c r="S316" s="18" t="str">
        <f t="array" ref="S316">IF(_xlfn.XLOOKUP(A316&amp;B316&amp;C316,盘货信息!$A:$A&amp;盘货信息!$B:$B&amp;盘货信息!$C:$C,盘货信息!$Q:$Q)&lt;1,"","【红包】活动时间购机送"&amp;_xlfn.TEXTJOIN("",,IF(ISNUMBER(--MID(_xlfn.XLOOKUP(A316&amp;B316&amp;C316,盘货信息!$A:$A&amp;盘货信息!$B:$B&amp;盘货信息!$C:$C,盘货信息!$Q:$Q),_xlfn.SEQUENCE(LEN(_xlfn.XLOOKUP(A316&amp;B316&amp;C316,盘货信息!$A:$A&amp;盘货信息!$B:$B&amp;盘货信息!$C:$C,盘货信息!$Q:$Q))),1)),MID(_xlfn.XLOOKUP(A316&amp;B316&amp;C316,盘货信息!$A:$A&amp;盘货信息!$B:$B&amp;盘货信息!$C:$C,盘货信息!$Q:$Q),_xlfn.SEQUENCE(LEN(_xlfn.XLOOKUP(A316&amp;B316&amp;C316,盘货信息!$A:$A&amp;盘货信息!$B:$B&amp;盘货信息!$C:$C,盘货信息!$Q:$Q))),1),""))&amp;"元")</f>
        <v/>
      </c>
      <c r="T316" s="18" t="str">
        <f t="array" ref="T316">IF(ISNUMBER(SEARCH("是",_xlfn.XLOOKUP(A316&amp;B316&amp;C316,盘货信息!$A:$A&amp;盘货信息!$B:$B&amp;盘货信息!$C:$C,盘货信息!$T:$T))),"【瓜分】"&amp;固定信息!$B$7,"")</f>
        <v/>
      </c>
      <c r="U316" s="18" t="str">
        <f>IF($C316="","",IF(AND(R316="",S316="",T316=""),"",固定信息!$B$1))</f>
        <v/>
      </c>
      <c r="V316" s="18" t="str">
        <f t="array" ref="V316">IF(C316="","","【服务】"&amp;IF(_xlfn.XLOOKUP(A316&amp;B316&amp;C316,盘货信息!$A:$A&amp;盘货信息!$B:$B&amp;盘货信息!$C:$C,盘货信息!$V:$V)="","",_xlfn.XLOOKUP(A316&amp;B316&amp;C316,盘货信息!$A:$A&amp;盘货信息!$B:$B&amp;盘货信息!$C:$C,盘货信息!$V:$V)&amp;"免息,")&amp;IF(_xlfn.XLOOKUP(A316&amp;B316&amp;C316,盘货信息!$A:$A&amp;盘货信息!$B:$B&amp;盘货信息!$C:$C,盘货信息!$W:$W)="","",_xlfn.XLOOKUP(A316&amp;B316&amp;C316,盘货信息!$A:$A&amp;盘货信息!$B:$B&amp;盘货信息!$C:$C,盘货信息!$W:$W)&amp;"，")&amp;"送货入户，退换免运费")</f>
        <v/>
      </c>
    </row>
    <row r="317" customHeight="1" spans="1:22">
      <c r="A317" s="17" t="str">
        <f>IF(盘货信息!A317="","",盘货信息!A317)</f>
        <v/>
      </c>
      <c r="B317" s="20" t="str">
        <f>IF(盘货信息!B317="","",盘货信息!B317)</f>
        <v/>
      </c>
      <c r="C317" s="18" t="str">
        <f>IF(盘货信息!C317="","",盘货信息!C317)</f>
        <v/>
      </c>
      <c r="D317" s="18" t="str">
        <f ca="1" t="shared" si="4"/>
        <v/>
      </c>
      <c r="E317" s="18" t="str">
        <f>IF(C317="","",固定信息!$B$2)</f>
        <v/>
      </c>
      <c r="F317" s="18" t="str">
        <f t="array" ref="F317">IF(C317="","","【"&amp;C317&amp;"】"&amp;_xlfn.XLOOKUP(A317&amp;B317&amp;C317,盘货信息!$A:$A&amp;盘货信息!$B:$B&amp;盘货信息!$C:$C,盘货信息!$D:$D))</f>
        <v/>
      </c>
      <c r="G317" s="18" t="str">
        <f>IF(C317="","","【"&amp;"活动时间："&amp;固定信息!$B$3&amp;"】")</f>
        <v/>
      </c>
      <c r="H317" s="18" t="str">
        <f>IF($C317="","",固定信息!$B$1)</f>
        <v/>
      </c>
      <c r="I317" s="18"/>
      <c r="J317" s="18" t="str">
        <f t="array" ref="J317">_xlfn.XLOOKUP(A317&amp;B317&amp;C317,价格信息!$A:$A&amp;价格信息!$B:$B&amp;价格信息!$C:$C,价格信息!$D:$D)</f>
        <v/>
      </c>
      <c r="K317" s="31" t="str">
        <f t="array" ref="K317">IF(_xlfn.XLOOKUP(A317&amp;B317&amp;C317,价格信息!$A:$A&amp;价格信息!$B:$B&amp;价格信息!$C:$C,价格信息!$I:$I)="","","【优惠券链接】"&amp;固定信息!$B$6)</f>
        <v/>
      </c>
      <c r="L317" s="31" t="str">
        <f>IF($C317="","",固定信息!$B$1)</f>
        <v/>
      </c>
      <c r="M317" s="18" t="str">
        <f t="array" ref="M317">IF(_xlfn.XLOOKUP(A317&amp;B317&amp;C317,盘货信息!$A:$A&amp;盘货信息!$B:$B&amp;盘货信息!$C:$C,盘货信息!$O:$O)="","","【优惠券】领"&amp;INDEX(_wpsfn.REGEXP(_xlfn.XLOOKUP(A317&amp;B317&amp;C317,盘货信息!$A:$A&amp;盘货信息!$B:$B&amp;盘货信息!$C:$C,盘货信息!$O:$O),"\d+"),1,1)&amp;"元优惠券下单更优惠，优惠卷："&amp;_xlfn.XLOOKUP(A317&amp;B317&amp;C317,盘货信息!$A:$A&amp;盘货信息!$B:$B&amp;盘货信息!$C:$C,盘货信息!$P:$P))</f>
        <v/>
      </c>
      <c r="N317" s="18" t="str">
        <f t="array" ref="N317">IF(AND(ISNUMBER(_xlfn.XLOOKUP(A317&amp;B317&amp;C317,盘货信息!$A:$A&amp;盘货信息!$B:$B&amp;盘货信息!$C:$C,盘货信息!$I:$I)),_xlfn.XLOOKUP(A317&amp;B317&amp;C317,盘货信息!$A:$A&amp;盘货信息!$B:$B&amp;盘货信息!$C:$C,盘货信息!$I:$I)&gt;1),"【88VIP】立减"&amp;_xlfn.XLOOKUP(A317&amp;B317&amp;C317,盘货信息!$A:$A&amp;盘货信息!$B:$B&amp;盘货信息!$C:$C,盘货信息!$I:$I)&amp;"元","")</f>
        <v/>
      </c>
      <c r="O317" s="18" t="str">
        <f t="array" ref="O317">IF(_xlfn.XLOOKUP(A317&amp;B317&amp;C317,盘货信息!$A:$A&amp;盘货信息!$B:$B&amp;盘货信息!$C:$C,盘货信息!$K:$K)="","",IF(AND(_xlfn.XLOOKUP(A317&amp;B317&amp;C317,盘货信息!$A:$A&amp;盘货信息!$B:$B&amp;盘货信息!$C:$C,盘货信息!$G:$G)="不参加",_xlfn.XLOOKUP(A317&amp;B317&amp;C317,盘货信息!$A:$A&amp;盘货信息!$B:$B&amp;盘货信息!$C:$C,盘货信息!$H:$H)=""),"【以旧换新】"&amp;_xlfn.XLOOKUP(A317&amp;B317&amp;C317,盘货信息!$A:$A&amp;盘货信息!$B:$B&amp;盘货信息!$C:$C,盘货信息!$K:$K)&amp;"元以旧换新补贴（可无旧机换新）",""))</f>
        <v/>
      </c>
      <c r="P317" s="18" t="str">
        <f t="array" ref="P317">_xlfn.XLOOKUP(A317&amp;B317&amp;C317,赠品!$A:$A&amp;赠品!$B:$B&amp;赠品!$C:$C,赠品!$D:$D)</f>
        <v/>
      </c>
      <c r="Q317" s="18" t="str">
        <f>IF($C317="","",IF(AND(M317="",N317="",P317=""),"",固定信息!$B$1))</f>
        <v/>
      </c>
      <c r="R317" s="18" t="str">
        <f t="array" ref="R317">IF(ISNUMBER(SEARCH("是",_xlfn.XLOOKUP(A317&amp;B317&amp;C317,盘货信息!$A:$A&amp;盘货信息!$B:$B&amp;盘货信息!$C:$C,盘货信息!$U:$U))),"【折扣】指定型号满2类享96折，满3类享94折","")</f>
        <v/>
      </c>
      <c r="S317" s="18" t="str">
        <f t="array" ref="S317">IF(_xlfn.XLOOKUP(A317&amp;B317&amp;C317,盘货信息!$A:$A&amp;盘货信息!$B:$B&amp;盘货信息!$C:$C,盘货信息!$Q:$Q)&lt;1,"","【红包】活动时间购机送"&amp;_xlfn.TEXTJOIN("",,IF(ISNUMBER(--MID(_xlfn.XLOOKUP(A317&amp;B317&amp;C317,盘货信息!$A:$A&amp;盘货信息!$B:$B&amp;盘货信息!$C:$C,盘货信息!$Q:$Q),_xlfn.SEQUENCE(LEN(_xlfn.XLOOKUP(A317&amp;B317&amp;C317,盘货信息!$A:$A&amp;盘货信息!$B:$B&amp;盘货信息!$C:$C,盘货信息!$Q:$Q))),1)),MID(_xlfn.XLOOKUP(A317&amp;B317&amp;C317,盘货信息!$A:$A&amp;盘货信息!$B:$B&amp;盘货信息!$C:$C,盘货信息!$Q:$Q),_xlfn.SEQUENCE(LEN(_xlfn.XLOOKUP(A317&amp;B317&amp;C317,盘货信息!$A:$A&amp;盘货信息!$B:$B&amp;盘货信息!$C:$C,盘货信息!$Q:$Q))),1),""))&amp;"元")</f>
        <v/>
      </c>
      <c r="T317" s="18" t="str">
        <f t="array" ref="T317">IF(ISNUMBER(SEARCH("是",_xlfn.XLOOKUP(A317&amp;B317&amp;C317,盘货信息!$A:$A&amp;盘货信息!$B:$B&amp;盘货信息!$C:$C,盘货信息!$T:$T))),"【瓜分】"&amp;固定信息!$B$7,"")</f>
        <v/>
      </c>
      <c r="U317" s="18" t="str">
        <f>IF($C317="","",IF(AND(R317="",S317="",T317=""),"",固定信息!$B$1))</f>
        <v/>
      </c>
      <c r="V317" s="18" t="str">
        <f t="array" ref="V317">IF(C317="","","【服务】"&amp;IF(_xlfn.XLOOKUP(A317&amp;B317&amp;C317,盘货信息!$A:$A&amp;盘货信息!$B:$B&amp;盘货信息!$C:$C,盘货信息!$V:$V)="","",_xlfn.XLOOKUP(A317&amp;B317&amp;C317,盘货信息!$A:$A&amp;盘货信息!$B:$B&amp;盘货信息!$C:$C,盘货信息!$V:$V)&amp;"免息,")&amp;IF(_xlfn.XLOOKUP(A317&amp;B317&amp;C317,盘货信息!$A:$A&amp;盘货信息!$B:$B&amp;盘货信息!$C:$C,盘货信息!$W:$W)="","",_xlfn.XLOOKUP(A317&amp;B317&amp;C317,盘货信息!$A:$A&amp;盘货信息!$B:$B&amp;盘货信息!$C:$C,盘货信息!$W:$W)&amp;"，")&amp;"送货入户，退换免运费")</f>
        <v/>
      </c>
    </row>
    <row r="318" customHeight="1" spans="1:22">
      <c r="A318" s="17" t="str">
        <f>IF(盘货信息!A318="","",盘货信息!A318)</f>
        <v/>
      </c>
      <c r="B318" s="20" t="str">
        <f>IF(盘货信息!B318="","",盘货信息!B318)</f>
        <v/>
      </c>
      <c r="C318" s="18" t="str">
        <f>IF(盘货信息!C318="","",盘货信息!C318)</f>
        <v/>
      </c>
      <c r="D318" s="18" t="str">
        <f ca="1" t="shared" si="4"/>
        <v/>
      </c>
      <c r="E318" s="18" t="str">
        <f>IF(C318="","",固定信息!$B$2)</f>
        <v/>
      </c>
      <c r="F318" s="18" t="str">
        <f t="array" ref="F318">IF(C318="","","【"&amp;C318&amp;"】"&amp;_xlfn.XLOOKUP(A318&amp;B318&amp;C318,盘货信息!$A:$A&amp;盘货信息!$B:$B&amp;盘货信息!$C:$C,盘货信息!$D:$D))</f>
        <v/>
      </c>
      <c r="G318" s="18" t="str">
        <f>IF(C318="","","【"&amp;"活动时间："&amp;固定信息!$B$3&amp;"】")</f>
        <v/>
      </c>
      <c r="H318" s="18" t="str">
        <f>IF($C318="","",固定信息!$B$1)</f>
        <v/>
      </c>
      <c r="I318" s="18"/>
      <c r="J318" s="18" t="str">
        <f t="array" ref="J318">_xlfn.XLOOKUP(A318&amp;B318&amp;C318,价格信息!$A:$A&amp;价格信息!$B:$B&amp;价格信息!$C:$C,价格信息!$D:$D)</f>
        <v/>
      </c>
      <c r="K318" s="31" t="str">
        <f t="array" ref="K318">IF(_xlfn.XLOOKUP(A318&amp;B318&amp;C318,价格信息!$A:$A&amp;价格信息!$B:$B&amp;价格信息!$C:$C,价格信息!$I:$I)="","","【优惠券链接】"&amp;固定信息!$B$6)</f>
        <v/>
      </c>
      <c r="L318" s="31" t="str">
        <f>IF($C318="","",固定信息!$B$1)</f>
        <v/>
      </c>
      <c r="M318" s="18" t="str">
        <f t="array" ref="M318">IF(_xlfn.XLOOKUP(A318&amp;B318&amp;C318,盘货信息!$A:$A&amp;盘货信息!$B:$B&amp;盘货信息!$C:$C,盘货信息!$O:$O)="","","【优惠券】领"&amp;INDEX(_wpsfn.REGEXP(_xlfn.XLOOKUP(A318&amp;B318&amp;C318,盘货信息!$A:$A&amp;盘货信息!$B:$B&amp;盘货信息!$C:$C,盘货信息!$O:$O),"\d+"),1,1)&amp;"元优惠券下单更优惠，优惠卷："&amp;_xlfn.XLOOKUP(A318&amp;B318&amp;C318,盘货信息!$A:$A&amp;盘货信息!$B:$B&amp;盘货信息!$C:$C,盘货信息!$P:$P))</f>
        <v/>
      </c>
      <c r="N318" s="18" t="str">
        <f t="array" ref="N318">IF(AND(ISNUMBER(_xlfn.XLOOKUP(A318&amp;B318&amp;C318,盘货信息!$A:$A&amp;盘货信息!$B:$B&amp;盘货信息!$C:$C,盘货信息!$I:$I)),_xlfn.XLOOKUP(A318&amp;B318&amp;C318,盘货信息!$A:$A&amp;盘货信息!$B:$B&amp;盘货信息!$C:$C,盘货信息!$I:$I)&gt;1),"【88VIP】立减"&amp;_xlfn.XLOOKUP(A318&amp;B318&amp;C318,盘货信息!$A:$A&amp;盘货信息!$B:$B&amp;盘货信息!$C:$C,盘货信息!$I:$I)&amp;"元","")</f>
        <v/>
      </c>
      <c r="O318" s="18" t="str">
        <f t="array" ref="O318">IF(_xlfn.XLOOKUP(A318&amp;B318&amp;C318,盘货信息!$A:$A&amp;盘货信息!$B:$B&amp;盘货信息!$C:$C,盘货信息!$K:$K)="","",IF(AND(_xlfn.XLOOKUP(A318&amp;B318&amp;C318,盘货信息!$A:$A&amp;盘货信息!$B:$B&amp;盘货信息!$C:$C,盘货信息!$G:$G)="不参加",_xlfn.XLOOKUP(A318&amp;B318&amp;C318,盘货信息!$A:$A&amp;盘货信息!$B:$B&amp;盘货信息!$C:$C,盘货信息!$H:$H)=""),"【以旧换新】"&amp;_xlfn.XLOOKUP(A318&amp;B318&amp;C318,盘货信息!$A:$A&amp;盘货信息!$B:$B&amp;盘货信息!$C:$C,盘货信息!$K:$K)&amp;"元以旧换新补贴（可无旧机换新）",""))</f>
        <v/>
      </c>
      <c r="P318" s="18" t="str">
        <f t="array" ref="P318">_xlfn.XLOOKUP(A318&amp;B318&amp;C318,赠品!$A:$A&amp;赠品!$B:$B&amp;赠品!$C:$C,赠品!$D:$D)</f>
        <v/>
      </c>
      <c r="Q318" s="18" t="str">
        <f>IF($C318="","",IF(AND(M318="",N318="",P318=""),"",固定信息!$B$1))</f>
        <v/>
      </c>
      <c r="R318" s="18" t="str">
        <f t="array" ref="R318">IF(ISNUMBER(SEARCH("是",_xlfn.XLOOKUP(A318&amp;B318&amp;C318,盘货信息!$A:$A&amp;盘货信息!$B:$B&amp;盘货信息!$C:$C,盘货信息!$U:$U))),"【折扣】指定型号满2类享96折，满3类享94折","")</f>
        <v/>
      </c>
      <c r="S318" s="18" t="str">
        <f t="array" ref="S318">IF(_xlfn.XLOOKUP(A318&amp;B318&amp;C318,盘货信息!$A:$A&amp;盘货信息!$B:$B&amp;盘货信息!$C:$C,盘货信息!$Q:$Q)&lt;1,"","【红包】活动时间购机送"&amp;_xlfn.TEXTJOIN("",,IF(ISNUMBER(--MID(_xlfn.XLOOKUP(A318&amp;B318&amp;C318,盘货信息!$A:$A&amp;盘货信息!$B:$B&amp;盘货信息!$C:$C,盘货信息!$Q:$Q),_xlfn.SEQUENCE(LEN(_xlfn.XLOOKUP(A318&amp;B318&amp;C318,盘货信息!$A:$A&amp;盘货信息!$B:$B&amp;盘货信息!$C:$C,盘货信息!$Q:$Q))),1)),MID(_xlfn.XLOOKUP(A318&amp;B318&amp;C318,盘货信息!$A:$A&amp;盘货信息!$B:$B&amp;盘货信息!$C:$C,盘货信息!$Q:$Q),_xlfn.SEQUENCE(LEN(_xlfn.XLOOKUP(A318&amp;B318&amp;C318,盘货信息!$A:$A&amp;盘货信息!$B:$B&amp;盘货信息!$C:$C,盘货信息!$Q:$Q))),1),""))&amp;"元")</f>
        <v/>
      </c>
      <c r="T318" s="18" t="str">
        <f t="array" ref="T318">IF(ISNUMBER(SEARCH("是",_xlfn.XLOOKUP(A318&amp;B318&amp;C318,盘货信息!$A:$A&amp;盘货信息!$B:$B&amp;盘货信息!$C:$C,盘货信息!$T:$T))),"【瓜分】"&amp;固定信息!$B$7,"")</f>
        <v/>
      </c>
      <c r="U318" s="18" t="str">
        <f>IF($C318="","",IF(AND(R318="",S318="",T318=""),"",固定信息!$B$1))</f>
        <v/>
      </c>
      <c r="V318" s="18" t="str">
        <f t="array" ref="V318">IF(C318="","","【服务】"&amp;IF(_xlfn.XLOOKUP(A318&amp;B318&amp;C318,盘货信息!$A:$A&amp;盘货信息!$B:$B&amp;盘货信息!$C:$C,盘货信息!$V:$V)="","",_xlfn.XLOOKUP(A318&amp;B318&amp;C318,盘货信息!$A:$A&amp;盘货信息!$B:$B&amp;盘货信息!$C:$C,盘货信息!$V:$V)&amp;"免息,")&amp;IF(_xlfn.XLOOKUP(A318&amp;B318&amp;C318,盘货信息!$A:$A&amp;盘货信息!$B:$B&amp;盘货信息!$C:$C,盘货信息!$W:$W)="","",_xlfn.XLOOKUP(A318&amp;B318&amp;C318,盘货信息!$A:$A&amp;盘货信息!$B:$B&amp;盘货信息!$C:$C,盘货信息!$W:$W)&amp;"，")&amp;"送货入户，退换免运费")</f>
        <v/>
      </c>
    </row>
    <row r="319" customHeight="1" spans="1:22">
      <c r="A319" s="17" t="str">
        <f>IF(盘货信息!A319="","",盘货信息!A319)</f>
        <v/>
      </c>
      <c r="B319" s="20" t="str">
        <f>IF(盘货信息!B319="","",盘货信息!B319)</f>
        <v/>
      </c>
      <c r="C319" s="18" t="str">
        <f>IF(盘货信息!C319="","",盘货信息!C319)</f>
        <v/>
      </c>
      <c r="D319" s="18" t="str">
        <f ca="1" t="shared" si="4"/>
        <v/>
      </c>
      <c r="E319" s="18" t="str">
        <f>IF(C319="","",固定信息!$B$2)</f>
        <v/>
      </c>
      <c r="F319" s="18" t="str">
        <f t="array" ref="F319">IF(C319="","","【"&amp;C319&amp;"】"&amp;_xlfn.XLOOKUP(A319&amp;B319&amp;C319,盘货信息!$A:$A&amp;盘货信息!$B:$B&amp;盘货信息!$C:$C,盘货信息!$D:$D))</f>
        <v/>
      </c>
      <c r="G319" s="18" t="str">
        <f>IF(C319="","","【"&amp;"活动时间："&amp;固定信息!$B$3&amp;"】")</f>
        <v/>
      </c>
      <c r="H319" s="18" t="str">
        <f>IF($C319="","",固定信息!$B$1)</f>
        <v/>
      </c>
      <c r="I319" s="18"/>
      <c r="J319" s="18" t="str">
        <f t="array" ref="J319">_xlfn.XLOOKUP(A319&amp;B319&amp;C319,价格信息!$A:$A&amp;价格信息!$B:$B&amp;价格信息!$C:$C,价格信息!$D:$D)</f>
        <v/>
      </c>
      <c r="K319" s="31" t="str">
        <f t="array" ref="K319">IF(_xlfn.XLOOKUP(A319&amp;B319&amp;C319,价格信息!$A:$A&amp;价格信息!$B:$B&amp;价格信息!$C:$C,价格信息!$I:$I)="","","【优惠券链接】"&amp;固定信息!$B$6)</f>
        <v/>
      </c>
      <c r="L319" s="31" t="str">
        <f>IF($C319="","",固定信息!$B$1)</f>
        <v/>
      </c>
      <c r="M319" s="18" t="str">
        <f t="array" ref="M319">IF(_xlfn.XLOOKUP(A319&amp;B319&amp;C319,盘货信息!$A:$A&amp;盘货信息!$B:$B&amp;盘货信息!$C:$C,盘货信息!$O:$O)="","","【优惠券】领"&amp;INDEX(_wpsfn.REGEXP(_xlfn.XLOOKUP(A319&amp;B319&amp;C319,盘货信息!$A:$A&amp;盘货信息!$B:$B&amp;盘货信息!$C:$C,盘货信息!$O:$O),"\d+"),1,1)&amp;"元优惠券下单更优惠，优惠卷："&amp;_xlfn.XLOOKUP(A319&amp;B319&amp;C319,盘货信息!$A:$A&amp;盘货信息!$B:$B&amp;盘货信息!$C:$C,盘货信息!$P:$P))</f>
        <v/>
      </c>
      <c r="N319" s="18" t="str">
        <f t="array" ref="N319">IF(AND(ISNUMBER(_xlfn.XLOOKUP(A319&amp;B319&amp;C319,盘货信息!$A:$A&amp;盘货信息!$B:$B&amp;盘货信息!$C:$C,盘货信息!$I:$I)),_xlfn.XLOOKUP(A319&amp;B319&amp;C319,盘货信息!$A:$A&amp;盘货信息!$B:$B&amp;盘货信息!$C:$C,盘货信息!$I:$I)&gt;1),"【88VIP】立减"&amp;_xlfn.XLOOKUP(A319&amp;B319&amp;C319,盘货信息!$A:$A&amp;盘货信息!$B:$B&amp;盘货信息!$C:$C,盘货信息!$I:$I)&amp;"元","")</f>
        <v/>
      </c>
      <c r="O319" s="18" t="str">
        <f t="array" ref="O319">IF(_xlfn.XLOOKUP(A319&amp;B319&amp;C319,盘货信息!$A:$A&amp;盘货信息!$B:$B&amp;盘货信息!$C:$C,盘货信息!$K:$K)="","",IF(AND(_xlfn.XLOOKUP(A319&amp;B319&amp;C319,盘货信息!$A:$A&amp;盘货信息!$B:$B&amp;盘货信息!$C:$C,盘货信息!$G:$G)="不参加",_xlfn.XLOOKUP(A319&amp;B319&amp;C319,盘货信息!$A:$A&amp;盘货信息!$B:$B&amp;盘货信息!$C:$C,盘货信息!$H:$H)=""),"【以旧换新】"&amp;_xlfn.XLOOKUP(A319&amp;B319&amp;C319,盘货信息!$A:$A&amp;盘货信息!$B:$B&amp;盘货信息!$C:$C,盘货信息!$K:$K)&amp;"元以旧换新补贴（可无旧机换新）",""))</f>
        <v/>
      </c>
      <c r="P319" s="18" t="str">
        <f t="array" ref="P319">_xlfn.XLOOKUP(A319&amp;B319&amp;C319,赠品!$A:$A&amp;赠品!$B:$B&amp;赠品!$C:$C,赠品!$D:$D)</f>
        <v/>
      </c>
      <c r="Q319" s="18" t="str">
        <f>IF($C319="","",IF(AND(M319="",N319="",P319=""),"",固定信息!$B$1))</f>
        <v/>
      </c>
      <c r="R319" s="18" t="str">
        <f t="array" ref="R319">IF(ISNUMBER(SEARCH("是",_xlfn.XLOOKUP(A319&amp;B319&amp;C319,盘货信息!$A:$A&amp;盘货信息!$B:$B&amp;盘货信息!$C:$C,盘货信息!$U:$U))),"【折扣】指定型号满2类享96折，满3类享94折","")</f>
        <v/>
      </c>
      <c r="S319" s="18" t="str">
        <f t="array" ref="S319">IF(_xlfn.XLOOKUP(A319&amp;B319&amp;C319,盘货信息!$A:$A&amp;盘货信息!$B:$B&amp;盘货信息!$C:$C,盘货信息!$Q:$Q)&lt;1,"","【红包】活动时间购机送"&amp;_xlfn.TEXTJOIN("",,IF(ISNUMBER(--MID(_xlfn.XLOOKUP(A319&amp;B319&amp;C319,盘货信息!$A:$A&amp;盘货信息!$B:$B&amp;盘货信息!$C:$C,盘货信息!$Q:$Q),_xlfn.SEQUENCE(LEN(_xlfn.XLOOKUP(A319&amp;B319&amp;C319,盘货信息!$A:$A&amp;盘货信息!$B:$B&amp;盘货信息!$C:$C,盘货信息!$Q:$Q))),1)),MID(_xlfn.XLOOKUP(A319&amp;B319&amp;C319,盘货信息!$A:$A&amp;盘货信息!$B:$B&amp;盘货信息!$C:$C,盘货信息!$Q:$Q),_xlfn.SEQUENCE(LEN(_xlfn.XLOOKUP(A319&amp;B319&amp;C319,盘货信息!$A:$A&amp;盘货信息!$B:$B&amp;盘货信息!$C:$C,盘货信息!$Q:$Q))),1),""))&amp;"元")</f>
        <v/>
      </c>
      <c r="T319" s="18" t="str">
        <f t="array" ref="T319">IF(ISNUMBER(SEARCH("是",_xlfn.XLOOKUP(A319&amp;B319&amp;C319,盘货信息!$A:$A&amp;盘货信息!$B:$B&amp;盘货信息!$C:$C,盘货信息!$T:$T))),"【瓜分】"&amp;固定信息!$B$7,"")</f>
        <v/>
      </c>
      <c r="U319" s="18" t="str">
        <f>IF($C319="","",IF(AND(R319="",S319="",T319=""),"",固定信息!$B$1))</f>
        <v/>
      </c>
      <c r="V319" s="18" t="str">
        <f t="array" ref="V319">IF(C319="","","【服务】"&amp;IF(_xlfn.XLOOKUP(A319&amp;B319&amp;C319,盘货信息!$A:$A&amp;盘货信息!$B:$B&amp;盘货信息!$C:$C,盘货信息!$V:$V)="","",_xlfn.XLOOKUP(A319&amp;B319&amp;C319,盘货信息!$A:$A&amp;盘货信息!$B:$B&amp;盘货信息!$C:$C,盘货信息!$V:$V)&amp;"免息,")&amp;IF(_xlfn.XLOOKUP(A319&amp;B319&amp;C319,盘货信息!$A:$A&amp;盘货信息!$B:$B&amp;盘货信息!$C:$C,盘货信息!$W:$W)="","",_xlfn.XLOOKUP(A319&amp;B319&amp;C319,盘货信息!$A:$A&amp;盘货信息!$B:$B&amp;盘货信息!$C:$C,盘货信息!$W:$W)&amp;"，")&amp;"送货入户，退换免运费")</f>
        <v/>
      </c>
    </row>
    <row r="320" customHeight="1" spans="1:22">
      <c r="A320" s="17" t="str">
        <f>IF(盘货信息!A320="","",盘货信息!A320)</f>
        <v/>
      </c>
      <c r="B320" s="20" t="str">
        <f>IF(盘货信息!B320="","",盘货信息!B320)</f>
        <v/>
      </c>
      <c r="C320" s="18" t="str">
        <f>IF(盘货信息!C320="","",盘货信息!C320)</f>
        <v/>
      </c>
      <c r="D320" s="18" t="str">
        <f ca="1" t="shared" si="4"/>
        <v/>
      </c>
      <c r="E320" s="18" t="str">
        <f>IF(C320="","",固定信息!$B$2)</f>
        <v/>
      </c>
      <c r="F320" s="18" t="str">
        <f t="array" ref="F320">IF(C320="","","【"&amp;C320&amp;"】"&amp;_xlfn.XLOOKUP(A320&amp;B320&amp;C320,盘货信息!$A:$A&amp;盘货信息!$B:$B&amp;盘货信息!$C:$C,盘货信息!$D:$D))</f>
        <v/>
      </c>
      <c r="G320" s="18" t="str">
        <f>IF(C320="","","【"&amp;"活动时间："&amp;固定信息!$B$3&amp;"】")</f>
        <v/>
      </c>
      <c r="H320" s="18" t="str">
        <f>IF($C320="","",固定信息!$B$1)</f>
        <v/>
      </c>
      <c r="I320" s="18"/>
      <c r="J320" s="18" t="str">
        <f t="array" ref="J320">_xlfn.XLOOKUP(A320&amp;B320&amp;C320,价格信息!$A:$A&amp;价格信息!$B:$B&amp;价格信息!$C:$C,价格信息!$D:$D)</f>
        <v/>
      </c>
      <c r="K320" s="31" t="str">
        <f t="array" ref="K320">IF(_xlfn.XLOOKUP(A320&amp;B320&amp;C320,价格信息!$A:$A&amp;价格信息!$B:$B&amp;价格信息!$C:$C,价格信息!$I:$I)="","","【优惠券链接】"&amp;固定信息!$B$6)</f>
        <v/>
      </c>
      <c r="L320" s="31" t="str">
        <f>IF($C320="","",固定信息!$B$1)</f>
        <v/>
      </c>
      <c r="M320" s="18" t="str">
        <f t="array" ref="M320">IF(_xlfn.XLOOKUP(A320&amp;B320&amp;C320,盘货信息!$A:$A&amp;盘货信息!$B:$B&amp;盘货信息!$C:$C,盘货信息!$O:$O)="","","【优惠券】领"&amp;INDEX(_wpsfn.REGEXP(_xlfn.XLOOKUP(A320&amp;B320&amp;C320,盘货信息!$A:$A&amp;盘货信息!$B:$B&amp;盘货信息!$C:$C,盘货信息!$O:$O),"\d+"),1,1)&amp;"元优惠券下单更优惠，优惠卷："&amp;_xlfn.XLOOKUP(A320&amp;B320&amp;C320,盘货信息!$A:$A&amp;盘货信息!$B:$B&amp;盘货信息!$C:$C,盘货信息!$P:$P))</f>
        <v/>
      </c>
      <c r="N320" s="18" t="str">
        <f t="array" ref="N320">IF(AND(ISNUMBER(_xlfn.XLOOKUP(A320&amp;B320&amp;C320,盘货信息!$A:$A&amp;盘货信息!$B:$B&amp;盘货信息!$C:$C,盘货信息!$I:$I)),_xlfn.XLOOKUP(A320&amp;B320&amp;C320,盘货信息!$A:$A&amp;盘货信息!$B:$B&amp;盘货信息!$C:$C,盘货信息!$I:$I)&gt;1),"【88VIP】立减"&amp;_xlfn.XLOOKUP(A320&amp;B320&amp;C320,盘货信息!$A:$A&amp;盘货信息!$B:$B&amp;盘货信息!$C:$C,盘货信息!$I:$I)&amp;"元","")</f>
        <v/>
      </c>
      <c r="O320" s="18" t="str">
        <f t="array" ref="O320">IF(_xlfn.XLOOKUP(A320&amp;B320&amp;C320,盘货信息!$A:$A&amp;盘货信息!$B:$B&amp;盘货信息!$C:$C,盘货信息!$K:$K)="","",IF(AND(_xlfn.XLOOKUP(A320&amp;B320&amp;C320,盘货信息!$A:$A&amp;盘货信息!$B:$B&amp;盘货信息!$C:$C,盘货信息!$G:$G)="不参加",_xlfn.XLOOKUP(A320&amp;B320&amp;C320,盘货信息!$A:$A&amp;盘货信息!$B:$B&amp;盘货信息!$C:$C,盘货信息!$H:$H)=""),"【以旧换新】"&amp;_xlfn.XLOOKUP(A320&amp;B320&amp;C320,盘货信息!$A:$A&amp;盘货信息!$B:$B&amp;盘货信息!$C:$C,盘货信息!$K:$K)&amp;"元以旧换新补贴（可无旧机换新）",""))</f>
        <v/>
      </c>
      <c r="P320" s="18" t="str">
        <f t="array" ref="P320">_xlfn.XLOOKUP(A320&amp;B320&amp;C320,赠品!$A:$A&amp;赠品!$B:$B&amp;赠品!$C:$C,赠品!$D:$D)</f>
        <v/>
      </c>
      <c r="Q320" s="18" t="str">
        <f>IF($C320="","",IF(AND(M320="",N320="",P320=""),"",固定信息!$B$1))</f>
        <v/>
      </c>
      <c r="R320" s="18" t="str">
        <f t="array" ref="R320">IF(ISNUMBER(SEARCH("是",_xlfn.XLOOKUP(A320&amp;B320&amp;C320,盘货信息!$A:$A&amp;盘货信息!$B:$B&amp;盘货信息!$C:$C,盘货信息!$U:$U))),"【折扣】指定型号满2类享96折，满3类享94折","")</f>
        <v/>
      </c>
      <c r="S320" s="18" t="str">
        <f t="array" ref="S320">IF(_xlfn.XLOOKUP(A320&amp;B320&amp;C320,盘货信息!$A:$A&amp;盘货信息!$B:$B&amp;盘货信息!$C:$C,盘货信息!$Q:$Q)&lt;1,"","【红包】活动时间购机送"&amp;_xlfn.TEXTJOIN("",,IF(ISNUMBER(--MID(_xlfn.XLOOKUP(A320&amp;B320&amp;C320,盘货信息!$A:$A&amp;盘货信息!$B:$B&amp;盘货信息!$C:$C,盘货信息!$Q:$Q),_xlfn.SEQUENCE(LEN(_xlfn.XLOOKUP(A320&amp;B320&amp;C320,盘货信息!$A:$A&amp;盘货信息!$B:$B&amp;盘货信息!$C:$C,盘货信息!$Q:$Q))),1)),MID(_xlfn.XLOOKUP(A320&amp;B320&amp;C320,盘货信息!$A:$A&amp;盘货信息!$B:$B&amp;盘货信息!$C:$C,盘货信息!$Q:$Q),_xlfn.SEQUENCE(LEN(_xlfn.XLOOKUP(A320&amp;B320&amp;C320,盘货信息!$A:$A&amp;盘货信息!$B:$B&amp;盘货信息!$C:$C,盘货信息!$Q:$Q))),1),""))&amp;"元")</f>
        <v/>
      </c>
      <c r="T320" s="18" t="str">
        <f t="array" ref="T320">IF(ISNUMBER(SEARCH("是",_xlfn.XLOOKUP(A320&amp;B320&amp;C320,盘货信息!$A:$A&amp;盘货信息!$B:$B&amp;盘货信息!$C:$C,盘货信息!$T:$T))),"【瓜分】"&amp;固定信息!$B$7,"")</f>
        <v/>
      </c>
      <c r="U320" s="18" t="str">
        <f>IF($C320="","",IF(AND(R320="",S320="",T320=""),"",固定信息!$B$1))</f>
        <v/>
      </c>
      <c r="V320" s="18" t="str">
        <f t="array" ref="V320">IF(C320="","","【服务】"&amp;IF(_xlfn.XLOOKUP(A320&amp;B320&amp;C320,盘货信息!$A:$A&amp;盘货信息!$B:$B&amp;盘货信息!$C:$C,盘货信息!$V:$V)="","",_xlfn.XLOOKUP(A320&amp;B320&amp;C320,盘货信息!$A:$A&amp;盘货信息!$B:$B&amp;盘货信息!$C:$C,盘货信息!$V:$V)&amp;"免息,")&amp;IF(_xlfn.XLOOKUP(A320&amp;B320&amp;C320,盘货信息!$A:$A&amp;盘货信息!$B:$B&amp;盘货信息!$C:$C,盘货信息!$W:$W)="","",_xlfn.XLOOKUP(A320&amp;B320&amp;C320,盘货信息!$A:$A&amp;盘货信息!$B:$B&amp;盘货信息!$C:$C,盘货信息!$W:$W)&amp;"，")&amp;"送货入户，退换免运费")</f>
        <v/>
      </c>
    </row>
    <row r="321" customHeight="1" spans="1:22">
      <c r="A321" s="17" t="str">
        <f>IF(盘货信息!A321="","",盘货信息!A321)</f>
        <v/>
      </c>
      <c r="B321" s="20" t="str">
        <f>IF(盘货信息!B321="","",盘货信息!B321)</f>
        <v/>
      </c>
      <c r="C321" s="18" t="str">
        <f>IF(盘货信息!C321="","",盘货信息!C321)</f>
        <v/>
      </c>
      <c r="D321" s="18" t="str">
        <f ca="1" t="shared" si="4"/>
        <v/>
      </c>
      <c r="E321" s="18" t="str">
        <f>IF(C321="","",固定信息!$B$2)</f>
        <v/>
      </c>
      <c r="F321" s="18" t="str">
        <f t="array" ref="F321">IF(C321="","","【"&amp;C321&amp;"】"&amp;_xlfn.XLOOKUP(A321&amp;B321&amp;C321,盘货信息!$A:$A&amp;盘货信息!$B:$B&amp;盘货信息!$C:$C,盘货信息!$D:$D))</f>
        <v/>
      </c>
      <c r="G321" s="18" t="str">
        <f>IF(C321="","","【"&amp;"活动时间："&amp;固定信息!$B$3&amp;"】")</f>
        <v/>
      </c>
      <c r="H321" s="18" t="str">
        <f>IF($C321="","",固定信息!$B$1)</f>
        <v/>
      </c>
      <c r="I321" s="18"/>
      <c r="J321" s="18" t="str">
        <f t="array" ref="J321">_xlfn.XLOOKUP(A321&amp;B321&amp;C321,价格信息!$A:$A&amp;价格信息!$B:$B&amp;价格信息!$C:$C,价格信息!$D:$D)</f>
        <v/>
      </c>
      <c r="K321" s="31" t="str">
        <f t="array" ref="K321">IF(_xlfn.XLOOKUP(A321&amp;B321&amp;C321,价格信息!$A:$A&amp;价格信息!$B:$B&amp;价格信息!$C:$C,价格信息!$I:$I)="","","【优惠券链接】"&amp;固定信息!$B$6)</f>
        <v/>
      </c>
      <c r="L321" s="31" t="str">
        <f>IF($C321="","",固定信息!$B$1)</f>
        <v/>
      </c>
      <c r="M321" s="18" t="str">
        <f t="array" ref="M321">IF(_xlfn.XLOOKUP(A321&amp;B321&amp;C321,盘货信息!$A:$A&amp;盘货信息!$B:$B&amp;盘货信息!$C:$C,盘货信息!$O:$O)="","","【优惠券】领"&amp;INDEX(_wpsfn.REGEXP(_xlfn.XLOOKUP(A321&amp;B321&amp;C321,盘货信息!$A:$A&amp;盘货信息!$B:$B&amp;盘货信息!$C:$C,盘货信息!$O:$O),"\d+"),1,1)&amp;"元优惠券下单更优惠，优惠卷："&amp;_xlfn.XLOOKUP(A321&amp;B321&amp;C321,盘货信息!$A:$A&amp;盘货信息!$B:$B&amp;盘货信息!$C:$C,盘货信息!$P:$P))</f>
        <v/>
      </c>
      <c r="N321" s="18" t="str">
        <f t="array" ref="N321">IF(AND(ISNUMBER(_xlfn.XLOOKUP(A321&amp;B321&amp;C321,盘货信息!$A:$A&amp;盘货信息!$B:$B&amp;盘货信息!$C:$C,盘货信息!$I:$I)),_xlfn.XLOOKUP(A321&amp;B321&amp;C321,盘货信息!$A:$A&amp;盘货信息!$B:$B&amp;盘货信息!$C:$C,盘货信息!$I:$I)&gt;1),"【88VIP】立减"&amp;_xlfn.XLOOKUP(A321&amp;B321&amp;C321,盘货信息!$A:$A&amp;盘货信息!$B:$B&amp;盘货信息!$C:$C,盘货信息!$I:$I)&amp;"元","")</f>
        <v/>
      </c>
      <c r="O321" s="18" t="str">
        <f t="array" ref="O321">IF(_xlfn.XLOOKUP(A321&amp;B321&amp;C321,盘货信息!$A:$A&amp;盘货信息!$B:$B&amp;盘货信息!$C:$C,盘货信息!$K:$K)="","",IF(AND(_xlfn.XLOOKUP(A321&amp;B321&amp;C321,盘货信息!$A:$A&amp;盘货信息!$B:$B&amp;盘货信息!$C:$C,盘货信息!$G:$G)="不参加",_xlfn.XLOOKUP(A321&amp;B321&amp;C321,盘货信息!$A:$A&amp;盘货信息!$B:$B&amp;盘货信息!$C:$C,盘货信息!$H:$H)=""),"【以旧换新】"&amp;_xlfn.XLOOKUP(A321&amp;B321&amp;C321,盘货信息!$A:$A&amp;盘货信息!$B:$B&amp;盘货信息!$C:$C,盘货信息!$K:$K)&amp;"元以旧换新补贴（可无旧机换新）",""))</f>
        <v/>
      </c>
      <c r="P321" s="18" t="str">
        <f t="array" ref="P321">_xlfn.XLOOKUP(A321&amp;B321&amp;C321,赠品!$A:$A&amp;赠品!$B:$B&amp;赠品!$C:$C,赠品!$D:$D)</f>
        <v/>
      </c>
      <c r="Q321" s="18" t="str">
        <f>IF($C321="","",IF(AND(M321="",N321="",P321=""),"",固定信息!$B$1))</f>
        <v/>
      </c>
      <c r="R321" s="18" t="str">
        <f t="array" ref="R321">IF(ISNUMBER(SEARCH("是",_xlfn.XLOOKUP(A321&amp;B321&amp;C321,盘货信息!$A:$A&amp;盘货信息!$B:$B&amp;盘货信息!$C:$C,盘货信息!$U:$U))),"【折扣】指定型号满2类享96折，满3类享94折","")</f>
        <v/>
      </c>
      <c r="S321" s="18" t="str">
        <f t="array" ref="S321">IF(_xlfn.XLOOKUP(A321&amp;B321&amp;C321,盘货信息!$A:$A&amp;盘货信息!$B:$B&amp;盘货信息!$C:$C,盘货信息!$Q:$Q)&lt;1,"","【红包】活动时间购机送"&amp;_xlfn.TEXTJOIN("",,IF(ISNUMBER(--MID(_xlfn.XLOOKUP(A321&amp;B321&amp;C321,盘货信息!$A:$A&amp;盘货信息!$B:$B&amp;盘货信息!$C:$C,盘货信息!$Q:$Q),_xlfn.SEQUENCE(LEN(_xlfn.XLOOKUP(A321&amp;B321&amp;C321,盘货信息!$A:$A&amp;盘货信息!$B:$B&amp;盘货信息!$C:$C,盘货信息!$Q:$Q))),1)),MID(_xlfn.XLOOKUP(A321&amp;B321&amp;C321,盘货信息!$A:$A&amp;盘货信息!$B:$B&amp;盘货信息!$C:$C,盘货信息!$Q:$Q),_xlfn.SEQUENCE(LEN(_xlfn.XLOOKUP(A321&amp;B321&amp;C321,盘货信息!$A:$A&amp;盘货信息!$B:$B&amp;盘货信息!$C:$C,盘货信息!$Q:$Q))),1),""))&amp;"元")</f>
        <v/>
      </c>
      <c r="T321" s="18" t="str">
        <f t="array" ref="T321">IF(ISNUMBER(SEARCH("是",_xlfn.XLOOKUP(A321&amp;B321&amp;C321,盘货信息!$A:$A&amp;盘货信息!$B:$B&amp;盘货信息!$C:$C,盘货信息!$T:$T))),"【瓜分】"&amp;固定信息!$B$7,"")</f>
        <v/>
      </c>
      <c r="U321" s="18" t="str">
        <f>IF($C321="","",IF(AND(R321="",S321="",T321=""),"",固定信息!$B$1))</f>
        <v/>
      </c>
      <c r="V321" s="18" t="str">
        <f t="array" ref="V321">IF(C321="","","【服务】"&amp;IF(_xlfn.XLOOKUP(A321&amp;B321&amp;C321,盘货信息!$A:$A&amp;盘货信息!$B:$B&amp;盘货信息!$C:$C,盘货信息!$V:$V)="","",_xlfn.XLOOKUP(A321&amp;B321&amp;C321,盘货信息!$A:$A&amp;盘货信息!$B:$B&amp;盘货信息!$C:$C,盘货信息!$V:$V)&amp;"免息,")&amp;IF(_xlfn.XLOOKUP(A321&amp;B321&amp;C321,盘货信息!$A:$A&amp;盘货信息!$B:$B&amp;盘货信息!$C:$C,盘货信息!$W:$W)="","",_xlfn.XLOOKUP(A321&amp;B321&amp;C321,盘货信息!$A:$A&amp;盘货信息!$B:$B&amp;盘货信息!$C:$C,盘货信息!$W:$W)&amp;"，")&amp;"送货入户，退换免运费")</f>
        <v/>
      </c>
    </row>
    <row r="322" customHeight="1" spans="1:22">
      <c r="A322" s="17" t="str">
        <f>IF(盘货信息!A322="","",盘货信息!A322)</f>
        <v/>
      </c>
      <c r="B322" s="20" t="str">
        <f>IF(盘货信息!B322="","",盘货信息!B322)</f>
        <v/>
      </c>
      <c r="C322" s="18" t="str">
        <f>IF(盘货信息!C322="","",盘货信息!C322)</f>
        <v/>
      </c>
      <c r="D322" s="18" t="str">
        <f ca="1" t="shared" ref="D322:D385" si="5">_xlfn.TEXTJOIN(CHAR(10),TRUE,OFFSET(INDIRECT("RC",FALSE),0,1,1,30))</f>
        <v/>
      </c>
      <c r="E322" s="18" t="str">
        <f>IF(C322="","",固定信息!$B$2)</f>
        <v/>
      </c>
      <c r="F322" s="18" t="str">
        <f t="array" ref="F322">IF(C322="","","【"&amp;C322&amp;"】"&amp;_xlfn.XLOOKUP(A322&amp;B322&amp;C322,盘货信息!$A:$A&amp;盘货信息!$B:$B&amp;盘货信息!$C:$C,盘货信息!$D:$D))</f>
        <v/>
      </c>
      <c r="G322" s="18" t="str">
        <f>IF(C322="","","【"&amp;"活动时间："&amp;固定信息!$B$3&amp;"】")</f>
        <v/>
      </c>
      <c r="H322" s="18" t="str">
        <f>IF($C322="","",固定信息!$B$1)</f>
        <v/>
      </c>
      <c r="I322" s="18"/>
      <c r="J322" s="18" t="str">
        <f t="array" ref="J322">_xlfn.XLOOKUP(A322&amp;B322&amp;C322,价格信息!$A:$A&amp;价格信息!$B:$B&amp;价格信息!$C:$C,价格信息!$D:$D)</f>
        <v/>
      </c>
      <c r="K322" s="31" t="str">
        <f t="array" ref="K322">IF(_xlfn.XLOOKUP(A322&amp;B322&amp;C322,价格信息!$A:$A&amp;价格信息!$B:$B&amp;价格信息!$C:$C,价格信息!$I:$I)="","","【优惠券链接】"&amp;固定信息!$B$6)</f>
        <v/>
      </c>
      <c r="L322" s="31" t="str">
        <f>IF($C322="","",固定信息!$B$1)</f>
        <v/>
      </c>
      <c r="M322" s="18" t="str">
        <f t="array" ref="M322">IF(_xlfn.XLOOKUP(A322&amp;B322&amp;C322,盘货信息!$A:$A&amp;盘货信息!$B:$B&amp;盘货信息!$C:$C,盘货信息!$O:$O)="","","【优惠券】领"&amp;INDEX(_wpsfn.REGEXP(_xlfn.XLOOKUP(A322&amp;B322&amp;C322,盘货信息!$A:$A&amp;盘货信息!$B:$B&amp;盘货信息!$C:$C,盘货信息!$O:$O),"\d+"),1,1)&amp;"元优惠券下单更优惠，优惠卷："&amp;_xlfn.XLOOKUP(A322&amp;B322&amp;C322,盘货信息!$A:$A&amp;盘货信息!$B:$B&amp;盘货信息!$C:$C,盘货信息!$P:$P))</f>
        <v/>
      </c>
      <c r="N322" s="18" t="str">
        <f t="array" ref="N322">IF(AND(ISNUMBER(_xlfn.XLOOKUP(A322&amp;B322&amp;C322,盘货信息!$A:$A&amp;盘货信息!$B:$B&amp;盘货信息!$C:$C,盘货信息!$I:$I)),_xlfn.XLOOKUP(A322&amp;B322&amp;C322,盘货信息!$A:$A&amp;盘货信息!$B:$B&amp;盘货信息!$C:$C,盘货信息!$I:$I)&gt;1),"【88VIP】立减"&amp;_xlfn.XLOOKUP(A322&amp;B322&amp;C322,盘货信息!$A:$A&amp;盘货信息!$B:$B&amp;盘货信息!$C:$C,盘货信息!$I:$I)&amp;"元","")</f>
        <v/>
      </c>
      <c r="O322" s="18" t="str">
        <f t="array" ref="O322">IF(_xlfn.XLOOKUP(A322&amp;B322&amp;C322,盘货信息!$A:$A&amp;盘货信息!$B:$B&amp;盘货信息!$C:$C,盘货信息!$K:$K)="","",IF(AND(_xlfn.XLOOKUP(A322&amp;B322&amp;C322,盘货信息!$A:$A&amp;盘货信息!$B:$B&amp;盘货信息!$C:$C,盘货信息!$G:$G)="不参加",_xlfn.XLOOKUP(A322&amp;B322&amp;C322,盘货信息!$A:$A&amp;盘货信息!$B:$B&amp;盘货信息!$C:$C,盘货信息!$H:$H)=""),"【以旧换新】"&amp;_xlfn.XLOOKUP(A322&amp;B322&amp;C322,盘货信息!$A:$A&amp;盘货信息!$B:$B&amp;盘货信息!$C:$C,盘货信息!$K:$K)&amp;"元以旧换新补贴（可无旧机换新）",""))</f>
        <v/>
      </c>
      <c r="P322" s="18" t="str">
        <f t="array" ref="P322">_xlfn.XLOOKUP(A322&amp;B322&amp;C322,赠品!$A:$A&amp;赠品!$B:$B&amp;赠品!$C:$C,赠品!$D:$D)</f>
        <v/>
      </c>
      <c r="Q322" s="18" t="str">
        <f>IF($C322="","",IF(AND(M322="",N322="",P322=""),"",固定信息!$B$1))</f>
        <v/>
      </c>
      <c r="R322" s="18" t="str">
        <f t="array" ref="R322">IF(ISNUMBER(SEARCH("是",_xlfn.XLOOKUP(A322&amp;B322&amp;C322,盘货信息!$A:$A&amp;盘货信息!$B:$B&amp;盘货信息!$C:$C,盘货信息!$U:$U))),"【折扣】指定型号满2类享96折，满3类享94折","")</f>
        <v/>
      </c>
      <c r="S322" s="18" t="str">
        <f t="array" ref="S322">IF(_xlfn.XLOOKUP(A322&amp;B322&amp;C322,盘货信息!$A:$A&amp;盘货信息!$B:$B&amp;盘货信息!$C:$C,盘货信息!$Q:$Q)&lt;1,"","【红包】活动时间购机送"&amp;_xlfn.TEXTJOIN("",,IF(ISNUMBER(--MID(_xlfn.XLOOKUP(A322&amp;B322&amp;C322,盘货信息!$A:$A&amp;盘货信息!$B:$B&amp;盘货信息!$C:$C,盘货信息!$Q:$Q),_xlfn.SEQUENCE(LEN(_xlfn.XLOOKUP(A322&amp;B322&amp;C322,盘货信息!$A:$A&amp;盘货信息!$B:$B&amp;盘货信息!$C:$C,盘货信息!$Q:$Q))),1)),MID(_xlfn.XLOOKUP(A322&amp;B322&amp;C322,盘货信息!$A:$A&amp;盘货信息!$B:$B&amp;盘货信息!$C:$C,盘货信息!$Q:$Q),_xlfn.SEQUENCE(LEN(_xlfn.XLOOKUP(A322&amp;B322&amp;C322,盘货信息!$A:$A&amp;盘货信息!$B:$B&amp;盘货信息!$C:$C,盘货信息!$Q:$Q))),1),""))&amp;"元")</f>
        <v/>
      </c>
      <c r="T322" s="18" t="str">
        <f t="array" ref="T322">IF(ISNUMBER(SEARCH("是",_xlfn.XLOOKUP(A322&amp;B322&amp;C322,盘货信息!$A:$A&amp;盘货信息!$B:$B&amp;盘货信息!$C:$C,盘货信息!$T:$T))),"【瓜分】"&amp;固定信息!$B$7,"")</f>
        <v/>
      </c>
      <c r="U322" s="18" t="str">
        <f>IF($C322="","",IF(AND(R322="",S322="",T322=""),"",固定信息!$B$1))</f>
        <v/>
      </c>
      <c r="V322" s="18" t="str">
        <f t="array" ref="V322">IF(C322="","","【服务】"&amp;IF(_xlfn.XLOOKUP(A322&amp;B322&amp;C322,盘货信息!$A:$A&amp;盘货信息!$B:$B&amp;盘货信息!$C:$C,盘货信息!$V:$V)="","",_xlfn.XLOOKUP(A322&amp;B322&amp;C322,盘货信息!$A:$A&amp;盘货信息!$B:$B&amp;盘货信息!$C:$C,盘货信息!$V:$V)&amp;"免息,")&amp;IF(_xlfn.XLOOKUP(A322&amp;B322&amp;C322,盘货信息!$A:$A&amp;盘货信息!$B:$B&amp;盘货信息!$C:$C,盘货信息!$W:$W)="","",_xlfn.XLOOKUP(A322&amp;B322&amp;C322,盘货信息!$A:$A&amp;盘货信息!$B:$B&amp;盘货信息!$C:$C,盘货信息!$W:$W)&amp;"，")&amp;"送货入户，退换免运费")</f>
        <v/>
      </c>
    </row>
    <row r="323" customHeight="1" spans="1:22">
      <c r="A323" s="17" t="str">
        <f>IF(盘货信息!A323="","",盘货信息!A323)</f>
        <v/>
      </c>
      <c r="B323" s="20" t="str">
        <f>IF(盘货信息!B323="","",盘货信息!B323)</f>
        <v/>
      </c>
      <c r="C323" s="18" t="str">
        <f>IF(盘货信息!C323="","",盘货信息!C323)</f>
        <v/>
      </c>
      <c r="D323" s="18" t="str">
        <f ca="1" t="shared" si="5"/>
        <v/>
      </c>
      <c r="E323" s="18" t="str">
        <f>IF(C323="","",固定信息!$B$2)</f>
        <v/>
      </c>
      <c r="F323" s="18" t="str">
        <f t="array" ref="F323">IF(C323="","","【"&amp;C323&amp;"】"&amp;_xlfn.XLOOKUP(A323&amp;B323&amp;C323,盘货信息!$A:$A&amp;盘货信息!$B:$B&amp;盘货信息!$C:$C,盘货信息!$D:$D))</f>
        <v/>
      </c>
      <c r="G323" s="18" t="str">
        <f>IF(C323="","","【"&amp;"活动时间："&amp;固定信息!$B$3&amp;"】")</f>
        <v/>
      </c>
      <c r="H323" s="18" t="str">
        <f>IF($C323="","",固定信息!$B$1)</f>
        <v/>
      </c>
      <c r="I323" s="18"/>
      <c r="J323" s="18" t="str">
        <f t="array" ref="J323">_xlfn.XLOOKUP(A323&amp;B323&amp;C323,价格信息!$A:$A&amp;价格信息!$B:$B&amp;价格信息!$C:$C,价格信息!$D:$D)</f>
        <v/>
      </c>
      <c r="K323" s="31" t="str">
        <f t="array" ref="K323">IF(_xlfn.XLOOKUP(A323&amp;B323&amp;C323,价格信息!$A:$A&amp;价格信息!$B:$B&amp;价格信息!$C:$C,价格信息!$I:$I)="","","【优惠券链接】"&amp;固定信息!$B$6)</f>
        <v/>
      </c>
      <c r="L323" s="31" t="str">
        <f>IF($C323="","",固定信息!$B$1)</f>
        <v/>
      </c>
      <c r="M323" s="18" t="str">
        <f t="array" ref="M323">IF(_xlfn.XLOOKUP(A323&amp;B323&amp;C323,盘货信息!$A:$A&amp;盘货信息!$B:$B&amp;盘货信息!$C:$C,盘货信息!$O:$O)="","","【优惠券】领"&amp;INDEX(_wpsfn.REGEXP(_xlfn.XLOOKUP(A323&amp;B323&amp;C323,盘货信息!$A:$A&amp;盘货信息!$B:$B&amp;盘货信息!$C:$C,盘货信息!$O:$O),"\d+"),1,1)&amp;"元优惠券下单更优惠，优惠卷："&amp;_xlfn.XLOOKUP(A323&amp;B323&amp;C323,盘货信息!$A:$A&amp;盘货信息!$B:$B&amp;盘货信息!$C:$C,盘货信息!$P:$P))</f>
        <v/>
      </c>
      <c r="N323" s="18" t="str">
        <f t="array" ref="N323">IF(AND(ISNUMBER(_xlfn.XLOOKUP(A323&amp;B323&amp;C323,盘货信息!$A:$A&amp;盘货信息!$B:$B&amp;盘货信息!$C:$C,盘货信息!$I:$I)),_xlfn.XLOOKUP(A323&amp;B323&amp;C323,盘货信息!$A:$A&amp;盘货信息!$B:$B&amp;盘货信息!$C:$C,盘货信息!$I:$I)&gt;1),"【88VIP】立减"&amp;_xlfn.XLOOKUP(A323&amp;B323&amp;C323,盘货信息!$A:$A&amp;盘货信息!$B:$B&amp;盘货信息!$C:$C,盘货信息!$I:$I)&amp;"元","")</f>
        <v/>
      </c>
      <c r="O323" s="18" t="str">
        <f t="array" ref="O323">IF(_xlfn.XLOOKUP(A323&amp;B323&amp;C323,盘货信息!$A:$A&amp;盘货信息!$B:$B&amp;盘货信息!$C:$C,盘货信息!$K:$K)="","",IF(AND(_xlfn.XLOOKUP(A323&amp;B323&amp;C323,盘货信息!$A:$A&amp;盘货信息!$B:$B&amp;盘货信息!$C:$C,盘货信息!$G:$G)="不参加",_xlfn.XLOOKUP(A323&amp;B323&amp;C323,盘货信息!$A:$A&amp;盘货信息!$B:$B&amp;盘货信息!$C:$C,盘货信息!$H:$H)=""),"【以旧换新】"&amp;_xlfn.XLOOKUP(A323&amp;B323&amp;C323,盘货信息!$A:$A&amp;盘货信息!$B:$B&amp;盘货信息!$C:$C,盘货信息!$K:$K)&amp;"元以旧换新补贴（可无旧机换新）",""))</f>
        <v/>
      </c>
      <c r="P323" s="18" t="str">
        <f t="array" ref="P323">_xlfn.XLOOKUP(A323&amp;B323&amp;C323,赠品!$A:$A&amp;赠品!$B:$B&amp;赠品!$C:$C,赠品!$D:$D)</f>
        <v/>
      </c>
      <c r="Q323" s="18" t="str">
        <f>IF($C323="","",IF(AND(M323="",N323="",P323=""),"",固定信息!$B$1))</f>
        <v/>
      </c>
      <c r="R323" s="18" t="str">
        <f t="array" ref="R323">IF(ISNUMBER(SEARCH("是",_xlfn.XLOOKUP(A323&amp;B323&amp;C323,盘货信息!$A:$A&amp;盘货信息!$B:$B&amp;盘货信息!$C:$C,盘货信息!$U:$U))),"【折扣】指定型号满2类享96折，满3类享94折","")</f>
        <v/>
      </c>
      <c r="S323" s="18" t="str">
        <f t="array" ref="S323">IF(_xlfn.XLOOKUP(A323&amp;B323&amp;C323,盘货信息!$A:$A&amp;盘货信息!$B:$B&amp;盘货信息!$C:$C,盘货信息!$Q:$Q)&lt;1,"","【红包】活动时间购机送"&amp;_xlfn.TEXTJOIN("",,IF(ISNUMBER(--MID(_xlfn.XLOOKUP(A323&amp;B323&amp;C323,盘货信息!$A:$A&amp;盘货信息!$B:$B&amp;盘货信息!$C:$C,盘货信息!$Q:$Q),_xlfn.SEQUENCE(LEN(_xlfn.XLOOKUP(A323&amp;B323&amp;C323,盘货信息!$A:$A&amp;盘货信息!$B:$B&amp;盘货信息!$C:$C,盘货信息!$Q:$Q))),1)),MID(_xlfn.XLOOKUP(A323&amp;B323&amp;C323,盘货信息!$A:$A&amp;盘货信息!$B:$B&amp;盘货信息!$C:$C,盘货信息!$Q:$Q),_xlfn.SEQUENCE(LEN(_xlfn.XLOOKUP(A323&amp;B323&amp;C323,盘货信息!$A:$A&amp;盘货信息!$B:$B&amp;盘货信息!$C:$C,盘货信息!$Q:$Q))),1),""))&amp;"元")</f>
        <v/>
      </c>
      <c r="T323" s="18" t="str">
        <f t="array" ref="T323">IF(ISNUMBER(SEARCH("是",_xlfn.XLOOKUP(A323&amp;B323&amp;C323,盘货信息!$A:$A&amp;盘货信息!$B:$B&amp;盘货信息!$C:$C,盘货信息!$T:$T))),"【瓜分】"&amp;固定信息!$B$7,"")</f>
        <v/>
      </c>
      <c r="U323" s="18" t="str">
        <f>IF($C323="","",IF(AND(R323="",S323="",T323=""),"",固定信息!$B$1))</f>
        <v/>
      </c>
      <c r="V323" s="18" t="str">
        <f t="array" ref="V323">IF(C323="","","【服务】"&amp;IF(_xlfn.XLOOKUP(A323&amp;B323&amp;C323,盘货信息!$A:$A&amp;盘货信息!$B:$B&amp;盘货信息!$C:$C,盘货信息!$V:$V)="","",_xlfn.XLOOKUP(A323&amp;B323&amp;C323,盘货信息!$A:$A&amp;盘货信息!$B:$B&amp;盘货信息!$C:$C,盘货信息!$V:$V)&amp;"免息,")&amp;IF(_xlfn.XLOOKUP(A323&amp;B323&amp;C323,盘货信息!$A:$A&amp;盘货信息!$B:$B&amp;盘货信息!$C:$C,盘货信息!$W:$W)="","",_xlfn.XLOOKUP(A323&amp;B323&amp;C323,盘货信息!$A:$A&amp;盘货信息!$B:$B&amp;盘货信息!$C:$C,盘货信息!$W:$W)&amp;"，")&amp;"送货入户，退换免运费")</f>
        <v/>
      </c>
    </row>
    <row r="324" customHeight="1" spans="1:22">
      <c r="A324" s="17" t="str">
        <f>IF(盘货信息!A324="","",盘货信息!A324)</f>
        <v/>
      </c>
      <c r="B324" s="20" t="str">
        <f>IF(盘货信息!B324="","",盘货信息!B324)</f>
        <v/>
      </c>
      <c r="C324" s="18" t="str">
        <f>IF(盘货信息!C324="","",盘货信息!C324)</f>
        <v/>
      </c>
      <c r="D324" s="18" t="str">
        <f ca="1" t="shared" si="5"/>
        <v/>
      </c>
      <c r="E324" s="18" t="str">
        <f>IF(C324="","",固定信息!$B$2)</f>
        <v/>
      </c>
      <c r="F324" s="18" t="str">
        <f t="array" ref="F324">IF(C324="","","【"&amp;C324&amp;"】"&amp;_xlfn.XLOOKUP(A324&amp;B324&amp;C324,盘货信息!$A:$A&amp;盘货信息!$B:$B&amp;盘货信息!$C:$C,盘货信息!$D:$D))</f>
        <v/>
      </c>
      <c r="G324" s="18" t="str">
        <f>IF(C324="","","【"&amp;"活动时间："&amp;固定信息!$B$3&amp;"】")</f>
        <v/>
      </c>
      <c r="H324" s="18" t="str">
        <f>IF($C324="","",固定信息!$B$1)</f>
        <v/>
      </c>
      <c r="I324" s="18"/>
      <c r="J324" s="18" t="str">
        <f t="array" ref="J324">_xlfn.XLOOKUP(A324&amp;B324&amp;C324,价格信息!$A:$A&amp;价格信息!$B:$B&amp;价格信息!$C:$C,价格信息!$D:$D)</f>
        <v/>
      </c>
      <c r="K324" s="31" t="str">
        <f t="array" ref="K324">IF(_xlfn.XLOOKUP(A324&amp;B324&amp;C324,价格信息!$A:$A&amp;价格信息!$B:$B&amp;价格信息!$C:$C,价格信息!$I:$I)="","","【优惠券链接】"&amp;固定信息!$B$6)</f>
        <v/>
      </c>
      <c r="L324" s="31" t="str">
        <f>IF($C324="","",固定信息!$B$1)</f>
        <v/>
      </c>
      <c r="M324" s="18" t="str">
        <f t="array" ref="M324">IF(_xlfn.XLOOKUP(A324&amp;B324&amp;C324,盘货信息!$A:$A&amp;盘货信息!$B:$B&amp;盘货信息!$C:$C,盘货信息!$O:$O)="","","【优惠券】领"&amp;INDEX(_wpsfn.REGEXP(_xlfn.XLOOKUP(A324&amp;B324&amp;C324,盘货信息!$A:$A&amp;盘货信息!$B:$B&amp;盘货信息!$C:$C,盘货信息!$O:$O),"\d+"),1,1)&amp;"元优惠券下单更优惠，优惠卷："&amp;_xlfn.XLOOKUP(A324&amp;B324&amp;C324,盘货信息!$A:$A&amp;盘货信息!$B:$B&amp;盘货信息!$C:$C,盘货信息!$P:$P))</f>
        <v/>
      </c>
      <c r="N324" s="18" t="str">
        <f t="array" ref="N324">IF(AND(ISNUMBER(_xlfn.XLOOKUP(A324&amp;B324&amp;C324,盘货信息!$A:$A&amp;盘货信息!$B:$B&amp;盘货信息!$C:$C,盘货信息!$I:$I)),_xlfn.XLOOKUP(A324&amp;B324&amp;C324,盘货信息!$A:$A&amp;盘货信息!$B:$B&amp;盘货信息!$C:$C,盘货信息!$I:$I)&gt;1),"【88VIP】立减"&amp;_xlfn.XLOOKUP(A324&amp;B324&amp;C324,盘货信息!$A:$A&amp;盘货信息!$B:$B&amp;盘货信息!$C:$C,盘货信息!$I:$I)&amp;"元","")</f>
        <v/>
      </c>
      <c r="O324" s="18" t="str">
        <f t="array" ref="O324">IF(_xlfn.XLOOKUP(A324&amp;B324&amp;C324,盘货信息!$A:$A&amp;盘货信息!$B:$B&amp;盘货信息!$C:$C,盘货信息!$K:$K)="","",IF(AND(_xlfn.XLOOKUP(A324&amp;B324&amp;C324,盘货信息!$A:$A&amp;盘货信息!$B:$B&amp;盘货信息!$C:$C,盘货信息!$G:$G)="不参加",_xlfn.XLOOKUP(A324&amp;B324&amp;C324,盘货信息!$A:$A&amp;盘货信息!$B:$B&amp;盘货信息!$C:$C,盘货信息!$H:$H)=""),"【以旧换新】"&amp;_xlfn.XLOOKUP(A324&amp;B324&amp;C324,盘货信息!$A:$A&amp;盘货信息!$B:$B&amp;盘货信息!$C:$C,盘货信息!$K:$K)&amp;"元以旧换新补贴（可无旧机换新）",""))</f>
        <v/>
      </c>
      <c r="P324" s="18" t="str">
        <f t="array" ref="P324">_xlfn.XLOOKUP(A324&amp;B324&amp;C324,赠品!$A:$A&amp;赠品!$B:$B&amp;赠品!$C:$C,赠品!$D:$D)</f>
        <v/>
      </c>
      <c r="Q324" s="18" t="str">
        <f>IF($C324="","",IF(AND(M324="",N324="",P324=""),"",固定信息!$B$1))</f>
        <v/>
      </c>
      <c r="R324" s="18" t="str">
        <f t="array" ref="R324">IF(ISNUMBER(SEARCH("是",_xlfn.XLOOKUP(A324&amp;B324&amp;C324,盘货信息!$A:$A&amp;盘货信息!$B:$B&amp;盘货信息!$C:$C,盘货信息!$U:$U))),"【折扣】指定型号满2类享96折，满3类享94折","")</f>
        <v/>
      </c>
      <c r="S324" s="18" t="str">
        <f t="array" ref="S324">IF(_xlfn.XLOOKUP(A324&amp;B324&amp;C324,盘货信息!$A:$A&amp;盘货信息!$B:$B&amp;盘货信息!$C:$C,盘货信息!$Q:$Q)&lt;1,"","【红包】活动时间购机送"&amp;_xlfn.TEXTJOIN("",,IF(ISNUMBER(--MID(_xlfn.XLOOKUP(A324&amp;B324&amp;C324,盘货信息!$A:$A&amp;盘货信息!$B:$B&amp;盘货信息!$C:$C,盘货信息!$Q:$Q),_xlfn.SEQUENCE(LEN(_xlfn.XLOOKUP(A324&amp;B324&amp;C324,盘货信息!$A:$A&amp;盘货信息!$B:$B&amp;盘货信息!$C:$C,盘货信息!$Q:$Q))),1)),MID(_xlfn.XLOOKUP(A324&amp;B324&amp;C324,盘货信息!$A:$A&amp;盘货信息!$B:$B&amp;盘货信息!$C:$C,盘货信息!$Q:$Q),_xlfn.SEQUENCE(LEN(_xlfn.XLOOKUP(A324&amp;B324&amp;C324,盘货信息!$A:$A&amp;盘货信息!$B:$B&amp;盘货信息!$C:$C,盘货信息!$Q:$Q))),1),""))&amp;"元")</f>
        <v/>
      </c>
      <c r="T324" s="18" t="str">
        <f t="array" ref="T324">IF(ISNUMBER(SEARCH("是",_xlfn.XLOOKUP(A324&amp;B324&amp;C324,盘货信息!$A:$A&amp;盘货信息!$B:$B&amp;盘货信息!$C:$C,盘货信息!$T:$T))),"【瓜分】"&amp;固定信息!$B$7,"")</f>
        <v/>
      </c>
      <c r="U324" s="18" t="str">
        <f>IF($C324="","",IF(AND(R324="",S324="",T324=""),"",固定信息!$B$1))</f>
        <v/>
      </c>
      <c r="V324" s="18" t="str">
        <f t="array" ref="V324">IF(C324="","","【服务】"&amp;IF(_xlfn.XLOOKUP(A324&amp;B324&amp;C324,盘货信息!$A:$A&amp;盘货信息!$B:$B&amp;盘货信息!$C:$C,盘货信息!$V:$V)="","",_xlfn.XLOOKUP(A324&amp;B324&amp;C324,盘货信息!$A:$A&amp;盘货信息!$B:$B&amp;盘货信息!$C:$C,盘货信息!$V:$V)&amp;"免息,")&amp;IF(_xlfn.XLOOKUP(A324&amp;B324&amp;C324,盘货信息!$A:$A&amp;盘货信息!$B:$B&amp;盘货信息!$C:$C,盘货信息!$W:$W)="","",_xlfn.XLOOKUP(A324&amp;B324&amp;C324,盘货信息!$A:$A&amp;盘货信息!$B:$B&amp;盘货信息!$C:$C,盘货信息!$W:$W)&amp;"，")&amp;"送货入户，退换免运费")</f>
        <v/>
      </c>
    </row>
    <row r="325" customHeight="1" spans="1:22">
      <c r="A325" s="17" t="str">
        <f>IF(盘货信息!A325="","",盘货信息!A325)</f>
        <v/>
      </c>
      <c r="B325" s="20" t="str">
        <f>IF(盘货信息!B325="","",盘货信息!B325)</f>
        <v/>
      </c>
      <c r="C325" s="18" t="str">
        <f>IF(盘货信息!C325="","",盘货信息!C325)</f>
        <v/>
      </c>
      <c r="D325" s="18" t="str">
        <f ca="1" t="shared" si="5"/>
        <v/>
      </c>
      <c r="E325" s="18" t="str">
        <f>IF(C325="","",固定信息!$B$2)</f>
        <v/>
      </c>
      <c r="F325" s="18" t="str">
        <f t="array" ref="F325">IF(C325="","","【"&amp;C325&amp;"】"&amp;_xlfn.XLOOKUP(A325&amp;B325&amp;C325,盘货信息!$A:$A&amp;盘货信息!$B:$B&amp;盘货信息!$C:$C,盘货信息!$D:$D))</f>
        <v/>
      </c>
      <c r="G325" s="18" t="str">
        <f>IF(C325="","","【"&amp;"活动时间："&amp;固定信息!$B$3&amp;"】")</f>
        <v/>
      </c>
      <c r="H325" s="18" t="str">
        <f>IF($C325="","",固定信息!$B$1)</f>
        <v/>
      </c>
      <c r="I325" s="18"/>
      <c r="J325" s="18" t="str">
        <f t="array" ref="J325">_xlfn.XLOOKUP(A325&amp;B325&amp;C325,价格信息!$A:$A&amp;价格信息!$B:$B&amp;价格信息!$C:$C,价格信息!$D:$D)</f>
        <v/>
      </c>
      <c r="K325" s="31" t="str">
        <f t="array" ref="K325">IF(_xlfn.XLOOKUP(A325&amp;B325&amp;C325,价格信息!$A:$A&amp;价格信息!$B:$B&amp;价格信息!$C:$C,价格信息!$I:$I)="","","【优惠券链接】"&amp;固定信息!$B$6)</f>
        <v/>
      </c>
      <c r="L325" s="31" t="str">
        <f>IF($C325="","",固定信息!$B$1)</f>
        <v/>
      </c>
      <c r="M325" s="18" t="str">
        <f t="array" ref="M325">IF(_xlfn.XLOOKUP(A325&amp;B325&amp;C325,盘货信息!$A:$A&amp;盘货信息!$B:$B&amp;盘货信息!$C:$C,盘货信息!$O:$O)="","","【优惠券】领"&amp;INDEX(_wpsfn.REGEXP(_xlfn.XLOOKUP(A325&amp;B325&amp;C325,盘货信息!$A:$A&amp;盘货信息!$B:$B&amp;盘货信息!$C:$C,盘货信息!$O:$O),"\d+"),1,1)&amp;"元优惠券下单更优惠，优惠卷："&amp;_xlfn.XLOOKUP(A325&amp;B325&amp;C325,盘货信息!$A:$A&amp;盘货信息!$B:$B&amp;盘货信息!$C:$C,盘货信息!$P:$P))</f>
        <v/>
      </c>
      <c r="N325" s="18" t="str">
        <f t="array" ref="N325">IF(AND(ISNUMBER(_xlfn.XLOOKUP(A325&amp;B325&amp;C325,盘货信息!$A:$A&amp;盘货信息!$B:$B&amp;盘货信息!$C:$C,盘货信息!$I:$I)),_xlfn.XLOOKUP(A325&amp;B325&amp;C325,盘货信息!$A:$A&amp;盘货信息!$B:$B&amp;盘货信息!$C:$C,盘货信息!$I:$I)&gt;1),"【88VIP】立减"&amp;_xlfn.XLOOKUP(A325&amp;B325&amp;C325,盘货信息!$A:$A&amp;盘货信息!$B:$B&amp;盘货信息!$C:$C,盘货信息!$I:$I)&amp;"元","")</f>
        <v/>
      </c>
      <c r="O325" s="18" t="str">
        <f t="array" ref="O325">IF(_xlfn.XLOOKUP(A325&amp;B325&amp;C325,盘货信息!$A:$A&amp;盘货信息!$B:$B&amp;盘货信息!$C:$C,盘货信息!$K:$K)="","",IF(AND(_xlfn.XLOOKUP(A325&amp;B325&amp;C325,盘货信息!$A:$A&amp;盘货信息!$B:$B&amp;盘货信息!$C:$C,盘货信息!$G:$G)="不参加",_xlfn.XLOOKUP(A325&amp;B325&amp;C325,盘货信息!$A:$A&amp;盘货信息!$B:$B&amp;盘货信息!$C:$C,盘货信息!$H:$H)=""),"【以旧换新】"&amp;_xlfn.XLOOKUP(A325&amp;B325&amp;C325,盘货信息!$A:$A&amp;盘货信息!$B:$B&amp;盘货信息!$C:$C,盘货信息!$K:$K)&amp;"元以旧换新补贴（可无旧机换新）",""))</f>
        <v/>
      </c>
      <c r="P325" s="18" t="str">
        <f t="array" ref="P325">_xlfn.XLOOKUP(A325&amp;B325&amp;C325,赠品!$A:$A&amp;赠品!$B:$B&amp;赠品!$C:$C,赠品!$D:$D)</f>
        <v/>
      </c>
      <c r="Q325" s="18" t="str">
        <f>IF($C325="","",IF(AND(M325="",N325="",P325=""),"",固定信息!$B$1))</f>
        <v/>
      </c>
      <c r="R325" s="18" t="str">
        <f t="array" ref="R325">IF(ISNUMBER(SEARCH("是",_xlfn.XLOOKUP(A325&amp;B325&amp;C325,盘货信息!$A:$A&amp;盘货信息!$B:$B&amp;盘货信息!$C:$C,盘货信息!$U:$U))),"【折扣】指定型号满2类享96折，满3类享94折","")</f>
        <v/>
      </c>
      <c r="S325" s="18" t="str">
        <f t="array" ref="S325">IF(_xlfn.XLOOKUP(A325&amp;B325&amp;C325,盘货信息!$A:$A&amp;盘货信息!$B:$B&amp;盘货信息!$C:$C,盘货信息!$Q:$Q)&lt;1,"","【红包】活动时间购机送"&amp;_xlfn.TEXTJOIN("",,IF(ISNUMBER(--MID(_xlfn.XLOOKUP(A325&amp;B325&amp;C325,盘货信息!$A:$A&amp;盘货信息!$B:$B&amp;盘货信息!$C:$C,盘货信息!$Q:$Q),_xlfn.SEQUENCE(LEN(_xlfn.XLOOKUP(A325&amp;B325&amp;C325,盘货信息!$A:$A&amp;盘货信息!$B:$B&amp;盘货信息!$C:$C,盘货信息!$Q:$Q))),1)),MID(_xlfn.XLOOKUP(A325&amp;B325&amp;C325,盘货信息!$A:$A&amp;盘货信息!$B:$B&amp;盘货信息!$C:$C,盘货信息!$Q:$Q),_xlfn.SEQUENCE(LEN(_xlfn.XLOOKUP(A325&amp;B325&amp;C325,盘货信息!$A:$A&amp;盘货信息!$B:$B&amp;盘货信息!$C:$C,盘货信息!$Q:$Q))),1),""))&amp;"元")</f>
        <v/>
      </c>
      <c r="T325" s="18" t="str">
        <f t="array" ref="T325">IF(ISNUMBER(SEARCH("是",_xlfn.XLOOKUP(A325&amp;B325&amp;C325,盘货信息!$A:$A&amp;盘货信息!$B:$B&amp;盘货信息!$C:$C,盘货信息!$T:$T))),"【瓜分】"&amp;固定信息!$B$7,"")</f>
        <v/>
      </c>
      <c r="U325" s="18" t="str">
        <f>IF($C325="","",IF(AND(R325="",S325="",T325=""),"",固定信息!$B$1))</f>
        <v/>
      </c>
      <c r="V325" s="18" t="str">
        <f t="array" ref="V325">IF(C325="","","【服务】"&amp;IF(_xlfn.XLOOKUP(A325&amp;B325&amp;C325,盘货信息!$A:$A&amp;盘货信息!$B:$B&amp;盘货信息!$C:$C,盘货信息!$V:$V)="","",_xlfn.XLOOKUP(A325&amp;B325&amp;C325,盘货信息!$A:$A&amp;盘货信息!$B:$B&amp;盘货信息!$C:$C,盘货信息!$V:$V)&amp;"免息,")&amp;IF(_xlfn.XLOOKUP(A325&amp;B325&amp;C325,盘货信息!$A:$A&amp;盘货信息!$B:$B&amp;盘货信息!$C:$C,盘货信息!$W:$W)="","",_xlfn.XLOOKUP(A325&amp;B325&amp;C325,盘货信息!$A:$A&amp;盘货信息!$B:$B&amp;盘货信息!$C:$C,盘货信息!$W:$W)&amp;"，")&amp;"送货入户，退换免运费")</f>
        <v/>
      </c>
    </row>
    <row r="326" customHeight="1" spans="1:22">
      <c r="A326" s="17" t="str">
        <f>IF(盘货信息!A326="","",盘货信息!A326)</f>
        <v/>
      </c>
      <c r="B326" s="20" t="str">
        <f>IF(盘货信息!B326="","",盘货信息!B326)</f>
        <v/>
      </c>
      <c r="C326" s="18" t="str">
        <f>IF(盘货信息!C326="","",盘货信息!C326)</f>
        <v/>
      </c>
      <c r="D326" s="18" t="str">
        <f ca="1" t="shared" si="5"/>
        <v/>
      </c>
      <c r="E326" s="18" t="str">
        <f>IF(C326="","",固定信息!$B$2)</f>
        <v/>
      </c>
      <c r="F326" s="18" t="str">
        <f t="array" ref="F326">IF(C326="","","【"&amp;C326&amp;"】"&amp;_xlfn.XLOOKUP(A326&amp;B326&amp;C326,盘货信息!$A:$A&amp;盘货信息!$B:$B&amp;盘货信息!$C:$C,盘货信息!$D:$D))</f>
        <v/>
      </c>
      <c r="G326" s="18" t="str">
        <f>IF(C326="","","【"&amp;"活动时间："&amp;固定信息!$B$3&amp;"】")</f>
        <v/>
      </c>
      <c r="H326" s="18" t="str">
        <f>IF($C326="","",固定信息!$B$1)</f>
        <v/>
      </c>
      <c r="I326" s="18"/>
      <c r="J326" s="18" t="str">
        <f t="array" ref="J326">_xlfn.XLOOKUP(A326&amp;B326&amp;C326,价格信息!$A:$A&amp;价格信息!$B:$B&amp;价格信息!$C:$C,价格信息!$D:$D)</f>
        <v/>
      </c>
      <c r="K326" s="31" t="str">
        <f t="array" ref="K326">IF(_xlfn.XLOOKUP(A326&amp;B326&amp;C326,价格信息!$A:$A&amp;价格信息!$B:$B&amp;价格信息!$C:$C,价格信息!$I:$I)="","","【优惠券链接】"&amp;固定信息!$B$6)</f>
        <v/>
      </c>
      <c r="L326" s="31" t="str">
        <f>IF($C326="","",固定信息!$B$1)</f>
        <v/>
      </c>
      <c r="M326" s="18" t="str">
        <f t="array" ref="M326">IF(_xlfn.XLOOKUP(A326&amp;B326&amp;C326,盘货信息!$A:$A&amp;盘货信息!$B:$B&amp;盘货信息!$C:$C,盘货信息!$O:$O)="","","【优惠券】领"&amp;INDEX(_wpsfn.REGEXP(_xlfn.XLOOKUP(A326&amp;B326&amp;C326,盘货信息!$A:$A&amp;盘货信息!$B:$B&amp;盘货信息!$C:$C,盘货信息!$O:$O),"\d+"),1,1)&amp;"元优惠券下单更优惠，优惠卷："&amp;_xlfn.XLOOKUP(A326&amp;B326&amp;C326,盘货信息!$A:$A&amp;盘货信息!$B:$B&amp;盘货信息!$C:$C,盘货信息!$P:$P))</f>
        <v/>
      </c>
      <c r="N326" s="18" t="str">
        <f t="array" ref="N326">IF(AND(ISNUMBER(_xlfn.XLOOKUP(A326&amp;B326&amp;C326,盘货信息!$A:$A&amp;盘货信息!$B:$B&amp;盘货信息!$C:$C,盘货信息!$I:$I)),_xlfn.XLOOKUP(A326&amp;B326&amp;C326,盘货信息!$A:$A&amp;盘货信息!$B:$B&amp;盘货信息!$C:$C,盘货信息!$I:$I)&gt;1),"【88VIP】立减"&amp;_xlfn.XLOOKUP(A326&amp;B326&amp;C326,盘货信息!$A:$A&amp;盘货信息!$B:$B&amp;盘货信息!$C:$C,盘货信息!$I:$I)&amp;"元","")</f>
        <v/>
      </c>
      <c r="O326" s="18" t="str">
        <f t="array" ref="O326">IF(_xlfn.XLOOKUP(A326&amp;B326&amp;C326,盘货信息!$A:$A&amp;盘货信息!$B:$B&amp;盘货信息!$C:$C,盘货信息!$K:$K)="","",IF(AND(_xlfn.XLOOKUP(A326&amp;B326&amp;C326,盘货信息!$A:$A&amp;盘货信息!$B:$B&amp;盘货信息!$C:$C,盘货信息!$G:$G)="不参加",_xlfn.XLOOKUP(A326&amp;B326&amp;C326,盘货信息!$A:$A&amp;盘货信息!$B:$B&amp;盘货信息!$C:$C,盘货信息!$H:$H)=""),"【以旧换新】"&amp;_xlfn.XLOOKUP(A326&amp;B326&amp;C326,盘货信息!$A:$A&amp;盘货信息!$B:$B&amp;盘货信息!$C:$C,盘货信息!$K:$K)&amp;"元以旧换新补贴（可无旧机换新）",""))</f>
        <v/>
      </c>
      <c r="P326" s="18" t="str">
        <f t="array" ref="P326">_xlfn.XLOOKUP(A326&amp;B326&amp;C326,赠品!$A:$A&amp;赠品!$B:$B&amp;赠品!$C:$C,赠品!$D:$D)</f>
        <v/>
      </c>
      <c r="Q326" s="18" t="str">
        <f>IF($C326="","",IF(AND(M326="",N326="",P326=""),"",固定信息!$B$1))</f>
        <v/>
      </c>
      <c r="R326" s="18" t="str">
        <f t="array" ref="R326">IF(ISNUMBER(SEARCH("是",_xlfn.XLOOKUP(A326&amp;B326&amp;C326,盘货信息!$A:$A&amp;盘货信息!$B:$B&amp;盘货信息!$C:$C,盘货信息!$U:$U))),"【折扣】指定型号满2类享96折，满3类享94折","")</f>
        <v/>
      </c>
      <c r="S326" s="18" t="str">
        <f t="array" ref="S326">IF(_xlfn.XLOOKUP(A326&amp;B326&amp;C326,盘货信息!$A:$A&amp;盘货信息!$B:$B&amp;盘货信息!$C:$C,盘货信息!$Q:$Q)&lt;1,"","【红包】活动时间购机送"&amp;_xlfn.TEXTJOIN("",,IF(ISNUMBER(--MID(_xlfn.XLOOKUP(A326&amp;B326&amp;C326,盘货信息!$A:$A&amp;盘货信息!$B:$B&amp;盘货信息!$C:$C,盘货信息!$Q:$Q),_xlfn.SEQUENCE(LEN(_xlfn.XLOOKUP(A326&amp;B326&amp;C326,盘货信息!$A:$A&amp;盘货信息!$B:$B&amp;盘货信息!$C:$C,盘货信息!$Q:$Q))),1)),MID(_xlfn.XLOOKUP(A326&amp;B326&amp;C326,盘货信息!$A:$A&amp;盘货信息!$B:$B&amp;盘货信息!$C:$C,盘货信息!$Q:$Q),_xlfn.SEQUENCE(LEN(_xlfn.XLOOKUP(A326&amp;B326&amp;C326,盘货信息!$A:$A&amp;盘货信息!$B:$B&amp;盘货信息!$C:$C,盘货信息!$Q:$Q))),1),""))&amp;"元")</f>
        <v/>
      </c>
      <c r="T326" s="18" t="str">
        <f t="array" ref="T326">IF(ISNUMBER(SEARCH("是",_xlfn.XLOOKUP(A326&amp;B326&amp;C326,盘货信息!$A:$A&amp;盘货信息!$B:$B&amp;盘货信息!$C:$C,盘货信息!$T:$T))),"【瓜分】"&amp;固定信息!$B$7,"")</f>
        <v/>
      </c>
      <c r="U326" s="18" t="str">
        <f>IF($C326="","",IF(AND(R326="",S326="",T326=""),"",固定信息!$B$1))</f>
        <v/>
      </c>
      <c r="V326" s="18" t="str">
        <f t="array" ref="V326">IF(C326="","","【服务】"&amp;IF(_xlfn.XLOOKUP(A326&amp;B326&amp;C326,盘货信息!$A:$A&amp;盘货信息!$B:$B&amp;盘货信息!$C:$C,盘货信息!$V:$V)="","",_xlfn.XLOOKUP(A326&amp;B326&amp;C326,盘货信息!$A:$A&amp;盘货信息!$B:$B&amp;盘货信息!$C:$C,盘货信息!$V:$V)&amp;"免息,")&amp;IF(_xlfn.XLOOKUP(A326&amp;B326&amp;C326,盘货信息!$A:$A&amp;盘货信息!$B:$B&amp;盘货信息!$C:$C,盘货信息!$W:$W)="","",_xlfn.XLOOKUP(A326&amp;B326&amp;C326,盘货信息!$A:$A&amp;盘货信息!$B:$B&amp;盘货信息!$C:$C,盘货信息!$W:$W)&amp;"，")&amp;"送货入户，退换免运费")</f>
        <v/>
      </c>
    </row>
    <row r="327" customHeight="1" spans="1:22">
      <c r="A327" s="17" t="str">
        <f>IF(盘货信息!A327="","",盘货信息!A327)</f>
        <v/>
      </c>
      <c r="B327" s="20" t="str">
        <f>IF(盘货信息!B327="","",盘货信息!B327)</f>
        <v/>
      </c>
      <c r="C327" s="18" t="str">
        <f>IF(盘货信息!C327="","",盘货信息!C327)</f>
        <v/>
      </c>
      <c r="D327" s="18" t="str">
        <f ca="1" t="shared" si="5"/>
        <v/>
      </c>
      <c r="E327" s="18" t="str">
        <f>IF(C327="","",固定信息!$B$2)</f>
        <v/>
      </c>
      <c r="F327" s="18" t="str">
        <f t="array" ref="F327">IF(C327="","","【"&amp;C327&amp;"】"&amp;_xlfn.XLOOKUP(A327&amp;B327&amp;C327,盘货信息!$A:$A&amp;盘货信息!$B:$B&amp;盘货信息!$C:$C,盘货信息!$D:$D))</f>
        <v/>
      </c>
      <c r="G327" s="18" t="str">
        <f>IF(C327="","","【"&amp;"活动时间："&amp;固定信息!$B$3&amp;"】")</f>
        <v/>
      </c>
      <c r="H327" s="18" t="str">
        <f>IF($C327="","",固定信息!$B$1)</f>
        <v/>
      </c>
      <c r="I327" s="18"/>
      <c r="J327" s="18" t="str">
        <f t="array" ref="J327">_xlfn.XLOOKUP(A327&amp;B327&amp;C327,价格信息!$A:$A&amp;价格信息!$B:$B&amp;价格信息!$C:$C,价格信息!$D:$D)</f>
        <v/>
      </c>
      <c r="K327" s="31" t="str">
        <f t="array" ref="K327">IF(_xlfn.XLOOKUP(A327&amp;B327&amp;C327,价格信息!$A:$A&amp;价格信息!$B:$B&amp;价格信息!$C:$C,价格信息!$I:$I)="","","【优惠券链接】"&amp;固定信息!$B$6)</f>
        <v/>
      </c>
      <c r="L327" s="31" t="str">
        <f>IF($C327="","",固定信息!$B$1)</f>
        <v/>
      </c>
      <c r="M327" s="18" t="str">
        <f t="array" ref="M327">IF(_xlfn.XLOOKUP(A327&amp;B327&amp;C327,盘货信息!$A:$A&amp;盘货信息!$B:$B&amp;盘货信息!$C:$C,盘货信息!$O:$O)="","","【优惠券】领"&amp;INDEX(_wpsfn.REGEXP(_xlfn.XLOOKUP(A327&amp;B327&amp;C327,盘货信息!$A:$A&amp;盘货信息!$B:$B&amp;盘货信息!$C:$C,盘货信息!$O:$O),"\d+"),1,1)&amp;"元优惠券下单更优惠，优惠卷："&amp;_xlfn.XLOOKUP(A327&amp;B327&amp;C327,盘货信息!$A:$A&amp;盘货信息!$B:$B&amp;盘货信息!$C:$C,盘货信息!$P:$P))</f>
        <v/>
      </c>
      <c r="N327" s="18" t="str">
        <f t="array" ref="N327">IF(AND(ISNUMBER(_xlfn.XLOOKUP(A327&amp;B327&amp;C327,盘货信息!$A:$A&amp;盘货信息!$B:$B&amp;盘货信息!$C:$C,盘货信息!$I:$I)),_xlfn.XLOOKUP(A327&amp;B327&amp;C327,盘货信息!$A:$A&amp;盘货信息!$B:$B&amp;盘货信息!$C:$C,盘货信息!$I:$I)&gt;1),"【88VIP】立减"&amp;_xlfn.XLOOKUP(A327&amp;B327&amp;C327,盘货信息!$A:$A&amp;盘货信息!$B:$B&amp;盘货信息!$C:$C,盘货信息!$I:$I)&amp;"元","")</f>
        <v/>
      </c>
      <c r="O327" s="18" t="str">
        <f t="array" ref="O327">IF(_xlfn.XLOOKUP(A327&amp;B327&amp;C327,盘货信息!$A:$A&amp;盘货信息!$B:$B&amp;盘货信息!$C:$C,盘货信息!$K:$K)="","",IF(AND(_xlfn.XLOOKUP(A327&amp;B327&amp;C327,盘货信息!$A:$A&amp;盘货信息!$B:$B&amp;盘货信息!$C:$C,盘货信息!$G:$G)="不参加",_xlfn.XLOOKUP(A327&amp;B327&amp;C327,盘货信息!$A:$A&amp;盘货信息!$B:$B&amp;盘货信息!$C:$C,盘货信息!$H:$H)=""),"【以旧换新】"&amp;_xlfn.XLOOKUP(A327&amp;B327&amp;C327,盘货信息!$A:$A&amp;盘货信息!$B:$B&amp;盘货信息!$C:$C,盘货信息!$K:$K)&amp;"元以旧换新补贴（可无旧机换新）",""))</f>
        <v/>
      </c>
      <c r="P327" s="18" t="str">
        <f t="array" ref="P327">_xlfn.XLOOKUP(A327&amp;B327&amp;C327,赠品!$A:$A&amp;赠品!$B:$B&amp;赠品!$C:$C,赠品!$D:$D)</f>
        <v/>
      </c>
      <c r="Q327" s="18" t="str">
        <f>IF($C327="","",IF(AND(M327="",N327="",P327=""),"",固定信息!$B$1))</f>
        <v/>
      </c>
      <c r="R327" s="18" t="str">
        <f t="array" ref="R327">IF(ISNUMBER(SEARCH("是",_xlfn.XLOOKUP(A327&amp;B327&amp;C327,盘货信息!$A:$A&amp;盘货信息!$B:$B&amp;盘货信息!$C:$C,盘货信息!$U:$U))),"【折扣】指定型号满2类享96折，满3类享94折","")</f>
        <v/>
      </c>
      <c r="S327" s="18" t="str">
        <f t="array" ref="S327">IF(_xlfn.XLOOKUP(A327&amp;B327&amp;C327,盘货信息!$A:$A&amp;盘货信息!$B:$B&amp;盘货信息!$C:$C,盘货信息!$Q:$Q)&lt;1,"","【红包】活动时间购机送"&amp;_xlfn.TEXTJOIN("",,IF(ISNUMBER(--MID(_xlfn.XLOOKUP(A327&amp;B327&amp;C327,盘货信息!$A:$A&amp;盘货信息!$B:$B&amp;盘货信息!$C:$C,盘货信息!$Q:$Q),_xlfn.SEQUENCE(LEN(_xlfn.XLOOKUP(A327&amp;B327&amp;C327,盘货信息!$A:$A&amp;盘货信息!$B:$B&amp;盘货信息!$C:$C,盘货信息!$Q:$Q))),1)),MID(_xlfn.XLOOKUP(A327&amp;B327&amp;C327,盘货信息!$A:$A&amp;盘货信息!$B:$B&amp;盘货信息!$C:$C,盘货信息!$Q:$Q),_xlfn.SEQUENCE(LEN(_xlfn.XLOOKUP(A327&amp;B327&amp;C327,盘货信息!$A:$A&amp;盘货信息!$B:$B&amp;盘货信息!$C:$C,盘货信息!$Q:$Q))),1),""))&amp;"元")</f>
        <v/>
      </c>
      <c r="T327" s="18" t="str">
        <f t="array" ref="T327">IF(ISNUMBER(SEARCH("是",_xlfn.XLOOKUP(A327&amp;B327&amp;C327,盘货信息!$A:$A&amp;盘货信息!$B:$B&amp;盘货信息!$C:$C,盘货信息!$T:$T))),"【瓜分】"&amp;固定信息!$B$7,"")</f>
        <v/>
      </c>
      <c r="U327" s="18" t="str">
        <f>IF($C327="","",IF(AND(R327="",S327="",T327=""),"",固定信息!$B$1))</f>
        <v/>
      </c>
      <c r="V327" s="18" t="str">
        <f t="array" ref="V327">IF(C327="","","【服务】"&amp;IF(_xlfn.XLOOKUP(A327&amp;B327&amp;C327,盘货信息!$A:$A&amp;盘货信息!$B:$B&amp;盘货信息!$C:$C,盘货信息!$V:$V)="","",_xlfn.XLOOKUP(A327&amp;B327&amp;C327,盘货信息!$A:$A&amp;盘货信息!$B:$B&amp;盘货信息!$C:$C,盘货信息!$V:$V)&amp;"免息,")&amp;IF(_xlfn.XLOOKUP(A327&amp;B327&amp;C327,盘货信息!$A:$A&amp;盘货信息!$B:$B&amp;盘货信息!$C:$C,盘货信息!$W:$W)="","",_xlfn.XLOOKUP(A327&amp;B327&amp;C327,盘货信息!$A:$A&amp;盘货信息!$B:$B&amp;盘货信息!$C:$C,盘货信息!$W:$W)&amp;"，")&amp;"送货入户，退换免运费")</f>
        <v/>
      </c>
    </row>
    <row r="328" customHeight="1" spans="1:22">
      <c r="A328" s="17" t="str">
        <f>IF(盘货信息!A328="","",盘货信息!A328)</f>
        <v/>
      </c>
      <c r="B328" s="20" t="str">
        <f>IF(盘货信息!B328="","",盘货信息!B328)</f>
        <v/>
      </c>
      <c r="C328" s="18" t="str">
        <f>IF(盘货信息!C328="","",盘货信息!C328)</f>
        <v/>
      </c>
      <c r="D328" s="18" t="str">
        <f ca="1" t="shared" si="5"/>
        <v/>
      </c>
      <c r="E328" s="18" t="str">
        <f>IF(C328="","",固定信息!$B$2)</f>
        <v/>
      </c>
      <c r="F328" s="18" t="str">
        <f t="array" ref="F328">IF(C328="","","【"&amp;C328&amp;"】"&amp;_xlfn.XLOOKUP(A328&amp;B328&amp;C328,盘货信息!$A:$A&amp;盘货信息!$B:$B&amp;盘货信息!$C:$C,盘货信息!$D:$D))</f>
        <v/>
      </c>
      <c r="G328" s="18" t="str">
        <f>IF(C328="","","【"&amp;"活动时间："&amp;固定信息!$B$3&amp;"】")</f>
        <v/>
      </c>
      <c r="H328" s="18" t="str">
        <f>IF($C328="","",固定信息!$B$1)</f>
        <v/>
      </c>
      <c r="I328" s="18"/>
      <c r="J328" s="18" t="str">
        <f t="array" ref="J328">_xlfn.XLOOKUP(A328&amp;B328&amp;C328,价格信息!$A:$A&amp;价格信息!$B:$B&amp;价格信息!$C:$C,价格信息!$D:$D)</f>
        <v/>
      </c>
      <c r="K328" s="31" t="str">
        <f t="array" ref="K328">IF(_xlfn.XLOOKUP(A328&amp;B328&amp;C328,价格信息!$A:$A&amp;价格信息!$B:$B&amp;价格信息!$C:$C,价格信息!$I:$I)="","","【优惠券链接】"&amp;固定信息!$B$6)</f>
        <v/>
      </c>
      <c r="L328" s="31" t="str">
        <f>IF($C328="","",固定信息!$B$1)</f>
        <v/>
      </c>
      <c r="M328" s="18" t="str">
        <f t="array" ref="M328">IF(_xlfn.XLOOKUP(A328&amp;B328&amp;C328,盘货信息!$A:$A&amp;盘货信息!$B:$B&amp;盘货信息!$C:$C,盘货信息!$O:$O)="","","【优惠券】领"&amp;INDEX(_wpsfn.REGEXP(_xlfn.XLOOKUP(A328&amp;B328&amp;C328,盘货信息!$A:$A&amp;盘货信息!$B:$B&amp;盘货信息!$C:$C,盘货信息!$O:$O),"\d+"),1,1)&amp;"元优惠券下单更优惠，优惠卷："&amp;_xlfn.XLOOKUP(A328&amp;B328&amp;C328,盘货信息!$A:$A&amp;盘货信息!$B:$B&amp;盘货信息!$C:$C,盘货信息!$P:$P))</f>
        <v/>
      </c>
      <c r="N328" s="18" t="str">
        <f t="array" ref="N328">IF(AND(ISNUMBER(_xlfn.XLOOKUP(A328&amp;B328&amp;C328,盘货信息!$A:$A&amp;盘货信息!$B:$B&amp;盘货信息!$C:$C,盘货信息!$I:$I)),_xlfn.XLOOKUP(A328&amp;B328&amp;C328,盘货信息!$A:$A&amp;盘货信息!$B:$B&amp;盘货信息!$C:$C,盘货信息!$I:$I)&gt;1),"【88VIP】立减"&amp;_xlfn.XLOOKUP(A328&amp;B328&amp;C328,盘货信息!$A:$A&amp;盘货信息!$B:$B&amp;盘货信息!$C:$C,盘货信息!$I:$I)&amp;"元","")</f>
        <v/>
      </c>
      <c r="O328" s="18" t="str">
        <f t="array" ref="O328">IF(_xlfn.XLOOKUP(A328&amp;B328&amp;C328,盘货信息!$A:$A&amp;盘货信息!$B:$B&amp;盘货信息!$C:$C,盘货信息!$K:$K)="","",IF(AND(_xlfn.XLOOKUP(A328&amp;B328&amp;C328,盘货信息!$A:$A&amp;盘货信息!$B:$B&amp;盘货信息!$C:$C,盘货信息!$G:$G)="不参加",_xlfn.XLOOKUP(A328&amp;B328&amp;C328,盘货信息!$A:$A&amp;盘货信息!$B:$B&amp;盘货信息!$C:$C,盘货信息!$H:$H)=""),"【以旧换新】"&amp;_xlfn.XLOOKUP(A328&amp;B328&amp;C328,盘货信息!$A:$A&amp;盘货信息!$B:$B&amp;盘货信息!$C:$C,盘货信息!$K:$K)&amp;"元以旧换新补贴（可无旧机换新）",""))</f>
        <v/>
      </c>
      <c r="P328" s="18" t="str">
        <f t="array" ref="P328">_xlfn.XLOOKUP(A328&amp;B328&amp;C328,赠品!$A:$A&amp;赠品!$B:$B&amp;赠品!$C:$C,赠品!$D:$D)</f>
        <v/>
      </c>
      <c r="Q328" s="18" t="str">
        <f>IF($C328="","",IF(AND(M328="",N328="",P328=""),"",固定信息!$B$1))</f>
        <v/>
      </c>
      <c r="R328" s="18" t="str">
        <f t="array" ref="R328">IF(ISNUMBER(SEARCH("是",_xlfn.XLOOKUP(A328&amp;B328&amp;C328,盘货信息!$A:$A&amp;盘货信息!$B:$B&amp;盘货信息!$C:$C,盘货信息!$U:$U))),"【折扣】指定型号满2类享96折，满3类享94折","")</f>
        <v/>
      </c>
      <c r="S328" s="18" t="str">
        <f t="array" ref="S328">IF(_xlfn.XLOOKUP(A328&amp;B328&amp;C328,盘货信息!$A:$A&amp;盘货信息!$B:$B&amp;盘货信息!$C:$C,盘货信息!$Q:$Q)&lt;1,"","【红包】活动时间购机送"&amp;_xlfn.TEXTJOIN("",,IF(ISNUMBER(--MID(_xlfn.XLOOKUP(A328&amp;B328&amp;C328,盘货信息!$A:$A&amp;盘货信息!$B:$B&amp;盘货信息!$C:$C,盘货信息!$Q:$Q),_xlfn.SEQUENCE(LEN(_xlfn.XLOOKUP(A328&amp;B328&amp;C328,盘货信息!$A:$A&amp;盘货信息!$B:$B&amp;盘货信息!$C:$C,盘货信息!$Q:$Q))),1)),MID(_xlfn.XLOOKUP(A328&amp;B328&amp;C328,盘货信息!$A:$A&amp;盘货信息!$B:$B&amp;盘货信息!$C:$C,盘货信息!$Q:$Q),_xlfn.SEQUENCE(LEN(_xlfn.XLOOKUP(A328&amp;B328&amp;C328,盘货信息!$A:$A&amp;盘货信息!$B:$B&amp;盘货信息!$C:$C,盘货信息!$Q:$Q))),1),""))&amp;"元")</f>
        <v/>
      </c>
      <c r="T328" s="18" t="str">
        <f t="array" ref="T328">IF(ISNUMBER(SEARCH("是",_xlfn.XLOOKUP(A328&amp;B328&amp;C328,盘货信息!$A:$A&amp;盘货信息!$B:$B&amp;盘货信息!$C:$C,盘货信息!$T:$T))),"【瓜分】"&amp;固定信息!$B$7,"")</f>
        <v/>
      </c>
      <c r="U328" s="18" t="str">
        <f>IF($C328="","",IF(AND(R328="",S328="",T328=""),"",固定信息!$B$1))</f>
        <v/>
      </c>
      <c r="V328" s="18" t="str">
        <f t="array" ref="V328">IF(C328="","","【服务】"&amp;IF(_xlfn.XLOOKUP(A328&amp;B328&amp;C328,盘货信息!$A:$A&amp;盘货信息!$B:$B&amp;盘货信息!$C:$C,盘货信息!$V:$V)="","",_xlfn.XLOOKUP(A328&amp;B328&amp;C328,盘货信息!$A:$A&amp;盘货信息!$B:$B&amp;盘货信息!$C:$C,盘货信息!$V:$V)&amp;"免息,")&amp;IF(_xlfn.XLOOKUP(A328&amp;B328&amp;C328,盘货信息!$A:$A&amp;盘货信息!$B:$B&amp;盘货信息!$C:$C,盘货信息!$W:$W)="","",_xlfn.XLOOKUP(A328&amp;B328&amp;C328,盘货信息!$A:$A&amp;盘货信息!$B:$B&amp;盘货信息!$C:$C,盘货信息!$W:$W)&amp;"，")&amp;"送货入户，退换免运费")</f>
        <v/>
      </c>
    </row>
    <row r="329" customHeight="1" spans="1:22">
      <c r="A329" s="17" t="str">
        <f>IF(盘货信息!A329="","",盘货信息!A329)</f>
        <v/>
      </c>
      <c r="B329" s="20" t="str">
        <f>IF(盘货信息!B329="","",盘货信息!B329)</f>
        <v/>
      </c>
      <c r="C329" s="18" t="str">
        <f>IF(盘货信息!C329="","",盘货信息!C329)</f>
        <v/>
      </c>
      <c r="D329" s="18" t="str">
        <f ca="1" t="shared" si="5"/>
        <v/>
      </c>
      <c r="E329" s="18" t="str">
        <f>IF(C329="","",固定信息!$B$2)</f>
        <v/>
      </c>
      <c r="F329" s="18" t="str">
        <f t="array" ref="F329">IF(C329="","","【"&amp;C329&amp;"】"&amp;_xlfn.XLOOKUP(A329&amp;B329&amp;C329,盘货信息!$A:$A&amp;盘货信息!$B:$B&amp;盘货信息!$C:$C,盘货信息!$D:$D))</f>
        <v/>
      </c>
      <c r="G329" s="18" t="str">
        <f>IF(C329="","","【"&amp;"活动时间："&amp;固定信息!$B$3&amp;"】")</f>
        <v/>
      </c>
      <c r="H329" s="18" t="str">
        <f>IF($C329="","",固定信息!$B$1)</f>
        <v/>
      </c>
      <c r="I329" s="18"/>
      <c r="J329" s="18" t="str">
        <f t="array" ref="J329">_xlfn.XLOOKUP(A329&amp;B329&amp;C329,价格信息!$A:$A&amp;价格信息!$B:$B&amp;价格信息!$C:$C,价格信息!$D:$D)</f>
        <v/>
      </c>
      <c r="K329" s="31" t="str">
        <f t="array" ref="K329">IF(_xlfn.XLOOKUP(A329&amp;B329&amp;C329,价格信息!$A:$A&amp;价格信息!$B:$B&amp;价格信息!$C:$C,价格信息!$I:$I)="","","【优惠券链接】"&amp;固定信息!$B$6)</f>
        <v/>
      </c>
      <c r="L329" s="31" t="str">
        <f>IF($C329="","",固定信息!$B$1)</f>
        <v/>
      </c>
      <c r="M329" s="18" t="str">
        <f t="array" ref="M329">IF(_xlfn.XLOOKUP(A329&amp;B329&amp;C329,盘货信息!$A:$A&amp;盘货信息!$B:$B&amp;盘货信息!$C:$C,盘货信息!$O:$O)="","","【优惠券】领"&amp;INDEX(_wpsfn.REGEXP(_xlfn.XLOOKUP(A329&amp;B329&amp;C329,盘货信息!$A:$A&amp;盘货信息!$B:$B&amp;盘货信息!$C:$C,盘货信息!$O:$O),"\d+"),1,1)&amp;"元优惠券下单更优惠，优惠卷："&amp;_xlfn.XLOOKUP(A329&amp;B329&amp;C329,盘货信息!$A:$A&amp;盘货信息!$B:$B&amp;盘货信息!$C:$C,盘货信息!$P:$P))</f>
        <v/>
      </c>
      <c r="N329" s="18" t="str">
        <f t="array" ref="N329">IF(AND(ISNUMBER(_xlfn.XLOOKUP(A329&amp;B329&amp;C329,盘货信息!$A:$A&amp;盘货信息!$B:$B&amp;盘货信息!$C:$C,盘货信息!$I:$I)),_xlfn.XLOOKUP(A329&amp;B329&amp;C329,盘货信息!$A:$A&amp;盘货信息!$B:$B&amp;盘货信息!$C:$C,盘货信息!$I:$I)&gt;1),"【88VIP】立减"&amp;_xlfn.XLOOKUP(A329&amp;B329&amp;C329,盘货信息!$A:$A&amp;盘货信息!$B:$B&amp;盘货信息!$C:$C,盘货信息!$I:$I)&amp;"元","")</f>
        <v/>
      </c>
      <c r="O329" s="18" t="str">
        <f t="array" ref="O329">IF(_xlfn.XLOOKUP(A329&amp;B329&amp;C329,盘货信息!$A:$A&amp;盘货信息!$B:$B&amp;盘货信息!$C:$C,盘货信息!$K:$K)="","",IF(AND(_xlfn.XLOOKUP(A329&amp;B329&amp;C329,盘货信息!$A:$A&amp;盘货信息!$B:$B&amp;盘货信息!$C:$C,盘货信息!$G:$G)="不参加",_xlfn.XLOOKUP(A329&amp;B329&amp;C329,盘货信息!$A:$A&amp;盘货信息!$B:$B&amp;盘货信息!$C:$C,盘货信息!$H:$H)=""),"【以旧换新】"&amp;_xlfn.XLOOKUP(A329&amp;B329&amp;C329,盘货信息!$A:$A&amp;盘货信息!$B:$B&amp;盘货信息!$C:$C,盘货信息!$K:$K)&amp;"元以旧换新补贴（可无旧机换新）",""))</f>
        <v/>
      </c>
      <c r="P329" s="18" t="str">
        <f t="array" ref="P329">_xlfn.XLOOKUP(A329&amp;B329&amp;C329,赠品!$A:$A&amp;赠品!$B:$B&amp;赠品!$C:$C,赠品!$D:$D)</f>
        <v/>
      </c>
      <c r="Q329" s="18" t="str">
        <f>IF($C329="","",IF(AND(M329="",N329="",P329=""),"",固定信息!$B$1))</f>
        <v/>
      </c>
      <c r="R329" s="18" t="str">
        <f t="array" ref="R329">IF(ISNUMBER(SEARCH("是",_xlfn.XLOOKUP(A329&amp;B329&amp;C329,盘货信息!$A:$A&amp;盘货信息!$B:$B&amp;盘货信息!$C:$C,盘货信息!$U:$U))),"【折扣】指定型号满2类享96折，满3类享94折","")</f>
        <v/>
      </c>
      <c r="S329" s="18" t="str">
        <f t="array" ref="S329">IF(_xlfn.XLOOKUP(A329&amp;B329&amp;C329,盘货信息!$A:$A&amp;盘货信息!$B:$B&amp;盘货信息!$C:$C,盘货信息!$Q:$Q)&lt;1,"","【红包】活动时间购机送"&amp;_xlfn.TEXTJOIN("",,IF(ISNUMBER(--MID(_xlfn.XLOOKUP(A329&amp;B329&amp;C329,盘货信息!$A:$A&amp;盘货信息!$B:$B&amp;盘货信息!$C:$C,盘货信息!$Q:$Q),_xlfn.SEQUENCE(LEN(_xlfn.XLOOKUP(A329&amp;B329&amp;C329,盘货信息!$A:$A&amp;盘货信息!$B:$B&amp;盘货信息!$C:$C,盘货信息!$Q:$Q))),1)),MID(_xlfn.XLOOKUP(A329&amp;B329&amp;C329,盘货信息!$A:$A&amp;盘货信息!$B:$B&amp;盘货信息!$C:$C,盘货信息!$Q:$Q),_xlfn.SEQUENCE(LEN(_xlfn.XLOOKUP(A329&amp;B329&amp;C329,盘货信息!$A:$A&amp;盘货信息!$B:$B&amp;盘货信息!$C:$C,盘货信息!$Q:$Q))),1),""))&amp;"元")</f>
        <v/>
      </c>
      <c r="T329" s="18" t="str">
        <f t="array" ref="T329">IF(ISNUMBER(SEARCH("是",_xlfn.XLOOKUP(A329&amp;B329&amp;C329,盘货信息!$A:$A&amp;盘货信息!$B:$B&amp;盘货信息!$C:$C,盘货信息!$T:$T))),"【瓜分】"&amp;固定信息!$B$7,"")</f>
        <v/>
      </c>
      <c r="U329" s="18" t="str">
        <f>IF($C329="","",IF(AND(R329="",S329="",T329=""),"",固定信息!$B$1))</f>
        <v/>
      </c>
      <c r="V329" s="18" t="str">
        <f t="array" ref="V329">IF(C329="","","【服务】"&amp;IF(_xlfn.XLOOKUP(A329&amp;B329&amp;C329,盘货信息!$A:$A&amp;盘货信息!$B:$B&amp;盘货信息!$C:$C,盘货信息!$V:$V)="","",_xlfn.XLOOKUP(A329&amp;B329&amp;C329,盘货信息!$A:$A&amp;盘货信息!$B:$B&amp;盘货信息!$C:$C,盘货信息!$V:$V)&amp;"免息,")&amp;IF(_xlfn.XLOOKUP(A329&amp;B329&amp;C329,盘货信息!$A:$A&amp;盘货信息!$B:$B&amp;盘货信息!$C:$C,盘货信息!$W:$W)="","",_xlfn.XLOOKUP(A329&amp;B329&amp;C329,盘货信息!$A:$A&amp;盘货信息!$B:$B&amp;盘货信息!$C:$C,盘货信息!$W:$W)&amp;"，")&amp;"送货入户，退换免运费")</f>
        <v/>
      </c>
    </row>
    <row r="330" customHeight="1" spans="1:22">
      <c r="A330" s="17" t="str">
        <f>IF(盘货信息!A330="","",盘货信息!A330)</f>
        <v/>
      </c>
      <c r="B330" s="20" t="str">
        <f>IF(盘货信息!B330="","",盘货信息!B330)</f>
        <v/>
      </c>
      <c r="C330" s="18" t="str">
        <f>IF(盘货信息!C330="","",盘货信息!C330)</f>
        <v/>
      </c>
      <c r="D330" s="18" t="str">
        <f ca="1" t="shared" si="5"/>
        <v/>
      </c>
      <c r="E330" s="18" t="str">
        <f>IF(C330="","",固定信息!$B$2)</f>
        <v/>
      </c>
      <c r="F330" s="18" t="str">
        <f t="array" ref="F330">IF(C330="","","【"&amp;C330&amp;"】"&amp;_xlfn.XLOOKUP(A330&amp;B330&amp;C330,盘货信息!$A:$A&amp;盘货信息!$B:$B&amp;盘货信息!$C:$C,盘货信息!$D:$D))</f>
        <v/>
      </c>
      <c r="G330" s="18" t="str">
        <f>IF(C330="","","【"&amp;"活动时间："&amp;固定信息!$B$3&amp;"】")</f>
        <v/>
      </c>
      <c r="H330" s="18" t="str">
        <f>IF($C330="","",固定信息!$B$1)</f>
        <v/>
      </c>
      <c r="I330" s="18"/>
      <c r="J330" s="18" t="str">
        <f t="array" ref="J330">_xlfn.XLOOKUP(A330&amp;B330&amp;C330,价格信息!$A:$A&amp;价格信息!$B:$B&amp;价格信息!$C:$C,价格信息!$D:$D)</f>
        <v/>
      </c>
      <c r="K330" s="31" t="str">
        <f t="array" ref="K330">IF(_xlfn.XLOOKUP(A330&amp;B330&amp;C330,价格信息!$A:$A&amp;价格信息!$B:$B&amp;价格信息!$C:$C,价格信息!$I:$I)="","","【优惠券链接】"&amp;固定信息!$B$6)</f>
        <v/>
      </c>
      <c r="L330" s="31" t="str">
        <f>IF($C330="","",固定信息!$B$1)</f>
        <v/>
      </c>
      <c r="M330" s="18" t="str">
        <f t="array" ref="M330">IF(_xlfn.XLOOKUP(A330&amp;B330&amp;C330,盘货信息!$A:$A&amp;盘货信息!$B:$B&amp;盘货信息!$C:$C,盘货信息!$O:$O)="","","【优惠券】领"&amp;INDEX(_wpsfn.REGEXP(_xlfn.XLOOKUP(A330&amp;B330&amp;C330,盘货信息!$A:$A&amp;盘货信息!$B:$B&amp;盘货信息!$C:$C,盘货信息!$O:$O),"\d+"),1,1)&amp;"元优惠券下单更优惠，优惠卷："&amp;_xlfn.XLOOKUP(A330&amp;B330&amp;C330,盘货信息!$A:$A&amp;盘货信息!$B:$B&amp;盘货信息!$C:$C,盘货信息!$P:$P))</f>
        <v/>
      </c>
      <c r="N330" s="18" t="str">
        <f t="array" ref="N330">IF(AND(ISNUMBER(_xlfn.XLOOKUP(A330&amp;B330&amp;C330,盘货信息!$A:$A&amp;盘货信息!$B:$B&amp;盘货信息!$C:$C,盘货信息!$I:$I)),_xlfn.XLOOKUP(A330&amp;B330&amp;C330,盘货信息!$A:$A&amp;盘货信息!$B:$B&amp;盘货信息!$C:$C,盘货信息!$I:$I)&gt;1),"【88VIP】立减"&amp;_xlfn.XLOOKUP(A330&amp;B330&amp;C330,盘货信息!$A:$A&amp;盘货信息!$B:$B&amp;盘货信息!$C:$C,盘货信息!$I:$I)&amp;"元","")</f>
        <v/>
      </c>
      <c r="O330" s="18" t="str">
        <f t="array" ref="O330">IF(_xlfn.XLOOKUP(A330&amp;B330&amp;C330,盘货信息!$A:$A&amp;盘货信息!$B:$B&amp;盘货信息!$C:$C,盘货信息!$K:$K)="","",IF(AND(_xlfn.XLOOKUP(A330&amp;B330&amp;C330,盘货信息!$A:$A&amp;盘货信息!$B:$B&amp;盘货信息!$C:$C,盘货信息!$G:$G)="不参加",_xlfn.XLOOKUP(A330&amp;B330&amp;C330,盘货信息!$A:$A&amp;盘货信息!$B:$B&amp;盘货信息!$C:$C,盘货信息!$H:$H)=""),"【以旧换新】"&amp;_xlfn.XLOOKUP(A330&amp;B330&amp;C330,盘货信息!$A:$A&amp;盘货信息!$B:$B&amp;盘货信息!$C:$C,盘货信息!$K:$K)&amp;"元以旧换新补贴（可无旧机换新）",""))</f>
        <v/>
      </c>
      <c r="P330" s="18" t="str">
        <f t="array" ref="P330">_xlfn.XLOOKUP(A330&amp;B330&amp;C330,赠品!$A:$A&amp;赠品!$B:$B&amp;赠品!$C:$C,赠品!$D:$D)</f>
        <v/>
      </c>
      <c r="Q330" s="18" t="str">
        <f>IF($C330="","",IF(AND(M330="",N330="",P330=""),"",固定信息!$B$1))</f>
        <v/>
      </c>
      <c r="R330" s="18" t="str">
        <f t="array" ref="R330">IF(ISNUMBER(SEARCH("是",_xlfn.XLOOKUP(A330&amp;B330&amp;C330,盘货信息!$A:$A&amp;盘货信息!$B:$B&amp;盘货信息!$C:$C,盘货信息!$U:$U))),"【折扣】指定型号满2类享96折，满3类享94折","")</f>
        <v/>
      </c>
      <c r="S330" s="18" t="str">
        <f t="array" ref="S330">IF(_xlfn.XLOOKUP(A330&amp;B330&amp;C330,盘货信息!$A:$A&amp;盘货信息!$B:$B&amp;盘货信息!$C:$C,盘货信息!$Q:$Q)&lt;1,"","【红包】活动时间购机送"&amp;_xlfn.TEXTJOIN("",,IF(ISNUMBER(--MID(_xlfn.XLOOKUP(A330&amp;B330&amp;C330,盘货信息!$A:$A&amp;盘货信息!$B:$B&amp;盘货信息!$C:$C,盘货信息!$Q:$Q),_xlfn.SEQUENCE(LEN(_xlfn.XLOOKUP(A330&amp;B330&amp;C330,盘货信息!$A:$A&amp;盘货信息!$B:$B&amp;盘货信息!$C:$C,盘货信息!$Q:$Q))),1)),MID(_xlfn.XLOOKUP(A330&amp;B330&amp;C330,盘货信息!$A:$A&amp;盘货信息!$B:$B&amp;盘货信息!$C:$C,盘货信息!$Q:$Q),_xlfn.SEQUENCE(LEN(_xlfn.XLOOKUP(A330&amp;B330&amp;C330,盘货信息!$A:$A&amp;盘货信息!$B:$B&amp;盘货信息!$C:$C,盘货信息!$Q:$Q))),1),""))&amp;"元")</f>
        <v/>
      </c>
      <c r="T330" s="18" t="str">
        <f t="array" ref="T330">IF(ISNUMBER(SEARCH("是",_xlfn.XLOOKUP(A330&amp;B330&amp;C330,盘货信息!$A:$A&amp;盘货信息!$B:$B&amp;盘货信息!$C:$C,盘货信息!$T:$T))),"【瓜分】"&amp;固定信息!$B$7,"")</f>
        <v/>
      </c>
      <c r="U330" s="18" t="str">
        <f>IF($C330="","",IF(AND(R330="",S330="",T330=""),"",固定信息!$B$1))</f>
        <v/>
      </c>
      <c r="V330" s="18" t="str">
        <f t="array" ref="V330">IF(C330="","","【服务】"&amp;IF(_xlfn.XLOOKUP(A330&amp;B330&amp;C330,盘货信息!$A:$A&amp;盘货信息!$B:$B&amp;盘货信息!$C:$C,盘货信息!$V:$V)="","",_xlfn.XLOOKUP(A330&amp;B330&amp;C330,盘货信息!$A:$A&amp;盘货信息!$B:$B&amp;盘货信息!$C:$C,盘货信息!$V:$V)&amp;"免息,")&amp;IF(_xlfn.XLOOKUP(A330&amp;B330&amp;C330,盘货信息!$A:$A&amp;盘货信息!$B:$B&amp;盘货信息!$C:$C,盘货信息!$W:$W)="","",_xlfn.XLOOKUP(A330&amp;B330&amp;C330,盘货信息!$A:$A&amp;盘货信息!$B:$B&amp;盘货信息!$C:$C,盘货信息!$W:$W)&amp;"，")&amp;"送货入户，退换免运费")</f>
        <v/>
      </c>
    </row>
    <row r="331" customHeight="1" spans="1:22">
      <c r="A331" s="17" t="str">
        <f>IF(盘货信息!A331="","",盘货信息!A331)</f>
        <v/>
      </c>
      <c r="B331" s="20" t="str">
        <f>IF(盘货信息!B331="","",盘货信息!B331)</f>
        <v/>
      </c>
      <c r="C331" s="18" t="str">
        <f>IF(盘货信息!C331="","",盘货信息!C331)</f>
        <v/>
      </c>
      <c r="D331" s="18" t="str">
        <f ca="1" t="shared" si="5"/>
        <v/>
      </c>
      <c r="E331" s="18" t="str">
        <f>IF(C331="","",固定信息!$B$2)</f>
        <v/>
      </c>
      <c r="F331" s="18" t="str">
        <f t="array" ref="F331">IF(C331="","","【"&amp;C331&amp;"】"&amp;_xlfn.XLOOKUP(A331&amp;B331&amp;C331,盘货信息!$A:$A&amp;盘货信息!$B:$B&amp;盘货信息!$C:$C,盘货信息!$D:$D))</f>
        <v/>
      </c>
      <c r="G331" s="18" t="str">
        <f>IF(C331="","","【"&amp;"活动时间："&amp;固定信息!$B$3&amp;"】")</f>
        <v/>
      </c>
      <c r="H331" s="18" t="str">
        <f>IF($C331="","",固定信息!$B$1)</f>
        <v/>
      </c>
      <c r="I331" s="18"/>
      <c r="J331" s="18" t="str">
        <f t="array" ref="J331">_xlfn.XLOOKUP(A331&amp;B331&amp;C331,价格信息!$A:$A&amp;价格信息!$B:$B&amp;价格信息!$C:$C,价格信息!$D:$D)</f>
        <v/>
      </c>
      <c r="K331" s="31" t="str">
        <f t="array" ref="K331">IF(_xlfn.XLOOKUP(A331&amp;B331&amp;C331,价格信息!$A:$A&amp;价格信息!$B:$B&amp;价格信息!$C:$C,价格信息!$I:$I)="","","【优惠券链接】"&amp;固定信息!$B$6)</f>
        <v/>
      </c>
      <c r="L331" s="31" t="str">
        <f>IF($C331="","",固定信息!$B$1)</f>
        <v/>
      </c>
      <c r="M331" s="18" t="str">
        <f t="array" ref="M331">IF(_xlfn.XLOOKUP(A331&amp;B331&amp;C331,盘货信息!$A:$A&amp;盘货信息!$B:$B&amp;盘货信息!$C:$C,盘货信息!$O:$O)="","","【优惠券】领"&amp;INDEX(_wpsfn.REGEXP(_xlfn.XLOOKUP(A331&amp;B331&amp;C331,盘货信息!$A:$A&amp;盘货信息!$B:$B&amp;盘货信息!$C:$C,盘货信息!$O:$O),"\d+"),1,1)&amp;"元优惠券下单更优惠，优惠卷："&amp;_xlfn.XLOOKUP(A331&amp;B331&amp;C331,盘货信息!$A:$A&amp;盘货信息!$B:$B&amp;盘货信息!$C:$C,盘货信息!$P:$P))</f>
        <v/>
      </c>
      <c r="N331" s="18" t="str">
        <f t="array" ref="N331">IF(AND(ISNUMBER(_xlfn.XLOOKUP(A331&amp;B331&amp;C331,盘货信息!$A:$A&amp;盘货信息!$B:$B&amp;盘货信息!$C:$C,盘货信息!$I:$I)),_xlfn.XLOOKUP(A331&amp;B331&amp;C331,盘货信息!$A:$A&amp;盘货信息!$B:$B&amp;盘货信息!$C:$C,盘货信息!$I:$I)&gt;1),"【88VIP】立减"&amp;_xlfn.XLOOKUP(A331&amp;B331&amp;C331,盘货信息!$A:$A&amp;盘货信息!$B:$B&amp;盘货信息!$C:$C,盘货信息!$I:$I)&amp;"元","")</f>
        <v/>
      </c>
      <c r="O331" s="18" t="str">
        <f t="array" ref="O331">IF(_xlfn.XLOOKUP(A331&amp;B331&amp;C331,盘货信息!$A:$A&amp;盘货信息!$B:$B&amp;盘货信息!$C:$C,盘货信息!$K:$K)="","",IF(AND(_xlfn.XLOOKUP(A331&amp;B331&amp;C331,盘货信息!$A:$A&amp;盘货信息!$B:$B&amp;盘货信息!$C:$C,盘货信息!$G:$G)="不参加",_xlfn.XLOOKUP(A331&amp;B331&amp;C331,盘货信息!$A:$A&amp;盘货信息!$B:$B&amp;盘货信息!$C:$C,盘货信息!$H:$H)=""),"【以旧换新】"&amp;_xlfn.XLOOKUP(A331&amp;B331&amp;C331,盘货信息!$A:$A&amp;盘货信息!$B:$B&amp;盘货信息!$C:$C,盘货信息!$K:$K)&amp;"元以旧换新补贴（可无旧机换新）",""))</f>
        <v/>
      </c>
      <c r="P331" s="18" t="str">
        <f t="array" ref="P331">_xlfn.XLOOKUP(A331&amp;B331&amp;C331,赠品!$A:$A&amp;赠品!$B:$B&amp;赠品!$C:$C,赠品!$D:$D)</f>
        <v/>
      </c>
      <c r="Q331" s="18" t="str">
        <f>IF($C331="","",IF(AND(M331="",N331="",P331=""),"",固定信息!$B$1))</f>
        <v/>
      </c>
      <c r="R331" s="18" t="str">
        <f t="array" ref="R331">IF(ISNUMBER(SEARCH("是",_xlfn.XLOOKUP(A331&amp;B331&amp;C331,盘货信息!$A:$A&amp;盘货信息!$B:$B&amp;盘货信息!$C:$C,盘货信息!$U:$U))),"【折扣】指定型号满2类享96折，满3类享94折","")</f>
        <v/>
      </c>
      <c r="S331" s="18" t="str">
        <f t="array" ref="S331">IF(_xlfn.XLOOKUP(A331&amp;B331&amp;C331,盘货信息!$A:$A&amp;盘货信息!$B:$B&amp;盘货信息!$C:$C,盘货信息!$Q:$Q)&lt;1,"","【红包】活动时间购机送"&amp;_xlfn.TEXTJOIN("",,IF(ISNUMBER(--MID(_xlfn.XLOOKUP(A331&amp;B331&amp;C331,盘货信息!$A:$A&amp;盘货信息!$B:$B&amp;盘货信息!$C:$C,盘货信息!$Q:$Q),_xlfn.SEQUENCE(LEN(_xlfn.XLOOKUP(A331&amp;B331&amp;C331,盘货信息!$A:$A&amp;盘货信息!$B:$B&amp;盘货信息!$C:$C,盘货信息!$Q:$Q))),1)),MID(_xlfn.XLOOKUP(A331&amp;B331&amp;C331,盘货信息!$A:$A&amp;盘货信息!$B:$B&amp;盘货信息!$C:$C,盘货信息!$Q:$Q),_xlfn.SEQUENCE(LEN(_xlfn.XLOOKUP(A331&amp;B331&amp;C331,盘货信息!$A:$A&amp;盘货信息!$B:$B&amp;盘货信息!$C:$C,盘货信息!$Q:$Q))),1),""))&amp;"元")</f>
        <v/>
      </c>
      <c r="T331" s="18" t="str">
        <f t="array" ref="T331">IF(ISNUMBER(SEARCH("是",_xlfn.XLOOKUP(A331&amp;B331&amp;C331,盘货信息!$A:$A&amp;盘货信息!$B:$B&amp;盘货信息!$C:$C,盘货信息!$T:$T))),"【瓜分】"&amp;固定信息!$B$7,"")</f>
        <v/>
      </c>
      <c r="U331" s="18" t="str">
        <f>IF($C331="","",IF(AND(R331="",S331="",T331=""),"",固定信息!$B$1))</f>
        <v/>
      </c>
      <c r="V331" s="18" t="str">
        <f t="array" ref="V331">IF(C331="","","【服务】"&amp;IF(_xlfn.XLOOKUP(A331&amp;B331&amp;C331,盘货信息!$A:$A&amp;盘货信息!$B:$B&amp;盘货信息!$C:$C,盘货信息!$V:$V)="","",_xlfn.XLOOKUP(A331&amp;B331&amp;C331,盘货信息!$A:$A&amp;盘货信息!$B:$B&amp;盘货信息!$C:$C,盘货信息!$V:$V)&amp;"免息,")&amp;IF(_xlfn.XLOOKUP(A331&amp;B331&amp;C331,盘货信息!$A:$A&amp;盘货信息!$B:$B&amp;盘货信息!$C:$C,盘货信息!$W:$W)="","",_xlfn.XLOOKUP(A331&amp;B331&amp;C331,盘货信息!$A:$A&amp;盘货信息!$B:$B&amp;盘货信息!$C:$C,盘货信息!$W:$W)&amp;"，")&amp;"送货入户，退换免运费")</f>
        <v/>
      </c>
    </row>
    <row r="332" customHeight="1" spans="1:22">
      <c r="A332" s="17" t="str">
        <f>IF(盘货信息!A332="","",盘货信息!A332)</f>
        <v/>
      </c>
      <c r="B332" s="20" t="str">
        <f>IF(盘货信息!B332="","",盘货信息!B332)</f>
        <v/>
      </c>
      <c r="C332" s="18" t="str">
        <f>IF(盘货信息!C332="","",盘货信息!C332)</f>
        <v/>
      </c>
      <c r="D332" s="18" t="str">
        <f ca="1" t="shared" si="5"/>
        <v/>
      </c>
      <c r="E332" s="18" t="str">
        <f>IF(C332="","",固定信息!$B$2)</f>
        <v/>
      </c>
      <c r="F332" s="18" t="str">
        <f t="array" ref="F332">IF(C332="","","【"&amp;C332&amp;"】"&amp;_xlfn.XLOOKUP(A332&amp;B332&amp;C332,盘货信息!$A:$A&amp;盘货信息!$B:$B&amp;盘货信息!$C:$C,盘货信息!$D:$D))</f>
        <v/>
      </c>
      <c r="G332" s="18" t="str">
        <f>IF(C332="","","【"&amp;"活动时间："&amp;固定信息!$B$3&amp;"】")</f>
        <v/>
      </c>
      <c r="H332" s="18" t="str">
        <f>IF($C332="","",固定信息!$B$1)</f>
        <v/>
      </c>
      <c r="I332" s="18"/>
      <c r="J332" s="18" t="str">
        <f t="array" ref="J332">_xlfn.XLOOKUP(A332&amp;B332&amp;C332,价格信息!$A:$A&amp;价格信息!$B:$B&amp;价格信息!$C:$C,价格信息!$D:$D)</f>
        <v/>
      </c>
      <c r="K332" s="31" t="str">
        <f t="array" ref="K332">IF(_xlfn.XLOOKUP(A332&amp;B332&amp;C332,价格信息!$A:$A&amp;价格信息!$B:$B&amp;价格信息!$C:$C,价格信息!$I:$I)="","","【优惠券链接】"&amp;固定信息!$B$6)</f>
        <v/>
      </c>
      <c r="L332" s="31" t="str">
        <f>IF($C332="","",固定信息!$B$1)</f>
        <v/>
      </c>
      <c r="M332" s="18" t="str">
        <f t="array" ref="M332">IF(_xlfn.XLOOKUP(A332&amp;B332&amp;C332,盘货信息!$A:$A&amp;盘货信息!$B:$B&amp;盘货信息!$C:$C,盘货信息!$O:$O)="","","【优惠券】领"&amp;INDEX(_wpsfn.REGEXP(_xlfn.XLOOKUP(A332&amp;B332&amp;C332,盘货信息!$A:$A&amp;盘货信息!$B:$B&amp;盘货信息!$C:$C,盘货信息!$O:$O),"\d+"),1,1)&amp;"元优惠券下单更优惠，优惠卷："&amp;_xlfn.XLOOKUP(A332&amp;B332&amp;C332,盘货信息!$A:$A&amp;盘货信息!$B:$B&amp;盘货信息!$C:$C,盘货信息!$P:$P))</f>
        <v/>
      </c>
      <c r="N332" s="18" t="str">
        <f t="array" ref="N332">IF(AND(ISNUMBER(_xlfn.XLOOKUP(A332&amp;B332&amp;C332,盘货信息!$A:$A&amp;盘货信息!$B:$B&amp;盘货信息!$C:$C,盘货信息!$I:$I)),_xlfn.XLOOKUP(A332&amp;B332&amp;C332,盘货信息!$A:$A&amp;盘货信息!$B:$B&amp;盘货信息!$C:$C,盘货信息!$I:$I)&gt;1),"【88VIP】立减"&amp;_xlfn.XLOOKUP(A332&amp;B332&amp;C332,盘货信息!$A:$A&amp;盘货信息!$B:$B&amp;盘货信息!$C:$C,盘货信息!$I:$I)&amp;"元","")</f>
        <v/>
      </c>
      <c r="O332" s="18" t="str">
        <f t="array" ref="O332">IF(_xlfn.XLOOKUP(A332&amp;B332&amp;C332,盘货信息!$A:$A&amp;盘货信息!$B:$B&amp;盘货信息!$C:$C,盘货信息!$K:$K)="","",IF(AND(_xlfn.XLOOKUP(A332&amp;B332&amp;C332,盘货信息!$A:$A&amp;盘货信息!$B:$B&amp;盘货信息!$C:$C,盘货信息!$G:$G)="不参加",_xlfn.XLOOKUP(A332&amp;B332&amp;C332,盘货信息!$A:$A&amp;盘货信息!$B:$B&amp;盘货信息!$C:$C,盘货信息!$H:$H)=""),"【以旧换新】"&amp;_xlfn.XLOOKUP(A332&amp;B332&amp;C332,盘货信息!$A:$A&amp;盘货信息!$B:$B&amp;盘货信息!$C:$C,盘货信息!$K:$K)&amp;"元以旧换新补贴（可无旧机换新）",""))</f>
        <v/>
      </c>
      <c r="P332" s="18" t="str">
        <f t="array" ref="P332">_xlfn.XLOOKUP(A332&amp;B332&amp;C332,赠品!$A:$A&amp;赠品!$B:$B&amp;赠品!$C:$C,赠品!$D:$D)</f>
        <v/>
      </c>
      <c r="Q332" s="18" t="str">
        <f>IF($C332="","",IF(AND(M332="",N332="",P332=""),"",固定信息!$B$1))</f>
        <v/>
      </c>
      <c r="R332" s="18" t="str">
        <f t="array" ref="R332">IF(ISNUMBER(SEARCH("是",_xlfn.XLOOKUP(A332&amp;B332&amp;C332,盘货信息!$A:$A&amp;盘货信息!$B:$B&amp;盘货信息!$C:$C,盘货信息!$U:$U))),"【折扣】指定型号满2类享96折，满3类享94折","")</f>
        <v/>
      </c>
      <c r="S332" s="18" t="str">
        <f t="array" ref="S332">IF(_xlfn.XLOOKUP(A332&amp;B332&amp;C332,盘货信息!$A:$A&amp;盘货信息!$B:$B&amp;盘货信息!$C:$C,盘货信息!$Q:$Q)&lt;1,"","【红包】活动时间购机送"&amp;_xlfn.TEXTJOIN("",,IF(ISNUMBER(--MID(_xlfn.XLOOKUP(A332&amp;B332&amp;C332,盘货信息!$A:$A&amp;盘货信息!$B:$B&amp;盘货信息!$C:$C,盘货信息!$Q:$Q),_xlfn.SEQUENCE(LEN(_xlfn.XLOOKUP(A332&amp;B332&amp;C332,盘货信息!$A:$A&amp;盘货信息!$B:$B&amp;盘货信息!$C:$C,盘货信息!$Q:$Q))),1)),MID(_xlfn.XLOOKUP(A332&amp;B332&amp;C332,盘货信息!$A:$A&amp;盘货信息!$B:$B&amp;盘货信息!$C:$C,盘货信息!$Q:$Q),_xlfn.SEQUENCE(LEN(_xlfn.XLOOKUP(A332&amp;B332&amp;C332,盘货信息!$A:$A&amp;盘货信息!$B:$B&amp;盘货信息!$C:$C,盘货信息!$Q:$Q))),1),""))&amp;"元")</f>
        <v/>
      </c>
      <c r="T332" s="18" t="str">
        <f t="array" ref="T332">IF(ISNUMBER(SEARCH("是",_xlfn.XLOOKUP(A332&amp;B332&amp;C332,盘货信息!$A:$A&amp;盘货信息!$B:$B&amp;盘货信息!$C:$C,盘货信息!$T:$T))),"【瓜分】"&amp;固定信息!$B$7,"")</f>
        <v/>
      </c>
      <c r="U332" s="18" t="str">
        <f>IF($C332="","",IF(AND(R332="",S332="",T332=""),"",固定信息!$B$1))</f>
        <v/>
      </c>
      <c r="V332" s="18" t="str">
        <f t="array" ref="V332">IF(C332="","","【服务】"&amp;IF(_xlfn.XLOOKUP(A332&amp;B332&amp;C332,盘货信息!$A:$A&amp;盘货信息!$B:$B&amp;盘货信息!$C:$C,盘货信息!$V:$V)="","",_xlfn.XLOOKUP(A332&amp;B332&amp;C332,盘货信息!$A:$A&amp;盘货信息!$B:$B&amp;盘货信息!$C:$C,盘货信息!$V:$V)&amp;"免息,")&amp;IF(_xlfn.XLOOKUP(A332&amp;B332&amp;C332,盘货信息!$A:$A&amp;盘货信息!$B:$B&amp;盘货信息!$C:$C,盘货信息!$W:$W)="","",_xlfn.XLOOKUP(A332&amp;B332&amp;C332,盘货信息!$A:$A&amp;盘货信息!$B:$B&amp;盘货信息!$C:$C,盘货信息!$W:$W)&amp;"，")&amp;"送货入户，退换免运费")</f>
        <v/>
      </c>
    </row>
    <row r="333" customHeight="1" spans="1:22">
      <c r="A333" s="17" t="str">
        <f>IF(盘货信息!A333="","",盘货信息!A333)</f>
        <v/>
      </c>
      <c r="B333" s="20" t="str">
        <f>IF(盘货信息!B333="","",盘货信息!B333)</f>
        <v/>
      </c>
      <c r="C333" s="18" t="str">
        <f>IF(盘货信息!C333="","",盘货信息!C333)</f>
        <v/>
      </c>
      <c r="D333" s="18" t="str">
        <f ca="1" t="shared" si="5"/>
        <v/>
      </c>
      <c r="E333" s="18" t="str">
        <f>IF(C333="","",固定信息!$B$2)</f>
        <v/>
      </c>
      <c r="F333" s="18" t="str">
        <f t="array" ref="F333">IF(C333="","","【"&amp;C333&amp;"】"&amp;_xlfn.XLOOKUP(A333&amp;B333&amp;C333,盘货信息!$A:$A&amp;盘货信息!$B:$B&amp;盘货信息!$C:$C,盘货信息!$D:$D))</f>
        <v/>
      </c>
      <c r="G333" s="18" t="str">
        <f>IF(C333="","","【"&amp;"活动时间："&amp;固定信息!$B$3&amp;"】")</f>
        <v/>
      </c>
      <c r="H333" s="18" t="str">
        <f>IF($C333="","",固定信息!$B$1)</f>
        <v/>
      </c>
      <c r="I333" s="18"/>
      <c r="J333" s="18" t="str">
        <f t="array" ref="J333">_xlfn.XLOOKUP(A333&amp;B333&amp;C333,价格信息!$A:$A&amp;价格信息!$B:$B&amp;价格信息!$C:$C,价格信息!$D:$D)</f>
        <v/>
      </c>
      <c r="K333" s="31" t="str">
        <f t="array" ref="K333">IF(_xlfn.XLOOKUP(A333&amp;B333&amp;C333,价格信息!$A:$A&amp;价格信息!$B:$B&amp;价格信息!$C:$C,价格信息!$I:$I)="","","【优惠券链接】"&amp;固定信息!$B$6)</f>
        <v/>
      </c>
      <c r="L333" s="31" t="str">
        <f>IF($C333="","",固定信息!$B$1)</f>
        <v/>
      </c>
      <c r="M333" s="18" t="str">
        <f t="array" ref="M333">IF(_xlfn.XLOOKUP(A333&amp;B333&amp;C333,盘货信息!$A:$A&amp;盘货信息!$B:$B&amp;盘货信息!$C:$C,盘货信息!$O:$O)="","","【优惠券】领"&amp;INDEX(_wpsfn.REGEXP(_xlfn.XLOOKUP(A333&amp;B333&amp;C333,盘货信息!$A:$A&amp;盘货信息!$B:$B&amp;盘货信息!$C:$C,盘货信息!$O:$O),"\d+"),1,1)&amp;"元优惠券下单更优惠，优惠卷："&amp;_xlfn.XLOOKUP(A333&amp;B333&amp;C333,盘货信息!$A:$A&amp;盘货信息!$B:$B&amp;盘货信息!$C:$C,盘货信息!$P:$P))</f>
        <v/>
      </c>
      <c r="N333" s="18" t="str">
        <f t="array" ref="N333">IF(AND(ISNUMBER(_xlfn.XLOOKUP(A333&amp;B333&amp;C333,盘货信息!$A:$A&amp;盘货信息!$B:$B&amp;盘货信息!$C:$C,盘货信息!$I:$I)),_xlfn.XLOOKUP(A333&amp;B333&amp;C333,盘货信息!$A:$A&amp;盘货信息!$B:$B&amp;盘货信息!$C:$C,盘货信息!$I:$I)&gt;1),"【88VIP】立减"&amp;_xlfn.XLOOKUP(A333&amp;B333&amp;C333,盘货信息!$A:$A&amp;盘货信息!$B:$B&amp;盘货信息!$C:$C,盘货信息!$I:$I)&amp;"元","")</f>
        <v/>
      </c>
      <c r="O333" s="18" t="str">
        <f t="array" ref="O333">IF(_xlfn.XLOOKUP(A333&amp;B333&amp;C333,盘货信息!$A:$A&amp;盘货信息!$B:$B&amp;盘货信息!$C:$C,盘货信息!$K:$K)="","",IF(AND(_xlfn.XLOOKUP(A333&amp;B333&amp;C333,盘货信息!$A:$A&amp;盘货信息!$B:$B&amp;盘货信息!$C:$C,盘货信息!$G:$G)="不参加",_xlfn.XLOOKUP(A333&amp;B333&amp;C333,盘货信息!$A:$A&amp;盘货信息!$B:$B&amp;盘货信息!$C:$C,盘货信息!$H:$H)=""),"【以旧换新】"&amp;_xlfn.XLOOKUP(A333&amp;B333&amp;C333,盘货信息!$A:$A&amp;盘货信息!$B:$B&amp;盘货信息!$C:$C,盘货信息!$K:$K)&amp;"元以旧换新补贴（可无旧机换新）",""))</f>
        <v/>
      </c>
      <c r="P333" s="18" t="str">
        <f t="array" ref="P333">_xlfn.XLOOKUP(A333&amp;B333&amp;C333,赠品!$A:$A&amp;赠品!$B:$B&amp;赠品!$C:$C,赠品!$D:$D)</f>
        <v/>
      </c>
      <c r="Q333" s="18" t="str">
        <f>IF($C333="","",IF(AND(M333="",N333="",P333=""),"",固定信息!$B$1))</f>
        <v/>
      </c>
      <c r="R333" s="18" t="str">
        <f t="array" ref="R333">IF(ISNUMBER(SEARCH("是",_xlfn.XLOOKUP(A333&amp;B333&amp;C333,盘货信息!$A:$A&amp;盘货信息!$B:$B&amp;盘货信息!$C:$C,盘货信息!$U:$U))),"【折扣】指定型号满2类享96折，满3类享94折","")</f>
        <v/>
      </c>
      <c r="S333" s="18" t="str">
        <f t="array" ref="S333">IF(_xlfn.XLOOKUP(A333&amp;B333&amp;C333,盘货信息!$A:$A&amp;盘货信息!$B:$B&amp;盘货信息!$C:$C,盘货信息!$Q:$Q)&lt;1,"","【红包】活动时间购机送"&amp;_xlfn.TEXTJOIN("",,IF(ISNUMBER(--MID(_xlfn.XLOOKUP(A333&amp;B333&amp;C333,盘货信息!$A:$A&amp;盘货信息!$B:$B&amp;盘货信息!$C:$C,盘货信息!$Q:$Q),_xlfn.SEQUENCE(LEN(_xlfn.XLOOKUP(A333&amp;B333&amp;C333,盘货信息!$A:$A&amp;盘货信息!$B:$B&amp;盘货信息!$C:$C,盘货信息!$Q:$Q))),1)),MID(_xlfn.XLOOKUP(A333&amp;B333&amp;C333,盘货信息!$A:$A&amp;盘货信息!$B:$B&amp;盘货信息!$C:$C,盘货信息!$Q:$Q),_xlfn.SEQUENCE(LEN(_xlfn.XLOOKUP(A333&amp;B333&amp;C333,盘货信息!$A:$A&amp;盘货信息!$B:$B&amp;盘货信息!$C:$C,盘货信息!$Q:$Q))),1),""))&amp;"元")</f>
        <v/>
      </c>
      <c r="T333" s="18" t="str">
        <f t="array" ref="T333">IF(ISNUMBER(SEARCH("是",_xlfn.XLOOKUP(A333&amp;B333&amp;C333,盘货信息!$A:$A&amp;盘货信息!$B:$B&amp;盘货信息!$C:$C,盘货信息!$T:$T))),"【瓜分】"&amp;固定信息!$B$7,"")</f>
        <v/>
      </c>
      <c r="U333" s="18" t="str">
        <f>IF($C333="","",IF(AND(R333="",S333="",T333=""),"",固定信息!$B$1))</f>
        <v/>
      </c>
      <c r="V333" s="18" t="str">
        <f t="array" ref="V333">IF(C333="","","【服务】"&amp;IF(_xlfn.XLOOKUP(A333&amp;B333&amp;C333,盘货信息!$A:$A&amp;盘货信息!$B:$B&amp;盘货信息!$C:$C,盘货信息!$V:$V)="","",_xlfn.XLOOKUP(A333&amp;B333&amp;C333,盘货信息!$A:$A&amp;盘货信息!$B:$B&amp;盘货信息!$C:$C,盘货信息!$V:$V)&amp;"免息,")&amp;IF(_xlfn.XLOOKUP(A333&amp;B333&amp;C333,盘货信息!$A:$A&amp;盘货信息!$B:$B&amp;盘货信息!$C:$C,盘货信息!$W:$W)="","",_xlfn.XLOOKUP(A333&amp;B333&amp;C333,盘货信息!$A:$A&amp;盘货信息!$B:$B&amp;盘货信息!$C:$C,盘货信息!$W:$W)&amp;"，")&amp;"送货入户，退换免运费")</f>
        <v/>
      </c>
    </row>
    <row r="334" customHeight="1" spans="1:22">
      <c r="A334" s="17" t="str">
        <f>IF(盘货信息!A334="","",盘货信息!A334)</f>
        <v/>
      </c>
      <c r="B334" s="20" t="str">
        <f>IF(盘货信息!B334="","",盘货信息!B334)</f>
        <v/>
      </c>
      <c r="C334" s="18" t="str">
        <f>IF(盘货信息!C334="","",盘货信息!C334)</f>
        <v/>
      </c>
      <c r="D334" s="18" t="str">
        <f ca="1" t="shared" si="5"/>
        <v/>
      </c>
      <c r="E334" s="18" t="str">
        <f>IF(C334="","",固定信息!$B$2)</f>
        <v/>
      </c>
      <c r="F334" s="18" t="str">
        <f t="array" ref="F334">IF(C334="","","【"&amp;C334&amp;"】"&amp;_xlfn.XLOOKUP(A334&amp;B334&amp;C334,盘货信息!$A:$A&amp;盘货信息!$B:$B&amp;盘货信息!$C:$C,盘货信息!$D:$D))</f>
        <v/>
      </c>
      <c r="G334" s="18" t="str">
        <f>IF(C334="","","【"&amp;"活动时间："&amp;固定信息!$B$3&amp;"】")</f>
        <v/>
      </c>
      <c r="H334" s="18" t="str">
        <f>IF($C334="","",固定信息!$B$1)</f>
        <v/>
      </c>
      <c r="I334" s="18"/>
      <c r="J334" s="18" t="str">
        <f t="array" ref="J334">_xlfn.XLOOKUP(A334&amp;B334&amp;C334,价格信息!$A:$A&amp;价格信息!$B:$B&amp;价格信息!$C:$C,价格信息!$D:$D)</f>
        <v/>
      </c>
      <c r="K334" s="31" t="str">
        <f t="array" ref="K334">IF(_xlfn.XLOOKUP(A334&amp;B334&amp;C334,价格信息!$A:$A&amp;价格信息!$B:$B&amp;价格信息!$C:$C,价格信息!$I:$I)="","","【优惠券链接】"&amp;固定信息!$B$6)</f>
        <v/>
      </c>
      <c r="L334" s="31" t="str">
        <f>IF($C334="","",固定信息!$B$1)</f>
        <v/>
      </c>
      <c r="M334" s="18" t="str">
        <f t="array" ref="M334">IF(_xlfn.XLOOKUP(A334&amp;B334&amp;C334,盘货信息!$A:$A&amp;盘货信息!$B:$B&amp;盘货信息!$C:$C,盘货信息!$O:$O)="","","【优惠券】领"&amp;INDEX(_wpsfn.REGEXP(_xlfn.XLOOKUP(A334&amp;B334&amp;C334,盘货信息!$A:$A&amp;盘货信息!$B:$B&amp;盘货信息!$C:$C,盘货信息!$O:$O),"\d+"),1,1)&amp;"元优惠券下单更优惠，优惠卷："&amp;_xlfn.XLOOKUP(A334&amp;B334&amp;C334,盘货信息!$A:$A&amp;盘货信息!$B:$B&amp;盘货信息!$C:$C,盘货信息!$P:$P))</f>
        <v/>
      </c>
      <c r="N334" s="18" t="str">
        <f t="array" ref="N334">IF(AND(ISNUMBER(_xlfn.XLOOKUP(A334&amp;B334&amp;C334,盘货信息!$A:$A&amp;盘货信息!$B:$B&amp;盘货信息!$C:$C,盘货信息!$I:$I)),_xlfn.XLOOKUP(A334&amp;B334&amp;C334,盘货信息!$A:$A&amp;盘货信息!$B:$B&amp;盘货信息!$C:$C,盘货信息!$I:$I)&gt;1),"【88VIP】立减"&amp;_xlfn.XLOOKUP(A334&amp;B334&amp;C334,盘货信息!$A:$A&amp;盘货信息!$B:$B&amp;盘货信息!$C:$C,盘货信息!$I:$I)&amp;"元","")</f>
        <v/>
      </c>
      <c r="O334" s="18" t="str">
        <f t="array" ref="O334">IF(_xlfn.XLOOKUP(A334&amp;B334&amp;C334,盘货信息!$A:$A&amp;盘货信息!$B:$B&amp;盘货信息!$C:$C,盘货信息!$K:$K)="","",IF(AND(_xlfn.XLOOKUP(A334&amp;B334&amp;C334,盘货信息!$A:$A&amp;盘货信息!$B:$B&amp;盘货信息!$C:$C,盘货信息!$G:$G)="不参加",_xlfn.XLOOKUP(A334&amp;B334&amp;C334,盘货信息!$A:$A&amp;盘货信息!$B:$B&amp;盘货信息!$C:$C,盘货信息!$H:$H)=""),"【以旧换新】"&amp;_xlfn.XLOOKUP(A334&amp;B334&amp;C334,盘货信息!$A:$A&amp;盘货信息!$B:$B&amp;盘货信息!$C:$C,盘货信息!$K:$K)&amp;"元以旧换新补贴（可无旧机换新）",""))</f>
        <v/>
      </c>
      <c r="P334" s="18" t="str">
        <f t="array" ref="P334">_xlfn.XLOOKUP(A334&amp;B334&amp;C334,赠品!$A:$A&amp;赠品!$B:$B&amp;赠品!$C:$C,赠品!$D:$D)</f>
        <v/>
      </c>
      <c r="Q334" s="18" t="str">
        <f>IF($C334="","",IF(AND(M334="",N334="",P334=""),"",固定信息!$B$1))</f>
        <v/>
      </c>
      <c r="R334" s="18" t="str">
        <f t="array" ref="R334">IF(ISNUMBER(SEARCH("是",_xlfn.XLOOKUP(A334&amp;B334&amp;C334,盘货信息!$A:$A&amp;盘货信息!$B:$B&amp;盘货信息!$C:$C,盘货信息!$U:$U))),"【折扣】指定型号满2类享96折，满3类享94折","")</f>
        <v/>
      </c>
      <c r="S334" s="18" t="str">
        <f t="array" ref="S334">IF(_xlfn.XLOOKUP(A334&amp;B334&amp;C334,盘货信息!$A:$A&amp;盘货信息!$B:$B&amp;盘货信息!$C:$C,盘货信息!$Q:$Q)&lt;1,"","【红包】活动时间购机送"&amp;_xlfn.TEXTJOIN("",,IF(ISNUMBER(--MID(_xlfn.XLOOKUP(A334&amp;B334&amp;C334,盘货信息!$A:$A&amp;盘货信息!$B:$B&amp;盘货信息!$C:$C,盘货信息!$Q:$Q),_xlfn.SEQUENCE(LEN(_xlfn.XLOOKUP(A334&amp;B334&amp;C334,盘货信息!$A:$A&amp;盘货信息!$B:$B&amp;盘货信息!$C:$C,盘货信息!$Q:$Q))),1)),MID(_xlfn.XLOOKUP(A334&amp;B334&amp;C334,盘货信息!$A:$A&amp;盘货信息!$B:$B&amp;盘货信息!$C:$C,盘货信息!$Q:$Q),_xlfn.SEQUENCE(LEN(_xlfn.XLOOKUP(A334&amp;B334&amp;C334,盘货信息!$A:$A&amp;盘货信息!$B:$B&amp;盘货信息!$C:$C,盘货信息!$Q:$Q))),1),""))&amp;"元")</f>
        <v/>
      </c>
      <c r="T334" s="18" t="str">
        <f t="array" ref="T334">IF(ISNUMBER(SEARCH("是",_xlfn.XLOOKUP(A334&amp;B334&amp;C334,盘货信息!$A:$A&amp;盘货信息!$B:$B&amp;盘货信息!$C:$C,盘货信息!$T:$T))),"【瓜分】"&amp;固定信息!$B$7,"")</f>
        <v/>
      </c>
      <c r="U334" s="18" t="str">
        <f>IF($C334="","",IF(AND(R334="",S334="",T334=""),"",固定信息!$B$1))</f>
        <v/>
      </c>
      <c r="V334" s="18" t="str">
        <f t="array" ref="V334">IF(C334="","","【服务】"&amp;IF(_xlfn.XLOOKUP(A334&amp;B334&amp;C334,盘货信息!$A:$A&amp;盘货信息!$B:$B&amp;盘货信息!$C:$C,盘货信息!$V:$V)="","",_xlfn.XLOOKUP(A334&amp;B334&amp;C334,盘货信息!$A:$A&amp;盘货信息!$B:$B&amp;盘货信息!$C:$C,盘货信息!$V:$V)&amp;"免息,")&amp;IF(_xlfn.XLOOKUP(A334&amp;B334&amp;C334,盘货信息!$A:$A&amp;盘货信息!$B:$B&amp;盘货信息!$C:$C,盘货信息!$W:$W)="","",_xlfn.XLOOKUP(A334&amp;B334&amp;C334,盘货信息!$A:$A&amp;盘货信息!$B:$B&amp;盘货信息!$C:$C,盘货信息!$W:$W)&amp;"，")&amp;"送货入户，退换免运费")</f>
        <v/>
      </c>
    </row>
    <row r="335" customHeight="1" spans="1:22">
      <c r="A335" s="17" t="str">
        <f>IF(盘货信息!A335="","",盘货信息!A335)</f>
        <v/>
      </c>
      <c r="B335" s="20" t="str">
        <f>IF(盘货信息!B335="","",盘货信息!B335)</f>
        <v/>
      </c>
      <c r="C335" s="18" t="str">
        <f>IF(盘货信息!C335="","",盘货信息!C335)</f>
        <v/>
      </c>
      <c r="D335" s="18" t="str">
        <f ca="1" t="shared" si="5"/>
        <v/>
      </c>
      <c r="E335" s="18" t="str">
        <f>IF(C335="","",固定信息!$B$2)</f>
        <v/>
      </c>
      <c r="F335" s="18" t="str">
        <f t="array" ref="F335">IF(C335="","","【"&amp;C335&amp;"】"&amp;_xlfn.XLOOKUP(A335&amp;B335&amp;C335,盘货信息!$A:$A&amp;盘货信息!$B:$B&amp;盘货信息!$C:$C,盘货信息!$D:$D))</f>
        <v/>
      </c>
      <c r="G335" s="18" t="str">
        <f>IF(C335="","","【"&amp;"活动时间："&amp;固定信息!$B$3&amp;"】")</f>
        <v/>
      </c>
      <c r="H335" s="18" t="str">
        <f>IF($C335="","",固定信息!$B$1)</f>
        <v/>
      </c>
      <c r="I335" s="18"/>
      <c r="J335" s="18" t="str">
        <f t="array" ref="J335">_xlfn.XLOOKUP(A335&amp;B335&amp;C335,价格信息!$A:$A&amp;价格信息!$B:$B&amp;价格信息!$C:$C,价格信息!$D:$D)</f>
        <v/>
      </c>
      <c r="K335" s="31" t="str">
        <f t="array" ref="K335">IF(_xlfn.XLOOKUP(A335&amp;B335&amp;C335,价格信息!$A:$A&amp;价格信息!$B:$B&amp;价格信息!$C:$C,价格信息!$I:$I)="","","【优惠券链接】"&amp;固定信息!$B$6)</f>
        <v/>
      </c>
      <c r="L335" s="31" t="str">
        <f>IF($C335="","",固定信息!$B$1)</f>
        <v/>
      </c>
      <c r="M335" s="18" t="str">
        <f t="array" ref="M335">IF(_xlfn.XLOOKUP(A335&amp;B335&amp;C335,盘货信息!$A:$A&amp;盘货信息!$B:$B&amp;盘货信息!$C:$C,盘货信息!$O:$O)="","","【优惠券】领"&amp;INDEX(_wpsfn.REGEXP(_xlfn.XLOOKUP(A335&amp;B335&amp;C335,盘货信息!$A:$A&amp;盘货信息!$B:$B&amp;盘货信息!$C:$C,盘货信息!$O:$O),"\d+"),1,1)&amp;"元优惠券下单更优惠，优惠卷："&amp;_xlfn.XLOOKUP(A335&amp;B335&amp;C335,盘货信息!$A:$A&amp;盘货信息!$B:$B&amp;盘货信息!$C:$C,盘货信息!$P:$P))</f>
        <v/>
      </c>
      <c r="N335" s="18" t="str">
        <f t="array" ref="N335">IF(AND(ISNUMBER(_xlfn.XLOOKUP(A335&amp;B335&amp;C335,盘货信息!$A:$A&amp;盘货信息!$B:$B&amp;盘货信息!$C:$C,盘货信息!$I:$I)),_xlfn.XLOOKUP(A335&amp;B335&amp;C335,盘货信息!$A:$A&amp;盘货信息!$B:$B&amp;盘货信息!$C:$C,盘货信息!$I:$I)&gt;1),"【88VIP】立减"&amp;_xlfn.XLOOKUP(A335&amp;B335&amp;C335,盘货信息!$A:$A&amp;盘货信息!$B:$B&amp;盘货信息!$C:$C,盘货信息!$I:$I)&amp;"元","")</f>
        <v/>
      </c>
      <c r="O335" s="18" t="str">
        <f t="array" ref="O335">IF(_xlfn.XLOOKUP(A335&amp;B335&amp;C335,盘货信息!$A:$A&amp;盘货信息!$B:$B&amp;盘货信息!$C:$C,盘货信息!$K:$K)="","",IF(AND(_xlfn.XLOOKUP(A335&amp;B335&amp;C335,盘货信息!$A:$A&amp;盘货信息!$B:$B&amp;盘货信息!$C:$C,盘货信息!$G:$G)="不参加",_xlfn.XLOOKUP(A335&amp;B335&amp;C335,盘货信息!$A:$A&amp;盘货信息!$B:$B&amp;盘货信息!$C:$C,盘货信息!$H:$H)=""),"【以旧换新】"&amp;_xlfn.XLOOKUP(A335&amp;B335&amp;C335,盘货信息!$A:$A&amp;盘货信息!$B:$B&amp;盘货信息!$C:$C,盘货信息!$K:$K)&amp;"元以旧换新补贴（可无旧机换新）",""))</f>
        <v/>
      </c>
      <c r="P335" s="18" t="str">
        <f t="array" ref="P335">_xlfn.XLOOKUP(A335&amp;B335&amp;C335,赠品!$A:$A&amp;赠品!$B:$B&amp;赠品!$C:$C,赠品!$D:$D)</f>
        <v/>
      </c>
      <c r="Q335" s="18" t="str">
        <f>IF($C335="","",IF(AND(M335="",N335="",P335=""),"",固定信息!$B$1))</f>
        <v/>
      </c>
      <c r="R335" s="18" t="str">
        <f t="array" ref="R335">IF(ISNUMBER(SEARCH("是",_xlfn.XLOOKUP(A335&amp;B335&amp;C335,盘货信息!$A:$A&amp;盘货信息!$B:$B&amp;盘货信息!$C:$C,盘货信息!$U:$U))),"【折扣】指定型号满2类享96折，满3类享94折","")</f>
        <v/>
      </c>
      <c r="S335" s="18" t="str">
        <f t="array" ref="S335">IF(_xlfn.XLOOKUP(A335&amp;B335&amp;C335,盘货信息!$A:$A&amp;盘货信息!$B:$B&amp;盘货信息!$C:$C,盘货信息!$Q:$Q)&lt;1,"","【红包】活动时间购机送"&amp;_xlfn.TEXTJOIN("",,IF(ISNUMBER(--MID(_xlfn.XLOOKUP(A335&amp;B335&amp;C335,盘货信息!$A:$A&amp;盘货信息!$B:$B&amp;盘货信息!$C:$C,盘货信息!$Q:$Q),_xlfn.SEQUENCE(LEN(_xlfn.XLOOKUP(A335&amp;B335&amp;C335,盘货信息!$A:$A&amp;盘货信息!$B:$B&amp;盘货信息!$C:$C,盘货信息!$Q:$Q))),1)),MID(_xlfn.XLOOKUP(A335&amp;B335&amp;C335,盘货信息!$A:$A&amp;盘货信息!$B:$B&amp;盘货信息!$C:$C,盘货信息!$Q:$Q),_xlfn.SEQUENCE(LEN(_xlfn.XLOOKUP(A335&amp;B335&amp;C335,盘货信息!$A:$A&amp;盘货信息!$B:$B&amp;盘货信息!$C:$C,盘货信息!$Q:$Q))),1),""))&amp;"元")</f>
        <v/>
      </c>
      <c r="T335" s="18" t="str">
        <f t="array" ref="T335">IF(ISNUMBER(SEARCH("是",_xlfn.XLOOKUP(A335&amp;B335&amp;C335,盘货信息!$A:$A&amp;盘货信息!$B:$B&amp;盘货信息!$C:$C,盘货信息!$T:$T))),"【瓜分】"&amp;固定信息!$B$7,"")</f>
        <v/>
      </c>
      <c r="U335" s="18" t="str">
        <f>IF($C335="","",IF(AND(R335="",S335="",T335=""),"",固定信息!$B$1))</f>
        <v/>
      </c>
      <c r="V335" s="18" t="str">
        <f t="array" ref="V335">IF(C335="","","【服务】"&amp;IF(_xlfn.XLOOKUP(A335&amp;B335&amp;C335,盘货信息!$A:$A&amp;盘货信息!$B:$B&amp;盘货信息!$C:$C,盘货信息!$V:$V)="","",_xlfn.XLOOKUP(A335&amp;B335&amp;C335,盘货信息!$A:$A&amp;盘货信息!$B:$B&amp;盘货信息!$C:$C,盘货信息!$V:$V)&amp;"免息,")&amp;IF(_xlfn.XLOOKUP(A335&amp;B335&amp;C335,盘货信息!$A:$A&amp;盘货信息!$B:$B&amp;盘货信息!$C:$C,盘货信息!$W:$W)="","",_xlfn.XLOOKUP(A335&amp;B335&amp;C335,盘货信息!$A:$A&amp;盘货信息!$B:$B&amp;盘货信息!$C:$C,盘货信息!$W:$W)&amp;"，")&amp;"送货入户，退换免运费")</f>
        <v/>
      </c>
    </row>
    <row r="336" customHeight="1" spans="1:22">
      <c r="A336" s="17" t="str">
        <f>IF(盘货信息!A336="","",盘货信息!A336)</f>
        <v/>
      </c>
      <c r="B336" s="20" t="str">
        <f>IF(盘货信息!B336="","",盘货信息!B336)</f>
        <v/>
      </c>
      <c r="C336" s="18" t="str">
        <f>IF(盘货信息!C336="","",盘货信息!C336)</f>
        <v/>
      </c>
      <c r="D336" s="18" t="str">
        <f ca="1" t="shared" si="5"/>
        <v/>
      </c>
      <c r="E336" s="18" t="str">
        <f>IF(C336="","",固定信息!$B$2)</f>
        <v/>
      </c>
      <c r="F336" s="18" t="str">
        <f t="array" ref="F336">IF(C336="","","【"&amp;C336&amp;"】"&amp;_xlfn.XLOOKUP(A336&amp;B336&amp;C336,盘货信息!$A:$A&amp;盘货信息!$B:$B&amp;盘货信息!$C:$C,盘货信息!$D:$D))</f>
        <v/>
      </c>
      <c r="G336" s="18" t="str">
        <f>IF(C336="","","【"&amp;"活动时间："&amp;固定信息!$B$3&amp;"】")</f>
        <v/>
      </c>
      <c r="H336" s="18" t="str">
        <f>IF($C336="","",固定信息!$B$1)</f>
        <v/>
      </c>
      <c r="I336" s="18"/>
      <c r="J336" s="18" t="str">
        <f t="array" ref="J336">_xlfn.XLOOKUP(A336&amp;B336&amp;C336,价格信息!$A:$A&amp;价格信息!$B:$B&amp;价格信息!$C:$C,价格信息!$D:$D)</f>
        <v/>
      </c>
      <c r="K336" s="31" t="str">
        <f t="array" ref="K336">IF(_xlfn.XLOOKUP(A336&amp;B336&amp;C336,价格信息!$A:$A&amp;价格信息!$B:$B&amp;价格信息!$C:$C,价格信息!$I:$I)="","","【优惠券链接】"&amp;固定信息!$B$6)</f>
        <v/>
      </c>
      <c r="L336" s="31" t="str">
        <f>IF($C336="","",固定信息!$B$1)</f>
        <v/>
      </c>
      <c r="M336" s="18" t="str">
        <f t="array" ref="M336">IF(_xlfn.XLOOKUP(A336&amp;B336&amp;C336,盘货信息!$A:$A&amp;盘货信息!$B:$B&amp;盘货信息!$C:$C,盘货信息!$O:$O)="","","【优惠券】领"&amp;INDEX(_wpsfn.REGEXP(_xlfn.XLOOKUP(A336&amp;B336&amp;C336,盘货信息!$A:$A&amp;盘货信息!$B:$B&amp;盘货信息!$C:$C,盘货信息!$O:$O),"\d+"),1,1)&amp;"元优惠券下单更优惠，优惠卷："&amp;_xlfn.XLOOKUP(A336&amp;B336&amp;C336,盘货信息!$A:$A&amp;盘货信息!$B:$B&amp;盘货信息!$C:$C,盘货信息!$P:$P))</f>
        <v/>
      </c>
      <c r="N336" s="18" t="str">
        <f t="array" ref="N336">IF(AND(ISNUMBER(_xlfn.XLOOKUP(A336&amp;B336&amp;C336,盘货信息!$A:$A&amp;盘货信息!$B:$B&amp;盘货信息!$C:$C,盘货信息!$I:$I)),_xlfn.XLOOKUP(A336&amp;B336&amp;C336,盘货信息!$A:$A&amp;盘货信息!$B:$B&amp;盘货信息!$C:$C,盘货信息!$I:$I)&gt;1),"【88VIP】立减"&amp;_xlfn.XLOOKUP(A336&amp;B336&amp;C336,盘货信息!$A:$A&amp;盘货信息!$B:$B&amp;盘货信息!$C:$C,盘货信息!$I:$I)&amp;"元","")</f>
        <v/>
      </c>
      <c r="O336" s="18" t="str">
        <f t="array" ref="O336">IF(_xlfn.XLOOKUP(A336&amp;B336&amp;C336,盘货信息!$A:$A&amp;盘货信息!$B:$B&amp;盘货信息!$C:$C,盘货信息!$K:$K)="","",IF(AND(_xlfn.XLOOKUP(A336&amp;B336&amp;C336,盘货信息!$A:$A&amp;盘货信息!$B:$B&amp;盘货信息!$C:$C,盘货信息!$G:$G)="不参加",_xlfn.XLOOKUP(A336&amp;B336&amp;C336,盘货信息!$A:$A&amp;盘货信息!$B:$B&amp;盘货信息!$C:$C,盘货信息!$H:$H)=""),"【以旧换新】"&amp;_xlfn.XLOOKUP(A336&amp;B336&amp;C336,盘货信息!$A:$A&amp;盘货信息!$B:$B&amp;盘货信息!$C:$C,盘货信息!$K:$K)&amp;"元以旧换新补贴（可无旧机换新）",""))</f>
        <v/>
      </c>
      <c r="P336" s="18" t="str">
        <f t="array" ref="P336">_xlfn.XLOOKUP(A336&amp;B336&amp;C336,赠品!$A:$A&amp;赠品!$B:$B&amp;赠品!$C:$C,赠品!$D:$D)</f>
        <v/>
      </c>
      <c r="Q336" s="18" t="str">
        <f>IF($C336="","",IF(AND(M336="",N336="",P336=""),"",固定信息!$B$1))</f>
        <v/>
      </c>
      <c r="R336" s="18" t="str">
        <f t="array" ref="R336">IF(ISNUMBER(SEARCH("是",_xlfn.XLOOKUP(A336&amp;B336&amp;C336,盘货信息!$A:$A&amp;盘货信息!$B:$B&amp;盘货信息!$C:$C,盘货信息!$U:$U))),"【折扣】指定型号满2类享96折，满3类享94折","")</f>
        <v/>
      </c>
      <c r="S336" s="18" t="str">
        <f t="array" ref="S336">IF(_xlfn.XLOOKUP(A336&amp;B336&amp;C336,盘货信息!$A:$A&amp;盘货信息!$B:$B&amp;盘货信息!$C:$C,盘货信息!$Q:$Q)&lt;1,"","【红包】活动时间购机送"&amp;_xlfn.TEXTJOIN("",,IF(ISNUMBER(--MID(_xlfn.XLOOKUP(A336&amp;B336&amp;C336,盘货信息!$A:$A&amp;盘货信息!$B:$B&amp;盘货信息!$C:$C,盘货信息!$Q:$Q),_xlfn.SEQUENCE(LEN(_xlfn.XLOOKUP(A336&amp;B336&amp;C336,盘货信息!$A:$A&amp;盘货信息!$B:$B&amp;盘货信息!$C:$C,盘货信息!$Q:$Q))),1)),MID(_xlfn.XLOOKUP(A336&amp;B336&amp;C336,盘货信息!$A:$A&amp;盘货信息!$B:$B&amp;盘货信息!$C:$C,盘货信息!$Q:$Q),_xlfn.SEQUENCE(LEN(_xlfn.XLOOKUP(A336&amp;B336&amp;C336,盘货信息!$A:$A&amp;盘货信息!$B:$B&amp;盘货信息!$C:$C,盘货信息!$Q:$Q))),1),""))&amp;"元")</f>
        <v/>
      </c>
      <c r="T336" s="18" t="str">
        <f t="array" ref="T336">IF(ISNUMBER(SEARCH("是",_xlfn.XLOOKUP(A336&amp;B336&amp;C336,盘货信息!$A:$A&amp;盘货信息!$B:$B&amp;盘货信息!$C:$C,盘货信息!$T:$T))),"【瓜分】"&amp;固定信息!$B$7,"")</f>
        <v/>
      </c>
      <c r="U336" s="18" t="str">
        <f>IF($C336="","",IF(AND(R336="",S336="",T336=""),"",固定信息!$B$1))</f>
        <v/>
      </c>
      <c r="V336" s="18" t="str">
        <f t="array" ref="V336">IF(C336="","","【服务】"&amp;IF(_xlfn.XLOOKUP(A336&amp;B336&amp;C336,盘货信息!$A:$A&amp;盘货信息!$B:$B&amp;盘货信息!$C:$C,盘货信息!$V:$V)="","",_xlfn.XLOOKUP(A336&amp;B336&amp;C336,盘货信息!$A:$A&amp;盘货信息!$B:$B&amp;盘货信息!$C:$C,盘货信息!$V:$V)&amp;"免息,")&amp;IF(_xlfn.XLOOKUP(A336&amp;B336&amp;C336,盘货信息!$A:$A&amp;盘货信息!$B:$B&amp;盘货信息!$C:$C,盘货信息!$W:$W)="","",_xlfn.XLOOKUP(A336&amp;B336&amp;C336,盘货信息!$A:$A&amp;盘货信息!$B:$B&amp;盘货信息!$C:$C,盘货信息!$W:$W)&amp;"，")&amp;"送货入户，退换免运费")</f>
        <v/>
      </c>
    </row>
    <row r="337" customHeight="1" spans="1:22">
      <c r="A337" s="17" t="str">
        <f>IF(盘货信息!A337="","",盘货信息!A337)</f>
        <v/>
      </c>
      <c r="B337" s="20" t="str">
        <f>IF(盘货信息!B337="","",盘货信息!B337)</f>
        <v/>
      </c>
      <c r="C337" s="18" t="str">
        <f>IF(盘货信息!C337="","",盘货信息!C337)</f>
        <v/>
      </c>
      <c r="D337" s="18" t="str">
        <f ca="1" t="shared" si="5"/>
        <v/>
      </c>
      <c r="E337" s="18" t="str">
        <f>IF(C337="","",固定信息!$B$2)</f>
        <v/>
      </c>
      <c r="F337" s="18" t="str">
        <f t="array" ref="F337">IF(C337="","","【"&amp;C337&amp;"】"&amp;_xlfn.XLOOKUP(A337&amp;B337&amp;C337,盘货信息!$A:$A&amp;盘货信息!$B:$B&amp;盘货信息!$C:$C,盘货信息!$D:$D))</f>
        <v/>
      </c>
      <c r="G337" s="18" t="str">
        <f>IF(C337="","","【"&amp;"活动时间："&amp;固定信息!$B$3&amp;"】")</f>
        <v/>
      </c>
      <c r="H337" s="18" t="str">
        <f>IF($C337="","",固定信息!$B$1)</f>
        <v/>
      </c>
      <c r="I337" s="18"/>
      <c r="J337" s="18" t="str">
        <f t="array" ref="J337">_xlfn.XLOOKUP(A337&amp;B337&amp;C337,价格信息!$A:$A&amp;价格信息!$B:$B&amp;价格信息!$C:$C,价格信息!$D:$D)</f>
        <v/>
      </c>
      <c r="K337" s="31" t="str">
        <f t="array" ref="K337">IF(_xlfn.XLOOKUP(A337&amp;B337&amp;C337,价格信息!$A:$A&amp;价格信息!$B:$B&amp;价格信息!$C:$C,价格信息!$I:$I)="","","【优惠券链接】"&amp;固定信息!$B$6)</f>
        <v/>
      </c>
      <c r="L337" s="31" t="str">
        <f>IF($C337="","",固定信息!$B$1)</f>
        <v/>
      </c>
      <c r="M337" s="18" t="str">
        <f t="array" ref="M337">IF(_xlfn.XLOOKUP(A337&amp;B337&amp;C337,盘货信息!$A:$A&amp;盘货信息!$B:$B&amp;盘货信息!$C:$C,盘货信息!$O:$O)="","","【优惠券】领"&amp;INDEX(_wpsfn.REGEXP(_xlfn.XLOOKUP(A337&amp;B337&amp;C337,盘货信息!$A:$A&amp;盘货信息!$B:$B&amp;盘货信息!$C:$C,盘货信息!$O:$O),"\d+"),1,1)&amp;"元优惠券下单更优惠，优惠卷："&amp;_xlfn.XLOOKUP(A337&amp;B337&amp;C337,盘货信息!$A:$A&amp;盘货信息!$B:$B&amp;盘货信息!$C:$C,盘货信息!$P:$P))</f>
        <v/>
      </c>
      <c r="N337" s="18" t="str">
        <f t="array" ref="N337">IF(AND(ISNUMBER(_xlfn.XLOOKUP(A337&amp;B337&amp;C337,盘货信息!$A:$A&amp;盘货信息!$B:$B&amp;盘货信息!$C:$C,盘货信息!$I:$I)),_xlfn.XLOOKUP(A337&amp;B337&amp;C337,盘货信息!$A:$A&amp;盘货信息!$B:$B&amp;盘货信息!$C:$C,盘货信息!$I:$I)&gt;1),"【88VIP】立减"&amp;_xlfn.XLOOKUP(A337&amp;B337&amp;C337,盘货信息!$A:$A&amp;盘货信息!$B:$B&amp;盘货信息!$C:$C,盘货信息!$I:$I)&amp;"元","")</f>
        <v/>
      </c>
      <c r="O337" s="18" t="str">
        <f t="array" ref="O337">IF(_xlfn.XLOOKUP(A337&amp;B337&amp;C337,盘货信息!$A:$A&amp;盘货信息!$B:$B&amp;盘货信息!$C:$C,盘货信息!$K:$K)="","",IF(AND(_xlfn.XLOOKUP(A337&amp;B337&amp;C337,盘货信息!$A:$A&amp;盘货信息!$B:$B&amp;盘货信息!$C:$C,盘货信息!$G:$G)="不参加",_xlfn.XLOOKUP(A337&amp;B337&amp;C337,盘货信息!$A:$A&amp;盘货信息!$B:$B&amp;盘货信息!$C:$C,盘货信息!$H:$H)=""),"【以旧换新】"&amp;_xlfn.XLOOKUP(A337&amp;B337&amp;C337,盘货信息!$A:$A&amp;盘货信息!$B:$B&amp;盘货信息!$C:$C,盘货信息!$K:$K)&amp;"元以旧换新补贴（可无旧机换新）",""))</f>
        <v/>
      </c>
      <c r="P337" s="18" t="str">
        <f t="array" ref="P337">_xlfn.XLOOKUP(A337&amp;B337&amp;C337,赠品!$A:$A&amp;赠品!$B:$B&amp;赠品!$C:$C,赠品!$D:$D)</f>
        <v/>
      </c>
      <c r="Q337" s="18" t="str">
        <f>IF($C337="","",IF(AND(M337="",N337="",P337=""),"",固定信息!$B$1))</f>
        <v/>
      </c>
      <c r="R337" s="18" t="str">
        <f t="array" ref="R337">IF(ISNUMBER(SEARCH("是",_xlfn.XLOOKUP(A337&amp;B337&amp;C337,盘货信息!$A:$A&amp;盘货信息!$B:$B&amp;盘货信息!$C:$C,盘货信息!$U:$U))),"【折扣】指定型号满2类享96折，满3类享94折","")</f>
        <v/>
      </c>
      <c r="S337" s="18" t="str">
        <f t="array" ref="S337">IF(_xlfn.XLOOKUP(A337&amp;B337&amp;C337,盘货信息!$A:$A&amp;盘货信息!$B:$B&amp;盘货信息!$C:$C,盘货信息!$Q:$Q)&lt;1,"","【红包】活动时间购机送"&amp;_xlfn.TEXTJOIN("",,IF(ISNUMBER(--MID(_xlfn.XLOOKUP(A337&amp;B337&amp;C337,盘货信息!$A:$A&amp;盘货信息!$B:$B&amp;盘货信息!$C:$C,盘货信息!$Q:$Q),_xlfn.SEQUENCE(LEN(_xlfn.XLOOKUP(A337&amp;B337&amp;C337,盘货信息!$A:$A&amp;盘货信息!$B:$B&amp;盘货信息!$C:$C,盘货信息!$Q:$Q))),1)),MID(_xlfn.XLOOKUP(A337&amp;B337&amp;C337,盘货信息!$A:$A&amp;盘货信息!$B:$B&amp;盘货信息!$C:$C,盘货信息!$Q:$Q),_xlfn.SEQUENCE(LEN(_xlfn.XLOOKUP(A337&amp;B337&amp;C337,盘货信息!$A:$A&amp;盘货信息!$B:$B&amp;盘货信息!$C:$C,盘货信息!$Q:$Q))),1),""))&amp;"元")</f>
        <v/>
      </c>
      <c r="T337" s="18" t="str">
        <f t="array" ref="T337">IF(ISNUMBER(SEARCH("是",_xlfn.XLOOKUP(A337&amp;B337&amp;C337,盘货信息!$A:$A&amp;盘货信息!$B:$B&amp;盘货信息!$C:$C,盘货信息!$T:$T))),"【瓜分】"&amp;固定信息!$B$7,"")</f>
        <v/>
      </c>
      <c r="U337" s="18" t="str">
        <f>IF($C337="","",IF(AND(R337="",S337="",T337=""),"",固定信息!$B$1))</f>
        <v/>
      </c>
      <c r="V337" s="18" t="str">
        <f t="array" ref="V337">IF(C337="","","【服务】"&amp;IF(_xlfn.XLOOKUP(A337&amp;B337&amp;C337,盘货信息!$A:$A&amp;盘货信息!$B:$B&amp;盘货信息!$C:$C,盘货信息!$V:$V)="","",_xlfn.XLOOKUP(A337&amp;B337&amp;C337,盘货信息!$A:$A&amp;盘货信息!$B:$B&amp;盘货信息!$C:$C,盘货信息!$V:$V)&amp;"免息,")&amp;IF(_xlfn.XLOOKUP(A337&amp;B337&amp;C337,盘货信息!$A:$A&amp;盘货信息!$B:$B&amp;盘货信息!$C:$C,盘货信息!$W:$W)="","",_xlfn.XLOOKUP(A337&amp;B337&amp;C337,盘货信息!$A:$A&amp;盘货信息!$B:$B&amp;盘货信息!$C:$C,盘货信息!$W:$W)&amp;"，")&amp;"送货入户，退换免运费")</f>
        <v/>
      </c>
    </row>
    <row r="338" customHeight="1" spans="1:22">
      <c r="A338" s="17" t="str">
        <f>IF(盘货信息!A338="","",盘货信息!A338)</f>
        <v/>
      </c>
      <c r="B338" s="20" t="str">
        <f>IF(盘货信息!B338="","",盘货信息!B338)</f>
        <v/>
      </c>
      <c r="C338" s="18" t="str">
        <f>IF(盘货信息!C338="","",盘货信息!C338)</f>
        <v/>
      </c>
      <c r="D338" s="18" t="str">
        <f ca="1" t="shared" si="5"/>
        <v/>
      </c>
      <c r="E338" s="18" t="str">
        <f>IF(C338="","",固定信息!$B$2)</f>
        <v/>
      </c>
      <c r="F338" s="18" t="str">
        <f t="array" ref="F338">IF(C338="","","【"&amp;C338&amp;"】"&amp;_xlfn.XLOOKUP(A338&amp;B338&amp;C338,盘货信息!$A:$A&amp;盘货信息!$B:$B&amp;盘货信息!$C:$C,盘货信息!$D:$D))</f>
        <v/>
      </c>
      <c r="G338" s="18" t="str">
        <f>IF(C338="","","【"&amp;"活动时间："&amp;固定信息!$B$3&amp;"】")</f>
        <v/>
      </c>
      <c r="H338" s="18" t="str">
        <f>IF($C338="","",固定信息!$B$1)</f>
        <v/>
      </c>
      <c r="I338" s="18"/>
      <c r="J338" s="18" t="str">
        <f t="array" ref="J338">_xlfn.XLOOKUP(A338&amp;B338&amp;C338,价格信息!$A:$A&amp;价格信息!$B:$B&amp;价格信息!$C:$C,价格信息!$D:$D)</f>
        <v/>
      </c>
      <c r="K338" s="31" t="str">
        <f t="array" ref="K338">IF(_xlfn.XLOOKUP(A338&amp;B338&amp;C338,价格信息!$A:$A&amp;价格信息!$B:$B&amp;价格信息!$C:$C,价格信息!$I:$I)="","","【优惠券链接】"&amp;固定信息!$B$6)</f>
        <v/>
      </c>
      <c r="L338" s="31" t="str">
        <f>IF($C338="","",固定信息!$B$1)</f>
        <v/>
      </c>
      <c r="M338" s="18" t="str">
        <f t="array" ref="M338">IF(_xlfn.XLOOKUP(A338&amp;B338&amp;C338,盘货信息!$A:$A&amp;盘货信息!$B:$B&amp;盘货信息!$C:$C,盘货信息!$O:$O)="","","【优惠券】领"&amp;INDEX(_wpsfn.REGEXP(_xlfn.XLOOKUP(A338&amp;B338&amp;C338,盘货信息!$A:$A&amp;盘货信息!$B:$B&amp;盘货信息!$C:$C,盘货信息!$O:$O),"\d+"),1,1)&amp;"元优惠券下单更优惠，优惠卷："&amp;_xlfn.XLOOKUP(A338&amp;B338&amp;C338,盘货信息!$A:$A&amp;盘货信息!$B:$B&amp;盘货信息!$C:$C,盘货信息!$P:$P))</f>
        <v/>
      </c>
      <c r="N338" s="18" t="str">
        <f t="array" ref="N338">IF(AND(ISNUMBER(_xlfn.XLOOKUP(A338&amp;B338&amp;C338,盘货信息!$A:$A&amp;盘货信息!$B:$B&amp;盘货信息!$C:$C,盘货信息!$I:$I)),_xlfn.XLOOKUP(A338&amp;B338&amp;C338,盘货信息!$A:$A&amp;盘货信息!$B:$B&amp;盘货信息!$C:$C,盘货信息!$I:$I)&gt;1),"【88VIP】立减"&amp;_xlfn.XLOOKUP(A338&amp;B338&amp;C338,盘货信息!$A:$A&amp;盘货信息!$B:$B&amp;盘货信息!$C:$C,盘货信息!$I:$I)&amp;"元","")</f>
        <v/>
      </c>
      <c r="O338" s="18" t="str">
        <f t="array" ref="O338">IF(_xlfn.XLOOKUP(A338&amp;B338&amp;C338,盘货信息!$A:$A&amp;盘货信息!$B:$B&amp;盘货信息!$C:$C,盘货信息!$K:$K)="","",IF(AND(_xlfn.XLOOKUP(A338&amp;B338&amp;C338,盘货信息!$A:$A&amp;盘货信息!$B:$B&amp;盘货信息!$C:$C,盘货信息!$G:$G)="不参加",_xlfn.XLOOKUP(A338&amp;B338&amp;C338,盘货信息!$A:$A&amp;盘货信息!$B:$B&amp;盘货信息!$C:$C,盘货信息!$H:$H)=""),"【以旧换新】"&amp;_xlfn.XLOOKUP(A338&amp;B338&amp;C338,盘货信息!$A:$A&amp;盘货信息!$B:$B&amp;盘货信息!$C:$C,盘货信息!$K:$K)&amp;"元以旧换新补贴（可无旧机换新）",""))</f>
        <v/>
      </c>
      <c r="P338" s="18" t="str">
        <f t="array" ref="P338">_xlfn.XLOOKUP(A338&amp;B338&amp;C338,赠品!$A:$A&amp;赠品!$B:$B&amp;赠品!$C:$C,赠品!$D:$D)</f>
        <v/>
      </c>
      <c r="Q338" s="18" t="str">
        <f>IF($C338="","",IF(AND(M338="",N338="",P338=""),"",固定信息!$B$1))</f>
        <v/>
      </c>
      <c r="R338" s="18" t="str">
        <f t="array" ref="R338">IF(ISNUMBER(SEARCH("是",_xlfn.XLOOKUP(A338&amp;B338&amp;C338,盘货信息!$A:$A&amp;盘货信息!$B:$B&amp;盘货信息!$C:$C,盘货信息!$U:$U))),"【折扣】指定型号满2类享96折，满3类享94折","")</f>
        <v/>
      </c>
      <c r="S338" s="18" t="str">
        <f t="array" ref="S338">IF(_xlfn.XLOOKUP(A338&amp;B338&amp;C338,盘货信息!$A:$A&amp;盘货信息!$B:$B&amp;盘货信息!$C:$C,盘货信息!$Q:$Q)&lt;1,"","【红包】活动时间购机送"&amp;_xlfn.TEXTJOIN("",,IF(ISNUMBER(--MID(_xlfn.XLOOKUP(A338&amp;B338&amp;C338,盘货信息!$A:$A&amp;盘货信息!$B:$B&amp;盘货信息!$C:$C,盘货信息!$Q:$Q),_xlfn.SEQUENCE(LEN(_xlfn.XLOOKUP(A338&amp;B338&amp;C338,盘货信息!$A:$A&amp;盘货信息!$B:$B&amp;盘货信息!$C:$C,盘货信息!$Q:$Q))),1)),MID(_xlfn.XLOOKUP(A338&amp;B338&amp;C338,盘货信息!$A:$A&amp;盘货信息!$B:$B&amp;盘货信息!$C:$C,盘货信息!$Q:$Q),_xlfn.SEQUENCE(LEN(_xlfn.XLOOKUP(A338&amp;B338&amp;C338,盘货信息!$A:$A&amp;盘货信息!$B:$B&amp;盘货信息!$C:$C,盘货信息!$Q:$Q))),1),""))&amp;"元")</f>
        <v/>
      </c>
      <c r="T338" s="18" t="str">
        <f t="array" ref="T338">IF(ISNUMBER(SEARCH("是",_xlfn.XLOOKUP(A338&amp;B338&amp;C338,盘货信息!$A:$A&amp;盘货信息!$B:$B&amp;盘货信息!$C:$C,盘货信息!$T:$T))),"【瓜分】"&amp;固定信息!$B$7,"")</f>
        <v/>
      </c>
      <c r="U338" s="18" t="str">
        <f>IF($C338="","",IF(AND(R338="",S338="",T338=""),"",固定信息!$B$1))</f>
        <v/>
      </c>
      <c r="V338" s="18" t="str">
        <f t="array" ref="V338">IF(C338="","","【服务】"&amp;IF(_xlfn.XLOOKUP(A338&amp;B338&amp;C338,盘货信息!$A:$A&amp;盘货信息!$B:$B&amp;盘货信息!$C:$C,盘货信息!$V:$V)="","",_xlfn.XLOOKUP(A338&amp;B338&amp;C338,盘货信息!$A:$A&amp;盘货信息!$B:$B&amp;盘货信息!$C:$C,盘货信息!$V:$V)&amp;"免息,")&amp;IF(_xlfn.XLOOKUP(A338&amp;B338&amp;C338,盘货信息!$A:$A&amp;盘货信息!$B:$B&amp;盘货信息!$C:$C,盘货信息!$W:$W)="","",_xlfn.XLOOKUP(A338&amp;B338&amp;C338,盘货信息!$A:$A&amp;盘货信息!$B:$B&amp;盘货信息!$C:$C,盘货信息!$W:$W)&amp;"，")&amp;"送货入户，退换免运费")</f>
        <v/>
      </c>
    </row>
    <row r="339" customHeight="1" spans="1:22">
      <c r="A339" s="17" t="str">
        <f>IF(盘货信息!A339="","",盘货信息!A339)</f>
        <v/>
      </c>
      <c r="B339" s="20" t="str">
        <f>IF(盘货信息!B339="","",盘货信息!B339)</f>
        <v/>
      </c>
      <c r="C339" s="18" t="str">
        <f>IF(盘货信息!C339="","",盘货信息!C339)</f>
        <v/>
      </c>
      <c r="D339" s="18" t="str">
        <f ca="1" t="shared" si="5"/>
        <v/>
      </c>
      <c r="E339" s="18" t="str">
        <f>IF(C339="","",固定信息!$B$2)</f>
        <v/>
      </c>
      <c r="F339" s="18" t="str">
        <f t="array" ref="F339">IF(C339="","","【"&amp;C339&amp;"】"&amp;_xlfn.XLOOKUP(A339&amp;B339&amp;C339,盘货信息!$A:$A&amp;盘货信息!$B:$B&amp;盘货信息!$C:$C,盘货信息!$D:$D))</f>
        <v/>
      </c>
      <c r="G339" s="18" t="str">
        <f>IF(C339="","","【"&amp;"活动时间："&amp;固定信息!$B$3&amp;"】")</f>
        <v/>
      </c>
      <c r="H339" s="18" t="str">
        <f>IF($C339="","",固定信息!$B$1)</f>
        <v/>
      </c>
      <c r="I339" s="18"/>
      <c r="J339" s="18" t="str">
        <f t="array" ref="J339">_xlfn.XLOOKUP(A339&amp;B339&amp;C339,价格信息!$A:$A&amp;价格信息!$B:$B&amp;价格信息!$C:$C,价格信息!$D:$D)</f>
        <v/>
      </c>
      <c r="K339" s="31" t="str">
        <f t="array" ref="K339">IF(_xlfn.XLOOKUP(A339&amp;B339&amp;C339,价格信息!$A:$A&amp;价格信息!$B:$B&amp;价格信息!$C:$C,价格信息!$I:$I)="","","【优惠券链接】"&amp;固定信息!$B$6)</f>
        <v/>
      </c>
      <c r="L339" s="31" t="str">
        <f>IF($C339="","",固定信息!$B$1)</f>
        <v/>
      </c>
      <c r="M339" s="18" t="str">
        <f t="array" ref="M339">IF(_xlfn.XLOOKUP(A339&amp;B339&amp;C339,盘货信息!$A:$A&amp;盘货信息!$B:$B&amp;盘货信息!$C:$C,盘货信息!$O:$O)="","","【优惠券】领"&amp;INDEX(_wpsfn.REGEXP(_xlfn.XLOOKUP(A339&amp;B339&amp;C339,盘货信息!$A:$A&amp;盘货信息!$B:$B&amp;盘货信息!$C:$C,盘货信息!$O:$O),"\d+"),1,1)&amp;"元优惠券下单更优惠，优惠卷："&amp;_xlfn.XLOOKUP(A339&amp;B339&amp;C339,盘货信息!$A:$A&amp;盘货信息!$B:$B&amp;盘货信息!$C:$C,盘货信息!$P:$P))</f>
        <v/>
      </c>
      <c r="N339" s="18" t="str">
        <f t="array" ref="N339">IF(AND(ISNUMBER(_xlfn.XLOOKUP(A339&amp;B339&amp;C339,盘货信息!$A:$A&amp;盘货信息!$B:$B&amp;盘货信息!$C:$C,盘货信息!$I:$I)),_xlfn.XLOOKUP(A339&amp;B339&amp;C339,盘货信息!$A:$A&amp;盘货信息!$B:$B&amp;盘货信息!$C:$C,盘货信息!$I:$I)&gt;1),"【88VIP】立减"&amp;_xlfn.XLOOKUP(A339&amp;B339&amp;C339,盘货信息!$A:$A&amp;盘货信息!$B:$B&amp;盘货信息!$C:$C,盘货信息!$I:$I)&amp;"元","")</f>
        <v/>
      </c>
      <c r="O339" s="18" t="str">
        <f t="array" ref="O339">IF(_xlfn.XLOOKUP(A339&amp;B339&amp;C339,盘货信息!$A:$A&amp;盘货信息!$B:$B&amp;盘货信息!$C:$C,盘货信息!$K:$K)="","",IF(AND(_xlfn.XLOOKUP(A339&amp;B339&amp;C339,盘货信息!$A:$A&amp;盘货信息!$B:$B&amp;盘货信息!$C:$C,盘货信息!$G:$G)="不参加",_xlfn.XLOOKUP(A339&amp;B339&amp;C339,盘货信息!$A:$A&amp;盘货信息!$B:$B&amp;盘货信息!$C:$C,盘货信息!$H:$H)=""),"【以旧换新】"&amp;_xlfn.XLOOKUP(A339&amp;B339&amp;C339,盘货信息!$A:$A&amp;盘货信息!$B:$B&amp;盘货信息!$C:$C,盘货信息!$K:$K)&amp;"元以旧换新补贴（可无旧机换新）",""))</f>
        <v/>
      </c>
      <c r="P339" s="18" t="str">
        <f t="array" ref="P339">_xlfn.XLOOKUP(A339&amp;B339&amp;C339,赠品!$A:$A&amp;赠品!$B:$B&amp;赠品!$C:$C,赠品!$D:$D)</f>
        <v/>
      </c>
      <c r="Q339" s="18" t="str">
        <f>IF($C339="","",IF(AND(M339="",N339="",P339=""),"",固定信息!$B$1))</f>
        <v/>
      </c>
      <c r="R339" s="18" t="str">
        <f t="array" ref="R339">IF(ISNUMBER(SEARCH("是",_xlfn.XLOOKUP(A339&amp;B339&amp;C339,盘货信息!$A:$A&amp;盘货信息!$B:$B&amp;盘货信息!$C:$C,盘货信息!$U:$U))),"【折扣】指定型号满2类享96折，满3类享94折","")</f>
        <v/>
      </c>
      <c r="S339" s="18" t="str">
        <f t="array" ref="S339">IF(_xlfn.XLOOKUP(A339&amp;B339&amp;C339,盘货信息!$A:$A&amp;盘货信息!$B:$B&amp;盘货信息!$C:$C,盘货信息!$Q:$Q)&lt;1,"","【红包】活动时间购机送"&amp;_xlfn.TEXTJOIN("",,IF(ISNUMBER(--MID(_xlfn.XLOOKUP(A339&amp;B339&amp;C339,盘货信息!$A:$A&amp;盘货信息!$B:$B&amp;盘货信息!$C:$C,盘货信息!$Q:$Q),_xlfn.SEQUENCE(LEN(_xlfn.XLOOKUP(A339&amp;B339&amp;C339,盘货信息!$A:$A&amp;盘货信息!$B:$B&amp;盘货信息!$C:$C,盘货信息!$Q:$Q))),1)),MID(_xlfn.XLOOKUP(A339&amp;B339&amp;C339,盘货信息!$A:$A&amp;盘货信息!$B:$B&amp;盘货信息!$C:$C,盘货信息!$Q:$Q),_xlfn.SEQUENCE(LEN(_xlfn.XLOOKUP(A339&amp;B339&amp;C339,盘货信息!$A:$A&amp;盘货信息!$B:$B&amp;盘货信息!$C:$C,盘货信息!$Q:$Q))),1),""))&amp;"元")</f>
        <v/>
      </c>
      <c r="T339" s="18" t="str">
        <f t="array" ref="T339">IF(ISNUMBER(SEARCH("是",_xlfn.XLOOKUP(A339&amp;B339&amp;C339,盘货信息!$A:$A&amp;盘货信息!$B:$B&amp;盘货信息!$C:$C,盘货信息!$T:$T))),"【瓜分】"&amp;固定信息!$B$7,"")</f>
        <v/>
      </c>
      <c r="U339" s="18" t="str">
        <f>IF($C339="","",IF(AND(R339="",S339="",T339=""),"",固定信息!$B$1))</f>
        <v/>
      </c>
      <c r="V339" s="18" t="str">
        <f t="array" ref="V339">IF(C339="","","【服务】"&amp;IF(_xlfn.XLOOKUP(A339&amp;B339&amp;C339,盘货信息!$A:$A&amp;盘货信息!$B:$B&amp;盘货信息!$C:$C,盘货信息!$V:$V)="","",_xlfn.XLOOKUP(A339&amp;B339&amp;C339,盘货信息!$A:$A&amp;盘货信息!$B:$B&amp;盘货信息!$C:$C,盘货信息!$V:$V)&amp;"免息,")&amp;IF(_xlfn.XLOOKUP(A339&amp;B339&amp;C339,盘货信息!$A:$A&amp;盘货信息!$B:$B&amp;盘货信息!$C:$C,盘货信息!$W:$W)="","",_xlfn.XLOOKUP(A339&amp;B339&amp;C339,盘货信息!$A:$A&amp;盘货信息!$B:$B&amp;盘货信息!$C:$C,盘货信息!$W:$W)&amp;"，")&amp;"送货入户，退换免运费")</f>
        <v/>
      </c>
    </row>
    <row r="340" customHeight="1" spans="1:22">
      <c r="A340" s="17" t="str">
        <f>IF(盘货信息!A340="","",盘货信息!A340)</f>
        <v/>
      </c>
      <c r="B340" s="20" t="str">
        <f>IF(盘货信息!B340="","",盘货信息!B340)</f>
        <v/>
      </c>
      <c r="C340" s="18" t="str">
        <f>IF(盘货信息!C340="","",盘货信息!C340)</f>
        <v/>
      </c>
      <c r="D340" s="18" t="str">
        <f ca="1" t="shared" si="5"/>
        <v/>
      </c>
      <c r="E340" s="18" t="str">
        <f>IF(C340="","",固定信息!$B$2)</f>
        <v/>
      </c>
      <c r="F340" s="18" t="str">
        <f t="array" ref="F340">IF(C340="","","【"&amp;C340&amp;"】"&amp;_xlfn.XLOOKUP(A340&amp;B340&amp;C340,盘货信息!$A:$A&amp;盘货信息!$B:$B&amp;盘货信息!$C:$C,盘货信息!$D:$D))</f>
        <v/>
      </c>
      <c r="G340" s="18" t="str">
        <f>IF(C340="","","【"&amp;"活动时间："&amp;固定信息!$B$3&amp;"】")</f>
        <v/>
      </c>
      <c r="H340" s="18" t="str">
        <f>IF($C340="","",固定信息!$B$1)</f>
        <v/>
      </c>
      <c r="I340" s="18"/>
      <c r="J340" s="18" t="str">
        <f t="array" ref="J340">_xlfn.XLOOKUP(A340&amp;B340&amp;C340,价格信息!$A:$A&amp;价格信息!$B:$B&amp;价格信息!$C:$C,价格信息!$D:$D)</f>
        <v/>
      </c>
      <c r="K340" s="31" t="str">
        <f t="array" ref="K340">IF(_xlfn.XLOOKUP(A340&amp;B340&amp;C340,价格信息!$A:$A&amp;价格信息!$B:$B&amp;价格信息!$C:$C,价格信息!$I:$I)="","","【优惠券链接】"&amp;固定信息!$B$6)</f>
        <v/>
      </c>
      <c r="L340" s="31" t="str">
        <f>IF($C340="","",固定信息!$B$1)</f>
        <v/>
      </c>
      <c r="M340" s="18" t="str">
        <f t="array" ref="M340">IF(_xlfn.XLOOKUP(A340&amp;B340&amp;C340,盘货信息!$A:$A&amp;盘货信息!$B:$B&amp;盘货信息!$C:$C,盘货信息!$O:$O)="","","【优惠券】领"&amp;INDEX(_wpsfn.REGEXP(_xlfn.XLOOKUP(A340&amp;B340&amp;C340,盘货信息!$A:$A&amp;盘货信息!$B:$B&amp;盘货信息!$C:$C,盘货信息!$O:$O),"\d+"),1,1)&amp;"元优惠券下单更优惠，优惠卷："&amp;_xlfn.XLOOKUP(A340&amp;B340&amp;C340,盘货信息!$A:$A&amp;盘货信息!$B:$B&amp;盘货信息!$C:$C,盘货信息!$P:$P))</f>
        <v/>
      </c>
      <c r="N340" s="18" t="str">
        <f t="array" ref="N340">IF(AND(ISNUMBER(_xlfn.XLOOKUP(A340&amp;B340&amp;C340,盘货信息!$A:$A&amp;盘货信息!$B:$B&amp;盘货信息!$C:$C,盘货信息!$I:$I)),_xlfn.XLOOKUP(A340&amp;B340&amp;C340,盘货信息!$A:$A&amp;盘货信息!$B:$B&amp;盘货信息!$C:$C,盘货信息!$I:$I)&gt;1),"【88VIP】立减"&amp;_xlfn.XLOOKUP(A340&amp;B340&amp;C340,盘货信息!$A:$A&amp;盘货信息!$B:$B&amp;盘货信息!$C:$C,盘货信息!$I:$I)&amp;"元","")</f>
        <v/>
      </c>
      <c r="O340" s="18" t="str">
        <f t="array" ref="O340">IF(_xlfn.XLOOKUP(A340&amp;B340&amp;C340,盘货信息!$A:$A&amp;盘货信息!$B:$B&amp;盘货信息!$C:$C,盘货信息!$K:$K)="","",IF(AND(_xlfn.XLOOKUP(A340&amp;B340&amp;C340,盘货信息!$A:$A&amp;盘货信息!$B:$B&amp;盘货信息!$C:$C,盘货信息!$G:$G)="不参加",_xlfn.XLOOKUP(A340&amp;B340&amp;C340,盘货信息!$A:$A&amp;盘货信息!$B:$B&amp;盘货信息!$C:$C,盘货信息!$H:$H)=""),"【以旧换新】"&amp;_xlfn.XLOOKUP(A340&amp;B340&amp;C340,盘货信息!$A:$A&amp;盘货信息!$B:$B&amp;盘货信息!$C:$C,盘货信息!$K:$K)&amp;"元以旧换新补贴（可无旧机换新）",""))</f>
        <v/>
      </c>
      <c r="P340" s="18" t="str">
        <f t="array" ref="P340">_xlfn.XLOOKUP(A340&amp;B340&amp;C340,赠品!$A:$A&amp;赠品!$B:$B&amp;赠品!$C:$C,赠品!$D:$D)</f>
        <v/>
      </c>
      <c r="Q340" s="18" t="str">
        <f>IF($C340="","",IF(AND(M340="",N340="",P340=""),"",固定信息!$B$1))</f>
        <v/>
      </c>
      <c r="R340" s="18" t="str">
        <f t="array" ref="R340">IF(ISNUMBER(SEARCH("是",_xlfn.XLOOKUP(A340&amp;B340&amp;C340,盘货信息!$A:$A&amp;盘货信息!$B:$B&amp;盘货信息!$C:$C,盘货信息!$U:$U))),"【折扣】指定型号满2类享96折，满3类享94折","")</f>
        <v/>
      </c>
      <c r="S340" s="18" t="str">
        <f t="array" ref="S340">IF(_xlfn.XLOOKUP(A340&amp;B340&amp;C340,盘货信息!$A:$A&amp;盘货信息!$B:$B&amp;盘货信息!$C:$C,盘货信息!$Q:$Q)&lt;1,"","【红包】活动时间购机送"&amp;_xlfn.TEXTJOIN("",,IF(ISNUMBER(--MID(_xlfn.XLOOKUP(A340&amp;B340&amp;C340,盘货信息!$A:$A&amp;盘货信息!$B:$B&amp;盘货信息!$C:$C,盘货信息!$Q:$Q),_xlfn.SEQUENCE(LEN(_xlfn.XLOOKUP(A340&amp;B340&amp;C340,盘货信息!$A:$A&amp;盘货信息!$B:$B&amp;盘货信息!$C:$C,盘货信息!$Q:$Q))),1)),MID(_xlfn.XLOOKUP(A340&amp;B340&amp;C340,盘货信息!$A:$A&amp;盘货信息!$B:$B&amp;盘货信息!$C:$C,盘货信息!$Q:$Q),_xlfn.SEQUENCE(LEN(_xlfn.XLOOKUP(A340&amp;B340&amp;C340,盘货信息!$A:$A&amp;盘货信息!$B:$B&amp;盘货信息!$C:$C,盘货信息!$Q:$Q))),1),""))&amp;"元")</f>
        <v/>
      </c>
      <c r="T340" s="18" t="str">
        <f t="array" ref="T340">IF(ISNUMBER(SEARCH("是",_xlfn.XLOOKUP(A340&amp;B340&amp;C340,盘货信息!$A:$A&amp;盘货信息!$B:$B&amp;盘货信息!$C:$C,盘货信息!$T:$T))),"【瓜分】"&amp;固定信息!$B$7,"")</f>
        <v/>
      </c>
      <c r="U340" s="18" t="str">
        <f>IF($C340="","",IF(AND(R340="",S340="",T340=""),"",固定信息!$B$1))</f>
        <v/>
      </c>
      <c r="V340" s="18" t="str">
        <f t="array" ref="V340">IF(C340="","","【服务】"&amp;IF(_xlfn.XLOOKUP(A340&amp;B340&amp;C340,盘货信息!$A:$A&amp;盘货信息!$B:$B&amp;盘货信息!$C:$C,盘货信息!$V:$V)="","",_xlfn.XLOOKUP(A340&amp;B340&amp;C340,盘货信息!$A:$A&amp;盘货信息!$B:$B&amp;盘货信息!$C:$C,盘货信息!$V:$V)&amp;"免息,")&amp;IF(_xlfn.XLOOKUP(A340&amp;B340&amp;C340,盘货信息!$A:$A&amp;盘货信息!$B:$B&amp;盘货信息!$C:$C,盘货信息!$W:$W)="","",_xlfn.XLOOKUP(A340&amp;B340&amp;C340,盘货信息!$A:$A&amp;盘货信息!$B:$B&amp;盘货信息!$C:$C,盘货信息!$W:$W)&amp;"，")&amp;"送货入户，退换免运费")</f>
        <v/>
      </c>
    </row>
    <row r="341" customHeight="1" spans="1:22">
      <c r="A341" s="17" t="str">
        <f>IF(盘货信息!A341="","",盘货信息!A341)</f>
        <v/>
      </c>
      <c r="B341" s="20" t="str">
        <f>IF(盘货信息!B341="","",盘货信息!B341)</f>
        <v/>
      </c>
      <c r="C341" s="18" t="str">
        <f>IF(盘货信息!C341="","",盘货信息!C341)</f>
        <v/>
      </c>
      <c r="D341" s="18" t="str">
        <f ca="1" t="shared" si="5"/>
        <v/>
      </c>
      <c r="E341" s="18" t="str">
        <f>IF(C341="","",固定信息!$B$2)</f>
        <v/>
      </c>
      <c r="F341" s="18" t="str">
        <f t="array" ref="F341">IF(C341="","","【"&amp;C341&amp;"】"&amp;_xlfn.XLOOKUP(A341&amp;B341&amp;C341,盘货信息!$A:$A&amp;盘货信息!$B:$B&amp;盘货信息!$C:$C,盘货信息!$D:$D))</f>
        <v/>
      </c>
      <c r="G341" s="18" t="str">
        <f>IF(C341="","","【"&amp;"活动时间："&amp;固定信息!$B$3&amp;"】")</f>
        <v/>
      </c>
      <c r="H341" s="18" t="str">
        <f>IF($C341="","",固定信息!$B$1)</f>
        <v/>
      </c>
      <c r="I341" s="18"/>
      <c r="J341" s="18" t="str">
        <f t="array" ref="J341">_xlfn.XLOOKUP(A341&amp;B341&amp;C341,价格信息!$A:$A&amp;价格信息!$B:$B&amp;价格信息!$C:$C,价格信息!$D:$D)</f>
        <v/>
      </c>
      <c r="K341" s="31" t="str">
        <f t="array" ref="K341">IF(_xlfn.XLOOKUP(A341&amp;B341&amp;C341,价格信息!$A:$A&amp;价格信息!$B:$B&amp;价格信息!$C:$C,价格信息!$I:$I)="","","【优惠券链接】"&amp;固定信息!$B$6)</f>
        <v/>
      </c>
      <c r="L341" s="31" t="str">
        <f>IF($C341="","",固定信息!$B$1)</f>
        <v/>
      </c>
      <c r="M341" s="18" t="str">
        <f t="array" ref="M341">IF(_xlfn.XLOOKUP(A341&amp;B341&amp;C341,盘货信息!$A:$A&amp;盘货信息!$B:$B&amp;盘货信息!$C:$C,盘货信息!$O:$O)="","","【优惠券】领"&amp;INDEX(_wpsfn.REGEXP(_xlfn.XLOOKUP(A341&amp;B341&amp;C341,盘货信息!$A:$A&amp;盘货信息!$B:$B&amp;盘货信息!$C:$C,盘货信息!$O:$O),"\d+"),1,1)&amp;"元优惠券下单更优惠，优惠卷："&amp;_xlfn.XLOOKUP(A341&amp;B341&amp;C341,盘货信息!$A:$A&amp;盘货信息!$B:$B&amp;盘货信息!$C:$C,盘货信息!$P:$P))</f>
        <v/>
      </c>
      <c r="N341" s="18" t="str">
        <f t="array" ref="N341">IF(AND(ISNUMBER(_xlfn.XLOOKUP(A341&amp;B341&amp;C341,盘货信息!$A:$A&amp;盘货信息!$B:$B&amp;盘货信息!$C:$C,盘货信息!$I:$I)),_xlfn.XLOOKUP(A341&amp;B341&amp;C341,盘货信息!$A:$A&amp;盘货信息!$B:$B&amp;盘货信息!$C:$C,盘货信息!$I:$I)&gt;1),"【88VIP】立减"&amp;_xlfn.XLOOKUP(A341&amp;B341&amp;C341,盘货信息!$A:$A&amp;盘货信息!$B:$B&amp;盘货信息!$C:$C,盘货信息!$I:$I)&amp;"元","")</f>
        <v/>
      </c>
      <c r="O341" s="18" t="str">
        <f t="array" ref="O341">IF(_xlfn.XLOOKUP(A341&amp;B341&amp;C341,盘货信息!$A:$A&amp;盘货信息!$B:$B&amp;盘货信息!$C:$C,盘货信息!$K:$K)="","",IF(AND(_xlfn.XLOOKUP(A341&amp;B341&amp;C341,盘货信息!$A:$A&amp;盘货信息!$B:$B&amp;盘货信息!$C:$C,盘货信息!$G:$G)="不参加",_xlfn.XLOOKUP(A341&amp;B341&amp;C341,盘货信息!$A:$A&amp;盘货信息!$B:$B&amp;盘货信息!$C:$C,盘货信息!$H:$H)=""),"【以旧换新】"&amp;_xlfn.XLOOKUP(A341&amp;B341&amp;C341,盘货信息!$A:$A&amp;盘货信息!$B:$B&amp;盘货信息!$C:$C,盘货信息!$K:$K)&amp;"元以旧换新补贴（可无旧机换新）",""))</f>
        <v/>
      </c>
      <c r="P341" s="18" t="str">
        <f t="array" ref="P341">_xlfn.XLOOKUP(A341&amp;B341&amp;C341,赠品!$A:$A&amp;赠品!$B:$B&amp;赠品!$C:$C,赠品!$D:$D)</f>
        <v/>
      </c>
      <c r="Q341" s="18" t="str">
        <f>IF($C341="","",IF(AND(M341="",N341="",P341=""),"",固定信息!$B$1))</f>
        <v/>
      </c>
      <c r="R341" s="18" t="str">
        <f t="array" ref="R341">IF(ISNUMBER(SEARCH("是",_xlfn.XLOOKUP(A341&amp;B341&amp;C341,盘货信息!$A:$A&amp;盘货信息!$B:$B&amp;盘货信息!$C:$C,盘货信息!$U:$U))),"【折扣】指定型号满2类享96折，满3类享94折","")</f>
        <v/>
      </c>
      <c r="S341" s="18" t="str">
        <f t="array" ref="S341">IF(_xlfn.XLOOKUP(A341&amp;B341&amp;C341,盘货信息!$A:$A&amp;盘货信息!$B:$B&amp;盘货信息!$C:$C,盘货信息!$Q:$Q)&lt;1,"","【红包】活动时间购机送"&amp;_xlfn.TEXTJOIN("",,IF(ISNUMBER(--MID(_xlfn.XLOOKUP(A341&amp;B341&amp;C341,盘货信息!$A:$A&amp;盘货信息!$B:$B&amp;盘货信息!$C:$C,盘货信息!$Q:$Q),_xlfn.SEQUENCE(LEN(_xlfn.XLOOKUP(A341&amp;B341&amp;C341,盘货信息!$A:$A&amp;盘货信息!$B:$B&amp;盘货信息!$C:$C,盘货信息!$Q:$Q))),1)),MID(_xlfn.XLOOKUP(A341&amp;B341&amp;C341,盘货信息!$A:$A&amp;盘货信息!$B:$B&amp;盘货信息!$C:$C,盘货信息!$Q:$Q),_xlfn.SEQUENCE(LEN(_xlfn.XLOOKUP(A341&amp;B341&amp;C341,盘货信息!$A:$A&amp;盘货信息!$B:$B&amp;盘货信息!$C:$C,盘货信息!$Q:$Q))),1),""))&amp;"元")</f>
        <v/>
      </c>
      <c r="T341" s="18" t="str">
        <f t="array" ref="T341">IF(ISNUMBER(SEARCH("是",_xlfn.XLOOKUP(A341&amp;B341&amp;C341,盘货信息!$A:$A&amp;盘货信息!$B:$B&amp;盘货信息!$C:$C,盘货信息!$T:$T))),"【瓜分】"&amp;固定信息!$B$7,"")</f>
        <v/>
      </c>
      <c r="U341" s="18" t="str">
        <f>IF($C341="","",IF(AND(R341="",S341="",T341=""),"",固定信息!$B$1))</f>
        <v/>
      </c>
      <c r="V341" s="18" t="str">
        <f t="array" ref="V341">IF(C341="","","【服务】"&amp;IF(_xlfn.XLOOKUP(A341&amp;B341&amp;C341,盘货信息!$A:$A&amp;盘货信息!$B:$B&amp;盘货信息!$C:$C,盘货信息!$V:$V)="","",_xlfn.XLOOKUP(A341&amp;B341&amp;C341,盘货信息!$A:$A&amp;盘货信息!$B:$B&amp;盘货信息!$C:$C,盘货信息!$V:$V)&amp;"免息,")&amp;IF(_xlfn.XLOOKUP(A341&amp;B341&amp;C341,盘货信息!$A:$A&amp;盘货信息!$B:$B&amp;盘货信息!$C:$C,盘货信息!$W:$W)="","",_xlfn.XLOOKUP(A341&amp;B341&amp;C341,盘货信息!$A:$A&amp;盘货信息!$B:$B&amp;盘货信息!$C:$C,盘货信息!$W:$W)&amp;"，")&amp;"送货入户，退换免运费")</f>
        <v/>
      </c>
    </row>
    <row r="342" customHeight="1" spans="1:22">
      <c r="A342" s="17" t="str">
        <f>IF(盘货信息!A342="","",盘货信息!A342)</f>
        <v/>
      </c>
      <c r="B342" s="20" t="str">
        <f>IF(盘货信息!B342="","",盘货信息!B342)</f>
        <v/>
      </c>
      <c r="C342" s="18" t="str">
        <f>IF(盘货信息!C342="","",盘货信息!C342)</f>
        <v/>
      </c>
      <c r="D342" s="18" t="str">
        <f ca="1" t="shared" si="5"/>
        <v/>
      </c>
      <c r="E342" s="18" t="str">
        <f>IF(C342="","",固定信息!$B$2)</f>
        <v/>
      </c>
      <c r="F342" s="18" t="str">
        <f t="array" ref="F342">IF(C342="","","【"&amp;C342&amp;"】"&amp;_xlfn.XLOOKUP(A342&amp;B342&amp;C342,盘货信息!$A:$A&amp;盘货信息!$B:$B&amp;盘货信息!$C:$C,盘货信息!$D:$D))</f>
        <v/>
      </c>
      <c r="G342" s="18" t="str">
        <f>IF(C342="","","【"&amp;"活动时间："&amp;固定信息!$B$3&amp;"】")</f>
        <v/>
      </c>
      <c r="H342" s="18" t="str">
        <f>IF($C342="","",固定信息!$B$1)</f>
        <v/>
      </c>
      <c r="I342" s="18"/>
      <c r="J342" s="18" t="str">
        <f t="array" ref="J342">_xlfn.XLOOKUP(A342&amp;B342&amp;C342,价格信息!$A:$A&amp;价格信息!$B:$B&amp;价格信息!$C:$C,价格信息!$D:$D)</f>
        <v/>
      </c>
      <c r="K342" s="31" t="str">
        <f t="array" ref="K342">IF(_xlfn.XLOOKUP(A342&amp;B342&amp;C342,价格信息!$A:$A&amp;价格信息!$B:$B&amp;价格信息!$C:$C,价格信息!$I:$I)="","","【优惠券链接】"&amp;固定信息!$B$6)</f>
        <v/>
      </c>
      <c r="L342" s="31" t="str">
        <f>IF($C342="","",固定信息!$B$1)</f>
        <v/>
      </c>
      <c r="M342" s="18" t="str">
        <f t="array" ref="M342">IF(_xlfn.XLOOKUP(A342&amp;B342&amp;C342,盘货信息!$A:$A&amp;盘货信息!$B:$B&amp;盘货信息!$C:$C,盘货信息!$O:$O)="","","【优惠券】领"&amp;INDEX(_wpsfn.REGEXP(_xlfn.XLOOKUP(A342&amp;B342&amp;C342,盘货信息!$A:$A&amp;盘货信息!$B:$B&amp;盘货信息!$C:$C,盘货信息!$O:$O),"\d+"),1,1)&amp;"元优惠券下单更优惠，优惠卷："&amp;_xlfn.XLOOKUP(A342&amp;B342&amp;C342,盘货信息!$A:$A&amp;盘货信息!$B:$B&amp;盘货信息!$C:$C,盘货信息!$P:$P))</f>
        <v/>
      </c>
      <c r="N342" s="18" t="str">
        <f t="array" ref="N342">IF(AND(ISNUMBER(_xlfn.XLOOKUP(A342&amp;B342&amp;C342,盘货信息!$A:$A&amp;盘货信息!$B:$B&amp;盘货信息!$C:$C,盘货信息!$I:$I)),_xlfn.XLOOKUP(A342&amp;B342&amp;C342,盘货信息!$A:$A&amp;盘货信息!$B:$B&amp;盘货信息!$C:$C,盘货信息!$I:$I)&gt;1),"【88VIP】立减"&amp;_xlfn.XLOOKUP(A342&amp;B342&amp;C342,盘货信息!$A:$A&amp;盘货信息!$B:$B&amp;盘货信息!$C:$C,盘货信息!$I:$I)&amp;"元","")</f>
        <v/>
      </c>
      <c r="O342" s="18" t="str">
        <f t="array" ref="O342">IF(_xlfn.XLOOKUP(A342&amp;B342&amp;C342,盘货信息!$A:$A&amp;盘货信息!$B:$B&amp;盘货信息!$C:$C,盘货信息!$K:$K)="","",IF(AND(_xlfn.XLOOKUP(A342&amp;B342&amp;C342,盘货信息!$A:$A&amp;盘货信息!$B:$B&amp;盘货信息!$C:$C,盘货信息!$G:$G)="不参加",_xlfn.XLOOKUP(A342&amp;B342&amp;C342,盘货信息!$A:$A&amp;盘货信息!$B:$B&amp;盘货信息!$C:$C,盘货信息!$H:$H)=""),"【以旧换新】"&amp;_xlfn.XLOOKUP(A342&amp;B342&amp;C342,盘货信息!$A:$A&amp;盘货信息!$B:$B&amp;盘货信息!$C:$C,盘货信息!$K:$K)&amp;"元以旧换新补贴（可无旧机换新）",""))</f>
        <v/>
      </c>
      <c r="P342" s="18" t="str">
        <f t="array" ref="P342">_xlfn.XLOOKUP(A342&amp;B342&amp;C342,赠品!$A:$A&amp;赠品!$B:$B&amp;赠品!$C:$C,赠品!$D:$D)</f>
        <v/>
      </c>
      <c r="Q342" s="18" t="str">
        <f>IF($C342="","",IF(AND(M342="",N342="",P342=""),"",固定信息!$B$1))</f>
        <v/>
      </c>
      <c r="R342" s="18" t="str">
        <f t="array" ref="R342">IF(ISNUMBER(SEARCH("是",_xlfn.XLOOKUP(A342&amp;B342&amp;C342,盘货信息!$A:$A&amp;盘货信息!$B:$B&amp;盘货信息!$C:$C,盘货信息!$U:$U))),"【折扣】指定型号满2类享96折，满3类享94折","")</f>
        <v/>
      </c>
      <c r="S342" s="18" t="str">
        <f t="array" ref="S342">IF(_xlfn.XLOOKUP(A342&amp;B342&amp;C342,盘货信息!$A:$A&amp;盘货信息!$B:$B&amp;盘货信息!$C:$C,盘货信息!$Q:$Q)&lt;1,"","【红包】活动时间购机送"&amp;_xlfn.TEXTJOIN("",,IF(ISNUMBER(--MID(_xlfn.XLOOKUP(A342&amp;B342&amp;C342,盘货信息!$A:$A&amp;盘货信息!$B:$B&amp;盘货信息!$C:$C,盘货信息!$Q:$Q),_xlfn.SEQUENCE(LEN(_xlfn.XLOOKUP(A342&amp;B342&amp;C342,盘货信息!$A:$A&amp;盘货信息!$B:$B&amp;盘货信息!$C:$C,盘货信息!$Q:$Q))),1)),MID(_xlfn.XLOOKUP(A342&amp;B342&amp;C342,盘货信息!$A:$A&amp;盘货信息!$B:$B&amp;盘货信息!$C:$C,盘货信息!$Q:$Q),_xlfn.SEQUENCE(LEN(_xlfn.XLOOKUP(A342&amp;B342&amp;C342,盘货信息!$A:$A&amp;盘货信息!$B:$B&amp;盘货信息!$C:$C,盘货信息!$Q:$Q))),1),""))&amp;"元")</f>
        <v/>
      </c>
      <c r="T342" s="18" t="str">
        <f t="array" ref="T342">IF(ISNUMBER(SEARCH("是",_xlfn.XLOOKUP(A342&amp;B342&amp;C342,盘货信息!$A:$A&amp;盘货信息!$B:$B&amp;盘货信息!$C:$C,盘货信息!$T:$T))),"【瓜分】"&amp;固定信息!$B$7,"")</f>
        <v/>
      </c>
      <c r="U342" s="18" t="str">
        <f>IF($C342="","",IF(AND(R342="",S342="",T342=""),"",固定信息!$B$1))</f>
        <v/>
      </c>
      <c r="V342" s="18" t="str">
        <f t="array" ref="V342">IF(C342="","","【服务】"&amp;IF(_xlfn.XLOOKUP(A342&amp;B342&amp;C342,盘货信息!$A:$A&amp;盘货信息!$B:$B&amp;盘货信息!$C:$C,盘货信息!$V:$V)="","",_xlfn.XLOOKUP(A342&amp;B342&amp;C342,盘货信息!$A:$A&amp;盘货信息!$B:$B&amp;盘货信息!$C:$C,盘货信息!$V:$V)&amp;"免息,")&amp;IF(_xlfn.XLOOKUP(A342&amp;B342&amp;C342,盘货信息!$A:$A&amp;盘货信息!$B:$B&amp;盘货信息!$C:$C,盘货信息!$W:$W)="","",_xlfn.XLOOKUP(A342&amp;B342&amp;C342,盘货信息!$A:$A&amp;盘货信息!$B:$B&amp;盘货信息!$C:$C,盘货信息!$W:$W)&amp;"，")&amp;"送货入户，退换免运费")</f>
        <v/>
      </c>
    </row>
    <row r="343" customHeight="1" spans="1:22">
      <c r="A343" s="17" t="str">
        <f>IF(盘货信息!A343="","",盘货信息!A343)</f>
        <v/>
      </c>
      <c r="B343" s="20" t="str">
        <f>IF(盘货信息!B343="","",盘货信息!B343)</f>
        <v/>
      </c>
      <c r="C343" s="18" t="str">
        <f>IF(盘货信息!C343="","",盘货信息!C343)</f>
        <v/>
      </c>
      <c r="D343" s="18" t="str">
        <f ca="1" t="shared" si="5"/>
        <v/>
      </c>
      <c r="E343" s="18" t="str">
        <f>IF(C343="","",固定信息!$B$2)</f>
        <v/>
      </c>
      <c r="F343" s="18" t="str">
        <f t="array" ref="F343">IF(C343="","","【"&amp;C343&amp;"】"&amp;_xlfn.XLOOKUP(A343&amp;B343&amp;C343,盘货信息!$A:$A&amp;盘货信息!$B:$B&amp;盘货信息!$C:$C,盘货信息!$D:$D))</f>
        <v/>
      </c>
      <c r="G343" s="18" t="str">
        <f>IF(C343="","","【"&amp;"活动时间："&amp;固定信息!$B$3&amp;"】")</f>
        <v/>
      </c>
      <c r="H343" s="18" t="str">
        <f>IF($C343="","",固定信息!$B$1)</f>
        <v/>
      </c>
      <c r="I343" s="18"/>
      <c r="J343" s="18" t="str">
        <f t="array" ref="J343">_xlfn.XLOOKUP(A343&amp;B343&amp;C343,价格信息!$A:$A&amp;价格信息!$B:$B&amp;价格信息!$C:$C,价格信息!$D:$D)</f>
        <v/>
      </c>
      <c r="K343" s="31" t="str">
        <f t="array" ref="K343">IF(_xlfn.XLOOKUP(A343&amp;B343&amp;C343,价格信息!$A:$A&amp;价格信息!$B:$B&amp;价格信息!$C:$C,价格信息!$I:$I)="","","【优惠券链接】"&amp;固定信息!$B$6)</f>
        <v/>
      </c>
      <c r="L343" s="31" t="str">
        <f>IF($C343="","",固定信息!$B$1)</f>
        <v/>
      </c>
      <c r="M343" s="18" t="str">
        <f t="array" ref="M343">IF(_xlfn.XLOOKUP(A343&amp;B343&amp;C343,盘货信息!$A:$A&amp;盘货信息!$B:$B&amp;盘货信息!$C:$C,盘货信息!$O:$O)="","","【优惠券】领"&amp;INDEX(_wpsfn.REGEXP(_xlfn.XLOOKUP(A343&amp;B343&amp;C343,盘货信息!$A:$A&amp;盘货信息!$B:$B&amp;盘货信息!$C:$C,盘货信息!$O:$O),"\d+"),1,1)&amp;"元优惠券下单更优惠，优惠卷："&amp;_xlfn.XLOOKUP(A343&amp;B343&amp;C343,盘货信息!$A:$A&amp;盘货信息!$B:$B&amp;盘货信息!$C:$C,盘货信息!$P:$P))</f>
        <v/>
      </c>
      <c r="N343" s="18" t="str">
        <f t="array" ref="N343">IF(AND(ISNUMBER(_xlfn.XLOOKUP(A343&amp;B343&amp;C343,盘货信息!$A:$A&amp;盘货信息!$B:$B&amp;盘货信息!$C:$C,盘货信息!$I:$I)),_xlfn.XLOOKUP(A343&amp;B343&amp;C343,盘货信息!$A:$A&amp;盘货信息!$B:$B&amp;盘货信息!$C:$C,盘货信息!$I:$I)&gt;1),"【88VIP】立减"&amp;_xlfn.XLOOKUP(A343&amp;B343&amp;C343,盘货信息!$A:$A&amp;盘货信息!$B:$B&amp;盘货信息!$C:$C,盘货信息!$I:$I)&amp;"元","")</f>
        <v/>
      </c>
      <c r="O343" s="18" t="str">
        <f t="array" ref="O343">IF(_xlfn.XLOOKUP(A343&amp;B343&amp;C343,盘货信息!$A:$A&amp;盘货信息!$B:$B&amp;盘货信息!$C:$C,盘货信息!$K:$K)="","",IF(AND(_xlfn.XLOOKUP(A343&amp;B343&amp;C343,盘货信息!$A:$A&amp;盘货信息!$B:$B&amp;盘货信息!$C:$C,盘货信息!$G:$G)="不参加",_xlfn.XLOOKUP(A343&amp;B343&amp;C343,盘货信息!$A:$A&amp;盘货信息!$B:$B&amp;盘货信息!$C:$C,盘货信息!$H:$H)=""),"【以旧换新】"&amp;_xlfn.XLOOKUP(A343&amp;B343&amp;C343,盘货信息!$A:$A&amp;盘货信息!$B:$B&amp;盘货信息!$C:$C,盘货信息!$K:$K)&amp;"元以旧换新补贴（可无旧机换新）",""))</f>
        <v/>
      </c>
      <c r="P343" s="18" t="str">
        <f t="array" ref="P343">_xlfn.XLOOKUP(A343&amp;B343&amp;C343,赠品!$A:$A&amp;赠品!$B:$B&amp;赠品!$C:$C,赠品!$D:$D)</f>
        <v/>
      </c>
      <c r="Q343" s="18" t="str">
        <f>IF($C343="","",IF(AND(M343="",N343="",P343=""),"",固定信息!$B$1))</f>
        <v/>
      </c>
      <c r="R343" s="18" t="str">
        <f t="array" ref="R343">IF(ISNUMBER(SEARCH("是",_xlfn.XLOOKUP(A343&amp;B343&amp;C343,盘货信息!$A:$A&amp;盘货信息!$B:$B&amp;盘货信息!$C:$C,盘货信息!$U:$U))),"【折扣】指定型号满2类享96折，满3类享94折","")</f>
        <v/>
      </c>
      <c r="S343" s="18" t="str">
        <f t="array" ref="S343">IF(_xlfn.XLOOKUP(A343&amp;B343&amp;C343,盘货信息!$A:$A&amp;盘货信息!$B:$B&amp;盘货信息!$C:$C,盘货信息!$Q:$Q)&lt;1,"","【红包】活动时间购机送"&amp;_xlfn.TEXTJOIN("",,IF(ISNUMBER(--MID(_xlfn.XLOOKUP(A343&amp;B343&amp;C343,盘货信息!$A:$A&amp;盘货信息!$B:$B&amp;盘货信息!$C:$C,盘货信息!$Q:$Q),_xlfn.SEQUENCE(LEN(_xlfn.XLOOKUP(A343&amp;B343&amp;C343,盘货信息!$A:$A&amp;盘货信息!$B:$B&amp;盘货信息!$C:$C,盘货信息!$Q:$Q))),1)),MID(_xlfn.XLOOKUP(A343&amp;B343&amp;C343,盘货信息!$A:$A&amp;盘货信息!$B:$B&amp;盘货信息!$C:$C,盘货信息!$Q:$Q),_xlfn.SEQUENCE(LEN(_xlfn.XLOOKUP(A343&amp;B343&amp;C343,盘货信息!$A:$A&amp;盘货信息!$B:$B&amp;盘货信息!$C:$C,盘货信息!$Q:$Q))),1),""))&amp;"元")</f>
        <v/>
      </c>
      <c r="T343" s="18" t="str">
        <f t="array" ref="T343">IF(ISNUMBER(SEARCH("是",_xlfn.XLOOKUP(A343&amp;B343&amp;C343,盘货信息!$A:$A&amp;盘货信息!$B:$B&amp;盘货信息!$C:$C,盘货信息!$T:$T))),"【瓜分】"&amp;固定信息!$B$7,"")</f>
        <v/>
      </c>
      <c r="U343" s="18" t="str">
        <f>IF($C343="","",IF(AND(R343="",S343="",T343=""),"",固定信息!$B$1))</f>
        <v/>
      </c>
      <c r="V343" s="18" t="str">
        <f t="array" ref="V343">IF(C343="","","【服务】"&amp;IF(_xlfn.XLOOKUP(A343&amp;B343&amp;C343,盘货信息!$A:$A&amp;盘货信息!$B:$B&amp;盘货信息!$C:$C,盘货信息!$V:$V)="","",_xlfn.XLOOKUP(A343&amp;B343&amp;C343,盘货信息!$A:$A&amp;盘货信息!$B:$B&amp;盘货信息!$C:$C,盘货信息!$V:$V)&amp;"免息,")&amp;IF(_xlfn.XLOOKUP(A343&amp;B343&amp;C343,盘货信息!$A:$A&amp;盘货信息!$B:$B&amp;盘货信息!$C:$C,盘货信息!$W:$W)="","",_xlfn.XLOOKUP(A343&amp;B343&amp;C343,盘货信息!$A:$A&amp;盘货信息!$B:$B&amp;盘货信息!$C:$C,盘货信息!$W:$W)&amp;"，")&amp;"送货入户，退换免运费")</f>
        <v/>
      </c>
    </row>
    <row r="344" customHeight="1" spans="1:22">
      <c r="A344" s="17" t="str">
        <f>IF(盘货信息!A344="","",盘货信息!A344)</f>
        <v/>
      </c>
      <c r="B344" s="20" t="str">
        <f>IF(盘货信息!B344="","",盘货信息!B344)</f>
        <v/>
      </c>
      <c r="C344" s="18" t="str">
        <f>IF(盘货信息!C344="","",盘货信息!C344)</f>
        <v/>
      </c>
      <c r="D344" s="18" t="str">
        <f ca="1" t="shared" si="5"/>
        <v/>
      </c>
      <c r="E344" s="18" t="str">
        <f>IF(C344="","",固定信息!$B$2)</f>
        <v/>
      </c>
      <c r="F344" s="18" t="str">
        <f t="array" ref="F344">IF(C344="","","【"&amp;C344&amp;"】"&amp;_xlfn.XLOOKUP(A344&amp;B344&amp;C344,盘货信息!$A:$A&amp;盘货信息!$B:$B&amp;盘货信息!$C:$C,盘货信息!$D:$D))</f>
        <v/>
      </c>
      <c r="G344" s="18" t="str">
        <f>IF(C344="","","【"&amp;"活动时间："&amp;固定信息!$B$3&amp;"】")</f>
        <v/>
      </c>
      <c r="H344" s="18" t="str">
        <f>IF($C344="","",固定信息!$B$1)</f>
        <v/>
      </c>
      <c r="I344" s="18"/>
      <c r="J344" s="18" t="str">
        <f t="array" ref="J344">_xlfn.XLOOKUP(A344&amp;B344&amp;C344,价格信息!$A:$A&amp;价格信息!$B:$B&amp;价格信息!$C:$C,价格信息!$D:$D)</f>
        <v/>
      </c>
      <c r="K344" s="31" t="str">
        <f t="array" ref="K344">IF(_xlfn.XLOOKUP(A344&amp;B344&amp;C344,价格信息!$A:$A&amp;价格信息!$B:$B&amp;价格信息!$C:$C,价格信息!$I:$I)="","","【优惠券链接】"&amp;固定信息!$B$6)</f>
        <v/>
      </c>
      <c r="L344" s="31" t="str">
        <f>IF($C344="","",固定信息!$B$1)</f>
        <v/>
      </c>
      <c r="M344" s="18" t="str">
        <f t="array" ref="M344">IF(_xlfn.XLOOKUP(A344&amp;B344&amp;C344,盘货信息!$A:$A&amp;盘货信息!$B:$B&amp;盘货信息!$C:$C,盘货信息!$O:$O)="","","【优惠券】领"&amp;INDEX(_wpsfn.REGEXP(_xlfn.XLOOKUP(A344&amp;B344&amp;C344,盘货信息!$A:$A&amp;盘货信息!$B:$B&amp;盘货信息!$C:$C,盘货信息!$O:$O),"\d+"),1,1)&amp;"元优惠券下单更优惠，优惠卷："&amp;_xlfn.XLOOKUP(A344&amp;B344&amp;C344,盘货信息!$A:$A&amp;盘货信息!$B:$B&amp;盘货信息!$C:$C,盘货信息!$P:$P))</f>
        <v/>
      </c>
      <c r="N344" s="18" t="str">
        <f t="array" ref="N344">IF(AND(ISNUMBER(_xlfn.XLOOKUP(A344&amp;B344&amp;C344,盘货信息!$A:$A&amp;盘货信息!$B:$B&amp;盘货信息!$C:$C,盘货信息!$I:$I)),_xlfn.XLOOKUP(A344&amp;B344&amp;C344,盘货信息!$A:$A&amp;盘货信息!$B:$B&amp;盘货信息!$C:$C,盘货信息!$I:$I)&gt;1),"【88VIP】立减"&amp;_xlfn.XLOOKUP(A344&amp;B344&amp;C344,盘货信息!$A:$A&amp;盘货信息!$B:$B&amp;盘货信息!$C:$C,盘货信息!$I:$I)&amp;"元","")</f>
        <v/>
      </c>
      <c r="O344" s="18" t="str">
        <f t="array" ref="O344">IF(_xlfn.XLOOKUP(A344&amp;B344&amp;C344,盘货信息!$A:$A&amp;盘货信息!$B:$B&amp;盘货信息!$C:$C,盘货信息!$K:$K)="","",IF(AND(_xlfn.XLOOKUP(A344&amp;B344&amp;C344,盘货信息!$A:$A&amp;盘货信息!$B:$B&amp;盘货信息!$C:$C,盘货信息!$G:$G)="不参加",_xlfn.XLOOKUP(A344&amp;B344&amp;C344,盘货信息!$A:$A&amp;盘货信息!$B:$B&amp;盘货信息!$C:$C,盘货信息!$H:$H)=""),"【以旧换新】"&amp;_xlfn.XLOOKUP(A344&amp;B344&amp;C344,盘货信息!$A:$A&amp;盘货信息!$B:$B&amp;盘货信息!$C:$C,盘货信息!$K:$K)&amp;"元以旧换新补贴（可无旧机换新）",""))</f>
        <v/>
      </c>
      <c r="P344" s="18" t="str">
        <f t="array" ref="P344">_xlfn.XLOOKUP(A344&amp;B344&amp;C344,赠品!$A:$A&amp;赠品!$B:$B&amp;赠品!$C:$C,赠品!$D:$D)</f>
        <v/>
      </c>
      <c r="Q344" s="18" t="str">
        <f>IF($C344="","",IF(AND(M344="",N344="",P344=""),"",固定信息!$B$1))</f>
        <v/>
      </c>
      <c r="R344" s="18" t="str">
        <f t="array" ref="R344">IF(ISNUMBER(SEARCH("是",_xlfn.XLOOKUP(A344&amp;B344&amp;C344,盘货信息!$A:$A&amp;盘货信息!$B:$B&amp;盘货信息!$C:$C,盘货信息!$U:$U))),"【折扣】指定型号满2类享96折，满3类享94折","")</f>
        <v/>
      </c>
      <c r="S344" s="18" t="str">
        <f t="array" ref="S344">IF(_xlfn.XLOOKUP(A344&amp;B344&amp;C344,盘货信息!$A:$A&amp;盘货信息!$B:$B&amp;盘货信息!$C:$C,盘货信息!$Q:$Q)&lt;1,"","【红包】活动时间购机送"&amp;_xlfn.TEXTJOIN("",,IF(ISNUMBER(--MID(_xlfn.XLOOKUP(A344&amp;B344&amp;C344,盘货信息!$A:$A&amp;盘货信息!$B:$B&amp;盘货信息!$C:$C,盘货信息!$Q:$Q),_xlfn.SEQUENCE(LEN(_xlfn.XLOOKUP(A344&amp;B344&amp;C344,盘货信息!$A:$A&amp;盘货信息!$B:$B&amp;盘货信息!$C:$C,盘货信息!$Q:$Q))),1)),MID(_xlfn.XLOOKUP(A344&amp;B344&amp;C344,盘货信息!$A:$A&amp;盘货信息!$B:$B&amp;盘货信息!$C:$C,盘货信息!$Q:$Q),_xlfn.SEQUENCE(LEN(_xlfn.XLOOKUP(A344&amp;B344&amp;C344,盘货信息!$A:$A&amp;盘货信息!$B:$B&amp;盘货信息!$C:$C,盘货信息!$Q:$Q))),1),""))&amp;"元")</f>
        <v/>
      </c>
      <c r="T344" s="18" t="str">
        <f t="array" ref="T344">IF(ISNUMBER(SEARCH("是",_xlfn.XLOOKUP(A344&amp;B344&amp;C344,盘货信息!$A:$A&amp;盘货信息!$B:$B&amp;盘货信息!$C:$C,盘货信息!$T:$T))),"【瓜分】"&amp;固定信息!$B$7,"")</f>
        <v/>
      </c>
      <c r="U344" s="18" t="str">
        <f>IF($C344="","",IF(AND(R344="",S344="",T344=""),"",固定信息!$B$1))</f>
        <v/>
      </c>
      <c r="V344" s="18" t="str">
        <f t="array" ref="V344">IF(C344="","","【服务】"&amp;IF(_xlfn.XLOOKUP(A344&amp;B344&amp;C344,盘货信息!$A:$A&amp;盘货信息!$B:$B&amp;盘货信息!$C:$C,盘货信息!$V:$V)="","",_xlfn.XLOOKUP(A344&amp;B344&amp;C344,盘货信息!$A:$A&amp;盘货信息!$B:$B&amp;盘货信息!$C:$C,盘货信息!$V:$V)&amp;"免息,")&amp;IF(_xlfn.XLOOKUP(A344&amp;B344&amp;C344,盘货信息!$A:$A&amp;盘货信息!$B:$B&amp;盘货信息!$C:$C,盘货信息!$W:$W)="","",_xlfn.XLOOKUP(A344&amp;B344&amp;C344,盘货信息!$A:$A&amp;盘货信息!$B:$B&amp;盘货信息!$C:$C,盘货信息!$W:$W)&amp;"，")&amp;"送货入户，退换免运费")</f>
        <v/>
      </c>
    </row>
    <row r="345" customHeight="1" spans="1:22">
      <c r="A345" s="17" t="str">
        <f>IF(盘货信息!A345="","",盘货信息!A345)</f>
        <v/>
      </c>
      <c r="B345" s="20" t="str">
        <f>IF(盘货信息!B345="","",盘货信息!B345)</f>
        <v/>
      </c>
      <c r="C345" s="18" t="str">
        <f>IF(盘货信息!C345="","",盘货信息!C345)</f>
        <v/>
      </c>
      <c r="D345" s="18" t="str">
        <f ca="1" t="shared" si="5"/>
        <v/>
      </c>
      <c r="E345" s="18" t="str">
        <f>IF(C345="","",固定信息!$B$2)</f>
        <v/>
      </c>
      <c r="F345" s="18" t="str">
        <f t="array" ref="F345">IF(C345="","","【"&amp;C345&amp;"】"&amp;_xlfn.XLOOKUP(A345&amp;B345&amp;C345,盘货信息!$A:$A&amp;盘货信息!$B:$B&amp;盘货信息!$C:$C,盘货信息!$D:$D))</f>
        <v/>
      </c>
      <c r="G345" s="18" t="str">
        <f>IF(C345="","","【"&amp;"活动时间："&amp;固定信息!$B$3&amp;"】")</f>
        <v/>
      </c>
      <c r="H345" s="18" t="str">
        <f>IF($C345="","",固定信息!$B$1)</f>
        <v/>
      </c>
      <c r="I345" s="18"/>
      <c r="J345" s="18" t="str">
        <f t="array" ref="J345">_xlfn.XLOOKUP(A345&amp;B345&amp;C345,价格信息!$A:$A&amp;价格信息!$B:$B&amp;价格信息!$C:$C,价格信息!$D:$D)</f>
        <v/>
      </c>
      <c r="K345" s="31" t="str">
        <f t="array" ref="K345">IF(_xlfn.XLOOKUP(A345&amp;B345&amp;C345,价格信息!$A:$A&amp;价格信息!$B:$B&amp;价格信息!$C:$C,价格信息!$I:$I)="","","【优惠券链接】"&amp;固定信息!$B$6)</f>
        <v/>
      </c>
      <c r="L345" s="31" t="str">
        <f>IF($C345="","",固定信息!$B$1)</f>
        <v/>
      </c>
      <c r="M345" s="18" t="str">
        <f t="array" ref="M345">IF(_xlfn.XLOOKUP(A345&amp;B345&amp;C345,盘货信息!$A:$A&amp;盘货信息!$B:$B&amp;盘货信息!$C:$C,盘货信息!$O:$O)="","","【优惠券】领"&amp;INDEX(_wpsfn.REGEXP(_xlfn.XLOOKUP(A345&amp;B345&amp;C345,盘货信息!$A:$A&amp;盘货信息!$B:$B&amp;盘货信息!$C:$C,盘货信息!$O:$O),"\d+"),1,1)&amp;"元优惠券下单更优惠，优惠卷："&amp;_xlfn.XLOOKUP(A345&amp;B345&amp;C345,盘货信息!$A:$A&amp;盘货信息!$B:$B&amp;盘货信息!$C:$C,盘货信息!$P:$P))</f>
        <v/>
      </c>
      <c r="N345" s="18" t="str">
        <f t="array" ref="N345">IF(AND(ISNUMBER(_xlfn.XLOOKUP(A345&amp;B345&amp;C345,盘货信息!$A:$A&amp;盘货信息!$B:$B&amp;盘货信息!$C:$C,盘货信息!$I:$I)),_xlfn.XLOOKUP(A345&amp;B345&amp;C345,盘货信息!$A:$A&amp;盘货信息!$B:$B&amp;盘货信息!$C:$C,盘货信息!$I:$I)&gt;1),"【88VIP】立减"&amp;_xlfn.XLOOKUP(A345&amp;B345&amp;C345,盘货信息!$A:$A&amp;盘货信息!$B:$B&amp;盘货信息!$C:$C,盘货信息!$I:$I)&amp;"元","")</f>
        <v/>
      </c>
      <c r="O345" s="18" t="str">
        <f t="array" ref="O345">IF(_xlfn.XLOOKUP(A345&amp;B345&amp;C345,盘货信息!$A:$A&amp;盘货信息!$B:$B&amp;盘货信息!$C:$C,盘货信息!$K:$K)="","",IF(AND(_xlfn.XLOOKUP(A345&amp;B345&amp;C345,盘货信息!$A:$A&amp;盘货信息!$B:$B&amp;盘货信息!$C:$C,盘货信息!$G:$G)="不参加",_xlfn.XLOOKUP(A345&amp;B345&amp;C345,盘货信息!$A:$A&amp;盘货信息!$B:$B&amp;盘货信息!$C:$C,盘货信息!$H:$H)=""),"【以旧换新】"&amp;_xlfn.XLOOKUP(A345&amp;B345&amp;C345,盘货信息!$A:$A&amp;盘货信息!$B:$B&amp;盘货信息!$C:$C,盘货信息!$K:$K)&amp;"元以旧换新补贴（可无旧机换新）",""))</f>
        <v/>
      </c>
      <c r="P345" s="18" t="str">
        <f t="array" ref="P345">_xlfn.XLOOKUP(A345&amp;B345&amp;C345,赠品!$A:$A&amp;赠品!$B:$B&amp;赠品!$C:$C,赠品!$D:$D)</f>
        <v/>
      </c>
      <c r="Q345" s="18" t="str">
        <f>IF($C345="","",IF(AND(M345="",N345="",P345=""),"",固定信息!$B$1))</f>
        <v/>
      </c>
      <c r="R345" s="18" t="str">
        <f t="array" ref="R345">IF(ISNUMBER(SEARCH("是",_xlfn.XLOOKUP(A345&amp;B345&amp;C345,盘货信息!$A:$A&amp;盘货信息!$B:$B&amp;盘货信息!$C:$C,盘货信息!$U:$U))),"【折扣】指定型号满2类享96折，满3类享94折","")</f>
        <v/>
      </c>
      <c r="S345" s="18" t="str">
        <f t="array" ref="S345">IF(_xlfn.XLOOKUP(A345&amp;B345&amp;C345,盘货信息!$A:$A&amp;盘货信息!$B:$B&amp;盘货信息!$C:$C,盘货信息!$Q:$Q)&lt;1,"","【红包】活动时间购机送"&amp;_xlfn.TEXTJOIN("",,IF(ISNUMBER(--MID(_xlfn.XLOOKUP(A345&amp;B345&amp;C345,盘货信息!$A:$A&amp;盘货信息!$B:$B&amp;盘货信息!$C:$C,盘货信息!$Q:$Q),_xlfn.SEQUENCE(LEN(_xlfn.XLOOKUP(A345&amp;B345&amp;C345,盘货信息!$A:$A&amp;盘货信息!$B:$B&amp;盘货信息!$C:$C,盘货信息!$Q:$Q))),1)),MID(_xlfn.XLOOKUP(A345&amp;B345&amp;C345,盘货信息!$A:$A&amp;盘货信息!$B:$B&amp;盘货信息!$C:$C,盘货信息!$Q:$Q),_xlfn.SEQUENCE(LEN(_xlfn.XLOOKUP(A345&amp;B345&amp;C345,盘货信息!$A:$A&amp;盘货信息!$B:$B&amp;盘货信息!$C:$C,盘货信息!$Q:$Q))),1),""))&amp;"元")</f>
        <v/>
      </c>
      <c r="T345" s="18" t="str">
        <f t="array" ref="T345">IF(ISNUMBER(SEARCH("是",_xlfn.XLOOKUP(A345&amp;B345&amp;C345,盘货信息!$A:$A&amp;盘货信息!$B:$B&amp;盘货信息!$C:$C,盘货信息!$T:$T))),"【瓜分】"&amp;固定信息!$B$7,"")</f>
        <v/>
      </c>
      <c r="U345" s="18" t="str">
        <f>IF($C345="","",IF(AND(R345="",S345="",T345=""),"",固定信息!$B$1))</f>
        <v/>
      </c>
      <c r="V345" s="18" t="str">
        <f t="array" ref="V345">IF(C345="","","【服务】"&amp;IF(_xlfn.XLOOKUP(A345&amp;B345&amp;C345,盘货信息!$A:$A&amp;盘货信息!$B:$B&amp;盘货信息!$C:$C,盘货信息!$V:$V)="","",_xlfn.XLOOKUP(A345&amp;B345&amp;C345,盘货信息!$A:$A&amp;盘货信息!$B:$B&amp;盘货信息!$C:$C,盘货信息!$V:$V)&amp;"免息,")&amp;IF(_xlfn.XLOOKUP(A345&amp;B345&amp;C345,盘货信息!$A:$A&amp;盘货信息!$B:$B&amp;盘货信息!$C:$C,盘货信息!$W:$W)="","",_xlfn.XLOOKUP(A345&amp;B345&amp;C345,盘货信息!$A:$A&amp;盘货信息!$B:$B&amp;盘货信息!$C:$C,盘货信息!$W:$W)&amp;"，")&amp;"送货入户，退换免运费")</f>
        <v/>
      </c>
    </row>
    <row r="346" customHeight="1" spans="1:22">
      <c r="A346" s="17" t="str">
        <f>IF(盘货信息!A346="","",盘货信息!A346)</f>
        <v/>
      </c>
      <c r="B346" s="20" t="str">
        <f>IF(盘货信息!B346="","",盘货信息!B346)</f>
        <v/>
      </c>
      <c r="C346" s="18" t="str">
        <f>IF(盘货信息!C346="","",盘货信息!C346)</f>
        <v/>
      </c>
      <c r="D346" s="18" t="str">
        <f ca="1" t="shared" si="5"/>
        <v/>
      </c>
      <c r="E346" s="18" t="str">
        <f>IF(C346="","",固定信息!$B$2)</f>
        <v/>
      </c>
      <c r="F346" s="18" t="str">
        <f t="array" ref="F346">IF(C346="","","【"&amp;C346&amp;"】"&amp;_xlfn.XLOOKUP(A346&amp;B346&amp;C346,盘货信息!$A:$A&amp;盘货信息!$B:$B&amp;盘货信息!$C:$C,盘货信息!$D:$D))</f>
        <v/>
      </c>
      <c r="G346" s="18" t="str">
        <f>IF(C346="","","【"&amp;"活动时间："&amp;固定信息!$B$3&amp;"】")</f>
        <v/>
      </c>
      <c r="H346" s="18" t="str">
        <f>IF($C346="","",固定信息!$B$1)</f>
        <v/>
      </c>
      <c r="I346" s="18"/>
      <c r="J346" s="18" t="str">
        <f t="array" ref="J346">_xlfn.XLOOKUP(A346&amp;B346&amp;C346,价格信息!$A:$A&amp;价格信息!$B:$B&amp;价格信息!$C:$C,价格信息!$D:$D)</f>
        <v/>
      </c>
      <c r="K346" s="31" t="str">
        <f t="array" ref="K346">IF(_xlfn.XLOOKUP(A346&amp;B346&amp;C346,价格信息!$A:$A&amp;价格信息!$B:$B&amp;价格信息!$C:$C,价格信息!$I:$I)="","","【优惠券链接】"&amp;固定信息!$B$6)</f>
        <v/>
      </c>
      <c r="L346" s="31" t="str">
        <f>IF($C346="","",固定信息!$B$1)</f>
        <v/>
      </c>
      <c r="M346" s="18" t="str">
        <f t="array" ref="M346">IF(_xlfn.XLOOKUP(A346&amp;B346&amp;C346,盘货信息!$A:$A&amp;盘货信息!$B:$B&amp;盘货信息!$C:$C,盘货信息!$O:$O)="","","【优惠券】领"&amp;INDEX(_wpsfn.REGEXP(_xlfn.XLOOKUP(A346&amp;B346&amp;C346,盘货信息!$A:$A&amp;盘货信息!$B:$B&amp;盘货信息!$C:$C,盘货信息!$O:$O),"\d+"),1,1)&amp;"元优惠券下单更优惠，优惠卷："&amp;_xlfn.XLOOKUP(A346&amp;B346&amp;C346,盘货信息!$A:$A&amp;盘货信息!$B:$B&amp;盘货信息!$C:$C,盘货信息!$P:$P))</f>
        <v/>
      </c>
      <c r="N346" s="18" t="str">
        <f t="array" ref="N346">IF(AND(ISNUMBER(_xlfn.XLOOKUP(A346&amp;B346&amp;C346,盘货信息!$A:$A&amp;盘货信息!$B:$B&amp;盘货信息!$C:$C,盘货信息!$I:$I)),_xlfn.XLOOKUP(A346&amp;B346&amp;C346,盘货信息!$A:$A&amp;盘货信息!$B:$B&amp;盘货信息!$C:$C,盘货信息!$I:$I)&gt;1),"【88VIP】立减"&amp;_xlfn.XLOOKUP(A346&amp;B346&amp;C346,盘货信息!$A:$A&amp;盘货信息!$B:$B&amp;盘货信息!$C:$C,盘货信息!$I:$I)&amp;"元","")</f>
        <v/>
      </c>
      <c r="O346" s="18" t="str">
        <f t="array" ref="O346">IF(_xlfn.XLOOKUP(A346&amp;B346&amp;C346,盘货信息!$A:$A&amp;盘货信息!$B:$B&amp;盘货信息!$C:$C,盘货信息!$K:$K)="","",IF(AND(_xlfn.XLOOKUP(A346&amp;B346&amp;C346,盘货信息!$A:$A&amp;盘货信息!$B:$B&amp;盘货信息!$C:$C,盘货信息!$G:$G)="不参加",_xlfn.XLOOKUP(A346&amp;B346&amp;C346,盘货信息!$A:$A&amp;盘货信息!$B:$B&amp;盘货信息!$C:$C,盘货信息!$H:$H)=""),"【以旧换新】"&amp;_xlfn.XLOOKUP(A346&amp;B346&amp;C346,盘货信息!$A:$A&amp;盘货信息!$B:$B&amp;盘货信息!$C:$C,盘货信息!$K:$K)&amp;"元以旧换新补贴（可无旧机换新）",""))</f>
        <v/>
      </c>
      <c r="P346" s="18" t="str">
        <f t="array" ref="P346">_xlfn.XLOOKUP(A346&amp;B346&amp;C346,赠品!$A:$A&amp;赠品!$B:$B&amp;赠品!$C:$C,赠品!$D:$D)</f>
        <v/>
      </c>
      <c r="Q346" s="18" t="str">
        <f>IF($C346="","",IF(AND(M346="",N346="",P346=""),"",固定信息!$B$1))</f>
        <v/>
      </c>
      <c r="R346" s="18" t="str">
        <f t="array" ref="R346">IF(ISNUMBER(SEARCH("是",_xlfn.XLOOKUP(A346&amp;B346&amp;C346,盘货信息!$A:$A&amp;盘货信息!$B:$B&amp;盘货信息!$C:$C,盘货信息!$U:$U))),"【折扣】指定型号满2类享96折，满3类享94折","")</f>
        <v/>
      </c>
      <c r="S346" s="18" t="str">
        <f t="array" ref="S346">IF(_xlfn.XLOOKUP(A346&amp;B346&amp;C346,盘货信息!$A:$A&amp;盘货信息!$B:$B&amp;盘货信息!$C:$C,盘货信息!$Q:$Q)&lt;1,"","【红包】活动时间购机送"&amp;_xlfn.TEXTJOIN("",,IF(ISNUMBER(--MID(_xlfn.XLOOKUP(A346&amp;B346&amp;C346,盘货信息!$A:$A&amp;盘货信息!$B:$B&amp;盘货信息!$C:$C,盘货信息!$Q:$Q),_xlfn.SEQUENCE(LEN(_xlfn.XLOOKUP(A346&amp;B346&amp;C346,盘货信息!$A:$A&amp;盘货信息!$B:$B&amp;盘货信息!$C:$C,盘货信息!$Q:$Q))),1)),MID(_xlfn.XLOOKUP(A346&amp;B346&amp;C346,盘货信息!$A:$A&amp;盘货信息!$B:$B&amp;盘货信息!$C:$C,盘货信息!$Q:$Q),_xlfn.SEQUENCE(LEN(_xlfn.XLOOKUP(A346&amp;B346&amp;C346,盘货信息!$A:$A&amp;盘货信息!$B:$B&amp;盘货信息!$C:$C,盘货信息!$Q:$Q))),1),""))&amp;"元")</f>
        <v/>
      </c>
      <c r="T346" s="18" t="str">
        <f t="array" ref="T346">IF(ISNUMBER(SEARCH("是",_xlfn.XLOOKUP(A346&amp;B346&amp;C346,盘货信息!$A:$A&amp;盘货信息!$B:$B&amp;盘货信息!$C:$C,盘货信息!$T:$T))),"【瓜分】"&amp;固定信息!$B$7,"")</f>
        <v/>
      </c>
      <c r="U346" s="18" t="str">
        <f>IF($C346="","",IF(AND(R346="",S346="",T346=""),"",固定信息!$B$1))</f>
        <v/>
      </c>
      <c r="V346" s="18" t="str">
        <f t="array" ref="V346">IF(C346="","","【服务】"&amp;IF(_xlfn.XLOOKUP(A346&amp;B346&amp;C346,盘货信息!$A:$A&amp;盘货信息!$B:$B&amp;盘货信息!$C:$C,盘货信息!$V:$V)="","",_xlfn.XLOOKUP(A346&amp;B346&amp;C346,盘货信息!$A:$A&amp;盘货信息!$B:$B&amp;盘货信息!$C:$C,盘货信息!$V:$V)&amp;"免息,")&amp;IF(_xlfn.XLOOKUP(A346&amp;B346&amp;C346,盘货信息!$A:$A&amp;盘货信息!$B:$B&amp;盘货信息!$C:$C,盘货信息!$W:$W)="","",_xlfn.XLOOKUP(A346&amp;B346&amp;C346,盘货信息!$A:$A&amp;盘货信息!$B:$B&amp;盘货信息!$C:$C,盘货信息!$W:$W)&amp;"，")&amp;"送货入户，退换免运费")</f>
        <v/>
      </c>
    </row>
    <row r="347" customHeight="1" spans="1:22">
      <c r="A347" s="17" t="str">
        <f>IF(盘货信息!A347="","",盘货信息!A347)</f>
        <v/>
      </c>
      <c r="B347" s="20" t="str">
        <f>IF(盘货信息!B347="","",盘货信息!B347)</f>
        <v/>
      </c>
      <c r="C347" s="18" t="str">
        <f>IF(盘货信息!C347="","",盘货信息!C347)</f>
        <v/>
      </c>
      <c r="D347" s="18" t="str">
        <f ca="1" t="shared" si="5"/>
        <v/>
      </c>
      <c r="E347" s="18" t="str">
        <f>IF(C347="","",固定信息!$B$2)</f>
        <v/>
      </c>
      <c r="F347" s="18" t="str">
        <f t="array" ref="F347">IF(C347="","","【"&amp;C347&amp;"】"&amp;_xlfn.XLOOKUP(A347&amp;B347&amp;C347,盘货信息!$A:$A&amp;盘货信息!$B:$B&amp;盘货信息!$C:$C,盘货信息!$D:$D))</f>
        <v/>
      </c>
      <c r="G347" s="18" t="str">
        <f>IF(C347="","","【"&amp;"活动时间："&amp;固定信息!$B$3&amp;"】")</f>
        <v/>
      </c>
      <c r="H347" s="18" t="str">
        <f>IF($C347="","",固定信息!$B$1)</f>
        <v/>
      </c>
      <c r="I347" s="18"/>
      <c r="J347" s="18" t="str">
        <f t="array" ref="J347">_xlfn.XLOOKUP(A347&amp;B347&amp;C347,价格信息!$A:$A&amp;价格信息!$B:$B&amp;价格信息!$C:$C,价格信息!$D:$D)</f>
        <v/>
      </c>
      <c r="K347" s="31" t="str">
        <f t="array" ref="K347">IF(_xlfn.XLOOKUP(A347&amp;B347&amp;C347,价格信息!$A:$A&amp;价格信息!$B:$B&amp;价格信息!$C:$C,价格信息!$I:$I)="","","【优惠券链接】"&amp;固定信息!$B$6)</f>
        <v/>
      </c>
      <c r="L347" s="31" t="str">
        <f>IF($C347="","",固定信息!$B$1)</f>
        <v/>
      </c>
      <c r="M347" s="18" t="str">
        <f t="array" ref="M347">IF(_xlfn.XLOOKUP(A347&amp;B347&amp;C347,盘货信息!$A:$A&amp;盘货信息!$B:$B&amp;盘货信息!$C:$C,盘货信息!$O:$O)="","","【优惠券】领"&amp;INDEX(_wpsfn.REGEXP(_xlfn.XLOOKUP(A347&amp;B347&amp;C347,盘货信息!$A:$A&amp;盘货信息!$B:$B&amp;盘货信息!$C:$C,盘货信息!$O:$O),"\d+"),1,1)&amp;"元优惠券下单更优惠，优惠卷："&amp;_xlfn.XLOOKUP(A347&amp;B347&amp;C347,盘货信息!$A:$A&amp;盘货信息!$B:$B&amp;盘货信息!$C:$C,盘货信息!$P:$P))</f>
        <v/>
      </c>
      <c r="N347" s="18" t="str">
        <f t="array" ref="N347">IF(AND(ISNUMBER(_xlfn.XLOOKUP(A347&amp;B347&amp;C347,盘货信息!$A:$A&amp;盘货信息!$B:$B&amp;盘货信息!$C:$C,盘货信息!$I:$I)),_xlfn.XLOOKUP(A347&amp;B347&amp;C347,盘货信息!$A:$A&amp;盘货信息!$B:$B&amp;盘货信息!$C:$C,盘货信息!$I:$I)&gt;1),"【88VIP】立减"&amp;_xlfn.XLOOKUP(A347&amp;B347&amp;C347,盘货信息!$A:$A&amp;盘货信息!$B:$B&amp;盘货信息!$C:$C,盘货信息!$I:$I)&amp;"元","")</f>
        <v/>
      </c>
      <c r="O347" s="18" t="str">
        <f t="array" ref="O347">IF(_xlfn.XLOOKUP(A347&amp;B347&amp;C347,盘货信息!$A:$A&amp;盘货信息!$B:$B&amp;盘货信息!$C:$C,盘货信息!$K:$K)="","",IF(AND(_xlfn.XLOOKUP(A347&amp;B347&amp;C347,盘货信息!$A:$A&amp;盘货信息!$B:$B&amp;盘货信息!$C:$C,盘货信息!$G:$G)="不参加",_xlfn.XLOOKUP(A347&amp;B347&amp;C347,盘货信息!$A:$A&amp;盘货信息!$B:$B&amp;盘货信息!$C:$C,盘货信息!$H:$H)=""),"【以旧换新】"&amp;_xlfn.XLOOKUP(A347&amp;B347&amp;C347,盘货信息!$A:$A&amp;盘货信息!$B:$B&amp;盘货信息!$C:$C,盘货信息!$K:$K)&amp;"元以旧换新补贴（可无旧机换新）",""))</f>
        <v/>
      </c>
      <c r="P347" s="18" t="str">
        <f t="array" ref="P347">_xlfn.XLOOKUP(A347&amp;B347&amp;C347,赠品!$A:$A&amp;赠品!$B:$B&amp;赠品!$C:$C,赠品!$D:$D)</f>
        <v/>
      </c>
      <c r="Q347" s="18" t="str">
        <f>IF($C347="","",IF(AND(M347="",N347="",P347=""),"",固定信息!$B$1))</f>
        <v/>
      </c>
      <c r="R347" s="18" t="str">
        <f t="array" ref="R347">IF(ISNUMBER(SEARCH("是",_xlfn.XLOOKUP(A347&amp;B347&amp;C347,盘货信息!$A:$A&amp;盘货信息!$B:$B&amp;盘货信息!$C:$C,盘货信息!$U:$U))),"【折扣】指定型号满2类享96折，满3类享94折","")</f>
        <v/>
      </c>
      <c r="S347" s="18" t="str">
        <f t="array" ref="S347">IF(_xlfn.XLOOKUP(A347&amp;B347&amp;C347,盘货信息!$A:$A&amp;盘货信息!$B:$B&amp;盘货信息!$C:$C,盘货信息!$Q:$Q)&lt;1,"","【红包】活动时间购机送"&amp;_xlfn.TEXTJOIN("",,IF(ISNUMBER(--MID(_xlfn.XLOOKUP(A347&amp;B347&amp;C347,盘货信息!$A:$A&amp;盘货信息!$B:$B&amp;盘货信息!$C:$C,盘货信息!$Q:$Q),_xlfn.SEQUENCE(LEN(_xlfn.XLOOKUP(A347&amp;B347&amp;C347,盘货信息!$A:$A&amp;盘货信息!$B:$B&amp;盘货信息!$C:$C,盘货信息!$Q:$Q))),1)),MID(_xlfn.XLOOKUP(A347&amp;B347&amp;C347,盘货信息!$A:$A&amp;盘货信息!$B:$B&amp;盘货信息!$C:$C,盘货信息!$Q:$Q),_xlfn.SEQUENCE(LEN(_xlfn.XLOOKUP(A347&amp;B347&amp;C347,盘货信息!$A:$A&amp;盘货信息!$B:$B&amp;盘货信息!$C:$C,盘货信息!$Q:$Q))),1),""))&amp;"元")</f>
        <v/>
      </c>
      <c r="T347" s="18" t="str">
        <f t="array" ref="T347">IF(ISNUMBER(SEARCH("是",_xlfn.XLOOKUP(A347&amp;B347&amp;C347,盘货信息!$A:$A&amp;盘货信息!$B:$B&amp;盘货信息!$C:$C,盘货信息!$T:$T))),"【瓜分】"&amp;固定信息!$B$7,"")</f>
        <v/>
      </c>
      <c r="U347" s="18" t="str">
        <f>IF($C347="","",IF(AND(R347="",S347="",T347=""),"",固定信息!$B$1))</f>
        <v/>
      </c>
      <c r="V347" s="18" t="str">
        <f t="array" ref="V347">IF(C347="","","【服务】"&amp;IF(_xlfn.XLOOKUP(A347&amp;B347&amp;C347,盘货信息!$A:$A&amp;盘货信息!$B:$B&amp;盘货信息!$C:$C,盘货信息!$V:$V)="","",_xlfn.XLOOKUP(A347&amp;B347&amp;C347,盘货信息!$A:$A&amp;盘货信息!$B:$B&amp;盘货信息!$C:$C,盘货信息!$V:$V)&amp;"免息,")&amp;IF(_xlfn.XLOOKUP(A347&amp;B347&amp;C347,盘货信息!$A:$A&amp;盘货信息!$B:$B&amp;盘货信息!$C:$C,盘货信息!$W:$W)="","",_xlfn.XLOOKUP(A347&amp;B347&amp;C347,盘货信息!$A:$A&amp;盘货信息!$B:$B&amp;盘货信息!$C:$C,盘货信息!$W:$W)&amp;"，")&amp;"送货入户，退换免运费")</f>
        <v/>
      </c>
    </row>
    <row r="348" customHeight="1" spans="1:22">
      <c r="A348" s="17" t="str">
        <f>IF(盘货信息!A348="","",盘货信息!A348)</f>
        <v/>
      </c>
      <c r="B348" s="20" t="str">
        <f>IF(盘货信息!B348="","",盘货信息!B348)</f>
        <v/>
      </c>
      <c r="C348" s="18" t="str">
        <f>IF(盘货信息!C348="","",盘货信息!C348)</f>
        <v/>
      </c>
      <c r="D348" s="18" t="str">
        <f ca="1" t="shared" si="5"/>
        <v/>
      </c>
      <c r="E348" s="18" t="str">
        <f>IF(C348="","",固定信息!$B$2)</f>
        <v/>
      </c>
      <c r="F348" s="18" t="str">
        <f t="array" ref="F348">IF(C348="","","【"&amp;C348&amp;"】"&amp;_xlfn.XLOOKUP(A348&amp;B348&amp;C348,盘货信息!$A:$A&amp;盘货信息!$B:$B&amp;盘货信息!$C:$C,盘货信息!$D:$D))</f>
        <v/>
      </c>
      <c r="G348" s="18" t="str">
        <f>IF(C348="","","【"&amp;"活动时间："&amp;固定信息!$B$3&amp;"】")</f>
        <v/>
      </c>
      <c r="H348" s="18" t="str">
        <f>IF($C348="","",固定信息!$B$1)</f>
        <v/>
      </c>
      <c r="I348" s="18"/>
      <c r="J348" s="18" t="str">
        <f t="array" ref="J348">_xlfn.XLOOKUP(A348&amp;B348&amp;C348,价格信息!$A:$A&amp;价格信息!$B:$B&amp;价格信息!$C:$C,价格信息!$D:$D)</f>
        <v/>
      </c>
      <c r="K348" s="31" t="str">
        <f t="array" ref="K348">IF(_xlfn.XLOOKUP(A348&amp;B348&amp;C348,价格信息!$A:$A&amp;价格信息!$B:$B&amp;价格信息!$C:$C,价格信息!$I:$I)="","","【优惠券链接】"&amp;固定信息!$B$6)</f>
        <v/>
      </c>
      <c r="L348" s="31" t="str">
        <f>IF($C348="","",固定信息!$B$1)</f>
        <v/>
      </c>
      <c r="M348" s="18" t="str">
        <f t="array" ref="M348">IF(_xlfn.XLOOKUP(A348&amp;B348&amp;C348,盘货信息!$A:$A&amp;盘货信息!$B:$B&amp;盘货信息!$C:$C,盘货信息!$O:$O)="","","【优惠券】领"&amp;INDEX(_wpsfn.REGEXP(_xlfn.XLOOKUP(A348&amp;B348&amp;C348,盘货信息!$A:$A&amp;盘货信息!$B:$B&amp;盘货信息!$C:$C,盘货信息!$O:$O),"\d+"),1,1)&amp;"元优惠券下单更优惠，优惠卷："&amp;_xlfn.XLOOKUP(A348&amp;B348&amp;C348,盘货信息!$A:$A&amp;盘货信息!$B:$B&amp;盘货信息!$C:$C,盘货信息!$P:$P))</f>
        <v/>
      </c>
      <c r="N348" s="18" t="str">
        <f t="array" ref="N348">IF(AND(ISNUMBER(_xlfn.XLOOKUP(A348&amp;B348&amp;C348,盘货信息!$A:$A&amp;盘货信息!$B:$B&amp;盘货信息!$C:$C,盘货信息!$I:$I)),_xlfn.XLOOKUP(A348&amp;B348&amp;C348,盘货信息!$A:$A&amp;盘货信息!$B:$B&amp;盘货信息!$C:$C,盘货信息!$I:$I)&gt;1),"【88VIP】立减"&amp;_xlfn.XLOOKUP(A348&amp;B348&amp;C348,盘货信息!$A:$A&amp;盘货信息!$B:$B&amp;盘货信息!$C:$C,盘货信息!$I:$I)&amp;"元","")</f>
        <v/>
      </c>
      <c r="O348" s="18" t="str">
        <f t="array" ref="O348">IF(_xlfn.XLOOKUP(A348&amp;B348&amp;C348,盘货信息!$A:$A&amp;盘货信息!$B:$B&amp;盘货信息!$C:$C,盘货信息!$K:$K)="","",IF(AND(_xlfn.XLOOKUP(A348&amp;B348&amp;C348,盘货信息!$A:$A&amp;盘货信息!$B:$B&amp;盘货信息!$C:$C,盘货信息!$G:$G)="不参加",_xlfn.XLOOKUP(A348&amp;B348&amp;C348,盘货信息!$A:$A&amp;盘货信息!$B:$B&amp;盘货信息!$C:$C,盘货信息!$H:$H)=""),"【以旧换新】"&amp;_xlfn.XLOOKUP(A348&amp;B348&amp;C348,盘货信息!$A:$A&amp;盘货信息!$B:$B&amp;盘货信息!$C:$C,盘货信息!$K:$K)&amp;"元以旧换新补贴（可无旧机换新）",""))</f>
        <v/>
      </c>
      <c r="P348" s="18" t="str">
        <f t="array" ref="P348">_xlfn.XLOOKUP(A348&amp;B348&amp;C348,赠品!$A:$A&amp;赠品!$B:$B&amp;赠品!$C:$C,赠品!$D:$D)</f>
        <v/>
      </c>
      <c r="Q348" s="18" t="str">
        <f>IF($C348="","",IF(AND(M348="",N348="",P348=""),"",固定信息!$B$1))</f>
        <v/>
      </c>
      <c r="R348" s="18" t="str">
        <f t="array" ref="R348">IF(ISNUMBER(SEARCH("是",_xlfn.XLOOKUP(A348&amp;B348&amp;C348,盘货信息!$A:$A&amp;盘货信息!$B:$B&amp;盘货信息!$C:$C,盘货信息!$U:$U))),"【折扣】指定型号满2类享96折，满3类享94折","")</f>
        <v/>
      </c>
      <c r="S348" s="18" t="str">
        <f t="array" ref="S348">IF(_xlfn.XLOOKUP(A348&amp;B348&amp;C348,盘货信息!$A:$A&amp;盘货信息!$B:$B&amp;盘货信息!$C:$C,盘货信息!$Q:$Q)&lt;1,"","【红包】活动时间购机送"&amp;_xlfn.TEXTJOIN("",,IF(ISNUMBER(--MID(_xlfn.XLOOKUP(A348&amp;B348&amp;C348,盘货信息!$A:$A&amp;盘货信息!$B:$B&amp;盘货信息!$C:$C,盘货信息!$Q:$Q),_xlfn.SEQUENCE(LEN(_xlfn.XLOOKUP(A348&amp;B348&amp;C348,盘货信息!$A:$A&amp;盘货信息!$B:$B&amp;盘货信息!$C:$C,盘货信息!$Q:$Q))),1)),MID(_xlfn.XLOOKUP(A348&amp;B348&amp;C348,盘货信息!$A:$A&amp;盘货信息!$B:$B&amp;盘货信息!$C:$C,盘货信息!$Q:$Q),_xlfn.SEQUENCE(LEN(_xlfn.XLOOKUP(A348&amp;B348&amp;C348,盘货信息!$A:$A&amp;盘货信息!$B:$B&amp;盘货信息!$C:$C,盘货信息!$Q:$Q))),1),""))&amp;"元")</f>
        <v/>
      </c>
      <c r="T348" s="18" t="str">
        <f t="array" ref="T348">IF(ISNUMBER(SEARCH("是",_xlfn.XLOOKUP(A348&amp;B348&amp;C348,盘货信息!$A:$A&amp;盘货信息!$B:$B&amp;盘货信息!$C:$C,盘货信息!$T:$T))),"【瓜分】"&amp;固定信息!$B$7,"")</f>
        <v/>
      </c>
      <c r="U348" s="18" t="str">
        <f>IF($C348="","",IF(AND(R348="",S348="",T348=""),"",固定信息!$B$1))</f>
        <v/>
      </c>
      <c r="V348" s="18" t="str">
        <f t="array" ref="V348">IF(C348="","","【服务】"&amp;IF(_xlfn.XLOOKUP(A348&amp;B348&amp;C348,盘货信息!$A:$A&amp;盘货信息!$B:$B&amp;盘货信息!$C:$C,盘货信息!$V:$V)="","",_xlfn.XLOOKUP(A348&amp;B348&amp;C348,盘货信息!$A:$A&amp;盘货信息!$B:$B&amp;盘货信息!$C:$C,盘货信息!$V:$V)&amp;"免息,")&amp;IF(_xlfn.XLOOKUP(A348&amp;B348&amp;C348,盘货信息!$A:$A&amp;盘货信息!$B:$B&amp;盘货信息!$C:$C,盘货信息!$W:$W)="","",_xlfn.XLOOKUP(A348&amp;B348&amp;C348,盘货信息!$A:$A&amp;盘货信息!$B:$B&amp;盘货信息!$C:$C,盘货信息!$W:$W)&amp;"，")&amp;"送货入户，退换免运费")</f>
        <v/>
      </c>
    </row>
    <row r="349" customHeight="1" spans="1:22">
      <c r="A349" s="17" t="str">
        <f>IF(盘货信息!A349="","",盘货信息!A349)</f>
        <v/>
      </c>
      <c r="B349" s="20" t="str">
        <f>IF(盘货信息!B349="","",盘货信息!B349)</f>
        <v/>
      </c>
      <c r="C349" s="18" t="str">
        <f>IF(盘货信息!C349="","",盘货信息!C349)</f>
        <v/>
      </c>
      <c r="D349" s="18" t="str">
        <f ca="1" t="shared" si="5"/>
        <v/>
      </c>
      <c r="E349" s="18" t="str">
        <f>IF(C349="","",固定信息!$B$2)</f>
        <v/>
      </c>
      <c r="F349" s="18" t="str">
        <f t="array" ref="F349">IF(C349="","","【"&amp;C349&amp;"】"&amp;_xlfn.XLOOKUP(A349&amp;B349&amp;C349,盘货信息!$A:$A&amp;盘货信息!$B:$B&amp;盘货信息!$C:$C,盘货信息!$D:$D))</f>
        <v/>
      </c>
      <c r="G349" s="18" t="str">
        <f>IF(C349="","","【"&amp;"活动时间："&amp;固定信息!$B$3&amp;"】")</f>
        <v/>
      </c>
      <c r="H349" s="18" t="str">
        <f>IF($C349="","",固定信息!$B$1)</f>
        <v/>
      </c>
      <c r="I349" s="18"/>
      <c r="J349" s="18" t="str">
        <f t="array" ref="J349">_xlfn.XLOOKUP(A349&amp;B349&amp;C349,价格信息!$A:$A&amp;价格信息!$B:$B&amp;价格信息!$C:$C,价格信息!$D:$D)</f>
        <v/>
      </c>
      <c r="K349" s="31" t="str">
        <f t="array" ref="K349">IF(_xlfn.XLOOKUP(A349&amp;B349&amp;C349,价格信息!$A:$A&amp;价格信息!$B:$B&amp;价格信息!$C:$C,价格信息!$I:$I)="","","【优惠券链接】"&amp;固定信息!$B$6)</f>
        <v/>
      </c>
      <c r="L349" s="31" t="str">
        <f>IF($C349="","",固定信息!$B$1)</f>
        <v/>
      </c>
      <c r="M349" s="18" t="str">
        <f t="array" ref="M349">IF(_xlfn.XLOOKUP(A349&amp;B349&amp;C349,盘货信息!$A:$A&amp;盘货信息!$B:$B&amp;盘货信息!$C:$C,盘货信息!$O:$O)="","","【优惠券】领"&amp;INDEX(_wpsfn.REGEXP(_xlfn.XLOOKUP(A349&amp;B349&amp;C349,盘货信息!$A:$A&amp;盘货信息!$B:$B&amp;盘货信息!$C:$C,盘货信息!$O:$O),"\d+"),1,1)&amp;"元优惠券下单更优惠，优惠卷："&amp;_xlfn.XLOOKUP(A349&amp;B349&amp;C349,盘货信息!$A:$A&amp;盘货信息!$B:$B&amp;盘货信息!$C:$C,盘货信息!$P:$P))</f>
        <v/>
      </c>
      <c r="N349" s="18" t="str">
        <f t="array" ref="N349">IF(AND(ISNUMBER(_xlfn.XLOOKUP(A349&amp;B349&amp;C349,盘货信息!$A:$A&amp;盘货信息!$B:$B&amp;盘货信息!$C:$C,盘货信息!$I:$I)),_xlfn.XLOOKUP(A349&amp;B349&amp;C349,盘货信息!$A:$A&amp;盘货信息!$B:$B&amp;盘货信息!$C:$C,盘货信息!$I:$I)&gt;1),"【88VIP】立减"&amp;_xlfn.XLOOKUP(A349&amp;B349&amp;C349,盘货信息!$A:$A&amp;盘货信息!$B:$B&amp;盘货信息!$C:$C,盘货信息!$I:$I)&amp;"元","")</f>
        <v/>
      </c>
      <c r="O349" s="18" t="str">
        <f t="array" ref="O349">IF(_xlfn.XLOOKUP(A349&amp;B349&amp;C349,盘货信息!$A:$A&amp;盘货信息!$B:$B&amp;盘货信息!$C:$C,盘货信息!$K:$K)="","",IF(AND(_xlfn.XLOOKUP(A349&amp;B349&amp;C349,盘货信息!$A:$A&amp;盘货信息!$B:$B&amp;盘货信息!$C:$C,盘货信息!$G:$G)="不参加",_xlfn.XLOOKUP(A349&amp;B349&amp;C349,盘货信息!$A:$A&amp;盘货信息!$B:$B&amp;盘货信息!$C:$C,盘货信息!$H:$H)=""),"【以旧换新】"&amp;_xlfn.XLOOKUP(A349&amp;B349&amp;C349,盘货信息!$A:$A&amp;盘货信息!$B:$B&amp;盘货信息!$C:$C,盘货信息!$K:$K)&amp;"元以旧换新补贴（可无旧机换新）",""))</f>
        <v/>
      </c>
      <c r="P349" s="18" t="str">
        <f t="array" ref="P349">_xlfn.XLOOKUP(A349&amp;B349&amp;C349,赠品!$A:$A&amp;赠品!$B:$B&amp;赠品!$C:$C,赠品!$D:$D)</f>
        <v/>
      </c>
      <c r="Q349" s="18" t="str">
        <f>IF($C349="","",IF(AND(M349="",N349="",P349=""),"",固定信息!$B$1))</f>
        <v/>
      </c>
      <c r="R349" s="18" t="str">
        <f t="array" ref="R349">IF(ISNUMBER(SEARCH("是",_xlfn.XLOOKUP(A349&amp;B349&amp;C349,盘货信息!$A:$A&amp;盘货信息!$B:$B&amp;盘货信息!$C:$C,盘货信息!$U:$U))),"【折扣】指定型号满2类享96折，满3类享94折","")</f>
        <v/>
      </c>
      <c r="S349" s="18" t="str">
        <f t="array" ref="S349">IF(_xlfn.XLOOKUP(A349&amp;B349&amp;C349,盘货信息!$A:$A&amp;盘货信息!$B:$B&amp;盘货信息!$C:$C,盘货信息!$Q:$Q)&lt;1,"","【红包】活动时间购机送"&amp;_xlfn.TEXTJOIN("",,IF(ISNUMBER(--MID(_xlfn.XLOOKUP(A349&amp;B349&amp;C349,盘货信息!$A:$A&amp;盘货信息!$B:$B&amp;盘货信息!$C:$C,盘货信息!$Q:$Q),_xlfn.SEQUENCE(LEN(_xlfn.XLOOKUP(A349&amp;B349&amp;C349,盘货信息!$A:$A&amp;盘货信息!$B:$B&amp;盘货信息!$C:$C,盘货信息!$Q:$Q))),1)),MID(_xlfn.XLOOKUP(A349&amp;B349&amp;C349,盘货信息!$A:$A&amp;盘货信息!$B:$B&amp;盘货信息!$C:$C,盘货信息!$Q:$Q),_xlfn.SEQUENCE(LEN(_xlfn.XLOOKUP(A349&amp;B349&amp;C349,盘货信息!$A:$A&amp;盘货信息!$B:$B&amp;盘货信息!$C:$C,盘货信息!$Q:$Q))),1),""))&amp;"元")</f>
        <v/>
      </c>
      <c r="T349" s="18" t="str">
        <f t="array" ref="T349">IF(ISNUMBER(SEARCH("是",_xlfn.XLOOKUP(A349&amp;B349&amp;C349,盘货信息!$A:$A&amp;盘货信息!$B:$B&amp;盘货信息!$C:$C,盘货信息!$T:$T))),"【瓜分】"&amp;固定信息!$B$7,"")</f>
        <v/>
      </c>
      <c r="U349" s="18" t="str">
        <f>IF($C349="","",IF(AND(R349="",S349="",T349=""),"",固定信息!$B$1))</f>
        <v/>
      </c>
      <c r="V349" s="18" t="str">
        <f t="array" ref="V349">IF(C349="","","【服务】"&amp;IF(_xlfn.XLOOKUP(A349&amp;B349&amp;C349,盘货信息!$A:$A&amp;盘货信息!$B:$B&amp;盘货信息!$C:$C,盘货信息!$V:$V)="","",_xlfn.XLOOKUP(A349&amp;B349&amp;C349,盘货信息!$A:$A&amp;盘货信息!$B:$B&amp;盘货信息!$C:$C,盘货信息!$V:$V)&amp;"免息,")&amp;IF(_xlfn.XLOOKUP(A349&amp;B349&amp;C349,盘货信息!$A:$A&amp;盘货信息!$B:$B&amp;盘货信息!$C:$C,盘货信息!$W:$W)="","",_xlfn.XLOOKUP(A349&amp;B349&amp;C349,盘货信息!$A:$A&amp;盘货信息!$B:$B&amp;盘货信息!$C:$C,盘货信息!$W:$W)&amp;"，")&amp;"送货入户，退换免运费")</f>
        <v/>
      </c>
    </row>
    <row r="350" customHeight="1" spans="1:22">
      <c r="A350" s="17" t="str">
        <f>IF(盘货信息!A350="","",盘货信息!A350)</f>
        <v/>
      </c>
      <c r="B350" s="20" t="str">
        <f>IF(盘货信息!B350="","",盘货信息!B350)</f>
        <v/>
      </c>
      <c r="C350" s="18" t="str">
        <f>IF(盘货信息!C350="","",盘货信息!C350)</f>
        <v/>
      </c>
      <c r="D350" s="18" t="str">
        <f ca="1" t="shared" si="5"/>
        <v/>
      </c>
      <c r="E350" s="18" t="str">
        <f>IF(C350="","",固定信息!$B$2)</f>
        <v/>
      </c>
      <c r="F350" s="18" t="str">
        <f t="array" ref="F350">IF(C350="","","【"&amp;C350&amp;"】"&amp;_xlfn.XLOOKUP(A350&amp;B350&amp;C350,盘货信息!$A:$A&amp;盘货信息!$B:$B&amp;盘货信息!$C:$C,盘货信息!$D:$D))</f>
        <v/>
      </c>
      <c r="G350" s="18" t="str">
        <f>IF(C350="","","【"&amp;"活动时间："&amp;固定信息!$B$3&amp;"】")</f>
        <v/>
      </c>
      <c r="H350" s="18" t="str">
        <f>IF($C350="","",固定信息!$B$1)</f>
        <v/>
      </c>
      <c r="I350" s="18"/>
      <c r="J350" s="18" t="str">
        <f t="array" ref="J350">_xlfn.XLOOKUP(A350&amp;B350&amp;C350,价格信息!$A:$A&amp;价格信息!$B:$B&amp;价格信息!$C:$C,价格信息!$D:$D)</f>
        <v/>
      </c>
      <c r="K350" s="31" t="str">
        <f t="array" ref="K350">IF(_xlfn.XLOOKUP(A350&amp;B350&amp;C350,价格信息!$A:$A&amp;价格信息!$B:$B&amp;价格信息!$C:$C,价格信息!$I:$I)="","","【优惠券链接】"&amp;固定信息!$B$6)</f>
        <v/>
      </c>
      <c r="L350" s="31" t="str">
        <f>IF($C350="","",固定信息!$B$1)</f>
        <v/>
      </c>
      <c r="M350" s="18" t="str">
        <f t="array" ref="M350">IF(_xlfn.XLOOKUP(A350&amp;B350&amp;C350,盘货信息!$A:$A&amp;盘货信息!$B:$B&amp;盘货信息!$C:$C,盘货信息!$O:$O)="","","【优惠券】领"&amp;INDEX(_wpsfn.REGEXP(_xlfn.XLOOKUP(A350&amp;B350&amp;C350,盘货信息!$A:$A&amp;盘货信息!$B:$B&amp;盘货信息!$C:$C,盘货信息!$O:$O),"\d+"),1,1)&amp;"元优惠券下单更优惠，优惠卷："&amp;_xlfn.XLOOKUP(A350&amp;B350&amp;C350,盘货信息!$A:$A&amp;盘货信息!$B:$B&amp;盘货信息!$C:$C,盘货信息!$P:$P))</f>
        <v/>
      </c>
      <c r="N350" s="18" t="str">
        <f t="array" ref="N350">IF(AND(ISNUMBER(_xlfn.XLOOKUP(A350&amp;B350&amp;C350,盘货信息!$A:$A&amp;盘货信息!$B:$B&amp;盘货信息!$C:$C,盘货信息!$I:$I)),_xlfn.XLOOKUP(A350&amp;B350&amp;C350,盘货信息!$A:$A&amp;盘货信息!$B:$B&amp;盘货信息!$C:$C,盘货信息!$I:$I)&gt;1),"【88VIP】立减"&amp;_xlfn.XLOOKUP(A350&amp;B350&amp;C350,盘货信息!$A:$A&amp;盘货信息!$B:$B&amp;盘货信息!$C:$C,盘货信息!$I:$I)&amp;"元","")</f>
        <v/>
      </c>
      <c r="O350" s="18" t="str">
        <f t="array" ref="O350">IF(_xlfn.XLOOKUP(A350&amp;B350&amp;C350,盘货信息!$A:$A&amp;盘货信息!$B:$B&amp;盘货信息!$C:$C,盘货信息!$K:$K)="","",IF(AND(_xlfn.XLOOKUP(A350&amp;B350&amp;C350,盘货信息!$A:$A&amp;盘货信息!$B:$B&amp;盘货信息!$C:$C,盘货信息!$G:$G)="不参加",_xlfn.XLOOKUP(A350&amp;B350&amp;C350,盘货信息!$A:$A&amp;盘货信息!$B:$B&amp;盘货信息!$C:$C,盘货信息!$H:$H)=""),"【以旧换新】"&amp;_xlfn.XLOOKUP(A350&amp;B350&amp;C350,盘货信息!$A:$A&amp;盘货信息!$B:$B&amp;盘货信息!$C:$C,盘货信息!$K:$K)&amp;"元以旧换新补贴（可无旧机换新）",""))</f>
        <v/>
      </c>
      <c r="P350" s="18" t="str">
        <f t="array" ref="P350">_xlfn.XLOOKUP(A350&amp;B350&amp;C350,赠品!$A:$A&amp;赠品!$B:$B&amp;赠品!$C:$C,赠品!$D:$D)</f>
        <v/>
      </c>
      <c r="Q350" s="18" t="str">
        <f>IF($C350="","",IF(AND(M350="",N350="",P350=""),"",固定信息!$B$1))</f>
        <v/>
      </c>
      <c r="R350" s="18" t="str">
        <f t="array" ref="R350">IF(ISNUMBER(SEARCH("是",_xlfn.XLOOKUP(A350&amp;B350&amp;C350,盘货信息!$A:$A&amp;盘货信息!$B:$B&amp;盘货信息!$C:$C,盘货信息!$U:$U))),"【折扣】指定型号满2类享96折，满3类享94折","")</f>
        <v/>
      </c>
      <c r="S350" s="18" t="str">
        <f t="array" ref="S350">IF(_xlfn.XLOOKUP(A350&amp;B350&amp;C350,盘货信息!$A:$A&amp;盘货信息!$B:$B&amp;盘货信息!$C:$C,盘货信息!$Q:$Q)&lt;1,"","【红包】活动时间购机送"&amp;_xlfn.TEXTJOIN("",,IF(ISNUMBER(--MID(_xlfn.XLOOKUP(A350&amp;B350&amp;C350,盘货信息!$A:$A&amp;盘货信息!$B:$B&amp;盘货信息!$C:$C,盘货信息!$Q:$Q),_xlfn.SEQUENCE(LEN(_xlfn.XLOOKUP(A350&amp;B350&amp;C350,盘货信息!$A:$A&amp;盘货信息!$B:$B&amp;盘货信息!$C:$C,盘货信息!$Q:$Q))),1)),MID(_xlfn.XLOOKUP(A350&amp;B350&amp;C350,盘货信息!$A:$A&amp;盘货信息!$B:$B&amp;盘货信息!$C:$C,盘货信息!$Q:$Q),_xlfn.SEQUENCE(LEN(_xlfn.XLOOKUP(A350&amp;B350&amp;C350,盘货信息!$A:$A&amp;盘货信息!$B:$B&amp;盘货信息!$C:$C,盘货信息!$Q:$Q))),1),""))&amp;"元")</f>
        <v/>
      </c>
      <c r="T350" s="18" t="str">
        <f t="array" ref="T350">IF(ISNUMBER(SEARCH("是",_xlfn.XLOOKUP(A350&amp;B350&amp;C350,盘货信息!$A:$A&amp;盘货信息!$B:$B&amp;盘货信息!$C:$C,盘货信息!$T:$T))),"【瓜分】"&amp;固定信息!$B$7,"")</f>
        <v/>
      </c>
      <c r="U350" s="18" t="str">
        <f>IF($C350="","",IF(AND(R350="",S350="",T350=""),"",固定信息!$B$1))</f>
        <v/>
      </c>
      <c r="V350" s="18" t="str">
        <f t="array" ref="V350">IF(C350="","","【服务】"&amp;IF(_xlfn.XLOOKUP(A350&amp;B350&amp;C350,盘货信息!$A:$A&amp;盘货信息!$B:$B&amp;盘货信息!$C:$C,盘货信息!$V:$V)="","",_xlfn.XLOOKUP(A350&amp;B350&amp;C350,盘货信息!$A:$A&amp;盘货信息!$B:$B&amp;盘货信息!$C:$C,盘货信息!$V:$V)&amp;"免息,")&amp;IF(_xlfn.XLOOKUP(A350&amp;B350&amp;C350,盘货信息!$A:$A&amp;盘货信息!$B:$B&amp;盘货信息!$C:$C,盘货信息!$W:$W)="","",_xlfn.XLOOKUP(A350&amp;B350&amp;C350,盘货信息!$A:$A&amp;盘货信息!$B:$B&amp;盘货信息!$C:$C,盘货信息!$W:$W)&amp;"，")&amp;"送货入户，退换免运费")</f>
        <v/>
      </c>
    </row>
    <row r="351" customHeight="1" spans="1:22">
      <c r="A351" s="17" t="str">
        <f>IF(盘货信息!A351="","",盘货信息!A351)</f>
        <v/>
      </c>
      <c r="B351" s="20" t="str">
        <f>IF(盘货信息!B351="","",盘货信息!B351)</f>
        <v/>
      </c>
      <c r="C351" s="18" t="str">
        <f>IF(盘货信息!C351="","",盘货信息!C351)</f>
        <v/>
      </c>
      <c r="D351" s="18" t="str">
        <f ca="1" t="shared" si="5"/>
        <v/>
      </c>
      <c r="E351" s="18" t="str">
        <f>IF(C351="","",固定信息!$B$2)</f>
        <v/>
      </c>
      <c r="F351" s="18" t="str">
        <f t="array" ref="F351">IF(C351="","","【"&amp;C351&amp;"】"&amp;_xlfn.XLOOKUP(A351&amp;B351&amp;C351,盘货信息!$A:$A&amp;盘货信息!$B:$B&amp;盘货信息!$C:$C,盘货信息!$D:$D))</f>
        <v/>
      </c>
      <c r="G351" s="18" t="str">
        <f>IF(C351="","","【"&amp;"活动时间："&amp;固定信息!$B$3&amp;"】")</f>
        <v/>
      </c>
      <c r="H351" s="18" t="str">
        <f>IF($C351="","",固定信息!$B$1)</f>
        <v/>
      </c>
      <c r="I351" s="18"/>
      <c r="J351" s="18" t="str">
        <f t="array" ref="J351">_xlfn.XLOOKUP(A351&amp;B351&amp;C351,价格信息!$A:$A&amp;价格信息!$B:$B&amp;价格信息!$C:$C,价格信息!$D:$D)</f>
        <v/>
      </c>
      <c r="K351" s="31" t="str">
        <f t="array" ref="K351">IF(_xlfn.XLOOKUP(A351&amp;B351&amp;C351,价格信息!$A:$A&amp;价格信息!$B:$B&amp;价格信息!$C:$C,价格信息!$I:$I)="","","【优惠券链接】"&amp;固定信息!$B$6)</f>
        <v/>
      </c>
      <c r="L351" s="31" t="str">
        <f>IF($C351="","",固定信息!$B$1)</f>
        <v/>
      </c>
      <c r="M351" s="18" t="str">
        <f t="array" ref="M351">IF(_xlfn.XLOOKUP(A351&amp;B351&amp;C351,盘货信息!$A:$A&amp;盘货信息!$B:$B&amp;盘货信息!$C:$C,盘货信息!$O:$O)="","","【优惠券】领"&amp;INDEX(_wpsfn.REGEXP(_xlfn.XLOOKUP(A351&amp;B351&amp;C351,盘货信息!$A:$A&amp;盘货信息!$B:$B&amp;盘货信息!$C:$C,盘货信息!$O:$O),"\d+"),1,1)&amp;"元优惠券下单更优惠，优惠卷："&amp;_xlfn.XLOOKUP(A351&amp;B351&amp;C351,盘货信息!$A:$A&amp;盘货信息!$B:$B&amp;盘货信息!$C:$C,盘货信息!$P:$P))</f>
        <v/>
      </c>
      <c r="N351" s="18" t="str">
        <f t="array" ref="N351">IF(AND(ISNUMBER(_xlfn.XLOOKUP(A351&amp;B351&amp;C351,盘货信息!$A:$A&amp;盘货信息!$B:$B&amp;盘货信息!$C:$C,盘货信息!$I:$I)),_xlfn.XLOOKUP(A351&amp;B351&amp;C351,盘货信息!$A:$A&amp;盘货信息!$B:$B&amp;盘货信息!$C:$C,盘货信息!$I:$I)&gt;1),"【88VIP】立减"&amp;_xlfn.XLOOKUP(A351&amp;B351&amp;C351,盘货信息!$A:$A&amp;盘货信息!$B:$B&amp;盘货信息!$C:$C,盘货信息!$I:$I)&amp;"元","")</f>
        <v/>
      </c>
      <c r="O351" s="18" t="str">
        <f t="array" ref="O351">IF(_xlfn.XLOOKUP(A351&amp;B351&amp;C351,盘货信息!$A:$A&amp;盘货信息!$B:$B&amp;盘货信息!$C:$C,盘货信息!$K:$K)="","",IF(AND(_xlfn.XLOOKUP(A351&amp;B351&amp;C351,盘货信息!$A:$A&amp;盘货信息!$B:$B&amp;盘货信息!$C:$C,盘货信息!$G:$G)="不参加",_xlfn.XLOOKUP(A351&amp;B351&amp;C351,盘货信息!$A:$A&amp;盘货信息!$B:$B&amp;盘货信息!$C:$C,盘货信息!$H:$H)=""),"【以旧换新】"&amp;_xlfn.XLOOKUP(A351&amp;B351&amp;C351,盘货信息!$A:$A&amp;盘货信息!$B:$B&amp;盘货信息!$C:$C,盘货信息!$K:$K)&amp;"元以旧换新补贴（可无旧机换新）",""))</f>
        <v/>
      </c>
      <c r="P351" s="18" t="str">
        <f t="array" ref="P351">_xlfn.XLOOKUP(A351&amp;B351&amp;C351,赠品!$A:$A&amp;赠品!$B:$B&amp;赠品!$C:$C,赠品!$D:$D)</f>
        <v/>
      </c>
      <c r="Q351" s="18" t="str">
        <f>IF($C351="","",IF(AND(M351="",N351="",P351=""),"",固定信息!$B$1))</f>
        <v/>
      </c>
      <c r="R351" s="18" t="str">
        <f t="array" ref="R351">IF(ISNUMBER(SEARCH("是",_xlfn.XLOOKUP(A351&amp;B351&amp;C351,盘货信息!$A:$A&amp;盘货信息!$B:$B&amp;盘货信息!$C:$C,盘货信息!$U:$U))),"【折扣】指定型号满2类享96折，满3类享94折","")</f>
        <v/>
      </c>
      <c r="S351" s="18" t="str">
        <f t="array" ref="S351">IF(_xlfn.XLOOKUP(A351&amp;B351&amp;C351,盘货信息!$A:$A&amp;盘货信息!$B:$B&amp;盘货信息!$C:$C,盘货信息!$Q:$Q)&lt;1,"","【红包】活动时间购机送"&amp;_xlfn.TEXTJOIN("",,IF(ISNUMBER(--MID(_xlfn.XLOOKUP(A351&amp;B351&amp;C351,盘货信息!$A:$A&amp;盘货信息!$B:$B&amp;盘货信息!$C:$C,盘货信息!$Q:$Q),_xlfn.SEQUENCE(LEN(_xlfn.XLOOKUP(A351&amp;B351&amp;C351,盘货信息!$A:$A&amp;盘货信息!$B:$B&amp;盘货信息!$C:$C,盘货信息!$Q:$Q))),1)),MID(_xlfn.XLOOKUP(A351&amp;B351&amp;C351,盘货信息!$A:$A&amp;盘货信息!$B:$B&amp;盘货信息!$C:$C,盘货信息!$Q:$Q),_xlfn.SEQUENCE(LEN(_xlfn.XLOOKUP(A351&amp;B351&amp;C351,盘货信息!$A:$A&amp;盘货信息!$B:$B&amp;盘货信息!$C:$C,盘货信息!$Q:$Q))),1),""))&amp;"元")</f>
        <v/>
      </c>
      <c r="T351" s="18" t="str">
        <f t="array" ref="T351">IF(ISNUMBER(SEARCH("是",_xlfn.XLOOKUP(A351&amp;B351&amp;C351,盘货信息!$A:$A&amp;盘货信息!$B:$B&amp;盘货信息!$C:$C,盘货信息!$T:$T))),"【瓜分】"&amp;固定信息!$B$7,"")</f>
        <v/>
      </c>
      <c r="U351" s="18" t="str">
        <f>IF($C351="","",IF(AND(R351="",S351="",T351=""),"",固定信息!$B$1))</f>
        <v/>
      </c>
      <c r="V351" s="18" t="str">
        <f t="array" ref="V351">IF(C351="","","【服务】"&amp;IF(_xlfn.XLOOKUP(A351&amp;B351&amp;C351,盘货信息!$A:$A&amp;盘货信息!$B:$B&amp;盘货信息!$C:$C,盘货信息!$V:$V)="","",_xlfn.XLOOKUP(A351&amp;B351&amp;C351,盘货信息!$A:$A&amp;盘货信息!$B:$B&amp;盘货信息!$C:$C,盘货信息!$V:$V)&amp;"免息,")&amp;IF(_xlfn.XLOOKUP(A351&amp;B351&amp;C351,盘货信息!$A:$A&amp;盘货信息!$B:$B&amp;盘货信息!$C:$C,盘货信息!$W:$W)="","",_xlfn.XLOOKUP(A351&amp;B351&amp;C351,盘货信息!$A:$A&amp;盘货信息!$B:$B&amp;盘货信息!$C:$C,盘货信息!$W:$W)&amp;"，")&amp;"送货入户，退换免运费")</f>
        <v/>
      </c>
    </row>
    <row r="352" customHeight="1" spans="1:22">
      <c r="A352" s="17" t="str">
        <f>IF(盘货信息!A352="","",盘货信息!A352)</f>
        <v/>
      </c>
      <c r="B352" s="20" t="str">
        <f>IF(盘货信息!B352="","",盘货信息!B352)</f>
        <v/>
      </c>
      <c r="C352" s="18" t="str">
        <f>IF(盘货信息!C352="","",盘货信息!C352)</f>
        <v/>
      </c>
      <c r="D352" s="18" t="str">
        <f ca="1" t="shared" si="5"/>
        <v/>
      </c>
      <c r="E352" s="18" t="str">
        <f>IF(C352="","",固定信息!$B$2)</f>
        <v/>
      </c>
      <c r="F352" s="18" t="str">
        <f t="array" ref="F352">IF(C352="","","【"&amp;C352&amp;"】"&amp;_xlfn.XLOOKUP(A352&amp;B352&amp;C352,盘货信息!$A:$A&amp;盘货信息!$B:$B&amp;盘货信息!$C:$C,盘货信息!$D:$D))</f>
        <v/>
      </c>
      <c r="G352" s="18" t="str">
        <f>IF(C352="","","【"&amp;"活动时间："&amp;固定信息!$B$3&amp;"】")</f>
        <v/>
      </c>
      <c r="H352" s="18" t="str">
        <f>IF($C352="","",固定信息!$B$1)</f>
        <v/>
      </c>
      <c r="I352" s="18"/>
      <c r="J352" s="18" t="str">
        <f t="array" ref="J352">_xlfn.XLOOKUP(A352&amp;B352&amp;C352,价格信息!$A:$A&amp;价格信息!$B:$B&amp;价格信息!$C:$C,价格信息!$D:$D)</f>
        <v/>
      </c>
      <c r="K352" s="31" t="str">
        <f t="array" ref="K352">IF(_xlfn.XLOOKUP(A352&amp;B352&amp;C352,价格信息!$A:$A&amp;价格信息!$B:$B&amp;价格信息!$C:$C,价格信息!$I:$I)="","","【优惠券链接】"&amp;固定信息!$B$6)</f>
        <v/>
      </c>
      <c r="L352" s="31" t="str">
        <f>IF($C352="","",固定信息!$B$1)</f>
        <v/>
      </c>
      <c r="M352" s="18" t="str">
        <f t="array" ref="M352">IF(_xlfn.XLOOKUP(A352&amp;B352&amp;C352,盘货信息!$A:$A&amp;盘货信息!$B:$B&amp;盘货信息!$C:$C,盘货信息!$O:$O)="","","【优惠券】领"&amp;INDEX(_wpsfn.REGEXP(_xlfn.XLOOKUP(A352&amp;B352&amp;C352,盘货信息!$A:$A&amp;盘货信息!$B:$B&amp;盘货信息!$C:$C,盘货信息!$O:$O),"\d+"),1,1)&amp;"元优惠券下单更优惠，优惠卷："&amp;_xlfn.XLOOKUP(A352&amp;B352&amp;C352,盘货信息!$A:$A&amp;盘货信息!$B:$B&amp;盘货信息!$C:$C,盘货信息!$P:$P))</f>
        <v/>
      </c>
      <c r="N352" s="18" t="str">
        <f t="array" ref="N352">IF(AND(ISNUMBER(_xlfn.XLOOKUP(A352&amp;B352&amp;C352,盘货信息!$A:$A&amp;盘货信息!$B:$B&amp;盘货信息!$C:$C,盘货信息!$I:$I)),_xlfn.XLOOKUP(A352&amp;B352&amp;C352,盘货信息!$A:$A&amp;盘货信息!$B:$B&amp;盘货信息!$C:$C,盘货信息!$I:$I)&gt;1),"【88VIP】立减"&amp;_xlfn.XLOOKUP(A352&amp;B352&amp;C352,盘货信息!$A:$A&amp;盘货信息!$B:$B&amp;盘货信息!$C:$C,盘货信息!$I:$I)&amp;"元","")</f>
        <v/>
      </c>
      <c r="O352" s="18" t="str">
        <f t="array" ref="O352">IF(_xlfn.XLOOKUP(A352&amp;B352&amp;C352,盘货信息!$A:$A&amp;盘货信息!$B:$B&amp;盘货信息!$C:$C,盘货信息!$K:$K)="","",IF(AND(_xlfn.XLOOKUP(A352&amp;B352&amp;C352,盘货信息!$A:$A&amp;盘货信息!$B:$B&amp;盘货信息!$C:$C,盘货信息!$G:$G)="不参加",_xlfn.XLOOKUP(A352&amp;B352&amp;C352,盘货信息!$A:$A&amp;盘货信息!$B:$B&amp;盘货信息!$C:$C,盘货信息!$H:$H)=""),"【以旧换新】"&amp;_xlfn.XLOOKUP(A352&amp;B352&amp;C352,盘货信息!$A:$A&amp;盘货信息!$B:$B&amp;盘货信息!$C:$C,盘货信息!$K:$K)&amp;"元以旧换新补贴（可无旧机换新）",""))</f>
        <v/>
      </c>
      <c r="P352" s="18" t="str">
        <f t="array" ref="P352">_xlfn.XLOOKUP(A352&amp;B352&amp;C352,赠品!$A:$A&amp;赠品!$B:$B&amp;赠品!$C:$C,赠品!$D:$D)</f>
        <v/>
      </c>
      <c r="Q352" s="18" t="str">
        <f>IF($C352="","",IF(AND(M352="",N352="",P352=""),"",固定信息!$B$1))</f>
        <v/>
      </c>
      <c r="R352" s="18" t="str">
        <f t="array" ref="R352">IF(ISNUMBER(SEARCH("是",_xlfn.XLOOKUP(A352&amp;B352&amp;C352,盘货信息!$A:$A&amp;盘货信息!$B:$B&amp;盘货信息!$C:$C,盘货信息!$U:$U))),"【折扣】指定型号满2类享96折，满3类享94折","")</f>
        <v/>
      </c>
      <c r="S352" s="18" t="str">
        <f t="array" ref="S352">IF(_xlfn.XLOOKUP(A352&amp;B352&amp;C352,盘货信息!$A:$A&amp;盘货信息!$B:$B&amp;盘货信息!$C:$C,盘货信息!$Q:$Q)&lt;1,"","【红包】活动时间购机送"&amp;_xlfn.TEXTJOIN("",,IF(ISNUMBER(--MID(_xlfn.XLOOKUP(A352&amp;B352&amp;C352,盘货信息!$A:$A&amp;盘货信息!$B:$B&amp;盘货信息!$C:$C,盘货信息!$Q:$Q),_xlfn.SEQUENCE(LEN(_xlfn.XLOOKUP(A352&amp;B352&amp;C352,盘货信息!$A:$A&amp;盘货信息!$B:$B&amp;盘货信息!$C:$C,盘货信息!$Q:$Q))),1)),MID(_xlfn.XLOOKUP(A352&amp;B352&amp;C352,盘货信息!$A:$A&amp;盘货信息!$B:$B&amp;盘货信息!$C:$C,盘货信息!$Q:$Q),_xlfn.SEQUENCE(LEN(_xlfn.XLOOKUP(A352&amp;B352&amp;C352,盘货信息!$A:$A&amp;盘货信息!$B:$B&amp;盘货信息!$C:$C,盘货信息!$Q:$Q))),1),""))&amp;"元")</f>
        <v/>
      </c>
      <c r="T352" s="18" t="str">
        <f t="array" ref="T352">IF(ISNUMBER(SEARCH("是",_xlfn.XLOOKUP(A352&amp;B352&amp;C352,盘货信息!$A:$A&amp;盘货信息!$B:$B&amp;盘货信息!$C:$C,盘货信息!$T:$T))),"【瓜分】"&amp;固定信息!$B$7,"")</f>
        <v/>
      </c>
      <c r="U352" s="18" t="str">
        <f>IF($C352="","",IF(AND(R352="",S352="",T352=""),"",固定信息!$B$1))</f>
        <v/>
      </c>
      <c r="V352" s="18" t="str">
        <f t="array" ref="V352">IF(C352="","","【服务】"&amp;IF(_xlfn.XLOOKUP(A352&amp;B352&amp;C352,盘货信息!$A:$A&amp;盘货信息!$B:$B&amp;盘货信息!$C:$C,盘货信息!$V:$V)="","",_xlfn.XLOOKUP(A352&amp;B352&amp;C352,盘货信息!$A:$A&amp;盘货信息!$B:$B&amp;盘货信息!$C:$C,盘货信息!$V:$V)&amp;"免息,")&amp;IF(_xlfn.XLOOKUP(A352&amp;B352&amp;C352,盘货信息!$A:$A&amp;盘货信息!$B:$B&amp;盘货信息!$C:$C,盘货信息!$W:$W)="","",_xlfn.XLOOKUP(A352&amp;B352&amp;C352,盘货信息!$A:$A&amp;盘货信息!$B:$B&amp;盘货信息!$C:$C,盘货信息!$W:$W)&amp;"，")&amp;"送货入户，退换免运费")</f>
        <v/>
      </c>
    </row>
    <row r="353" customHeight="1" spans="1:22">
      <c r="A353" s="17" t="str">
        <f>IF(盘货信息!A353="","",盘货信息!A353)</f>
        <v/>
      </c>
      <c r="B353" s="20" t="str">
        <f>IF(盘货信息!B353="","",盘货信息!B353)</f>
        <v/>
      </c>
      <c r="C353" s="18" t="str">
        <f>IF(盘货信息!C353="","",盘货信息!C353)</f>
        <v/>
      </c>
      <c r="D353" s="18" t="str">
        <f ca="1" t="shared" si="5"/>
        <v/>
      </c>
      <c r="E353" s="18" t="str">
        <f>IF(C353="","",固定信息!$B$2)</f>
        <v/>
      </c>
      <c r="F353" s="18" t="str">
        <f t="array" ref="F353">IF(C353="","","【"&amp;C353&amp;"】"&amp;_xlfn.XLOOKUP(A353&amp;B353&amp;C353,盘货信息!$A:$A&amp;盘货信息!$B:$B&amp;盘货信息!$C:$C,盘货信息!$D:$D))</f>
        <v/>
      </c>
      <c r="G353" s="18" t="str">
        <f>IF(C353="","","【"&amp;"活动时间："&amp;固定信息!$B$3&amp;"】")</f>
        <v/>
      </c>
      <c r="H353" s="18" t="str">
        <f>IF($C353="","",固定信息!$B$1)</f>
        <v/>
      </c>
      <c r="I353" s="18"/>
      <c r="J353" s="18" t="str">
        <f t="array" ref="J353">_xlfn.XLOOKUP(A353&amp;B353&amp;C353,价格信息!$A:$A&amp;价格信息!$B:$B&amp;价格信息!$C:$C,价格信息!$D:$D)</f>
        <v/>
      </c>
      <c r="K353" s="31" t="str">
        <f t="array" ref="K353">IF(_xlfn.XLOOKUP(A353&amp;B353&amp;C353,价格信息!$A:$A&amp;价格信息!$B:$B&amp;价格信息!$C:$C,价格信息!$I:$I)="","","【优惠券链接】"&amp;固定信息!$B$6)</f>
        <v/>
      </c>
      <c r="L353" s="31" t="str">
        <f>IF($C353="","",固定信息!$B$1)</f>
        <v/>
      </c>
      <c r="M353" s="18" t="str">
        <f t="array" ref="M353">IF(_xlfn.XLOOKUP(A353&amp;B353&amp;C353,盘货信息!$A:$A&amp;盘货信息!$B:$B&amp;盘货信息!$C:$C,盘货信息!$O:$O)="","","【优惠券】领"&amp;INDEX(_wpsfn.REGEXP(_xlfn.XLOOKUP(A353&amp;B353&amp;C353,盘货信息!$A:$A&amp;盘货信息!$B:$B&amp;盘货信息!$C:$C,盘货信息!$O:$O),"\d+"),1,1)&amp;"元优惠券下单更优惠，优惠卷："&amp;_xlfn.XLOOKUP(A353&amp;B353&amp;C353,盘货信息!$A:$A&amp;盘货信息!$B:$B&amp;盘货信息!$C:$C,盘货信息!$P:$P))</f>
        <v/>
      </c>
      <c r="N353" s="18" t="str">
        <f t="array" ref="N353">IF(AND(ISNUMBER(_xlfn.XLOOKUP(A353&amp;B353&amp;C353,盘货信息!$A:$A&amp;盘货信息!$B:$B&amp;盘货信息!$C:$C,盘货信息!$I:$I)),_xlfn.XLOOKUP(A353&amp;B353&amp;C353,盘货信息!$A:$A&amp;盘货信息!$B:$B&amp;盘货信息!$C:$C,盘货信息!$I:$I)&gt;1),"【88VIP】立减"&amp;_xlfn.XLOOKUP(A353&amp;B353&amp;C353,盘货信息!$A:$A&amp;盘货信息!$B:$B&amp;盘货信息!$C:$C,盘货信息!$I:$I)&amp;"元","")</f>
        <v/>
      </c>
      <c r="O353" s="18" t="str">
        <f t="array" ref="O353">IF(_xlfn.XLOOKUP(A353&amp;B353&amp;C353,盘货信息!$A:$A&amp;盘货信息!$B:$B&amp;盘货信息!$C:$C,盘货信息!$K:$K)="","",IF(AND(_xlfn.XLOOKUP(A353&amp;B353&amp;C353,盘货信息!$A:$A&amp;盘货信息!$B:$B&amp;盘货信息!$C:$C,盘货信息!$G:$G)="不参加",_xlfn.XLOOKUP(A353&amp;B353&amp;C353,盘货信息!$A:$A&amp;盘货信息!$B:$B&amp;盘货信息!$C:$C,盘货信息!$H:$H)=""),"【以旧换新】"&amp;_xlfn.XLOOKUP(A353&amp;B353&amp;C353,盘货信息!$A:$A&amp;盘货信息!$B:$B&amp;盘货信息!$C:$C,盘货信息!$K:$K)&amp;"元以旧换新补贴（可无旧机换新）",""))</f>
        <v/>
      </c>
      <c r="P353" s="18" t="str">
        <f t="array" ref="P353">_xlfn.XLOOKUP(A353&amp;B353&amp;C353,赠品!$A:$A&amp;赠品!$B:$B&amp;赠品!$C:$C,赠品!$D:$D)</f>
        <v/>
      </c>
      <c r="Q353" s="18" t="str">
        <f>IF($C353="","",IF(AND(M353="",N353="",P353=""),"",固定信息!$B$1))</f>
        <v/>
      </c>
      <c r="R353" s="18" t="str">
        <f t="array" ref="R353">IF(ISNUMBER(SEARCH("是",_xlfn.XLOOKUP(A353&amp;B353&amp;C353,盘货信息!$A:$A&amp;盘货信息!$B:$B&amp;盘货信息!$C:$C,盘货信息!$U:$U))),"【折扣】指定型号满2类享96折，满3类享94折","")</f>
        <v/>
      </c>
      <c r="S353" s="18" t="str">
        <f t="array" ref="S353">IF(_xlfn.XLOOKUP(A353&amp;B353&amp;C353,盘货信息!$A:$A&amp;盘货信息!$B:$B&amp;盘货信息!$C:$C,盘货信息!$Q:$Q)&lt;1,"","【红包】活动时间购机送"&amp;_xlfn.TEXTJOIN("",,IF(ISNUMBER(--MID(_xlfn.XLOOKUP(A353&amp;B353&amp;C353,盘货信息!$A:$A&amp;盘货信息!$B:$B&amp;盘货信息!$C:$C,盘货信息!$Q:$Q),_xlfn.SEQUENCE(LEN(_xlfn.XLOOKUP(A353&amp;B353&amp;C353,盘货信息!$A:$A&amp;盘货信息!$B:$B&amp;盘货信息!$C:$C,盘货信息!$Q:$Q))),1)),MID(_xlfn.XLOOKUP(A353&amp;B353&amp;C353,盘货信息!$A:$A&amp;盘货信息!$B:$B&amp;盘货信息!$C:$C,盘货信息!$Q:$Q),_xlfn.SEQUENCE(LEN(_xlfn.XLOOKUP(A353&amp;B353&amp;C353,盘货信息!$A:$A&amp;盘货信息!$B:$B&amp;盘货信息!$C:$C,盘货信息!$Q:$Q))),1),""))&amp;"元")</f>
        <v/>
      </c>
      <c r="T353" s="18" t="str">
        <f t="array" ref="T353">IF(ISNUMBER(SEARCH("是",_xlfn.XLOOKUP(A353&amp;B353&amp;C353,盘货信息!$A:$A&amp;盘货信息!$B:$B&amp;盘货信息!$C:$C,盘货信息!$T:$T))),"【瓜分】"&amp;固定信息!$B$7,"")</f>
        <v/>
      </c>
      <c r="U353" s="18" t="str">
        <f>IF($C353="","",IF(AND(R353="",S353="",T353=""),"",固定信息!$B$1))</f>
        <v/>
      </c>
      <c r="V353" s="18" t="str">
        <f t="array" ref="V353">IF(C353="","","【服务】"&amp;IF(_xlfn.XLOOKUP(A353&amp;B353&amp;C353,盘货信息!$A:$A&amp;盘货信息!$B:$B&amp;盘货信息!$C:$C,盘货信息!$V:$V)="","",_xlfn.XLOOKUP(A353&amp;B353&amp;C353,盘货信息!$A:$A&amp;盘货信息!$B:$B&amp;盘货信息!$C:$C,盘货信息!$V:$V)&amp;"免息,")&amp;IF(_xlfn.XLOOKUP(A353&amp;B353&amp;C353,盘货信息!$A:$A&amp;盘货信息!$B:$B&amp;盘货信息!$C:$C,盘货信息!$W:$W)="","",_xlfn.XLOOKUP(A353&amp;B353&amp;C353,盘货信息!$A:$A&amp;盘货信息!$B:$B&amp;盘货信息!$C:$C,盘货信息!$W:$W)&amp;"，")&amp;"送货入户，退换免运费")</f>
        <v/>
      </c>
    </row>
    <row r="354" customHeight="1" spans="1:22">
      <c r="A354" s="17" t="str">
        <f>IF(盘货信息!A354="","",盘货信息!A354)</f>
        <v/>
      </c>
      <c r="B354" s="20" t="str">
        <f>IF(盘货信息!B354="","",盘货信息!B354)</f>
        <v/>
      </c>
      <c r="C354" s="18" t="str">
        <f>IF(盘货信息!C354="","",盘货信息!C354)</f>
        <v/>
      </c>
      <c r="D354" s="18" t="str">
        <f ca="1" t="shared" si="5"/>
        <v/>
      </c>
      <c r="E354" s="18" t="str">
        <f>IF(C354="","",固定信息!$B$2)</f>
        <v/>
      </c>
      <c r="F354" s="18" t="str">
        <f t="array" ref="F354">IF(C354="","","【"&amp;C354&amp;"】"&amp;_xlfn.XLOOKUP(A354&amp;B354&amp;C354,盘货信息!$A:$A&amp;盘货信息!$B:$B&amp;盘货信息!$C:$C,盘货信息!$D:$D))</f>
        <v/>
      </c>
      <c r="G354" s="18" t="str">
        <f>IF(C354="","","【"&amp;"活动时间："&amp;固定信息!$B$3&amp;"】")</f>
        <v/>
      </c>
      <c r="H354" s="18" t="str">
        <f>IF($C354="","",固定信息!$B$1)</f>
        <v/>
      </c>
      <c r="I354" s="18"/>
      <c r="J354" s="18" t="str">
        <f t="array" ref="J354">_xlfn.XLOOKUP(A354&amp;B354&amp;C354,价格信息!$A:$A&amp;价格信息!$B:$B&amp;价格信息!$C:$C,价格信息!$D:$D)</f>
        <v/>
      </c>
      <c r="K354" s="31" t="str">
        <f t="array" ref="K354">IF(_xlfn.XLOOKUP(A354&amp;B354&amp;C354,价格信息!$A:$A&amp;价格信息!$B:$B&amp;价格信息!$C:$C,价格信息!$I:$I)="","","【优惠券链接】"&amp;固定信息!$B$6)</f>
        <v/>
      </c>
      <c r="L354" s="31" t="str">
        <f>IF($C354="","",固定信息!$B$1)</f>
        <v/>
      </c>
      <c r="M354" s="18" t="str">
        <f t="array" ref="M354">IF(_xlfn.XLOOKUP(A354&amp;B354&amp;C354,盘货信息!$A:$A&amp;盘货信息!$B:$B&amp;盘货信息!$C:$C,盘货信息!$O:$O)="","","【优惠券】领"&amp;INDEX(_wpsfn.REGEXP(_xlfn.XLOOKUP(A354&amp;B354&amp;C354,盘货信息!$A:$A&amp;盘货信息!$B:$B&amp;盘货信息!$C:$C,盘货信息!$O:$O),"\d+"),1,1)&amp;"元优惠券下单更优惠，优惠卷："&amp;_xlfn.XLOOKUP(A354&amp;B354&amp;C354,盘货信息!$A:$A&amp;盘货信息!$B:$B&amp;盘货信息!$C:$C,盘货信息!$P:$P))</f>
        <v/>
      </c>
      <c r="N354" s="18" t="str">
        <f t="array" ref="N354">IF(AND(ISNUMBER(_xlfn.XLOOKUP(A354&amp;B354&amp;C354,盘货信息!$A:$A&amp;盘货信息!$B:$B&amp;盘货信息!$C:$C,盘货信息!$I:$I)),_xlfn.XLOOKUP(A354&amp;B354&amp;C354,盘货信息!$A:$A&amp;盘货信息!$B:$B&amp;盘货信息!$C:$C,盘货信息!$I:$I)&gt;1),"【88VIP】立减"&amp;_xlfn.XLOOKUP(A354&amp;B354&amp;C354,盘货信息!$A:$A&amp;盘货信息!$B:$B&amp;盘货信息!$C:$C,盘货信息!$I:$I)&amp;"元","")</f>
        <v/>
      </c>
      <c r="O354" s="18" t="str">
        <f t="array" ref="O354">IF(_xlfn.XLOOKUP(A354&amp;B354&amp;C354,盘货信息!$A:$A&amp;盘货信息!$B:$B&amp;盘货信息!$C:$C,盘货信息!$K:$K)="","",IF(AND(_xlfn.XLOOKUP(A354&amp;B354&amp;C354,盘货信息!$A:$A&amp;盘货信息!$B:$B&amp;盘货信息!$C:$C,盘货信息!$G:$G)="不参加",_xlfn.XLOOKUP(A354&amp;B354&amp;C354,盘货信息!$A:$A&amp;盘货信息!$B:$B&amp;盘货信息!$C:$C,盘货信息!$H:$H)=""),"【以旧换新】"&amp;_xlfn.XLOOKUP(A354&amp;B354&amp;C354,盘货信息!$A:$A&amp;盘货信息!$B:$B&amp;盘货信息!$C:$C,盘货信息!$K:$K)&amp;"元以旧换新补贴（可无旧机换新）",""))</f>
        <v/>
      </c>
      <c r="P354" s="18" t="str">
        <f t="array" ref="P354">_xlfn.XLOOKUP(A354&amp;B354&amp;C354,赠品!$A:$A&amp;赠品!$B:$B&amp;赠品!$C:$C,赠品!$D:$D)</f>
        <v/>
      </c>
      <c r="Q354" s="18" t="str">
        <f>IF($C354="","",IF(AND(M354="",N354="",P354=""),"",固定信息!$B$1))</f>
        <v/>
      </c>
      <c r="R354" s="18" t="str">
        <f t="array" ref="R354">IF(ISNUMBER(SEARCH("是",_xlfn.XLOOKUP(A354&amp;B354&amp;C354,盘货信息!$A:$A&amp;盘货信息!$B:$B&amp;盘货信息!$C:$C,盘货信息!$U:$U))),"【折扣】指定型号满2类享96折，满3类享94折","")</f>
        <v/>
      </c>
      <c r="S354" s="18" t="str">
        <f t="array" ref="S354">IF(_xlfn.XLOOKUP(A354&amp;B354&amp;C354,盘货信息!$A:$A&amp;盘货信息!$B:$B&amp;盘货信息!$C:$C,盘货信息!$Q:$Q)&lt;1,"","【红包】活动时间购机送"&amp;_xlfn.TEXTJOIN("",,IF(ISNUMBER(--MID(_xlfn.XLOOKUP(A354&amp;B354&amp;C354,盘货信息!$A:$A&amp;盘货信息!$B:$B&amp;盘货信息!$C:$C,盘货信息!$Q:$Q),_xlfn.SEQUENCE(LEN(_xlfn.XLOOKUP(A354&amp;B354&amp;C354,盘货信息!$A:$A&amp;盘货信息!$B:$B&amp;盘货信息!$C:$C,盘货信息!$Q:$Q))),1)),MID(_xlfn.XLOOKUP(A354&amp;B354&amp;C354,盘货信息!$A:$A&amp;盘货信息!$B:$B&amp;盘货信息!$C:$C,盘货信息!$Q:$Q),_xlfn.SEQUENCE(LEN(_xlfn.XLOOKUP(A354&amp;B354&amp;C354,盘货信息!$A:$A&amp;盘货信息!$B:$B&amp;盘货信息!$C:$C,盘货信息!$Q:$Q))),1),""))&amp;"元")</f>
        <v/>
      </c>
      <c r="T354" s="18" t="str">
        <f t="array" ref="T354">IF(ISNUMBER(SEARCH("是",_xlfn.XLOOKUP(A354&amp;B354&amp;C354,盘货信息!$A:$A&amp;盘货信息!$B:$B&amp;盘货信息!$C:$C,盘货信息!$T:$T))),"【瓜分】"&amp;固定信息!$B$7,"")</f>
        <v/>
      </c>
      <c r="U354" s="18" t="str">
        <f>IF($C354="","",IF(AND(R354="",S354="",T354=""),"",固定信息!$B$1))</f>
        <v/>
      </c>
      <c r="V354" s="18" t="str">
        <f t="array" ref="V354">IF(C354="","","【服务】"&amp;IF(_xlfn.XLOOKUP(A354&amp;B354&amp;C354,盘货信息!$A:$A&amp;盘货信息!$B:$B&amp;盘货信息!$C:$C,盘货信息!$V:$V)="","",_xlfn.XLOOKUP(A354&amp;B354&amp;C354,盘货信息!$A:$A&amp;盘货信息!$B:$B&amp;盘货信息!$C:$C,盘货信息!$V:$V)&amp;"免息,")&amp;IF(_xlfn.XLOOKUP(A354&amp;B354&amp;C354,盘货信息!$A:$A&amp;盘货信息!$B:$B&amp;盘货信息!$C:$C,盘货信息!$W:$W)="","",_xlfn.XLOOKUP(A354&amp;B354&amp;C354,盘货信息!$A:$A&amp;盘货信息!$B:$B&amp;盘货信息!$C:$C,盘货信息!$W:$W)&amp;"，")&amp;"送货入户，退换免运费")</f>
        <v/>
      </c>
    </row>
    <row r="355" customHeight="1" spans="1:22">
      <c r="A355" s="17" t="str">
        <f>IF(盘货信息!A355="","",盘货信息!A355)</f>
        <v/>
      </c>
      <c r="B355" s="20" t="str">
        <f>IF(盘货信息!B355="","",盘货信息!B355)</f>
        <v/>
      </c>
      <c r="C355" s="18" t="str">
        <f>IF(盘货信息!C355="","",盘货信息!C355)</f>
        <v/>
      </c>
      <c r="D355" s="18" t="str">
        <f ca="1" t="shared" si="5"/>
        <v/>
      </c>
      <c r="E355" s="18" t="str">
        <f>IF(C355="","",固定信息!$B$2)</f>
        <v/>
      </c>
      <c r="F355" s="18" t="str">
        <f t="array" ref="F355">IF(C355="","","【"&amp;C355&amp;"】"&amp;_xlfn.XLOOKUP(A355&amp;B355&amp;C355,盘货信息!$A:$A&amp;盘货信息!$B:$B&amp;盘货信息!$C:$C,盘货信息!$D:$D))</f>
        <v/>
      </c>
      <c r="G355" s="18" t="str">
        <f>IF(C355="","","【"&amp;"活动时间："&amp;固定信息!$B$3&amp;"】")</f>
        <v/>
      </c>
      <c r="H355" s="18" t="str">
        <f>IF($C355="","",固定信息!$B$1)</f>
        <v/>
      </c>
      <c r="I355" s="18"/>
      <c r="J355" s="18" t="str">
        <f t="array" ref="J355">_xlfn.XLOOKUP(A355&amp;B355&amp;C355,价格信息!$A:$A&amp;价格信息!$B:$B&amp;价格信息!$C:$C,价格信息!$D:$D)</f>
        <v/>
      </c>
      <c r="K355" s="31" t="str">
        <f t="array" ref="K355">IF(_xlfn.XLOOKUP(A355&amp;B355&amp;C355,价格信息!$A:$A&amp;价格信息!$B:$B&amp;价格信息!$C:$C,价格信息!$I:$I)="","","【优惠券链接】"&amp;固定信息!$B$6)</f>
        <v/>
      </c>
      <c r="L355" s="31" t="str">
        <f>IF($C355="","",固定信息!$B$1)</f>
        <v/>
      </c>
      <c r="M355" s="18" t="str">
        <f t="array" ref="M355">IF(_xlfn.XLOOKUP(A355&amp;B355&amp;C355,盘货信息!$A:$A&amp;盘货信息!$B:$B&amp;盘货信息!$C:$C,盘货信息!$O:$O)="","","【优惠券】领"&amp;INDEX(_wpsfn.REGEXP(_xlfn.XLOOKUP(A355&amp;B355&amp;C355,盘货信息!$A:$A&amp;盘货信息!$B:$B&amp;盘货信息!$C:$C,盘货信息!$O:$O),"\d+"),1,1)&amp;"元优惠券下单更优惠，优惠卷："&amp;_xlfn.XLOOKUP(A355&amp;B355&amp;C355,盘货信息!$A:$A&amp;盘货信息!$B:$B&amp;盘货信息!$C:$C,盘货信息!$P:$P))</f>
        <v/>
      </c>
      <c r="N355" s="18" t="str">
        <f t="array" ref="N355">IF(AND(ISNUMBER(_xlfn.XLOOKUP(A355&amp;B355&amp;C355,盘货信息!$A:$A&amp;盘货信息!$B:$B&amp;盘货信息!$C:$C,盘货信息!$I:$I)),_xlfn.XLOOKUP(A355&amp;B355&amp;C355,盘货信息!$A:$A&amp;盘货信息!$B:$B&amp;盘货信息!$C:$C,盘货信息!$I:$I)&gt;1),"【88VIP】立减"&amp;_xlfn.XLOOKUP(A355&amp;B355&amp;C355,盘货信息!$A:$A&amp;盘货信息!$B:$B&amp;盘货信息!$C:$C,盘货信息!$I:$I)&amp;"元","")</f>
        <v/>
      </c>
      <c r="O355" s="18" t="str">
        <f t="array" ref="O355">IF(_xlfn.XLOOKUP(A355&amp;B355&amp;C355,盘货信息!$A:$A&amp;盘货信息!$B:$B&amp;盘货信息!$C:$C,盘货信息!$K:$K)="","",IF(AND(_xlfn.XLOOKUP(A355&amp;B355&amp;C355,盘货信息!$A:$A&amp;盘货信息!$B:$B&amp;盘货信息!$C:$C,盘货信息!$G:$G)="不参加",_xlfn.XLOOKUP(A355&amp;B355&amp;C355,盘货信息!$A:$A&amp;盘货信息!$B:$B&amp;盘货信息!$C:$C,盘货信息!$H:$H)=""),"【以旧换新】"&amp;_xlfn.XLOOKUP(A355&amp;B355&amp;C355,盘货信息!$A:$A&amp;盘货信息!$B:$B&amp;盘货信息!$C:$C,盘货信息!$K:$K)&amp;"元以旧换新补贴（可无旧机换新）",""))</f>
        <v/>
      </c>
      <c r="P355" s="18" t="str">
        <f t="array" ref="P355">_xlfn.XLOOKUP(A355&amp;B355&amp;C355,赠品!$A:$A&amp;赠品!$B:$B&amp;赠品!$C:$C,赠品!$D:$D)</f>
        <v/>
      </c>
      <c r="Q355" s="18" t="str">
        <f>IF($C355="","",IF(AND(M355="",N355="",P355=""),"",固定信息!$B$1))</f>
        <v/>
      </c>
      <c r="R355" s="18" t="str">
        <f t="array" ref="R355">IF(ISNUMBER(SEARCH("是",_xlfn.XLOOKUP(A355&amp;B355&amp;C355,盘货信息!$A:$A&amp;盘货信息!$B:$B&amp;盘货信息!$C:$C,盘货信息!$U:$U))),"【折扣】指定型号满2类享96折，满3类享94折","")</f>
        <v/>
      </c>
      <c r="S355" s="18" t="str">
        <f t="array" ref="S355">IF(_xlfn.XLOOKUP(A355&amp;B355&amp;C355,盘货信息!$A:$A&amp;盘货信息!$B:$B&amp;盘货信息!$C:$C,盘货信息!$Q:$Q)&lt;1,"","【红包】活动时间购机送"&amp;_xlfn.TEXTJOIN("",,IF(ISNUMBER(--MID(_xlfn.XLOOKUP(A355&amp;B355&amp;C355,盘货信息!$A:$A&amp;盘货信息!$B:$B&amp;盘货信息!$C:$C,盘货信息!$Q:$Q),_xlfn.SEQUENCE(LEN(_xlfn.XLOOKUP(A355&amp;B355&amp;C355,盘货信息!$A:$A&amp;盘货信息!$B:$B&amp;盘货信息!$C:$C,盘货信息!$Q:$Q))),1)),MID(_xlfn.XLOOKUP(A355&amp;B355&amp;C355,盘货信息!$A:$A&amp;盘货信息!$B:$B&amp;盘货信息!$C:$C,盘货信息!$Q:$Q),_xlfn.SEQUENCE(LEN(_xlfn.XLOOKUP(A355&amp;B355&amp;C355,盘货信息!$A:$A&amp;盘货信息!$B:$B&amp;盘货信息!$C:$C,盘货信息!$Q:$Q))),1),""))&amp;"元")</f>
        <v/>
      </c>
      <c r="T355" s="18" t="str">
        <f t="array" ref="T355">IF(ISNUMBER(SEARCH("是",_xlfn.XLOOKUP(A355&amp;B355&amp;C355,盘货信息!$A:$A&amp;盘货信息!$B:$B&amp;盘货信息!$C:$C,盘货信息!$T:$T))),"【瓜分】"&amp;固定信息!$B$7,"")</f>
        <v/>
      </c>
      <c r="U355" s="18" t="str">
        <f>IF($C355="","",IF(AND(R355="",S355="",T355=""),"",固定信息!$B$1))</f>
        <v/>
      </c>
      <c r="V355" s="18" t="str">
        <f t="array" ref="V355">IF(C355="","","【服务】"&amp;IF(_xlfn.XLOOKUP(A355&amp;B355&amp;C355,盘货信息!$A:$A&amp;盘货信息!$B:$B&amp;盘货信息!$C:$C,盘货信息!$V:$V)="","",_xlfn.XLOOKUP(A355&amp;B355&amp;C355,盘货信息!$A:$A&amp;盘货信息!$B:$B&amp;盘货信息!$C:$C,盘货信息!$V:$V)&amp;"免息,")&amp;IF(_xlfn.XLOOKUP(A355&amp;B355&amp;C355,盘货信息!$A:$A&amp;盘货信息!$B:$B&amp;盘货信息!$C:$C,盘货信息!$W:$W)="","",_xlfn.XLOOKUP(A355&amp;B355&amp;C355,盘货信息!$A:$A&amp;盘货信息!$B:$B&amp;盘货信息!$C:$C,盘货信息!$W:$W)&amp;"，")&amp;"送货入户，退换免运费")</f>
        <v/>
      </c>
    </row>
    <row r="356" customHeight="1" spans="1:22">
      <c r="A356" s="17" t="str">
        <f>IF(盘货信息!A356="","",盘货信息!A356)</f>
        <v/>
      </c>
      <c r="B356" s="20" t="str">
        <f>IF(盘货信息!B356="","",盘货信息!B356)</f>
        <v/>
      </c>
      <c r="C356" s="18" t="str">
        <f>IF(盘货信息!C356="","",盘货信息!C356)</f>
        <v/>
      </c>
      <c r="D356" s="18" t="str">
        <f ca="1" t="shared" si="5"/>
        <v/>
      </c>
      <c r="E356" s="18" t="str">
        <f>IF(C356="","",固定信息!$B$2)</f>
        <v/>
      </c>
      <c r="F356" s="18" t="str">
        <f t="array" ref="F356">IF(C356="","","【"&amp;C356&amp;"】"&amp;_xlfn.XLOOKUP(A356&amp;B356&amp;C356,盘货信息!$A:$A&amp;盘货信息!$B:$B&amp;盘货信息!$C:$C,盘货信息!$D:$D))</f>
        <v/>
      </c>
      <c r="G356" s="18" t="str">
        <f>IF(C356="","","【"&amp;"活动时间："&amp;固定信息!$B$3&amp;"】")</f>
        <v/>
      </c>
      <c r="H356" s="18" t="str">
        <f>IF($C356="","",固定信息!$B$1)</f>
        <v/>
      </c>
      <c r="I356" s="18"/>
      <c r="J356" s="18" t="str">
        <f t="array" ref="J356">_xlfn.XLOOKUP(A356&amp;B356&amp;C356,价格信息!$A:$A&amp;价格信息!$B:$B&amp;价格信息!$C:$C,价格信息!$D:$D)</f>
        <v/>
      </c>
      <c r="K356" s="31" t="str">
        <f t="array" ref="K356">IF(_xlfn.XLOOKUP(A356&amp;B356&amp;C356,价格信息!$A:$A&amp;价格信息!$B:$B&amp;价格信息!$C:$C,价格信息!$I:$I)="","","【优惠券链接】"&amp;固定信息!$B$6)</f>
        <v/>
      </c>
      <c r="L356" s="31" t="str">
        <f>IF($C356="","",固定信息!$B$1)</f>
        <v/>
      </c>
      <c r="M356" s="18" t="str">
        <f t="array" ref="M356">IF(_xlfn.XLOOKUP(A356&amp;B356&amp;C356,盘货信息!$A:$A&amp;盘货信息!$B:$B&amp;盘货信息!$C:$C,盘货信息!$O:$O)="","","【优惠券】领"&amp;INDEX(_wpsfn.REGEXP(_xlfn.XLOOKUP(A356&amp;B356&amp;C356,盘货信息!$A:$A&amp;盘货信息!$B:$B&amp;盘货信息!$C:$C,盘货信息!$O:$O),"\d+"),1,1)&amp;"元优惠券下单更优惠，优惠卷："&amp;_xlfn.XLOOKUP(A356&amp;B356&amp;C356,盘货信息!$A:$A&amp;盘货信息!$B:$B&amp;盘货信息!$C:$C,盘货信息!$P:$P))</f>
        <v/>
      </c>
      <c r="N356" s="18" t="str">
        <f t="array" ref="N356">IF(AND(ISNUMBER(_xlfn.XLOOKUP(A356&amp;B356&amp;C356,盘货信息!$A:$A&amp;盘货信息!$B:$B&amp;盘货信息!$C:$C,盘货信息!$I:$I)),_xlfn.XLOOKUP(A356&amp;B356&amp;C356,盘货信息!$A:$A&amp;盘货信息!$B:$B&amp;盘货信息!$C:$C,盘货信息!$I:$I)&gt;1),"【88VIP】立减"&amp;_xlfn.XLOOKUP(A356&amp;B356&amp;C356,盘货信息!$A:$A&amp;盘货信息!$B:$B&amp;盘货信息!$C:$C,盘货信息!$I:$I)&amp;"元","")</f>
        <v/>
      </c>
      <c r="O356" s="18" t="str">
        <f t="array" ref="O356">IF(_xlfn.XLOOKUP(A356&amp;B356&amp;C356,盘货信息!$A:$A&amp;盘货信息!$B:$B&amp;盘货信息!$C:$C,盘货信息!$K:$K)="","",IF(AND(_xlfn.XLOOKUP(A356&amp;B356&amp;C356,盘货信息!$A:$A&amp;盘货信息!$B:$B&amp;盘货信息!$C:$C,盘货信息!$G:$G)="不参加",_xlfn.XLOOKUP(A356&amp;B356&amp;C356,盘货信息!$A:$A&amp;盘货信息!$B:$B&amp;盘货信息!$C:$C,盘货信息!$H:$H)=""),"【以旧换新】"&amp;_xlfn.XLOOKUP(A356&amp;B356&amp;C356,盘货信息!$A:$A&amp;盘货信息!$B:$B&amp;盘货信息!$C:$C,盘货信息!$K:$K)&amp;"元以旧换新补贴（可无旧机换新）",""))</f>
        <v/>
      </c>
      <c r="P356" s="18" t="str">
        <f t="array" ref="P356">_xlfn.XLOOKUP(A356&amp;B356&amp;C356,赠品!$A:$A&amp;赠品!$B:$B&amp;赠品!$C:$C,赠品!$D:$D)</f>
        <v/>
      </c>
      <c r="Q356" s="18" t="str">
        <f>IF($C356="","",IF(AND(M356="",N356="",P356=""),"",固定信息!$B$1))</f>
        <v/>
      </c>
      <c r="R356" s="18" t="str">
        <f t="array" ref="R356">IF(ISNUMBER(SEARCH("是",_xlfn.XLOOKUP(A356&amp;B356&amp;C356,盘货信息!$A:$A&amp;盘货信息!$B:$B&amp;盘货信息!$C:$C,盘货信息!$U:$U))),"【折扣】指定型号满2类享96折，满3类享94折","")</f>
        <v/>
      </c>
      <c r="S356" s="18" t="str">
        <f t="array" ref="S356">IF(_xlfn.XLOOKUP(A356&amp;B356&amp;C356,盘货信息!$A:$A&amp;盘货信息!$B:$B&amp;盘货信息!$C:$C,盘货信息!$Q:$Q)&lt;1,"","【红包】活动时间购机送"&amp;_xlfn.TEXTJOIN("",,IF(ISNUMBER(--MID(_xlfn.XLOOKUP(A356&amp;B356&amp;C356,盘货信息!$A:$A&amp;盘货信息!$B:$B&amp;盘货信息!$C:$C,盘货信息!$Q:$Q),_xlfn.SEQUENCE(LEN(_xlfn.XLOOKUP(A356&amp;B356&amp;C356,盘货信息!$A:$A&amp;盘货信息!$B:$B&amp;盘货信息!$C:$C,盘货信息!$Q:$Q))),1)),MID(_xlfn.XLOOKUP(A356&amp;B356&amp;C356,盘货信息!$A:$A&amp;盘货信息!$B:$B&amp;盘货信息!$C:$C,盘货信息!$Q:$Q),_xlfn.SEQUENCE(LEN(_xlfn.XLOOKUP(A356&amp;B356&amp;C356,盘货信息!$A:$A&amp;盘货信息!$B:$B&amp;盘货信息!$C:$C,盘货信息!$Q:$Q))),1),""))&amp;"元")</f>
        <v/>
      </c>
      <c r="T356" s="18" t="str">
        <f t="array" ref="T356">IF(ISNUMBER(SEARCH("是",_xlfn.XLOOKUP(A356&amp;B356&amp;C356,盘货信息!$A:$A&amp;盘货信息!$B:$B&amp;盘货信息!$C:$C,盘货信息!$T:$T))),"【瓜分】"&amp;固定信息!$B$7,"")</f>
        <v/>
      </c>
      <c r="U356" s="18" t="str">
        <f>IF($C356="","",IF(AND(R356="",S356="",T356=""),"",固定信息!$B$1))</f>
        <v/>
      </c>
      <c r="V356" s="18" t="str">
        <f t="array" ref="V356">IF(C356="","","【服务】"&amp;IF(_xlfn.XLOOKUP(A356&amp;B356&amp;C356,盘货信息!$A:$A&amp;盘货信息!$B:$B&amp;盘货信息!$C:$C,盘货信息!$V:$V)="","",_xlfn.XLOOKUP(A356&amp;B356&amp;C356,盘货信息!$A:$A&amp;盘货信息!$B:$B&amp;盘货信息!$C:$C,盘货信息!$V:$V)&amp;"免息,")&amp;IF(_xlfn.XLOOKUP(A356&amp;B356&amp;C356,盘货信息!$A:$A&amp;盘货信息!$B:$B&amp;盘货信息!$C:$C,盘货信息!$W:$W)="","",_xlfn.XLOOKUP(A356&amp;B356&amp;C356,盘货信息!$A:$A&amp;盘货信息!$B:$B&amp;盘货信息!$C:$C,盘货信息!$W:$W)&amp;"，")&amp;"送货入户，退换免运费")</f>
        <v/>
      </c>
    </row>
    <row r="357" customHeight="1" spans="1:22">
      <c r="A357" s="17" t="str">
        <f>IF(盘货信息!A357="","",盘货信息!A357)</f>
        <v/>
      </c>
      <c r="B357" s="20" t="str">
        <f>IF(盘货信息!B357="","",盘货信息!B357)</f>
        <v/>
      </c>
      <c r="C357" s="18" t="str">
        <f>IF(盘货信息!C357="","",盘货信息!C357)</f>
        <v/>
      </c>
      <c r="D357" s="18" t="str">
        <f ca="1" t="shared" si="5"/>
        <v/>
      </c>
      <c r="E357" s="18" t="str">
        <f>IF(C357="","",固定信息!$B$2)</f>
        <v/>
      </c>
      <c r="F357" s="18" t="str">
        <f t="array" ref="F357">IF(C357="","","【"&amp;C357&amp;"】"&amp;_xlfn.XLOOKUP(A357&amp;B357&amp;C357,盘货信息!$A:$A&amp;盘货信息!$B:$B&amp;盘货信息!$C:$C,盘货信息!$D:$D))</f>
        <v/>
      </c>
      <c r="G357" s="18" t="str">
        <f>IF(C357="","","【"&amp;"活动时间："&amp;固定信息!$B$3&amp;"】")</f>
        <v/>
      </c>
      <c r="H357" s="18" t="str">
        <f>IF($C357="","",固定信息!$B$1)</f>
        <v/>
      </c>
      <c r="I357" s="18"/>
      <c r="J357" s="18" t="str">
        <f t="array" ref="J357">_xlfn.XLOOKUP(A357&amp;B357&amp;C357,价格信息!$A:$A&amp;价格信息!$B:$B&amp;价格信息!$C:$C,价格信息!$D:$D)</f>
        <v/>
      </c>
      <c r="K357" s="31" t="str">
        <f t="array" ref="K357">IF(_xlfn.XLOOKUP(A357&amp;B357&amp;C357,价格信息!$A:$A&amp;价格信息!$B:$B&amp;价格信息!$C:$C,价格信息!$I:$I)="","","【优惠券链接】"&amp;固定信息!$B$6)</f>
        <v/>
      </c>
      <c r="L357" s="31" t="str">
        <f>IF($C357="","",固定信息!$B$1)</f>
        <v/>
      </c>
      <c r="M357" s="18" t="str">
        <f t="array" ref="M357">IF(_xlfn.XLOOKUP(A357&amp;B357&amp;C357,盘货信息!$A:$A&amp;盘货信息!$B:$B&amp;盘货信息!$C:$C,盘货信息!$O:$O)="","","【优惠券】领"&amp;INDEX(_wpsfn.REGEXP(_xlfn.XLOOKUP(A357&amp;B357&amp;C357,盘货信息!$A:$A&amp;盘货信息!$B:$B&amp;盘货信息!$C:$C,盘货信息!$O:$O),"\d+"),1,1)&amp;"元优惠券下单更优惠，优惠卷："&amp;_xlfn.XLOOKUP(A357&amp;B357&amp;C357,盘货信息!$A:$A&amp;盘货信息!$B:$B&amp;盘货信息!$C:$C,盘货信息!$P:$P))</f>
        <v/>
      </c>
      <c r="N357" s="18" t="str">
        <f t="array" ref="N357">IF(AND(ISNUMBER(_xlfn.XLOOKUP(A357&amp;B357&amp;C357,盘货信息!$A:$A&amp;盘货信息!$B:$B&amp;盘货信息!$C:$C,盘货信息!$I:$I)),_xlfn.XLOOKUP(A357&amp;B357&amp;C357,盘货信息!$A:$A&amp;盘货信息!$B:$B&amp;盘货信息!$C:$C,盘货信息!$I:$I)&gt;1),"【88VIP】立减"&amp;_xlfn.XLOOKUP(A357&amp;B357&amp;C357,盘货信息!$A:$A&amp;盘货信息!$B:$B&amp;盘货信息!$C:$C,盘货信息!$I:$I)&amp;"元","")</f>
        <v/>
      </c>
      <c r="O357" s="18" t="str">
        <f t="array" ref="O357">IF(_xlfn.XLOOKUP(A357&amp;B357&amp;C357,盘货信息!$A:$A&amp;盘货信息!$B:$B&amp;盘货信息!$C:$C,盘货信息!$K:$K)="","",IF(AND(_xlfn.XLOOKUP(A357&amp;B357&amp;C357,盘货信息!$A:$A&amp;盘货信息!$B:$B&amp;盘货信息!$C:$C,盘货信息!$G:$G)="不参加",_xlfn.XLOOKUP(A357&amp;B357&amp;C357,盘货信息!$A:$A&amp;盘货信息!$B:$B&amp;盘货信息!$C:$C,盘货信息!$H:$H)=""),"【以旧换新】"&amp;_xlfn.XLOOKUP(A357&amp;B357&amp;C357,盘货信息!$A:$A&amp;盘货信息!$B:$B&amp;盘货信息!$C:$C,盘货信息!$K:$K)&amp;"元以旧换新补贴（可无旧机换新）",""))</f>
        <v/>
      </c>
      <c r="P357" s="18" t="str">
        <f t="array" ref="P357">_xlfn.XLOOKUP(A357&amp;B357&amp;C357,赠品!$A:$A&amp;赠品!$B:$B&amp;赠品!$C:$C,赠品!$D:$D)</f>
        <v/>
      </c>
      <c r="Q357" s="18" t="str">
        <f>IF($C357="","",IF(AND(M357="",N357="",P357=""),"",固定信息!$B$1))</f>
        <v/>
      </c>
      <c r="R357" s="18" t="str">
        <f t="array" ref="R357">IF(ISNUMBER(SEARCH("是",_xlfn.XLOOKUP(A357&amp;B357&amp;C357,盘货信息!$A:$A&amp;盘货信息!$B:$B&amp;盘货信息!$C:$C,盘货信息!$U:$U))),"【折扣】指定型号满2类享96折，满3类享94折","")</f>
        <v/>
      </c>
      <c r="S357" s="18" t="str">
        <f t="array" ref="S357">IF(_xlfn.XLOOKUP(A357&amp;B357&amp;C357,盘货信息!$A:$A&amp;盘货信息!$B:$B&amp;盘货信息!$C:$C,盘货信息!$Q:$Q)&lt;1,"","【红包】活动时间购机送"&amp;_xlfn.TEXTJOIN("",,IF(ISNUMBER(--MID(_xlfn.XLOOKUP(A357&amp;B357&amp;C357,盘货信息!$A:$A&amp;盘货信息!$B:$B&amp;盘货信息!$C:$C,盘货信息!$Q:$Q),_xlfn.SEQUENCE(LEN(_xlfn.XLOOKUP(A357&amp;B357&amp;C357,盘货信息!$A:$A&amp;盘货信息!$B:$B&amp;盘货信息!$C:$C,盘货信息!$Q:$Q))),1)),MID(_xlfn.XLOOKUP(A357&amp;B357&amp;C357,盘货信息!$A:$A&amp;盘货信息!$B:$B&amp;盘货信息!$C:$C,盘货信息!$Q:$Q),_xlfn.SEQUENCE(LEN(_xlfn.XLOOKUP(A357&amp;B357&amp;C357,盘货信息!$A:$A&amp;盘货信息!$B:$B&amp;盘货信息!$C:$C,盘货信息!$Q:$Q))),1),""))&amp;"元")</f>
        <v/>
      </c>
      <c r="T357" s="18" t="str">
        <f t="array" ref="T357">IF(ISNUMBER(SEARCH("是",_xlfn.XLOOKUP(A357&amp;B357&amp;C357,盘货信息!$A:$A&amp;盘货信息!$B:$B&amp;盘货信息!$C:$C,盘货信息!$T:$T))),"【瓜分】"&amp;固定信息!$B$7,"")</f>
        <v/>
      </c>
      <c r="U357" s="18" t="str">
        <f>IF($C357="","",IF(AND(R357="",S357="",T357=""),"",固定信息!$B$1))</f>
        <v/>
      </c>
      <c r="V357" s="18" t="str">
        <f t="array" ref="V357">IF(C357="","","【服务】"&amp;IF(_xlfn.XLOOKUP(A357&amp;B357&amp;C357,盘货信息!$A:$A&amp;盘货信息!$B:$B&amp;盘货信息!$C:$C,盘货信息!$V:$V)="","",_xlfn.XLOOKUP(A357&amp;B357&amp;C357,盘货信息!$A:$A&amp;盘货信息!$B:$B&amp;盘货信息!$C:$C,盘货信息!$V:$V)&amp;"免息,")&amp;IF(_xlfn.XLOOKUP(A357&amp;B357&amp;C357,盘货信息!$A:$A&amp;盘货信息!$B:$B&amp;盘货信息!$C:$C,盘货信息!$W:$W)="","",_xlfn.XLOOKUP(A357&amp;B357&amp;C357,盘货信息!$A:$A&amp;盘货信息!$B:$B&amp;盘货信息!$C:$C,盘货信息!$W:$W)&amp;"，")&amp;"送货入户，退换免运费")</f>
        <v/>
      </c>
    </row>
    <row r="358" customHeight="1" spans="1:22">
      <c r="A358" s="17" t="str">
        <f>IF(盘货信息!A358="","",盘货信息!A358)</f>
        <v/>
      </c>
      <c r="B358" s="20" t="str">
        <f>IF(盘货信息!B358="","",盘货信息!B358)</f>
        <v/>
      </c>
      <c r="C358" s="18" t="str">
        <f>IF(盘货信息!C358="","",盘货信息!C358)</f>
        <v/>
      </c>
      <c r="D358" s="18" t="str">
        <f ca="1" t="shared" si="5"/>
        <v/>
      </c>
      <c r="E358" s="18" t="str">
        <f>IF(C358="","",固定信息!$B$2)</f>
        <v/>
      </c>
      <c r="F358" s="18" t="str">
        <f t="array" ref="F358">IF(C358="","","【"&amp;C358&amp;"】"&amp;_xlfn.XLOOKUP(A358&amp;B358&amp;C358,盘货信息!$A:$A&amp;盘货信息!$B:$B&amp;盘货信息!$C:$C,盘货信息!$D:$D))</f>
        <v/>
      </c>
      <c r="G358" s="18" t="str">
        <f>IF(C358="","","【"&amp;"活动时间："&amp;固定信息!$B$3&amp;"】")</f>
        <v/>
      </c>
      <c r="H358" s="18" t="str">
        <f>IF($C358="","",固定信息!$B$1)</f>
        <v/>
      </c>
      <c r="I358" s="18"/>
      <c r="J358" s="18" t="str">
        <f t="array" ref="J358">_xlfn.XLOOKUP(A358&amp;B358&amp;C358,价格信息!$A:$A&amp;价格信息!$B:$B&amp;价格信息!$C:$C,价格信息!$D:$D)</f>
        <v/>
      </c>
      <c r="K358" s="31" t="str">
        <f t="array" ref="K358">IF(_xlfn.XLOOKUP(A358&amp;B358&amp;C358,价格信息!$A:$A&amp;价格信息!$B:$B&amp;价格信息!$C:$C,价格信息!$I:$I)="","","【优惠券链接】"&amp;固定信息!$B$6)</f>
        <v/>
      </c>
      <c r="L358" s="31" t="str">
        <f>IF($C358="","",固定信息!$B$1)</f>
        <v/>
      </c>
      <c r="M358" s="18" t="str">
        <f t="array" ref="M358">IF(_xlfn.XLOOKUP(A358&amp;B358&amp;C358,盘货信息!$A:$A&amp;盘货信息!$B:$B&amp;盘货信息!$C:$C,盘货信息!$O:$O)="","","【优惠券】领"&amp;INDEX(_wpsfn.REGEXP(_xlfn.XLOOKUP(A358&amp;B358&amp;C358,盘货信息!$A:$A&amp;盘货信息!$B:$B&amp;盘货信息!$C:$C,盘货信息!$O:$O),"\d+"),1,1)&amp;"元优惠券下单更优惠，优惠卷："&amp;_xlfn.XLOOKUP(A358&amp;B358&amp;C358,盘货信息!$A:$A&amp;盘货信息!$B:$B&amp;盘货信息!$C:$C,盘货信息!$P:$P))</f>
        <v/>
      </c>
      <c r="N358" s="18" t="str">
        <f t="array" ref="N358">IF(AND(ISNUMBER(_xlfn.XLOOKUP(A358&amp;B358&amp;C358,盘货信息!$A:$A&amp;盘货信息!$B:$B&amp;盘货信息!$C:$C,盘货信息!$I:$I)),_xlfn.XLOOKUP(A358&amp;B358&amp;C358,盘货信息!$A:$A&amp;盘货信息!$B:$B&amp;盘货信息!$C:$C,盘货信息!$I:$I)&gt;1),"【88VIP】立减"&amp;_xlfn.XLOOKUP(A358&amp;B358&amp;C358,盘货信息!$A:$A&amp;盘货信息!$B:$B&amp;盘货信息!$C:$C,盘货信息!$I:$I)&amp;"元","")</f>
        <v/>
      </c>
      <c r="O358" s="18" t="str">
        <f t="array" ref="O358">IF(_xlfn.XLOOKUP(A358&amp;B358&amp;C358,盘货信息!$A:$A&amp;盘货信息!$B:$B&amp;盘货信息!$C:$C,盘货信息!$K:$K)="","",IF(AND(_xlfn.XLOOKUP(A358&amp;B358&amp;C358,盘货信息!$A:$A&amp;盘货信息!$B:$B&amp;盘货信息!$C:$C,盘货信息!$G:$G)="不参加",_xlfn.XLOOKUP(A358&amp;B358&amp;C358,盘货信息!$A:$A&amp;盘货信息!$B:$B&amp;盘货信息!$C:$C,盘货信息!$H:$H)=""),"【以旧换新】"&amp;_xlfn.XLOOKUP(A358&amp;B358&amp;C358,盘货信息!$A:$A&amp;盘货信息!$B:$B&amp;盘货信息!$C:$C,盘货信息!$K:$K)&amp;"元以旧换新补贴（可无旧机换新）",""))</f>
        <v/>
      </c>
      <c r="P358" s="18" t="str">
        <f t="array" ref="P358">_xlfn.XLOOKUP(A358&amp;B358&amp;C358,赠品!$A:$A&amp;赠品!$B:$B&amp;赠品!$C:$C,赠品!$D:$D)</f>
        <v/>
      </c>
      <c r="Q358" s="18" t="str">
        <f>IF($C358="","",IF(AND(M358="",N358="",P358=""),"",固定信息!$B$1))</f>
        <v/>
      </c>
      <c r="R358" s="18" t="str">
        <f t="array" ref="R358">IF(ISNUMBER(SEARCH("是",_xlfn.XLOOKUP(A358&amp;B358&amp;C358,盘货信息!$A:$A&amp;盘货信息!$B:$B&amp;盘货信息!$C:$C,盘货信息!$U:$U))),"【折扣】指定型号满2类享96折，满3类享94折","")</f>
        <v/>
      </c>
      <c r="S358" s="18" t="str">
        <f t="array" ref="S358">IF(_xlfn.XLOOKUP(A358&amp;B358&amp;C358,盘货信息!$A:$A&amp;盘货信息!$B:$B&amp;盘货信息!$C:$C,盘货信息!$Q:$Q)&lt;1,"","【红包】活动时间购机送"&amp;_xlfn.TEXTJOIN("",,IF(ISNUMBER(--MID(_xlfn.XLOOKUP(A358&amp;B358&amp;C358,盘货信息!$A:$A&amp;盘货信息!$B:$B&amp;盘货信息!$C:$C,盘货信息!$Q:$Q),_xlfn.SEQUENCE(LEN(_xlfn.XLOOKUP(A358&amp;B358&amp;C358,盘货信息!$A:$A&amp;盘货信息!$B:$B&amp;盘货信息!$C:$C,盘货信息!$Q:$Q))),1)),MID(_xlfn.XLOOKUP(A358&amp;B358&amp;C358,盘货信息!$A:$A&amp;盘货信息!$B:$B&amp;盘货信息!$C:$C,盘货信息!$Q:$Q),_xlfn.SEQUENCE(LEN(_xlfn.XLOOKUP(A358&amp;B358&amp;C358,盘货信息!$A:$A&amp;盘货信息!$B:$B&amp;盘货信息!$C:$C,盘货信息!$Q:$Q))),1),""))&amp;"元")</f>
        <v/>
      </c>
      <c r="T358" s="18" t="str">
        <f t="array" ref="T358">IF(ISNUMBER(SEARCH("是",_xlfn.XLOOKUP(A358&amp;B358&amp;C358,盘货信息!$A:$A&amp;盘货信息!$B:$B&amp;盘货信息!$C:$C,盘货信息!$T:$T))),"【瓜分】"&amp;固定信息!$B$7,"")</f>
        <v/>
      </c>
      <c r="U358" s="18" t="str">
        <f>IF($C358="","",IF(AND(R358="",S358="",T358=""),"",固定信息!$B$1))</f>
        <v/>
      </c>
      <c r="V358" s="18" t="str">
        <f t="array" ref="V358">IF(C358="","","【服务】"&amp;IF(_xlfn.XLOOKUP(A358&amp;B358&amp;C358,盘货信息!$A:$A&amp;盘货信息!$B:$B&amp;盘货信息!$C:$C,盘货信息!$V:$V)="","",_xlfn.XLOOKUP(A358&amp;B358&amp;C358,盘货信息!$A:$A&amp;盘货信息!$B:$B&amp;盘货信息!$C:$C,盘货信息!$V:$V)&amp;"免息,")&amp;IF(_xlfn.XLOOKUP(A358&amp;B358&amp;C358,盘货信息!$A:$A&amp;盘货信息!$B:$B&amp;盘货信息!$C:$C,盘货信息!$W:$W)="","",_xlfn.XLOOKUP(A358&amp;B358&amp;C358,盘货信息!$A:$A&amp;盘货信息!$B:$B&amp;盘货信息!$C:$C,盘货信息!$W:$W)&amp;"，")&amp;"送货入户，退换免运费")</f>
        <v/>
      </c>
    </row>
    <row r="359" customHeight="1" spans="1:22">
      <c r="A359" s="17" t="str">
        <f>IF(盘货信息!A359="","",盘货信息!A359)</f>
        <v/>
      </c>
      <c r="B359" s="20" t="str">
        <f>IF(盘货信息!B359="","",盘货信息!B359)</f>
        <v/>
      </c>
      <c r="C359" s="18" t="str">
        <f>IF(盘货信息!C359="","",盘货信息!C359)</f>
        <v/>
      </c>
      <c r="D359" s="18" t="str">
        <f ca="1" t="shared" si="5"/>
        <v/>
      </c>
      <c r="E359" s="18" t="str">
        <f>IF(C359="","",固定信息!$B$2)</f>
        <v/>
      </c>
      <c r="F359" s="18" t="str">
        <f t="array" ref="F359">IF(C359="","","【"&amp;C359&amp;"】"&amp;_xlfn.XLOOKUP(A359&amp;B359&amp;C359,盘货信息!$A:$A&amp;盘货信息!$B:$B&amp;盘货信息!$C:$C,盘货信息!$D:$D))</f>
        <v/>
      </c>
      <c r="G359" s="18" t="str">
        <f>IF(C359="","","【"&amp;"活动时间："&amp;固定信息!$B$3&amp;"】")</f>
        <v/>
      </c>
      <c r="H359" s="18" t="str">
        <f>IF($C359="","",固定信息!$B$1)</f>
        <v/>
      </c>
      <c r="I359" s="18"/>
      <c r="J359" s="18" t="str">
        <f t="array" ref="J359">_xlfn.XLOOKUP(A359&amp;B359&amp;C359,价格信息!$A:$A&amp;价格信息!$B:$B&amp;价格信息!$C:$C,价格信息!$D:$D)</f>
        <v/>
      </c>
      <c r="K359" s="31" t="str">
        <f t="array" ref="K359">IF(_xlfn.XLOOKUP(A359&amp;B359&amp;C359,价格信息!$A:$A&amp;价格信息!$B:$B&amp;价格信息!$C:$C,价格信息!$I:$I)="","","【优惠券链接】"&amp;固定信息!$B$6)</f>
        <v/>
      </c>
      <c r="L359" s="31" t="str">
        <f>IF($C359="","",固定信息!$B$1)</f>
        <v/>
      </c>
      <c r="M359" s="18" t="str">
        <f t="array" ref="M359">IF(_xlfn.XLOOKUP(A359&amp;B359&amp;C359,盘货信息!$A:$A&amp;盘货信息!$B:$B&amp;盘货信息!$C:$C,盘货信息!$O:$O)="","","【优惠券】领"&amp;INDEX(_wpsfn.REGEXP(_xlfn.XLOOKUP(A359&amp;B359&amp;C359,盘货信息!$A:$A&amp;盘货信息!$B:$B&amp;盘货信息!$C:$C,盘货信息!$O:$O),"\d+"),1,1)&amp;"元优惠券下单更优惠，优惠卷："&amp;_xlfn.XLOOKUP(A359&amp;B359&amp;C359,盘货信息!$A:$A&amp;盘货信息!$B:$B&amp;盘货信息!$C:$C,盘货信息!$P:$P))</f>
        <v/>
      </c>
      <c r="N359" s="18" t="str">
        <f t="array" ref="N359">IF(AND(ISNUMBER(_xlfn.XLOOKUP(A359&amp;B359&amp;C359,盘货信息!$A:$A&amp;盘货信息!$B:$B&amp;盘货信息!$C:$C,盘货信息!$I:$I)),_xlfn.XLOOKUP(A359&amp;B359&amp;C359,盘货信息!$A:$A&amp;盘货信息!$B:$B&amp;盘货信息!$C:$C,盘货信息!$I:$I)&gt;1),"【88VIP】立减"&amp;_xlfn.XLOOKUP(A359&amp;B359&amp;C359,盘货信息!$A:$A&amp;盘货信息!$B:$B&amp;盘货信息!$C:$C,盘货信息!$I:$I)&amp;"元","")</f>
        <v/>
      </c>
      <c r="O359" s="18" t="str">
        <f t="array" ref="O359">IF(_xlfn.XLOOKUP(A359&amp;B359&amp;C359,盘货信息!$A:$A&amp;盘货信息!$B:$B&amp;盘货信息!$C:$C,盘货信息!$K:$K)="","",IF(AND(_xlfn.XLOOKUP(A359&amp;B359&amp;C359,盘货信息!$A:$A&amp;盘货信息!$B:$B&amp;盘货信息!$C:$C,盘货信息!$G:$G)="不参加",_xlfn.XLOOKUP(A359&amp;B359&amp;C359,盘货信息!$A:$A&amp;盘货信息!$B:$B&amp;盘货信息!$C:$C,盘货信息!$H:$H)=""),"【以旧换新】"&amp;_xlfn.XLOOKUP(A359&amp;B359&amp;C359,盘货信息!$A:$A&amp;盘货信息!$B:$B&amp;盘货信息!$C:$C,盘货信息!$K:$K)&amp;"元以旧换新补贴（可无旧机换新）",""))</f>
        <v/>
      </c>
      <c r="P359" s="18" t="str">
        <f t="array" ref="P359">_xlfn.XLOOKUP(A359&amp;B359&amp;C359,赠品!$A:$A&amp;赠品!$B:$B&amp;赠品!$C:$C,赠品!$D:$D)</f>
        <v/>
      </c>
      <c r="Q359" s="18" t="str">
        <f>IF($C359="","",IF(AND(M359="",N359="",P359=""),"",固定信息!$B$1))</f>
        <v/>
      </c>
      <c r="R359" s="18" t="str">
        <f t="array" ref="R359">IF(ISNUMBER(SEARCH("是",_xlfn.XLOOKUP(A359&amp;B359&amp;C359,盘货信息!$A:$A&amp;盘货信息!$B:$B&amp;盘货信息!$C:$C,盘货信息!$U:$U))),"【折扣】指定型号满2类享96折，满3类享94折","")</f>
        <v/>
      </c>
      <c r="S359" s="18" t="str">
        <f t="array" ref="S359">IF(_xlfn.XLOOKUP(A359&amp;B359&amp;C359,盘货信息!$A:$A&amp;盘货信息!$B:$B&amp;盘货信息!$C:$C,盘货信息!$Q:$Q)&lt;1,"","【红包】活动时间购机送"&amp;_xlfn.TEXTJOIN("",,IF(ISNUMBER(--MID(_xlfn.XLOOKUP(A359&amp;B359&amp;C359,盘货信息!$A:$A&amp;盘货信息!$B:$B&amp;盘货信息!$C:$C,盘货信息!$Q:$Q),_xlfn.SEQUENCE(LEN(_xlfn.XLOOKUP(A359&amp;B359&amp;C359,盘货信息!$A:$A&amp;盘货信息!$B:$B&amp;盘货信息!$C:$C,盘货信息!$Q:$Q))),1)),MID(_xlfn.XLOOKUP(A359&amp;B359&amp;C359,盘货信息!$A:$A&amp;盘货信息!$B:$B&amp;盘货信息!$C:$C,盘货信息!$Q:$Q),_xlfn.SEQUENCE(LEN(_xlfn.XLOOKUP(A359&amp;B359&amp;C359,盘货信息!$A:$A&amp;盘货信息!$B:$B&amp;盘货信息!$C:$C,盘货信息!$Q:$Q))),1),""))&amp;"元")</f>
        <v/>
      </c>
      <c r="T359" s="18" t="str">
        <f t="array" ref="T359">IF(ISNUMBER(SEARCH("是",_xlfn.XLOOKUP(A359&amp;B359&amp;C359,盘货信息!$A:$A&amp;盘货信息!$B:$B&amp;盘货信息!$C:$C,盘货信息!$T:$T))),"【瓜分】"&amp;固定信息!$B$7,"")</f>
        <v/>
      </c>
      <c r="U359" s="18" t="str">
        <f>IF($C359="","",IF(AND(R359="",S359="",T359=""),"",固定信息!$B$1))</f>
        <v/>
      </c>
      <c r="V359" s="18" t="str">
        <f t="array" ref="V359">IF(C359="","","【服务】"&amp;IF(_xlfn.XLOOKUP(A359&amp;B359&amp;C359,盘货信息!$A:$A&amp;盘货信息!$B:$B&amp;盘货信息!$C:$C,盘货信息!$V:$V)="","",_xlfn.XLOOKUP(A359&amp;B359&amp;C359,盘货信息!$A:$A&amp;盘货信息!$B:$B&amp;盘货信息!$C:$C,盘货信息!$V:$V)&amp;"免息,")&amp;IF(_xlfn.XLOOKUP(A359&amp;B359&amp;C359,盘货信息!$A:$A&amp;盘货信息!$B:$B&amp;盘货信息!$C:$C,盘货信息!$W:$W)="","",_xlfn.XLOOKUP(A359&amp;B359&amp;C359,盘货信息!$A:$A&amp;盘货信息!$B:$B&amp;盘货信息!$C:$C,盘货信息!$W:$W)&amp;"，")&amp;"送货入户，退换免运费")</f>
        <v/>
      </c>
    </row>
    <row r="360" customHeight="1" spans="1:22">
      <c r="A360" s="17" t="str">
        <f>IF(盘货信息!A360="","",盘货信息!A360)</f>
        <v/>
      </c>
      <c r="B360" s="20" t="str">
        <f>IF(盘货信息!B360="","",盘货信息!B360)</f>
        <v/>
      </c>
      <c r="C360" s="18" t="str">
        <f>IF(盘货信息!C360="","",盘货信息!C360)</f>
        <v/>
      </c>
      <c r="D360" s="18" t="str">
        <f ca="1" t="shared" si="5"/>
        <v/>
      </c>
      <c r="E360" s="18" t="str">
        <f>IF(C360="","",固定信息!$B$2)</f>
        <v/>
      </c>
      <c r="F360" s="18" t="str">
        <f t="array" ref="F360">IF(C360="","","【"&amp;C360&amp;"】"&amp;_xlfn.XLOOKUP(A360&amp;B360&amp;C360,盘货信息!$A:$A&amp;盘货信息!$B:$B&amp;盘货信息!$C:$C,盘货信息!$D:$D))</f>
        <v/>
      </c>
      <c r="G360" s="18" t="str">
        <f>IF(C360="","","【"&amp;"活动时间："&amp;固定信息!$B$3&amp;"】")</f>
        <v/>
      </c>
      <c r="H360" s="18" t="str">
        <f>IF($C360="","",固定信息!$B$1)</f>
        <v/>
      </c>
      <c r="I360" s="18"/>
      <c r="J360" s="18" t="str">
        <f t="array" ref="J360">_xlfn.XLOOKUP(A360&amp;B360&amp;C360,价格信息!$A:$A&amp;价格信息!$B:$B&amp;价格信息!$C:$C,价格信息!$D:$D)</f>
        <v/>
      </c>
      <c r="K360" s="31" t="str">
        <f t="array" ref="K360">IF(_xlfn.XLOOKUP(A360&amp;B360&amp;C360,价格信息!$A:$A&amp;价格信息!$B:$B&amp;价格信息!$C:$C,价格信息!$I:$I)="","","【优惠券链接】"&amp;固定信息!$B$6)</f>
        <v/>
      </c>
      <c r="L360" s="31" t="str">
        <f>IF($C360="","",固定信息!$B$1)</f>
        <v/>
      </c>
      <c r="M360" s="18" t="str">
        <f t="array" ref="M360">IF(_xlfn.XLOOKUP(A360&amp;B360&amp;C360,盘货信息!$A:$A&amp;盘货信息!$B:$B&amp;盘货信息!$C:$C,盘货信息!$O:$O)="","","【优惠券】领"&amp;INDEX(_wpsfn.REGEXP(_xlfn.XLOOKUP(A360&amp;B360&amp;C360,盘货信息!$A:$A&amp;盘货信息!$B:$B&amp;盘货信息!$C:$C,盘货信息!$O:$O),"\d+"),1,1)&amp;"元优惠券下单更优惠，优惠卷："&amp;_xlfn.XLOOKUP(A360&amp;B360&amp;C360,盘货信息!$A:$A&amp;盘货信息!$B:$B&amp;盘货信息!$C:$C,盘货信息!$P:$P))</f>
        <v/>
      </c>
      <c r="N360" s="18" t="str">
        <f t="array" ref="N360">IF(AND(ISNUMBER(_xlfn.XLOOKUP(A360&amp;B360&amp;C360,盘货信息!$A:$A&amp;盘货信息!$B:$B&amp;盘货信息!$C:$C,盘货信息!$I:$I)),_xlfn.XLOOKUP(A360&amp;B360&amp;C360,盘货信息!$A:$A&amp;盘货信息!$B:$B&amp;盘货信息!$C:$C,盘货信息!$I:$I)&gt;1),"【88VIP】立减"&amp;_xlfn.XLOOKUP(A360&amp;B360&amp;C360,盘货信息!$A:$A&amp;盘货信息!$B:$B&amp;盘货信息!$C:$C,盘货信息!$I:$I)&amp;"元","")</f>
        <v/>
      </c>
      <c r="O360" s="18" t="str">
        <f t="array" ref="O360">IF(_xlfn.XLOOKUP(A360&amp;B360&amp;C360,盘货信息!$A:$A&amp;盘货信息!$B:$B&amp;盘货信息!$C:$C,盘货信息!$K:$K)="","",IF(AND(_xlfn.XLOOKUP(A360&amp;B360&amp;C360,盘货信息!$A:$A&amp;盘货信息!$B:$B&amp;盘货信息!$C:$C,盘货信息!$G:$G)="不参加",_xlfn.XLOOKUP(A360&amp;B360&amp;C360,盘货信息!$A:$A&amp;盘货信息!$B:$B&amp;盘货信息!$C:$C,盘货信息!$H:$H)=""),"【以旧换新】"&amp;_xlfn.XLOOKUP(A360&amp;B360&amp;C360,盘货信息!$A:$A&amp;盘货信息!$B:$B&amp;盘货信息!$C:$C,盘货信息!$K:$K)&amp;"元以旧换新补贴（可无旧机换新）",""))</f>
        <v/>
      </c>
      <c r="P360" s="18" t="str">
        <f t="array" ref="P360">_xlfn.XLOOKUP(A360&amp;B360&amp;C360,赠品!$A:$A&amp;赠品!$B:$B&amp;赠品!$C:$C,赠品!$D:$D)</f>
        <v/>
      </c>
      <c r="Q360" s="18" t="str">
        <f>IF($C360="","",IF(AND(M360="",N360="",P360=""),"",固定信息!$B$1))</f>
        <v/>
      </c>
      <c r="R360" s="18" t="str">
        <f t="array" ref="R360">IF(ISNUMBER(SEARCH("是",_xlfn.XLOOKUP(A360&amp;B360&amp;C360,盘货信息!$A:$A&amp;盘货信息!$B:$B&amp;盘货信息!$C:$C,盘货信息!$U:$U))),"【折扣】指定型号满2类享96折，满3类享94折","")</f>
        <v/>
      </c>
      <c r="S360" s="18" t="str">
        <f t="array" ref="S360">IF(_xlfn.XLOOKUP(A360&amp;B360&amp;C360,盘货信息!$A:$A&amp;盘货信息!$B:$B&amp;盘货信息!$C:$C,盘货信息!$Q:$Q)&lt;1,"","【红包】活动时间购机送"&amp;_xlfn.TEXTJOIN("",,IF(ISNUMBER(--MID(_xlfn.XLOOKUP(A360&amp;B360&amp;C360,盘货信息!$A:$A&amp;盘货信息!$B:$B&amp;盘货信息!$C:$C,盘货信息!$Q:$Q),_xlfn.SEQUENCE(LEN(_xlfn.XLOOKUP(A360&amp;B360&amp;C360,盘货信息!$A:$A&amp;盘货信息!$B:$B&amp;盘货信息!$C:$C,盘货信息!$Q:$Q))),1)),MID(_xlfn.XLOOKUP(A360&amp;B360&amp;C360,盘货信息!$A:$A&amp;盘货信息!$B:$B&amp;盘货信息!$C:$C,盘货信息!$Q:$Q),_xlfn.SEQUENCE(LEN(_xlfn.XLOOKUP(A360&amp;B360&amp;C360,盘货信息!$A:$A&amp;盘货信息!$B:$B&amp;盘货信息!$C:$C,盘货信息!$Q:$Q))),1),""))&amp;"元")</f>
        <v/>
      </c>
      <c r="T360" s="18" t="str">
        <f t="array" ref="T360">IF(ISNUMBER(SEARCH("是",_xlfn.XLOOKUP(A360&amp;B360&amp;C360,盘货信息!$A:$A&amp;盘货信息!$B:$B&amp;盘货信息!$C:$C,盘货信息!$T:$T))),"【瓜分】"&amp;固定信息!$B$7,"")</f>
        <v/>
      </c>
      <c r="U360" s="18" t="str">
        <f>IF($C360="","",IF(AND(R360="",S360="",T360=""),"",固定信息!$B$1))</f>
        <v/>
      </c>
      <c r="V360" s="18" t="str">
        <f t="array" ref="V360">IF(C360="","","【服务】"&amp;IF(_xlfn.XLOOKUP(A360&amp;B360&amp;C360,盘货信息!$A:$A&amp;盘货信息!$B:$B&amp;盘货信息!$C:$C,盘货信息!$V:$V)="","",_xlfn.XLOOKUP(A360&amp;B360&amp;C360,盘货信息!$A:$A&amp;盘货信息!$B:$B&amp;盘货信息!$C:$C,盘货信息!$V:$V)&amp;"免息,")&amp;IF(_xlfn.XLOOKUP(A360&amp;B360&amp;C360,盘货信息!$A:$A&amp;盘货信息!$B:$B&amp;盘货信息!$C:$C,盘货信息!$W:$W)="","",_xlfn.XLOOKUP(A360&amp;B360&amp;C360,盘货信息!$A:$A&amp;盘货信息!$B:$B&amp;盘货信息!$C:$C,盘货信息!$W:$W)&amp;"，")&amp;"送货入户，退换免运费")</f>
        <v/>
      </c>
    </row>
    <row r="361" customHeight="1" spans="1:22">
      <c r="A361" s="17" t="str">
        <f>IF(盘货信息!A361="","",盘货信息!A361)</f>
        <v/>
      </c>
      <c r="B361" s="20" t="str">
        <f>IF(盘货信息!B361="","",盘货信息!B361)</f>
        <v/>
      </c>
      <c r="C361" s="18" t="str">
        <f>IF(盘货信息!C361="","",盘货信息!C361)</f>
        <v/>
      </c>
      <c r="D361" s="18" t="str">
        <f ca="1" t="shared" si="5"/>
        <v/>
      </c>
      <c r="E361" s="18" t="str">
        <f>IF(C361="","",固定信息!$B$2)</f>
        <v/>
      </c>
      <c r="F361" s="18" t="str">
        <f t="array" ref="F361">IF(C361="","","【"&amp;C361&amp;"】"&amp;_xlfn.XLOOKUP(A361&amp;B361&amp;C361,盘货信息!$A:$A&amp;盘货信息!$B:$B&amp;盘货信息!$C:$C,盘货信息!$D:$D))</f>
        <v/>
      </c>
      <c r="G361" s="18" t="str">
        <f>IF(C361="","","【"&amp;"活动时间："&amp;固定信息!$B$3&amp;"】")</f>
        <v/>
      </c>
      <c r="H361" s="18" t="str">
        <f>IF($C361="","",固定信息!$B$1)</f>
        <v/>
      </c>
      <c r="I361" s="18"/>
      <c r="J361" s="18" t="str">
        <f t="array" ref="J361">_xlfn.XLOOKUP(A361&amp;B361&amp;C361,价格信息!$A:$A&amp;价格信息!$B:$B&amp;价格信息!$C:$C,价格信息!$D:$D)</f>
        <v/>
      </c>
      <c r="K361" s="31" t="str">
        <f t="array" ref="K361">IF(_xlfn.XLOOKUP(A361&amp;B361&amp;C361,价格信息!$A:$A&amp;价格信息!$B:$B&amp;价格信息!$C:$C,价格信息!$I:$I)="","","【优惠券链接】"&amp;固定信息!$B$6)</f>
        <v/>
      </c>
      <c r="L361" s="31" t="str">
        <f>IF($C361="","",固定信息!$B$1)</f>
        <v/>
      </c>
      <c r="M361" s="18" t="str">
        <f t="array" ref="M361">IF(_xlfn.XLOOKUP(A361&amp;B361&amp;C361,盘货信息!$A:$A&amp;盘货信息!$B:$B&amp;盘货信息!$C:$C,盘货信息!$O:$O)="","","【优惠券】领"&amp;INDEX(_wpsfn.REGEXP(_xlfn.XLOOKUP(A361&amp;B361&amp;C361,盘货信息!$A:$A&amp;盘货信息!$B:$B&amp;盘货信息!$C:$C,盘货信息!$O:$O),"\d+"),1,1)&amp;"元优惠券下单更优惠，优惠卷："&amp;_xlfn.XLOOKUP(A361&amp;B361&amp;C361,盘货信息!$A:$A&amp;盘货信息!$B:$B&amp;盘货信息!$C:$C,盘货信息!$P:$P))</f>
        <v/>
      </c>
      <c r="N361" s="18" t="str">
        <f t="array" ref="N361">IF(AND(ISNUMBER(_xlfn.XLOOKUP(A361&amp;B361&amp;C361,盘货信息!$A:$A&amp;盘货信息!$B:$B&amp;盘货信息!$C:$C,盘货信息!$I:$I)),_xlfn.XLOOKUP(A361&amp;B361&amp;C361,盘货信息!$A:$A&amp;盘货信息!$B:$B&amp;盘货信息!$C:$C,盘货信息!$I:$I)&gt;1),"【88VIP】立减"&amp;_xlfn.XLOOKUP(A361&amp;B361&amp;C361,盘货信息!$A:$A&amp;盘货信息!$B:$B&amp;盘货信息!$C:$C,盘货信息!$I:$I)&amp;"元","")</f>
        <v/>
      </c>
      <c r="O361" s="18" t="str">
        <f t="array" ref="O361">IF(_xlfn.XLOOKUP(A361&amp;B361&amp;C361,盘货信息!$A:$A&amp;盘货信息!$B:$B&amp;盘货信息!$C:$C,盘货信息!$K:$K)="","",IF(AND(_xlfn.XLOOKUP(A361&amp;B361&amp;C361,盘货信息!$A:$A&amp;盘货信息!$B:$B&amp;盘货信息!$C:$C,盘货信息!$G:$G)="不参加",_xlfn.XLOOKUP(A361&amp;B361&amp;C361,盘货信息!$A:$A&amp;盘货信息!$B:$B&amp;盘货信息!$C:$C,盘货信息!$H:$H)=""),"【以旧换新】"&amp;_xlfn.XLOOKUP(A361&amp;B361&amp;C361,盘货信息!$A:$A&amp;盘货信息!$B:$B&amp;盘货信息!$C:$C,盘货信息!$K:$K)&amp;"元以旧换新补贴（可无旧机换新）",""))</f>
        <v/>
      </c>
      <c r="P361" s="18" t="str">
        <f t="array" ref="P361">_xlfn.XLOOKUP(A361&amp;B361&amp;C361,赠品!$A:$A&amp;赠品!$B:$B&amp;赠品!$C:$C,赠品!$D:$D)</f>
        <v/>
      </c>
      <c r="Q361" s="18" t="str">
        <f>IF($C361="","",IF(AND(M361="",N361="",P361=""),"",固定信息!$B$1))</f>
        <v/>
      </c>
      <c r="R361" s="18" t="str">
        <f t="array" ref="R361">IF(ISNUMBER(SEARCH("是",_xlfn.XLOOKUP(A361&amp;B361&amp;C361,盘货信息!$A:$A&amp;盘货信息!$B:$B&amp;盘货信息!$C:$C,盘货信息!$U:$U))),"【折扣】指定型号满2类享96折，满3类享94折","")</f>
        <v/>
      </c>
      <c r="S361" s="18" t="str">
        <f t="array" ref="S361">IF(_xlfn.XLOOKUP(A361&amp;B361&amp;C361,盘货信息!$A:$A&amp;盘货信息!$B:$B&amp;盘货信息!$C:$C,盘货信息!$Q:$Q)&lt;1,"","【红包】活动时间购机送"&amp;_xlfn.TEXTJOIN("",,IF(ISNUMBER(--MID(_xlfn.XLOOKUP(A361&amp;B361&amp;C361,盘货信息!$A:$A&amp;盘货信息!$B:$B&amp;盘货信息!$C:$C,盘货信息!$Q:$Q),_xlfn.SEQUENCE(LEN(_xlfn.XLOOKUP(A361&amp;B361&amp;C361,盘货信息!$A:$A&amp;盘货信息!$B:$B&amp;盘货信息!$C:$C,盘货信息!$Q:$Q))),1)),MID(_xlfn.XLOOKUP(A361&amp;B361&amp;C361,盘货信息!$A:$A&amp;盘货信息!$B:$B&amp;盘货信息!$C:$C,盘货信息!$Q:$Q),_xlfn.SEQUENCE(LEN(_xlfn.XLOOKUP(A361&amp;B361&amp;C361,盘货信息!$A:$A&amp;盘货信息!$B:$B&amp;盘货信息!$C:$C,盘货信息!$Q:$Q))),1),""))&amp;"元")</f>
        <v/>
      </c>
      <c r="T361" s="18" t="str">
        <f t="array" ref="T361">IF(ISNUMBER(SEARCH("是",_xlfn.XLOOKUP(A361&amp;B361&amp;C361,盘货信息!$A:$A&amp;盘货信息!$B:$B&amp;盘货信息!$C:$C,盘货信息!$T:$T))),"【瓜分】"&amp;固定信息!$B$7,"")</f>
        <v/>
      </c>
      <c r="U361" s="18" t="str">
        <f>IF($C361="","",IF(AND(R361="",S361="",T361=""),"",固定信息!$B$1))</f>
        <v/>
      </c>
      <c r="V361" s="18" t="str">
        <f t="array" ref="V361">IF(C361="","","【服务】"&amp;IF(_xlfn.XLOOKUP(A361&amp;B361&amp;C361,盘货信息!$A:$A&amp;盘货信息!$B:$B&amp;盘货信息!$C:$C,盘货信息!$V:$V)="","",_xlfn.XLOOKUP(A361&amp;B361&amp;C361,盘货信息!$A:$A&amp;盘货信息!$B:$B&amp;盘货信息!$C:$C,盘货信息!$V:$V)&amp;"免息,")&amp;IF(_xlfn.XLOOKUP(A361&amp;B361&amp;C361,盘货信息!$A:$A&amp;盘货信息!$B:$B&amp;盘货信息!$C:$C,盘货信息!$W:$W)="","",_xlfn.XLOOKUP(A361&amp;B361&amp;C361,盘货信息!$A:$A&amp;盘货信息!$B:$B&amp;盘货信息!$C:$C,盘货信息!$W:$W)&amp;"，")&amp;"送货入户，退换免运费")</f>
        <v/>
      </c>
    </row>
    <row r="362" customHeight="1" spans="1:22">
      <c r="A362" s="17" t="str">
        <f>IF(盘货信息!A362="","",盘货信息!A362)</f>
        <v/>
      </c>
      <c r="B362" s="20" t="str">
        <f>IF(盘货信息!B362="","",盘货信息!B362)</f>
        <v/>
      </c>
      <c r="C362" s="18" t="str">
        <f>IF(盘货信息!C362="","",盘货信息!C362)</f>
        <v/>
      </c>
      <c r="D362" s="18" t="str">
        <f ca="1" t="shared" si="5"/>
        <v/>
      </c>
      <c r="E362" s="18" t="str">
        <f>IF(C362="","",固定信息!$B$2)</f>
        <v/>
      </c>
      <c r="F362" s="18" t="str">
        <f t="array" ref="F362">IF(C362="","","【"&amp;C362&amp;"】"&amp;_xlfn.XLOOKUP(A362&amp;B362&amp;C362,盘货信息!$A:$A&amp;盘货信息!$B:$B&amp;盘货信息!$C:$C,盘货信息!$D:$D))</f>
        <v/>
      </c>
      <c r="G362" s="18" t="str">
        <f>IF(C362="","","【"&amp;"活动时间："&amp;固定信息!$B$3&amp;"】")</f>
        <v/>
      </c>
      <c r="H362" s="18" t="str">
        <f>IF($C362="","",固定信息!$B$1)</f>
        <v/>
      </c>
      <c r="I362" s="18"/>
      <c r="J362" s="18" t="str">
        <f t="array" ref="J362">_xlfn.XLOOKUP(A362&amp;B362&amp;C362,价格信息!$A:$A&amp;价格信息!$B:$B&amp;价格信息!$C:$C,价格信息!$D:$D)</f>
        <v/>
      </c>
      <c r="K362" s="31" t="str">
        <f t="array" ref="K362">IF(_xlfn.XLOOKUP(A362&amp;B362&amp;C362,价格信息!$A:$A&amp;价格信息!$B:$B&amp;价格信息!$C:$C,价格信息!$I:$I)="","","【优惠券链接】"&amp;固定信息!$B$6)</f>
        <v/>
      </c>
      <c r="L362" s="31" t="str">
        <f>IF($C362="","",固定信息!$B$1)</f>
        <v/>
      </c>
      <c r="M362" s="18" t="str">
        <f t="array" ref="M362">IF(_xlfn.XLOOKUP(A362&amp;B362&amp;C362,盘货信息!$A:$A&amp;盘货信息!$B:$B&amp;盘货信息!$C:$C,盘货信息!$O:$O)="","","【优惠券】领"&amp;INDEX(_wpsfn.REGEXP(_xlfn.XLOOKUP(A362&amp;B362&amp;C362,盘货信息!$A:$A&amp;盘货信息!$B:$B&amp;盘货信息!$C:$C,盘货信息!$O:$O),"\d+"),1,1)&amp;"元优惠券下单更优惠，优惠卷："&amp;_xlfn.XLOOKUP(A362&amp;B362&amp;C362,盘货信息!$A:$A&amp;盘货信息!$B:$B&amp;盘货信息!$C:$C,盘货信息!$P:$P))</f>
        <v/>
      </c>
      <c r="N362" s="18" t="str">
        <f t="array" ref="N362">IF(AND(ISNUMBER(_xlfn.XLOOKUP(A362&amp;B362&amp;C362,盘货信息!$A:$A&amp;盘货信息!$B:$B&amp;盘货信息!$C:$C,盘货信息!$I:$I)),_xlfn.XLOOKUP(A362&amp;B362&amp;C362,盘货信息!$A:$A&amp;盘货信息!$B:$B&amp;盘货信息!$C:$C,盘货信息!$I:$I)&gt;1),"【88VIP】立减"&amp;_xlfn.XLOOKUP(A362&amp;B362&amp;C362,盘货信息!$A:$A&amp;盘货信息!$B:$B&amp;盘货信息!$C:$C,盘货信息!$I:$I)&amp;"元","")</f>
        <v/>
      </c>
      <c r="O362" s="18" t="str">
        <f t="array" ref="O362">IF(_xlfn.XLOOKUP(A362&amp;B362&amp;C362,盘货信息!$A:$A&amp;盘货信息!$B:$B&amp;盘货信息!$C:$C,盘货信息!$K:$K)="","",IF(AND(_xlfn.XLOOKUP(A362&amp;B362&amp;C362,盘货信息!$A:$A&amp;盘货信息!$B:$B&amp;盘货信息!$C:$C,盘货信息!$G:$G)="不参加",_xlfn.XLOOKUP(A362&amp;B362&amp;C362,盘货信息!$A:$A&amp;盘货信息!$B:$B&amp;盘货信息!$C:$C,盘货信息!$H:$H)=""),"【以旧换新】"&amp;_xlfn.XLOOKUP(A362&amp;B362&amp;C362,盘货信息!$A:$A&amp;盘货信息!$B:$B&amp;盘货信息!$C:$C,盘货信息!$K:$K)&amp;"元以旧换新补贴（可无旧机换新）",""))</f>
        <v/>
      </c>
      <c r="P362" s="18" t="str">
        <f t="array" ref="P362">_xlfn.XLOOKUP(A362&amp;B362&amp;C362,赠品!$A:$A&amp;赠品!$B:$B&amp;赠品!$C:$C,赠品!$D:$D)</f>
        <v/>
      </c>
      <c r="Q362" s="18" t="str">
        <f>IF($C362="","",IF(AND(M362="",N362="",P362=""),"",固定信息!$B$1))</f>
        <v/>
      </c>
      <c r="R362" s="18" t="str">
        <f t="array" ref="R362">IF(ISNUMBER(SEARCH("是",_xlfn.XLOOKUP(A362&amp;B362&amp;C362,盘货信息!$A:$A&amp;盘货信息!$B:$B&amp;盘货信息!$C:$C,盘货信息!$U:$U))),"【折扣】指定型号满2类享96折，满3类享94折","")</f>
        <v/>
      </c>
      <c r="S362" s="18" t="str">
        <f t="array" ref="S362">IF(_xlfn.XLOOKUP(A362&amp;B362&amp;C362,盘货信息!$A:$A&amp;盘货信息!$B:$B&amp;盘货信息!$C:$C,盘货信息!$Q:$Q)&lt;1,"","【红包】活动时间购机送"&amp;_xlfn.TEXTJOIN("",,IF(ISNUMBER(--MID(_xlfn.XLOOKUP(A362&amp;B362&amp;C362,盘货信息!$A:$A&amp;盘货信息!$B:$B&amp;盘货信息!$C:$C,盘货信息!$Q:$Q),_xlfn.SEQUENCE(LEN(_xlfn.XLOOKUP(A362&amp;B362&amp;C362,盘货信息!$A:$A&amp;盘货信息!$B:$B&amp;盘货信息!$C:$C,盘货信息!$Q:$Q))),1)),MID(_xlfn.XLOOKUP(A362&amp;B362&amp;C362,盘货信息!$A:$A&amp;盘货信息!$B:$B&amp;盘货信息!$C:$C,盘货信息!$Q:$Q),_xlfn.SEQUENCE(LEN(_xlfn.XLOOKUP(A362&amp;B362&amp;C362,盘货信息!$A:$A&amp;盘货信息!$B:$B&amp;盘货信息!$C:$C,盘货信息!$Q:$Q))),1),""))&amp;"元")</f>
        <v/>
      </c>
      <c r="T362" s="18" t="str">
        <f t="array" ref="T362">IF(ISNUMBER(SEARCH("是",_xlfn.XLOOKUP(A362&amp;B362&amp;C362,盘货信息!$A:$A&amp;盘货信息!$B:$B&amp;盘货信息!$C:$C,盘货信息!$T:$T))),"【瓜分】"&amp;固定信息!$B$7,"")</f>
        <v/>
      </c>
      <c r="U362" s="18" t="str">
        <f>IF($C362="","",IF(AND(R362="",S362="",T362=""),"",固定信息!$B$1))</f>
        <v/>
      </c>
      <c r="V362" s="18" t="str">
        <f t="array" ref="V362">IF(C362="","","【服务】"&amp;IF(_xlfn.XLOOKUP(A362&amp;B362&amp;C362,盘货信息!$A:$A&amp;盘货信息!$B:$B&amp;盘货信息!$C:$C,盘货信息!$V:$V)="","",_xlfn.XLOOKUP(A362&amp;B362&amp;C362,盘货信息!$A:$A&amp;盘货信息!$B:$B&amp;盘货信息!$C:$C,盘货信息!$V:$V)&amp;"免息,")&amp;IF(_xlfn.XLOOKUP(A362&amp;B362&amp;C362,盘货信息!$A:$A&amp;盘货信息!$B:$B&amp;盘货信息!$C:$C,盘货信息!$W:$W)="","",_xlfn.XLOOKUP(A362&amp;B362&amp;C362,盘货信息!$A:$A&amp;盘货信息!$B:$B&amp;盘货信息!$C:$C,盘货信息!$W:$W)&amp;"，")&amp;"送货入户，退换免运费")</f>
        <v/>
      </c>
    </row>
    <row r="363" customHeight="1" spans="1:22">
      <c r="A363" s="17" t="str">
        <f>IF(盘货信息!A363="","",盘货信息!A363)</f>
        <v/>
      </c>
      <c r="B363" s="20" t="str">
        <f>IF(盘货信息!B363="","",盘货信息!B363)</f>
        <v/>
      </c>
      <c r="C363" s="18" t="str">
        <f>IF(盘货信息!C363="","",盘货信息!C363)</f>
        <v/>
      </c>
      <c r="D363" s="18" t="str">
        <f ca="1" t="shared" si="5"/>
        <v/>
      </c>
      <c r="E363" s="18" t="str">
        <f>IF(C363="","",固定信息!$B$2)</f>
        <v/>
      </c>
      <c r="F363" s="18" t="str">
        <f t="array" ref="F363">IF(C363="","","【"&amp;C363&amp;"】"&amp;_xlfn.XLOOKUP(A363&amp;B363&amp;C363,盘货信息!$A:$A&amp;盘货信息!$B:$B&amp;盘货信息!$C:$C,盘货信息!$D:$D))</f>
        <v/>
      </c>
      <c r="G363" s="18" t="str">
        <f>IF(C363="","","【"&amp;"活动时间："&amp;固定信息!$B$3&amp;"】")</f>
        <v/>
      </c>
      <c r="H363" s="18" t="str">
        <f>IF($C363="","",固定信息!$B$1)</f>
        <v/>
      </c>
      <c r="I363" s="18"/>
      <c r="J363" s="18" t="str">
        <f t="array" ref="J363">_xlfn.XLOOKUP(A363&amp;B363&amp;C363,价格信息!$A:$A&amp;价格信息!$B:$B&amp;价格信息!$C:$C,价格信息!$D:$D)</f>
        <v/>
      </c>
      <c r="K363" s="31" t="str">
        <f t="array" ref="K363">IF(_xlfn.XLOOKUP(A363&amp;B363&amp;C363,价格信息!$A:$A&amp;价格信息!$B:$B&amp;价格信息!$C:$C,价格信息!$I:$I)="","","【优惠券链接】"&amp;固定信息!$B$6)</f>
        <v/>
      </c>
      <c r="L363" s="31" t="str">
        <f>IF($C363="","",固定信息!$B$1)</f>
        <v/>
      </c>
      <c r="M363" s="18" t="str">
        <f t="array" ref="M363">IF(_xlfn.XLOOKUP(A363&amp;B363&amp;C363,盘货信息!$A:$A&amp;盘货信息!$B:$B&amp;盘货信息!$C:$C,盘货信息!$O:$O)="","","【优惠券】领"&amp;INDEX(_wpsfn.REGEXP(_xlfn.XLOOKUP(A363&amp;B363&amp;C363,盘货信息!$A:$A&amp;盘货信息!$B:$B&amp;盘货信息!$C:$C,盘货信息!$O:$O),"\d+"),1,1)&amp;"元优惠券下单更优惠，优惠卷："&amp;_xlfn.XLOOKUP(A363&amp;B363&amp;C363,盘货信息!$A:$A&amp;盘货信息!$B:$B&amp;盘货信息!$C:$C,盘货信息!$P:$P))</f>
        <v/>
      </c>
      <c r="N363" s="18" t="str">
        <f t="array" ref="N363">IF(AND(ISNUMBER(_xlfn.XLOOKUP(A363&amp;B363&amp;C363,盘货信息!$A:$A&amp;盘货信息!$B:$B&amp;盘货信息!$C:$C,盘货信息!$I:$I)),_xlfn.XLOOKUP(A363&amp;B363&amp;C363,盘货信息!$A:$A&amp;盘货信息!$B:$B&amp;盘货信息!$C:$C,盘货信息!$I:$I)&gt;1),"【88VIP】立减"&amp;_xlfn.XLOOKUP(A363&amp;B363&amp;C363,盘货信息!$A:$A&amp;盘货信息!$B:$B&amp;盘货信息!$C:$C,盘货信息!$I:$I)&amp;"元","")</f>
        <v/>
      </c>
      <c r="O363" s="18" t="str">
        <f t="array" ref="O363">IF(_xlfn.XLOOKUP(A363&amp;B363&amp;C363,盘货信息!$A:$A&amp;盘货信息!$B:$B&amp;盘货信息!$C:$C,盘货信息!$K:$K)="","",IF(AND(_xlfn.XLOOKUP(A363&amp;B363&amp;C363,盘货信息!$A:$A&amp;盘货信息!$B:$B&amp;盘货信息!$C:$C,盘货信息!$G:$G)="不参加",_xlfn.XLOOKUP(A363&amp;B363&amp;C363,盘货信息!$A:$A&amp;盘货信息!$B:$B&amp;盘货信息!$C:$C,盘货信息!$H:$H)=""),"【以旧换新】"&amp;_xlfn.XLOOKUP(A363&amp;B363&amp;C363,盘货信息!$A:$A&amp;盘货信息!$B:$B&amp;盘货信息!$C:$C,盘货信息!$K:$K)&amp;"元以旧换新补贴（可无旧机换新）",""))</f>
        <v/>
      </c>
      <c r="P363" s="18" t="str">
        <f t="array" ref="P363">_xlfn.XLOOKUP(A363&amp;B363&amp;C363,赠品!$A:$A&amp;赠品!$B:$B&amp;赠品!$C:$C,赠品!$D:$D)</f>
        <v/>
      </c>
      <c r="Q363" s="18" t="str">
        <f>IF($C363="","",IF(AND(M363="",N363="",P363=""),"",固定信息!$B$1))</f>
        <v/>
      </c>
      <c r="R363" s="18" t="str">
        <f t="array" ref="R363">IF(ISNUMBER(SEARCH("是",_xlfn.XLOOKUP(A363&amp;B363&amp;C363,盘货信息!$A:$A&amp;盘货信息!$B:$B&amp;盘货信息!$C:$C,盘货信息!$U:$U))),"【折扣】指定型号满2类享96折，满3类享94折","")</f>
        <v/>
      </c>
      <c r="S363" s="18" t="str">
        <f t="array" ref="S363">IF(_xlfn.XLOOKUP(A363&amp;B363&amp;C363,盘货信息!$A:$A&amp;盘货信息!$B:$B&amp;盘货信息!$C:$C,盘货信息!$Q:$Q)&lt;1,"","【红包】活动时间购机送"&amp;_xlfn.TEXTJOIN("",,IF(ISNUMBER(--MID(_xlfn.XLOOKUP(A363&amp;B363&amp;C363,盘货信息!$A:$A&amp;盘货信息!$B:$B&amp;盘货信息!$C:$C,盘货信息!$Q:$Q),_xlfn.SEQUENCE(LEN(_xlfn.XLOOKUP(A363&amp;B363&amp;C363,盘货信息!$A:$A&amp;盘货信息!$B:$B&amp;盘货信息!$C:$C,盘货信息!$Q:$Q))),1)),MID(_xlfn.XLOOKUP(A363&amp;B363&amp;C363,盘货信息!$A:$A&amp;盘货信息!$B:$B&amp;盘货信息!$C:$C,盘货信息!$Q:$Q),_xlfn.SEQUENCE(LEN(_xlfn.XLOOKUP(A363&amp;B363&amp;C363,盘货信息!$A:$A&amp;盘货信息!$B:$B&amp;盘货信息!$C:$C,盘货信息!$Q:$Q))),1),""))&amp;"元")</f>
        <v/>
      </c>
      <c r="T363" s="18" t="str">
        <f t="array" ref="T363">IF(ISNUMBER(SEARCH("是",_xlfn.XLOOKUP(A363&amp;B363&amp;C363,盘货信息!$A:$A&amp;盘货信息!$B:$B&amp;盘货信息!$C:$C,盘货信息!$T:$T))),"【瓜分】"&amp;固定信息!$B$7,"")</f>
        <v/>
      </c>
      <c r="U363" s="18" t="str">
        <f>IF($C363="","",IF(AND(R363="",S363="",T363=""),"",固定信息!$B$1))</f>
        <v/>
      </c>
      <c r="V363" s="18" t="str">
        <f t="array" ref="V363">IF(C363="","","【服务】"&amp;IF(_xlfn.XLOOKUP(A363&amp;B363&amp;C363,盘货信息!$A:$A&amp;盘货信息!$B:$B&amp;盘货信息!$C:$C,盘货信息!$V:$V)="","",_xlfn.XLOOKUP(A363&amp;B363&amp;C363,盘货信息!$A:$A&amp;盘货信息!$B:$B&amp;盘货信息!$C:$C,盘货信息!$V:$V)&amp;"免息,")&amp;IF(_xlfn.XLOOKUP(A363&amp;B363&amp;C363,盘货信息!$A:$A&amp;盘货信息!$B:$B&amp;盘货信息!$C:$C,盘货信息!$W:$W)="","",_xlfn.XLOOKUP(A363&amp;B363&amp;C363,盘货信息!$A:$A&amp;盘货信息!$B:$B&amp;盘货信息!$C:$C,盘货信息!$W:$W)&amp;"，")&amp;"送货入户，退换免运费")</f>
        <v/>
      </c>
    </row>
    <row r="364" customHeight="1" spans="1:22">
      <c r="A364" s="17" t="str">
        <f>IF(盘货信息!A364="","",盘货信息!A364)</f>
        <v/>
      </c>
      <c r="B364" s="20" t="str">
        <f>IF(盘货信息!B364="","",盘货信息!B364)</f>
        <v/>
      </c>
      <c r="C364" s="18" t="str">
        <f>IF(盘货信息!C364="","",盘货信息!C364)</f>
        <v/>
      </c>
      <c r="D364" s="18" t="str">
        <f ca="1" t="shared" si="5"/>
        <v/>
      </c>
      <c r="E364" s="18" t="str">
        <f>IF(C364="","",固定信息!$B$2)</f>
        <v/>
      </c>
      <c r="F364" s="18" t="str">
        <f t="array" ref="F364">IF(C364="","","【"&amp;C364&amp;"】"&amp;_xlfn.XLOOKUP(A364&amp;B364&amp;C364,盘货信息!$A:$A&amp;盘货信息!$B:$B&amp;盘货信息!$C:$C,盘货信息!$D:$D))</f>
        <v/>
      </c>
      <c r="G364" s="18" t="str">
        <f>IF(C364="","","【"&amp;"活动时间："&amp;固定信息!$B$3&amp;"】")</f>
        <v/>
      </c>
      <c r="H364" s="18" t="str">
        <f>IF($C364="","",固定信息!$B$1)</f>
        <v/>
      </c>
      <c r="I364" s="18"/>
      <c r="J364" s="18" t="str">
        <f t="array" ref="J364">_xlfn.XLOOKUP(A364&amp;B364&amp;C364,价格信息!$A:$A&amp;价格信息!$B:$B&amp;价格信息!$C:$C,价格信息!$D:$D)</f>
        <v/>
      </c>
      <c r="K364" s="31" t="str">
        <f t="array" ref="K364">IF(_xlfn.XLOOKUP(A364&amp;B364&amp;C364,价格信息!$A:$A&amp;价格信息!$B:$B&amp;价格信息!$C:$C,价格信息!$I:$I)="","","【优惠券链接】"&amp;固定信息!$B$6)</f>
        <v/>
      </c>
      <c r="L364" s="31" t="str">
        <f>IF($C364="","",固定信息!$B$1)</f>
        <v/>
      </c>
      <c r="M364" s="18" t="str">
        <f t="array" ref="M364">IF(_xlfn.XLOOKUP(A364&amp;B364&amp;C364,盘货信息!$A:$A&amp;盘货信息!$B:$B&amp;盘货信息!$C:$C,盘货信息!$O:$O)="","","【优惠券】领"&amp;INDEX(_wpsfn.REGEXP(_xlfn.XLOOKUP(A364&amp;B364&amp;C364,盘货信息!$A:$A&amp;盘货信息!$B:$B&amp;盘货信息!$C:$C,盘货信息!$O:$O),"\d+"),1,1)&amp;"元优惠券下单更优惠，优惠卷："&amp;_xlfn.XLOOKUP(A364&amp;B364&amp;C364,盘货信息!$A:$A&amp;盘货信息!$B:$B&amp;盘货信息!$C:$C,盘货信息!$P:$P))</f>
        <v/>
      </c>
      <c r="N364" s="18" t="str">
        <f t="array" ref="N364">IF(AND(ISNUMBER(_xlfn.XLOOKUP(A364&amp;B364&amp;C364,盘货信息!$A:$A&amp;盘货信息!$B:$B&amp;盘货信息!$C:$C,盘货信息!$I:$I)),_xlfn.XLOOKUP(A364&amp;B364&amp;C364,盘货信息!$A:$A&amp;盘货信息!$B:$B&amp;盘货信息!$C:$C,盘货信息!$I:$I)&gt;1),"【88VIP】立减"&amp;_xlfn.XLOOKUP(A364&amp;B364&amp;C364,盘货信息!$A:$A&amp;盘货信息!$B:$B&amp;盘货信息!$C:$C,盘货信息!$I:$I)&amp;"元","")</f>
        <v/>
      </c>
      <c r="O364" s="18" t="str">
        <f t="array" ref="O364">IF(_xlfn.XLOOKUP(A364&amp;B364&amp;C364,盘货信息!$A:$A&amp;盘货信息!$B:$B&amp;盘货信息!$C:$C,盘货信息!$K:$K)="","",IF(AND(_xlfn.XLOOKUP(A364&amp;B364&amp;C364,盘货信息!$A:$A&amp;盘货信息!$B:$B&amp;盘货信息!$C:$C,盘货信息!$G:$G)="不参加",_xlfn.XLOOKUP(A364&amp;B364&amp;C364,盘货信息!$A:$A&amp;盘货信息!$B:$B&amp;盘货信息!$C:$C,盘货信息!$H:$H)=""),"【以旧换新】"&amp;_xlfn.XLOOKUP(A364&amp;B364&amp;C364,盘货信息!$A:$A&amp;盘货信息!$B:$B&amp;盘货信息!$C:$C,盘货信息!$K:$K)&amp;"元以旧换新补贴（可无旧机换新）",""))</f>
        <v/>
      </c>
      <c r="P364" s="18" t="str">
        <f t="array" ref="P364">_xlfn.XLOOKUP(A364&amp;B364&amp;C364,赠品!$A:$A&amp;赠品!$B:$B&amp;赠品!$C:$C,赠品!$D:$D)</f>
        <v/>
      </c>
      <c r="Q364" s="18" t="str">
        <f>IF($C364="","",IF(AND(M364="",N364="",P364=""),"",固定信息!$B$1))</f>
        <v/>
      </c>
      <c r="R364" s="18" t="str">
        <f t="array" ref="R364">IF(ISNUMBER(SEARCH("是",_xlfn.XLOOKUP(A364&amp;B364&amp;C364,盘货信息!$A:$A&amp;盘货信息!$B:$B&amp;盘货信息!$C:$C,盘货信息!$U:$U))),"【折扣】指定型号满2类享96折，满3类享94折","")</f>
        <v/>
      </c>
      <c r="S364" s="18" t="str">
        <f t="array" ref="S364">IF(_xlfn.XLOOKUP(A364&amp;B364&amp;C364,盘货信息!$A:$A&amp;盘货信息!$B:$B&amp;盘货信息!$C:$C,盘货信息!$Q:$Q)&lt;1,"","【红包】活动时间购机送"&amp;_xlfn.TEXTJOIN("",,IF(ISNUMBER(--MID(_xlfn.XLOOKUP(A364&amp;B364&amp;C364,盘货信息!$A:$A&amp;盘货信息!$B:$B&amp;盘货信息!$C:$C,盘货信息!$Q:$Q),_xlfn.SEQUENCE(LEN(_xlfn.XLOOKUP(A364&amp;B364&amp;C364,盘货信息!$A:$A&amp;盘货信息!$B:$B&amp;盘货信息!$C:$C,盘货信息!$Q:$Q))),1)),MID(_xlfn.XLOOKUP(A364&amp;B364&amp;C364,盘货信息!$A:$A&amp;盘货信息!$B:$B&amp;盘货信息!$C:$C,盘货信息!$Q:$Q),_xlfn.SEQUENCE(LEN(_xlfn.XLOOKUP(A364&amp;B364&amp;C364,盘货信息!$A:$A&amp;盘货信息!$B:$B&amp;盘货信息!$C:$C,盘货信息!$Q:$Q))),1),""))&amp;"元")</f>
        <v/>
      </c>
      <c r="T364" s="18" t="str">
        <f t="array" ref="T364">IF(ISNUMBER(SEARCH("是",_xlfn.XLOOKUP(A364&amp;B364&amp;C364,盘货信息!$A:$A&amp;盘货信息!$B:$B&amp;盘货信息!$C:$C,盘货信息!$T:$T))),"【瓜分】"&amp;固定信息!$B$7,"")</f>
        <v/>
      </c>
      <c r="U364" s="18" t="str">
        <f>IF($C364="","",IF(AND(R364="",S364="",T364=""),"",固定信息!$B$1))</f>
        <v/>
      </c>
      <c r="V364" s="18" t="str">
        <f t="array" ref="V364">IF(C364="","","【服务】"&amp;IF(_xlfn.XLOOKUP(A364&amp;B364&amp;C364,盘货信息!$A:$A&amp;盘货信息!$B:$B&amp;盘货信息!$C:$C,盘货信息!$V:$V)="","",_xlfn.XLOOKUP(A364&amp;B364&amp;C364,盘货信息!$A:$A&amp;盘货信息!$B:$B&amp;盘货信息!$C:$C,盘货信息!$V:$V)&amp;"免息,")&amp;IF(_xlfn.XLOOKUP(A364&amp;B364&amp;C364,盘货信息!$A:$A&amp;盘货信息!$B:$B&amp;盘货信息!$C:$C,盘货信息!$W:$W)="","",_xlfn.XLOOKUP(A364&amp;B364&amp;C364,盘货信息!$A:$A&amp;盘货信息!$B:$B&amp;盘货信息!$C:$C,盘货信息!$W:$W)&amp;"，")&amp;"送货入户，退换免运费")</f>
        <v/>
      </c>
    </row>
    <row r="365" customHeight="1" spans="1:22">
      <c r="A365" s="17" t="str">
        <f>IF(盘货信息!A365="","",盘货信息!A365)</f>
        <v/>
      </c>
      <c r="B365" s="20" t="str">
        <f>IF(盘货信息!B365="","",盘货信息!B365)</f>
        <v/>
      </c>
      <c r="C365" s="18" t="str">
        <f>IF(盘货信息!C365="","",盘货信息!C365)</f>
        <v/>
      </c>
      <c r="D365" s="18" t="str">
        <f ca="1" t="shared" si="5"/>
        <v/>
      </c>
      <c r="E365" s="18" t="str">
        <f>IF(C365="","",固定信息!$B$2)</f>
        <v/>
      </c>
      <c r="F365" s="18" t="str">
        <f t="array" ref="F365">IF(C365="","","【"&amp;C365&amp;"】"&amp;_xlfn.XLOOKUP(A365&amp;B365&amp;C365,盘货信息!$A:$A&amp;盘货信息!$B:$B&amp;盘货信息!$C:$C,盘货信息!$D:$D))</f>
        <v/>
      </c>
      <c r="G365" s="18" t="str">
        <f>IF(C365="","","【"&amp;"活动时间："&amp;固定信息!$B$3&amp;"】")</f>
        <v/>
      </c>
      <c r="H365" s="18" t="str">
        <f>IF($C365="","",固定信息!$B$1)</f>
        <v/>
      </c>
      <c r="I365" s="18"/>
      <c r="J365" s="18" t="str">
        <f t="array" ref="J365">_xlfn.XLOOKUP(A365&amp;B365&amp;C365,价格信息!$A:$A&amp;价格信息!$B:$B&amp;价格信息!$C:$C,价格信息!$D:$D)</f>
        <v/>
      </c>
      <c r="K365" s="31" t="str">
        <f t="array" ref="K365">IF(_xlfn.XLOOKUP(A365&amp;B365&amp;C365,价格信息!$A:$A&amp;价格信息!$B:$B&amp;价格信息!$C:$C,价格信息!$I:$I)="","","【优惠券链接】"&amp;固定信息!$B$6)</f>
        <v/>
      </c>
      <c r="L365" s="31" t="str">
        <f>IF($C365="","",固定信息!$B$1)</f>
        <v/>
      </c>
      <c r="M365" s="18" t="str">
        <f t="array" ref="M365">IF(_xlfn.XLOOKUP(A365&amp;B365&amp;C365,盘货信息!$A:$A&amp;盘货信息!$B:$B&amp;盘货信息!$C:$C,盘货信息!$O:$O)="","","【优惠券】领"&amp;INDEX(_wpsfn.REGEXP(_xlfn.XLOOKUP(A365&amp;B365&amp;C365,盘货信息!$A:$A&amp;盘货信息!$B:$B&amp;盘货信息!$C:$C,盘货信息!$O:$O),"\d+"),1,1)&amp;"元优惠券下单更优惠，优惠卷："&amp;_xlfn.XLOOKUP(A365&amp;B365&amp;C365,盘货信息!$A:$A&amp;盘货信息!$B:$B&amp;盘货信息!$C:$C,盘货信息!$P:$P))</f>
        <v/>
      </c>
      <c r="N365" s="18" t="str">
        <f t="array" ref="N365">IF(AND(ISNUMBER(_xlfn.XLOOKUP(A365&amp;B365&amp;C365,盘货信息!$A:$A&amp;盘货信息!$B:$B&amp;盘货信息!$C:$C,盘货信息!$I:$I)),_xlfn.XLOOKUP(A365&amp;B365&amp;C365,盘货信息!$A:$A&amp;盘货信息!$B:$B&amp;盘货信息!$C:$C,盘货信息!$I:$I)&gt;1),"【88VIP】立减"&amp;_xlfn.XLOOKUP(A365&amp;B365&amp;C365,盘货信息!$A:$A&amp;盘货信息!$B:$B&amp;盘货信息!$C:$C,盘货信息!$I:$I)&amp;"元","")</f>
        <v/>
      </c>
      <c r="O365" s="18" t="str">
        <f t="array" ref="O365">IF(_xlfn.XLOOKUP(A365&amp;B365&amp;C365,盘货信息!$A:$A&amp;盘货信息!$B:$B&amp;盘货信息!$C:$C,盘货信息!$K:$K)="","",IF(AND(_xlfn.XLOOKUP(A365&amp;B365&amp;C365,盘货信息!$A:$A&amp;盘货信息!$B:$B&amp;盘货信息!$C:$C,盘货信息!$G:$G)="不参加",_xlfn.XLOOKUP(A365&amp;B365&amp;C365,盘货信息!$A:$A&amp;盘货信息!$B:$B&amp;盘货信息!$C:$C,盘货信息!$H:$H)=""),"【以旧换新】"&amp;_xlfn.XLOOKUP(A365&amp;B365&amp;C365,盘货信息!$A:$A&amp;盘货信息!$B:$B&amp;盘货信息!$C:$C,盘货信息!$K:$K)&amp;"元以旧换新补贴（可无旧机换新）",""))</f>
        <v/>
      </c>
      <c r="P365" s="18" t="str">
        <f t="array" ref="P365">_xlfn.XLOOKUP(A365&amp;B365&amp;C365,赠品!$A:$A&amp;赠品!$B:$B&amp;赠品!$C:$C,赠品!$D:$D)</f>
        <v/>
      </c>
      <c r="Q365" s="18" t="str">
        <f>IF($C365="","",IF(AND(M365="",N365="",P365=""),"",固定信息!$B$1))</f>
        <v/>
      </c>
      <c r="R365" s="18" t="str">
        <f t="array" ref="R365">IF(ISNUMBER(SEARCH("是",_xlfn.XLOOKUP(A365&amp;B365&amp;C365,盘货信息!$A:$A&amp;盘货信息!$B:$B&amp;盘货信息!$C:$C,盘货信息!$U:$U))),"【折扣】指定型号满2类享96折，满3类享94折","")</f>
        <v/>
      </c>
      <c r="S365" s="18" t="str">
        <f t="array" ref="S365">IF(_xlfn.XLOOKUP(A365&amp;B365&amp;C365,盘货信息!$A:$A&amp;盘货信息!$B:$B&amp;盘货信息!$C:$C,盘货信息!$Q:$Q)&lt;1,"","【红包】活动时间购机送"&amp;_xlfn.TEXTJOIN("",,IF(ISNUMBER(--MID(_xlfn.XLOOKUP(A365&amp;B365&amp;C365,盘货信息!$A:$A&amp;盘货信息!$B:$B&amp;盘货信息!$C:$C,盘货信息!$Q:$Q),_xlfn.SEQUENCE(LEN(_xlfn.XLOOKUP(A365&amp;B365&amp;C365,盘货信息!$A:$A&amp;盘货信息!$B:$B&amp;盘货信息!$C:$C,盘货信息!$Q:$Q))),1)),MID(_xlfn.XLOOKUP(A365&amp;B365&amp;C365,盘货信息!$A:$A&amp;盘货信息!$B:$B&amp;盘货信息!$C:$C,盘货信息!$Q:$Q),_xlfn.SEQUENCE(LEN(_xlfn.XLOOKUP(A365&amp;B365&amp;C365,盘货信息!$A:$A&amp;盘货信息!$B:$B&amp;盘货信息!$C:$C,盘货信息!$Q:$Q))),1),""))&amp;"元")</f>
        <v/>
      </c>
      <c r="T365" s="18" t="str">
        <f t="array" ref="T365">IF(ISNUMBER(SEARCH("是",_xlfn.XLOOKUP(A365&amp;B365&amp;C365,盘货信息!$A:$A&amp;盘货信息!$B:$B&amp;盘货信息!$C:$C,盘货信息!$T:$T))),"【瓜分】"&amp;固定信息!$B$7,"")</f>
        <v/>
      </c>
      <c r="U365" s="18" t="str">
        <f>IF($C365="","",IF(AND(R365="",S365="",T365=""),"",固定信息!$B$1))</f>
        <v/>
      </c>
      <c r="V365" s="18" t="str">
        <f t="array" ref="V365">IF(C365="","","【服务】"&amp;IF(_xlfn.XLOOKUP(A365&amp;B365&amp;C365,盘货信息!$A:$A&amp;盘货信息!$B:$B&amp;盘货信息!$C:$C,盘货信息!$V:$V)="","",_xlfn.XLOOKUP(A365&amp;B365&amp;C365,盘货信息!$A:$A&amp;盘货信息!$B:$B&amp;盘货信息!$C:$C,盘货信息!$V:$V)&amp;"免息,")&amp;IF(_xlfn.XLOOKUP(A365&amp;B365&amp;C365,盘货信息!$A:$A&amp;盘货信息!$B:$B&amp;盘货信息!$C:$C,盘货信息!$W:$W)="","",_xlfn.XLOOKUP(A365&amp;B365&amp;C365,盘货信息!$A:$A&amp;盘货信息!$B:$B&amp;盘货信息!$C:$C,盘货信息!$W:$W)&amp;"，")&amp;"送货入户，退换免运费")</f>
        <v/>
      </c>
    </row>
    <row r="366" customHeight="1" spans="1:22">
      <c r="A366" s="17" t="str">
        <f>IF(盘货信息!A366="","",盘货信息!A366)</f>
        <v/>
      </c>
      <c r="B366" s="20" t="str">
        <f>IF(盘货信息!B366="","",盘货信息!B366)</f>
        <v/>
      </c>
      <c r="C366" s="18" t="str">
        <f>IF(盘货信息!C366="","",盘货信息!C366)</f>
        <v/>
      </c>
      <c r="D366" s="18" t="str">
        <f ca="1" t="shared" si="5"/>
        <v/>
      </c>
      <c r="E366" s="18" t="str">
        <f>IF(C366="","",固定信息!$B$2)</f>
        <v/>
      </c>
      <c r="F366" s="18" t="str">
        <f t="array" ref="F366">IF(C366="","","【"&amp;C366&amp;"】"&amp;_xlfn.XLOOKUP(A366&amp;B366&amp;C366,盘货信息!$A:$A&amp;盘货信息!$B:$B&amp;盘货信息!$C:$C,盘货信息!$D:$D))</f>
        <v/>
      </c>
      <c r="G366" s="18" t="str">
        <f>IF(C366="","","【"&amp;"活动时间："&amp;固定信息!$B$3&amp;"】")</f>
        <v/>
      </c>
      <c r="H366" s="18" t="str">
        <f>IF($C366="","",固定信息!$B$1)</f>
        <v/>
      </c>
      <c r="I366" s="18"/>
      <c r="J366" s="18" t="str">
        <f t="array" ref="J366">_xlfn.XLOOKUP(A366&amp;B366&amp;C366,价格信息!$A:$A&amp;价格信息!$B:$B&amp;价格信息!$C:$C,价格信息!$D:$D)</f>
        <v/>
      </c>
      <c r="K366" s="31" t="str">
        <f t="array" ref="K366">IF(_xlfn.XLOOKUP(A366&amp;B366&amp;C366,价格信息!$A:$A&amp;价格信息!$B:$B&amp;价格信息!$C:$C,价格信息!$I:$I)="","","【优惠券链接】"&amp;固定信息!$B$6)</f>
        <v/>
      </c>
      <c r="L366" s="31" t="str">
        <f>IF($C366="","",固定信息!$B$1)</f>
        <v/>
      </c>
      <c r="M366" s="18" t="str">
        <f t="array" ref="M366">IF(_xlfn.XLOOKUP(A366&amp;B366&amp;C366,盘货信息!$A:$A&amp;盘货信息!$B:$B&amp;盘货信息!$C:$C,盘货信息!$O:$O)="","","【优惠券】领"&amp;INDEX(_wpsfn.REGEXP(_xlfn.XLOOKUP(A366&amp;B366&amp;C366,盘货信息!$A:$A&amp;盘货信息!$B:$B&amp;盘货信息!$C:$C,盘货信息!$O:$O),"\d+"),1,1)&amp;"元优惠券下单更优惠，优惠卷："&amp;_xlfn.XLOOKUP(A366&amp;B366&amp;C366,盘货信息!$A:$A&amp;盘货信息!$B:$B&amp;盘货信息!$C:$C,盘货信息!$P:$P))</f>
        <v/>
      </c>
      <c r="N366" s="18" t="str">
        <f t="array" ref="N366">IF(AND(ISNUMBER(_xlfn.XLOOKUP(A366&amp;B366&amp;C366,盘货信息!$A:$A&amp;盘货信息!$B:$B&amp;盘货信息!$C:$C,盘货信息!$I:$I)),_xlfn.XLOOKUP(A366&amp;B366&amp;C366,盘货信息!$A:$A&amp;盘货信息!$B:$B&amp;盘货信息!$C:$C,盘货信息!$I:$I)&gt;1),"【88VIP】立减"&amp;_xlfn.XLOOKUP(A366&amp;B366&amp;C366,盘货信息!$A:$A&amp;盘货信息!$B:$B&amp;盘货信息!$C:$C,盘货信息!$I:$I)&amp;"元","")</f>
        <v/>
      </c>
      <c r="O366" s="18" t="str">
        <f t="array" ref="O366">IF(_xlfn.XLOOKUP(A366&amp;B366&amp;C366,盘货信息!$A:$A&amp;盘货信息!$B:$B&amp;盘货信息!$C:$C,盘货信息!$K:$K)="","",IF(AND(_xlfn.XLOOKUP(A366&amp;B366&amp;C366,盘货信息!$A:$A&amp;盘货信息!$B:$B&amp;盘货信息!$C:$C,盘货信息!$G:$G)="不参加",_xlfn.XLOOKUP(A366&amp;B366&amp;C366,盘货信息!$A:$A&amp;盘货信息!$B:$B&amp;盘货信息!$C:$C,盘货信息!$H:$H)=""),"【以旧换新】"&amp;_xlfn.XLOOKUP(A366&amp;B366&amp;C366,盘货信息!$A:$A&amp;盘货信息!$B:$B&amp;盘货信息!$C:$C,盘货信息!$K:$K)&amp;"元以旧换新补贴（可无旧机换新）",""))</f>
        <v/>
      </c>
      <c r="P366" s="18" t="str">
        <f t="array" ref="P366">_xlfn.XLOOKUP(A366&amp;B366&amp;C366,赠品!$A:$A&amp;赠品!$B:$B&amp;赠品!$C:$C,赠品!$D:$D)</f>
        <v/>
      </c>
      <c r="Q366" s="18" t="str">
        <f>IF($C366="","",IF(AND(M366="",N366="",P366=""),"",固定信息!$B$1))</f>
        <v/>
      </c>
      <c r="R366" s="18" t="str">
        <f t="array" ref="R366">IF(ISNUMBER(SEARCH("是",_xlfn.XLOOKUP(A366&amp;B366&amp;C366,盘货信息!$A:$A&amp;盘货信息!$B:$B&amp;盘货信息!$C:$C,盘货信息!$U:$U))),"【折扣】指定型号满2类享96折，满3类享94折","")</f>
        <v/>
      </c>
      <c r="S366" s="18" t="str">
        <f t="array" ref="S366">IF(_xlfn.XLOOKUP(A366&amp;B366&amp;C366,盘货信息!$A:$A&amp;盘货信息!$B:$B&amp;盘货信息!$C:$C,盘货信息!$Q:$Q)&lt;1,"","【红包】活动时间购机送"&amp;_xlfn.TEXTJOIN("",,IF(ISNUMBER(--MID(_xlfn.XLOOKUP(A366&amp;B366&amp;C366,盘货信息!$A:$A&amp;盘货信息!$B:$B&amp;盘货信息!$C:$C,盘货信息!$Q:$Q),_xlfn.SEQUENCE(LEN(_xlfn.XLOOKUP(A366&amp;B366&amp;C366,盘货信息!$A:$A&amp;盘货信息!$B:$B&amp;盘货信息!$C:$C,盘货信息!$Q:$Q))),1)),MID(_xlfn.XLOOKUP(A366&amp;B366&amp;C366,盘货信息!$A:$A&amp;盘货信息!$B:$B&amp;盘货信息!$C:$C,盘货信息!$Q:$Q),_xlfn.SEQUENCE(LEN(_xlfn.XLOOKUP(A366&amp;B366&amp;C366,盘货信息!$A:$A&amp;盘货信息!$B:$B&amp;盘货信息!$C:$C,盘货信息!$Q:$Q))),1),""))&amp;"元")</f>
        <v/>
      </c>
      <c r="T366" s="18" t="str">
        <f t="array" ref="T366">IF(ISNUMBER(SEARCH("是",_xlfn.XLOOKUP(A366&amp;B366&amp;C366,盘货信息!$A:$A&amp;盘货信息!$B:$B&amp;盘货信息!$C:$C,盘货信息!$T:$T))),"【瓜分】"&amp;固定信息!$B$7,"")</f>
        <v/>
      </c>
      <c r="U366" s="18" t="str">
        <f>IF($C366="","",IF(AND(R366="",S366="",T366=""),"",固定信息!$B$1))</f>
        <v/>
      </c>
      <c r="V366" s="18" t="str">
        <f t="array" ref="V366">IF(C366="","","【服务】"&amp;IF(_xlfn.XLOOKUP(A366&amp;B366&amp;C366,盘货信息!$A:$A&amp;盘货信息!$B:$B&amp;盘货信息!$C:$C,盘货信息!$V:$V)="","",_xlfn.XLOOKUP(A366&amp;B366&amp;C366,盘货信息!$A:$A&amp;盘货信息!$B:$B&amp;盘货信息!$C:$C,盘货信息!$V:$V)&amp;"免息,")&amp;IF(_xlfn.XLOOKUP(A366&amp;B366&amp;C366,盘货信息!$A:$A&amp;盘货信息!$B:$B&amp;盘货信息!$C:$C,盘货信息!$W:$W)="","",_xlfn.XLOOKUP(A366&amp;B366&amp;C366,盘货信息!$A:$A&amp;盘货信息!$B:$B&amp;盘货信息!$C:$C,盘货信息!$W:$W)&amp;"，")&amp;"送货入户，退换免运费")</f>
        <v/>
      </c>
    </row>
    <row r="367" customHeight="1" spans="1:22">
      <c r="A367" s="17" t="str">
        <f>IF(盘货信息!A367="","",盘货信息!A367)</f>
        <v/>
      </c>
      <c r="B367" s="20" t="str">
        <f>IF(盘货信息!B367="","",盘货信息!B367)</f>
        <v/>
      </c>
      <c r="C367" s="18" t="str">
        <f>IF(盘货信息!C367="","",盘货信息!C367)</f>
        <v/>
      </c>
      <c r="D367" s="18" t="str">
        <f ca="1" t="shared" si="5"/>
        <v/>
      </c>
      <c r="E367" s="18" t="str">
        <f>IF(C367="","",固定信息!$B$2)</f>
        <v/>
      </c>
      <c r="F367" s="18" t="str">
        <f t="array" ref="F367">IF(C367="","","【"&amp;C367&amp;"】"&amp;_xlfn.XLOOKUP(A367&amp;B367&amp;C367,盘货信息!$A:$A&amp;盘货信息!$B:$B&amp;盘货信息!$C:$C,盘货信息!$D:$D))</f>
        <v/>
      </c>
      <c r="G367" s="18" t="str">
        <f>IF(C367="","","【"&amp;"活动时间："&amp;固定信息!$B$3&amp;"】")</f>
        <v/>
      </c>
      <c r="H367" s="18" t="str">
        <f>IF($C367="","",固定信息!$B$1)</f>
        <v/>
      </c>
      <c r="I367" s="18"/>
      <c r="J367" s="18" t="str">
        <f t="array" ref="J367">_xlfn.XLOOKUP(A367&amp;B367&amp;C367,价格信息!$A:$A&amp;价格信息!$B:$B&amp;价格信息!$C:$C,价格信息!$D:$D)</f>
        <v/>
      </c>
      <c r="K367" s="31" t="str">
        <f t="array" ref="K367">IF(_xlfn.XLOOKUP(A367&amp;B367&amp;C367,价格信息!$A:$A&amp;价格信息!$B:$B&amp;价格信息!$C:$C,价格信息!$I:$I)="","","【优惠券链接】"&amp;固定信息!$B$6)</f>
        <v/>
      </c>
      <c r="L367" s="31" t="str">
        <f>IF($C367="","",固定信息!$B$1)</f>
        <v/>
      </c>
      <c r="M367" s="18" t="str">
        <f t="array" ref="M367">IF(_xlfn.XLOOKUP(A367&amp;B367&amp;C367,盘货信息!$A:$A&amp;盘货信息!$B:$B&amp;盘货信息!$C:$C,盘货信息!$O:$O)="","","【优惠券】领"&amp;INDEX(_wpsfn.REGEXP(_xlfn.XLOOKUP(A367&amp;B367&amp;C367,盘货信息!$A:$A&amp;盘货信息!$B:$B&amp;盘货信息!$C:$C,盘货信息!$O:$O),"\d+"),1,1)&amp;"元优惠券下单更优惠，优惠卷："&amp;_xlfn.XLOOKUP(A367&amp;B367&amp;C367,盘货信息!$A:$A&amp;盘货信息!$B:$B&amp;盘货信息!$C:$C,盘货信息!$P:$P))</f>
        <v/>
      </c>
      <c r="N367" s="18" t="str">
        <f t="array" ref="N367">IF(AND(ISNUMBER(_xlfn.XLOOKUP(A367&amp;B367&amp;C367,盘货信息!$A:$A&amp;盘货信息!$B:$B&amp;盘货信息!$C:$C,盘货信息!$I:$I)),_xlfn.XLOOKUP(A367&amp;B367&amp;C367,盘货信息!$A:$A&amp;盘货信息!$B:$B&amp;盘货信息!$C:$C,盘货信息!$I:$I)&gt;1),"【88VIP】立减"&amp;_xlfn.XLOOKUP(A367&amp;B367&amp;C367,盘货信息!$A:$A&amp;盘货信息!$B:$B&amp;盘货信息!$C:$C,盘货信息!$I:$I)&amp;"元","")</f>
        <v/>
      </c>
      <c r="O367" s="18" t="str">
        <f t="array" ref="O367">IF(_xlfn.XLOOKUP(A367&amp;B367&amp;C367,盘货信息!$A:$A&amp;盘货信息!$B:$B&amp;盘货信息!$C:$C,盘货信息!$K:$K)="","",IF(AND(_xlfn.XLOOKUP(A367&amp;B367&amp;C367,盘货信息!$A:$A&amp;盘货信息!$B:$B&amp;盘货信息!$C:$C,盘货信息!$G:$G)="不参加",_xlfn.XLOOKUP(A367&amp;B367&amp;C367,盘货信息!$A:$A&amp;盘货信息!$B:$B&amp;盘货信息!$C:$C,盘货信息!$H:$H)=""),"【以旧换新】"&amp;_xlfn.XLOOKUP(A367&amp;B367&amp;C367,盘货信息!$A:$A&amp;盘货信息!$B:$B&amp;盘货信息!$C:$C,盘货信息!$K:$K)&amp;"元以旧换新补贴（可无旧机换新）",""))</f>
        <v/>
      </c>
      <c r="P367" s="18" t="str">
        <f t="array" ref="P367">_xlfn.XLOOKUP(A367&amp;B367&amp;C367,赠品!$A:$A&amp;赠品!$B:$B&amp;赠品!$C:$C,赠品!$D:$D)</f>
        <v/>
      </c>
      <c r="Q367" s="18" t="str">
        <f>IF($C367="","",IF(AND(M367="",N367="",P367=""),"",固定信息!$B$1))</f>
        <v/>
      </c>
      <c r="R367" s="18" t="str">
        <f t="array" ref="R367">IF(ISNUMBER(SEARCH("是",_xlfn.XLOOKUP(A367&amp;B367&amp;C367,盘货信息!$A:$A&amp;盘货信息!$B:$B&amp;盘货信息!$C:$C,盘货信息!$U:$U))),"【折扣】指定型号满2类享96折，满3类享94折","")</f>
        <v/>
      </c>
      <c r="S367" s="18" t="str">
        <f t="array" ref="S367">IF(_xlfn.XLOOKUP(A367&amp;B367&amp;C367,盘货信息!$A:$A&amp;盘货信息!$B:$B&amp;盘货信息!$C:$C,盘货信息!$Q:$Q)&lt;1,"","【红包】活动时间购机送"&amp;_xlfn.TEXTJOIN("",,IF(ISNUMBER(--MID(_xlfn.XLOOKUP(A367&amp;B367&amp;C367,盘货信息!$A:$A&amp;盘货信息!$B:$B&amp;盘货信息!$C:$C,盘货信息!$Q:$Q),_xlfn.SEQUENCE(LEN(_xlfn.XLOOKUP(A367&amp;B367&amp;C367,盘货信息!$A:$A&amp;盘货信息!$B:$B&amp;盘货信息!$C:$C,盘货信息!$Q:$Q))),1)),MID(_xlfn.XLOOKUP(A367&amp;B367&amp;C367,盘货信息!$A:$A&amp;盘货信息!$B:$B&amp;盘货信息!$C:$C,盘货信息!$Q:$Q),_xlfn.SEQUENCE(LEN(_xlfn.XLOOKUP(A367&amp;B367&amp;C367,盘货信息!$A:$A&amp;盘货信息!$B:$B&amp;盘货信息!$C:$C,盘货信息!$Q:$Q))),1),""))&amp;"元")</f>
        <v/>
      </c>
      <c r="T367" s="18" t="str">
        <f t="array" ref="T367">IF(ISNUMBER(SEARCH("是",_xlfn.XLOOKUP(A367&amp;B367&amp;C367,盘货信息!$A:$A&amp;盘货信息!$B:$B&amp;盘货信息!$C:$C,盘货信息!$T:$T))),"【瓜分】"&amp;固定信息!$B$7,"")</f>
        <v/>
      </c>
      <c r="U367" s="18" t="str">
        <f>IF($C367="","",IF(AND(R367="",S367="",T367=""),"",固定信息!$B$1))</f>
        <v/>
      </c>
      <c r="V367" s="18" t="str">
        <f t="array" ref="V367">IF(C367="","","【服务】"&amp;IF(_xlfn.XLOOKUP(A367&amp;B367&amp;C367,盘货信息!$A:$A&amp;盘货信息!$B:$B&amp;盘货信息!$C:$C,盘货信息!$V:$V)="","",_xlfn.XLOOKUP(A367&amp;B367&amp;C367,盘货信息!$A:$A&amp;盘货信息!$B:$B&amp;盘货信息!$C:$C,盘货信息!$V:$V)&amp;"免息,")&amp;IF(_xlfn.XLOOKUP(A367&amp;B367&amp;C367,盘货信息!$A:$A&amp;盘货信息!$B:$B&amp;盘货信息!$C:$C,盘货信息!$W:$W)="","",_xlfn.XLOOKUP(A367&amp;B367&amp;C367,盘货信息!$A:$A&amp;盘货信息!$B:$B&amp;盘货信息!$C:$C,盘货信息!$W:$W)&amp;"，")&amp;"送货入户，退换免运费")</f>
        <v/>
      </c>
    </row>
    <row r="368" customHeight="1" spans="1:22">
      <c r="A368" s="17" t="str">
        <f>IF(盘货信息!A368="","",盘货信息!A368)</f>
        <v/>
      </c>
      <c r="B368" s="20" t="str">
        <f>IF(盘货信息!B368="","",盘货信息!B368)</f>
        <v/>
      </c>
      <c r="C368" s="18" t="str">
        <f>IF(盘货信息!C368="","",盘货信息!C368)</f>
        <v/>
      </c>
      <c r="D368" s="18" t="str">
        <f ca="1" t="shared" si="5"/>
        <v/>
      </c>
      <c r="E368" s="18" t="str">
        <f>IF(C368="","",固定信息!$B$2)</f>
        <v/>
      </c>
      <c r="F368" s="18" t="str">
        <f t="array" ref="F368">IF(C368="","","【"&amp;C368&amp;"】"&amp;_xlfn.XLOOKUP(A368&amp;B368&amp;C368,盘货信息!$A:$A&amp;盘货信息!$B:$B&amp;盘货信息!$C:$C,盘货信息!$D:$D))</f>
        <v/>
      </c>
      <c r="G368" s="18" t="str">
        <f>IF(C368="","","【"&amp;"活动时间："&amp;固定信息!$B$3&amp;"】")</f>
        <v/>
      </c>
      <c r="H368" s="18" t="str">
        <f>IF($C368="","",固定信息!$B$1)</f>
        <v/>
      </c>
      <c r="I368" s="18"/>
      <c r="J368" s="18" t="str">
        <f t="array" ref="J368">_xlfn.XLOOKUP(A368&amp;B368&amp;C368,价格信息!$A:$A&amp;价格信息!$B:$B&amp;价格信息!$C:$C,价格信息!$D:$D)</f>
        <v/>
      </c>
      <c r="K368" s="31" t="str">
        <f t="array" ref="K368">IF(_xlfn.XLOOKUP(A368&amp;B368&amp;C368,价格信息!$A:$A&amp;价格信息!$B:$B&amp;价格信息!$C:$C,价格信息!$I:$I)="","","【优惠券链接】"&amp;固定信息!$B$6)</f>
        <v/>
      </c>
      <c r="L368" s="31" t="str">
        <f>IF($C368="","",固定信息!$B$1)</f>
        <v/>
      </c>
      <c r="M368" s="18" t="str">
        <f t="array" ref="M368">IF(_xlfn.XLOOKUP(A368&amp;B368&amp;C368,盘货信息!$A:$A&amp;盘货信息!$B:$B&amp;盘货信息!$C:$C,盘货信息!$O:$O)="","","【优惠券】领"&amp;INDEX(_wpsfn.REGEXP(_xlfn.XLOOKUP(A368&amp;B368&amp;C368,盘货信息!$A:$A&amp;盘货信息!$B:$B&amp;盘货信息!$C:$C,盘货信息!$O:$O),"\d+"),1,1)&amp;"元优惠券下单更优惠，优惠卷："&amp;_xlfn.XLOOKUP(A368&amp;B368&amp;C368,盘货信息!$A:$A&amp;盘货信息!$B:$B&amp;盘货信息!$C:$C,盘货信息!$P:$P))</f>
        <v/>
      </c>
      <c r="N368" s="18" t="str">
        <f t="array" ref="N368">IF(AND(ISNUMBER(_xlfn.XLOOKUP(A368&amp;B368&amp;C368,盘货信息!$A:$A&amp;盘货信息!$B:$B&amp;盘货信息!$C:$C,盘货信息!$I:$I)),_xlfn.XLOOKUP(A368&amp;B368&amp;C368,盘货信息!$A:$A&amp;盘货信息!$B:$B&amp;盘货信息!$C:$C,盘货信息!$I:$I)&gt;1),"【88VIP】立减"&amp;_xlfn.XLOOKUP(A368&amp;B368&amp;C368,盘货信息!$A:$A&amp;盘货信息!$B:$B&amp;盘货信息!$C:$C,盘货信息!$I:$I)&amp;"元","")</f>
        <v/>
      </c>
      <c r="O368" s="18" t="str">
        <f t="array" ref="O368">IF(_xlfn.XLOOKUP(A368&amp;B368&amp;C368,盘货信息!$A:$A&amp;盘货信息!$B:$B&amp;盘货信息!$C:$C,盘货信息!$K:$K)="","",IF(AND(_xlfn.XLOOKUP(A368&amp;B368&amp;C368,盘货信息!$A:$A&amp;盘货信息!$B:$B&amp;盘货信息!$C:$C,盘货信息!$G:$G)="不参加",_xlfn.XLOOKUP(A368&amp;B368&amp;C368,盘货信息!$A:$A&amp;盘货信息!$B:$B&amp;盘货信息!$C:$C,盘货信息!$H:$H)=""),"【以旧换新】"&amp;_xlfn.XLOOKUP(A368&amp;B368&amp;C368,盘货信息!$A:$A&amp;盘货信息!$B:$B&amp;盘货信息!$C:$C,盘货信息!$K:$K)&amp;"元以旧换新补贴（可无旧机换新）",""))</f>
        <v/>
      </c>
      <c r="P368" s="18" t="str">
        <f t="array" ref="P368">_xlfn.XLOOKUP(A368&amp;B368&amp;C368,赠品!$A:$A&amp;赠品!$B:$B&amp;赠品!$C:$C,赠品!$D:$D)</f>
        <v/>
      </c>
      <c r="Q368" s="18" t="str">
        <f>IF($C368="","",IF(AND(M368="",N368="",P368=""),"",固定信息!$B$1))</f>
        <v/>
      </c>
      <c r="R368" s="18" t="str">
        <f t="array" ref="R368">IF(ISNUMBER(SEARCH("是",_xlfn.XLOOKUP(A368&amp;B368&amp;C368,盘货信息!$A:$A&amp;盘货信息!$B:$B&amp;盘货信息!$C:$C,盘货信息!$U:$U))),"【折扣】指定型号满2类享96折，满3类享94折","")</f>
        <v/>
      </c>
      <c r="S368" s="18" t="str">
        <f t="array" ref="S368">IF(_xlfn.XLOOKUP(A368&amp;B368&amp;C368,盘货信息!$A:$A&amp;盘货信息!$B:$B&amp;盘货信息!$C:$C,盘货信息!$Q:$Q)&lt;1,"","【红包】活动时间购机送"&amp;_xlfn.TEXTJOIN("",,IF(ISNUMBER(--MID(_xlfn.XLOOKUP(A368&amp;B368&amp;C368,盘货信息!$A:$A&amp;盘货信息!$B:$B&amp;盘货信息!$C:$C,盘货信息!$Q:$Q),_xlfn.SEQUENCE(LEN(_xlfn.XLOOKUP(A368&amp;B368&amp;C368,盘货信息!$A:$A&amp;盘货信息!$B:$B&amp;盘货信息!$C:$C,盘货信息!$Q:$Q))),1)),MID(_xlfn.XLOOKUP(A368&amp;B368&amp;C368,盘货信息!$A:$A&amp;盘货信息!$B:$B&amp;盘货信息!$C:$C,盘货信息!$Q:$Q),_xlfn.SEQUENCE(LEN(_xlfn.XLOOKUP(A368&amp;B368&amp;C368,盘货信息!$A:$A&amp;盘货信息!$B:$B&amp;盘货信息!$C:$C,盘货信息!$Q:$Q))),1),""))&amp;"元")</f>
        <v/>
      </c>
      <c r="T368" s="18" t="str">
        <f t="array" ref="T368">IF(ISNUMBER(SEARCH("是",_xlfn.XLOOKUP(A368&amp;B368&amp;C368,盘货信息!$A:$A&amp;盘货信息!$B:$B&amp;盘货信息!$C:$C,盘货信息!$T:$T))),"【瓜分】"&amp;固定信息!$B$7,"")</f>
        <v/>
      </c>
      <c r="U368" s="18" t="str">
        <f>IF($C368="","",IF(AND(R368="",S368="",T368=""),"",固定信息!$B$1))</f>
        <v/>
      </c>
      <c r="V368" s="18" t="str">
        <f t="array" ref="V368">IF(C368="","","【服务】"&amp;IF(_xlfn.XLOOKUP(A368&amp;B368&amp;C368,盘货信息!$A:$A&amp;盘货信息!$B:$B&amp;盘货信息!$C:$C,盘货信息!$V:$V)="","",_xlfn.XLOOKUP(A368&amp;B368&amp;C368,盘货信息!$A:$A&amp;盘货信息!$B:$B&amp;盘货信息!$C:$C,盘货信息!$V:$V)&amp;"免息,")&amp;IF(_xlfn.XLOOKUP(A368&amp;B368&amp;C368,盘货信息!$A:$A&amp;盘货信息!$B:$B&amp;盘货信息!$C:$C,盘货信息!$W:$W)="","",_xlfn.XLOOKUP(A368&amp;B368&amp;C368,盘货信息!$A:$A&amp;盘货信息!$B:$B&amp;盘货信息!$C:$C,盘货信息!$W:$W)&amp;"，")&amp;"送货入户，退换免运费")</f>
        <v/>
      </c>
    </row>
    <row r="369" customHeight="1" spans="1:22">
      <c r="A369" s="17" t="str">
        <f>IF(盘货信息!A369="","",盘货信息!A369)</f>
        <v/>
      </c>
      <c r="B369" s="20" t="str">
        <f>IF(盘货信息!B369="","",盘货信息!B369)</f>
        <v/>
      </c>
      <c r="C369" s="18" t="str">
        <f>IF(盘货信息!C369="","",盘货信息!C369)</f>
        <v/>
      </c>
      <c r="D369" s="18" t="str">
        <f ca="1" t="shared" si="5"/>
        <v/>
      </c>
      <c r="E369" s="18" t="str">
        <f>IF(C369="","",固定信息!$B$2)</f>
        <v/>
      </c>
      <c r="F369" s="18" t="str">
        <f t="array" ref="F369">IF(C369="","","【"&amp;C369&amp;"】"&amp;_xlfn.XLOOKUP(A369&amp;B369&amp;C369,盘货信息!$A:$A&amp;盘货信息!$B:$B&amp;盘货信息!$C:$C,盘货信息!$D:$D))</f>
        <v/>
      </c>
      <c r="G369" s="18" t="str">
        <f>IF(C369="","","【"&amp;"活动时间："&amp;固定信息!$B$3&amp;"】")</f>
        <v/>
      </c>
      <c r="H369" s="18" t="str">
        <f>IF($C369="","",固定信息!$B$1)</f>
        <v/>
      </c>
      <c r="I369" s="18"/>
      <c r="J369" s="18" t="str">
        <f t="array" ref="J369">_xlfn.XLOOKUP(A369&amp;B369&amp;C369,价格信息!$A:$A&amp;价格信息!$B:$B&amp;价格信息!$C:$C,价格信息!$D:$D)</f>
        <v/>
      </c>
      <c r="K369" s="31" t="str">
        <f t="array" ref="K369">IF(_xlfn.XLOOKUP(A369&amp;B369&amp;C369,价格信息!$A:$A&amp;价格信息!$B:$B&amp;价格信息!$C:$C,价格信息!$I:$I)="","","【优惠券链接】"&amp;固定信息!$B$6)</f>
        <v/>
      </c>
      <c r="L369" s="31" t="str">
        <f>IF($C369="","",固定信息!$B$1)</f>
        <v/>
      </c>
      <c r="M369" s="18" t="str">
        <f t="array" ref="M369">IF(_xlfn.XLOOKUP(A369&amp;B369&amp;C369,盘货信息!$A:$A&amp;盘货信息!$B:$B&amp;盘货信息!$C:$C,盘货信息!$O:$O)="","","【优惠券】领"&amp;INDEX(_wpsfn.REGEXP(_xlfn.XLOOKUP(A369&amp;B369&amp;C369,盘货信息!$A:$A&amp;盘货信息!$B:$B&amp;盘货信息!$C:$C,盘货信息!$O:$O),"\d+"),1,1)&amp;"元优惠券下单更优惠，优惠卷："&amp;_xlfn.XLOOKUP(A369&amp;B369&amp;C369,盘货信息!$A:$A&amp;盘货信息!$B:$B&amp;盘货信息!$C:$C,盘货信息!$P:$P))</f>
        <v/>
      </c>
      <c r="N369" s="18" t="str">
        <f t="array" ref="N369">IF(AND(ISNUMBER(_xlfn.XLOOKUP(A369&amp;B369&amp;C369,盘货信息!$A:$A&amp;盘货信息!$B:$B&amp;盘货信息!$C:$C,盘货信息!$I:$I)),_xlfn.XLOOKUP(A369&amp;B369&amp;C369,盘货信息!$A:$A&amp;盘货信息!$B:$B&amp;盘货信息!$C:$C,盘货信息!$I:$I)&gt;1),"【88VIP】立减"&amp;_xlfn.XLOOKUP(A369&amp;B369&amp;C369,盘货信息!$A:$A&amp;盘货信息!$B:$B&amp;盘货信息!$C:$C,盘货信息!$I:$I)&amp;"元","")</f>
        <v/>
      </c>
      <c r="O369" s="18" t="str">
        <f t="array" ref="O369">IF(_xlfn.XLOOKUP(A369&amp;B369&amp;C369,盘货信息!$A:$A&amp;盘货信息!$B:$B&amp;盘货信息!$C:$C,盘货信息!$K:$K)="","",IF(AND(_xlfn.XLOOKUP(A369&amp;B369&amp;C369,盘货信息!$A:$A&amp;盘货信息!$B:$B&amp;盘货信息!$C:$C,盘货信息!$G:$G)="不参加",_xlfn.XLOOKUP(A369&amp;B369&amp;C369,盘货信息!$A:$A&amp;盘货信息!$B:$B&amp;盘货信息!$C:$C,盘货信息!$H:$H)=""),"【以旧换新】"&amp;_xlfn.XLOOKUP(A369&amp;B369&amp;C369,盘货信息!$A:$A&amp;盘货信息!$B:$B&amp;盘货信息!$C:$C,盘货信息!$K:$K)&amp;"元以旧换新补贴（可无旧机换新）",""))</f>
        <v/>
      </c>
      <c r="P369" s="18" t="str">
        <f t="array" ref="P369">_xlfn.XLOOKUP(A369&amp;B369&amp;C369,赠品!$A:$A&amp;赠品!$B:$B&amp;赠品!$C:$C,赠品!$D:$D)</f>
        <v/>
      </c>
      <c r="Q369" s="18" t="str">
        <f>IF($C369="","",IF(AND(M369="",N369="",P369=""),"",固定信息!$B$1))</f>
        <v/>
      </c>
      <c r="R369" s="18" t="str">
        <f t="array" ref="R369">IF(ISNUMBER(SEARCH("是",_xlfn.XLOOKUP(A369&amp;B369&amp;C369,盘货信息!$A:$A&amp;盘货信息!$B:$B&amp;盘货信息!$C:$C,盘货信息!$U:$U))),"【折扣】指定型号满2类享96折，满3类享94折","")</f>
        <v/>
      </c>
      <c r="S369" s="18" t="str">
        <f t="array" ref="S369">IF(_xlfn.XLOOKUP(A369&amp;B369&amp;C369,盘货信息!$A:$A&amp;盘货信息!$B:$B&amp;盘货信息!$C:$C,盘货信息!$Q:$Q)&lt;1,"","【红包】活动时间购机送"&amp;_xlfn.TEXTJOIN("",,IF(ISNUMBER(--MID(_xlfn.XLOOKUP(A369&amp;B369&amp;C369,盘货信息!$A:$A&amp;盘货信息!$B:$B&amp;盘货信息!$C:$C,盘货信息!$Q:$Q),_xlfn.SEQUENCE(LEN(_xlfn.XLOOKUP(A369&amp;B369&amp;C369,盘货信息!$A:$A&amp;盘货信息!$B:$B&amp;盘货信息!$C:$C,盘货信息!$Q:$Q))),1)),MID(_xlfn.XLOOKUP(A369&amp;B369&amp;C369,盘货信息!$A:$A&amp;盘货信息!$B:$B&amp;盘货信息!$C:$C,盘货信息!$Q:$Q),_xlfn.SEQUENCE(LEN(_xlfn.XLOOKUP(A369&amp;B369&amp;C369,盘货信息!$A:$A&amp;盘货信息!$B:$B&amp;盘货信息!$C:$C,盘货信息!$Q:$Q))),1),""))&amp;"元")</f>
        <v/>
      </c>
      <c r="T369" s="18" t="str">
        <f t="array" ref="T369">IF(ISNUMBER(SEARCH("是",_xlfn.XLOOKUP(A369&amp;B369&amp;C369,盘货信息!$A:$A&amp;盘货信息!$B:$B&amp;盘货信息!$C:$C,盘货信息!$T:$T))),"【瓜分】"&amp;固定信息!$B$7,"")</f>
        <v/>
      </c>
      <c r="U369" s="18" t="str">
        <f>IF($C369="","",IF(AND(R369="",S369="",T369=""),"",固定信息!$B$1))</f>
        <v/>
      </c>
      <c r="V369" s="18" t="str">
        <f t="array" ref="V369">IF(C369="","","【服务】"&amp;IF(_xlfn.XLOOKUP(A369&amp;B369&amp;C369,盘货信息!$A:$A&amp;盘货信息!$B:$B&amp;盘货信息!$C:$C,盘货信息!$V:$V)="","",_xlfn.XLOOKUP(A369&amp;B369&amp;C369,盘货信息!$A:$A&amp;盘货信息!$B:$B&amp;盘货信息!$C:$C,盘货信息!$V:$V)&amp;"免息,")&amp;IF(_xlfn.XLOOKUP(A369&amp;B369&amp;C369,盘货信息!$A:$A&amp;盘货信息!$B:$B&amp;盘货信息!$C:$C,盘货信息!$W:$W)="","",_xlfn.XLOOKUP(A369&amp;B369&amp;C369,盘货信息!$A:$A&amp;盘货信息!$B:$B&amp;盘货信息!$C:$C,盘货信息!$W:$W)&amp;"，")&amp;"送货入户，退换免运费")</f>
        <v/>
      </c>
    </row>
    <row r="370" customHeight="1" spans="1:22">
      <c r="A370" s="17" t="str">
        <f>IF(盘货信息!A370="","",盘货信息!A370)</f>
        <v/>
      </c>
      <c r="B370" s="20" t="str">
        <f>IF(盘货信息!B370="","",盘货信息!B370)</f>
        <v/>
      </c>
      <c r="C370" s="18" t="str">
        <f>IF(盘货信息!C370="","",盘货信息!C370)</f>
        <v/>
      </c>
      <c r="D370" s="18" t="str">
        <f ca="1" t="shared" si="5"/>
        <v/>
      </c>
      <c r="E370" s="18" t="str">
        <f>IF(C370="","",固定信息!$B$2)</f>
        <v/>
      </c>
      <c r="F370" s="18" t="str">
        <f t="array" ref="F370">IF(C370="","","【"&amp;C370&amp;"】"&amp;_xlfn.XLOOKUP(A370&amp;B370&amp;C370,盘货信息!$A:$A&amp;盘货信息!$B:$B&amp;盘货信息!$C:$C,盘货信息!$D:$D))</f>
        <v/>
      </c>
      <c r="G370" s="18" t="str">
        <f>IF(C370="","","【"&amp;"活动时间："&amp;固定信息!$B$3&amp;"】")</f>
        <v/>
      </c>
      <c r="H370" s="18" t="str">
        <f>IF($C370="","",固定信息!$B$1)</f>
        <v/>
      </c>
      <c r="I370" s="18"/>
      <c r="J370" s="18" t="str">
        <f t="array" ref="J370">_xlfn.XLOOKUP(A370&amp;B370&amp;C370,价格信息!$A:$A&amp;价格信息!$B:$B&amp;价格信息!$C:$C,价格信息!$D:$D)</f>
        <v/>
      </c>
      <c r="K370" s="31" t="str">
        <f t="array" ref="K370">IF(_xlfn.XLOOKUP(A370&amp;B370&amp;C370,价格信息!$A:$A&amp;价格信息!$B:$B&amp;价格信息!$C:$C,价格信息!$I:$I)="","","【优惠券链接】"&amp;固定信息!$B$6)</f>
        <v/>
      </c>
      <c r="L370" s="31" t="str">
        <f>IF($C370="","",固定信息!$B$1)</f>
        <v/>
      </c>
      <c r="M370" s="18" t="str">
        <f t="array" ref="M370">IF(_xlfn.XLOOKUP(A370&amp;B370&amp;C370,盘货信息!$A:$A&amp;盘货信息!$B:$B&amp;盘货信息!$C:$C,盘货信息!$O:$O)="","","【优惠券】领"&amp;INDEX(_wpsfn.REGEXP(_xlfn.XLOOKUP(A370&amp;B370&amp;C370,盘货信息!$A:$A&amp;盘货信息!$B:$B&amp;盘货信息!$C:$C,盘货信息!$O:$O),"\d+"),1,1)&amp;"元优惠券下单更优惠，优惠卷："&amp;_xlfn.XLOOKUP(A370&amp;B370&amp;C370,盘货信息!$A:$A&amp;盘货信息!$B:$B&amp;盘货信息!$C:$C,盘货信息!$P:$P))</f>
        <v/>
      </c>
      <c r="N370" s="18" t="str">
        <f t="array" ref="N370">IF(AND(ISNUMBER(_xlfn.XLOOKUP(A370&amp;B370&amp;C370,盘货信息!$A:$A&amp;盘货信息!$B:$B&amp;盘货信息!$C:$C,盘货信息!$I:$I)),_xlfn.XLOOKUP(A370&amp;B370&amp;C370,盘货信息!$A:$A&amp;盘货信息!$B:$B&amp;盘货信息!$C:$C,盘货信息!$I:$I)&gt;1),"【88VIP】立减"&amp;_xlfn.XLOOKUP(A370&amp;B370&amp;C370,盘货信息!$A:$A&amp;盘货信息!$B:$B&amp;盘货信息!$C:$C,盘货信息!$I:$I)&amp;"元","")</f>
        <v/>
      </c>
      <c r="O370" s="18" t="str">
        <f t="array" ref="O370">IF(_xlfn.XLOOKUP(A370&amp;B370&amp;C370,盘货信息!$A:$A&amp;盘货信息!$B:$B&amp;盘货信息!$C:$C,盘货信息!$K:$K)="","",IF(AND(_xlfn.XLOOKUP(A370&amp;B370&amp;C370,盘货信息!$A:$A&amp;盘货信息!$B:$B&amp;盘货信息!$C:$C,盘货信息!$G:$G)="不参加",_xlfn.XLOOKUP(A370&amp;B370&amp;C370,盘货信息!$A:$A&amp;盘货信息!$B:$B&amp;盘货信息!$C:$C,盘货信息!$H:$H)=""),"【以旧换新】"&amp;_xlfn.XLOOKUP(A370&amp;B370&amp;C370,盘货信息!$A:$A&amp;盘货信息!$B:$B&amp;盘货信息!$C:$C,盘货信息!$K:$K)&amp;"元以旧换新补贴（可无旧机换新）",""))</f>
        <v/>
      </c>
      <c r="P370" s="18" t="str">
        <f t="array" ref="P370">_xlfn.XLOOKUP(A370&amp;B370&amp;C370,赠品!$A:$A&amp;赠品!$B:$B&amp;赠品!$C:$C,赠品!$D:$D)</f>
        <v/>
      </c>
      <c r="Q370" s="18" t="str">
        <f>IF($C370="","",IF(AND(M370="",N370="",P370=""),"",固定信息!$B$1))</f>
        <v/>
      </c>
      <c r="R370" s="18" t="str">
        <f t="array" ref="R370">IF(ISNUMBER(SEARCH("是",_xlfn.XLOOKUP(A370&amp;B370&amp;C370,盘货信息!$A:$A&amp;盘货信息!$B:$B&amp;盘货信息!$C:$C,盘货信息!$U:$U))),"【折扣】指定型号满2类享96折，满3类享94折","")</f>
        <v/>
      </c>
      <c r="S370" s="18" t="str">
        <f t="array" ref="S370">IF(_xlfn.XLOOKUP(A370&amp;B370&amp;C370,盘货信息!$A:$A&amp;盘货信息!$B:$B&amp;盘货信息!$C:$C,盘货信息!$Q:$Q)&lt;1,"","【红包】活动时间购机送"&amp;_xlfn.TEXTJOIN("",,IF(ISNUMBER(--MID(_xlfn.XLOOKUP(A370&amp;B370&amp;C370,盘货信息!$A:$A&amp;盘货信息!$B:$B&amp;盘货信息!$C:$C,盘货信息!$Q:$Q),_xlfn.SEQUENCE(LEN(_xlfn.XLOOKUP(A370&amp;B370&amp;C370,盘货信息!$A:$A&amp;盘货信息!$B:$B&amp;盘货信息!$C:$C,盘货信息!$Q:$Q))),1)),MID(_xlfn.XLOOKUP(A370&amp;B370&amp;C370,盘货信息!$A:$A&amp;盘货信息!$B:$B&amp;盘货信息!$C:$C,盘货信息!$Q:$Q),_xlfn.SEQUENCE(LEN(_xlfn.XLOOKUP(A370&amp;B370&amp;C370,盘货信息!$A:$A&amp;盘货信息!$B:$B&amp;盘货信息!$C:$C,盘货信息!$Q:$Q))),1),""))&amp;"元")</f>
        <v/>
      </c>
      <c r="T370" s="18" t="str">
        <f t="array" ref="T370">IF(ISNUMBER(SEARCH("是",_xlfn.XLOOKUP(A370&amp;B370&amp;C370,盘货信息!$A:$A&amp;盘货信息!$B:$B&amp;盘货信息!$C:$C,盘货信息!$T:$T))),"【瓜分】"&amp;固定信息!$B$7,"")</f>
        <v/>
      </c>
      <c r="U370" s="18" t="str">
        <f>IF($C370="","",IF(AND(R370="",S370="",T370=""),"",固定信息!$B$1))</f>
        <v/>
      </c>
      <c r="V370" s="18" t="str">
        <f t="array" ref="V370">IF(C370="","","【服务】"&amp;IF(_xlfn.XLOOKUP(A370&amp;B370&amp;C370,盘货信息!$A:$A&amp;盘货信息!$B:$B&amp;盘货信息!$C:$C,盘货信息!$V:$V)="","",_xlfn.XLOOKUP(A370&amp;B370&amp;C370,盘货信息!$A:$A&amp;盘货信息!$B:$B&amp;盘货信息!$C:$C,盘货信息!$V:$V)&amp;"免息,")&amp;IF(_xlfn.XLOOKUP(A370&amp;B370&amp;C370,盘货信息!$A:$A&amp;盘货信息!$B:$B&amp;盘货信息!$C:$C,盘货信息!$W:$W)="","",_xlfn.XLOOKUP(A370&amp;B370&amp;C370,盘货信息!$A:$A&amp;盘货信息!$B:$B&amp;盘货信息!$C:$C,盘货信息!$W:$W)&amp;"，")&amp;"送货入户，退换免运费")</f>
        <v/>
      </c>
    </row>
    <row r="371" customHeight="1" spans="1:22">
      <c r="A371" s="17" t="str">
        <f>IF(盘货信息!A371="","",盘货信息!A371)</f>
        <v/>
      </c>
      <c r="B371" s="20" t="str">
        <f>IF(盘货信息!B371="","",盘货信息!B371)</f>
        <v/>
      </c>
      <c r="C371" s="18" t="str">
        <f>IF(盘货信息!C371="","",盘货信息!C371)</f>
        <v/>
      </c>
      <c r="D371" s="18" t="str">
        <f ca="1" t="shared" si="5"/>
        <v/>
      </c>
      <c r="E371" s="18" t="str">
        <f>IF(C371="","",固定信息!$B$2)</f>
        <v/>
      </c>
      <c r="F371" s="18" t="str">
        <f t="array" ref="F371">IF(C371="","","【"&amp;C371&amp;"】"&amp;_xlfn.XLOOKUP(A371&amp;B371&amp;C371,盘货信息!$A:$A&amp;盘货信息!$B:$B&amp;盘货信息!$C:$C,盘货信息!$D:$D))</f>
        <v/>
      </c>
      <c r="G371" s="18" t="str">
        <f>IF(C371="","","【"&amp;"活动时间："&amp;固定信息!$B$3&amp;"】")</f>
        <v/>
      </c>
      <c r="H371" s="18" t="str">
        <f>IF($C371="","",固定信息!$B$1)</f>
        <v/>
      </c>
      <c r="I371" s="18"/>
      <c r="J371" s="18" t="str">
        <f t="array" ref="J371">_xlfn.XLOOKUP(A371&amp;B371&amp;C371,价格信息!$A:$A&amp;价格信息!$B:$B&amp;价格信息!$C:$C,价格信息!$D:$D)</f>
        <v/>
      </c>
      <c r="K371" s="31" t="str">
        <f t="array" ref="K371">IF(_xlfn.XLOOKUP(A371&amp;B371&amp;C371,价格信息!$A:$A&amp;价格信息!$B:$B&amp;价格信息!$C:$C,价格信息!$I:$I)="","","【优惠券链接】"&amp;固定信息!$B$6)</f>
        <v/>
      </c>
      <c r="L371" s="31" t="str">
        <f>IF($C371="","",固定信息!$B$1)</f>
        <v/>
      </c>
      <c r="M371" s="18" t="str">
        <f t="array" ref="M371">IF(_xlfn.XLOOKUP(A371&amp;B371&amp;C371,盘货信息!$A:$A&amp;盘货信息!$B:$B&amp;盘货信息!$C:$C,盘货信息!$O:$O)="","","【优惠券】领"&amp;INDEX(_wpsfn.REGEXP(_xlfn.XLOOKUP(A371&amp;B371&amp;C371,盘货信息!$A:$A&amp;盘货信息!$B:$B&amp;盘货信息!$C:$C,盘货信息!$O:$O),"\d+"),1,1)&amp;"元优惠券下单更优惠，优惠卷："&amp;_xlfn.XLOOKUP(A371&amp;B371&amp;C371,盘货信息!$A:$A&amp;盘货信息!$B:$B&amp;盘货信息!$C:$C,盘货信息!$P:$P))</f>
        <v/>
      </c>
      <c r="N371" s="18" t="str">
        <f t="array" ref="N371">IF(AND(ISNUMBER(_xlfn.XLOOKUP(A371&amp;B371&amp;C371,盘货信息!$A:$A&amp;盘货信息!$B:$B&amp;盘货信息!$C:$C,盘货信息!$I:$I)),_xlfn.XLOOKUP(A371&amp;B371&amp;C371,盘货信息!$A:$A&amp;盘货信息!$B:$B&amp;盘货信息!$C:$C,盘货信息!$I:$I)&gt;1),"【88VIP】立减"&amp;_xlfn.XLOOKUP(A371&amp;B371&amp;C371,盘货信息!$A:$A&amp;盘货信息!$B:$B&amp;盘货信息!$C:$C,盘货信息!$I:$I)&amp;"元","")</f>
        <v/>
      </c>
      <c r="O371" s="18" t="str">
        <f t="array" ref="O371">IF(_xlfn.XLOOKUP(A371&amp;B371&amp;C371,盘货信息!$A:$A&amp;盘货信息!$B:$B&amp;盘货信息!$C:$C,盘货信息!$K:$K)="","",IF(AND(_xlfn.XLOOKUP(A371&amp;B371&amp;C371,盘货信息!$A:$A&amp;盘货信息!$B:$B&amp;盘货信息!$C:$C,盘货信息!$G:$G)="不参加",_xlfn.XLOOKUP(A371&amp;B371&amp;C371,盘货信息!$A:$A&amp;盘货信息!$B:$B&amp;盘货信息!$C:$C,盘货信息!$H:$H)=""),"【以旧换新】"&amp;_xlfn.XLOOKUP(A371&amp;B371&amp;C371,盘货信息!$A:$A&amp;盘货信息!$B:$B&amp;盘货信息!$C:$C,盘货信息!$K:$K)&amp;"元以旧换新补贴（可无旧机换新）",""))</f>
        <v/>
      </c>
      <c r="P371" s="18" t="str">
        <f t="array" ref="P371">_xlfn.XLOOKUP(A371&amp;B371&amp;C371,赠品!$A:$A&amp;赠品!$B:$B&amp;赠品!$C:$C,赠品!$D:$D)</f>
        <v/>
      </c>
      <c r="Q371" s="18" t="str">
        <f>IF($C371="","",IF(AND(M371="",N371="",P371=""),"",固定信息!$B$1))</f>
        <v/>
      </c>
      <c r="R371" s="18" t="str">
        <f t="array" ref="R371">IF(ISNUMBER(SEARCH("是",_xlfn.XLOOKUP(A371&amp;B371&amp;C371,盘货信息!$A:$A&amp;盘货信息!$B:$B&amp;盘货信息!$C:$C,盘货信息!$U:$U))),"【折扣】指定型号满2类享96折，满3类享94折","")</f>
        <v/>
      </c>
      <c r="S371" s="18" t="str">
        <f t="array" ref="S371">IF(_xlfn.XLOOKUP(A371&amp;B371&amp;C371,盘货信息!$A:$A&amp;盘货信息!$B:$B&amp;盘货信息!$C:$C,盘货信息!$Q:$Q)&lt;1,"","【红包】活动时间购机送"&amp;_xlfn.TEXTJOIN("",,IF(ISNUMBER(--MID(_xlfn.XLOOKUP(A371&amp;B371&amp;C371,盘货信息!$A:$A&amp;盘货信息!$B:$B&amp;盘货信息!$C:$C,盘货信息!$Q:$Q),_xlfn.SEQUENCE(LEN(_xlfn.XLOOKUP(A371&amp;B371&amp;C371,盘货信息!$A:$A&amp;盘货信息!$B:$B&amp;盘货信息!$C:$C,盘货信息!$Q:$Q))),1)),MID(_xlfn.XLOOKUP(A371&amp;B371&amp;C371,盘货信息!$A:$A&amp;盘货信息!$B:$B&amp;盘货信息!$C:$C,盘货信息!$Q:$Q),_xlfn.SEQUENCE(LEN(_xlfn.XLOOKUP(A371&amp;B371&amp;C371,盘货信息!$A:$A&amp;盘货信息!$B:$B&amp;盘货信息!$C:$C,盘货信息!$Q:$Q))),1),""))&amp;"元")</f>
        <v/>
      </c>
      <c r="T371" s="18" t="str">
        <f t="array" ref="T371">IF(ISNUMBER(SEARCH("是",_xlfn.XLOOKUP(A371&amp;B371&amp;C371,盘货信息!$A:$A&amp;盘货信息!$B:$B&amp;盘货信息!$C:$C,盘货信息!$T:$T))),"【瓜分】"&amp;固定信息!$B$7,"")</f>
        <v/>
      </c>
      <c r="U371" s="18" t="str">
        <f>IF($C371="","",IF(AND(R371="",S371="",T371=""),"",固定信息!$B$1))</f>
        <v/>
      </c>
      <c r="V371" s="18" t="str">
        <f t="array" ref="V371">IF(C371="","","【服务】"&amp;IF(_xlfn.XLOOKUP(A371&amp;B371&amp;C371,盘货信息!$A:$A&amp;盘货信息!$B:$B&amp;盘货信息!$C:$C,盘货信息!$V:$V)="","",_xlfn.XLOOKUP(A371&amp;B371&amp;C371,盘货信息!$A:$A&amp;盘货信息!$B:$B&amp;盘货信息!$C:$C,盘货信息!$V:$V)&amp;"免息,")&amp;IF(_xlfn.XLOOKUP(A371&amp;B371&amp;C371,盘货信息!$A:$A&amp;盘货信息!$B:$B&amp;盘货信息!$C:$C,盘货信息!$W:$W)="","",_xlfn.XLOOKUP(A371&amp;B371&amp;C371,盘货信息!$A:$A&amp;盘货信息!$B:$B&amp;盘货信息!$C:$C,盘货信息!$W:$W)&amp;"，")&amp;"送货入户，退换免运费")</f>
        <v/>
      </c>
    </row>
    <row r="372" customHeight="1" spans="1:22">
      <c r="A372" s="17" t="str">
        <f>IF(盘货信息!A372="","",盘货信息!A372)</f>
        <v/>
      </c>
      <c r="B372" s="20" t="str">
        <f>IF(盘货信息!B372="","",盘货信息!B372)</f>
        <v/>
      </c>
      <c r="C372" s="18" t="str">
        <f>IF(盘货信息!C372="","",盘货信息!C372)</f>
        <v/>
      </c>
      <c r="D372" s="18" t="str">
        <f ca="1" t="shared" si="5"/>
        <v/>
      </c>
      <c r="E372" s="18" t="str">
        <f>IF(C372="","",固定信息!$B$2)</f>
        <v/>
      </c>
      <c r="F372" s="18" t="str">
        <f t="array" ref="F372">IF(C372="","","【"&amp;C372&amp;"】"&amp;_xlfn.XLOOKUP(A372&amp;B372&amp;C372,盘货信息!$A:$A&amp;盘货信息!$B:$B&amp;盘货信息!$C:$C,盘货信息!$D:$D))</f>
        <v/>
      </c>
      <c r="G372" s="18" t="str">
        <f>IF(C372="","","【"&amp;"活动时间："&amp;固定信息!$B$3&amp;"】")</f>
        <v/>
      </c>
      <c r="H372" s="18" t="str">
        <f>IF($C372="","",固定信息!$B$1)</f>
        <v/>
      </c>
      <c r="I372" s="18"/>
      <c r="J372" s="18" t="str">
        <f t="array" ref="J372">_xlfn.XLOOKUP(A372&amp;B372&amp;C372,价格信息!$A:$A&amp;价格信息!$B:$B&amp;价格信息!$C:$C,价格信息!$D:$D)</f>
        <v/>
      </c>
      <c r="K372" s="31" t="str">
        <f t="array" ref="K372">IF(_xlfn.XLOOKUP(A372&amp;B372&amp;C372,价格信息!$A:$A&amp;价格信息!$B:$B&amp;价格信息!$C:$C,价格信息!$I:$I)="","","【优惠券链接】"&amp;固定信息!$B$6)</f>
        <v/>
      </c>
      <c r="L372" s="31" t="str">
        <f>IF($C372="","",固定信息!$B$1)</f>
        <v/>
      </c>
      <c r="M372" s="18" t="str">
        <f t="array" ref="M372">IF(_xlfn.XLOOKUP(A372&amp;B372&amp;C372,盘货信息!$A:$A&amp;盘货信息!$B:$B&amp;盘货信息!$C:$C,盘货信息!$O:$O)="","","【优惠券】领"&amp;INDEX(_wpsfn.REGEXP(_xlfn.XLOOKUP(A372&amp;B372&amp;C372,盘货信息!$A:$A&amp;盘货信息!$B:$B&amp;盘货信息!$C:$C,盘货信息!$O:$O),"\d+"),1,1)&amp;"元优惠券下单更优惠，优惠卷："&amp;_xlfn.XLOOKUP(A372&amp;B372&amp;C372,盘货信息!$A:$A&amp;盘货信息!$B:$B&amp;盘货信息!$C:$C,盘货信息!$P:$P))</f>
        <v/>
      </c>
      <c r="N372" s="18" t="str">
        <f t="array" ref="N372">IF(AND(ISNUMBER(_xlfn.XLOOKUP(A372&amp;B372&amp;C372,盘货信息!$A:$A&amp;盘货信息!$B:$B&amp;盘货信息!$C:$C,盘货信息!$I:$I)),_xlfn.XLOOKUP(A372&amp;B372&amp;C372,盘货信息!$A:$A&amp;盘货信息!$B:$B&amp;盘货信息!$C:$C,盘货信息!$I:$I)&gt;1),"【88VIP】立减"&amp;_xlfn.XLOOKUP(A372&amp;B372&amp;C372,盘货信息!$A:$A&amp;盘货信息!$B:$B&amp;盘货信息!$C:$C,盘货信息!$I:$I)&amp;"元","")</f>
        <v/>
      </c>
      <c r="O372" s="18" t="str">
        <f t="array" ref="O372">IF(_xlfn.XLOOKUP(A372&amp;B372&amp;C372,盘货信息!$A:$A&amp;盘货信息!$B:$B&amp;盘货信息!$C:$C,盘货信息!$K:$K)="","",IF(AND(_xlfn.XLOOKUP(A372&amp;B372&amp;C372,盘货信息!$A:$A&amp;盘货信息!$B:$B&amp;盘货信息!$C:$C,盘货信息!$G:$G)="不参加",_xlfn.XLOOKUP(A372&amp;B372&amp;C372,盘货信息!$A:$A&amp;盘货信息!$B:$B&amp;盘货信息!$C:$C,盘货信息!$H:$H)=""),"【以旧换新】"&amp;_xlfn.XLOOKUP(A372&amp;B372&amp;C372,盘货信息!$A:$A&amp;盘货信息!$B:$B&amp;盘货信息!$C:$C,盘货信息!$K:$K)&amp;"元以旧换新补贴（可无旧机换新）",""))</f>
        <v/>
      </c>
      <c r="P372" s="18" t="str">
        <f t="array" ref="P372">_xlfn.XLOOKUP(A372&amp;B372&amp;C372,赠品!$A:$A&amp;赠品!$B:$B&amp;赠品!$C:$C,赠品!$D:$D)</f>
        <v/>
      </c>
      <c r="Q372" s="18" t="str">
        <f>IF($C372="","",IF(AND(M372="",N372="",P372=""),"",固定信息!$B$1))</f>
        <v/>
      </c>
      <c r="R372" s="18" t="str">
        <f t="array" ref="R372">IF(ISNUMBER(SEARCH("是",_xlfn.XLOOKUP(A372&amp;B372&amp;C372,盘货信息!$A:$A&amp;盘货信息!$B:$B&amp;盘货信息!$C:$C,盘货信息!$U:$U))),"【折扣】指定型号满2类享96折，满3类享94折","")</f>
        <v/>
      </c>
      <c r="S372" s="18" t="str">
        <f t="array" ref="S372">IF(_xlfn.XLOOKUP(A372&amp;B372&amp;C372,盘货信息!$A:$A&amp;盘货信息!$B:$B&amp;盘货信息!$C:$C,盘货信息!$Q:$Q)&lt;1,"","【红包】活动时间购机送"&amp;_xlfn.TEXTJOIN("",,IF(ISNUMBER(--MID(_xlfn.XLOOKUP(A372&amp;B372&amp;C372,盘货信息!$A:$A&amp;盘货信息!$B:$B&amp;盘货信息!$C:$C,盘货信息!$Q:$Q),_xlfn.SEQUENCE(LEN(_xlfn.XLOOKUP(A372&amp;B372&amp;C372,盘货信息!$A:$A&amp;盘货信息!$B:$B&amp;盘货信息!$C:$C,盘货信息!$Q:$Q))),1)),MID(_xlfn.XLOOKUP(A372&amp;B372&amp;C372,盘货信息!$A:$A&amp;盘货信息!$B:$B&amp;盘货信息!$C:$C,盘货信息!$Q:$Q),_xlfn.SEQUENCE(LEN(_xlfn.XLOOKUP(A372&amp;B372&amp;C372,盘货信息!$A:$A&amp;盘货信息!$B:$B&amp;盘货信息!$C:$C,盘货信息!$Q:$Q))),1),""))&amp;"元")</f>
        <v/>
      </c>
      <c r="T372" s="18" t="str">
        <f t="array" ref="T372">IF(ISNUMBER(SEARCH("是",_xlfn.XLOOKUP(A372&amp;B372&amp;C372,盘货信息!$A:$A&amp;盘货信息!$B:$B&amp;盘货信息!$C:$C,盘货信息!$T:$T))),"【瓜分】"&amp;固定信息!$B$7,"")</f>
        <v/>
      </c>
      <c r="U372" s="18" t="str">
        <f>IF($C372="","",IF(AND(R372="",S372="",T372=""),"",固定信息!$B$1))</f>
        <v/>
      </c>
      <c r="V372" s="18" t="str">
        <f t="array" ref="V372">IF(C372="","","【服务】"&amp;IF(_xlfn.XLOOKUP(A372&amp;B372&amp;C372,盘货信息!$A:$A&amp;盘货信息!$B:$B&amp;盘货信息!$C:$C,盘货信息!$V:$V)="","",_xlfn.XLOOKUP(A372&amp;B372&amp;C372,盘货信息!$A:$A&amp;盘货信息!$B:$B&amp;盘货信息!$C:$C,盘货信息!$V:$V)&amp;"免息,")&amp;IF(_xlfn.XLOOKUP(A372&amp;B372&amp;C372,盘货信息!$A:$A&amp;盘货信息!$B:$B&amp;盘货信息!$C:$C,盘货信息!$W:$W)="","",_xlfn.XLOOKUP(A372&amp;B372&amp;C372,盘货信息!$A:$A&amp;盘货信息!$B:$B&amp;盘货信息!$C:$C,盘货信息!$W:$W)&amp;"，")&amp;"送货入户，退换免运费")</f>
        <v/>
      </c>
    </row>
    <row r="373" customHeight="1" spans="1:22">
      <c r="A373" s="17" t="str">
        <f>IF(盘货信息!A373="","",盘货信息!A373)</f>
        <v/>
      </c>
      <c r="B373" s="20" t="str">
        <f>IF(盘货信息!B373="","",盘货信息!B373)</f>
        <v/>
      </c>
      <c r="C373" s="18" t="str">
        <f>IF(盘货信息!C373="","",盘货信息!C373)</f>
        <v/>
      </c>
      <c r="D373" s="18" t="str">
        <f ca="1" t="shared" si="5"/>
        <v/>
      </c>
      <c r="E373" s="18" t="str">
        <f>IF(C373="","",固定信息!$B$2)</f>
        <v/>
      </c>
      <c r="F373" s="18" t="str">
        <f t="array" ref="F373">IF(C373="","","【"&amp;C373&amp;"】"&amp;_xlfn.XLOOKUP(A373&amp;B373&amp;C373,盘货信息!$A:$A&amp;盘货信息!$B:$B&amp;盘货信息!$C:$C,盘货信息!$D:$D))</f>
        <v/>
      </c>
      <c r="G373" s="18" t="str">
        <f>IF(C373="","","【"&amp;"活动时间："&amp;固定信息!$B$3&amp;"】")</f>
        <v/>
      </c>
      <c r="H373" s="18" t="str">
        <f>IF($C373="","",固定信息!$B$1)</f>
        <v/>
      </c>
      <c r="I373" s="18"/>
      <c r="J373" s="18" t="str">
        <f t="array" ref="J373">_xlfn.XLOOKUP(A373&amp;B373&amp;C373,价格信息!$A:$A&amp;价格信息!$B:$B&amp;价格信息!$C:$C,价格信息!$D:$D)</f>
        <v/>
      </c>
      <c r="K373" s="31" t="str">
        <f t="array" ref="K373">IF(_xlfn.XLOOKUP(A373&amp;B373&amp;C373,价格信息!$A:$A&amp;价格信息!$B:$B&amp;价格信息!$C:$C,价格信息!$I:$I)="","","【优惠券链接】"&amp;固定信息!$B$6)</f>
        <v/>
      </c>
      <c r="L373" s="31" t="str">
        <f>IF($C373="","",固定信息!$B$1)</f>
        <v/>
      </c>
      <c r="M373" s="18" t="str">
        <f t="array" ref="M373">IF(_xlfn.XLOOKUP(A373&amp;B373&amp;C373,盘货信息!$A:$A&amp;盘货信息!$B:$B&amp;盘货信息!$C:$C,盘货信息!$O:$O)="","","【优惠券】领"&amp;INDEX(_wpsfn.REGEXP(_xlfn.XLOOKUP(A373&amp;B373&amp;C373,盘货信息!$A:$A&amp;盘货信息!$B:$B&amp;盘货信息!$C:$C,盘货信息!$O:$O),"\d+"),1,1)&amp;"元优惠券下单更优惠，优惠卷："&amp;_xlfn.XLOOKUP(A373&amp;B373&amp;C373,盘货信息!$A:$A&amp;盘货信息!$B:$B&amp;盘货信息!$C:$C,盘货信息!$P:$P))</f>
        <v/>
      </c>
      <c r="N373" s="18" t="str">
        <f t="array" ref="N373">IF(AND(ISNUMBER(_xlfn.XLOOKUP(A373&amp;B373&amp;C373,盘货信息!$A:$A&amp;盘货信息!$B:$B&amp;盘货信息!$C:$C,盘货信息!$I:$I)),_xlfn.XLOOKUP(A373&amp;B373&amp;C373,盘货信息!$A:$A&amp;盘货信息!$B:$B&amp;盘货信息!$C:$C,盘货信息!$I:$I)&gt;1),"【88VIP】立减"&amp;_xlfn.XLOOKUP(A373&amp;B373&amp;C373,盘货信息!$A:$A&amp;盘货信息!$B:$B&amp;盘货信息!$C:$C,盘货信息!$I:$I)&amp;"元","")</f>
        <v/>
      </c>
      <c r="O373" s="18" t="str">
        <f t="array" ref="O373">IF(_xlfn.XLOOKUP(A373&amp;B373&amp;C373,盘货信息!$A:$A&amp;盘货信息!$B:$B&amp;盘货信息!$C:$C,盘货信息!$K:$K)="","",IF(AND(_xlfn.XLOOKUP(A373&amp;B373&amp;C373,盘货信息!$A:$A&amp;盘货信息!$B:$B&amp;盘货信息!$C:$C,盘货信息!$G:$G)="不参加",_xlfn.XLOOKUP(A373&amp;B373&amp;C373,盘货信息!$A:$A&amp;盘货信息!$B:$B&amp;盘货信息!$C:$C,盘货信息!$H:$H)=""),"【以旧换新】"&amp;_xlfn.XLOOKUP(A373&amp;B373&amp;C373,盘货信息!$A:$A&amp;盘货信息!$B:$B&amp;盘货信息!$C:$C,盘货信息!$K:$K)&amp;"元以旧换新补贴（可无旧机换新）",""))</f>
        <v/>
      </c>
      <c r="P373" s="18" t="str">
        <f t="array" ref="P373">_xlfn.XLOOKUP(A373&amp;B373&amp;C373,赠品!$A:$A&amp;赠品!$B:$B&amp;赠品!$C:$C,赠品!$D:$D)</f>
        <v/>
      </c>
      <c r="Q373" s="18" t="str">
        <f>IF($C373="","",IF(AND(M373="",N373="",P373=""),"",固定信息!$B$1))</f>
        <v/>
      </c>
      <c r="R373" s="18" t="str">
        <f t="array" ref="R373">IF(ISNUMBER(SEARCH("是",_xlfn.XLOOKUP(A373&amp;B373&amp;C373,盘货信息!$A:$A&amp;盘货信息!$B:$B&amp;盘货信息!$C:$C,盘货信息!$U:$U))),"【折扣】指定型号满2类享96折，满3类享94折","")</f>
        <v/>
      </c>
      <c r="S373" s="18" t="str">
        <f t="array" ref="S373">IF(_xlfn.XLOOKUP(A373&amp;B373&amp;C373,盘货信息!$A:$A&amp;盘货信息!$B:$B&amp;盘货信息!$C:$C,盘货信息!$Q:$Q)&lt;1,"","【红包】活动时间购机送"&amp;_xlfn.TEXTJOIN("",,IF(ISNUMBER(--MID(_xlfn.XLOOKUP(A373&amp;B373&amp;C373,盘货信息!$A:$A&amp;盘货信息!$B:$B&amp;盘货信息!$C:$C,盘货信息!$Q:$Q),_xlfn.SEQUENCE(LEN(_xlfn.XLOOKUP(A373&amp;B373&amp;C373,盘货信息!$A:$A&amp;盘货信息!$B:$B&amp;盘货信息!$C:$C,盘货信息!$Q:$Q))),1)),MID(_xlfn.XLOOKUP(A373&amp;B373&amp;C373,盘货信息!$A:$A&amp;盘货信息!$B:$B&amp;盘货信息!$C:$C,盘货信息!$Q:$Q),_xlfn.SEQUENCE(LEN(_xlfn.XLOOKUP(A373&amp;B373&amp;C373,盘货信息!$A:$A&amp;盘货信息!$B:$B&amp;盘货信息!$C:$C,盘货信息!$Q:$Q))),1),""))&amp;"元")</f>
        <v/>
      </c>
      <c r="T373" s="18" t="str">
        <f t="array" ref="T373">IF(ISNUMBER(SEARCH("是",_xlfn.XLOOKUP(A373&amp;B373&amp;C373,盘货信息!$A:$A&amp;盘货信息!$B:$B&amp;盘货信息!$C:$C,盘货信息!$T:$T))),"【瓜分】"&amp;固定信息!$B$7,"")</f>
        <v/>
      </c>
      <c r="U373" s="18" t="str">
        <f>IF($C373="","",IF(AND(R373="",S373="",T373=""),"",固定信息!$B$1))</f>
        <v/>
      </c>
      <c r="V373" s="18" t="str">
        <f t="array" ref="V373">IF(C373="","","【服务】"&amp;IF(_xlfn.XLOOKUP(A373&amp;B373&amp;C373,盘货信息!$A:$A&amp;盘货信息!$B:$B&amp;盘货信息!$C:$C,盘货信息!$V:$V)="","",_xlfn.XLOOKUP(A373&amp;B373&amp;C373,盘货信息!$A:$A&amp;盘货信息!$B:$B&amp;盘货信息!$C:$C,盘货信息!$V:$V)&amp;"免息,")&amp;IF(_xlfn.XLOOKUP(A373&amp;B373&amp;C373,盘货信息!$A:$A&amp;盘货信息!$B:$B&amp;盘货信息!$C:$C,盘货信息!$W:$W)="","",_xlfn.XLOOKUP(A373&amp;B373&amp;C373,盘货信息!$A:$A&amp;盘货信息!$B:$B&amp;盘货信息!$C:$C,盘货信息!$W:$W)&amp;"，")&amp;"送货入户，退换免运费")</f>
        <v/>
      </c>
    </row>
    <row r="374" customHeight="1" spans="1:22">
      <c r="A374" s="17" t="str">
        <f>IF(盘货信息!A374="","",盘货信息!A374)</f>
        <v/>
      </c>
      <c r="B374" s="20" t="str">
        <f>IF(盘货信息!B374="","",盘货信息!B374)</f>
        <v/>
      </c>
      <c r="C374" s="18" t="str">
        <f>IF(盘货信息!C374="","",盘货信息!C374)</f>
        <v/>
      </c>
      <c r="D374" s="18" t="str">
        <f ca="1" t="shared" si="5"/>
        <v/>
      </c>
      <c r="E374" s="18" t="str">
        <f>IF(C374="","",固定信息!$B$2)</f>
        <v/>
      </c>
      <c r="F374" s="18" t="str">
        <f t="array" ref="F374">IF(C374="","","【"&amp;C374&amp;"】"&amp;_xlfn.XLOOKUP(A374&amp;B374&amp;C374,盘货信息!$A:$A&amp;盘货信息!$B:$B&amp;盘货信息!$C:$C,盘货信息!$D:$D))</f>
        <v/>
      </c>
      <c r="G374" s="18" t="str">
        <f>IF(C374="","","【"&amp;"活动时间："&amp;固定信息!$B$3&amp;"】")</f>
        <v/>
      </c>
      <c r="H374" s="18" t="str">
        <f>IF($C374="","",固定信息!$B$1)</f>
        <v/>
      </c>
      <c r="I374" s="18"/>
      <c r="J374" s="18" t="str">
        <f t="array" ref="J374">_xlfn.XLOOKUP(A374&amp;B374&amp;C374,价格信息!$A:$A&amp;价格信息!$B:$B&amp;价格信息!$C:$C,价格信息!$D:$D)</f>
        <v/>
      </c>
      <c r="K374" s="31" t="str">
        <f t="array" ref="K374">IF(_xlfn.XLOOKUP(A374&amp;B374&amp;C374,价格信息!$A:$A&amp;价格信息!$B:$B&amp;价格信息!$C:$C,价格信息!$I:$I)="","","【优惠券链接】"&amp;固定信息!$B$6)</f>
        <v/>
      </c>
      <c r="L374" s="31" t="str">
        <f>IF($C374="","",固定信息!$B$1)</f>
        <v/>
      </c>
      <c r="M374" s="18" t="str">
        <f t="array" ref="M374">IF(_xlfn.XLOOKUP(A374&amp;B374&amp;C374,盘货信息!$A:$A&amp;盘货信息!$B:$B&amp;盘货信息!$C:$C,盘货信息!$O:$O)="","","【优惠券】领"&amp;INDEX(_wpsfn.REGEXP(_xlfn.XLOOKUP(A374&amp;B374&amp;C374,盘货信息!$A:$A&amp;盘货信息!$B:$B&amp;盘货信息!$C:$C,盘货信息!$O:$O),"\d+"),1,1)&amp;"元优惠券下单更优惠，优惠卷："&amp;_xlfn.XLOOKUP(A374&amp;B374&amp;C374,盘货信息!$A:$A&amp;盘货信息!$B:$B&amp;盘货信息!$C:$C,盘货信息!$P:$P))</f>
        <v/>
      </c>
      <c r="N374" s="18" t="str">
        <f t="array" ref="N374">IF(AND(ISNUMBER(_xlfn.XLOOKUP(A374&amp;B374&amp;C374,盘货信息!$A:$A&amp;盘货信息!$B:$B&amp;盘货信息!$C:$C,盘货信息!$I:$I)),_xlfn.XLOOKUP(A374&amp;B374&amp;C374,盘货信息!$A:$A&amp;盘货信息!$B:$B&amp;盘货信息!$C:$C,盘货信息!$I:$I)&gt;1),"【88VIP】立减"&amp;_xlfn.XLOOKUP(A374&amp;B374&amp;C374,盘货信息!$A:$A&amp;盘货信息!$B:$B&amp;盘货信息!$C:$C,盘货信息!$I:$I)&amp;"元","")</f>
        <v/>
      </c>
      <c r="O374" s="18" t="str">
        <f t="array" ref="O374">IF(_xlfn.XLOOKUP(A374&amp;B374&amp;C374,盘货信息!$A:$A&amp;盘货信息!$B:$B&amp;盘货信息!$C:$C,盘货信息!$K:$K)="","",IF(AND(_xlfn.XLOOKUP(A374&amp;B374&amp;C374,盘货信息!$A:$A&amp;盘货信息!$B:$B&amp;盘货信息!$C:$C,盘货信息!$G:$G)="不参加",_xlfn.XLOOKUP(A374&amp;B374&amp;C374,盘货信息!$A:$A&amp;盘货信息!$B:$B&amp;盘货信息!$C:$C,盘货信息!$H:$H)=""),"【以旧换新】"&amp;_xlfn.XLOOKUP(A374&amp;B374&amp;C374,盘货信息!$A:$A&amp;盘货信息!$B:$B&amp;盘货信息!$C:$C,盘货信息!$K:$K)&amp;"元以旧换新补贴（可无旧机换新）",""))</f>
        <v/>
      </c>
      <c r="P374" s="18" t="str">
        <f t="array" ref="P374">_xlfn.XLOOKUP(A374&amp;B374&amp;C374,赠品!$A:$A&amp;赠品!$B:$B&amp;赠品!$C:$C,赠品!$D:$D)</f>
        <v/>
      </c>
      <c r="Q374" s="18" t="str">
        <f>IF($C374="","",IF(AND(M374="",N374="",P374=""),"",固定信息!$B$1))</f>
        <v/>
      </c>
      <c r="R374" s="18" t="str">
        <f t="array" ref="R374">IF(ISNUMBER(SEARCH("是",_xlfn.XLOOKUP(A374&amp;B374&amp;C374,盘货信息!$A:$A&amp;盘货信息!$B:$B&amp;盘货信息!$C:$C,盘货信息!$U:$U))),"【折扣】指定型号满2类享96折，满3类享94折","")</f>
        <v/>
      </c>
      <c r="S374" s="18" t="str">
        <f t="array" ref="S374">IF(_xlfn.XLOOKUP(A374&amp;B374&amp;C374,盘货信息!$A:$A&amp;盘货信息!$B:$B&amp;盘货信息!$C:$C,盘货信息!$Q:$Q)&lt;1,"","【红包】活动时间购机送"&amp;_xlfn.TEXTJOIN("",,IF(ISNUMBER(--MID(_xlfn.XLOOKUP(A374&amp;B374&amp;C374,盘货信息!$A:$A&amp;盘货信息!$B:$B&amp;盘货信息!$C:$C,盘货信息!$Q:$Q),_xlfn.SEQUENCE(LEN(_xlfn.XLOOKUP(A374&amp;B374&amp;C374,盘货信息!$A:$A&amp;盘货信息!$B:$B&amp;盘货信息!$C:$C,盘货信息!$Q:$Q))),1)),MID(_xlfn.XLOOKUP(A374&amp;B374&amp;C374,盘货信息!$A:$A&amp;盘货信息!$B:$B&amp;盘货信息!$C:$C,盘货信息!$Q:$Q),_xlfn.SEQUENCE(LEN(_xlfn.XLOOKUP(A374&amp;B374&amp;C374,盘货信息!$A:$A&amp;盘货信息!$B:$B&amp;盘货信息!$C:$C,盘货信息!$Q:$Q))),1),""))&amp;"元")</f>
        <v/>
      </c>
      <c r="T374" s="18" t="str">
        <f t="array" ref="T374">IF(ISNUMBER(SEARCH("是",_xlfn.XLOOKUP(A374&amp;B374&amp;C374,盘货信息!$A:$A&amp;盘货信息!$B:$B&amp;盘货信息!$C:$C,盘货信息!$T:$T))),"【瓜分】"&amp;固定信息!$B$7,"")</f>
        <v/>
      </c>
      <c r="U374" s="18" t="str">
        <f>IF($C374="","",IF(AND(R374="",S374="",T374=""),"",固定信息!$B$1))</f>
        <v/>
      </c>
      <c r="V374" s="18" t="str">
        <f t="array" ref="V374">IF(C374="","","【服务】"&amp;IF(_xlfn.XLOOKUP(A374&amp;B374&amp;C374,盘货信息!$A:$A&amp;盘货信息!$B:$B&amp;盘货信息!$C:$C,盘货信息!$V:$V)="","",_xlfn.XLOOKUP(A374&amp;B374&amp;C374,盘货信息!$A:$A&amp;盘货信息!$B:$B&amp;盘货信息!$C:$C,盘货信息!$V:$V)&amp;"免息,")&amp;IF(_xlfn.XLOOKUP(A374&amp;B374&amp;C374,盘货信息!$A:$A&amp;盘货信息!$B:$B&amp;盘货信息!$C:$C,盘货信息!$W:$W)="","",_xlfn.XLOOKUP(A374&amp;B374&amp;C374,盘货信息!$A:$A&amp;盘货信息!$B:$B&amp;盘货信息!$C:$C,盘货信息!$W:$W)&amp;"，")&amp;"送货入户，退换免运费")</f>
        <v/>
      </c>
    </row>
    <row r="375" customHeight="1" spans="1:22">
      <c r="A375" s="17" t="str">
        <f>IF(盘货信息!A375="","",盘货信息!A375)</f>
        <v/>
      </c>
      <c r="B375" s="20" t="str">
        <f>IF(盘货信息!B375="","",盘货信息!B375)</f>
        <v/>
      </c>
      <c r="C375" s="18" t="str">
        <f>IF(盘货信息!C375="","",盘货信息!C375)</f>
        <v/>
      </c>
      <c r="D375" s="18" t="str">
        <f ca="1" t="shared" si="5"/>
        <v/>
      </c>
      <c r="E375" s="18" t="str">
        <f>IF(C375="","",固定信息!$B$2)</f>
        <v/>
      </c>
      <c r="F375" s="18" t="str">
        <f t="array" ref="F375">IF(C375="","","【"&amp;C375&amp;"】"&amp;_xlfn.XLOOKUP(A375&amp;B375&amp;C375,盘货信息!$A:$A&amp;盘货信息!$B:$B&amp;盘货信息!$C:$C,盘货信息!$D:$D))</f>
        <v/>
      </c>
      <c r="G375" s="18" t="str">
        <f>IF(C375="","","【"&amp;"活动时间："&amp;固定信息!$B$3&amp;"】")</f>
        <v/>
      </c>
      <c r="H375" s="18" t="str">
        <f>IF($C375="","",固定信息!$B$1)</f>
        <v/>
      </c>
      <c r="I375" s="18"/>
      <c r="J375" s="18" t="str">
        <f t="array" ref="J375">_xlfn.XLOOKUP(A375&amp;B375&amp;C375,价格信息!$A:$A&amp;价格信息!$B:$B&amp;价格信息!$C:$C,价格信息!$D:$D)</f>
        <v/>
      </c>
      <c r="K375" s="31" t="str">
        <f t="array" ref="K375">IF(_xlfn.XLOOKUP(A375&amp;B375&amp;C375,价格信息!$A:$A&amp;价格信息!$B:$B&amp;价格信息!$C:$C,价格信息!$I:$I)="","","【优惠券链接】"&amp;固定信息!$B$6)</f>
        <v/>
      </c>
      <c r="L375" s="31" t="str">
        <f>IF($C375="","",固定信息!$B$1)</f>
        <v/>
      </c>
      <c r="M375" s="18" t="str">
        <f t="array" ref="M375">IF(_xlfn.XLOOKUP(A375&amp;B375&amp;C375,盘货信息!$A:$A&amp;盘货信息!$B:$B&amp;盘货信息!$C:$C,盘货信息!$O:$O)="","","【优惠券】领"&amp;INDEX(_wpsfn.REGEXP(_xlfn.XLOOKUP(A375&amp;B375&amp;C375,盘货信息!$A:$A&amp;盘货信息!$B:$B&amp;盘货信息!$C:$C,盘货信息!$O:$O),"\d+"),1,1)&amp;"元优惠券下单更优惠，优惠卷："&amp;_xlfn.XLOOKUP(A375&amp;B375&amp;C375,盘货信息!$A:$A&amp;盘货信息!$B:$B&amp;盘货信息!$C:$C,盘货信息!$P:$P))</f>
        <v/>
      </c>
      <c r="N375" s="18" t="str">
        <f t="array" ref="N375">IF(AND(ISNUMBER(_xlfn.XLOOKUP(A375&amp;B375&amp;C375,盘货信息!$A:$A&amp;盘货信息!$B:$B&amp;盘货信息!$C:$C,盘货信息!$I:$I)),_xlfn.XLOOKUP(A375&amp;B375&amp;C375,盘货信息!$A:$A&amp;盘货信息!$B:$B&amp;盘货信息!$C:$C,盘货信息!$I:$I)&gt;1),"【88VIP】立减"&amp;_xlfn.XLOOKUP(A375&amp;B375&amp;C375,盘货信息!$A:$A&amp;盘货信息!$B:$B&amp;盘货信息!$C:$C,盘货信息!$I:$I)&amp;"元","")</f>
        <v/>
      </c>
      <c r="O375" s="18" t="str">
        <f t="array" ref="O375">IF(_xlfn.XLOOKUP(A375&amp;B375&amp;C375,盘货信息!$A:$A&amp;盘货信息!$B:$B&amp;盘货信息!$C:$C,盘货信息!$K:$K)="","",IF(AND(_xlfn.XLOOKUP(A375&amp;B375&amp;C375,盘货信息!$A:$A&amp;盘货信息!$B:$B&amp;盘货信息!$C:$C,盘货信息!$G:$G)="不参加",_xlfn.XLOOKUP(A375&amp;B375&amp;C375,盘货信息!$A:$A&amp;盘货信息!$B:$B&amp;盘货信息!$C:$C,盘货信息!$H:$H)=""),"【以旧换新】"&amp;_xlfn.XLOOKUP(A375&amp;B375&amp;C375,盘货信息!$A:$A&amp;盘货信息!$B:$B&amp;盘货信息!$C:$C,盘货信息!$K:$K)&amp;"元以旧换新补贴（可无旧机换新）",""))</f>
        <v/>
      </c>
      <c r="P375" s="18" t="str">
        <f t="array" ref="P375">_xlfn.XLOOKUP(A375&amp;B375&amp;C375,赠品!$A:$A&amp;赠品!$B:$B&amp;赠品!$C:$C,赠品!$D:$D)</f>
        <v/>
      </c>
      <c r="Q375" s="18" t="str">
        <f>IF($C375="","",IF(AND(M375="",N375="",P375=""),"",固定信息!$B$1))</f>
        <v/>
      </c>
      <c r="R375" s="18" t="str">
        <f t="array" ref="R375">IF(ISNUMBER(SEARCH("是",_xlfn.XLOOKUP(A375&amp;B375&amp;C375,盘货信息!$A:$A&amp;盘货信息!$B:$B&amp;盘货信息!$C:$C,盘货信息!$U:$U))),"【折扣】指定型号满2类享96折，满3类享94折","")</f>
        <v/>
      </c>
      <c r="S375" s="18" t="str">
        <f t="array" ref="S375">IF(_xlfn.XLOOKUP(A375&amp;B375&amp;C375,盘货信息!$A:$A&amp;盘货信息!$B:$B&amp;盘货信息!$C:$C,盘货信息!$Q:$Q)&lt;1,"","【红包】活动时间购机送"&amp;_xlfn.TEXTJOIN("",,IF(ISNUMBER(--MID(_xlfn.XLOOKUP(A375&amp;B375&amp;C375,盘货信息!$A:$A&amp;盘货信息!$B:$B&amp;盘货信息!$C:$C,盘货信息!$Q:$Q),_xlfn.SEQUENCE(LEN(_xlfn.XLOOKUP(A375&amp;B375&amp;C375,盘货信息!$A:$A&amp;盘货信息!$B:$B&amp;盘货信息!$C:$C,盘货信息!$Q:$Q))),1)),MID(_xlfn.XLOOKUP(A375&amp;B375&amp;C375,盘货信息!$A:$A&amp;盘货信息!$B:$B&amp;盘货信息!$C:$C,盘货信息!$Q:$Q),_xlfn.SEQUENCE(LEN(_xlfn.XLOOKUP(A375&amp;B375&amp;C375,盘货信息!$A:$A&amp;盘货信息!$B:$B&amp;盘货信息!$C:$C,盘货信息!$Q:$Q))),1),""))&amp;"元")</f>
        <v/>
      </c>
      <c r="T375" s="18" t="str">
        <f t="array" ref="T375">IF(ISNUMBER(SEARCH("是",_xlfn.XLOOKUP(A375&amp;B375&amp;C375,盘货信息!$A:$A&amp;盘货信息!$B:$B&amp;盘货信息!$C:$C,盘货信息!$T:$T))),"【瓜分】"&amp;固定信息!$B$7,"")</f>
        <v/>
      </c>
      <c r="U375" s="18" t="str">
        <f>IF($C375="","",IF(AND(R375="",S375="",T375=""),"",固定信息!$B$1))</f>
        <v/>
      </c>
      <c r="V375" s="18" t="str">
        <f t="array" ref="V375">IF(C375="","","【服务】"&amp;IF(_xlfn.XLOOKUP(A375&amp;B375&amp;C375,盘货信息!$A:$A&amp;盘货信息!$B:$B&amp;盘货信息!$C:$C,盘货信息!$V:$V)="","",_xlfn.XLOOKUP(A375&amp;B375&amp;C375,盘货信息!$A:$A&amp;盘货信息!$B:$B&amp;盘货信息!$C:$C,盘货信息!$V:$V)&amp;"免息,")&amp;IF(_xlfn.XLOOKUP(A375&amp;B375&amp;C375,盘货信息!$A:$A&amp;盘货信息!$B:$B&amp;盘货信息!$C:$C,盘货信息!$W:$W)="","",_xlfn.XLOOKUP(A375&amp;B375&amp;C375,盘货信息!$A:$A&amp;盘货信息!$B:$B&amp;盘货信息!$C:$C,盘货信息!$W:$W)&amp;"，")&amp;"送货入户，退换免运费")</f>
        <v/>
      </c>
    </row>
    <row r="376" customHeight="1" spans="1:22">
      <c r="A376" s="17" t="str">
        <f>IF(盘货信息!A376="","",盘货信息!A376)</f>
        <v/>
      </c>
      <c r="B376" s="20" t="str">
        <f>IF(盘货信息!B376="","",盘货信息!B376)</f>
        <v/>
      </c>
      <c r="C376" s="18" t="str">
        <f>IF(盘货信息!C376="","",盘货信息!C376)</f>
        <v/>
      </c>
      <c r="D376" s="18" t="str">
        <f ca="1" t="shared" si="5"/>
        <v/>
      </c>
      <c r="E376" s="18" t="str">
        <f>IF(C376="","",固定信息!$B$2)</f>
        <v/>
      </c>
      <c r="F376" s="18" t="str">
        <f t="array" ref="F376">IF(C376="","","【"&amp;C376&amp;"】"&amp;_xlfn.XLOOKUP(A376&amp;B376&amp;C376,盘货信息!$A:$A&amp;盘货信息!$B:$B&amp;盘货信息!$C:$C,盘货信息!$D:$D))</f>
        <v/>
      </c>
      <c r="G376" s="18" t="str">
        <f>IF(C376="","","【"&amp;"活动时间："&amp;固定信息!$B$3&amp;"】")</f>
        <v/>
      </c>
      <c r="H376" s="18" t="str">
        <f>IF($C376="","",固定信息!$B$1)</f>
        <v/>
      </c>
      <c r="I376" s="18"/>
      <c r="J376" s="18" t="str">
        <f t="array" ref="J376">_xlfn.XLOOKUP(A376&amp;B376&amp;C376,价格信息!$A:$A&amp;价格信息!$B:$B&amp;价格信息!$C:$C,价格信息!$D:$D)</f>
        <v/>
      </c>
      <c r="K376" s="31" t="str">
        <f t="array" ref="K376">IF(_xlfn.XLOOKUP(A376&amp;B376&amp;C376,价格信息!$A:$A&amp;价格信息!$B:$B&amp;价格信息!$C:$C,价格信息!$I:$I)="","","【优惠券链接】"&amp;固定信息!$B$6)</f>
        <v/>
      </c>
      <c r="L376" s="31" t="str">
        <f>IF($C376="","",固定信息!$B$1)</f>
        <v/>
      </c>
      <c r="M376" s="18" t="str">
        <f t="array" ref="M376">IF(_xlfn.XLOOKUP(A376&amp;B376&amp;C376,盘货信息!$A:$A&amp;盘货信息!$B:$B&amp;盘货信息!$C:$C,盘货信息!$O:$O)="","","【优惠券】领"&amp;INDEX(_wpsfn.REGEXP(_xlfn.XLOOKUP(A376&amp;B376&amp;C376,盘货信息!$A:$A&amp;盘货信息!$B:$B&amp;盘货信息!$C:$C,盘货信息!$O:$O),"\d+"),1,1)&amp;"元优惠券下单更优惠，优惠卷："&amp;_xlfn.XLOOKUP(A376&amp;B376&amp;C376,盘货信息!$A:$A&amp;盘货信息!$B:$B&amp;盘货信息!$C:$C,盘货信息!$P:$P))</f>
        <v/>
      </c>
      <c r="N376" s="18" t="str">
        <f t="array" ref="N376">IF(AND(ISNUMBER(_xlfn.XLOOKUP(A376&amp;B376&amp;C376,盘货信息!$A:$A&amp;盘货信息!$B:$B&amp;盘货信息!$C:$C,盘货信息!$I:$I)),_xlfn.XLOOKUP(A376&amp;B376&amp;C376,盘货信息!$A:$A&amp;盘货信息!$B:$B&amp;盘货信息!$C:$C,盘货信息!$I:$I)&gt;1),"【88VIP】立减"&amp;_xlfn.XLOOKUP(A376&amp;B376&amp;C376,盘货信息!$A:$A&amp;盘货信息!$B:$B&amp;盘货信息!$C:$C,盘货信息!$I:$I)&amp;"元","")</f>
        <v/>
      </c>
      <c r="O376" s="18" t="str">
        <f t="array" ref="O376">IF(_xlfn.XLOOKUP(A376&amp;B376&amp;C376,盘货信息!$A:$A&amp;盘货信息!$B:$B&amp;盘货信息!$C:$C,盘货信息!$K:$K)="","",IF(AND(_xlfn.XLOOKUP(A376&amp;B376&amp;C376,盘货信息!$A:$A&amp;盘货信息!$B:$B&amp;盘货信息!$C:$C,盘货信息!$G:$G)="不参加",_xlfn.XLOOKUP(A376&amp;B376&amp;C376,盘货信息!$A:$A&amp;盘货信息!$B:$B&amp;盘货信息!$C:$C,盘货信息!$H:$H)=""),"【以旧换新】"&amp;_xlfn.XLOOKUP(A376&amp;B376&amp;C376,盘货信息!$A:$A&amp;盘货信息!$B:$B&amp;盘货信息!$C:$C,盘货信息!$K:$K)&amp;"元以旧换新补贴（可无旧机换新）",""))</f>
        <v/>
      </c>
      <c r="P376" s="18" t="str">
        <f t="array" ref="P376">_xlfn.XLOOKUP(A376&amp;B376&amp;C376,赠品!$A:$A&amp;赠品!$B:$B&amp;赠品!$C:$C,赠品!$D:$D)</f>
        <v/>
      </c>
      <c r="Q376" s="18" t="str">
        <f>IF($C376="","",IF(AND(M376="",N376="",P376=""),"",固定信息!$B$1))</f>
        <v/>
      </c>
      <c r="R376" s="18" t="str">
        <f t="array" ref="R376">IF(ISNUMBER(SEARCH("是",_xlfn.XLOOKUP(A376&amp;B376&amp;C376,盘货信息!$A:$A&amp;盘货信息!$B:$B&amp;盘货信息!$C:$C,盘货信息!$U:$U))),"【折扣】指定型号满2类享96折，满3类享94折","")</f>
        <v/>
      </c>
      <c r="S376" s="18" t="str">
        <f t="array" ref="S376">IF(_xlfn.XLOOKUP(A376&amp;B376&amp;C376,盘货信息!$A:$A&amp;盘货信息!$B:$B&amp;盘货信息!$C:$C,盘货信息!$Q:$Q)&lt;1,"","【红包】活动时间购机送"&amp;_xlfn.TEXTJOIN("",,IF(ISNUMBER(--MID(_xlfn.XLOOKUP(A376&amp;B376&amp;C376,盘货信息!$A:$A&amp;盘货信息!$B:$B&amp;盘货信息!$C:$C,盘货信息!$Q:$Q),_xlfn.SEQUENCE(LEN(_xlfn.XLOOKUP(A376&amp;B376&amp;C376,盘货信息!$A:$A&amp;盘货信息!$B:$B&amp;盘货信息!$C:$C,盘货信息!$Q:$Q))),1)),MID(_xlfn.XLOOKUP(A376&amp;B376&amp;C376,盘货信息!$A:$A&amp;盘货信息!$B:$B&amp;盘货信息!$C:$C,盘货信息!$Q:$Q),_xlfn.SEQUENCE(LEN(_xlfn.XLOOKUP(A376&amp;B376&amp;C376,盘货信息!$A:$A&amp;盘货信息!$B:$B&amp;盘货信息!$C:$C,盘货信息!$Q:$Q))),1),""))&amp;"元")</f>
        <v/>
      </c>
      <c r="T376" s="18" t="str">
        <f t="array" ref="T376">IF(ISNUMBER(SEARCH("是",_xlfn.XLOOKUP(A376&amp;B376&amp;C376,盘货信息!$A:$A&amp;盘货信息!$B:$B&amp;盘货信息!$C:$C,盘货信息!$T:$T))),"【瓜分】"&amp;固定信息!$B$7,"")</f>
        <v/>
      </c>
      <c r="U376" s="18" t="str">
        <f>IF($C376="","",IF(AND(R376="",S376="",T376=""),"",固定信息!$B$1))</f>
        <v/>
      </c>
      <c r="V376" s="18" t="str">
        <f t="array" ref="V376">IF(C376="","","【服务】"&amp;IF(_xlfn.XLOOKUP(A376&amp;B376&amp;C376,盘货信息!$A:$A&amp;盘货信息!$B:$B&amp;盘货信息!$C:$C,盘货信息!$V:$V)="","",_xlfn.XLOOKUP(A376&amp;B376&amp;C376,盘货信息!$A:$A&amp;盘货信息!$B:$B&amp;盘货信息!$C:$C,盘货信息!$V:$V)&amp;"免息,")&amp;IF(_xlfn.XLOOKUP(A376&amp;B376&amp;C376,盘货信息!$A:$A&amp;盘货信息!$B:$B&amp;盘货信息!$C:$C,盘货信息!$W:$W)="","",_xlfn.XLOOKUP(A376&amp;B376&amp;C376,盘货信息!$A:$A&amp;盘货信息!$B:$B&amp;盘货信息!$C:$C,盘货信息!$W:$W)&amp;"，")&amp;"送货入户，退换免运费")</f>
        <v/>
      </c>
    </row>
    <row r="377" customHeight="1" spans="1:22">
      <c r="A377" s="17" t="str">
        <f>IF(盘货信息!A377="","",盘货信息!A377)</f>
        <v/>
      </c>
      <c r="B377" s="20" t="str">
        <f>IF(盘货信息!B377="","",盘货信息!B377)</f>
        <v/>
      </c>
      <c r="C377" s="18" t="str">
        <f>IF(盘货信息!C377="","",盘货信息!C377)</f>
        <v/>
      </c>
      <c r="D377" s="18" t="str">
        <f ca="1" t="shared" si="5"/>
        <v/>
      </c>
      <c r="E377" s="18" t="str">
        <f>IF(C377="","",固定信息!$B$2)</f>
        <v/>
      </c>
      <c r="F377" s="18" t="str">
        <f t="array" ref="F377">IF(C377="","","【"&amp;C377&amp;"】"&amp;_xlfn.XLOOKUP(A377&amp;B377&amp;C377,盘货信息!$A:$A&amp;盘货信息!$B:$B&amp;盘货信息!$C:$C,盘货信息!$D:$D))</f>
        <v/>
      </c>
      <c r="G377" s="18" t="str">
        <f>IF(C377="","","【"&amp;"活动时间："&amp;固定信息!$B$3&amp;"】")</f>
        <v/>
      </c>
      <c r="H377" s="18" t="str">
        <f>IF($C377="","",固定信息!$B$1)</f>
        <v/>
      </c>
      <c r="I377" s="18"/>
      <c r="J377" s="18" t="str">
        <f t="array" ref="J377">_xlfn.XLOOKUP(A377&amp;B377&amp;C377,价格信息!$A:$A&amp;价格信息!$B:$B&amp;价格信息!$C:$C,价格信息!$D:$D)</f>
        <v/>
      </c>
      <c r="K377" s="31" t="str">
        <f t="array" ref="K377">IF(_xlfn.XLOOKUP(A377&amp;B377&amp;C377,价格信息!$A:$A&amp;价格信息!$B:$B&amp;价格信息!$C:$C,价格信息!$I:$I)="","","【优惠券链接】"&amp;固定信息!$B$6)</f>
        <v/>
      </c>
      <c r="L377" s="31" t="str">
        <f>IF($C377="","",固定信息!$B$1)</f>
        <v/>
      </c>
      <c r="M377" s="18" t="str">
        <f t="array" ref="M377">IF(_xlfn.XLOOKUP(A377&amp;B377&amp;C377,盘货信息!$A:$A&amp;盘货信息!$B:$B&amp;盘货信息!$C:$C,盘货信息!$O:$O)="","","【优惠券】领"&amp;INDEX(_wpsfn.REGEXP(_xlfn.XLOOKUP(A377&amp;B377&amp;C377,盘货信息!$A:$A&amp;盘货信息!$B:$B&amp;盘货信息!$C:$C,盘货信息!$O:$O),"\d+"),1,1)&amp;"元优惠券下单更优惠，优惠卷："&amp;_xlfn.XLOOKUP(A377&amp;B377&amp;C377,盘货信息!$A:$A&amp;盘货信息!$B:$B&amp;盘货信息!$C:$C,盘货信息!$P:$P))</f>
        <v/>
      </c>
      <c r="N377" s="18" t="str">
        <f t="array" ref="N377">IF(AND(ISNUMBER(_xlfn.XLOOKUP(A377&amp;B377&amp;C377,盘货信息!$A:$A&amp;盘货信息!$B:$B&amp;盘货信息!$C:$C,盘货信息!$I:$I)),_xlfn.XLOOKUP(A377&amp;B377&amp;C377,盘货信息!$A:$A&amp;盘货信息!$B:$B&amp;盘货信息!$C:$C,盘货信息!$I:$I)&gt;1),"【88VIP】立减"&amp;_xlfn.XLOOKUP(A377&amp;B377&amp;C377,盘货信息!$A:$A&amp;盘货信息!$B:$B&amp;盘货信息!$C:$C,盘货信息!$I:$I)&amp;"元","")</f>
        <v/>
      </c>
      <c r="O377" s="18" t="str">
        <f t="array" ref="O377">IF(_xlfn.XLOOKUP(A377&amp;B377&amp;C377,盘货信息!$A:$A&amp;盘货信息!$B:$B&amp;盘货信息!$C:$C,盘货信息!$K:$K)="","",IF(AND(_xlfn.XLOOKUP(A377&amp;B377&amp;C377,盘货信息!$A:$A&amp;盘货信息!$B:$B&amp;盘货信息!$C:$C,盘货信息!$G:$G)="不参加",_xlfn.XLOOKUP(A377&amp;B377&amp;C377,盘货信息!$A:$A&amp;盘货信息!$B:$B&amp;盘货信息!$C:$C,盘货信息!$H:$H)=""),"【以旧换新】"&amp;_xlfn.XLOOKUP(A377&amp;B377&amp;C377,盘货信息!$A:$A&amp;盘货信息!$B:$B&amp;盘货信息!$C:$C,盘货信息!$K:$K)&amp;"元以旧换新补贴（可无旧机换新）",""))</f>
        <v/>
      </c>
      <c r="P377" s="18" t="str">
        <f t="array" ref="P377">_xlfn.XLOOKUP(A377&amp;B377&amp;C377,赠品!$A:$A&amp;赠品!$B:$B&amp;赠品!$C:$C,赠品!$D:$D)</f>
        <v/>
      </c>
      <c r="Q377" s="18" t="str">
        <f>IF($C377="","",IF(AND(M377="",N377="",P377=""),"",固定信息!$B$1))</f>
        <v/>
      </c>
      <c r="R377" s="18" t="str">
        <f t="array" ref="R377">IF(ISNUMBER(SEARCH("是",_xlfn.XLOOKUP(A377&amp;B377&amp;C377,盘货信息!$A:$A&amp;盘货信息!$B:$B&amp;盘货信息!$C:$C,盘货信息!$U:$U))),"【折扣】指定型号满2类享96折，满3类享94折","")</f>
        <v/>
      </c>
      <c r="S377" s="18" t="str">
        <f t="array" ref="S377">IF(_xlfn.XLOOKUP(A377&amp;B377&amp;C377,盘货信息!$A:$A&amp;盘货信息!$B:$B&amp;盘货信息!$C:$C,盘货信息!$Q:$Q)&lt;1,"","【红包】活动时间购机送"&amp;_xlfn.TEXTJOIN("",,IF(ISNUMBER(--MID(_xlfn.XLOOKUP(A377&amp;B377&amp;C377,盘货信息!$A:$A&amp;盘货信息!$B:$B&amp;盘货信息!$C:$C,盘货信息!$Q:$Q),_xlfn.SEQUENCE(LEN(_xlfn.XLOOKUP(A377&amp;B377&amp;C377,盘货信息!$A:$A&amp;盘货信息!$B:$B&amp;盘货信息!$C:$C,盘货信息!$Q:$Q))),1)),MID(_xlfn.XLOOKUP(A377&amp;B377&amp;C377,盘货信息!$A:$A&amp;盘货信息!$B:$B&amp;盘货信息!$C:$C,盘货信息!$Q:$Q),_xlfn.SEQUENCE(LEN(_xlfn.XLOOKUP(A377&amp;B377&amp;C377,盘货信息!$A:$A&amp;盘货信息!$B:$B&amp;盘货信息!$C:$C,盘货信息!$Q:$Q))),1),""))&amp;"元")</f>
        <v/>
      </c>
      <c r="T377" s="18" t="str">
        <f t="array" ref="T377">IF(ISNUMBER(SEARCH("是",_xlfn.XLOOKUP(A377&amp;B377&amp;C377,盘货信息!$A:$A&amp;盘货信息!$B:$B&amp;盘货信息!$C:$C,盘货信息!$T:$T))),"【瓜分】"&amp;固定信息!$B$7,"")</f>
        <v/>
      </c>
      <c r="U377" s="18" t="str">
        <f>IF($C377="","",IF(AND(R377="",S377="",T377=""),"",固定信息!$B$1))</f>
        <v/>
      </c>
      <c r="V377" s="18" t="str">
        <f t="array" ref="V377">IF(C377="","","【服务】"&amp;IF(_xlfn.XLOOKUP(A377&amp;B377&amp;C377,盘货信息!$A:$A&amp;盘货信息!$B:$B&amp;盘货信息!$C:$C,盘货信息!$V:$V)="","",_xlfn.XLOOKUP(A377&amp;B377&amp;C377,盘货信息!$A:$A&amp;盘货信息!$B:$B&amp;盘货信息!$C:$C,盘货信息!$V:$V)&amp;"免息,")&amp;IF(_xlfn.XLOOKUP(A377&amp;B377&amp;C377,盘货信息!$A:$A&amp;盘货信息!$B:$B&amp;盘货信息!$C:$C,盘货信息!$W:$W)="","",_xlfn.XLOOKUP(A377&amp;B377&amp;C377,盘货信息!$A:$A&amp;盘货信息!$B:$B&amp;盘货信息!$C:$C,盘货信息!$W:$W)&amp;"，")&amp;"送货入户，退换免运费")</f>
        <v/>
      </c>
    </row>
    <row r="378" customHeight="1" spans="1:22">
      <c r="A378" s="17" t="str">
        <f>IF(盘货信息!A378="","",盘货信息!A378)</f>
        <v/>
      </c>
      <c r="B378" s="20" t="str">
        <f>IF(盘货信息!B378="","",盘货信息!B378)</f>
        <v/>
      </c>
      <c r="C378" s="18" t="str">
        <f>IF(盘货信息!C378="","",盘货信息!C378)</f>
        <v/>
      </c>
      <c r="D378" s="18" t="str">
        <f ca="1" t="shared" si="5"/>
        <v/>
      </c>
      <c r="E378" s="18" t="str">
        <f>IF(C378="","",固定信息!$B$2)</f>
        <v/>
      </c>
      <c r="F378" s="18" t="str">
        <f t="array" ref="F378">IF(C378="","","【"&amp;C378&amp;"】"&amp;_xlfn.XLOOKUP(A378&amp;B378&amp;C378,盘货信息!$A:$A&amp;盘货信息!$B:$B&amp;盘货信息!$C:$C,盘货信息!$D:$D))</f>
        <v/>
      </c>
      <c r="G378" s="18" t="str">
        <f>IF(C378="","","【"&amp;"活动时间："&amp;固定信息!$B$3&amp;"】")</f>
        <v/>
      </c>
      <c r="H378" s="18" t="str">
        <f>IF($C378="","",固定信息!$B$1)</f>
        <v/>
      </c>
      <c r="I378" s="18"/>
      <c r="J378" s="18" t="str">
        <f t="array" ref="J378">_xlfn.XLOOKUP(A378&amp;B378&amp;C378,价格信息!$A:$A&amp;价格信息!$B:$B&amp;价格信息!$C:$C,价格信息!$D:$D)</f>
        <v/>
      </c>
      <c r="K378" s="31" t="str">
        <f t="array" ref="K378">IF(_xlfn.XLOOKUP(A378&amp;B378&amp;C378,价格信息!$A:$A&amp;价格信息!$B:$B&amp;价格信息!$C:$C,价格信息!$I:$I)="","","【优惠券链接】"&amp;固定信息!$B$6)</f>
        <v/>
      </c>
      <c r="L378" s="31" t="str">
        <f>IF($C378="","",固定信息!$B$1)</f>
        <v/>
      </c>
      <c r="M378" s="18" t="str">
        <f t="array" ref="M378">IF(_xlfn.XLOOKUP(A378&amp;B378&amp;C378,盘货信息!$A:$A&amp;盘货信息!$B:$B&amp;盘货信息!$C:$C,盘货信息!$O:$O)="","","【优惠券】领"&amp;INDEX(_wpsfn.REGEXP(_xlfn.XLOOKUP(A378&amp;B378&amp;C378,盘货信息!$A:$A&amp;盘货信息!$B:$B&amp;盘货信息!$C:$C,盘货信息!$O:$O),"\d+"),1,1)&amp;"元优惠券下单更优惠，优惠卷："&amp;_xlfn.XLOOKUP(A378&amp;B378&amp;C378,盘货信息!$A:$A&amp;盘货信息!$B:$B&amp;盘货信息!$C:$C,盘货信息!$P:$P))</f>
        <v/>
      </c>
      <c r="N378" s="18" t="str">
        <f t="array" ref="N378">IF(AND(ISNUMBER(_xlfn.XLOOKUP(A378&amp;B378&amp;C378,盘货信息!$A:$A&amp;盘货信息!$B:$B&amp;盘货信息!$C:$C,盘货信息!$I:$I)),_xlfn.XLOOKUP(A378&amp;B378&amp;C378,盘货信息!$A:$A&amp;盘货信息!$B:$B&amp;盘货信息!$C:$C,盘货信息!$I:$I)&gt;1),"【88VIP】立减"&amp;_xlfn.XLOOKUP(A378&amp;B378&amp;C378,盘货信息!$A:$A&amp;盘货信息!$B:$B&amp;盘货信息!$C:$C,盘货信息!$I:$I)&amp;"元","")</f>
        <v/>
      </c>
      <c r="O378" s="18" t="str">
        <f t="array" ref="O378">IF(_xlfn.XLOOKUP(A378&amp;B378&amp;C378,盘货信息!$A:$A&amp;盘货信息!$B:$B&amp;盘货信息!$C:$C,盘货信息!$K:$K)="","",IF(AND(_xlfn.XLOOKUP(A378&amp;B378&amp;C378,盘货信息!$A:$A&amp;盘货信息!$B:$B&amp;盘货信息!$C:$C,盘货信息!$G:$G)="不参加",_xlfn.XLOOKUP(A378&amp;B378&amp;C378,盘货信息!$A:$A&amp;盘货信息!$B:$B&amp;盘货信息!$C:$C,盘货信息!$H:$H)=""),"【以旧换新】"&amp;_xlfn.XLOOKUP(A378&amp;B378&amp;C378,盘货信息!$A:$A&amp;盘货信息!$B:$B&amp;盘货信息!$C:$C,盘货信息!$K:$K)&amp;"元以旧换新补贴（可无旧机换新）",""))</f>
        <v/>
      </c>
      <c r="P378" s="18" t="str">
        <f t="array" ref="P378">_xlfn.XLOOKUP(A378&amp;B378&amp;C378,赠品!$A:$A&amp;赠品!$B:$B&amp;赠品!$C:$C,赠品!$D:$D)</f>
        <v/>
      </c>
      <c r="Q378" s="18" t="str">
        <f>IF($C378="","",IF(AND(M378="",N378="",P378=""),"",固定信息!$B$1))</f>
        <v/>
      </c>
      <c r="R378" s="18" t="str">
        <f t="array" ref="R378">IF(ISNUMBER(SEARCH("是",_xlfn.XLOOKUP(A378&amp;B378&amp;C378,盘货信息!$A:$A&amp;盘货信息!$B:$B&amp;盘货信息!$C:$C,盘货信息!$U:$U))),"【折扣】指定型号满2类享96折，满3类享94折","")</f>
        <v/>
      </c>
      <c r="S378" s="18" t="str">
        <f t="array" ref="S378">IF(_xlfn.XLOOKUP(A378&amp;B378&amp;C378,盘货信息!$A:$A&amp;盘货信息!$B:$B&amp;盘货信息!$C:$C,盘货信息!$Q:$Q)&lt;1,"","【红包】活动时间购机送"&amp;_xlfn.TEXTJOIN("",,IF(ISNUMBER(--MID(_xlfn.XLOOKUP(A378&amp;B378&amp;C378,盘货信息!$A:$A&amp;盘货信息!$B:$B&amp;盘货信息!$C:$C,盘货信息!$Q:$Q),_xlfn.SEQUENCE(LEN(_xlfn.XLOOKUP(A378&amp;B378&amp;C378,盘货信息!$A:$A&amp;盘货信息!$B:$B&amp;盘货信息!$C:$C,盘货信息!$Q:$Q))),1)),MID(_xlfn.XLOOKUP(A378&amp;B378&amp;C378,盘货信息!$A:$A&amp;盘货信息!$B:$B&amp;盘货信息!$C:$C,盘货信息!$Q:$Q),_xlfn.SEQUENCE(LEN(_xlfn.XLOOKUP(A378&amp;B378&amp;C378,盘货信息!$A:$A&amp;盘货信息!$B:$B&amp;盘货信息!$C:$C,盘货信息!$Q:$Q))),1),""))&amp;"元")</f>
        <v/>
      </c>
      <c r="T378" s="18" t="str">
        <f t="array" ref="T378">IF(ISNUMBER(SEARCH("是",_xlfn.XLOOKUP(A378&amp;B378&amp;C378,盘货信息!$A:$A&amp;盘货信息!$B:$B&amp;盘货信息!$C:$C,盘货信息!$T:$T))),"【瓜分】"&amp;固定信息!$B$7,"")</f>
        <v/>
      </c>
      <c r="U378" s="18" t="str">
        <f>IF($C378="","",IF(AND(R378="",S378="",T378=""),"",固定信息!$B$1))</f>
        <v/>
      </c>
      <c r="V378" s="18" t="str">
        <f t="array" ref="V378">IF(C378="","","【服务】"&amp;IF(_xlfn.XLOOKUP(A378&amp;B378&amp;C378,盘货信息!$A:$A&amp;盘货信息!$B:$B&amp;盘货信息!$C:$C,盘货信息!$V:$V)="","",_xlfn.XLOOKUP(A378&amp;B378&amp;C378,盘货信息!$A:$A&amp;盘货信息!$B:$B&amp;盘货信息!$C:$C,盘货信息!$V:$V)&amp;"免息,")&amp;IF(_xlfn.XLOOKUP(A378&amp;B378&amp;C378,盘货信息!$A:$A&amp;盘货信息!$B:$B&amp;盘货信息!$C:$C,盘货信息!$W:$W)="","",_xlfn.XLOOKUP(A378&amp;B378&amp;C378,盘货信息!$A:$A&amp;盘货信息!$B:$B&amp;盘货信息!$C:$C,盘货信息!$W:$W)&amp;"，")&amp;"送货入户，退换免运费")</f>
        <v/>
      </c>
    </row>
    <row r="379" customHeight="1" spans="1:22">
      <c r="A379" s="17" t="str">
        <f>IF(盘货信息!A379="","",盘货信息!A379)</f>
        <v/>
      </c>
      <c r="B379" s="20" t="str">
        <f>IF(盘货信息!B379="","",盘货信息!B379)</f>
        <v/>
      </c>
      <c r="C379" s="18" t="str">
        <f>IF(盘货信息!C379="","",盘货信息!C379)</f>
        <v/>
      </c>
      <c r="D379" s="18" t="str">
        <f ca="1" t="shared" si="5"/>
        <v/>
      </c>
      <c r="E379" s="18" t="str">
        <f>IF(C379="","",固定信息!$B$2)</f>
        <v/>
      </c>
      <c r="F379" s="18" t="str">
        <f t="array" ref="F379">IF(C379="","","【"&amp;C379&amp;"】"&amp;_xlfn.XLOOKUP(A379&amp;B379&amp;C379,盘货信息!$A:$A&amp;盘货信息!$B:$B&amp;盘货信息!$C:$C,盘货信息!$D:$D))</f>
        <v/>
      </c>
      <c r="G379" s="18" t="str">
        <f>IF(C379="","","【"&amp;"活动时间："&amp;固定信息!$B$3&amp;"】")</f>
        <v/>
      </c>
      <c r="H379" s="18" t="str">
        <f>IF($C379="","",固定信息!$B$1)</f>
        <v/>
      </c>
      <c r="I379" s="18"/>
      <c r="J379" s="18" t="str">
        <f t="array" ref="J379">_xlfn.XLOOKUP(A379&amp;B379&amp;C379,价格信息!$A:$A&amp;价格信息!$B:$B&amp;价格信息!$C:$C,价格信息!$D:$D)</f>
        <v/>
      </c>
      <c r="K379" s="31" t="str">
        <f t="array" ref="K379">IF(_xlfn.XLOOKUP(A379&amp;B379&amp;C379,价格信息!$A:$A&amp;价格信息!$B:$B&amp;价格信息!$C:$C,价格信息!$I:$I)="","","【优惠券链接】"&amp;固定信息!$B$6)</f>
        <v/>
      </c>
      <c r="L379" s="31" t="str">
        <f>IF($C379="","",固定信息!$B$1)</f>
        <v/>
      </c>
      <c r="M379" s="18" t="str">
        <f t="array" ref="M379">IF(_xlfn.XLOOKUP(A379&amp;B379&amp;C379,盘货信息!$A:$A&amp;盘货信息!$B:$B&amp;盘货信息!$C:$C,盘货信息!$O:$O)="","","【优惠券】领"&amp;INDEX(_wpsfn.REGEXP(_xlfn.XLOOKUP(A379&amp;B379&amp;C379,盘货信息!$A:$A&amp;盘货信息!$B:$B&amp;盘货信息!$C:$C,盘货信息!$O:$O),"\d+"),1,1)&amp;"元优惠券下单更优惠，优惠卷："&amp;_xlfn.XLOOKUP(A379&amp;B379&amp;C379,盘货信息!$A:$A&amp;盘货信息!$B:$B&amp;盘货信息!$C:$C,盘货信息!$P:$P))</f>
        <v/>
      </c>
      <c r="N379" s="18" t="str">
        <f t="array" ref="N379">IF(AND(ISNUMBER(_xlfn.XLOOKUP(A379&amp;B379&amp;C379,盘货信息!$A:$A&amp;盘货信息!$B:$B&amp;盘货信息!$C:$C,盘货信息!$I:$I)),_xlfn.XLOOKUP(A379&amp;B379&amp;C379,盘货信息!$A:$A&amp;盘货信息!$B:$B&amp;盘货信息!$C:$C,盘货信息!$I:$I)&gt;1),"【88VIP】立减"&amp;_xlfn.XLOOKUP(A379&amp;B379&amp;C379,盘货信息!$A:$A&amp;盘货信息!$B:$B&amp;盘货信息!$C:$C,盘货信息!$I:$I)&amp;"元","")</f>
        <v/>
      </c>
      <c r="O379" s="18" t="str">
        <f t="array" ref="O379">IF(_xlfn.XLOOKUP(A379&amp;B379&amp;C379,盘货信息!$A:$A&amp;盘货信息!$B:$B&amp;盘货信息!$C:$C,盘货信息!$K:$K)="","",IF(AND(_xlfn.XLOOKUP(A379&amp;B379&amp;C379,盘货信息!$A:$A&amp;盘货信息!$B:$B&amp;盘货信息!$C:$C,盘货信息!$G:$G)="不参加",_xlfn.XLOOKUP(A379&amp;B379&amp;C379,盘货信息!$A:$A&amp;盘货信息!$B:$B&amp;盘货信息!$C:$C,盘货信息!$H:$H)=""),"【以旧换新】"&amp;_xlfn.XLOOKUP(A379&amp;B379&amp;C379,盘货信息!$A:$A&amp;盘货信息!$B:$B&amp;盘货信息!$C:$C,盘货信息!$K:$K)&amp;"元以旧换新补贴（可无旧机换新）",""))</f>
        <v/>
      </c>
      <c r="P379" s="18" t="str">
        <f t="array" ref="P379">_xlfn.XLOOKUP(A379&amp;B379&amp;C379,赠品!$A:$A&amp;赠品!$B:$B&amp;赠品!$C:$C,赠品!$D:$D)</f>
        <v/>
      </c>
      <c r="Q379" s="18" t="str">
        <f>IF($C379="","",IF(AND(M379="",N379="",P379=""),"",固定信息!$B$1))</f>
        <v/>
      </c>
      <c r="R379" s="18" t="str">
        <f t="array" ref="R379">IF(ISNUMBER(SEARCH("是",_xlfn.XLOOKUP(A379&amp;B379&amp;C379,盘货信息!$A:$A&amp;盘货信息!$B:$B&amp;盘货信息!$C:$C,盘货信息!$U:$U))),"【折扣】指定型号满2类享96折，满3类享94折","")</f>
        <v/>
      </c>
      <c r="S379" s="18" t="str">
        <f t="array" ref="S379">IF(_xlfn.XLOOKUP(A379&amp;B379&amp;C379,盘货信息!$A:$A&amp;盘货信息!$B:$B&amp;盘货信息!$C:$C,盘货信息!$Q:$Q)&lt;1,"","【红包】活动时间购机送"&amp;_xlfn.TEXTJOIN("",,IF(ISNUMBER(--MID(_xlfn.XLOOKUP(A379&amp;B379&amp;C379,盘货信息!$A:$A&amp;盘货信息!$B:$B&amp;盘货信息!$C:$C,盘货信息!$Q:$Q),_xlfn.SEQUENCE(LEN(_xlfn.XLOOKUP(A379&amp;B379&amp;C379,盘货信息!$A:$A&amp;盘货信息!$B:$B&amp;盘货信息!$C:$C,盘货信息!$Q:$Q))),1)),MID(_xlfn.XLOOKUP(A379&amp;B379&amp;C379,盘货信息!$A:$A&amp;盘货信息!$B:$B&amp;盘货信息!$C:$C,盘货信息!$Q:$Q),_xlfn.SEQUENCE(LEN(_xlfn.XLOOKUP(A379&amp;B379&amp;C379,盘货信息!$A:$A&amp;盘货信息!$B:$B&amp;盘货信息!$C:$C,盘货信息!$Q:$Q))),1),""))&amp;"元")</f>
        <v/>
      </c>
      <c r="T379" s="18" t="str">
        <f t="array" ref="T379">IF(ISNUMBER(SEARCH("是",_xlfn.XLOOKUP(A379&amp;B379&amp;C379,盘货信息!$A:$A&amp;盘货信息!$B:$B&amp;盘货信息!$C:$C,盘货信息!$T:$T))),"【瓜分】"&amp;固定信息!$B$7,"")</f>
        <v/>
      </c>
      <c r="U379" s="18" t="str">
        <f>IF($C379="","",IF(AND(R379="",S379="",T379=""),"",固定信息!$B$1))</f>
        <v/>
      </c>
      <c r="V379" s="18" t="str">
        <f t="array" ref="V379">IF(C379="","","【服务】"&amp;IF(_xlfn.XLOOKUP(A379&amp;B379&amp;C379,盘货信息!$A:$A&amp;盘货信息!$B:$B&amp;盘货信息!$C:$C,盘货信息!$V:$V)="","",_xlfn.XLOOKUP(A379&amp;B379&amp;C379,盘货信息!$A:$A&amp;盘货信息!$B:$B&amp;盘货信息!$C:$C,盘货信息!$V:$V)&amp;"免息,")&amp;IF(_xlfn.XLOOKUP(A379&amp;B379&amp;C379,盘货信息!$A:$A&amp;盘货信息!$B:$B&amp;盘货信息!$C:$C,盘货信息!$W:$W)="","",_xlfn.XLOOKUP(A379&amp;B379&amp;C379,盘货信息!$A:$A&amp;盘货信息!$B:$B&amp;盘货信息!$C:$C,盘货信息!$W:$W)&amp;"，")&amp;"送货入户，退换免运费")</f>
        <v/>
      </c>
    </row>
    <row r="380" customHeight="1" spans="1:22">
      <c r="A380" s="17" t="str">
        <f>IF(盘货信息!A380="","",盘货信息!A380)</f>
        <v/>
      </c>
      <c r="B380" s="20" t="str">
        <f>IF(盘货信息!B380="","",盘货信息!B380)</f>
        <v/>
      </c>
      <c r="C380" s="18" t="str">
        <f>IF(盘货信息!C380="","",盘货信息!C380)</f>
        <v/>
      </c>
      <c r="D380" s="18" t="str">
        <f ca="1" t="shared" si="5"/>
        <v/>
      </c>
      <c r="E380" s="18" t="str">
        <f>IF(C380="","",固定信息!$B$2)</f>
        <v/>
      </c>
      <c r="F380" s="18" t="str">
        <f t="array" ref="F380">IF(C380="","","【"&amp;C380&amp;"】"&amp;_xlfn.XLOOKUP(A380&amp;B380&amp;C380,盘货信息!$A:$A&amp;盘货信息!$B:$B&amp;盘货信息!$C:$C,盘货信息!$D:$D))</f>
        <v/>
      </c>
      <c r="G380" s="18" t="str">
        <f>IF(C380="","","【"&amp;"活动时间："&amp;固定信息!$B$3&amp;"】")</f>
        <v/>
      </c>
      <c r="H380" s="18" t="str">
        <f>IF($C380="","",固定信息!$B$1)</f>
        <v/>
      </c>
      <c r="I380" s="18"/>
      <c r="J380" s="18" t="str">
        <f t="array" ref="J380">_xlfn.XLOOKUP(A380&amp;B380&amp;C380,价格信息!$A:$A&amp;价格信息!$B:$B&amp;价格信息!$C:$C,价格信息!$D:$D)</f>
        <v/>
      </c>
      <c r="K380" s="31" t="str">
        <f t="array" ref="K380">IF(_xlfn.XLOOKUP(A380&amp;B380&amp;C380,价格信息!$A:$A&amp;价格信息!$B:$B&amp;价格信息!$C:$C,价格信息!$I:$I)="","","【优惠券链接】"&amp;固定信息!$B$6)</f>
        <v/>
      </c>
      <c r="L380" s="31" t="str">
        <f>IF($C380="","",固定信息!$B$1)</f>
        <v/>
      </c>
      <c r="M380" s="18" t="str">
        <f t="array" ref="M380">IF(_xlfn.XLOOKUP(A380&amp;B380&amp;C380,盘货信息!$A:$A&amp;盘货信息!$B:$B&amp;盘货信息!$C:$C,盘货信息!$O:$O)="","","【优惠券】领"&amp;INDEX(_wpsfn.REGEXP(_xlfn.XLOOKUP(A380&amp;B380&amp;C380,盘货信息!$A:$A&amp;盘货信息!$B:$B&amp;盘货信息!$C:$C,盘货信息!$O:$O),"\d+"),1,1)&amp;"元优惠券下单更优惠，优惠卷："&amp;_xlfn.XLOOKUP(A380&amp;B380&amp;C380,盘货信息!$A:$A&amp;盘货信息!$B:$B&amp;盘货信息!$C:$C,盘货信息!$P:$P))</f>
        <v/>
      </c>
      <c r="N380" s="18" t="str">
        <f t="array" ref="N380">IF(AND(ISNUMBER(_xlfn.XLOOKUP(A380&amp;B380&amp;C380,盘货信息!$A:$A&amp;盘货信息!$B:$B&amp;盘货信息!$C:$C,盘货信息!$I:$I)),_xlfn.XLOOKUP(A380&amp;B380&amp;C380,盘货信息!$A:$A&amp;盘货信息!$B:$B&amp;盘货信息!$C:$C,盘货信息!$I:$I)&gt;1),"【88VIP】立减"&amp;_xlfn.XLOOKUP(A380&amp;B380&amp;C380,盘货信息!$A:$A&amp;盘货信息!$B:$B&amp;盘货信息!$C:$C,盘货信息!$I:$I)&amp;"元","")</f>
        <v/>
      </c>
      <c r="O380" s="18" t="str">
        <f t="array" ref="O380">IF(_xlfn.XLOOKUP(A380&amp;B380&amp;C380,盘货信息!$A:$A&amp;盘货信息!$B:$B&amp;盘货信息!$C:$C,盘货信息!$K:$K)="","",IF(AND(_xlfn.XLOOKUP(A380&amp;B380&amp;C380,盘货信息!$A:$A&amp;盘货信息!$B:$B&amp;盘货信息!$C:$C,盘货信息!$G:$G)="不参加",_xlfn.XLOOKUP(A380&amp;B380&amp;C380,盘货信息!$A:$A&amp;盘货信息!$B:$B&amp;盘货信息!$C:$C,盘货信息!$H:$H)=""),"【以旧换新】"&amp;_xlfn.XLOOKUP(A380&amp;B380&amp;C380,盘货信息!$A:$A&amp;盘货信息!$B:$B&amp;盘货信息!$C:$C,盘货信息!$K:$K)&amp;"元以旧换新补贴（可无旧机换新）",""))</f>
        <v/>
      </c>
      <c r="P380" s="18" t="str">
        <f t="array" ref="P380">_xlfn.XLOOKUP(A380&amp;B380&amp;C380,赠品!$A:$A&amp;赠品!$B:$B&amp;赠品!$C:$C,赠品!$D:$D)</f>
        <v/>
      </c>
      <c r="Q380" s="18" t="str">
        <f>IF($C380="","",IF(AND(M380="",N380="",P380=""),"",固定信息!$B$1))</f>
        <v/>
      </c>
      <c r="R380" s="18" t="str">
        <f t="array" ref="R380">IF(ISNUMBER(SEARCH("是",_xlfn.XLOOKUP(A380&amp;B380&amp;C380,盘货信息!$A:$A&amp;盘货信息!$B:$B&amp;盘货信息!$C:$C,盘货信息!$U:$U))),"【折扣】指定型号满2类享96折，满3类享94折","")</f>
        <v/>
      </c>
      <c r="S380" s="18" t="str">
        <f t="array" ref="S380">IF(_xlfn.XLOOKUP(A380&amp;B380&amp;C380,盘货信息!$A:$A&amp;盘货信息!$B:$B&amp;盘货信息!$C:$C,盘货信息!$Q:$Q)&lt;1,"","【红包】活动时间购机送"&amp;_xlfn.TEXTJOIN("",,IF(ISNUMBER(--MID(_xlfn.XLOOKUP(A380&amp;B380&amp;C380,盘货信息!$A:$A&amp;盘货信息!$B:$B&amp;盘货信息!$C:$C,盘货信息!$Q:$Q),_xlfn.SEQUENCE(LEN(_xlfn.XLOOKUP(A380&amp;B380&amp;C380,盘货信息!$A:$A&amp;盘货信息!$B:$B&amp;盘货信息!$C:$C,盘货信息!$Q:$Q))),1)),MID(_xlfn.XLOOKUP(A380&amp;B380&amp;C380,盘货信息!$A:$A&amp;盘货信息!$B:$B&amp;盘货信息!$C:$C,盘货信息!$Q:$Q),_xlfn.SEQUENCE(LEN(_xlfn.XLOOKUP(A380&amp;B380&amp;C380,盘货信息!$A:$A&amp;盘货信息!$B:$B&amp;盘货信息!$C:$C,盘货信息!$Q:$Q))),1),""))&amp;"元")</f>
        <v/>
      </c>
      <c r="T380" s="18" t="str">
        <f t="array" ref="T380">IF(ISNUMBER(SEARCH("是",_xlfn.XLOOKUP(A380&amp;B380&amp;C380,盘货信息!$A:$A&amp;盘货信息!$B:$B&amp;盘货信息!$C:$C,盘货信息!$T:$T))),"【瓜分】"&amp;固定信息!$B$7,"")</f>
        <v/>
      </c>
      <c r="U380" s="18" t="str">
        <f>IF($C380="","",IF(AND(R380="",S380="",T380=""),"",固定信息!$B$1))</f>
        <v/>
      </c>
      <c r="V380" s="18" t="str">
        <f t="array" ref="V380">IF(C380="","","【服务】"&amp;IF(_xlfn.XLOOKUP(A380&amp;B380&amp;C380,盘货信息!$A:$A&amp;盘货信息!$B:$B&amp;盘货信息!$C:$C,盘货信息!$V:$V)="","",_xlfn.XLOOKUP(A380&amp;B380&amp;C380,盘货信息!$A:$A&amp;盘货信息!$B:$B&amp;盘货信息!$C:$C,盘货信息!$V:$V)&amp;"免息,")&amp;IF(_xlfn.XLOOKUP(A380&amp;B380&amp;C380,盘货信息!$A:$A&amp;盘货信息!$B:$B&amp;盘货信息!$C:$C,盘货信息!$W:$W)="","",_xlfn.XLOOKUP(A380&amp;B380&amp;C380,盘货信息!$A:$A&amp;盘货信息!$B:$B&amp;盘货信息!$C:$C,盘货信息!$W:$W)&amp;"，")&amp;"送货入户，退换免运费")</f>
        <v/>
      </c>
    </row>
    <row r="381" customHeight="1" spans="1:22">
      <c r="A381" s="17" t="str">
        <f>IF(盘货信息!A381="","",盘货信息!A381)</f>
        <v/>
      </c>
      <c r="B381" s="20" t="str">
        <f>IF(盘货信息!B381="","",盘货信息!B381)</f>
        <v/>
      </c>
      <c r="C381" s="18" t="str">
        <f>IF(盘货信息!C381="","",盘货信息!C381)</f>
        <v/>
      </c>
      <c r="D381" s="18" t="str">
        <f ca="1" t="shared" si="5"/>
        <v/>
      </c>
      <c r="E381" s="18" t="str">
        <f>IF(C381="","",固定信息!$B$2)</f>
        <v/>
      </c>
      <c r="F381" s="18" t="str">
        <f t="array" ref="F381">IF(C381="","","【"&amp;C381&amp;"】"&amp;_xlfn.XLOOKUP(A381&amp;B381&amp;C381,盘货信息!$A:$A&amp;盘货信息!$B:$B&amp;盘货信息!$C:$C,盘货信息!$D:$D))</f>
        <v/>
      </c>
      <c r="G381" s="18" t="str">
        <f>IF(C381="","","【"&amp;"活动时间："&amp;固定信息!$B$3&amp;"】")</f>
        <v/>
      </c>
      <c r="H381" s="18" t="str">
        <f>IF($C381="","",固定信息!$B$1)</f>
        <v/>
      </c>
      <c r="I381" s="18"/>
      <c r="J381" s="18" t="str">
        <f t="array" ref="J381">_xlfn.XLOOKUP(A381&amp;B381&amp;C381,价格信息!$A:$A&amp;价格信息!$B:$B&amp;价格信息!$C:$C,价格信息!$D:$D)</f>
        <v/>
      </c>
      <c r="K381" s="31" t="str">
        <f t="array" ref="K381">IF(_xlfn.XLOOKUP(A381&amp;B381&amp;C381,价格信息!$A:$A&amp;价格信息!$B:$B&amp;价格信息!$C:$C,价格信息!$I:$I)="","","【优惠券链接】"&amp;固定信息!$B$6)</f>
        <v/>
      </c>
      <c r="L381" s="31" t="str">
        <f>IF($C381="","",固定信息!$B$1)</f>
        <v/>
      </c>
      <c r="M381" s="18" t="str">
        <f t="array" ref="M381">IF(_xlfn.XLOOKUP(A381&amp;B381&amp;C381,盘货信息!$A:$A&amp;盘货信息!$B:$B&amp;盘货信息!$C:$C,盘货信息!$O:$O)="","","【优惠券】领"&amp;INDEX(_wpsfn.REGEXP(_xlfn.XLOOKUP(A381&amp;B381&amp;C381,盘货信息!$A:$A&amp;盘货信息!$B:$B&amp;盘货信息!$C:$C,盘货信息!$O:$O),"\d+"),1,1)&amp;"元优惠券下单更优惠，优惠卷："&amp;_xlfn.XLOOKUP(A381&amp;B381&amp;C381,盘货信息!$A:$A&amp;盘货信息!$B:$B&amp;盘货信息!$C:$C,盘货信息!$P:$P))</f>
        <v/>
      </c>
      <c r="N381" s="18" t="str">
        <f t="array" ref="N381">IF(AND(ISNUMBER(_xlfn.XLOOKUP(A381&amp;B381&amp;C381,盘货信息!$A:$A&amp;盘货信息!$B:$B&amp;盘货信息!$C:$C,盘货信息!$I:$I)),_xlfn.XLOOKUP(A381&amp;B381&amp;C381,盘货信息!$A:$A&amp;盘货信息!$B:$B&amp;盘货信息!$C:$C,盘货信息!$I:$I)&gt;1),"【88VIP】立减"&amp;_xlfn.XLOOKUP(A381&amp;B381&amp;C381,盘货信息!$A:$A&amp;盘货信息!$B:$B&amp;盘货信息!$C:$C,盘货信息!$I:$I)&amp;"元","")</f>
        <v/>
      </c>
      <c r="O381" s="18" t="str">
        <f t="array" ref="O381">IF(_xlfn.XLOOKUP(A381&amp;B381&amp;C381,盘货信息!$A:$A&amp;盘货信息!$B:$B&amp;盘货信息!$C:$C,盘货信息!$K:$K)="","",IF(AND(_xlfn.XLOOKUP(A381&amp;B381&amp;C381,盘货信息!$A:$A&amp;盘货信息!$B:$B&amp;盘货信息!$C:$C,盘货信息!$G:$G)="不参加",_xlfn.XLOOKUP(A381&amp;B381&amp;C381,盘货信息!$A:$A&amp;盘货信息!$B:$B&amp;盘货信息!$C:$C,盘货信息!$H:$H)=""),"【以旧换新】"&amp;_xlfn.XLOOKUP(A381&amp;B381&amp;C381,盘货信息!$A:$A&amp;盘货信息!$B:$B&amp;盘货信息!$C:$C,盘货信息!$K:$K)&amp;"元以旧换新补贴（可无旧机换新）",""))</f>
        <v/>
      </c>
      <c r="P381" s="18" t="str">
        <f t="array" ref="P381">_xlfn.XLOOKUP(A381&amp;B381&amp;C381,赠品!$A:$A&amp;赠品!$B:$B&amp;赠品!$C:$C,赠品!$D:$D)</f>
        <v/>
      </c>
      <c r="Q381" s="18" t="str">
        <f>IF($C381="","",IF(AND(M381="",N381="",P381=""),"",固定信息!$B$1))</f>
        <v/>
      </c>
      <c r="R381" s="18" t="str">
        <f t="array" ref="R381">IF(ISNUMBER(SEARCH("是",_xlfn.XLOOKUP(A381&amp;B381&amp;C381,盘货信息!$A:$A&amp;盘货信息!$B:$B&amp;盘货信息!$C:$C,盘货信息!$U:$U))),"【折扣】指定型号满2类享96折，满3类享94折","")</f>
        <v/>
      </c>
      <c r="S381" s="18" t="str">
        <f t="array" ref="S381">IF(_xlfn.XLOOKUP(A381&amp;B381&amp;C381,盘货信息!$A:$A&amp;盘货信息!$B:$B&amp;盘货信息!$C:$C,盘货信息!$Q:$Q)&lt;1,"","【红包】活动时间购机送"&amp;_xlfn.TEXTJOIN("",,IF(ISNUMBER(--MID(_xlfn.XLOOKUP(A381&amp;B381&amp;C381,盘货信息!$A:$A&amp;盘货信息!$B:$B&amp;盘货信息!$C:$C,盘货信息!$Q:$Q),_xlfn.SEQUENCE(LEN(_xlfn.XLOOKUP(A381&amp;B381&amp;C381,盘货信息!$A:$A&amp;盘货信息!$B:$B&amp;盘货信息!$C:$C,盘货信息!$Q:$Q))),1)),MID(_xlfn.XLOOKUP(A381&amp;B381&amp;C381,盘货信息!$A:$A&amp;盘货信息!$B:$B&amp;盘货信息!$C:$C,盘货信息!$Q:$Q),_xlfn.SEQUENCE(LEN(_xlfn.XLOOKUP(A381&amp;B381&amp;C381,盘货信息!$A:$A&amp;盘货信息!$B:$B&amp;盘货信息!$C:$C,盘货信息!$Q:$Q))),1),""))&amp;"元")</f>
        <v/>
      </c>
      <c r="T381" s="18" t="str">
        <f t="array" ref="T381">IF(ISNUMBER(SEARCH("是",_xlfn.XLOOKUP(A381&amp;B381&amp;C381,盘货信息!$A:$A&amp;盘货信息!$B:$B&amp;盘货信息!$C:$C,盘货信息!$T:$T))),"【瓜分】"&amp;固定信息!$B$7,"")</f>
        <v/>
      </c>
      <c r="U381" s="18" t="str">
        <f>IF($C381="","",IF(AND(R381="",S381="",T381=""),"",固定信息!$B$1))</f>
        <v/>
      </c>
      <c r="V381" s="18" t="str">
        <f t="array" ref="V381">IF(C381="","","【服务】"&amp;IF(_xlfn.XLOOKUP(A381&amp;B381&amp;C381,盘货信息!$A:$A&amp;盘货信息!$B:$B&amp;盘货信息!$C:$C,盘货信息!$V:$V)="","",_xlfn.XLOOKUP(A381&amp;B381&amp;C381,盘货信息!$A:$A&amp;盘货信息!$B:$B&amp;盘货信息!$C:$C,盘货信息!$V:$V)&amp;"免息,")&amp;IF(_xlfn.XLOOKUP(A381&amp;B381&amp;C381,盘货信息!$A:$A&amp;盘货信息!$B:$B&amp;盘货信息!$C:$C,盘货信息!$W:$W)="","",_xlfn.XLOOKUP(A381&amp;B381&amp;C381,盘货信息!$A:$A&amp;盘货信息!$B:$B&amp;盘货信息!$C:$C,盘货信息!$W:$W)&amp;"，")&amp;"送货入户，退换免运费")</f>
        <v/>
      </c>
    </row>
    <row r="382" customHeight="1" spans="1:22">
      <c r="A382" s="17" t="str">
        <f>IF(盘货信息!A382="","",盘货信息!A382)</f>
        <v/>
      </c>
      <c r="B382" s="20" t="str">
        <f>IF(盘货信息!B382="","",盘货信息!B382)</f>
        <v/>
      </c>
      <c r="C382" s="18" t="str">
        <f>IF(盘货信息!C382="","",盘货信息!C382)</f>
        <v/>
      </c>
      <c r="D382" s="18" t="str">
        <f ca="1" t="shared" si="5"/>
        <v/>
      </c>
      <c r="E382" s="18" t="str">
        <f>IF(C382="","",固定信息!$B$2)</f>
        <v/>
      </c>
      <c r="F382" s="18" t="str">
        <f t="array" ref="F382">IF(C382="","","【"&amp;C382&amp;"】"&amp;_xlfn.XLOOKUP(A382&amp;B382&amp;C382,盘货信息!$A:$A&amp;盘货信息!$B:$B&amp;盘货信息!$C:$C,盘货信息!$D:$D))</f>
        <v/>
      </c>
      <c r="G382" s="18" t="str">
        <f>IF(C382="","","【"&amp;"活动时间："&amp;固定信息!$B$3&amp;"】")</f>
        <v/>
      </c>
      <c r="H382" s="18" t="str">
        <f>IF($C382="","",固定信息!$B$1)</f>
        <v/>
      </c>
      <c r="I382" s="18"/>
      <c r="J382" s="18" t="str">
        <f t="array" ref="J382">_xlfn.XLOOKUP(A382&amp;B382&amp;C382,价格信息!$A:$A&amp;价格信息!$B:$B&amp;价格信息!$C:$C,价格信息!$D:$D)</f>
        <v/>
      </c>
      <c r="K382" s="31" t="str">
        <f t="array" ref="K382">IF(_xlfn.XLOOKUP(A382&amp;B382&amp;C382,价格信息!$A:$A&amp;价格信息!$B:$B&amp;价格信息!$C:$C,价格信息!$I:$I)="","","【优惠券链接】"&amp;固定信息!$B$6)</f>
        <v/>
      </c>
      <c r="L382" s="31" t="str">
        <f>IF($C382="","",固定信息!$B$1)</f>
        <v/>
      </c>
      <c r="M382" s="18" t="str">
        <f t="array" ref="M382">IF(_xlfn.XLOOKUP(A382&amp;B382&amp;C382,盘货信息!$A:$A&amp;盘货信息!$B:$B&amp;盘货信息!$C:$C,盘货信息!$O:$O)="","","【优惠券】领"&amp;INDEX(_wpsfn.REGEXP(_xlfn.XLOOKUP(A382&amp;B382&amp;C382,盘货信息!$A:$A&amp;盘货信息!$B:$B&amp;盘货信息!$C:$C,盘货信息!$O:$O),"\d+"),1,1)&amp;"元优惠券下单更优惠，优惠卷："&amp;_xlfn.XLOOKUP(A382&amp;B382&amp;C382,盘货信息!$A:$A&amp;盘货信息!$B:$B&amp;盘货信息!$C:$C,盘货信息!$P:$P))</f>
        <v/>
      </c>
      <c r="N382" s="18" t="str">
        <f t="array" ref="N382">IF(AND(ISNUMBER(_xlfn.XLOOKUP(A382&amp;B382&amp;C382,盘货信息!$A:$A&amp;盘货信息!$B:$B&amp;盘货信息!$C:$C,盘货信息!$I:$I)),_xlfn.XLOOKUP(A382&amp;B382&amp;C382,盘货信息!$A:$A&amp;盘货信息!$B:$B&amp;盘货信息!$C:$C,盘货信息!$I:$I)&gt;1),"【88VIP】立减"&amp;_xlfn.XLOOKUP(A382&amp;B382&amp;C382,盘货信息!$A:$A&amp;盘货信息!$B:$B&amp;盘货信息!$C:$C,盘货信息!$I:$I)&amp;"元","")</f>
        <v/>
      </c>
      <c r="O382" s="18" t="str">
        <f t="array" ref="O382">IF(_xlfn.XLOOKUP(A382&amp;B382&amp;C382,盘货信息!$A:$A&amp;盘货信息!$B:$B&amp;盘货信息!$C:$C,盘货信息!$K:$K)="","",IF(AND(_xlfn.XLOOKUP(A382&amp;B382&amp;C382,盘货信息!$A:$A&amp;盘货信息!$B:$B&amp;盘货信息!$C:$C,盘货信息!$G:$G)="不参加",_xlfn.XLOOKUP(A382&amp;B382&amp;C382,盘货信息!$A:$A&amp;盘货信息!$B:$B&amp;盘货信息!$C:$C,盘货信息!$H:$H)=""),"【以旧换新】"&amp;_xlfn.XLOOKUP(A382&amp;B382&amp;C382,盘货信息!$A:$A&amp;盘货信息!$B:$B&amp;盘货信息!$C:$C,盘货信息!$K:$K)&amp;"元以旧换新补贴（可无旧机换新）",""))</f>
        <v/>
      </c>
      <c r="P382" s="18" t="str">
        <f t="array" ref="P382">_xlfn.XLOOKUP(A382&amp;B382&amp;C382,赠品!$A:$A&amp;赠品!$B:$B&amp;赠品!$C:$C,赠品!$D:$D)</f>
        <v/>
      </c>
      <c r="Q382" s="18" t="str">
        <f>IF($C382="","",IF(AND(M382="",N382="",P382=""),"",固定信息!$B$1))</f>
        <v/>
      </c>
      <c r="R382" s="18" t="str">
        <f t="array" ref="R382">IF(ISNUMBER(SEARCH("是",_xlfn.XLOOKUP(A382&amp;B382&amp;C382,盘货信息!$A:$A&amp;盘货信息!$B:$B&amp;盘货信息!$C:$C,盘货信息!$U:$U))),"【折扣】指定型号满2类享96折，满3类享94折","")</f>
        <v/>
      </c>
      <c r="S382" s="18" t="str">
        <f t="array" ref="S382">IF(_xlfn.XLOOKUP(A382&amp;B382&amp;C382,盘货信息!$A:$A&amp;盘货信息!$B:$B&amp;盘货信息!$C:$C,盘货信息!$Q:$Q)&lt;1,"","【红包】活动时间购机送"&amp;_xlfn.TEXTJOIN("",,IF(ISNUMBER(--MID(_xlfn.XLOOKUP(A382&amp;B382&amp;C382,盘货信息!$A:$A&amp;盘货信息!$B:$B&amp;盘货信息!$C:$C,盘货信息!$Q:$Q),_xlfn.SEQUENCE(LEN(_xlfn.XLOOKUP(A382&amp;B382&amp;C382,盘货信息!$A:$A&amp;盘货信息!$B:$B&amp;盘货信息!$C:$C,盘货信息!$Q:$Q))),1)),MID(_xlfn.XLOOKUP(A382&amp;B382&amp;C382,盘货信息!$A:$A&amp;盘货信息!$B:$B&amp;盘货信息!$C:$C,盘货信息!$Q:$Q),_xlfn.SEQUENCE(LEN(_xlfn.XLOOKUP(A382&amp;B382&amp;C382,盘货信息!$A:$A&amp;盘货信息!$B:$B&amp;盘货信息!$C:$C,盘货信息!$Q:$Q))),1),""))&amp;"元")</f>
        <v/>
      </c>
      <c r="T382" s="18" t="str">
        <f t="array" ref="T382">IF(ISNUMBER(SEARCH("是",_xlfn.XLOOKUP(A382&amp;B382&amp;C382,盘货信息!$A:$A&amp;盘货信息!$B:$B&amp;盘货信息!$C:$C,盘货信息!$T:$T))),"【瓜分】"&amp;固定信息!$B$7,"")</f>
        <v/>
      </c>
      <c r="U382" s="18" t="str">
        <f>IF($C382="","",IF(AND(R382="",S382="",T382=""),"",固定信息!$B$1))</f>
        <v/>
      </c>
      <c r="V382" s="18" t="str">
        <f t="array" ref="V382">IF(C382="","","【服务】"&amp;IF(_xlfn.XLOOKUP(A382&amp;B382&amp;C382,盘货信息!$A:$A&amp;盘货信息!$B:$B&amp;盘货信息!$C:$C,盘货信息!$V:$V)="","",_xlfn.XLOOKUP(A382&amp;B382&amp;C382,盘货信息!$A:$A&amp;盘货信息!$B:$B&amp;盘货信息!$C:$C,盘货信息!$V:$V)&amp;"免息,")&amp;IF(_xlfn.XLOOKUP(A382&amp;B382&amp;C382,盘货信息!$A:$A&amp;盘货信息!$B:$B&amp;盘货信息!$C:$C,盘货信息!$W:$W)="","",_xlfn.XLOOKUP(A382&amp;B382&amp;C382,盘货信息!$A:$A&amp;盘货信息!$B:$B&amp;盘货信息!$C:$C,盘货信息!$W:$W)&amp;"，")&amp;"送货入户，退换免运费")</f>
        <v/>
      </c>
    </row>
    <row r="383" customHeight="1" spans="1:22">
      <c r="A383" s="17" t="str">
        <f>IF(盘货信息!A383="","",盘货信息!A383)</f>
        <v/>
      </c>
      <c r="B383" s="20" t="str">
        <f>IF(盘货信息!B383="","",盘货信息!B383)</f>
        <v/>
      </c>
      <c r="C383" s="18" t="str">
        <f>IF(盘货信息!C383="","",盘货信息!C383)</f>
        <v/>
      </c>
      <c r="D383" s="18" t="str">
        <f ca="1" t="shared" si="5"/>
        <v/>
      </c>
      <c r="E383" s="18" t="str">
        <f>IF(C383="","",固定信息!$B$2)</f>
        <v/>
      </c>
      <c r="F383" s="18" t="str">
        <f t="array" ref="F383">IF(C383="","","【"&amp;C383&amp;"】"&amp;_xlfn.XLOOKUP(A383&amp;B383&amp;C383,盘货信息!$A:$A&amp;盘货信息!$B:$B&amp;盘货信息!$C:$C,盘货信息!$D:$D))</f>
        <v/>
      </c>
      <c r="G383" s="18" t="str">
        <f>IF(C383="","","【"&amp;"活动时间："&amp;固定信息!$B$3&amp;"】")</f>
        <v/>
      </c>
      <c r="H383" s="18" t="str">
        <f>IF($C383="","",固定信息!$B$1)</f>
        <v/>
      </c>
      <c r="I383" s="18"/>
      <c r="J383" s="18" t="str">
        <f t="array" ref="J383">_xlfn.XLOOKUP(A383&amp;B383&amp;C383,价格信息!$A:$A&amp;价格信息!$B:$B&amp;价格信息!$C:$C,价格信息!$D:$D)</f>
        <v/>
      </c>
      <c r="K383" s="31" t="str">
        <f t="array" ref="K383">IF(_xlfn.XLOOKUP(A383&amp;B383&amp;C383,价格信息!$A:$A&amp;价格信息!$B:$B&amp;价格信息!$C:$C,价格信息!$I:$I)="","","【优惠券链接】"&amp;固定信息!$B$6)</f>
        <v/>
      </c>
      <c r="L383" s="31" t="str">
        <f>IF($C383="","",固定信息!$B$1)</f>
        <v/>
      </c>
      <c r="M383" s="18" t="str">
        <f t="array" ref="M383">IF(_xlfn.XLOOKUP(A383&amp;B383&amp;C383,盘货信息!$A:$A&amp;盘货信息!$B:$B&amp;盘货信息!$C:$C,盘货信息!$O:$O)="","","【优惠券】领"&amp;INDEX(_wpsfn.REGEXP(_xlfn.XLOOKUP(A383&amp;B383&amp;C383,盘货信息!$A:$A&amp;盘货信息!$B:$B&amp;盘货信息!$C:$C,盘货信息!$O:$O),"\d+"),1,1)&amp;"元优惠券下单更优惠，优惠卷："&amp;_xlfn.XLOOKUP(A383&amp;B383&amp;C383,盘货信息!$A:$A&amp;盘货信息!$B:$B&amp;盘货信息!$C:$C,盘货信息!$P:$P))</f>
        <v/>
      </c>
      <c r="N383" s="18" t="str">
        <f t="array" ref="N383">IF(AND(ISNUMBER(_xlfn.XLOOKUP(A383&amp;B383&amp;C383,盘货信息!$A:$A&amp;盘货信息!$B:$B&amp;盘货信息!$C:$C,盘货信息!$I:$I)),_xlfn.XLOOKUP(A383&amp;B383&amp;C383,盘货信息!$A:$A&amp;盘货信息!$B:$B&amp;盘货信息!$C:$C,盘货信息!$I:$I)&gt;1),"【88VIP】立减"&amp;_xlfn.XLOOKUP(A383&amp;B383&amp;C383,盘货信息!$A:$A&amp;盘货信息!$B:$B&amp;盘货信息!$C:$C,盘货信息!$I:$I)&amp;"元","")</f>
        <v/>
      </c>
      <c r="O383" s="18" t="str">
        <f t="array" ref="O383">IF(_xlfn.XLOOKUP(A383&amp;B383&amp;C383,盘货信息!$A:$A&amp;盘货信息!$B:$B&amp;盘货信息!$C:$C,盘货信息!$K:$K)="","",IF(AND(_xlfn.XLOOKUP(A383&amp;B383&amp;C383,盘货信息!$A:$A&amp;盘货信息!$B:$B&amp;盘货信息!$C:$C,盘货信息!$G:$G)="不参加",_xlfn.XLOOKUP(A383&amp;B383&amp;C383,盘货信息!$A:$A&amp;盘货信息!$B:$B&amp;盘货信息!$C:$C,盘货信息!$H:$H)=""),"【以旧换新】"&amp;_xlfn.XLOOKUP(A383&amp;B383&amp;C383,盘货信息!$A:$A&amp;盘货信息!$B:$B&amp;盘货信息!$C:$C,盘货信息!$K:$K)&amp;"元以旧换新补贴（可无旧机换新）",""))</f>
        <v/>
      </c>
      <c r="P383" s="18" t="str">
        <f t="array" ref="P383">_xlfn.XLOOKUP(A383&amp;B383&amp;C383,赠品!$A:$A&amp;赠品!$B:$B&amp;赠品!$C:$C,赠品!$D:$D)</f>
        <v/>
      </c>
      <c r="Q383" s="18" t="str">
        <f>IF($C383="","",IF(AND(M383="",N383="",P383=""),"",固定信息!$B$1))</f>
        <v/>
      </c>
      <c r="R383" s="18" t="str">
        <f t="array" ref="R383">IF(ISNUMBER(SEARCH("是",_xlfn.XLOOKUP(A383&amp;B383&amp;C383,盘货信息!$A:$A&amp;盘货信息!$B:$B&amp;盘货信息!$C:$C,盘货信息!$U:$U))),"【折扣】指定型号满2类享96折，满3类享94折","")</f>
        <v/>
      </c>
      <c r="S383" s="18" t="str">
        <f t="array" ref="S383">IF(_xlfn.XLOOKUP(A383&amp;B383&amp;C383,盘货信息!$A:$A&amp;盘货信息!$B:$B&amp;盘货信息!$C:$C,盘货信息!$Q:$Q)&lt;1,"","【红包】活动时间购机送"&amp;_xlfn.TEXTJOIN("",,IF(ISNUMBER(--MID(_xlfn.XLOOKUP(A383&amp;B383&amp;C383,盘货信息!$A:$A&amp;盘货信息!$B:$B&amp;盘货信息!$C:$C,盘货信息!$Q:$Q),_xlfn.SEQUENCE(LEN(_xlfn.XLOOKUP(A383&amp;B383&amp;C383,盘货信息!$A:$A&amp;盘货信息!$B:$B&amp;盘货信息!$C:$C,盘货信息!$Q:$Q))),1)),MID(_xlfn.XLOOKUP(A383&amp;B383&amp;C383,盘货信息!$A:$A&amp;盘货信息!$B:$B&amp;盘货信息!$C:$C,盘货信息!$Q:$Q),_xlfn.SEQUENCE(LEN(_xlfn.XLOOKUP(A383&amp;B383&amp;C383,盘货信息!$A:$A&amp;盘货信息!$B:$B&amp;盘货信息!$C:$C,盘货信息!$Q:$Q))),1),""))&amp;"元")</f>
        <v/>
      </c>
      <c r="T383" s="18" t="str">
        <f t="array" ref="T383">IF(ISNUMBER(SEARCH("是",_xlfn.XLOOKUP(A383&amp;B383&amp;C383,盘货信息!$A:$A&amp;盘货信息!$B:$B&amp;盘货信息!$C:$C,盘货信息!$T:$T))),"【瓜分】"&amp;固定信息!$B$7,"")</f>
        <v/>
      </c>
      <c r="U383" s="18" t="str">
        <f>IF($C383="","",IF(AND(R383="",S383="",T383=""),"",固定信息!$B$1))</f>
        <v/>
      </c>
      <c r="V383" s="18" t="str">
        <f t="array" ref="V383">IF(C383="","","【服务】"&amp;IF(_xlfn.XLOOKUP(A383&amp;B383&amp;C383,盘货信息!$A:$A&amp;盘货信息!$B:$B&amp;盘货信息!$C:$C,盘货信息!$V:$V)="","",_xlfn.XLOOKUP(A383&amp;B383&amp;C383,盘货信息!$A:$A&amp;盘货信息!$B:$B&amp;盘货信息!$C:$C,盘货信息!$V:$V)&amp;"免息,")&amp;IF(_xlfn.XLOOKUP(A383&amp;B383&amp;C383,盘货信息!$A:$A&amp;盘货信息!$B:$B&amp;盘货信息!$C:$C,盘货信息!$W:$W)="","",_xlfn.XLOOKUP(A383&amp;B383&amp;C383,盘货信息!$A:$A&amp;盘货信息!$B:$B&amp;盘货信息!$C:$C,盘货信息!$W:$W)&amp;"，")&amp;"送货入户，退换免运费")</f>
        <v/>
      </c>
    </row>
    <row r="384" customHeight="1" spans="1:22">
      <c r="A384" s="17" t="str">
        <f>IF(盘货信息!A384="","",盘货信息!A384)</f>
        <v/>
      </c>
      <c r="B384" s="20" t="str">
        <f>IF(盘货信息!B384="","",盘货信息!B384)</f>
        <v/>
      </c>
      <c r="C384" s="18" t="str">
        <f>IF(盘货信息!C384="","",盘货信息!C384)</f>
        <v/>
      </c>
      <c r="D384" s="18" t="str">
        <f ca="1" t="shared" si="5"/>
        <v/>
      </c>
      <c r="E384" s="18" t="str">
        <f>IF(C384="","",固定信息!$B$2)</f>
        <v/>
      </c>
      <c r="F384" s="18" t="str">
        <f t="array" ref="F384">IF(C384="","","【"&amp;C384&amp;"】"&amp;_xlfn.XLOOKUP(A384&amp;B384&amp;C384,盘货信息!$A:$A&amp;盘货信息!$B:$B&amp;盘货信息!$C:$C,盘货信息!$D:$D))</f>
        <v/>
      </c>
      <c r="G384" s="18" t="str">
        <f>IF(C384="","","【"&amp;"活动时间："&amp;固定信息!$B$3&amp;"】")</f>
        <v/>
      </c>
      <c r="H384" s="18" t="str">
        <f>IF($C384="","",固定信息!$B$1)</f>
        <v/>
      </c>
      <c r="I384" s="18"/>
      <c r="J384" s="18" t="str">
        <f t="array" ref="J384">_xlfn.XLOOKUP(A384&amp;B384&amp;C384,价格信息!$A:$A&amp;价格信息!$B:$B&amp;价格信息!$C:$C,价格信息!$D:$D)</f>
        <v/>
      </c>
      <c r="K384" s="31" t="str">
        <f t="array" ref="K384">IF(_xlfn.XLOOKUP(A384&amp;B384&amp;C384,价格信息!$A:$A&amp;价格信息!$B:$B&amp;价格信息!$C:$C,价格信息!$I:$I)="","","【优惠券链接】"&amp;固定信息!$B$6)</f>
        <v/>
      </c>
      <c r="L384" s="31" t="str">
        <f>IF($C384="","",固定信息!$B$1)</f>
        <v/>
      </c>
      <c r="M384" s="18" t="str">
        <f t="array" ref="M384">IF(_xlfn.XLOOKUP(A384&amp;B384&amp;C384,盘货信息!$A:$A&amp;盘货信息!$B:$B&amp;盘货信息!$C:$C,盘货信息!$O:$O)="","","【优惠券】领"&amp;INDEX(_wpsfn.REGEXP(_xlfn.XLOOKUP(A384&amp;B384&amp;C384,盘货信息!$A:$A&amp;盘货信息!$B:$B&amp;盘货信息!$C:$C,盘货信息!$O:$O),"\d+"),1,1)&amp;"元优惠券下单更优惠，优惠卷："&amp;_xlfn.XLOOKUP(A384&amp;B384&amp;C384,盘货信息!$A:$A&amp;盘货信息!$B:$B&amp;盘货信息!$C:$C,盘货信息!$P:$P))</f>
        <v/>
      </c>
      <c r="N384" s="18" t="str">
        <f t="array" ref="N384">IF(AND(ISNUMBER(_xlfn.XLOOKUP(A384&amp;B384&amp;C384,盘货信息!$A:$A&amp;盘货信息!$B:$B&amp;盘货信息!$C:$C,盘货信息!$I:$I)),_xlfn.XLOOKUP(A384&amp;B384&amp;C384,盘货信息!$A:$A&amp;盘货信息!$B:$B&amp;盘货信息!$C:$C,盘货信息!$I:$I)&gt;1),"【88VIP】立减"&amp;_xlfn.XLOOKUP(A384&amp;B384&amp;C384,盘货信息!$A:$A&amp;盘货信息!$B:$B&amp;盘货信息!$C:$C,盘货信息!$I:$I)&amp;"元","")</f>
        <v/>
      </c>
      <c r="O384" s="18" t="str">
        <f t="array" ref="O384">IF(_xlfn.XLOOKUP(A384&amp;B384&amp;C384,盘货信息!$A:$A&amp;盘货信息!$B:$B&amp;盘货信息!$C:$C,盘货信息!$K:$K)="","",IF(AND(_xlfn.XLOOKUP(A384&amp;B384&amp;C384,盘货信息!$A:$A&amp;盘货信息!$B:$B&amp;盘货信息!$C:$C,盘货信息!$G:$G)="不参加",_xlfn.XLOOKUP(A384&amp;B384&amp;C384,盘货信息!$A:$A&amp;盘货信息!$B:$B&amp;盘货信息!$C:$C,盘货信息!$H:$H)=""),"【以旧换新】"&amp;_xlfn.XLOOKUP(A384&amp;B384&amp;C384,盘货信息!$A:$A&amp;盘货信息!$B:$B&amp;盘货信息!$C:$C,盘货信息!$K:$K)&amp;"元以旧换新补贴（可无旧机换新）",""))</f>
        <v/>
      </c>
      <c r="P384" s="18" t="str">
        <f t="array" ref="P384">_xlfn.XLOOKUP(A384&amp;B384&amp;C384,赠品!$A:$A&amp;赠品!$B:$B&amp;赠品!$C:$C,赠品!$D:$D)</f>
        <v/>
      </c>
      <c r="Q384" s="18" t="str">
        <f>IF($C384="","",IF(AND(M384="",N384="",P384=""),"",固定信息!$B$1))</f>
        <v/>
      </c>
      <c r="R384" s="18" t="str">
        <f t="array" ref="R384">IF(ISNUMBER(SEARCH("是",_xlfn.XLOOKUP(A384&amp;B384&amp;C384,盘货信息!$A:$A&amp;盘货信息!$B:$B&amp;盘货信息!$C:$C,盘货信息!$U:$U))),"【折扣】指定型号满2类享96折，满3类享94折","")</f>
        <v/>
      </c>
      <c r="S384" s="18" t="str">
        <f t="array" ref="S384">IF(_xlfn.XLOOKUP(A384&amp;B384&amp;C384,盘货信息!$A:$A&amp;盘货信息!$B:$B&amp;盘货信息!$C:$C,盘货信息!$Q:$Q)&lt;1,"","【红包】活动时间购机送"&amp;_xlfn.TEXTJOIN("",,IF(ISNUMBER(--MID(_xlfn.XLOOKUP(A384&amp;B384&amp;C384,盘货信息!$A:$A&amp;盘货信息!$B:$B&amp;盘货信息!$C:$C,盘货信息!$Q:$Q),_xlfn.SEQUENCE(LEN(_xlfn.XLOOKUP(A384&amp;B384&amp;C384,盘货信息!$A:$A&amp;盘货信息!$B:$B&amp;盘货信息!$C:$C,盘货信息!$Q:$Q))),1)),MID(_xlfn.XLOOKUP(A384&amp;B384&amp;C384,盘货信息!$A:$A&amp;盘货信息!$B:$B&amp;盘货信息!$C:$C,盘货信息!$Q:$Q),_xlfn.SEQUENCE(LEN(_xlfn.XLOOKUP(A384&amp;B384&amp;C384,盘货信息!$A:$A&amp;盘货信息!$B:$B&amp;盘货信息!$C:$C,盘货信息!$Q:$Q))),1),""))&amp;"元")</f>
        <v/>
      </c>
      <c r="T384" s="18" t="str">
        <f t="array" ref="T384">IF(ISNUMBER(SEARCH("是",_xlfn.XLOOKUP(A384&amp;B384&amp;C384,盘货信息!$A:$A&amp;盘货信息!$B:$B&amp;盘货信息!$C:$C,盘货信息!$T:$T))),"【瓜分】"&amp;固定信息!$B$7,"")</f>
        <v/>
      </c>
      <c r="U384" s="18" t="str">
        <f>IF($C384="","",IF(AND(R384="",S384="",T384=""),"",固定信息!$B$1))</f>
        <v/>
      </c>
      <c r="V384" s="18" t="str">
        <f t="array" ref="V384">IF(C384="","","【服务】"&amp;IF(_xlfn.XLOOKUP(A384&amp;B384&amp;C384,盘货信息!$A:$A&amp;盘货信息!$B:$B&amp;盘货信息!$C:$C,盘货信息!$V:$V)="","",_xlfn.XLOOKUP(A384&amp;B384&amp;C384,盘货信息!$A:$A&amp;盘货信息!$B:$B&amp;盘货信息!$C:$C,盘货信息!$V:$V)&amp;"免息,")&amp;IF(_xlfn.XLOOKUP(A384&amp;B384&amp;C384,盘货信息!$A:$A&amp;盘货信息!$B:$B&amp;盘货信息!$C:$C,盘货信息!$W:$W)="","",_xlfn.XLOOKUP(A384&amp;B384&amp;C384,盘货信息!$A:$A&amp;盘货信息!$B:$B&amp;盘货信息!$C:$C,盘货信息!$W:$W)&amp;"，")&amp;"送货入户，退换免运费")</f>
        <v/>
      </c>
    </row>
    <row r="385" customHeight="1" spans="1:22">
      <c r="A385" s="17" t="str">
        <f>IF(盘货信息!A385="","",盘货信息!A385)</f>
        <v/>
      </c>
      <c r="B385" s="20" t="str">
        <f>IF(盘货信息!B385="","",盘货信息!B385)</f>
        <v/>
      </c>
      <c r="C385" s="18" t="str">
        <f>IF(盘货信息!C385="","",盘货信息!C385)</f>
        <v/>
      </c>
      <c r="D385" s="18" t="str">
        <f ca="1" t="shared" si="5"/>
        <v/>
      </c>
      <c r="E385" s="18" t="str">
        <f>IF(C385="","",固定信息!$B$2)</f>
        <v/>
      </c>
      <c r="F385" s="18" t="str">
        <f t="array" ref="F385">IF(C385="","","【"&amp;C385&amp;"】"&amp;_xlfn.XLOOKUP(A385&amp;B385&amp;C385,盘货信息!$A:$A&amp;盘货信息!$B:$B&amp;盘货信息!$C:$C,盘货信息!$D:$D))</f>
        <v/>
      </c>
      <c r="G385" s="18" t="str">
        <f>IF(C385="","","【"&amp;"活动时间："&amp;固定信息!$B$3&amp;"】")</f>
        <v/>
      </c>
      <c r="H385" s="18" t="str">
        <f>IF($C385="","",固定信息!$B$1)</f>
        <v/>
      </c>
      <c r="I385" s="18"/>
      <c r="J385" s="18" t="str">
        <f t="array" ref="J385">_xlfn.XLOOKUP(A385&amp;B385&amp;C385,价格信息!$A:$A&amp;价格信息!$B:$B&amp;价格信息!$C:$C,价格信息!$D:$D)</f>
        <v/>
      </c>
      <c r="K385" s="31" t="str">
        <f t="array" ref="K385">IF(_xlfn.XLOOKUP(A385&amp;B385&amp;C385,价格信息!$A:$A&amp;价格信息!$B:$B&amp;价格信息!$C:$C,价格信息!$I:$I)="","","【优惠券链接】"&amp;固定信息!$B$6)</f>
        <v/>
      </c>
      <c r="L385" s="31" t="str">
        <f>IF($C385="","",固定信息!$B$1)</f>
        <v/>
      </c>
      <c r="M385" s="18" t="str">
        <f t="array" ref="M385">IF(_xlfn.XLOOKUP(A385&amp;B385&amp;C385,盘货信息!$A:$A&amp;盘货信息!$B:$B&amp;盘货信息!$C:$C,盘货信息!$O:$O)="","","【优惠券】领"&amp;INDEX(_wpsfn.REGEXP(_xlfn.XLOOKUP(A385&amp;B385&amp;C385,盘货信息!$A:$A&amp;盘货信息!$B:$B&amp;盘货信息!$C:$C,盘货信息!$O:$O),"\d+"),1,1)&amp;"元优惠券下单更优惠，优惠卷："&amp;_xlfn.XLOOKUP(A385&amp;B385&amp;C385,盘货信息!$A:$A&amp;盘货信息!$B:$B&amp;盘货信息!$C:$C,盘货信息!$P:$P))</f>
        <v/>
      </c>
      <c r="N385" s="18" t="str">
        <f t="array" ref="N385">IF(AND(ISNUMBER(_xlfn.XLOOKUP(A385&amp;B385&amp;C385,盘货信息!$A:$A&amp;盘货信息!$B:$B&amp;盘货信息!$C:$C,盘货信息!$I:$I)),_xlfn.XLOOKUP(A385&amp;B385&amp;C385,盘货信息!$A:$A&amp;盘货信息!$B:$B&amp;盘货信息!$C:$C,盘货信息!$I:$I)&gt;1),"【88VIP】立减"&amp;_xlfn.XLOOKUP(A385&amp;B385&amp;C385,盘货信息!$A:$A&amp;盘货信息!$B:$B&amp;盘货信息!$C:$C,盘货信息!$I:$I)&amp;"元","")</f>
        <v/>
      </c>
      <c r="O385" s="18" t="str">
        <f t="array" ref="O385">IF(_xlfn.XLOOKUP(A385&amp;B385&amp;C385,盘货信息!$A:$A&amp;盘货信息!$B:$B&amp;盘货信息!$C:$C,盘货信息!$K:$K)="","",IF(AND(_xlfn.XLOOKUP(A385&amp;B385&amp;C385,盘货信息!$A:$A&amp;盘货信息!$B:$B&amp;盘货信息!$C:$C,盘货信息!$G:$G)="不参加",_xlfn.XLOOKUP(A385&amp;B385&amp;C385,盘货信息!$A:$A&amp;盘货信息!$B:$B&amp;盘货信息!$C:$C,盘货信息!$H:$H)=""),"【以旧换新】"&amp;_xlfn.XLOOKUP(A385&amp;B385&amp;C385,盘货信息!$A:$A&amp;盘货信息!$B:$B&amp;盘货信息!$C:$C,盘货信息!$K:$K)&amp;"元以旧换新补贴（可无旧机换新）",""))</f>
        <v/>
      </c>
      <c r="P385" s="18" t="str">
        <f t="array" ref="P385">_xlfn.XLOOKUP(A385&amp;B385&amp;C385,赠品!$A:$A&amp;赠品!$B:$B&amp;赠品!$C:$C,赠品!$D:$D)</f>
        <v/>
      </c>
      <c r="Q385" s="18" t="str">
        <f>IF($C385="","",IF(AND(M385="",N385="",P385=""),"",固定信息!$B$1))</f>
        <v/>
      </c>
      <c r="R385" s="18" t="str">
        <f t="array" ref="R385">IF(ISNUMBER(SEARCH("是",_xlfn.XLOOKUP(A385&amp;B385&amp;C385,盘货信息!$A:$A&amp;盘货信息!$B:$B&amp;盘货信息!$C:$C,盘货信息!$U:$U))),"【折扣】指定型号满2类享96折，满3类享94折","")</f>
        <v/>
      </c>
      <c r="S385" s="18" t="str">
        <f t="array" ref="S385">IF(_xlfn.XLOOKUP(A385&amp;B385&amp;C385,盘货信息!$A:$A&amp;盘货信息!$B:$B&amp;盘货信息!$C:$C,盘货信息!$Q:$Q)&lt;1,"","【红包】活动时间购机送"&amp;_xlfn.TEXTJOIN("",,IF(ISNUMBER(--MID(_xlfn.XLOOKUP(A385&amp;B385&amp;C385,盘货信息!$A:$A&amp;盘货信息!$B:$B&amp;盘货信息!$C:$C,盘货信息!$Q:$Q),_xlfn.SEQUENCE(LEN(_xlfn.XLOOKUP(A385&amp;B385&amp;C385,盘货信息!$A:$A&amp;盘货信息!$B:$B&amp;盘货信息!$C:$C,盘货信息!$Q:$Q))),1)),MID(_xlfn.XLOOKUP(A385&amp;B385&amp;C385,盘货信息!$A:$A&amp;盘货信息!$B:$B&amp;盘货信息!$C:$C,盘货信息!$Q:$Q),_xlfn.SEQUENCE(LEN(_xlfn.XLOOKUP(A385&amp;B385&amp;C385,盘货信息!$A:$A&amp;盘货信息!$B:$B&amp;盘货信息!$C:$C,盘货信息!$Q:$Q))),1),""))&amp;"元")</f>
        <v/>
      </c>
      <c r="T385" s="18" t="str">
        <f t="array" ref="T385">IF(ISNUMBER(SEARCH("是",_xlfn.XLOOKUP(A385&amp;B385&amp;C385,盘货信息!$A:$A&amp;盘货信息!$B:$B&amp;盘货信息!$C:$C,盘货信息!$T:$T))),"【瓜分】"&amp;固定信息!$B$7,"")</f>
        <v/>
      </c>
      <c r="U385" s="18" t="str">
        <f>IF($C385="","",IF(AND(R385="",S385="",T385=""),"",固定信息!$B$1))</f>
        <v/>
      </c>
      <c r="V385" s="18" t="str">
        <f t="array" ref="V385">IF(C385="","","【服务】"&amp;IF(_xlfn.XLOOKUP(A385&amp;B385&amp;C385,盘货信息!$A:$A&amp;盘货信息!$B:$B&amp;盘货信息!$C:$C,盘货信息!$V:$V)="","",_xlfn.XLOOKUP(A385&amp;B385&amp;C385,盘货信息!$A:$A&amp;盘货信息!$B:$B&amp;盘货信息!$C:$C,盘货信息!$V:$V)&amp;"免息,")&amp;IF(_xlfn.XLOOKUP(A385&amp;B385&amp;C385,盘货信息!$A:$A&amp;盘货信息!$B:$B&amp;盘货信息!$C:$C,盘货信息!$W:$W)="","",_xlfn.XLOOKUP(A385&amp;B385&amp;C385,盘货信息!$A:$A&amp;盘货信息!$B:$B&amp;盘货信息!$C:$C,盘货信息!$W:$W)&amp;"，")&amp;"送货入户，退换免运费")</f>
        <v/>
      </c>
    </row>
    <row r="386" customHeight="1" spans="1:22">
      <c r="A386" s="17" t="str">
        <f>IF(盘货信息!A386="","",盘货信息!A386)</f>
        <v/>
      </c>
      <c r="B386" s="20" t="str">
        <f>IF(盘货信息!B386="","",盘货信息!B386)</f>
        <v/>
      </c>
      <c r="C386" s="18" t="str">
        <f>IF(盘货信息!C386="","",盘货信息!C386)</f>
        <v/>
      </c>
      <c r="D386" s="18" t="str">
        <f ca="1" t="shared" ref="D386:D449" si="6">_xlfn.TEXTJOIN(CHAR(10),TRUE,OFFSET(INDIRECT("RC",FALSE),0,1,1,30))</f>
        <v/>
      </c>
      <c r="E386" s="18" t="str">
        <f>IF(C386="","",固定信息!$B$2)</f>
        <v/>
      </c>
      <c r="F386" s="18" t="str">
        <f t="array" ref="F386">IF(C386="","","【"&amp;C386&amp;"】"&amp;_xlfn.XLOOKUP(A386&amp;B386&amp;C386,盘货信息!$A:$A&amp;盘货信息!$B:$B&amp;盘货信息!$C:$C,盘货信息!$D:$D))</f>
        <v/>
      </c>
      <c r="G386" s="18" t="str">
        <f>IF(C386="","","【"&amp;"活动时间："&amp;固定信息!$B$3&amp;"】")</f>
        <v/>
      </c>
      <c r="H386" s="18" t="str">
        <f>IF($C386="","",固定信息!$B$1)</f>
        <v/>
      </c>
      <c r="I386" s="18"/>
      <c r="J386" s="18" t="str">
        <f t="array" ref="J386">_xlfn.XLOOKUP(A386&amp;B386&amp;C386,价格信息!$A:$A&amp;价格信息!$B:$B&amp;价格信息!$C:$C,价格信息!$D:$D)</f>
        <v/>
      </c>
      <c r="K386" s="31" t="str">
        <f t="array" ref="K386">IF(_xlfn.XLOOKUP(A386&amp;B386&amp;C386,价格信息!$A:$A&amp;价格信息!$B:$B&amp;价格信息!$C:$C,价格信息!$I:$I)="","","【优惠券链接】"&amp;固定信息!$B$6)</f>
        <v/>
      </c>
      <c r="L386" s="31" t="str">
        <f>IF($C386="","",固定信息!$B$1)</f>
        <v/>
      </c>
      <c r="M386" s="18" t="str">
        <f t="array" ref="M386">IF(_xlfn.XLOOKUP(A386&amp;B386&amp;C386,盘货信息!$A:$A&amp;盘货信息!$B:$B&amp;盘货信息!$C:$C,盘货信息!$O:$O)="","","【优惠券】领"&amp;INDEX(_wpsfn.REGEXP(_xlfn.XLOOKUP(A386&amp;B386&amp;C386,盘货信息!$A:$A&amp;盘货信息!$B:$B&amp;盘货信息!$C:$C,盘货信息!$O:$O),"\d+"),1,1)&amp;"元优惠券下单更优惠，优惠卷："&amp;_xlfn.XLOOKUP(A386&amp;B386&amp;C386,盘货信息!$A:$A&amp;盘货信息!$B:$B&amp;盘货信息!$C:$C,盘货信息!$P:$P))</f>
        <v/>
      </c>
      <c r="N386" s="18" t="str">
        <f t="array" ref="N386">IF(AND(ISNUMBER(_xlfn.XLOOKUP(A386&amp;B386&amp;C386,盘货信息!$A:$A&amp;盘货信息!$B:$B&amp;盘货信息!$C:$C,盘货信息!$I:$I)),_xlfn.XLOOKUP(A386&amp;B386&amp;C386,盘货信息!$A:$A&amp;盘货信息!$B:$B&amp;盘货信息!$C:$C,盘货信息!$I:$I)&gt;1),"【88VIP】立减"&amp;_xlfn.XLOOKUP(A386&amp;B386&amp;C386,盘货信息!$A:$A&amp;盘货信息!$B:$B&amp;盘货信息!$C:$C,盘货信息!$I:$I)&amp;"元","")</f>
        <v/>
      </c>
      <c r="O386" s="18" t="str">
        <f t="array" ref="O386">IF(_xlfn.XLOOKUP(A386&amp;B386&amp;C386,盘货信息!$A:$A&amp;盘货信息!$B:$B&amp;盘货信息!$C:$C,盘货信息!$K:$K)="","",IF(AND(_xlfn.XLOOKUP(A386&amp;B386&amp;C386,盘货信息!$A:$A&amp;盘货信息!$B:$B&amp;盘货信息!$C:$C,盘货信息!$G:$G)="不参加",_xlfn.XLOOKUP(A386&amp;B386&amp;C386,盘货信息!$A:$A&amp;盘货信息!$B:$B&amp;盘货信息!$C:$C,盘货信息!$H:$H)=""),"【以旧换新】"&amp;_xlfn.XLOOKUP(A386&amp;B386&amp;C386,盘货信息!$A:$A&amp;盘货信息!$B:$B&amp;盘货信息!$C:$C,盘货信息!$K:$K)&amp;"元以旧换新补贴（可无旧机换新）",""))</f>
        <v/>
      </c>
      <c r="P386" s="18" t="str">
        <f t="array" ref="P386">_xlfn.XLOOKUP(A386&amp;B386&amp;C386,赠品!$A:$A&amp;赠品!$B:$B&amp;赠品!$C:$C,赠品!$D:$D)</f>
        <v/>
      </c>
      <c r="Q386" s="18" t="str">
        <f>IF($C386="","",IF(AND(M386="",N386="",P386=""),"",固定信息!$B$1))</f>
        <v/>
      </c>
      <c r="R386" s="18" t="str">
        <f t="array" ref="R386">IF(ISNUMBER(SEARCH("是",_xlfn.XLOOKUP(A386&amp;B386&amp;C386,盘货信息!$A:$A&amp;盘货信息!$B:$B&amp;盘货信息!$C:$C,盘货信息!$U:$U))),"【折扣】指定型号满2类享96折，满3类享94折","")</f>
        <v/>
      </c>
      <c r="S386" s="18" t="str">
        <f t="array" ref="S386">IF(_xlfn.XLOOKUP(A386&amp;B386&amp;C386,盘货信息!$A:$A&amp;盘货信息!$B:$B&amp;盘货信息!$C:$C,盘货信息!$Q:$Q)&lt;1,"","【红包】活动时间购机送"&amp;_xlfn.TEXTJOIN("",,IF(ISNUMBER(--MID(_xlfn.XLOOKUP(A386&amp;B386&amp;C386,盘货信息!$A:$A&amp;盘货信息!$B:$B&amp;盘货信息!$C:$C,盘货信息!$Q:$Q),_xlfn.SEQUENCE(LEN(_xlfn.XLOOKUP(A386&amp;B386&amp;C386,盘货信息!$A:$A&amp;盘货信息!$B:$B&amp;盘货信息!$C:$C,盘货信息!$Q:$Q))),1)),MID(_xlfn.XLOOKUP(A386&amp;B386&amp;C386,盘货信息!$A:$A&amp;盘货信息!$B:$B&amp;盘货信息!$C:$C,盘货信息!$Q:$Q),_xlfn.SEQUENCE(LEN(_xlfn.XLOOKUP(A386&amp;B386&amp;C386,盘货信息!$A:$A&amp;盘货信息!$B:$B&amp;盘货信息!$C:$C,盘货信息!$Q:$Q))),1),""))&amp;"元")</f>
        <v/>
      </c>
      <c r="T386" s="18" t="str">
        <f t="array" ref="T386">IF(ISNUMBER(SEARCH("是",_xlfn.XLOOKUP(A386&amp;B386&amp;C386,盘货信息!$A:$A&amp;盘货信息!$B:$B&amp;盘货信息!$C:$C,盘货信息!$T:$T))),"【瓜分】"&amp;固定信息!$B$7,"")</f>
        <v/>
      </c>
      <c r="U386" s="18" t="str">
        <f>IF($C386="","",IF(AND(R386="",S386="",T386=""),"",固定信息!$B$1))</f>
        <v/>
      </c>
      <c r="V386" s="18" t="str">
        <f t="array" ref="V386">IF(C386="","","【服务】"&amp;IF(_xlfn.XLOOKUP(A386&amp;B386&amp;C386,盘货信息!$A:$A&amp;盘货信息!$B:$B&amp;盘货信息!$C:$C,盘货信息!$V:$V)="","",_xlfn.XLOOKUP(A386&amp;B386&amp;C386,盘货信息!$A:$A&amp;盘货信息!$B:$B&amp;盘货信息!$C:$C,盘货信息!$V:$V)&amp;"免息,")&amp;IF(_xlfn.XLOOKUP(A386&amp;B386&amp;C386,盘货信息!$A:$A&amp;盘货信息!$B:$B&amp;盘货信息!$C:$C,盘货信息!$W:$W)="","",_xlfn.XLOOKUP(A386&amp;B386&amp;C386,盘货信息!$A:$A&amp;盘货信息!$B:$B&amp;盘货信息!$C:$C,盘货信息!$W:$W)&amp;"，")&amp;"送货入户，退换免运费")</f>
        <v/>
      </c>
    </row>
    <row r="387" customHeight="1" spans="1:22">
      <c r="A387" s="17" t="str">
        <f>IF(盘货信息!A387="","",盘货信息!A387)</f>
        <v/>
      </c>
      <c r="B387" s="20" t="str">
        <f>IF(盘货信息!B387="","",盘货信息!B387)</f>
        <v/>
      </c>
      <c r="C387" s="18" t="str">
        <f>IF(盘货信息!C387="","",盘货信息!C387)</f>
        <v/>
      </c>
      <c r="D387" s="18" t="str">
        <f ca="1" t="shared" si="6"/>
        <v/>
      </c>
      <c r="E387" s="18" t="str">
        <f>IF(C387="","",固定信息!$B$2)</f>
        <v/>
      </c>
      <c r="F387" s="18" t="str">
        <f t="array" ref="F387">IF(C387="","","【"&amp;C387&amp;"】"&amp;_xlfn.XLOOKUP(A387&amp;B387&amp;C387,盘货信息!$A:$A&amp;盘货信息!$B:$B&amp;盘货信息!$C:$C,盘货信息!$D:$D))</f>
        <v/>
      </c>
      <c r="G387" s="18" t="str">
        <f>IF(C387="","","【"&amp;"活动时间："&amp;固定信息!$B$3&amp;"】")</f>
        <v/>
      </c>
      <c r="H387" s="18" t="str">
        <f>IF($C387="","",固定信息!$B$1)</f>
        <v/>
      </c>
      <c r="I387" s="18"/>
      <c r="J387" s="18" t="str">
        <f t="array" ref="J387">_xlfn.XLOOKUP(A387&amp;B387&amp;C387,价格信息!$A:$A&amp;价格信息!$B:$B&amp;价格信息!$C:$C,价格信息!$D:$D)</f>
        <v/>
      </c>
      <c r="K387" s="31" t="str">
        <f t="array" ref="K387">IF(_xlfn.XLOOKUP(A387&amp;B387&amp;C387,价格信息!$A:$A&amp;价格信息!$B:$B&amp;价格信息!$C:$C,价格信息!$I:$I)="","","【优惠券链接】"&amp;固定信息!$B$6)</f>
        <v/>
      </c>
      <c r="L387" s="31" t="str">
        <f>IF($C387="","",固定信息!$B$1)</f>
        <v/>
      </c>
      <c r="M387" s="18" t="str">
        <f t="array" ref="M387">IF(_xlfn.XLOOKUP(A387&amp;B387&amp;C387,盘货信息!$A:$A&amp;盘货信息!$B:$B&amp;盘货信息!$C:$C,盘货信息!$O:$O)="","","【优惠券】领"&amp;INDEX(_wpsfn.REGEXP(_xlfn.XLOOKUP(A387&amp;B387&amp;C387,盘货信息!$A:$A&amp;盘货信息!$B:$B&amp;盘货信息!$C:$C,盘货信息!$O:$O),"\d+"),1,1)&amp;"元优惠券下单更优惠，优惠卷："&amp;_xlfn.XLOOKUP(A387&amp;B387&amp;C387,盘货信息!$A:$A&amp;盘货信息!$B:$B&amp;盘货信息!$C:$C,盘货信息!$P:$P))</f>
        <v/>
      </c>
      <c r="N387" s="18" t="str">
        <f t="array" ref="N387">IF(AND(ISNUMBER(_xlfn.XLOOKUP(A387&amp;B387&amp;C387,盘货信息!$A:$A&amp;盘货信息!$B:$B&amp;盘货信息!$C:$C,盘货信息!$I:$I)),_xlfn.XLOOKUP(A387&amp;B387&amp;C387,盘货信息!$A:$A&amp;盘货信息!$B:$B&amp;盘货信息!$C:$C,盘货信息!$I:$I)&gt;1),"【88VIP】立减"&amp;_xlfn.XLOOKUP(A387&amp;B387&amp;C387,盘货信息!$A:$A&amp;盘货信息!$B:$B&amp;盘货信息!$C:$C,盘货信息!$I:$I)&amp;"元","")</f>
        <v/>
      </c>
      <c r="O387" s="18" t="str">
        <f t="array" ref="O387">IF(_xlfn.XLOOKUP(A387&amp;B387&amp;C387,盘货信息!$A:$A&amp;盘货信息!$B:$B&amp;盘货信息!$C:$C,盘货信息!$K:$K)="","",IF(AND(_xlfn.XLOOKUP(A387&amp;B387&amp;C387,盘货信息!$A:$A&amp;盘货信息!$B:$B&amp;盘货信息!$C:$C,盘货信息!$G:$G)="不参加",_xlfn.XLOOKUP(A387&amp;B387&amp;C387,盘货信息!$A:$A&amp;盘货信息!$B:$B&amp;盘货信息!$C:$C,盘货信息!$H:$H)=""),"【以旧换新】"&amp;_xlfn.XLOOKUP(A387&amp;B387&amp;C387,盘货信息!$A:$A&amp;盘货信息!$B:$B&amp;盘货信息!$C:$C,盘货信息!$K:$K)&amp;"元以旧换新补贴（可无旧机换新）",""))</f>
        <v/>
      </c>
      <c r="P387" s="18" t="str">
        <f t="array" ref="P387">_xlfn.XLOOKUP(A387&amp;B387&amp;C387,赠品!$A:$A&amp;赠品!$B:$B&amp;赠品!$C:$C,赠品!$D:$D)</f>
        <v/>
      </c>
      <c r="Q387" s="18" t="str">
        <f>IF($C387="","",IF(AND(M387="",N387="",P387=""),"",固定信息!$B$1))</f>
        <v/>
      </c>
      <c r="R387" s="18" t="str">
        <f t="array" ref="R387">IF(ISNUMBER(SEARCH("是",_xlfn.XLOOKUP(A387&amp;B387&amp;C387,盘货信息!$A:$A&amp;盘货信息!$B:$B&amp;盘货信息!$C:$C,盘货信息!$U:$U))),"【折扣】指定型号满2类享96折，满3类享94折","")</f>
        <v/>
      </c>
      <c r="S387" s="18" t="str">
        <f t="array" ref="S387">IF(_xlfn.XLOOKUP(A387&amp;B387&amp;C387,盘货信息!$A:$A&amp;盘货信息!$B:$B&amp;盘货信息!$C:$C,盘货信息!$Q:$Q)&lt;1,"","【红包】活动时间购机送"&amp;_xlfn.TEXTJOIN("",,IF(ISNUMBER(--MID(_xlfn.XLOOKUP(A387&amp;B387&amp;C387,盘货信息!$A:$A&amp;盘货信息!$B:$B&amp;盘货信息!$C:$C,盘货信息!$Q:$Q),_xlfn.SEQUENCE(LEN(_xlfn.XLOOKUP(A387&amp;B387&amp;C387,盘货信息!$A:$A&amp;盘货信息!$B:$B&amp;盘货信息!$C:$C,盘货信息!$Q:$Q))),1)),MID(_xlfn.XLOOKUP(A387&amp;B387&amp;C387,盘货信息!$A:$A&amp;盘货信息!$B:$B&amp;盘货信息!$C:$C,盘货信息!$Q:$Q),_xlfn.SEQUENCE(LEN(_xlfn.XLOOKUP(A387&amp;B387&amp;C387,盘货信息!$A:$A&amp;盘货信息!$B:$B&amp;盘货信息!$C:$C,盘货信息!$Q:$Q))),1),""))&amp;"元")</f>
        <v/>
      </c>
      <c r="T387" s="18" t="str">
        <f t="array" ref="T387">IF(ISNUMBER(SEARCH("是",_xlfn.XLOOKUP(A387&amp;B387&amp;C387,盘货信息!$A:$A&amp;盘货信息!$B:$B&amp;盘货信息!$C:$C,盘货信息!$T:$T))),"【瓜分】"&amp;固定信息!$B$7,"")</f>
        <v/>
      </c>
      <c r="U387" s="18" t="str">
        <f>IF($C387="","",IF(AND(R387="",S387="",T387=""),"",固定信息!$B$1))</f>
        <v/>
      </c>
      <c r="V387" s="18" t="str">
        <f t="array" ref="V387">IF(C387="","","【服务】"&amp;IF(_xlfn.XLOOKUP(A387&amp;B387&amp;C387,盘货信息!$A:$A&amp;盘货信息!$B:$B&amp;盘货信息!$C:$C,盘货信息!$V:$V)="","",_xlfn.XLOOKUP(A387&amp;B387&amp;C387,盘货信息!$A:$A&amp;盘货信息!$B:$B&amp;盘货信息!$C:$C,盘货信息!$V:$V)&amp;"免息,")&amp;IF(_xlfn.XLOOKUP(A387&amp;B387&amp;C387,盘货信息!$A:$A&amp;盘货信息!$B:$B&amp;盘货信息!$C:$C,盘货信息!$W:$W)="","",_xlfn.XLOOKUP(A387&amp;B387&amp;C387,盘货信息!$A:$A&amp;盘货信息!$B:$B&amp;盘货信息!$C:$C,盘货信息!$W:$W)&amp;"，")&amp;"送货入户，退换免运费")</f>
        <v/>
      </c>
    </row>
    <row r="388" customHeight="1" spans="1:22">
      <c r="A388" s="17" t="str">
        <f>IF(盘货信息!A388="","",盘货信息!A388)</f>
        <v/>
      </c>
      <c r="B388" s="20" t="str">
        <f>IF(盘货信息!B388="","",盘货信息!B388)</f>
        <v/>
      </c>
      <c r="C388" s="18" t="str">
        <f>IF(盘货信息!C388="","",盘货信息!C388)</f>
        <v/>
      </c>
      <c r="D388" s="18" t="str">
        <f ca="1" t="shared" si="6"/>
        <v/>
      </c>
      <c r="E388" s="18" t="str">
        <f>IF(C388="","",固定信息!$B$2)</f>
        <v/>
      </c>
      <c r="F388" s="18" t="str">
        <f t="array" ref="F388">IF(C388="","","【"&amp;C388&amp;"】"&amp;_xlfn.XLOOKUP(A388&amp;B388&amp;C388,盘货信息!$A:$A&amp;盘货信息!$B:$B&amp;盘货信息!$C:$C,盘货信息!$D:$D))</f>
        <v/>
      </c>
      <c r="G388" s="18" t="str">
        <f>IF(C388="","","【"&amp;"活动时间："&amp;固定信息!$B$3&amp;"】")</f>
        <v/>
      </c>
      <c r="H388" s="18" t="str">
        <f>IF($C388="","",固定信息!$B$1)</f>
        <v/>
      </c>
      <c r="I388" s="18"/>
      <c r="J388" s="18" t="str">
        <f t="array" ref="J388">_xlfn.XLOOKUP(A388&amp;B388&amp;C388,价格信息!$A:$A&amp;价格信息!$B:$B&amp;价格信息!$C:$C,价格信息!$D:$D)</f>
        <v/>
      </c>
      <c r="K388" s="31" t="str">
        <f t="array" ref="K388">IF(_xlfn.XLOOKUP(A388&amp;B388&amp;C388,价格信息!$A:$A&amp;价格信息!$B:$B&amp;价格信息!$C:$C,价格信息!$I:$I)="","","【优惠券链接】"&amp;固定信息!$B$6)</f>
        <v/>
      </c>
      <c r="L388" s="31" t="str">
        <f>IF($C388="","",固定信息!$B$1)</f>
        <v/>
      </c>
      <c r="M388" s="18" t="str">
        <f t="array" ref="M388">IF(_xlfn.XLOOKUP(A388&amp;B388&amp;C388,盘货信息!$A:$A&amp;盘货信息!$B:$B&amp;盘货信息!$C:$C,盘货信息!$O:$O)="","","【优惠券】领"&amp;INDEX(_wpsfn.REGEXP(_xlfn.XLOOKUP(A388&amp;B388&amp;C388,盘货信息!$A:$A&amp;盘货信息!$B:$B&amp;盘货信息!$C:$C,盘货信息!$O:$O),"\d+"),1,1)&amp;"元优惠券下单更优惠，优惠卷："&amp;_xlfn.XLOOKUP(A388&amp;B388&amp;C388,盘货信息!$A:$A&amp;盘货信息!$B:$B&amp;盘货信息!$C:$C,盘货信息!$P:$P))</f>
        <v/>
      </c>
      <c r="N388" s="18" t="str">
        <f t="array" ref="N388">IF(AND(ISNUMBER(_xlfn.XLOOKUP(A388&amp;B388&amp;C388,盘货信息!$A:$A&amp;盘货信息!$B:$B&amp;盘货信息!$C:$C,盘货信息!$I:$I)),_xlfn.XLOOKUP(A388&amp;B388&amp;C388,盘货信息!$A:$A&amp;盘货信息!$B:$B&amp;盘货信息!$C:$C,盘货信息!$I:$I)&gt;1),"【88VIP】立减"&amp;_xlfn.XLOOKUP(A388&amp;B388&amp;C388,盘货信息!$A:$A&amp;盘货信息!$B:$B&amp;盘货信息!$C:$C,盘货信息!$I:$I)&amp;"元","")</f>
        <v/>
      </c>
      <c r="O388" s="18" t="str">
        <f t="array" ref="O388">IF(_xlfn.XLOOKUP(A388&amp;B388&amp;C388,盘货信息!$A:$A&amp;盘货信息!$B:$B&amp;盘货信息!$C:$C,盘货信息!$K:$K)="","",IF(AND(_xlfn.XLOOKUP(A388&amp;B388&amp;C388,盘货信息!$A:$A&amp;盘货信息!$B:$B&amp;盘货信息!$C:$C,盘货信息!$G:$G)="不参加",_xlfn.XLOOKUP(A388&amp;B388&amp;C388,盘货信息!$A:$A&amp;盘货信息!$B:$B&amp;盘货信息!$C:$C,盘货信息!$H:$H)=""),"【以旧换新】"&amp;_xlfn.XLOOKUP(A388&amp;B388&amp;C388,盘货信息!$A:$A&amp;盘货信息!$B:$B&amp;盘货信息!$C:$C,盘货信息!$K:$K)&amp;"元以旧换新补贴（可无旧机换新）",""))</f>
        <v/>
      </c>
      <c r="P388" s="18" t="str">
        <f t="array" ref="P388">_xlfn.XLOOKUP(A388&amp;B388&amp;C388,赠品!$A:$A&amp;赠品!$B:$B&amp;赠品!$C:$C,赠品!$D:$D)</f>
        <v/>
      </c>
      <c r="Q388" s="18" t="str">
        <f>IF($C388="","",IF(AND(M388="",N388="",P388=""),"",固定信息!$B$1))</f>
        <v/>
      </c>
      <c r="R388" s="18" t="str">
        <f t="array" ref="R388">IF(ISNUMBER(SEARCH("是",_xlfn.XLOOKUP(A388&amp;B388&amp;C388,盘货信息!$A:$A&amp;盘货信息!$B:$B&amp;盘货信息!$C:$C,盘货信息!$U:$U))),"【折扣】指定型号满2类享96折，满3类享94折","")</f>
        <v/>
      </c>
      <c r="S388" s="18" t="str">
        <f t="array" ref="S388">IF(_xlfn.XLOOKUP(A388&amp;B388&amp;C388,盘货信息!$A:$A&amp;盘货信息!$B:$B&amp;盘货信息!$C:$C,盘货信息!$Q:$Q)&lt;1,"","【红包】活动时间购机送"&amp;_xlfn.TEXTJOIN("",,IF(ISNUMBER(--MID(_xlfn.XLOOKUP(A388&amp;B388&amp;C388,盘货信息!$A:$A&amp;盘货信息!$B:$B&amp;盘货信息!$C:$C,盘货信息!$Q:$Q),_xlfn.SEQUENCE(LEN(_xlfn.XLOOKUP(A388&amp;B388&amp;C388,盘货信息!$A:$A&amp;盘货信息!$B:$B&amp;盘货信息!$C:$C,盘货信息!$Q:$Q))),1)),MID(_xlfn.XLOOKUP(A388&amp;B388&amp;C388,盘货信息!$A:$A&amp;盘货信息!$B:$B&amp;盘货信息!$C:$C,盘货信息!$Q:$Q),_xlfn.SEQUENCE(LEN(_xlfn.XLOOKUP(A388&amp;B388&amp;C388,盘货信息!$A:$A&amp;盘货信息!$B:$B&amp;盘货信息!$C:$C,盘货信息!$Q:$Q))),1),""))&amp;"元")</f>
        <v/>
      </c>
      <c r="T388" s="18" t="str">
        <f t="array" ref="T388">IF(ISNUMBER(SEARCH("是",_xlfn.XLOOKUP(A388&amp;B388&amp;C388,盘货信息!$A:$A&amp;盘货信息!$B:$B&amp;盘货信息!$C:$C,盘货信息!$T:$T))),"【瓜分】"&amp;固定信息!$B$7,"")</f>
        <v/>
      </c>
      <c r="U388" s="18" t="str">
        <f>IF($C388="","",IF(AND(R388="",S388="",T388=""),"",固定信息!$B$1))</f>
        <v/>
      </c>
      <c r="V388" s="18" t="str">
        <f t="array" ref="V388">IF(C388="","","【服务】"&amp;IF(_xlfn.XLOOKUP(A388&amp;B388&amp;C388,盘货信息!$A:$A&amp;盘货信息!$B:$B&amp;盘货信息!$C:$C,盘货信息!$V:$V)="","",_xlfn.XLOOKUP(A388&amp;B388&amp;C388,盘货信息!$A:$A&amp;盘货信息!$B:$B&amp;盘货信息!$C:$C,盘货信息!$V:$V)&amp;"免息,")&amp;IF(_xlfn.XLOOKUP(A388&amp;B388&amp;C388,盘货信息!$A:$A&amp;盘货信息!$B:$B&amp;盘货信息!$C:$C,盘货信息!$W:$W)="","",_xlfn.XLOOKUP(A388&amp;B388&amp;C388,盘货信息!$A:$A&amp;盘货信息!$B:$B&amp;盘货信息!$C:$C,盘货信息!$W:$W)&amp;"，")&amp;"送货入户，退换免运费")</f>
        <v/>
      </c>
    </row>
    <row r="389" customHeight="1" spans="1:22">
      <c r="A389" s="17" t="str">
        <f>IF(盘货信息!A389="","",盘货信息!A389)</f>
        <v/>
      </c>
      <c r="B389" s="20" t="str">
        <f>IF(盘货信息!B389="","",盘货信息!B389)</f>
        <v/>
      </c>
      <c r="C389" s="18" t="str">
        <f>IF(盘货信息!C389="","",盘货信息!C389)</f>
        <v/>
      </c>
      <c r="D389" s="18" t="str">
        <f ca="1" t="shared" si="6"/>
        <v/>
      </c>
      <c r="E389" s="18" t="str">
        <f>IF(C389="","",固定信息!$B$2)</f>
        <v/>
      </c>
      <c r="F389" s="18" t="str">
        <f t="array" ref="F389">IF(C389="","","【"&amp;C389&amp;"】"&amp;_xlfn.XLOOKUP(A389&amp;B389&amp;C389,盘货信息!$A:$A&amp;盘货信息!$B:$B&amp;盘货信息!$C:$C,盘货信息!$D:$D))</f>
        <v/>
      </c>
      <c r="G389" s="18" t="str">
        <f>IF(C389="","","【"&amp;"活动时间："&amp;固定信息!$B$3&amp;"】")</f>
        <v/>
      </c>
      <c r="H389" s="18" t="str">
        <f>IF($C389="","",固定信息!$B$1)</f>
        <v/>
      </c>
      <c r="I389" s="18"/>
      <c r="J389" s="18" t="str">
        <f t="array" ref="J389">_xlfn.XLOOKUP(A389&amp;B389&amp;C389,价格信息!$A:$A&amp;价格信息!$B:$B&amp;价格信息!$C:$C,价格信息!$D:$D)</f>
        <v/>
      </c>
      <c r="K389" s="31" t="str">
        <f t="array" ref="K389">IF(_xlfn.XLOOKUP(A389&amp;B389&amp;C389,价格信息!$A:$A&amp;价格信息!$B:$B&amp;价格信息!$C:$C,价格信息!$I:$I)="","","【优惠券链接】"&amp;固定信息!$B$6)</f>
        <v/>
      </c>
      <c r="L389" s="31" t="str">
        <f>IF($C389="","",固定信息!$B$1)</f>
        <v/>
      </c>
      <c r="M389" s="18" t="str">
        <f t="array" ref="M389">IF(_xlfn.XLOOKUP(A389&amp;B389&amp;C389,盘货信息!$A:$A&amp;盘货信息!$B:$B&amp;盘货信息!$C:$C,盘货信息!$O:$O)="","","【优惠券】领"&amp;INDEX(_wpsfn.REGEXP(_xlfn.XLOOKUP(A389&amp;B389&amp;C389,盘货信息!$A:$A&amp;盘货信息!$B:$B&amp;盘货信息!$C:$C,盘货信息!$O:$O),"\d+"),1,1)&amp;"元优惠券下单更优惠，优惠卷："&amp;_xlfn.XLOOKUP(A389&amp;B389&amp;C389,盘货信息!$A:$A&amp;盘货信息!$B:$B&amp;盘货信息!$C:$C,盘货信息!$P:$P))</f>
        <v/>
      </c>
      <c r="N389" s="18" t="str">
        <f t="array" ref="N389">IF(AND(ISNUMBER(_xlfn.XLOOKUP(A389&amp;B389&amp;C389,盘货信息!$A:$A&amp;盘货信息!$B:$B&amp;盘货信息!$C:$C,盘货信息!$I:$I)),_xlfn.XLOOKUP(A389&amp;B389&amp;C389,盘货信息!$A:$A&amp;盘货信息!$B:$B&amp;盘货信息!$C:$C,盘货信息!$I:$I)&gt;1),"【88VIP】立减"&amp;_xlfn.XLOOKUP(A389&amp;B389&amp;C389,盘货信息!$A:$A&amp;盘货信息!$B:$B&amp;盘货信息!$C:$C,盘货信息!$I:$I)&amp;"元","")</f>
        <v/>
      </c>
      <c r="O389" s="18" t="str">
        <f t="array" ref="O389">IF(_xlfn.XLOOKUP(A389&amp;B389&amp;C389,盘货信息!$A:$A&amp;盘货信息!$B:$B&amp;盘货信息!$C:$C,盘货信息!$K:$K)="","",IF(AND(_xlfn.XLOOKUP(A389&amp;B389&amp;C389,盘货信息!$A:$A&amp;盘货信息!$B:$B&amp;盘货信息!$C:$C,盘货信息!$G:$G)="不参加",_xlfn.XLOOKUP(A389&amp;B389&amp;C389,盘货信息!$A:$A&amp;盘货信息!$B:$B&amp;盘货信息!$C:$C,盘货信息!$H:$H)=""),"【以旧换新】"&amp;_xlfn.XLOOKUP(A389&amp;B389&amp;C389,盘货信息!$A:$A&amp;盘货信息!$B:$B&amp;盘货信息!$C:$C,盘货信息!$K:$K)&amp;"元以旧换新补贴（可无旧机换新）",""))</f>
        <v/>
      </c>
      <c r="P389" s="18" t="str">
        <f t="array" ref="P389">_xlfn.XLOOKUP(A389&amp;B389&amp;C389,赠品!$A:$A&amp;赠品!$B:$B&amp;赠品!$C:$C,赠品!$D:$D)</f>
        <v/>
      </c>
      <c r="Q389" s="18" t="str">
        <f>IF($C389="","",IF(AND(M389="",N389="",P389=""),"",固定信息!$B$1))</f>
        <v/>
      </c>
      <c r="R389" s="18" t="str">
        <f t="array" ref="R389">IF(ISNUMBER(SEARCH("是",_xlfn.XLOOKUP(A389&amp;B389&amp;C389,盘货信息!$A:$A&amp;盘货信息!$B:$B&amp;盘货信息!$C:$C,盘货信息!$U:$U))),"【折扣】指定型号满2类享96折，满3类享94折","")</f>
        <v/>
      </c>
      <c r="S389" s="18" t="str">
        <f t="array" ref="S389">IF(_xlfn.XLOOKUP(A389&amp;B389&amp;C389,盘货信息!$A:$A&amp;盘货信息!$B:$B&amp;盘货信息!$C:$C,盘货信息!$Q:$Q)&lt;1,"","【红包】活动时间购机送"&amp;_xlfn.TEXTJOIN("",,IF(ISNUMBER(--MID(_xlfn.XLOOKUP(A389&amp;B389&amp;C389,盘货信息!$A:$A&amp;盘货信息!$B:$B&amp;盘货信息!$C:$C,盘货信息!$Q:$Q),_xlfn.SEQUENCE(LEN(_xlfn.XLOOKUP(A389&amp;B389&amp;C389,盘货信息!$A:$A&amp;盘货信息!$B:$B&amp;盘货信息!$C:$C,盘货信息!$Q:$Q))),1)),MID(_xlfn.XLOOKUP(A389&amp;B389&amp;C389,盘货信息!$A:$A&amp;盘货信息!$B:$B&amp;盘货信息!$C:$C,盘货信息!$Q:$Q),_xlfn.SEQUENCE(LEN(_xlfn.XLOOKUP(A389&amp;B389&amp;C389,盘货信息!$A:$A&amp;盘货信息!$B:$B&amp;盘货信息!$C:$C,盘货信息!$Q:$Q))),1),""))&amp;"元")</f>
        <v/>
      </c>
      <c r="T389" s="18" t="str">
        <f t="array" ref="T389">IF(ISNUMBER(SEARCH("是",_xlfn.XLOOKUP(A389&amp;B389&amp;C389,盘货信息!$A:$A&amp;盘货信息!$B:$B&amp;盘货信息!$C:$C,盘货信息!$T:$T))),"【瓜分】"&amp;固定信息!$B$7,"")</f>
        <v/>
      </c>
      <c r="U389" s="18" t="str">
        <f>IF($C389="","",IF(AND(R389="",S389="",T389=""),"",固定信息!$B$1))</f>
        <v/>
      </c>
      <c r="V389" s="18" t="str">
        <f t="array" ref="V389">IF(C389="","","【服务】"&amp;IF(_xlfn.XLOOKUP(A389&amp;B389&amp;C389,盘货信息!$A:$A&amp;盘货信息!$B:$B&amp;盘货信息!$C:$C,盘货信息!$V:$V)="","",_xlfn.XLOOKUP(A389&amp;B389&amp;C389,盘货信息!$A:$A&amp;盘货信息!$B:$B&amp;盘货信息!$C:$C,盘货信息!$V:$V)&amp;"免息,")&amp;IF(_xlfn.XLOOKUP(A389&amp;B389&amp;C389,盘货信息!$A:$A&amp;盘货信息!$B:$B&amp;盘货信息!$C:$C,盘货信息!$W:$W)="","",_xlfn.XLOOKUP(A389&amp;B389&amp;C389,盘货信息!$A:$A&amp;盘货信息!$B:$B&amp;盘货信息!$C:$C,盘货信息!$W:$W)&amp;"，")&amp;"送货入户，退换免运费")</f>
        <v/>
      </c>
    </row>
    <row r="390" customHeight="1" spans="1:22">
      <c r="A390" s="17" t="str">
        <f>IF(盘货信息!A390="","",盘货信息!A390)</f>
        <v/>
      </c>
      <c r="B390" s="20" t="str">
        <f>IF(盘货信息!B390="","",盘货信息!B390)</f>
        <v/>
      </c>
      <c r="C390" s="18" t="str">
        <f>IF(盘货信息!C390="","",盘货信息!C390)</f>
        <v/>
      </c>
      <c r="D390" s="18" t="str">
        <f ca="1" t="shared" si="6"/>
        <v/>
      </c>
      <c r="E390" s="18" t="str">
        <f>IF(C390="","",固定信息!$B$2)</f>
        <v/>
      </c>
      <c r="F390" s="18" t="str">
        <f t="array" ref="F390">IF(C390="","","【"&amp;C390&amp;"】"&amp;_xlfn.XLOOKUP(A390&amp;B390&amp;C390,盘货信息!$A:$A&amp;盘货信息!$B:$B&amp;盘货信息!$C:$C,盘货信息!$D:$D))</f>
        <v/>
      </c>
      <c r="G390" s="18" t="str">
        <f>IF(C390="","","【"&amp;"活动时间："&amp;固定信息!$B$3&amp;"】")</f>
        <v/>
      </c>
      <c r="H390" s="18" t="str">
        <f>IF($C390="","",固定信息!$B$1)</f>
        <v/>
      </c>
      <c r="I390" s="18"/>
      <c r="J390" s="18" t="str">
        <f t="array" ref="J390">_xlfn.XLOOKUP(A390&amp;B390&amp;C390,价格信息!$A:$A&amp;价格信息!$B:$B&amp;价格信息!$C:$C,价格信息!$D:$D)</f>
        <v/>
      </c>
      <c r="K390" s="31" t="str">
        <f t="array" ref="K390">IF(_xlfn.XLOOKUP(A390&amp;B390&amp;C390,价格信息!$A:$A&amp;价格信息!$B:$B&amp;价格信息!$C:$C,价格信息!$I:$I)="","","【优惠券链接】"&amp;固定信息!$B$6)</f>
        <v/>
      </c>
      <c r="L390" s="31" t="str">
        <f>IF($C390="","",固定信息!$B$1)</f>
        <v/>
      </c>
      <c r="M390" s="18" t="str">
        <f t="array" ref="M390">IF(_xlfn.XLOOKUP(A390&amp;B390&amp;C390,盘货信息!$A:$A&amp;盘货信息!$B:$B&amp;盘货信息!$C:$C,盘货信息!$O:$O)="","","【优惠券】领"&amp;INDEX(_wpsfn.REGEXP(_xlfn.XLOOKUP(A390&amp;B390&amp;C390,盘货信息!$A:$A&amp;盘货信息!$B:$B&amp;盘货信息!$C:$C,盘货信息!$O:$O),"\d+"),1,1)&amp;"元优惠券下单更优惠，优惠卷："&amp;_xlfn.XLOOKUP(A390&amp;B390&amp;C390,盘货信息!$A:$A&amp;盘货信息!$B:$B&amp;盘货信息!$C:$C,盘货信息!$P:$P))</f>
        <v/>
      </c>
      <c r="N390" s="18" t="str">
        <f t="array" ref="N390">IF(AND(ISNUMBER(_xlfn.XLOOKUP(A390&amp;B390&amp;C390,盘货信息!$A:$A&amp;盘货信息!$B:$B&amp;盘货信息!$C:$C,盘货信息!$I:$I)),_xlfn.XLOOKUP(A390&amp;B390&amp;C390,盘货信息!$A:$A&amp;盘货信息!$B:$B&amp;盘货信息!$C:$C,盘货信息!$I:$I)&gt;1),"【88VIP】立减"&amp;_xlfn.XLOOKUP(A390&amp;B390&amp;C390,盘货信息!$A:$A&amp;盘货信息!$B:$B&amp;盘货信息!$C:$C,盘货信息!$I:$I)&amp;"元","")</f>
        <v/>
      </c>
      <c r="O390" s="18" t="str">
        <f t="array" ref="O390">IF(_xlfn.XLOOKUP(A390&amp;B390&amp;C390,盘货信息!$A:$A&amp;盘货信息!$B:$B&amp;盘货信息!$C:$C,盘货信息!$K:$K)="","",IF(AND(_xlfn.XLOOKUP(A390&amp;B390&amp;C390,盘货信息!$A:$A&amp;盘货信息!$B:$B&amp;盘货信息!$C:$C,盘货信息!$G:$G)="不参加",_xlfn.XLOOKUP(A390&amp;B390&amp;C390,盘货信息!$A:$A&amp;盘货信息!$B:$B&amp;盘货信息!$C:$C,盘货信息!$H:$H)=""),"【以旧换新】"&amp;_xlfn.XLOOKUP(A390&amp;B390&amp;C390,盘货信息!$A:$A&amp;盘货信息!$B:$B&amp;盘货信息!$C:$C,盘货信息!$K:$K)&amp;"元以旧换新补贴（可无旧机换新）",""))</f>
        <v/>
      </c>
      <c r="P390" s="18" t="str">
        <f t="array" ref="P390">_xlfn.XLOOKUP(A390&amp;B390&amp;C390,赠品!$A:$A&amp;赠品!$B:$B&amp;赠品!$C:$C,赠品!$D:$D)</f>
        <v/>
      </c>
      <c r="Q390" s="18" t="str">
        <f>IF($C390="","",IF(AND(M390="",N390="",P390=""),"",固定信息!$B$1))</f>
        <v/>
      </c>
      <c r="R390" s="18" t="str">
        <f t="array" ref="R390">IF(ISNUMBER(SEARCH("是",_xlfn.XLOOKUP(A390&amp;B390&amp;C390,盘货信息!$A:$A&amp;盘货信息!$B:$B&amp;盘货信息!$C:$C,盘货信息!$U:$U))),"【折扣】指定型号满2类享96折，满3类享94折","")</f>
        <v/>
      </c>
      <c r="S390" s="18" t="str">
        <f t="array" ref="S390">IF(_xlfn.XLOOKUP(A390&amp;B390&amp;C390,盘货信息!$A:$A&amp;盘货信息!$B:$B&amp;盘货信息!$C:$C,盘货信息!$Q:$Q)&lt;1,"","【红包】活动时间购机送"&amp;_xlfn.TEXTJOIN("",,IF(ISNUMBER(--MID(_xlfn.XLOOKUP(A390&amp;B390&amp;C390,盘货信息!$A:$A&amp;盘货信息!$B:$B&amp;盘货信息!$C:$C,盘货信息!$Q:$Q),_xlfn.SEQUENCE(LEN(_xlfn.XLOOKUP(A390&amp;B390&amp;C390,盘货信息!$A:$A&amp;盘货信息!$B:$B&amp;盘货信息!$C:$C,盘货信息!$Q:$Q))),1)),MID(_xlfn.XLOOKUP(A390&amp;B390&amp;C390,盘货信息!$A:$A&amp;盘货信息!$B:$B&amp;盘货信息!$C:$C,盘货信息!$Q:$Q),_xlfn.SEQUENCE(LEN(_xlfn.XLOOKUP(A390&amp;B390&amp;C390,盘货信息!$A:$A&amp;盘货信息!$B:$B&amp;盘货信息!$C:$C,盘货信息!$Q:$Q))),1),""))&amp;"元")</f>
        <v/>
      </c>
      <c r="T390" s="18" t="str">
        <f t="array" ref="T390">IF(ISNUMBER(SEARCH("是",_xlfn.XLOOKUP(A390&amp;B390&amp;C390,盘货信息!$A:$A&amp;盘货信息!$B:$B&amp;盘货信息!$C:$C,盘货信息!$T:$T))),"【瓜分】"&amp;固定信息!$B$7,"")</f>
        <v/>
      </c>
      <c r="U390" s="18" t="str">
        <f>IF($C390="","",IF(AND(R390="",S390="",T390=""),"",固定信息!$B$1))</f>
        <v/>
      </c>
      <c r="V390" s="18" t="str">
        <f t="array" ref="V390">IF(C390="","","【服务】"&amp;IF(_xlfn.XLOOKUP(A390&amp;B390&amp;C390,盘货信息!$A:$A&amp;盘货信息!$B:$B&amp;盘货信息!$C:$C,盘货信息!$V:$V)="","",_xlfn.XLOOKUP(A390&amp;B390&amp;C390,盘货信息!$A:$A&amp;盘货信息!$B:$B&amp;盘货信息!$C:$C,盘货信息!$V:$V)&amp;"免息,")&amp;IF(_xlfn.XLOOKUP(A390&amp;B390&amp;C390,盘货信息!$A:$A&amp;盘货信息!$B:$B&amp;盘货信息!$C:$C,盘货信息!$W:$W)="","",_xlfn.XLOOKUP(A390&amp;B390&amp;C390,盘货信息!$A:$A&amp;盘货信息!$B:$B&amp;盘货信息!$C:$C,盘货信息!$W:$W)&amp;"，")&amp;"送货入户，退换免运费")</f>
        <v/>
      </c>
    </row>
    <row r="391" customHeight="1" spans="1:22">
      <c r="A391" s="17" t="str">
        <f>IF(盘货信息!A391="","",盘货信息!A391)</f>
        <v/>
      </c>
      <c r="B391" s="20" t="str">
        <f>IF(盘货信息!B391="","",盘货信息!B391)</f>
        <v/>
      </c>
      <c r="C391" s="18" t="str">
        <f>IF(盘货信息!C391="","",盘货信息!C391)</f>
        <v/>
      </c>
      <c r="D391" s="18" t="str">
        <f ca="1" t="shared" si="6"/>
        <v/>
      </c>
      <c r="E391" s="18" t="str">
        <f>IF(C391="","",固定信息!$B$2)</f>
        <v/>
      </c>
      <c r="F391" s="18" t="str">
        <f t="array" ref="F391">IF(C391="","","【"&amp;C391&amp;"】"&amp;_xlfn.XLOOKUP(A391&amp;B391&amp;C391,盘货信息!$A:$A&amp;盘货信息!$B:$B&amp;盘货信息!$C:$C,盘货信息!$D:$D))</f>
        <v/>
      </c>
      <c r="G391" s="18" t="str">
        <f>IF(C391="","","【"&amp;"活动时间："&amp;固定信息!$B$3&amp;"】")</f>
        <v/>
      </c>
      <c r="H391" s="18" t="str">
        <f>IF($C391="","",固定信息!$B$1)</f>
        <v/>
      </c>
      <c r="I391" s="18"/>
      <c r="J391" s="18" t="str">
        <f t="array" ref="J391">_xlfn.XLOOKUP(A391&amp;B391&amp;C391,价格信息!$A:$A&amp;价格信息!$B:$B&amp;价格信息!$C:$C,价格信息!$D:$D)</f>
        <v/>
      </c>
      <c r="K391" s="31" t="str">
        <f t="array" ref="K391">IF(_xlfn.XLOOKUP(A391&amp;B391&amp;C391,价格信息!$A:$A&amp;价格信息!$B:$B&amp;价格信息!$C:$C,价格信息!$I:$I)="","","【优惠券链接】"&amp;固定信息!$B$6)</f>
        <v/>
      </c>
      <c r="L391" s="31" t="str">
        <f>IF($C391="","",固定信息!$B$1)</f>
        <v/>
      </c>
      <c r="M391" s="18" t="str">
        <f t="array" ref="M391">IF(_xlfn.XLOOKUP(A391&amp;B391&amp;C391,盘货信息!$A:$A&amp;盘货信息!$B:$B&amp;盘货信息!$C:$C,盘货信息!$O:$O)="","","【优惠券】领"&amp;INDEX(_wpsfn.REGEXP(_xlfn.XLOOKUP(A391&amp;B391&amp;C391,盘货信息!$A:$A&amp;盘货信息!$B:$B&amp;盘货信息!$C:$C,盘货信息!$O:$O),"\d+"),1,1)&amp;"元优惠券下单更优惠，优惠卷："&amp;_xlfn.XLOOKUP(A391&amp;B391&amp;C391,盘货信息!$A:$A&amp;盘货信息!$B:$B&amp;盘货信息!$C:$C,盘货信息!$P:$P))</f>
        <v/>
      </c>
      <c r="N391" s="18" t="str">
        <f t="array" ref="N391">IF(AND(ISNUMBER(_xlfn.XLOOKUP(A391&amp;B391&amp;C391,盘货信息!$A:$A&amp;盘货信息!$B:$B&amp;盘货信息!$C:$C,盘货信息!$I:$I)),_xlfn.XLOOKUP(A391&amp;B391&amp;C391,盘货信息!$A:$A&amp;盘货信息!$B:$B&amp;盘货信息!$C:$C,盘货信息!$I:$I)&gt;1),"【88VIP】立减"&amp;_xlfn.XLOOKUP(A391&amp;B391&amp;C391,盘货信息!$A:$A&amp;盘货信息!$B:$B&amp;盘货信息!$C:$C,盘货信息!$I:$I)&amp;"元","")</f>
        <v/>
      </c>
      <c r="O391" s="18" t="str">
        <f t="array" ref="O391">IF(_xlfn.XLOOKUP(A391&amp;B391&amp;C391,盘货信息!$A:$A&amp;盘货信息!$B:$B&amp;盘货信息!$C:$C,盘货信息!$K:$K)="","",IF(AND(_xlfn.XLOOKUP(A391&amp;B391&amp;C391,盘货信息!$A:$A&amp;盘货信息!$B:$B&amp;盘货信息!$C:$C,盘货信息!$G:$G)="不参加",_xlfn.XLOOKUP(A391&amp;B391&amp;C391,盘货信息!$A:$A&amp;盘货信息!$B:$B&amp;盘货信息!$C:$C,盘货信息!$H:$H)=""),"【以旧换新】"&amp;_xlfn.XLOOKUP(A391&amp;B391&amp;C391,盘货信息!$A:$A&amp;盘货信息!$B:$B&amp;盘货信息!$C:$C,盘货信息!$K:$K)&amp;"元以旧换新补贴（可无旧机换新）",""))</f>
        <v/>
      </c>
      <c r="P391" s="18" t="str">
        <f t="array" ref="P391">_xlfn.XLOOKUP(A391&amp;B391&amp;C391,赠品!$A:$A&amp;赠品!$B:$B&amp;赠品!$C:$C,赠品!$D:$D)</f>
        <v/>
      </c>
      <c r="Q391" s="18" t="str">
        <f>IF($C391="","",IF(AND(M391="",N391="",P391=""),"",固定信息!$B$1))</f>
        <v/>
      </c>
      <c r="R391" s="18" t="str">
        <f t="array" ref="R391">IF(ISNUMBER(SEARCH("是",_xlfn.XLOOKUP(A391&amp;B391&amp;C391,盘货信息!$A:$A&amp;盘货信息!$B:$B&amp;盘货信息!$C:$C,盘货信息!$U:$U))),"【折扣】指定型号满2类享96折，满3类享94折","")</f>
        <v/>
      </c>
      <c r="S391" s="18" t="str">
        <f t="array" ref="S391">IF(_xlfn.XLOOKUP(A391&amp;B391&amp;C391,盘货信息!$A:$A&amp;盘货信息!$B:$B&amp;盘货信息!$C:$C,盘货信息!$Q:$Q)&lt;1,"","【红包】活动时间购机送"&amp;_xlfn.TEXTJOIN("",,IF(ISNUMBER(--MID(_xlfn.XLOOKUP(A391&amp;B391&amp;C391,盘货信息!$A:$A&amp;盘货信息!$B:$B&amp;盘货信息!$C:$C,盘货信息!$Q:$Q),_xlfn.SEQUENCE(LEN(_xlfn.XLOOKUP(A391&amp;B391&amp;C391,盘货信息!$A:$A&amp;盘货信息!$B:$B&amp;盘货信息!$C:$C,盘货信息!$Q:$Q))),1)),MID(_xlfn.XLOOKUP(A391&amp;B391&amp;C391,盘货信息!$A:$A&amp;盘货信息!$B:$B&amp;盘货信息!$C:$C,盘货信息!$Q:$Q),_xlfn.SEQUENCE(LEN(_xlfn.XLOOKUP(A391&amp;B391&amp;C391,盘货信息!$A:$A&amp;盘货信息!$B:$B&amp;盘货信息!$C:$C,盘货信息!$Q:$Q))),1),""))&amp;"元")</f>
        <v/>
      </c>
      <c r="T391" s="18" t="str">
        <f t="array" ref="T391">IF(ISNUMBER(SEARCH("是",_xlfn.XLOOKUP(A391&amp;B391&amp;C391,盘货信息!$A:$A&amp;盘货信息!$B:$B&amp;盘货信息!$C:$C,盘货信息!$T:$T))),"【瓜分】"&amp;固定信息!$B$7,"")</f>
        <v/>
      </c>
      <c r="U391" s="18" t="str">
        <f>IF($C391="","",IF(AND(R391="",S391="",T391=""),"",固定信息!$B$1))</f>
        <v/>
      </c>
      <c r="V391" s="18" t="str">
        <f t="array" ref="V391">IF(C391="","","【服务】"&amp;IF(_xlfn.XLOOKUP(A391&amp;B391&amp;C391,盘货信息!$A:$A&amp;盘货信息!$B:$B&amp;盘货信息!$C:$C,盘货信息!$V:$V)="","",_xlfn.XLOOKUP(A391&amp;B391&amp;C391,盘货信息!$A:$A&amp;盘货信息!$B:$B&amp;盘货信息!$C:$C,盘货信息!$V:$V)&amp;"免息,")&amp;IF(_xlfn.XLOOKUP(A391&amp;B391&amp;C391,盘货信息!$A:$A&amp;盘货信息!$B:$B&amp;盘货信息!$C:$C,盘货信息!$W:$W)="","",_xlfn.XLOOKUP(A391&amp;B391&amp;C391,盘货信息!$A:$A&amp;盘货信息!$B:$B&amp;盘货信息!$C:$C,盘货信息!$W:$W)&amp;"，")&amp;"送货入户，退换免运费")</f>
        <v/>
      </c>
    </row>
    <row r="392" customHeight="1" spans="1:22">
      <c r="A392" s="17" t="str">
        <f>IF(盘货信息!A392="","",盘货信息!A392)</f>
        <v/>
      </c>
      <c r="B392" s="20" t="str">
        <f>IF(盘货信息!B392="","",盘货信息!B392)</f>
        <v/>
      </c>
      <c r="C392" s="18" t="str">
        <f>IF(盘货信息!C392="","",盘货信息!C392)</f>
        <v/>
      </c>
      <c r="D392" s="18" t="str">
        <f ca="1" t="shared" si="6"/>
        <v/>
      </c>
      <c r="E392" s="18" t="str">
        <f>IF(C392="","",固定信息!$B$2)</f>
        <v/>
      </c>
      <c r="F392" s="18" t="str">
        <f t="array" ref="F392">IF(C392="","","【"&amp;C392&amp;"】"&amp;_xlfn.XLOOKUP(A392&amp;B392&amp;C392,盘货信息!$A:$A&amp;盘货信息!$B:$B&amp;盘货信息!$C:$C,盘货信息!$D:$D))</f>
        <v/>
      </c>
      <c r="G392" s="18" t="str">
        <f>IF(C392="","","【"&amp;"活动时间："&amp;固定信息!$B$3&amp;"】")</f>
        <v/>
      </c>
      <c r="H392" s="18" t="str">
        <f>IF($C392="","",固定信息!$B$1)</f>
        <v/>
      </c>
      <c r="I392" s="18"/>
      <c r="J392" s="18" t="str">
        <f t="array" ref="J392">_xlfn.XLOOKUP(A392&amp;B392&amp;C392,价格信息!$A:$A&amp;价格信息!$B:$B&amp;价格信息!$C:$C,价格信息!$D:$D)</f>
        <v/>
      </c>
      <c r="K392" s="31" t="str">
        <f t="array" ref="K392">IF(_xlfn.XLOOKUP(A392&amp;B392&amp;C392,价格信息!$A:$A&amp;价格信息!$B:$B&amp;价格信息!$C:$C,价格信息!$I:$I)="","","【优惠券链接】"&amp;固定信息!$B$6)</f>
        <v/>
      </c>
      <c r="L392" s="31" t="str">
        <f>IF($C392="","",固定信息!$B$1)</f>
        <v/>
      </c>
      <c r="M392" s="18" t="str">
        <f t="array" ref="M392">IF(_xlfn.XLOOKUP(A392&amp;B392&amp;C392,盘货信息!$A:$A&amp;盘货信息!$B:$B&amp;盘货信息!$C:$C,盘货信息!$O:$O)="","","【优惠券】领"&amp;INDEX(_wpsfn.REGEXP(_xlfn.XLOOKUP(A392&amp;B392&amp;C392,盘货信息!$A:$A&amp;盘货信息!$B:$B&amp;盘货信息!$C:$C,盘货信息!$O:$O),"\d+"),1,1)&amp;"元优惠券下单更优惠，优惠卷："&amp;_xlfn.XLOOKUP(A392&amp;B392&amp;C392,盘货信息!$A:$A&amp;盘货信息!$B:$B&amp;盘货信息!$C:$C,盘货信息!$P:$P))</f>
        <v/>
      </c>
      <c r="N392" s="18" t="str">
        <f t="array" ref="N392">IF(AND(ISNUMBER(_xlfn.XLOOKUP(A392&amp;B392&amp;C392,盘货信息!$A:$A&amp;盘货信息!$B:$B&amp;盘货信息!$C:$C,盘货信息!$I:$I)),_xlfn.XLOOKUP(A392&amp;B392&amp;C392,盘货信息!$A:$A&amp;盘货信息!$B:$B&amp;盘货信息!$C:$C,盘货信息!$I:$I)&gt;1),"【88VIP】立减"&amp;_xlfn.XLOOKUP(A392&amp;B392&amp;C392,盘货信息!$A:$A&amp;盘货信息!$B:$B&amp;盘货信息!$C:$C,盘货信息!$I:$I)&amp;"元","")</f>
        <v/>
      </c>
      <c r="O392" s="18" t="str">
        <f t="array" ref="O392">IF(_xlfn.XLOOKUP(A392&amp;B392&amp;C392,盘货信息!$A:$A&amp;盘货信息!$B:$B&amp;盘货信息!$C:$C,盘货信息!$K:$K)="","",IF(AND(_xlfn.XLOOKUP(A392&amp;B392&amp;C392,盘货信息!$A:$A&amp;盘货信息!$B:$B&amp;盘货信息!$C:$C,盘货信息!$G:$G)="不参加",_xlfn.XLOOKUP(A392&amp;B392&amp;C392,盘货信息!$A:$A&amp;盘货信息!$B:$B&amp;盘货信息!$C:$C,盘货信息!$H:$H)=""),"【以旧换新】"&amp;_xlfn.XLOOKUP(A392&amp;B392&amp;C392,盘货信息!$A:$A&amp;盘货信息!$B:$B&amp;盘货信息!$C:$C,盘货信息!$K:$K)&amp;"元以旧换新补贴（可无旧机换新）",""))</f>
        <v/>
      </c>
      <c r="P392" s="18" t="str">
        <f t="array" ref="P392">_xlfn.XLOOKUP(A392&amp;B392&amp;C392,赠品!$A:$A&amp;赠品!$B:$B&amp;赠品!$C:$C,赠品!$D:$D)</f>
        <v/>
      </c>
      <c r="Q392" s="18" t="str">
        <f>IF($C392="","",IF(AND(M392="",N392="",P392=""),"",固定信息!$B$1))</f>
        <v/>
      </c>
      <c r="R392" s="18" t="str">
        <f t="array" ref="R392">IF(ISNUMBER(SEARCH("是",_xlfn.XLOOKUP(A392&amp;B392&amp;C392,盘货信息!$A:$A&amp;盘货信息!$B:$B&amp;盘货信息!$C:$C,盘货信息!$U:$U))),"【折扣】指定型号满2类享96折，满3类享94折","")</f>
        <v/>
      </c>
      <c r="S392" s="18" t="str">
        <f t="array" ref="S392">IF(_xlfn.XLOOKUP(A392&amp;B392&amp;C392,盘货信息!$A:$A&amp;盘货信息!$B:$B&amp;盘货信息!$C:$C,盘货信息!$Q:$Q)&lt;1,"","【红包】活动时间购机送"&amp;_xlfn.TEXTJOIN("",,IF(ISNUMBER(--MID(_xlfn.XLOOKUP(A392&amp;B392&amp;C392,盘货信息!$A:$A&amp;盘货信息!$B:$B&amp;盘货信息!$C:$C,盘货信息!$Q:$Q),_xlfn.SEQUENCE(LEN(_xlfn.XLOOKUP(A392&amp;B392&amp;C392,盘货信息!$A:$A&amp;盘货信息!$B:$B&amp;盘货信息!$C:$C,盘货信息!$Q:$Q))),1)),MID(_xlfn.XLOOKUP(A392&amp;B392&amp;C392,盘货信息!$A:$A&amp;盘货信息!$B:$B&amp;盘货信息!$C:$C,盘货信息!$Q:$Q),_xlfn.SEQUENCE(LEN(_xlfn.XLOOKUP(A392&amp;B392&amp;C392,盘货信息!$A:$A&amp;盘货信息!$B:$B&amp;盘货信息!$C:$C,盘货信息!$Q:$Q))),1),""))&amp;"元")</f>
        <v/>
      </c>
      <c r="T392" s="18" t="str">
        <f t="array" ref="T392">IF(ISNUMBER(SEARCH("是",_xlfn.XLOOKUP(A392&amp;B392&amp;C392,盘货信息!$A:$A&amp;盘货信息!$B:$B&amp;盘货信息!$C:$C,盘货信息!$T:$T))),"【瓜分】"&amp;固定信息!$B$7,"")</f>
        <v/>
      </c>
      <c r="U392" s="18" t="str">
        <f>IF($C392="","",IF(AND(R392="",S392="",T392=""),"",固定信息!$B$1))</f>
        <v/>
      </c>
      <c r="V392" s="18" t="str">
        <f t="array" ref="V392">IF(C392="","","【服务】"&amp;IF(_xlfn.XLOOKUP(A392&amp;B392&amp;C392,盘货信息!$A:$A&amp;盘货信息!$B:$B&amp;盘货信息!$C:$C,盘货信息!$V:$V)="","",_xlfn.XLOOKUP(A392&amp;B392&amp;C392,盘货信息!$A:$A&amp;盘货信息!$B:$B&amp;盘货信息!$C:$C,盘货信息!$V:$V)&amp;"免息,")&amp;IF(_xlfn.XLOOKUP(A392&amp;B392&amp;C392,盘货信息!$A:$A&amp;盘货信息!$B:$B&amp;盘货信息!$C:$C,盘货信息!$W:$W)="","",_xlfn.XLOOKUP(A392&amp;B392&amp;C392,盘货信息!$A:$A&amp;盘货信息!$B:$B&amp;盘货信息!$C:$C,盘货信息!$W:$W)&amp;"，")&amp;"送货入户，退换免运费")</f>
        <v/>
      </c>
    </row>
    <row r="393" customHeight="1" spans="1:22">
      <c r="A393" s="17" t="str">
        <f>IF(盘货信息!A393="","",盘货信息!A393)</f>
        <v/>
      </c>
      <c r="B393" s="20" t="str">
        <f>IF(盘货信息!B393="","",盘货信息!B393)</f>
        <v/>
      </c>
      <c r="C393" s="18" t="str">
        <f>IF(盘货信息!C393="","",盘货信息!C393)</f>
        <v/>
      </c>
      <c r="D393" s="18" t="str">
        <f ca="1" t="shared" si="6"/>
        <v/>
      </c>
      <c r="E393" s="18" t="str">
        <f>IF(C393="","",固定信息!$B$2)</f>
        <v/>
      </c>
      <c r="F393" s="18" t="str">
        <f t="array" ref="F393">IF(C393="","","【"&amp;C393&amp;"】"&amp;_xlfn.XLOOKUP(A393&amp;B393&amp;C393,盘货信息!$A:$A&amp;盘货信息!$B:$B&amp;盘货信息!$C:$C,盘货信息!$D:$D))</f>
        <v/>
      </c>
      <c r="G393" s="18" t="str">
        <f>IF(C393="","","【"&amp;"活动时间："&amp;固定信息!$B$3&amp;"】")</f>
        <v/>
      </c>
      <c r="H393" s="18" t="str">
        <f>IF($C393="","",固定信息!$B$1)</f>
        <v/>
      </c>
      <c r="I393" s="18"/>
      <c r="J393" s="18" t="str">
        <f t="array" ref="J393">_xlfn.XLOOKUP(A393&amp;B393&amp;C393,价格信息!$A:$A&amp;价格信息!$B:$B&amp;价格信息!$C:$C,价格信息!$D:$D)</f>
        <v/>
      </c>
      <c r="K393" s="31" t="str">
        <f t="array" ref="K393">IF(_xlfn.XLOOKUP(A393&amp;B393&amp;C393,价格信息!$A:$A&amp;价格信息!$B:$B&amp;价格信息!$C:$C,价格信息!$I:$I)="","","【优惠券链接】"&amp;固定信息!$B$6)</f>
        <v/>
      </c>
      <c r="L393" s="31" t="str">
        <f>IF($C393="","",固定信息!$B$1)</f>
        <v/>
      </c>
      <c r="M393" s="18" t="str">
        <f t="array" ref="M393">IF(_xlfn.XLOOKUP(A393&amp;B393&amp;C393,盘货信息!$A:$A&amp;盘货信息!$B:$B&amp;盘货信息!$C:$C,盘货信息!$O:$O)="","","【优惠券】领"&amp;INDEX(_wpsfn.REGEXP(_xlfn.XLOOKUP(A393&amp;B393&amp;C393,盘货信息!$A:$A&amp;盘货信息!$B:$B&amp;盘货信息!$C:$C,盘货信息!$O:$O),"\d+"),1,1)&amp;"元优惠券下单更优惠，优惠卷："&amp;_xlfn.XLOOKUP(A393&amp;B393&amp;C393,盘货信息!$A:$A&amp;盘货信息!$B:$B&amp;盘货信息!$C:$C,盘货信息!$P:$P))</f>
        <v/>
      </c>
      <c r="N393" s="18" t="str">
        <f t="array" ref="N393">IF(AND(ISNUMBER(_xlfn.XLOOKUP(A393&amp;B393&amp;C393,盘货信息!$A:$A&amp;盘货信息!$B:$B&amp;盘货信息!$C:$C,盘货信息!$I:$I)),_xlfn.XLOOKUP(A393&amp;B393&amp;C393,盘货信息!$A:$A&amp;盘货信息!$B:$B&amp;盘货信息!$C:$C,盘货信息!$I:$I)&gt;1),"【88VIP】立减"&amp;_xlfn.XLOOKUP(A393&amp;B393&amp;C393,盘货信息!$A:$A&amp;盘货信息!$B:$B&amp;盘货信息!$C:$C,盘货信息!$I:$I)&amp;"元","")</f>
        <v/>
      </c>
      <c r="O393" s="18" t="str">
        <f t="array" ref="O393">IF(_xlfn.XLOOKUP(A393&amp;B393&amp;C393,盘货信息!$A:$A&amp;盘货信息!$B:$B&amp;盘货信息!$C:$C,盘货信息!$K:$K)="","",IF(AND(_xlfn.XLOOKUP(A393&amp;B393&amp;C393,盘货信息!$A:$A&amp;盘货信息!$B:$B&amp;盘货信息!$C:$C,盘货信息!$G:$G)="不参加",_xlfn.XLOOKUP(A393&amp;B393&amp;C393,盘货信息!$A:$A&amp;盘货信息!$B:$B&amp;盘货信息!$C:$C,盘货信息!$H:$H)=""),"【以旧换新】"&amp;_xlfn.XLOOKUP(A393&amp;B393&amp;C393,盘货信息!$A:$A&amp;盘货信息!$B:$B&amp;盘货信息!$C:$C,盘货信息!$K:$K)&amp;"元以旧换新补贴（可无旧机换新）",""))</f>
        <v/>
      </c>
      <c r="P393" s="18" t="str">
        <f t="array" ref="P393">_xlfn.XLOOKUP(A393&amp;B393&amp;C393,赠品!$A:$A&amp;赠品!$B:$B&amp;赠品!$C:$C,赠品!$D:$D)</f>
        <v/>
      </c>
      <c r="Q393" s="18" t="str">
        <f>IF($C393="","",IF(AND(M393="",N393="",P393=""),"",固定信息!$B$1))</f>
        <v/>
      </c>
      <c r="R393" s="18" t="str">
        <f t="array" ref="R393">IF(ISNUMBER(SEARCH("是",_xlfn.XLOOKUP(A393&amp;B393&amp;C393,盘货信息!$A:$A&amp;盘货信息!$B:$B&amp;盘货信息!$C:$C,盘货信息!$U:$U))),"【折扣】指定型号满2类享96折，满3类享94折","")</f>
        <v/>
      </c>
      <c r="S393" s="18" t="str">
        <f t="array" ref="S393">IF(_xlfn.XLOOKUP(A393&amp;B393&amp;C393,盘货信息!$A:$A&amp;盘货信息!$B:$B&amp;盘货信息!$C:$C,盘货信息!$Q:$Q)&lt;1,"","【红包】活动时间购机送"&amp;_xlfn.TEXTJOIN("",,IF(ISNUMBER(--MID(_xlfn.XLOOKUP(A393&amp;B393&amp;C393,盘货信息!$A:$A&amp;盘货信息!$B:$B&amp;盘货信息!$C:$C,盘货信息!$Q:$Q),_xlfn.SEQUENCE(LEN(_xlfn.XLOOKUP(A393&amp;B393&amp;C393,盘货信息!$A:$A&amp;盘货信息!$B:$B&amp;盘货信息!$C:$C,盘货信息!$Q:$Q))),1)),MID(_xlfn.XLOOKUP(A393&amp;B393&amp;C393,盘货信息!$A:$A&amp;盘货信息!$B:$B&amp;盘货信息!$C:$C,盘货信息!$Q:$Q),_xlfn.SEQUENCE(LEN(_xlfn.XLOOKUP(A393&amp;B393&amp;C393,盘货信息!$A:$A&amp;盘货信息!$B:$B&amp;盘货信息!$C:$C,盘货信息!$Q:$Q))),1),""))&amp;"元")</f>
        <v/>
      </c>
      <c r="T393" s="18" t="str">
        <f t="array" ref="T393">IF(ISNUMBER(SEARCH("是",_xlfn.XLOOKUP(A393&amp;B393&amp;C393,盘货信息!$A:$A&amp;盘货信息!$B:$B&amp;盘货信息!$C:$C,盘货信息!$T:$T))),"【瓜分】"&amp;固定信息!$B$7,"")</f>
        <v/>
      </c>
      <c r="U393" s="18" t="str">
        <f>IF($C393="","",IF(AND(R393="",S393="",T393=""),"",固定信息!$B$1))</f>
        <v/>
      </c>
      <c r="V393" s="18" t="str">
        <f t="array" ref="V393">IF(C393="","","【服务】"&amp;IF(_xlfn.XLOOKUP(A393&amp;B393&amp;C393,盘货信息!$A:$A&amp;盘货信息!$B:$B&amp;盘货信息!$C:$C,盘货信息!$V:$V)="","",_xlfn.XLOOKUP(A393&amp;B393&amp;C393,盘货信息!$A:$A&amp;盘货信息!$B:$B&amp;盘货信息!$C:$C,盘货信息!$V:$V)&amp;"免息,")&amp;IF(_xlfn.XLOOKUP(A393&amp;B393&amp;C393,盘货信息!$A:$A&amp;盘货信息!$B:$B&amp;盘货信息!$C:$C,盘货信息!$W:$W)="","",_xlfn.XLOOKUP(A393&amp;B393&amp;C393,盘货信息!$A:$A&amp;盘货信息!$B:$B&amp;盘货信息!$C:$C,盘货信息!$W:$W)&amp;"，")&amp;"送货入户，退换免运费")</f>
        <v/>
      </c>
    </row>
    <row r="394" customHeight="1" spans="1:22">
      <c r="A394" s="17" t="str">
        <f>IF(盘货信息!A394="","",盘货信息!A394)</f>
        <v/>
      </c>
      <c r="B394" s="20" t="str">
        <f>IF(盘货信息!B394="","",盘货信息!B394)</f>
        <v/>
      </c>
      <c r="C394" s="18" t="str">
        <f>IF(盘货信息!C394="","",盘货信息!C394)</f>
        <v/>
      </c>
      <c r="D394" s="18" t="str">
        <f ca="1" t="shared" si="6"/>
        <v/>
      </c>
      <c r="E394" s="18" t="str">
        <f>IF(C394="","",固定信息!$B$2)</f>
        <v/>
      </c>
      <c r="F394" s="18" t="str">
        <f t="array" ref="F394">IF(C394="","","【"&amp;C394&amp;"】"&amp;_xlfn.XLOOKUP(A394&amp;B394&amp;C394,盘货信息!$A:$A&amp;盘货信息!$B:$B&amp;盘货信息!$C:$C,盘货信息!$D:$D))</f>
        <v/>
      </c>
      <c r="G394" s="18" t="str">
        <f>IF(C394="","","【"&amp;"活动时间："&amp;固定信息!$B$3&amp;"】")</f>
        <v/>
      </c>
      <c r="H394" s="18" t="str">
        <f>IF($C394="","",固定信息!$B$1)</f>
        <v/>
      </c>
      <c r="I394" s="18"/>
      <c r="J394" s="18" t="str">
        <f t="array" ref="J394">_xlfn.XLOOKUP(A394&amp;B394&amp;C394,价格信息!$A:$A&amp;价格信息!$B:$B&amp;价格信息!$C:$C,价格信息!$D:$D)</f>
        <v/>
      </c>
      <c r="K394" s="31" t="str">
        <f t="array" ref="K394">IF(_xlfn.XLOOKUP(A394&amp;B394&amp;C394,价格信息!$A:$A&amp;价格信息!$B:$B&amp;价格信息!$C:$C,价格信息!$I:$I)="","","【优惠券链接】"&amp;固定信息!$B$6)</f>
        <v/>
      </c>
      <c r="L394" s="31" t="str">
        <f>IF($C394="","",固定信息!$B$1)</f>
        <v/>
      </c>
      <c r="M394" s="18" t="str">
        <f t="array" ref="M394">IF(_xlfn.XLOOKUP(A394&amp;B394&amp;C394,盘货信息!$A:$A&amp;盘货信息!$B:$B&amp;盘货信息!$C:$C,盘货信息!$O:$O)="","","【优惠券】领"&amp;INDEX(_wpsfn.REGEXP(_xlfn.XLOOKUP(A394&amp;B394&amp;C394,盘货信息!$A:$A&amp;盘货信息!$B:$B&amp;盘货信息!$C:$C,盘货信息!$O:$O),"\d+"),1,1)&amp;"元优惠券下单更优惠，优惠卷："&amp;_xlfn.XLOOKUP(A394&amp;B394&amp;C394,盘货信息!$A:$A&amp;盘货信息!$B:$B&amp;盘货信息!$C:$C,盘货信息!$P:$P))</f>
        <v/>
      </c>
      <c r="N394" s="18" t="str">
        <f t="array" ref="N394">IF(AND(ISNUMBER(_xlfn.XLOOKUP(A394&amp;B394&amp;C394,盘货信息!$A:$A&amp;盘货信息!$B:$B&amp;盘货信息!$C:$C,盘货信息!$I:$I)),_xlfn.XLOOKUP(A394&amp;B394&amp;C394,盘货信息!$A:$A&amp;盘货信息!$B:$B&amp;盘货信息!$C:$C,盘货信息!$I:$I)&gt;1),"【88VIP】立减"&amp;_xlfn.XLOOKUP(A394&amp;B394&amp;C394,盘货信息!$A:$A&amp;盘货信息!$B:$B&amp;盘货信息!$C:$C,盘货信息!$I:$I)&amp;"元","")</f>
        <v/>
      </c>
      <c r="O394" s="18" t="str">
        <f t="array" ref="O394">IF(_xlfn.XLOOKUP(A394&amp;B394&amp;C394,盘货信息!$A:$A&amp;盘货信息!$B:$B&amp;盘货信息!$C:$C,盘货信息!$K:$K)="","",IF(AND(_xlfn.XLOOKUP(A394&amp;B394&amp;C394,盘货信息!$A:$A&amp;盘货信息!$B:$B&amp;盘货信息!$C:$C,盘货信息!$G:$G)="不参加",_xlfn.XLOOKUP(A394&amp;B394&amp;C394,盘货信息!$A:$A&amp;盘货信息!$B:$B&amp;盘货信息!$C:$C,盘货信息!$H:$H)=""),"【以旧换新】"&amp;_xlfn.XLOOKUP(A394&amp;B394&amp;C394,盘货信息!$A:$A&amp;盘货信息!$B:$B&amp;盘货信息!$C:$C,盘货信息!$K:$K)&amp;"元以旧换新补贴（可无旧机换新）",""))</f>
        <v/>
      </c>
      <c r="P394" s="18" t="str">
        <f t="array" ref="P394">_xlfn.XLOOKUP(A394&amp;B394&amp;C394,赠品!$A:$A&amp;赠品!$B:$B&amp;赠品!$C:$C,赠品!$D:$D)</f>
        <v/>
      </c>
      <c r="Q394" s="18" t="str">
        <f>IF($C394="","",IF(AND(M394="",N394="",P394=""),"",固定信息!$B$1))</f>
        <v/>
      </c>
      <c r="R394" s="18" t="str">
        <f t="array" ref="R394">IF(ISNUMBER(SEARCH("是",_xlfn.XLOOKUP(A394&amp;B394&amp;C394,盘货信息!$A:$A&amp;盘货信息!$B:$B&amp;盘货信息!$C:$C,盘货信息!$U:$U))),"【折扣】指定型号满2类享96折，满3类享94折","")</f>
        <v/>
      </c>
      <c r="S394" s="18" t="str">
        <f t="array" ref="S394">IF(_xlfn.XLOOKUP(A394&amp;B394&amp;C394,盘货信息!$A:$A&amp;盘货信息!$B:$B&amp;盘货信息!$C:$C,盘货信息!$Q:$Q)&lt;1,"","【红包】活动时间购机送"&amp;_xlfn.TEXTJOIN("",,IF(ISNUMBER(--MID(_xlfn.XLOOKUP(A394&amp;B394&amp;C394,盘货信息!$A:$A&amp;盘货信息!$B:$B&amp;盘货信息!$C:$C,盘货信息!$Q:$Q),_xlfn.SEQUENCE(LEN(_xlfn.XLOOKUP(A394&amp;B394&amp;C394,盘货信息!$A:$A&amp;盘货信息!$B:$B&amp;盘货信息!$C:$C,盘货信息!$Q:$Q))),1)),MID(_xlfn.XLOOKUP(A394&amp;B394&amp;C394,盘货信息!$A:$A&amp;盘货信息!$B:$B&amp;盘货信息!$C:$C,盘货信息!$Q:$Q),_xlfn.SEQUENCE(LEN(_xlfn.XLOOKUP(A394&amp;B394&amp;C394,盘货信息!$A:$A&amp;盘货信息!$B:$B&amp;盘货信息!$C:$C,盘货信息!$Q:$Q))),1),""))&amp;"元")</f>
        <v/>
      </c>
      <c r="T394" s="18" t="str">
        <f t="array" ref="T394">IF(ISNUMBER(SEARCH("是",_xlfn.XLOOKUP(A394&amp;B394&amp;C394,盘货信息!$A:$A&amp;盘货信息!$B:$B&amp;盘货信息!$C:$C,盘货信息!$T:$T))),"【瓜分】"&amp;固定信息!$B$7,"")</f>
        <v/>
      </c>
      <c r="U394" s="18" t="str">
        <f>IF($C394="","",IF(AND(R394="",S394="",T394=""),"",固定信息!$B$1))</f>
        <v/>
      </c>
      <c r="V394" s="18" t="str">
        <f t="array" ref="V394">IF(C394="","","【服务】"&amp;IF(_xlfn.XLOOKUP(A394&amp;B394&amp;C394,盘货信息!$A:$A&amp;盘货信息!$B:$B&amp;盘货信息!$C:$C,盘货信息!$V:$V)="","",_xlfn.XLOOKUP(A394&amp;B394&amp;C394,盘货信息!$A:$A&amp;盘货信息!$B:$B&amp;盘货信息!$C:$C,盘货信息!$V:$V)&amp;"免息,")&amp;IF(_xlfn.XLOOKUP(A394&amp;B394&amp;C394,盘货信息!$A:$A&amp;盘货信息!$B:$B&amp;盘货信息!$C:$C,盘货信息!$W:$W)="","",_xlfn.XLOOKUP(A394&amp;B394&amp;C394,盘货信息!$A:$A&amp;盘货信息!$B:$B&amp;盘货信息!$C:$C,盘货信息!$W:$W)&amp;"，")&amp;"送货入户，退换免运费")</f>
        <v/>
      </c>
    </row>
    <row r="395" customHeight="1" spans="1:22">
      <c r="A395" s="17" t="str">
        <f>IF(盘货信息!A395="","",盘货信息!A395)</f>
        <v/>
      </c>
      <c r="B395" s="20" t="str">
        <f>IF(盘货信息!B395="","",盘货信息!B395)</f>
        <v/>
      </c>
      <c r="C395" s="18" t="str">
        <f>IF(盘货信息!C395="","",盘货信息!C395)</f>
        <v/>
      </c>
      <c r="D395" s="18" t="str">
        <f ca="1" t="shared" si="6"/>
        <v/>
      </c>
      <c r="E395" s="18" t="str">
        <f>IF(C395="","",固定信息!$B$2)</f>
        <v/>
      </c>
      <c r="F395" s="18" t="str">
        <f t="array" ref="F395">IF(C395="","","【"&amp;C395&amp;"】"&amp;_xlfn.XLOOKUP(A395&amp;B395&amp;C395,盘货信息!$A:$A&amp;盘货信息!$B:$B&amp;盘货信息!$C:$C,盘货信息!$D:$D))</f>
        <v/>
      </c>
      <c r="G395" s="18" t="str">
        <f>IF(C395="","","【"&amp;"活动时间："&amp;固定信息!$B$3&amp;"】")</f>
        <v/>
      </c>
      <c r="H395" s="18" t="str">
        <f>IF($C395="","",固定信息!$B$1)</f>
        <v/>
      </c>
      <c r="I395" s="18"/>
      <c r="J395" s="18" t="str">
        <f t="array" ref="J395">_xlfn.XLOOKUP(A395&amp;B395&amp;C395,价格信息!$A:$A&amp;价格信息!$B:$B&amp;价格信息!$C:$C,价格信息!$D:$D)</f>
        <v/>
      </c>
      <c r="K395" s="31" t="str">
        <f t="array" ref="K395">IF(_xlfn.XLOOKUP(A395&amp;B395&amp;C395,价格信息!$A:$A&amp;价格信息!$B:$B&amp;价格信息!$C:$C,价格信息!$I:$I)="","","【优惠券链接】"&amp;固定信息!$B$6)</f>
        <v/>
      </c>
      <c r="L395" s="31" t="str">
        <f>IF($C395="","",固定信息!$B$1)</f>
        <v/>
      </c>
      <c r="M395" s="18" t="str">
        <f t="array" ref="M395">IF(_xlfn.XLOOKUP(A395&amp;B395&amp;C395,盘货信息!$A:$A&amp;盘货信息!$B:$B&amp;盘货信息!$C:$C,盘货信息!$O:$O)="","","【优惠券】领"&amp;INDEX(_wpsfn.REGEXP(_xlfn.XLOOKUP(A395&amp;B395&amp;C395,盘货信息!$A:$A&amp;盘货信息!$B:$B&amp;盘货信息!$C:$C,盘货信息!$O:$O),"\d+"),1,1)&amp;"元优惠券下单更优惠，优惠卷："&amp;_xlfn.XLOOKUP(A395&amp;B395&amp;C395,盘货信息!$A:$A&amp;盘货信息!$B:$B&amp;盘货信息!$C:$C,盘货信息!$P:$P))</f>
        <v/>
      </c>
      <c r="N395" s="18" t="str">
        <f t="array" ref="N395">IF(AND(ISNUMBER(_xlfn.XLOOKUP(A395&amp;B395&amp;C395,盘货信息!$A:$A&amp;盘货信息!$B:$B&amp;盘货信息!$C:$C,盘货信息!$I:$I)),_xlfn.XLOOKUP(A395&amp;B395&amp;C395,盘货信息!$A:$A&amp;盘货信息!$B:$B&amp;盘货信息!$C:$C,盘货信息!$I:$I)&gt;1),"【88VIP】立减"&amp;_xlfn.XLOOKUP(A395&amp;B395&amp;C395,盘货信息!$A:$A&amp;盘货信息!$B:$B&amp;盘货信息!$C:$C,盘货信息!$I:$I)&amp;"元","")</f>
        <v/>
      </c>
      <c r="O395" s="18" t="str">
        <f t="array" ref="O395">IF(_xlfn.XLOOKUP(A395&amp;B395&amp;C395,盘货信息!$A:$A&amp;盘货信息!$B:$B&amp;盘货信息!$C:$C,盘货信息!$K:$K)="","",IF(AND(_xlfn.XLOOKUP(A395&amp;B395&amp;C395,盘货信息!$A:$A&amp;盘货信息!$B:$B&amp;盘货信息!$C:$C,盘货信息!$G:$G)="不参加",_xlfn.XLOOKUP(A395&amp;B395&amp;C395,盘货信息!$A:$A&amp;盘货信息!$B:$B&amp;盘货信息!$C:$C,盘货信息!$H:$H)=""),"【以旧换新】"&amp;_xlfn.XLOOKUP(A395&amp;B395&amp;C395,盘货信息!$A:$A&amp;盘货信息!$B:$B&amp;盘货信息!$C:$C,盘货信息!$K:$K)&amp;"元以旧换新补贴（可无旧机换新）",""))</f>
        <v/>
      </c>
      <c r="P395" s="18" t="str">
        <f t="array" ref="P395">_xlfn.XLOOKUP(A395&amp;B395&amp;C395,赠品!$A:$A&amp;赠品!$B:$B&amp;赠品!$C:$C,赠品!$D:$D)</f>
        <v/>
      </c>
      <c r="Q395" s="18" t="str">
        <f>IF($C395="","",IF(AND(M395="",N395="",P395=""),"",固定信息!$B$1))</f>
        <v/>
      </c>
      <c r="R395" s="18" t="str">
        <f t="array" ref="R395">IF(ISNUMBER(SEARCH("是",_xlfn.XLOOKUP(A395&amp;B395&amp;C395,盘货信息!$A:$A&amp;盘货信息!$B:$B&amp;盘货信息!$C:$C,盘货信息!$U:$U))),"【折扣】指定型号满2类享96折，满3类享94折","")</f>
        <v/>
      </c>
      <c r="S395" s="18" t="str">
        <f t="array" ref="S395">IF(_xlfn.XLOOKUP(A395&amp;B395&amp;C395,盘货信息!$A:$A&amp;盘货信息!$B:$B&amp;盘货信息!$C:$C,盘货信息!$Q:$Q)&lt;1,"","【红包】活动时间购机送"&amp;_xlfn.TEXTJOIN("",,IF(ISNUMBER(--MID(_xlfn.XLOOKUP(A395&amp;B395&amp;C395,盘货信息!$A:$A&amp;盘货信息!$B:$B&amp;盘货信息!$C:$C,盘货信息!$Q:$Q),_xlfn.SEQUENCE(LEN(_xlfn.XLOOKUP(A395&amp;B395&amp;C395,盘货信息!$A:$A&amp;盘货信息!$B:$B&amp;盘货信息!$C:$C,盘货信息!$Q:$Q))),1)),MID(_xlfn.XLOOKUP(A395&amp;B395&amp;C395,盘货信息!$A:$A&amp;盘货信息!$B:$B&amp;盘货信息!$C:$C,盘货信息!$Q:$Q),_xlfn.SEQUENCE(LEN(_xlfn.XLOOKUP(A395&amp;B395&amp;C395,盘货信息!$A:$A&amp;盘货信息!$B:$B&amp;盘货信息!$C:$C,盘货信息!$Q:$Q))),1),""))&amp;"元")</f>
        <v/>
      </c>
      <c r="T395" s="18" t="str">
        <f t="array" ref="T395">IF(ISNUMBER(SEARCH("是",_xlfn.XLOOKUP(A395&amp;B395&amp;C395,盘货信息!$A:$A&amp;盘货信息!$B:$B&amp;盘货信息!$C:$C,盘货信息!$T:$T))),"【瓜分】"&amp;固定信息!$B$7,"")</f>
        <v/>
      </c>
      <c r="U395" s="18" t="str">
        <f>IF($C395="","",IF(AND(R395="",S395="",T395=""),"",固定信息!$B$1))</f>
        <v/>
      </c>
      <c r="V395" s="18" t="str">
        <f t="array" ref="V395">IF(C395="","","【服务】"&amp;IF(_xlfn.XLOOKUP(A395&amp;B395&amp;C395,盘货信息!$A:$A&amp;盘货信息!$B:$B&amp;盘货信息!$C:$C,盘货信息!$V:$V)="","",_xlfn.XLOOKUP(A395&amp;B395&amp;C395,盘货信息!$A:$A&amp;盘货信息!$B:$B&amp;盘货信息!$C:$C,盘货信息!$V:$V)&amp;"免息,")&amp;IF(_xlfn.XLOOKUP(A395&amp;B395&amp;C395,盘货信息!$A:$A&amp;盘货信息!$B:$B&amp;盘货信息!$C:$C,盘货信息!$W:$W)="","",_xlfn.XLOOKUP(A395&amp;B395&amp;C395,盘货信息!$A:$A&amp;盘货信息!$B:$B&amp;盘货信息!$C:$C,盘货信息!$W:$W)&amp;"，")&amp;"送货入户，退换免运费")</f>
        <v/>
      </c>
    </row>
    <row r="396" customHeight="1" spans="1:22">
      <c r="A396" s="17" t="str">
        <f>IF(盘货信息!A396="","",盘货信息!A396)</f>
        <v/>
      </c>
      <c r="B396" s="20" t="str">
        <f>IF(盘货信息!B396="","",盘货信息!B396)</f>
        <v/>
      </c>
      <c r="C396" s="18" t="str">
        <f>IF(盘货信息!C396="","",盘货信息!C396)</f>
        <v/>
      </c>
      <c r="D396" s="18" t="str">
        <f ca="1" t="shared" si="6"/>
        <v/>
      </c>
      <c r="E396" s="18" t="str">
        <f>IF(C396="","",固定信息!$B$2)</f>
        <v/>
      </c>
      <c r="F396" s="18" t="str">
        <f t="array" ref="F396">IF(C396="","","【"&amp;C396&amp;"】"&amp;_xlfn.XLOOKUP(A396&amp;B396&amp;C396,盘货信息!$A:$A&amp;盘货信息!$B:$B&amp;盘货信息!$C:$C,盘货信息!$D:$D))</f>
        <v/>
      </c>
      <c r="G396" s="18" t="str">
        <f>IF(C396="","","【"&amp;"活动时间："&amp;固定信息!$B$3&amp;"】")</f>
        <v/>
      </c>
      <c r="H396" s="18" t="str">
        <f>IF($C396="","",固定信息!$B$1)</f>
        <v/>
      </c>
      <c r="I396" s="18"/>
      <c r="J396" s="18" t="str">
        <f t="array" ref="J396">_xlfn.XLOOKUP(A396&amp;B396&amp;C396,价格信息!$A:$A&amp;价格信息!$B:$B&amp;价格信息!$C:$C,价格信息!$D:$D)</f>
        <v/>
      </c>
      <c r="K396" s="31" t="str">
        <f t="array" ref="K396">IF(_xlfn.XLOOKUP(A396&amp;B396&amp;C396,价格信息!$A:$A&amp;价格信息!$B:$B&amp;价格信息!$C:$C,价格信息!$I:$I)="","","【优惠券链接】"&amp;固定信息!$B$6)</f>
        <v/>
      </c>
      <c r="L396" s="31" t="str">
        <f>IF($C396="","",固定信息!$B$1)</f>
        <v/>
      </c>
      <c r="M396" s="18" t="str">
        <f t="array" ref="M396">IF(_xlfn.XLOOKUP(A396&amp;B396&amp;C396,盘货信息!$A:$A&amp;盘货信息!$B:$B&amp;盘货信息!$C:$C,盘货信息!$O:$O)="","","【优惠券】领"&amp;INDEX(_wpsfn.REGEXP(_xlfn.XLOOKUP(A396&amp;B396&amp;C396,盘货信息!$A:$A&amp;盘货信息!$B:$B&amp;盘货信息!$C:$C,盘货信息!$O:$O),"\d+"),1,1)&amp;"元优惠券下单更优惠，优惠卷："&amp;_xlfn.XLOOKUP(A396&amp;B396&amp;C396,盘货信息!$A:$A&amp;盘货信息!$B:$B&amp;盘货信息!$C:$C,盘货信息!$P:$P))</f>
        <v/>
      </c>
      <c r="N396" s="18" t="str">
        <f t="array" ref="N396">IF(AND(ISNUMBER(_xlfn.XLOOKUP(A396&amp;B396&amp;C396,盘货信息!$A:$A&amp;盘货信息!$B:$B&amp;盘货信息!$C:$C,盘货信息!$I:$I)),_xlfn.XLOOKUP(A396&amp;B396&amp;C396,盘货信息!$A:$A&amp;盘货信息!$B:$B&amp;盘货信息!$C:$C,盘货信息!$I:$I)&gt;1),"【88VIP】立减"&amp;_xlfn.XLOOKUP(A396&amp;B396&amp;C396,盘货信息!$A:$A&amp;盘货信息!$B:$B&amp;盘货信息!$C:$C,盘货信息!$I:$I)&amp;"元","")</f>
        <v/>
      </c>
      <c r="O396" s="18" t="str">
        <f t="array" ref="O396">IF(_xlfn.XLOOKUP(A396&amp;B396&amp;C396,盘货信息!$A:$A&amp;盘货信息!$B:$B&amp;盘货信息!$C:$C,盘货信息!$K:$K)="","",IF(AND(_xlfn.XLOOKUP(A396&amp;B396&amp;C396,盘货信息!$A:$A&amp;盘货信息!$B:$B&amp;盘货信息!$C:$C,盘货信息!$G:$G)="不参加",_xlfn.XLOOKUP(A396&amp;B396&amp;C396,盘货信息!$A:$A&amp;盘货信息!$B:$B&amp;盘货信息!$C:$C,盘货信息!$H:$H)=""),"【以旧换新】"&amp;_xlfn.XLOOKUP(A396&amp;B396&amp;C396,盘货信息!$A:$A&amp;盘货信息!$B:$B&amp;盘货信息!$C:$C,盘货信息!$K:$K)&amp;"元以旧换新补贴（可无旧机换新）",""))</f>
        <v/>
      </c>
      <c r="P396" s="18" t="str">
        <f t="array" ref="P396">_xlfn.XLOOKUP(A396&amp;B396&amp;C396,赠品!$A:$A&amp;赠品!$B:$B&amp;赠品!$C:$C,赠品!$D:$D)</f>
        <v/>
      </c>
      <c r="Q396" s="18" t="str">
        <f>IF($C396="","",IF(AND(M396="",N396="",P396=""),"",固定信息!$B$1))</f>
        <v/>
      </c>
      <c r="R396" s="18" t="str">
        <f t="array" ref="R396">IF(ISNUMBER(SEARCH("是",_xlfn.XLOOKUP(A396&amp;B396&amp;C396,盘货信息!$A:$A&amp;盘货信息!$B:$B&amp;盘货信息!$C:$C,盘货信息!$U:$U))),"【折扣】指定型号满2类享96折，满3类享94折","")</f>
        <v/>
      </c>
      <c r="S396" s="18" t="str">
        <f t="array" ref="S396">IF(_xlfn.XLOOKUP(A396&amp;B396&amp;C396,盘货信息!$A:$A&amp;盘货信息!$B:$B&amp;盘货信息!$C:$C,盘货信息!$Q:$Q)&lt;1,"","【红包】活动时间购机送"&amp;_xlfn.TEXTJOIN("",,IF(ISNUMBER(--MID(_xlfn.XLOOKUP(A396&amp;B396&amp;C396,盘货信息!$A:$A&amp;盘货信息!$B:$B&amp;盘货信息!$C:$C,盘货信息!$Q:$Q),_xlfn.SEQUENCE(LEN(_xlfn.XLOOKUP(A396&amp;B396&amp;C396,盘货信息!$A:$A&amp;盘货信息!$B:$B&amp;盘货信息!$C:$C,盘货信息!$Q:$Q))),1)),MID(_xlfn.XLOOKUP(A396&amp;B396&amp;C396,盘货信息!$A:$A&amp;盘货信息!$B:$B&amp;盘货信息!$C:$C,盘货信息!$Q:$Q),_xlfn.SEQUENCE(LEN(_xlfn.XLOOKUP(A396&amp;B396&amp;C396,盘货信息!$A:$A&amp;盘货信息!$B:$B&amp;盘货信息!$C:$C,盘货信息!$Q:$Q))),1),""))&amp;"元")</f>
        <v/>
      </c>
      <c r="T396" s="18" t="str">
        <f t="array" ref="T396">IF(ISNUMBER(SEARCH("是",_xlfn.XLOOKUP(A396&amp;B396&amp;C396,盘货信息!$A:$A&amp;盘货信息!$B:$B&amp;盘货信息!$C:$C,盘货信息!$T:$T))),"【瓜分】"&amp;固定信息!$B$7,"")</f>
        <v/>
      </c>
      <c r="U396" s="18" t="str">
        <f>IF($C396="","",IF(AND(R396="",S396="",T396=""),"",固定信息!$B$1))</f>
        <v/>
      </c>
      <c r="V396" s="18" t="str">
        <f t="array" ref="V396">IF(C396="","","【服务】"&amp;IF(_xlfn.XLOOKUP(A396&amp;B396&amp;C396,盘货信息!$A:$A&amp;盘货信息!$B:$B&amp;盘货信息!$C:$C,盘货信息!$V:$V)="","",_xlfn.XLOOKUP(A396&amp;B396&amp;C396,盘货信息!$A:$A&amp;盘货信息!$B:$B&amp;盘货信息!$C:$C,盘货信息!$V:$V)&amp;"免息,")&amp;IF(_xlfn.XLOOKUP(A396&amp;B396&amp;C396,盘货信息!$A:$A&amp;盘货信息!$B:$B&amp;盘货信息!$C:$C,盘货信息!$W:$W)="","",_xlfn.XLOOKUP(A396&amp;B396&amp;C396,盘货信息!$A:$A&amp;盘货信息!$B:$B&amp;盘货信息!$C:$C,盘货信息!$W:$W)&amp;"，")&amp;"送货入户，退换免运费")</f>
        <v/>
      </c>
    </row>
    <row r="397" customHeight="1" spans="1:22">
      <c r="A397" s="17" t="str">
        <f>IF(盘货信息!A397="","",盘货信息!A397)</f>
        <v/>
      </c>
      <c r="B397" s="20" t="str">
        <f>IF(盘货信息!B397="","",盘货信息!B397)</f>
        <v/>
      </c>
      <c r="C397" s="18" t="str">
        <f>IF(盘货信息!C397="","",盘货信息!C397)</f>
        <v/>
      </c>
      <c r="D397" s="18" t="str">
        <f ca="1" t="shared" si="6"/>
        <v/>
      </c>
      <c r="E397" s="18" t="str">
        <f>IF(C397="","",固定信息!$B$2)</f>
        <v/>
      </c>
      <c r="F397" s="18" t="str">
        <f t="array" ref="F397">IF(C397="","","【"&amp;C397&amp;"】"&amp;_xlfn.XLOOKUP(A397&amp;B397&amp;C397,盘货信息!$A:$A&amp;盘货信息!$B:$B&amp;盘货信息!$C:$C,盘货信息!$D:$D))</f>
        <v/>
      </c>
      <c r="G397" s="18" t="str">
        <f>IF(C397="","","【"&amp;"活动时间："&amp;固定信息!$B$3&amp;"】")</f>
        <v/>
      </c>
      <c r="H397" s="18" t="str">
        <f>IF($C397="","",固定信息!$B$1)</f>
        <v/>
      </c>
      <c r="I397" s="18"/>
      <c r="J397" s="18" t="str">
        <f t="array" ref="J397">_xlfn.XLOOKUP(A397&amp;B397&amp;C397,价格信息!$A:$A&amp;价格信息!$B:$B&amp;价格信息!$C:$C,价格信息!$D:$D)</f>
        <v/>
      </c>
      <c r="K397" s="31" t="str">
        <f t="array" ref="K397">IF(_xlfn.XLOOKUP(A397&amp;B397&amp;C397,价格信息!$A:$A&amp;价格信息!$B:$B&amp;价格信息!$C:$C,价格信息!$I:$I)="","","【优惠券链接】"&amp;固定信息!$B$6)</f>
        <v/>
      </c>
      <c r="L397" s="31" t="str">
        <f>IF($C397="","",固定信息!$B$1)</f>
        <v/>
      </c>
      <c r="M397" s="18" t="str">
        <f t="array" ref="M397">IF(_xlfn.XLOOKUP(A397&amp;B397&amp;C397,盘货信息!$A:$A&amp;盘货信息!$B:$B&amp;盘货信息!$C:$C,盘货信息!$O:$O)="","","【优惠券】领"&amp;INDEX(_wpsfn.REGEXP(_xlfn.XLOOKUP(A397&amp;B397&amp;C397,盘货信息!$A:$A&amp;盘货信息!$B:$B&amp;盘货信息!$C:$C,盘货信息!$O:$O),"\d+"),1,1)&amp;"元优惠券下单更优惠，优惠卷："&amp;_xlfn.XLOOKUP(A397&amp;B397&amp;C397,盘货信息!$A:$A&amp;盘货信息!$B:$B&amp;盘货信息!$C:$C,盘货信息!$P:$P))</f>
        <v/>
      </c>
      <c r="N397" s="18" t="str">
        <f t="array" ref="N397">IF(AND(ISNUMBER(_xlfn.XLOOKUP(A397&amp;B397&amp;C397,盘货信息!$A:$A&amp;盘货信息!$B:$B&amp;盘货信息!$C:$C,盘货信息!$I:$I)),_xlfn.XLOOKUP(A397&amp;B397&amp;C397,盘货信息!$A:$A&amp;盘货信息!$B:$B&amp;盘货信息!$C:$C,盘货信息!$I:$I)&gt;1),"【88VIP】立减"&amp;_xlfn.XLOOKUP(A397&amp;B397&amp;C397,盘货信息!$A:$A&amp;盘货信息!$B:$B&amp;盘货信息!$C:$C,盘货信息!$I:$I)&amp;"元","")</f>
        <v/>
      </c>
      <c r="O397" s="18" t="str">
        <f t="array" ref="O397">IF(_xlfn.XLOOKUP(A397&amp;B397&amp;C397,盘货信息!$A:$A&amp;盘货信息!$B:$B&amp;盘货信息!$C:$C,盘货信息!$K:$K)="","",IF(AND(_xlfn.XLOOKUP(A397&amp;B397&amp;C397,盘货信息!$A:$A&amp;盘货信息!$B:$B&amp;盘货信息!$C:$C,盘货信息!$G:$G)="不参加",_xlfn.XLOOKUP(A397&amp;B397&amp;C397,盘货信息!$A:$A&amp;盘货信息!$B:$B&amp;盘货信息!$C:$C,盘货信息!$H:$H)=""),"【以旧换新】"&amp;_xlfn.XLOOKUP(A397&amp;B397&amp;C397,盘货信息!$A:$A&amp;盘货信息!$B:$B&amp;盘货信息!$C:$C,盘货信息!$K:$K)&amp;"元以旧换新补贴（可无旧机换新）",""))</f>
        <v/>
      </c>
      <c r="P397" s="18" t="str">
        <f t="array" ref="P397">_xlfn.XLOOKUP(A397&amp;B397&amp;C397,赠品!$A:$A&amp;赠品!$B:$B&amp;赠品!$C:$C,赠品!$D:$D)</f>
        <v/>
      </c>
      <c r="Q397" s="18" t="str">
        <f>IF($C397="","",IF(AND(M397="",N397="",P397=""),"",固定信息!$B$1))</f>
        <v/>
      </c>
      <c r="R397" s="18" t="str">
        <f t="array" ref="R397">IF(ISNUMBER(SEARCH("是",_xlfn.XLOOKUP(A397&amp;B397&amp;C397,盘货信息!$A:$A&amp;盘货信息!$B:$B&amp;盘货信息!$C:$C,盘货信息!$U:$U))),"【折扣】指定型号满2类享96折，满3类享94折","")</f>
        <v/>
      </c>
      <c r="S397" s="18" t="str">
        <f t="array" ref="S397">IF(_xlfn.XLOOKUP(A397&amp;B397&amp;C397,盘货信息!$A:$A&amp;盘货信息!$B:$B&amp;盘货信息!$C:$C,盘货信息!$Q:$Q)&lt;1,"","【红包】活动时间购机送"&amp;_xlfn.TEXTJOIN("",,IF(ISNUMBER(--MID(_xlfn.XLOOKUP(A397&amp;B397&amp;C397,盘货信息!$A:$A&amp;盘货信息!$B:$B&amp;盘货信息!$C:$C,盘货信息!$Q:$Q),_xlfn.SEQUENCE(LEN(_xlfn.XLOOKUP(A397&amp;B397&amp;C397,盘货信息!$A:$A&amp;盘货信息!$B:$B&amp;盘货信息!$C:$C,盘货信息!$Q:$Q))),1)),MID(_xlfn.XLOOKUP(A397&amp;B397&amp;C397,盘货信息!$A:$A&amp;盘货信息!$B:$B&amp;盘货信息!$C:$C,盘货信息!$Q:$Q),_xlfn.SEQUENCE(LEN(_xlfn.XLOOKUP(A397&amp;B397&amp;C397,盘货信息!$A:$A&amp;盘货信息!$B:$B&amp;盘货信息!$C:$C,盘货信息!$Q:$Q))),1),""))&amp;"元")</f>
        <v/>
      </c>
      <c r="T397" s="18" t="str">
        <f t="array" ref="T397">IF(ISNUMBER(SEARCH("是",_xlfn.XLOOKUP(A397&amp;B397&amp;C397,盘货信息!$A:$A&amp;盘货信息!$B:$B&amp;盘货信息!$C:$C,盘货信息!$T:$T))),"【瓜分】"&amp;固定信息!$B$7,"")</f>
        <v/>
      </c>
      <c r="U397" s="18" t="str">
        <f>IF($C397="","",IF(AND(R397="",S397="",T397=""),"",固定信息!$B$1))</f>
        <v/>
      </c>
      <c r="V397" s="18" t="str">
        <f t="array" ref="V397">IF(C397="","","【服务】"&amp;IF(_xlfn.XLOOKUP(A397&amp;B397&amp;C397,盘货信息!$A:$A&amp;盘货信息!$B:$B&amp;盘货信息!$C:$C,盘货信息!$V:$V)="","",_xlfn.XLOOKUP(A397&amp;B397&amp;C397,盘货信息!$A:$A&amp;盘货信息!$B:$B&amp;盘货信息!$C:$C,盘货信息!$V:$V)&amp;"免息,")&amp;IF(_xlfn.XLOOKUP(A397&amp;B397&amp;C397,盘货信息!$A:$A&amp;盘货信息!$B:$B&amp;盘货信息!$C:$C,盘货信息!$W:$W)="","",_xlfn.XLOOKUP(A397&amp;B397&amp;C397,盘货信息!$A:$A&amp;盘货信息!$B:$B&amp;盘货信息!$C:$C,盘货信息!$W:$W)&amp;"，")&amp;"送货入户，退换免运费")</f>
        <v/>
      </c>
    </row>
    <row r="398" customHeight="1" spans="1:22">
      <c r="A398" s="17" t="str">
        <f>IF(盘货信息!A398="","",盘货信息!A398)</f>
        <v/>
      </c>
      <c r="B398" s="20" t="str">
        <f>IF(盘货信息!B398="","",盘货信息!B398)</f>
        <v/>
      </c>
      <c r="C398" s="18" t="str">
        <f>IF(盘货信息!C398="","",盘货信息!C398)</f>
        <v/>
      </c>
      <c r="D398" s="18" t="str">
        <f ca="1" t="shared" si="6"/>
        <v/>
      </c>
      <c r="E398" s="18" t="str">
        <f>IF(C398="","",固定信息!$B$2)</f>
        <v/>
      </c>
      <c r="F398" s="18" t="str">
        <f t="array" ref="F398">IF(C398="","","【"&amp;C398&amp;"】"&amp;_xlfn.XLOOKUP(A398&amp;B398&amp;C398,盘货信息!$A:$A&amp;盘货信息!$B:$B&amp;盘货信息!$C:$C,盘货信息!$D:$D))</f>
        <v/>
      </c>
      <c r="G398" s="18" t="str">
        <f>IF(C398="","","【"&amp;"活动时间："&amp;固定信息!$B$3&amp;"】")</f>
        <v/>
      </c>
      <c r="H398" s="18" t="str">
        <f>IF($C398="","",固定信息!$B$1)</f>
        <v/>
      </c>
      <c r="I398" s="18"/>
      <c r="J398" s="18" t="str">
        <f t="array" ref="J398">_xlfn.XLOOKUP(A398&amp;B398&amp;C398,价格信息!$A:$A&amp;价格信息!$B:$B&amp;价格信息!$C:$C,价格信息!$D:$D)</f>
        <v/>
      </c>
      <c r="K398" s="31" t="str">
        <f t="array" ref="K398">IF(_xlfn.XLOOKUP(A398&amp;B398&amp;C398,价格信息!$A:$A&amp;价格信息!$B:$B&amp;价格信息!$C:$C,价格信息!$I:$I)="","","【优惠券链接】"&amp;固定信息!$B$6)</f>
        <v/>
      </c>
      <c r="L398" s="31" t="str">
        <f>IF($C398="","",固定信息!$B$1)</f>
        <v/>
      </c>
      <c r="M398" s="18" t="str">
        <f t="array" ref="M398">IF(_xlfn.XLOOKUP(A398&amp;B398&amp;C398,盘货信息!$A:$A&amp;盘货信息!$B:$B&amp;盘货信息!$C:$C,盘货信息!$O:$O)="","","【优惠券】领"&amp;INDEX(_wpsfn.REGEXP(_xlfn.XLOOKUP(A398&amp;B398&amp;C398,盘货信息!$A:$A&amp;盘货信息!$B:$B&amp;盘货信息!$C:$C,盘货信息!$O:$O),"\d+"),1,1)&amp;"元优惠券下单更优惠，优惠卷："&amp;_xlfn.XLOOKUP(A398&amp;B398&amp;C398,盘货信息!$A:$A&amp;盘货信息!$B:$B&amp;盘货信息!$C:$C,盘货信息!$P:$P))</f>
        <v/>
      </c>
      <c r="N398" s="18" t="str">
        <f t="array" ref="N398">IF(AND(ISNUMBER(_xlfn.XLOOKUP(A398&amp;B398&amp;C398,盘货信息!$A:$A&amp;盘货信息!$B:$B&amp;盘货信息!$C:$C,盘货信息!$I:$I)),_xlfn.XLOOKUP(A398&amp;B398&amp;C398,盘货信息!$A:$A&amp;盘货信息!$B:$B&amp;盘货信息!$C:$C,盘货信息!$I:$I)&gt;1),"【88VIP】立减"&amp;_xlfn.XLOOKUP(A398&amp;B398&amp;C398,盘货信息!$A:$A&amp;盘货信息!$B:$B&amp;盘货信息!$C:$C,盘货信息!$I:$I)&amp;"元","")</f>
        <v/>
      </c>
      <c r="O398" s="18" t="str">
        <f t="array" ref="O398">IF(_xlfn.XLOOKUP(A398&amp;B398&amp;C398,盘货信息!$A:$A&amp;盘货信息!$B:$B&amp;盘货信息!$C:$C,盘货信息!$K:$K)="","",IF(AND(_xlfn.XLOOKUP(A398&amp;B398&amp;C398,盘货信息!$A:$A&amp;盘货信息!$B:$B&amp;盘货信息!$C:$C,盘货信息!$G:$G)="不参加",_xlfn.XLOOKUP(A398&amp;B398&amp;C398,盘货信息!$A:$A&amp;盘货信息!$B:$B&amp;盘货信息!$C:$C,盘货信息!$H:$H)=""),"【以旧换新】"&amp;_xlfn.XLOOKUP(A398&amp;B398&amp;C398,盘货信息!$A:$A&amp;盘货信息!$B:$B&amp;盘货信息!$C:$C,盘货信息!$K:$K)&amp;"元以旧换新补贴（可无旧机换新）",""))</f>
        <v/>
      </c>
      <c r="P398" s="18" t="str">
        <f t="array" ref="P398">_xlfn.XLOOKUP(A398&amp;B398&amp;C398,赠品!$A:$A&amp;赠品!$B:$B&amp;赠品!$C:$C,赠品!$D:$D)</f>
        <v/>
      </c>
      <c r="Q398" s="18" t="str">
        <f>IF($C398="","",IF(AND(M398="",N398="",P398=""),"",固定信息!$B$1))</f>
        <v/>
      </c>
      <c r="R398" s="18" t="str">
        <f t="array" ref="R398">IF(ISNUMBER(SEARCH("是",_xlfn.XLOOKUP(A398&amp;B398&amp;C398,盘货信息!$A:$A&amp;盘货信息!$B:$B&amp;盘货信息!$C:$C,盘货信息!$U:$U))),"【折扣】指定型号满2类享96折，满3类享94折","")</f>
        <v/>
      </c>
      <c r="S398" s="18" t="str">
        <f t="array" ref="S398">IF(_xlfn.XLOOKUP(A398&amp;B398&amp;C398,盘货信息!$A:$A&amp;盘货信息!$B:$B&amp;盘货信息!$C:$C,盘货信息!$Q:$Q)&lt;1,"","【红包】活动时间购机送"&amp;_xlfn.TEXTJOIN("",,IF(ISNUMBER(--MID(_xlfn.XLOOKUP(A398&amp;B398&amp;C398,盘货信息!$A:$A&amp;盘货信息!$B:$B&amp;盘货信息!$C:$C,盘货信息!$Q:$Q),_xlfn.SEQUENCE(LEN(_xlfn.XLOOKUP(A398&amp;B398&amp;C398,盘货信息!$A:$A&amp;盘货信息!$B:$B&amp;盘货信息!$C:$C,盘货信息!$Q:$Q))),1)),MID(_xlfn.XLOOKUP(A398&amp;B398&amp;C398,盘货信息!$A:$A&amp;盘货信息!$B:$B&amp;盘货信息!$C:$C,盘货信息!$Q:$Q),_xlfn.SEQUENCE(LEN(_xlfn.XLOOKUP(A398&amp;B398&amp;C398,盘货信息!$A:$A&amp;盘货信息!$B:$B&amp;盘货信息!$C:$C,盘货信息!$Q:$Q))),1),""))&amp;"元")</f>
        <v/>
      </c>
      <c r="T398" s="18" t="str">
        <f t="array" ref="T398">IF(ISNUMBER(SEARCH("是",_xlfn.XLOOKUP(A398&amp;B398&amp;C398,盘货信息!$A:$A&amp;盘货信息!$B:$B&amp;盘货信息!$C:$C,盘货信息!$T:$T))),"【瓜分】"&amp;固定信息!$B$7,"")</f>
        <v/>
      </c>
      <c r="U398" s="18" t="str">
        <f>IF($C398="","",IF(AND(R398="",S398="",T398=""),"",固定信息!$B$1))</f>
        <v/>
      </c>
      <c r="V398" s="18" t="str">
        <f t="array" ref="V398">IF(C398="","","【服务】"&amp;IF(_xlfn.XLOOKUP(A398&amp;B398&amp;C398,盘货信息!$A:$A&amp;盘货信息!$B:$B&amp;盘货信息!$C:$C,盘货信息!$V:$V)="","",_xlfn.XLOOKUP(A398&amp;B398&amp;C398,盘货信息!$A:$A&amp;盘货信息!$B:$B&amp;盘货信息!$C:$C,盘货信息!$V:$V)&amp;"免息,")&amp;IF(_xlfn.XLOOKUP(A398&amp;B398&amp;C398,盘货信息!$A:$A&amp;盘货信息!$B:$B&amp;盘货信息!$C:$C,盘货信息!$W:$W)="","",_xlfn.XLOOKUP(A398&amp;B398&amp;C398,盘货信息!$A:$A&amp;盘货信息!$B:$B&amp;盘货信息!$C:$C,盘货信息!$W:$W)&amp;"，")&amp;"送货入户，退换免运费")</f>
        <v/>
      </c>
    </row>
    <row r="399" customHeight="1" spans="1:22">
      <c r="A399" s="17" t="str">
        <f>IF(盘货信息!A399="","",盘货信息!A399)</f>
        <v/>
      </c>
      <c r="B399" s="20" t="str">
        <f>IF(盘货信息!B399="","",盘货信息!B399)</f>
        <v/>
      </c>
      <c r="C399" s="18" t="str">
        <f>IF(盘货信息!C399="","",盘货信息!C399)</f>
        <v/>
      </c>
      <c r="D399" s="18" t="str">
        <f ca="1" t="shared" si="6"/>
        <v/>
      </c>
      <c r="E399" s="18" t="str">
        <f>IF(C399="","",固定信息!$B$2)</f>
        <v/>
      </c>
      <c r="F399" s="18" t="str">
        <f t="array" ref="F399">IF(C399="","","【"&amp;C399&amp;"】"&amp;_xlfn.XLOOKUP(A399&amp;B399&amp;C399,盘货信息!$A:$A&amp;盘货信息!$B:$B&amp;盘货信息!$C:$C,盘货信息!$D:$D))</f>
        <v/>
      </c>
      <c r="G399" s="18" t="str">
        <f>IF(C399="","","【"&amp;"活动时间："&amp;固定信息!$B$3&amp;"】")</f>
        <v/>
      </c>
      <c r="H399" s="18" t="str">
        <f>IF($C399="","",固定信息!$B$1)</f>
        <v/>
      </c>
      <c r="I399" s="18"/>
      <c r="J399" s="18" t="str">
        <f t="array" ref="J399">_xlfn.XLOOKUP(A399&amp;B399&amp;C399,价格信息!$A:$A&amp;价格信息!$B:$B&amp;价格信息!$C:$C,价格信息!$D:$D)</f>
        <v/>
      </c>
      <c r="K399" s="31" t="str">
        <f t="array" ref="K399">IF(_xlfn.XLOOKUP(A399&amp;B399&amp;C399,价格信息!$A:$A&amp;价格信息!$B:$B&amp;价格信息!$C:$C,价格信息!$I:$I)="","","【优惠券链接】"&amp;固定信息!$B$6)</f>
        <v/>
      </c>
      <c r="L399" s="31" t="str">
        <f>IF($C399="","",固定信息!$B$1)</f>
        <v/>
      </c>
      <c r="M399" s="18" t="str">
        <f t="array" ref="M399">IF(_xlfn.XLOOKUP(A399&amp;B399&amp;C399,盘货信息!$A:$A&amp;盘货信息!$B:$B&amp;盘货信息!$C:$C,盘货信息!$O:$O)="","","【优惠券】领"&amp;INDEX(_wpsfn.REGEXP(_xlfn.XLOOKUP(A399&amp;B399&amp;C399,盘货信息!$A:$A&amp;盘货信息!$B:$B&amp;盘货信息!$C:$C,盘货信息!$O:$O),"\d+"),1,1)&amp;"元优惠券下单更优惠，优惠卷："&amp;_xlfn.XLOOKUP(A399&amp;B399&amp;C399,盘货信息!$A:$A&amp;盘货信息!$B:$B&amp;盘货信息!$C:$C,盘货信息!$P:$P))</f>
        <v/>
      </c>
      <c r="N399" s="18" t="str">
        <f t="array" ref="N399">IF(AND(ISNUMBER(_xlfn.XLOOKUP(A399&amp;B399&amp;C399,盘货信息!$A:$A&amp;盘货信息!$B:$B&amp;盘货信息!$C:$C,盘货信息!$I:$I)),_xlfn.XLOOKUP(A399&amp;B399&amp;C399,盘货信息!$A:$A&amp;盘货信息!$B:$B&amp;盘货信息!$C:$C,盘货信息!$I:$I)&gt;1),"【88VIP】立减"&amp;_xlfn.XLOOKUP(A399&amp;B399&amp;C399,盘货信息!$A:$A&amp;盘货信息!$B:$B&amp;盘货信息!$C:$C,盘货信息!$I:$I)&amp;"元","")</f>
        <v/>
      </c>
      <c r="O399" s="18" t="str">
        <f t="array" ref="O399">IF(_xlfn.XLOOKUP(A399&amp;B399&amp;C399,盘货信息!$A:$A&amp;盘货信息!$B:$B&amp;盘货信息!$C:$C,盘货信息!$K:$K)="","",IF(AND(_xlfn.XLOOKUP(A399&amp;B399&amp;C399,盘货信息!$A:$A&amp;盘货信息!$B:$B&amp;盘货信息!$C:$C,盘货信息!$G:$G)="不参加",_xlfn.XLOOKUP(A399&amp;B399&amp;C399,盘货信息!$A:$A&amp;盘货信息!$B:$B&amp;盘货信息!$C:$C,盘货信息!$H:$H)=""),"【以旧换新】"&amp;_xlfn.XLOOKUP(A399&amp;B399&amp;C399,盘货信息!$A:$A&amp;盘货信息!$B:$B&amp;盘货信息!$C:$C,盘货信息!$K:$K)&amp;"元以旧换新补贴（可无旧机换新）",""))</f>
        <v/>
      </c>
      <c r="P399" s="18" t="str">
        <f t="array" ref="P399">_xlfn.XLOOKUP(A399&amp;B399&amp;C399,赠品!$A:$A&amp;赠品!$B:$B&amp;赠品!$C:$C,赠品!$D:$D)</f>
        <v/>
      </c>
      <c r="Q399" s="18" t="str">
        <f>IF($C399="","",IF(AND(M399="",N399="",P399=""),"",固定信息!$B$1))</f>
        <v/>
      </c>
      <c r="R399" s="18" t="str">
        <f t="array" ref="R399">IF(ISNUMBER(SEARCH("是",_xlfn.XLOOKUP(A399&amp;B399&amp;C399,盘货信息!$A:$A&amp;盘货信息!$B:$B&amp;盘货信息!$C:$C,盘货信息!$U:$U))),"【折扣】指定型号满2类享96折，满3类享94折","")</f>
        <v/>
      </c>
      <c r="S399" s="18" t="str">
        <f t="array" ref="S399">IF(_xlfn.XLOOKUP(A399&amp;B399&amp;C399,盘货信息!$A:$A&amp;盘货信息!$B:$B&amp;盘货信息!$C:$C,盘货信息!$Q:$Q)&lt;1,"","【红包】活动时间购机送"&amp;_xlfn.TEXTJOIN("",,IF(ISNUMBER(--MID(_xlfn.XLOOKUP(A399&amp;B399&amp;C399,盘货信息!$A:$A&amp;盘货信息!$B:$B&amp;盘货信息!$C:$C,盘货信息!$Q:$Q),_xlfn.SEQUENCE(LEN(_xlfn.XLOOKUP(A399&amp;B399&amp;C399,盘货信息!$A:$A&amp;盘货信息!$B:$B&amp;盘货信息!$C:$C,盘货信息!$Q:$Q))),1)),MID(_xlfn.XLOOKUP(A399&amp;B399&amp;C399,盘货信息!$A:$A&amp;盘货信息!$B:$B&amp;盘货信息!$C:$C,盘货信息!$Q:$Q),_xlfn.SEQUENCE(LEN(_xlfn.XLOOKUP(A399&amp;B399&amp;C399,盘货信息!$A:$A&amp;盘货信息!$B:$B&amp;盘货信息!$C:$C,盘货信息!$Q:$Q))),1),""))&amp;"元")</f>
        <v/>
      </c>
      <c r="T399" s="18" t="str">
        <f t="array" ref="T399">IF(ISNUMBER(SEARCH("是",_xlfn.XLOOKUP(A399&amp;B399&amp;C399,盘货信息!$A:$A&amp;盘货信息!$B:$B&amp;盘货信息!$C:$C,盘货信息!$T:$T))),"【瓜分】"&amp;固定信息!$B$7,"")</f>
        <v/>
      </c>
      <c r="U399" s="18" t="str">
        <f>IF($C399="","",IF(AND(R399="",S399="",T399=""),"",固定信息!$B$1))</f>
        <v/>
      </c>
      <c r="V399" s="18" t="str">
        <f t="array" ref="V399">IF(C399="","","【服务】"&amp;IF(_xlfn.XLOOKUP(A399&amp;B399&amp;C399,盘货信息!$A:$A&amp;盘货信息!$B:$B&amp;盘货信息!$C:$C,盘货信息!$V:$V)="","",_xlfn.XLOOKUP(A399&amp;B399&amp;C399,盘货信息!$A:$A&amp;盘货信息!$B:$B&amp;盘货信息!$C:$C,盘货信息!$V:$V)&amp;"免息,")&amp;IF(_xlfn.XLOOKUP(A399&amp;B399&amp;C399,盘货信息!$A:$A&amp;盘货信息!$B:$B&amp;盘货信息!$C:$C,盘货信息!$W:$W)="","",_xlfn.XLOOKUP(A399&amp;B399&amp;C399,盘货信息!$A:$A&amp;盘货信息!$B:$B&amp;盘货信息!$C:$C,盘货信息!$W:$W)&amp;"，")&amp;"送货入户，退换免运费")</f>
        <v/>
      </c>
    </row>
    <row r="400" customHeight="1" spans="1:22">
      <c r="A400" s="17" t="str">
        <f>IF(盘货信息!A400="","",盘货信息!A400)</f>
        <v/>
      </c>
      <c r="B400" s="20" t="str">
        <f>IF(盘货信息!B400="","",盘货信息!B400)</f>
        <v/>
      </c>
      <c r="C400" s="18" t="str">
        <f>IF(盘货信息!C400="","",盘货信息!C400)</f>
        <v/>
      </c>
      <c r="D400" s="18" t="str">
        <f ca="1" t="shared" si="6"/>
        <v/>
      </c>
      <c r="E400" s="18" t="str">
        <f>IF(C400="","",固定信息!$B$2)</f>
        <v/>
      </c>
      <c r="F400" s="18" t="str">
        <f t="array" ref="F400">IF(C400="","","【"&amp;C400&amp;"】"&amp;_xlfn.XLOOKUP(A400&amp;B400&amp;C400,盘货信息!$A:$A&amp;盘货信息!$B:$B&amp;盘货信息!$C:$C,盘货信息!$D:$D))</f>
        <v/>
      </c>
      <c r="G400" s="18" t="str">
        <f>IF(C400="","","【"&amp;"活动时间："&amp;固定信息!$B$3&amp;"】")</f>
        <v/>
      </c>
      <c r="H400" s="18" t="str">
        <f>IF($C400="","",固定信息!$B$1)</f>
        <v/>
      </c>
      <c r="I400" s="18"/>
      <c r="J400" s="18" t="str">
        <f t="array" ref="J400">_xlfn.XLOOKUP(A400&amp;B400&amp;C400,价格信息!$A:$A&amp;价格信息!$B:$B&amp;价格信息!$C:$C,价格信息!$D:$D)</f>
        <v/>
      </c>
      <c r="K400" s="31" t="str">
        <f t="array" ref="K400">IF(_xlfn.XLOOKUP(A400&amp;B400&amp;C400,价格信息!$A:$A&amp;价格信息!$B:$B&amp;价格信息!$C:$C,价格信息!$I:$I)="","","【优惠券链接】"&amp;固定信息!$B$6)</f>
        <v/>
      </c>
      <c r="L400" s="31" t="str">
        <f>IF($C400="","",固定信息!$B$1)</f>
        <v/>
      </c>
      <c r="M400" s="18" t="str">
        <f t="array" ref="M400">IF(_xlfn.XLOOKUP(A400&amp;B400&amp;C400,盘货信息!$A:$A&amp;盘货信息!$B:$B&amp;盘货信息!$C:$C,盘货信息!$O:$O)="","","【优惠券】领"&amp;INDEX(_wpsfn.REGEXP(_xlfn.XLOOKUP(A400&amp;B400&amp;C400,盘货信息!$A:$A&amp;盘货信息!$B:$B&amp;盘货信息!$C:$C,盘货信息!$O:$O),"\d+"),1,1)&amp;"元优惠券下单更优惠，优惠卷："&amp;_xlfn.XLOOKUP(A400&amp;B400&amp;C400,盘货信息!$A:$A&amp;盘货信息!$B:$B&amp;盘货信息!$C:$C,盘货信息!$P:$P))</f>
        <v/>
      </c>
      <c r="N400" s="18" t="str">
        <f t="array" ref="N400">IF(AND(ISNUMBER(_xlfn.XLOOKUP(A400&amp;B400&amp;C400,盘货信息!$A:$A&amp;盘货信息!$B:$B&amp;盘货信息!$C:$C,盘货信息!$I:$I)),_xlfn.XLOOKUP(A400&amp;B400&amp;C400,盘货信息!$A:$A&amp;盘货信息!$B:$B&amp;盘货信息!$C:$C,盘货信息!$I:$I)&gt;1),"【88VIP】立减"&amp;_xlfn.XLOOKUP(A400&amp;B400&amp;C400,盘货信息!$A:$A&amp;盘货信息!$B:$B&amp;盘货信息!$C:$C,盘货信息!$I:$I)&amp;"元","")</f>
        <v/>
      </c>
      <c r="O400" s="18" t="str">
        <f t="array" ref="O400">IF(_xlfn.XLOOKUP(A400&amp;B400&amp;C400,盘货信息!$A:$A&amp;盘货信息!$B:$B&amp;盘货信息!$C:$C,盘货信息!$K:$K)="","",IF(AND(_xlfn.XLOOKUP(A400&amp;B400&amp;C400,盘货信息!$A:$A&amp;盘货信息!$B:$B&amp;盘货信息!$C:$C,盘货信息!$G:$G)="不参加",_xlfn.XLOOKUP(A400&amp;B400&amp;C400,盘货信息!$A:$A&amp;盘货信息!$B:$B&amp;盘货信息!$C:$C,盘货信息!$H:$H)=""),"【以旧换新】"&amp;_xlfn.XLOOKUP(A400&amp;B400&amp;C400,盘货信息!$A:$A&amp;盘货信息!$B:$B&amp;盘货信息!$C:$C,盘货信息!$K:$K)&amp;"元以旧换新补贴（可无旧机换新）",""))</f>
        <v/>
      </c>
      <c r="P400" s="18" t="str">
        <f t="array" ref="P400">_xlfn.XLOOKUP(A400&amp;B400&amp;C400,赠品!$A:$A&amp;赠品!$B:$B&amp;赠品!$C:$C,赠品!$D:$D)</f>
        <v/>
      </c>
      <c r="Q400" s="18" t="str">
        <f>IF($C400="","",IF(AND(M400="",N400="",P400=""),"",固定信息!$B$1))</f>
        <v/>
      </c>
      <c r="R400" s="18" t="str">
        <f t="array" ref="R400">IF(ISNUMBER(SEARCH("是",_xlfn.XLOOKUP(A400&amp;B400&amp;C400,盘货信息!$A:$A&amp;盘货信息!$B:$B&amp;盘货信息!$C:$C,盘货信息!$U:$U))),"【折扣】指定型号满2类享96折，满3类享94折","")</f>
        <v/>
      </c>
      <c r="S400" s="18" t="str">
        <f t="array" ref="S400">IF(_xlfn.XLOOKUP(A400&amp;B400&amp;C400,盘货信息!$A:$A&amp;盘货信息!$B:$B&amp;盘货信息!$C:$C,盘货信息!$Q:$Q)&lt;1,"","【红包】活动时间购机送"&amp;_xlfn.TEXTJOIN("",,IF(ISNUMBER(--MID(_xlfn.XLOOKUP(A400&amp;B400&amp;C400,盘货信息!$A:$A&amp;盘货信息!$B:$B&amp;盘货信息!$C:$C,盘货信息!$Q:$Q),_xlfn.SEQUENCE(LEN(_xlfn.XLOOKUP(A400&amp;B400&amp;C400,盘货信息!$A:$A&amp;盘货信息!$B:$B&amp;盘货信息!$C:$C,盘货信息!$Q:$Q))),1)),MID(_xlfn.XLOOKUP(A400&amp;B400&amp;C400,盘货信息!$A:$A&amp;盘货信息!$B:$B&amp;盘货信息!$C:$C,盘货信息!$Q:$Q),_xlfn.SEQUENCE(LEN(_xlfn.XLOOKUP(A400&amp;B400&amp;C400,盘货信息!$A:$A&amp;盘货信息!$B:$B&amp;盘货信息!$C:$C,盘货信息!$Q:$Q))),1),""))&amp;"元")</f>
        <v/>
      </c>
      <c r="T400" s="18" t="str">
        <f t="array" ref="T400">IF(ISNUMBER(SEARCH("是",_xlfn.XLOOKUP(A400&amp;B400&amp;C400,盘货信息!$A:$A&amp;盘货信息!$B:$B&amp;盘货信息!$C:$C,盘货信息!$T:$T))),"【瓜分】"&amp;固定信息!$B$7,"")</f>
        <v/>
      </c>
      <c r="U400" s="18" t="str">
        <f>IF($C400="","",IF(AND(R400="",S400="",T400=""),"",固定信息!$B$1))</f>
        <v/>
      </c>
      <c r="V400" s="18" t="str">
        <f t="array" ref="V400">IF(C400="","","【服务】"&amp;IF(_xlfn.XLOOKUP(A400&amp;B400&amp;C400,盘货信息!$A:$A&amp;盘货信息!$B:$B&amp;盘货信息!$C:$C,盘货信息!$V:$V)="","",_xlfn.XLOOKUP(A400&amp;B400&amp;C400,盘货信息!$A:$A&amp;盘货信息!$B:$B&amp;盘货信息!$C:$C,盘货信息!$V:$V)&amp;"免息,")&amp;IF(_xlfn.XLOOKUP(A400&amp;B400&amp;C400,盘货信息!$A:$A&amp;盘货信息!$B:$B&amp;盘货信息!$C:$C,盘货信息!$W:$W)="","",_xlfn.XLOOKUP(A400&amp;B400&amp;C400,盘货信息!$A:$A&amp;盘货信息!$B:$B&amp;盘货信息!$C:$C,盘货信息!$W:$W)&amp;"，")&amp;"送货入户，退换免运费")</f>
        <v/>
      </c>
    </row>
    <row r="401" customHeight="1" spans="1:22">
      <c r="A401" s="17" t="str">
        <f>IF(盘货信息!A401="","",盘货信息!A401)</f>
        <v/>
      </c>
      <c r="B401" s="20" t="str">
        <f>IF(盘货信息!B401="","",盘货信息!B401)</f>
        <v/>
      </c>
      <c r="C401" s="18" t="str">
        <f>IF(盘货信息!C401="","",盘货信息!C401)</f>
        <v/>
      </c>
      <c r="D401" s="18" t="str">
        <f ca="1" t="shared" si="6"/>
        <v/>
      </c>
      <c r="E401" s="18" t="str">
        <f>IF(C401="","",固定信息!$B$2)</f>
        <v/>
      </c>
      <c r="F401" s="18" t="str">
        <f t="array" ref="F401">IF(C401="","","【"&amp;C401&amp;"】"&amp;_xlfn.XLOOKUP(A401&amp;B401&amp;C401,盘货信息!$A:$A&amp;盘货信息!$B:$B&amp;盘货信息!$C:$C,盘货信息!$D:$D))</f>
        <v/>
      </c>
      <c r="G401" s="18" t="str">
        <f>IF(C401="","","【"&amp;"活动时间："&amp;固定信息!$B$3&amp;"】")</f>
        <v/>
      </c>
      <c r="H401" s="18" t="str">
        <f>IF($C401="","",固定信息!$B$1)</f>
        <v/>
      </c>
      <c r="I401" s="18"/>
      <c r="J401" s="18" t="str">
        <f t="array" ref="J401">_xlfn.XLOOKUP(A401&amp;B401&amp;C401,价格信息!$A:$A&amp;价格信息!$B:$B&amp;价格信息!$C:$C,价格信息!$D:$D)</f>
        <v/>
      </c>
      <c r="K401" s="31" t="str">
        <f t="array" ref="K401">IF(_xlfn.XLOOKUP(A401&amp;B401&amp;C401,价格信息!$A:$A&amp;价格信息!$B:$B&amp;价格信息!$C:$C,价格信息!$I:$I)="","","【优惠券链接】"&amp;固定信息!$B$6)</f>
        <v/>
      </c>
      <c r="L401" s="31" t="str">
        <f>IF($C401="","",固定信息!$B$1)</f>
        <v/>
      </c>
      <c r="M401" s="18" t="str">
        <f t="array" ref="M401">IF(_xlfn.XLOOKUP(A401&amp;B401&amp;C401,盘货信息!$A:$A&amp;盘货信息!$B:$B&amp;盘货信息!$C:$C,盘货信息!$O:$O)="","","【优惠券】领"&amp;INDEX(_wpsfn.REGEXP(_xlfn.XLOOKUP(A401&amp;B401&amp;C401,盘货信息!$A:$A&amp;盘货信息!$B:$B&amp;盘货信息!$C:$C,盘货信息!$O:$O),"\d+"),1,1)&amp;"元优惠券下单更优惠，优惠卷："&amp;_xlfn.XLOOKUP(A401&amp;B401&amp;C401,盘货信息!$A:$A&amp;盘货信息!$B:$B&amp;盘货信息!$C:$C,盘货信息!$P:$P))</f>
        <v/>
      </c>
      <c r="N401" s="18" t="str">
        <f t="array" ref="N401">IF(AND(ISNUMBER(_xlfn.XLOOKUP(A401&amp;B401&amp;C401,盘货信息!$A:$A&amp;盘货信息!$B:$B&amp;盘货信息!$C:$C,盘货信息!$I:$I)),_xlfn.XLOOKUP(A401&amp;B401&amp;C401,盘货信息!$A:$A&amp;盘货信息!$B:$B&amp;盘货信息!$C:$C,盘货信息!$I:$I)&gt;1),"【88VIP】立减"&amp;_xlfn.XLOOKUP(A401&amp;B401&amp;C401,盘货信息!$A:$A&amp;盘货信息!$B:$B&amp;盘货信息!$C:$C,盘货信息!$I:$I)&amp;"元","")</f>
        <v/>
      </c>
      <c r="O401" s="18" t="str">
        <f t="array" ref="O401">IF(_xlfn.XLOOKUP(A401&amp;B401&amp;C401,盘货信息!$A:$A&amp;盘货信息!$B:$B&amp;盘货信息!$C:$C,盘货信息!$K:$K)="","",IF(AND(_xlfn.XLOOKUP(A401&amp;B401&amp;C401,盘货信息!$A:$A&amp;盘货信息!$B:$B&amp;盘货信息!$C:$C,盘货信息!$G:$G)="不参加",_xlfn.XLOOKUP(A401&amp;B401&amp;C401,盘货信息!$A:$A&amp;盘货信息!$B:$B&amp;盘货信息!$C:$C,盘货信息!$H:$H)=""),"【以旧换新】"&amp;_xlfn.XLOOKUP(A401&amp;B401&amp;C401,盘货信息!$A:$A&amp;盘货信息!$B:$B&amp;盘货信息!$C:$C,盘货信息!$K:$K)&amp;"元以旧换新补贴（可无旧机换新）",""))</f>
        <v/>
      </c>
      <c r="P401" s="18" t="str">
        <f t="array" ref="P401">_xlfn.XLOOKUP(A401&amp;B401&amp;C401,赠品!$A:$A&amp;赠品!$B:$B&amp;赠品!$C:$C,赠品!$D:$D)</f>
        <v/>
      </c>
      <c r="Q401" s="18" t="str">
        <f>IF($C401="","",IF(AND(M401="",N401="",P401=""),"",固定信息!$B$1))</f>
        <v/>
      </c>
      <c r="R401" s="18" t="str">
        <f t="array" ref="R401">IF(ISNUMBER(SEARCH("是",_xlfn.XLOOKUP(A401&amp;B401&amp;C401,盘货信息!$A:$A&amp;盘货信息!$B:$B&amp;盘货信息!$C:$C,盘货信息!$U:$U))),"【折扣】指定型号满2类享96折，满3类享94折","")</f>
        <v/>
      </c>
      <c r="S401" s="18" t="str">
        <f t="array" ref="S401">IF(_xlfn.XLOOKUP(A401&amp;B401&amp;C401,盘货信息!$A:$A&amp;盘货信息!$B:$B&amp;盘货信息!$C:$C,盘货信息!$Q:$Q)&lt;1,"","【红包】活动时间购机送"&amp;_xlfn.TEXTJOIN("",,IF(ISNUMBER(--MID(_xlfn.XLOOKUP(A401&amp;B401&amp;C401,盘货信息!$A:$A&amp;盘货信息!$B:$B&amp;盘货信息!$C:$C,盘货信息!$Q:$Q),_xlfn.SEQUENCE(LEN(_xlfn.XLOOKUP(A401&amp;B401&amp;C401,盘货信息!$A:$A&amp;盘货信息!$B:$B&amp;盘货信息!$C:$C,盘货信息!$Q:$Q))),1)),MID(_xlfn.XLOOKUP(A401&amp;B401&amp;C401,盘货信息!$A:$A&amp;盘货信息!$B:$B&amp;盘货信息!$C:$C,盘货信息!$Q:$Q),_xlfn.SEQUENCE(LEN(_xlfn.XLOOKUP(A401&amp;B401&amp;C401,盘货信息!$A:$A&amp;盘货信息!$B:$B&amp;盘货信息!$C:$C,盘货信息!$Q:$Q))),1),""))&amp;"元")</f>
        <v/>
      </c>
      <c r="T401" s="18" t="str">
        <f t="array" ref="T401">IF(ISNUMBER(SEARCH("是",_xlfn.XLOOKUP(A401&amp;B401&amp;C401,盘货信息!$A:$A&amp;盘货信息!$B:$B&amp;盘货信息!$C:$C,盘货信息!$T:$T))),"【瓜分】"&amp;固定信息!$B$7,"")</f>
        <v/>
      </c>
      <c r="U401" s="18" t="str">
        <f>IF($C401="","",IF(AND(R401="",S401="",T401=""),"",固定信息!$B$1))</f>
        <v/>
      </c>
      <c r="V401" s="18" t="str">
        <f t="array" ref="V401">IF(C401="","","【服务】"&amp;IF(_xlfn.XLOOKUP(A401&amp;B401&amp;C401,盘货信息!$A:$A&amp;盘货信息!$B:$B&amp;盘货信息!$C:$C,盘货信息!$V:$V)="","",_xlfn.XLOOKUP(A401&amp;B401&amp;C401,盘货信息!$A:$A&amp;盘货信息!$B:$B&amp;盘货信息!$C:$C,盘货信息!$V:$V)&amp;"免息,")&amp;IF(_xlfn.XLOOKUP(A401&amp;B401&amp;C401,盘货信息!$A:$A&amp;盘货信息!$B:$B&amp;盘货信息!$C:$C,盘货信息!$W:$W)="","",_xlfn.XLOOKUP(A401&amp;B401&amp;C401,盘货信息!$A:$A&amp;盘货信息!$B:$B&amp;盘货信息!$C:$C,盘货信息!$W:$W)&amp;"，")&amp;"送货入户，退换免运费")</f>
        <v/>
      </c>
    </row>
    <row r="402" customHeight="1" spans="1:22">
      <c r="A402" s="17" t="str">
        <f>IF(盘货信息!A402="","",盘货信息!A402)</f>
        <v/>
      </c>
      <c r="B402" s="20" t="str">
        <f>IF(盘货信息!B402="","",盘货信息!B402)</f>
        <v/>
      </c>
      <c r="C402" s="18" t="str">
        <f>IF(盘货信息!C402="","",盘货信息!C402)</f>
        <v/>
      </c>
      <c r="D402" s="18" t="str">
        <f ca="1" t="shared" si="6"/>
        <v/>
      </c>
      <c r="E402" s="18" t="str">
        <f>IF(C402="","",固定信息!$B$2)</f>
        <v/>
      </c>
      <c r="F402" s="18" t="str">
        <f t="array" ref="F402">IF(C402="","","【"&amp;C402&amp;"】"&amp;_xlfn.XLOOKUP(A402&amp;B402&amp;C402,盘货信息!$A:$A&amp;盘货信息!$B:$B&amp;盘货信息!$C:$C,盘货信息!$D:$D))</f>
        <v/>
      </c>
      <c r="G402" s="18" t="str">
        <f>IF(C402="","","【"&amp;"活动时间："&amp;固定信息!$B$3&amp;"】")</f>
        <v/>
      </c>
      <c r="H402" s="18" t="str">
        <f>IF($C402="","",固定信息!$B$1)</f>
        <v/>
      </c>
      <c r="I402" s="18"/>
      <c r="J402" s="18" t="str">
        <f t="array" ref="J402">_xlfn.XLOOKUP(A402&amp;B402&amp;C402,价格信息!$A:$A&amp;价格信息!$B:$B&amp;价格信息!$C:$C,价格信息!$D:$D)</f>
        <v/>
      </c>
      <c r="K402" s="31" t="str">
        <f t="array" ref="K402">IF(_xlfn.XLOOKUP(A402&amp;B402&amp;C402,价格信息!$A:$A&amp;价格信息!$B:$B&amp;价格信息!$C:$C,价格信息!$I:$I)="","","【优惠券链接】"&amp;固定信息!$B$6)</f>
        <v/>
      </c>
      <c r="L402" s="31" t="str">
        <f>IF($C402="","",固定信息!$B$1)</f>
        <v/>
      </c>
      <c r="M402" s="18" t="str">
        <f t="array" ref="M402">IF(_xlfn.XLOOKUP(A402&amp;B402&amp;C402,盘货信息!$A:$A&amp;盘货信息!$B:$B&amp;盘货信息!$C:$C,盘货信息!$O:$O)="","","【优惠券】领"&amp;INDEX(_wpsfn.REGEXP(_xlfn.XLOOKUP(A402&amp;B402&amp;C402,盘货信息!$A:$A&amp;盘货信息!$B:$B&amp;盘货信息!$C:$C,盘货信息!$O:$O),"\d+"),1,1)&amp;"元优惠券下单更优惠，优惠卷："&amp;_xlfn.XLOOKUP(A402&amp;B402&amp;C402,盘货信息!$A:$A&amp;盘货信息!$B:$B&amp;盘货信息!$C:$C,盘货信息!$P:$P))</f>
        <v/>
      </c>
      <c r="N402" s="18" t="str">
        <f t="array" ref="N402">IF(AND(ISNUMBER(_xlfn.XLOOKUP(A402&amp;B402&amp;C402,盘货信息!$A:$A&amp;盘货信息!$B:$B&amp;盘货信息!$C:$C,盘货信息!$I:$I)),_xlfn.XLOOKUP(A402&amp;B402&amp;C402,盘货信息!$A:$A&amp;盘货信息!$B:$B&amp;盘货信息!$C:$C,盘货信息!$I:$I)&gt;1),"【88VIP】立减"&amp;_xlfn.XLOOKUP(A402&amp;B402&amp;C402,盘货信息!$A:$A&amp;盘货信息!$B:$B&amp;盘货信息!$C:$C,盘货信息!$I:$I)&amp;"元","")</f>
        <v/>
      </c>
      <c r="O402" s="18" t="str">
        <f t="array" ref="O402">IF(_xlfn.XLOOKUP(A402&amp;B402&amp;C402,盘货信息!$A:$A&amp;盘货信息!$B:$B&amp;盘货信息!$C:$C,盘货信息!$K:$K)="","",IF(AND(_xlfn.XLOOKUP(A402&amp;B402&amp;C402,盘货信息!$A:$A&amp;盘货信息!$B:$B&amp;盘货信息!$C:$C,盘货信息!$G:$G)="不参加",_xlfn.XLOOKUP(A402&amp;B402&amp;C402,盘货信息!$A:$A&amp;盘货信息!$B:$B&amp;盘货信息!$C:$C,盘货信息!$H:$H)=""),"【以旧换新】"&amp;_xlfn.XLOOKUP(A402&amp;B402&amp;C402,盘货信息!$A:$A&amp;盘货信息!$B:$B&amp;盘货信息!$C:$C,盘货信息!$K:$K)&amp;"元以旧换新补贴（可无旧机换新）",""))</f>
        <v/>
      </c>
      <c r="P402" s="18" t="str">
        <f t="array" ref="P402">_xlfn.XLOOKUP(A402&amp;B402&amp;C402,赠品!$A:$A&amp;赠品!$B:$B&amp;赠品!$C:$C,赠品!$D:$D)</f>
        <v/>
      </c>
      <c r="Q402" s="18" t="str">
        <f>IF($C402="","",IF(AND(M402="",N402="",P402=""),"",固定信息!$B$1))</f>
        <v/>
      </c>
      <c r="R402" s="18" t="str">
        <f t="array" ref="R402">IF(ISNUMBER(SEARCH("是",_xlfn.XLOOKUP(A402&amp;B402&amp;C402,盘货信息!$A:$A&amp;盘货信息!$B:$B&amp;盘货信息!$C:$C,盘货信息!$U:$U))),"【折扣】指定型号满2类享96折，满3类享94折","")</f>
        <v/>
      </c>
      <c r="S402" s="18" t="str">
        <f t="array" ref="S402">IF(_xlfn.XLOOKUP(A402&amp;B402&amp;C402,盘货信息!$A:$A&amp;盘货信息!$B:$B&amp;盘货信息!$C:$C,盘货信息!$Q:$Q)&lt;1,"","【红包】活动时间购机送"&amp;_xlfn.TEXTJOIN("",,IF(ISNUMBER(--MID(_xlfn.XLOOKUP(A402&amp;B402&amp;C402,盘货信息!$A:$A&amp;盘货信息!$B:$B&amp;盘货信息!$C:$C,盘货信息!$Q:$Q),_xlfn.SEQUENCE(LEN(_xlfn.XLOOKUP(A402&amp;B402&amp;C402,盘货信息!$A:$A&amp;盘货信息!$B:$B&amp;盘货信息!$C:$C,盘货信息!$Q:$Q))),1)),MID(_xlfn.XLOOKUP(A402&amp;B402&amp;C402,盘货信息!$A:$A&amp;盘货信息!$B:$B&amp;盘货信息!$C:$C,盘货信息!$Q:$Q),_xlfn.SEQUENCE(LEN(_xlfn.XLOOKUP(A402&amp;B402&amp;C402,盘货信息!$A:$A&amp;盘货信息!$B:$B&amp;盘货信息!$C:$C,盘货信息!$Q:$Q))),1),""))&amp;"元")</f>
        <v/>
      </c>
      <c r="T402" s="18" t="str">
        <f t="array" ref="T402">IF(ISNUMBER(SEARCH("是",_xlfn.XLOOKUP(A402&amp;B402&amp;C402,盘货信息!$A:$A&amp;盘货信息!$B:$B&amp;盘货信息!$C:$C,盘货信息!$T:$T))),"【瓜分】"&amp;固定信息!$B$7,"")</f>
        <v/>
      </c>
      <c r="U402" s="18" t="str">
        <f>IF($C402="","",IF(AND(R402="",S402="",T402=""),"",固定信息!$B$1))</f>
        <v/>
      </c>
      <c r="V402" s="18" t="str">
        <f t="array" ref="V402">IF(C402="","","【服务】"&amp;IF(_xlfn.XLOOKUP(A402&amp;B402&amp;C402,盘货信息!$A:$A&amp;盘货信息!$B:$B&amp;盘货信息!$C:$C,盘货信息!$V:$V)="","",_xlfn.XLOOKUP(A402&amp;B402&amp;C402,盘货信息!$A:$A&amp;盘货信息!$B:$B&amp;盘货信息!$C:$C,盘货信息!$V:$V)&amp;"免息,")&amp;IF(_xlfn.XLOOKUP(A402&amp;B402&amp;C402,盘货信息!$A:$A&amp;盘货信息!$B:$B&amp;盘货信息!$C:$C,盘货信息!$W:$W)="","",_xlfn.XLOOKUP(A402&amp;B402&amp;C402,盘货信息!$A:$A&amp;盘货信息!$B:$B&amp;盘货信息!$C:$C,盘货信息!$W:$W)&amp;"，")&amp;"送货入户，退换免运费")</f>
        <v/>
      </c>
    </row>
    <row r="403" customHeight="1" spans="1:22">
      <c r="A403" s="17" t="str">
        <f>IF(盘货信息!A403="","",盘货信息!A403)</f>
        <v/>
      </c>
      <c r="B403" s="20" t="str">
        <f>IF(盘货信息!B403="","",盘货信息!B403)</f>
        <v/>
      </c>
      <c r="C403" s="18" t="str">
        <f>IF(盘货信息!C403="","",盘货信息!C403)</f>
        <v/>
      </c>
      <c r="D403" s="18" t="str">
        <f ca="1" t="shared" si="6"/>
        <v/>
      </c>
      <c r="E403" s="18" t="str">
        <f>IF(C403="","",固定信息!$B$2)</f>
        <v/>
      </c>
      <c r="F403" s="18" t="str">
        <f t="array" ref="F403">IF(C403="","","【"&amp;C403&amp;"】"&amp;_xlfn.XLOOKUP(A403&amp;B403&amp;C403,盘货信息!$A:$A&amp;盘货信息!$B:$B&amp;盘货信息!$C:$C,盘货信息!$D:$D))</f>
        <v/>
      </c>
      <c r="G403" s="18" t="str">
        <f>IF(C403="","","【"&amp;"活动时间："&amp;固定信息!$B$3&amp;"】")</f>
        <v/>
      </c>
      <c r="H403" s="18" t="str">
        <f>IF($C403="","",固定信息!$B$1)</f>
        <v/>
      </c>
      <c r="I403" s="18"/>
      <c r="J403" s="18" t="str">
        <f t="array" ref="J403">_xlfn.XLOOKUP(A403&amp;B403&amp;C403,价格信息!$A:$A&amp;价格信息!$B:$B&amp;价格信息!$C:$C,价格信息!$D:$D)</f>
        <v/>
      </c>
      <c r="K403" s="31" t="str">
        <f t="array" ref="K403">IF(_xlfn.XLOOKUP(A403&amp;B403&amp;C403,价格信息!$A:$A&amp;价格信息!$B:$B&amp;价格信息!$C:$C,价格信息!$I:$I)="","","【优惠券链接】"&amp;固定信息!$B$6)</f>
        <v/>
      </c>
      <c r="L403" s="31" t="str">
        <f>IF($C403="","",固定信息!$B$1)</f>
        <v/>
      </c>
      <c r="M403" s="18" t="str">
        <f t="array" ref="M403">IF(_xlfn.XLOOKUP(A403&amp;B403&amp;C403,盘货信息!$A:$A&amp;盘货信息!$B:$B&amp;盘货信息!$C:$C,盘货信息!$O:$O)="","","【优惠券】领"&amp;INDEX(_wpsfn.REGEXP(_xlfn.XLOOKUP(A403&amp;B403&amp;C403,盘货信息!$A:$A&amp;盘货信息!$B:$B&amp;盘货信息!$C:$C,盘货信息!$O:$O),"\d+"),1,1)&amp;"元优惠券下单更优惠，优惠卷："&amp;_xlfn.XLOOKUP(A403&amp;B403&amp;C403,盘货信息!$A:$A&amp;盘货信息!$B:$B&amp;盘货信息!$C:$C,盘货信息!$P:$P))</f>
        <v/>
      </c>
      <c r="N403" s="18" t="str">
        <f t="array" ref="N403">IF(AND(ISNUMBER(_xlfn.XLOOKUP(A403&amp;B403&amp;C403,盘货信息!$A:$A&amp;盘货信息!$B:$B&amp;盘货信息!$C:$C,盘货信息!$I:$I)),_xlfn.XLOOKUP(A403&amp;B403&amp;C403,盘货信息!$A:$A&amp;盘货信息!$B:$B&amp;盘货信息!$C:$C,盘货信息!$I:$I)&gt;1),"【88VIP】立减"&amp;_xlfn.XLOOKUP(A403&amp;B403&amp;C403,盘货信息!$A:$A&amp;盘货信息!$B:$B&amp;盘货信息!$C:$C,盘货信息!$I:$I)&amp;"元","")</f>
        <v/>
      </c>
      <c r="O403" s="18" t="str">
        <f t="array" ref="O403">IF(_xlfn.XLOOKUP(A403&amp;B403&amp;C403,盘货信息!$A:$A&amp;盘货信息!$B:$B&amp;盘货信息!$C:$C,盘货信息!$K:$K)="","",IF(AND(_xlfn.XLOOKUP(A403&amp;B403&amp;C403,盘货信息!$A:$A&amp;盘货信息!$B:$B&amp;盘货信息!$C:$C,盘货信息!$G:$G)="不参加",_xlfn.XLOOKUP(A403&amp;B403&amp;C403,盘货信息!$A:$A&amp;盘货信息!$B:$B&amp;盘货信息!$C:$C,盘货信息!$H:$H)=""),"【以旧换新】"&amp;_xlfn.XLOOKUP(A403&amp;B403&amp;C403,盘货信息!$A:$A&amp;盘货信息!$B:$B&amp;盘货信息!$C:$C,盘货信息!$K:$K)&amp;"元以旧换新补贴（可无旧机换新）",""))</f>
        <v/>
      </c>
      <c r="P403" s="18" t="str">
        <f t="array" ref="P403">_xlfn.XLOOKUP(A403&amp;B403&amp;C403,赠品!$A:$A&amp;赠品!$B:$B&amp;赠品!$C:$C,赠品!$D:$D)</f>
        <v/>
      </c>
      <c r="Q403" s="18" t="str">
        <f>IF($C403="","",IF(AND(M403="",N403="",P403=""),"",固定信息!$B$1))</f>
        <v/>
      </c>
      <c r="R403" s="18" t="str">
        <f t="array" ref="R403">IF(ISNUMBER(SEARCH("是",_xlfn.XLOOKUP(A403&amp;B403&amp;C403,盘货信息!$A:$A&amp;盘货信息!$B:$B&amp;盘货信息!$C:$C,盘货信息!$U:$U))),"【折扣】指定型号满2类享96折，满3类享94折","")</f>
        <v/>
      </c>
      <c r="S403" s="18" t="str">
        <f t="array" ref="S403">IF(_xlfn.XLOOKUP(A403&amp;B403&amp;C403,盘货信息!$A:$A&amp;盘货信息!$B:$B&amp;盘货信息!$C:$C,盘货信息!$Q:$Q)&lt;1,"","【红包】活动时间购机送"&amp;_xlfn.TEXTJOIN("",,IF(ISNUMBER(--MID(_xlfn.XLOOKUP(A403&amp;B403&amp;C403,盘货信息!$A:$A&amp;盘货信息!$B:$B&amp;盘货信息!$C:$C,盘货信息!$Q:$Q),_xlfn.SEQUENCE(LEN(_xlfn.XLOOKUP(A403&amp;B403&amp;C403,盘货信息!$A:$A&amp;盘货信息!$B:$B&amp;盘货信息!$C:$C,盘货信息!$Q:$Q))),1)),MID(_xlfn.XLOOKUP(A403&amp;B403&amp;C403,盘货信息!$A:$A&amp;盘货信息!$B:$B&amp;盘货信息!$C:$C,盘货信息!$Q:$Q),_xlfn.SEQUENCE(LEN(_xlfn.XLOOKUP(A403&amp;B403&amp;C403,盘货信息!$A:$A&amp;盘货信息!$B:$B&amp;盘货信息!$C:$C,盘货信息!$Q:$Q))),1),""))&amp;"元")</f>
        <v/>
      </c>
      <c r="T403" s="18" t="str">
        <f t="array" ref="T403">IF(ISNUMBER(SEARCH("是",_xlfn.XLOOKUP(A403&amp;B403&amp;C403,盘货信息!$A:$A&amp;盘货信息!$B:$B&amp;盘货信息!$C:$C,盘货信息!$T:$T))),"【瓜分】"&amp;固定信息!$B$7,"")</f>
        <v/>
      </c>
      <c r="U403" s="18" t="str">
        <f>IF($C403="","",IF(AND(R403="",S403="",T403=""),"",固定信息!$B$1))</f>
        <v/>
      </c>
      <c r="V403" s="18" t="str">
        <f t="array" ref="V403">IF(C403="","","【服务】"&amp;IF(_xlfn.XLOOKUP(A403&amp;B403&amp;C403,盘货信息!$A:$A&amp;盘货信息!$B:$B&amp;盘货信息!$C:$C,盘货信息!$V:$V)="","",_xlfn.XLOOKUP(A403&amp;B403&amp;C403,盘货信息!$A:$A&amp;盘货信息!$B:$B&amp;盘货信息!$C:$C,盘货信息!$V:$V)&amp;"免息,")&amp;IF(_xlfn.XLOOKUP(A403&amp;B403&amp;C403,盘货信息!$A:$A&amp;盘货信息!$B:$B&amp;盘货信息!$C:$C,盘货信息!$W:$W)="","",_xlfn.XLOOKUP(A403&amp;B403&amp;C403,盘货信息!$A:$A&amp;盘货信息!$B:$B&amp;盘货信息!$C:$C,盘货信息!$W:$W)&amp;"，")&amp;"送货入户，退换免运费")</f>
        <v/>
      </c>
    </row>
    <row r="404" customHeight="1" spans="1:22">
      <c r="A404" s="17" t="str">
        <f>IF(盘货信息!A404="","",盘货信息!A404)</f>
        <v/>
      </c>
      <c r="B404" s="20" t="str">
        <f>IF(盘货信息!B404="","",盘货信息!B404)</f>
        <v/>
      </c>
      <c r="C404" s="18" t="str">
        <f>IF(盘货信息!C404="","",盘货信息!C404)</f>
        <v/>
      </c>
      <c r="D404" s="18" t="str">
        <f ca="1" t="shared" si="6"/>
        <v/>
      </c>
      <c r="E404" s="18" t="str">
        <f>IF(C404="","",固定信息!$B$2)</f>
        <v/>
      </c>
      <c r="F404" s="18" t="str">
        <f t="array" ref="F404">IF(C404="","","【"&amp;C404&amp;"】"&amp;_xlfn.XLOOKUP(A404&amp;B404&amp;C404,盘货信息!$A:$A&amp;盘货信息!$B:$B&amp;盘货信息!$C:$C,盘货信息!$D:$D))</f>
        <v/>
      </c>
      <c r="G404" s="18" t="str">
        <f>IF(C404="","","【"&amp;"活动时间："&amp;固定信息!$B$3&amp;"】")</f>
        <v/>
      </c>
      <c r="H404" s="18" t="str">
        <f>IF($C404="","",固定信息!$B$1)</f>
        <v/>
      </c>
      <c r="I404" s="18"/>
      <c r="J404" s="18" t="str">
        <f t="array" ref="J404">_xlfn.XLOOKUP(A404&amp;B404&amp;C404,价格信息!$A:$A&amp;价格信息!$B:$B&amp;价格信息!$C:$C,价格信息!$D:$D)</f>
        <v/>
      </c>
      <c r="K404" s="31" t="str">
        <f t="array" ref="K404">IF(_xlfn.XLOOKUP(A404&amp;B404&amp;C404,价格信息!$A:$A&amp;价格信息!$B:$B&amp;价格信息!$C:$C,价格信息!$I:$I)="","","【优惠券链接】"&amp;固定信息!$B$6)</f>
        <v/>
      </c>
      <c r="L404" s="31" t="str">
        <f>IF($C404="","",固定信息!$B$1)</f>
        <v/>
      </c>
      <c r="M404" s="18" t="str">
        <f t="array" ref="M404">IF(_xlfn.XLOOKUP(A404&amp;B404&amp;C404,盘货信息!$A:$A&amp;盘货信息!$B:$B&amp;盘货信息!$C:$C,盘货信息!$O:$O)="","","【优惠券】领"&amp;INDEX(_wpsfn.REGEXP(_xlfn.XLOOKUP(A404&amp;B404&amp;C404,盘货信息!$A:$A&amp;盘货信息!$B:$B&amp;盘货信息!$C:$C,盘货信息!$O:$O),"\d+"),1,1)&amp;"元优惠券下单更优惠，优惠卷："&amp;_xlfn.XLOOKUP(A404&amp;B404&amp;C404,盘货信息!$A:$A&amp;盘货信息!$B:$B&amp;盘货信息!$C:$C,盘货信息!$P:$P))</f>
        <v/>
      </c>
      <c r="N404" s="18" t="str">
        <f t="array" ref="N404">IF(AND(ISNUMBER(_xlfn.XLOOKUP(A404&amp;B404&amp;C404,盘货信息!$A:$A&amp;盘货信息!$B:$B&amp;盘货信息!$C:$C,盘货信息!$I:$I)),_xlfn.XLOOKUP(A404&amp;B404&amp;C404,盘货信息!$A:$A&amp;盘货信息!$B:$B&amp;盘货信息!$C:$C,盘货信息!$I:$I)&gt;1),"【88VIP】立减"&amp;_xlfn.XLOOKUP(A404&amp;B404&amp;C404,盘货信息!$A:$A&amp;盘货信息!$B:$B&amp;盘货信息!$C:$C,盘货信息!$I:$I)&amp;"元","")</f>
        <v/>
      </c>
      <c r="O404" s="18" t="str">
        <f t="array" ref="O404">IF(_xlfn.XLOOKUP(A404&amp;B404&amp;C404,盘货信息!$A:$A&amp;盘货信息!$B:$B&amp;盘货信息!$C:$C,盘货信息!$K:$K)="","",IF(AND(_xlfn.XLOOKUP(A404&amp;B404&amp;C404,盘货信息!$A:$A&amp;盘货信息!$B:$B&amp;盘货信息!$C:$C,盘货信息!$G:$G)="不参加",_xlfn.XLOOKUP(A404&amp;B404&amp;C404,盘货信息!$A:$A&amp;盘货信息!$B:$B&amp;盘货信息!$C:$C,盘货信息!$H:$H)=""),"【以旧换新】"&amp;_xlfn.XLOOKUP(A404&amp;B404&amp;C404,盘货信息!$A:$A&amp;盘货信息!$B:$B&amp;盘货信息!$C:$C,盘货信息!$K:$K)&amp;"元以旧换新补贴（可无旧机换新）",""))</f>
        <v/>
      </c>
      <c r="P404" s="18" t="str">
        <f t="array" ref="P404">_xlfn.XLOOKUP(A404&amp;B404&amp;C404,赠品!$A:$A&amp;赠品!$B:$B&amp;赠品!$C:$C,赠品!$D:$D)</f>
        <v/>
      </c>
      <c r="Q404" s="18" t="str">
        <f>IF($C404="","",IF(AND(M404="",N404="",P404=""),"",固定信息!$B$1))</f>
        <v/>
      </c>
      <c r="R404" s="18" t="str">
        <f t="array" ref="R404">IF(ISNUMBER(SEARCH("是",_xlfn.XLOOKUP(A404&amp;B404&amp;C404,盘货信息!$A:$A&amp;盘货信息!$B:$B&amp;盘货信息!$C:$C,盘货信息!$U:$U))),"【折扣】指定型号满2类享96折，满3类享94折","")</f>
        <v/>
      </c>
      <c r="S404" s="18" t="str">
        <f t="array" ref="S404">IF(_xlfn.XLOOKUP(A404&amp;B404&amp;C404,盘货信息!$A:$A&amp;盘货信息!$B:$B&amp;盘货信息!$C:$C,盘货信息!$Q:$Q)&lt;1,"","【红包】活动时间购机送"&amp;_xlfn.TEXTJOIN("",,IF(ISNUMBER(--MID(_xlfn.XLOOKUP(A404&amp;B404&amp;C404,盘货信息!$A:$A&amp;盘货信息!$B:$B&amp;盘货信息!$C:$C,盘货信息!$Q:$Q),_xlfn.SEQUENCE(LEN(_xlfn.XLOOKUP(A404&amp;B404&amp;C404,盘货信息!$A:$A&amp;盘货信息!$B:$B&amp;盘货信息!$C:$C,盘货信息!$Q:$Q))),1)),MID(_xlfn.XLOOKUP(A404&amp;B404&amp;C404,盘货信息!$A:$A&amp;盘货信息!$B:$B&amp;盘货信息!$C:$C,盘货信息!$Q:$Q),_xlfn.SEQUENCE(LEN(_xlfn.XLOOKUP(A404&amp;B404&amp;C404,盘货信息!$A:$A&amp;盘货信息!$B:$B&amp;盘货信息!$C:$C,盘货信息!$Q:$Q))),1),""))&amp;"元")</f>
        <v/>
      </c>
      <c r="T404" s="18" t="str">
        <f t="array" ref="T404">IF(ISNUMBER(SEARCH("是",_xlfn.XLOOKUP(A404&amp;B404&amp;C404,盘货信息!$A:$A&amp;盘货信息!$B:$B&amp;盘货信息!$C:$C,盘货信息!$T:$T))),"【瓜分】"&amp;固定信息!$B$7,"")</f>
        <v/>
      </c>
      <c r="U404" s="18" t="str">
        <f>IF($C404="","",IF(AND(R404="",S404="",T404=""),"",固定信息!$B$1))</f>
        <v/>
      </c>
      <c r="V404" s="18" t="str">
        <f t="array" ref="V404">IF(C404="","","【服务】"&amp;IF(_xlfn.XLOOKUP(A404&amp;B404&amp;C404,盘货信息!$A:$A&amp;盘货信息!$B:$B&amp;盘货信息!$C:$C,盘货信息!$V:$V)="","",_xlfn.XLOOKUP(A404&amp;B404&amp;C404,盘货信息!$A:$A&amp;盘货信息!$B:$B&amp;盘货信息!$C:$C,盘货信息!$V:$V)&amp;"免息,")&amp;IF(_xlfn.XLOOKUP(A404&amp;B404&amp;C404,盘货信息!$A:$A&amp;盘货信息!$B:$B&amp;盘货信息!$C:$C,盘货信息!$W:$W)="","",_xlfn.XLOOKUP(A404&amp;B404&amp;C404,盘货信息!$A:$A&amp;盘货信息!$B:$B&amp;盘货信息!$C:$C,盘货信息!$W:$W)&amp;"，")&amp;"送货入户，退换免运费")</f>
        <v/>
      </c>
    </row>
    <row r="405" customHeight="1" spans="1:22">
      <c r="A405" s="17" t="str">
        <f>IF(盘货信息!A405="","",盘货信息!A405)</f>
        <v/>
      </c>
      <c r="B405" s="20" t="str">
        <f>IF(盘货信息!B405="","",盘货信息!B405)</f>
        <v/>
      </c>
      <c r="C405" s="18" t="str">
        <f>IF(盘货信息!C405="","",盘货信息!C405)</f>
        <v/>
      </c>
      <c r="D405" s="18" t="str">
        <f ca="1" t="shared" si="6"/>
        <v/>
      </c>
      <c r="E405" s="18" t="str">
        <f>IF(C405="","",固定信息!$B$2)</f>
        <v/>
      </c>
      <c r="F405" s="18" t="str">
        <f t="array" ref="F405">IF(C405="","","【"&amp;C405&amp;"】"&amp;_xlfn.XLOOKUP(A405&amp;B405&amp;C405,盘货信息!$A:$A&amp;盘货信息!$B:$B&amp;盘货信息!$C:$C,盘货信息!$D:$D))</f>
        <v/>
      </c>
      <c r="G405" s="18" t="str">
        <f>IF(C405="","","【"&amp;"活动时间："&amp;固定信息!$B$3&amp;"】")</f>
        <v/>
      </c>
      <c r="H405" s="18" t="str">
        <f>IF($C405="","",固定信息!$B$1)</f>
        <v/>
      </c>
      <c r="I405" s="18"/>
      <c r="J405" s="18" t="str">
        <f t="array" ref="J405">_xlfn.XLOOKUP(A405&amp;B405&amp;C405,价格信息!$A:$A&amp;价格信息!$B:$B&amp;价格信息!$C:$C,价格信息!$D:$D)</f>
        <v/>
      </c>
      <c r="K405" s="31" t="str">
        <f t="array" ref="K405">IF(_xlfn.XLOOKUP(A405&amp;B405&amp;C405,价格信息!$A:$A&amp;价格信息!$B:$B&amp;价格信息!$C:$C,价格信息!$I:$I)="","","【优惠券链接】"&amp;固定信息!$B$6)</f>
        <v/>
      </c>
      <c r="L405" s="31" t="str">
        <f>IF($C405="","",固定信息!$B$1)</f>
        <v/>
      </c>
      <c r="M405" s="18" t="str">
        <f t="array" ref="M405">IF(_xlfn.XLOOKUP(A405&amp;B405&amp;C405,盘货信息!$A:$A&amp;盘货信息!$B:$B&amp;盘货信息!$C:$C,盘货信息!$O:$O)="","","【优惠券】领"&amp;INDEX(_wpsfn.REGEXP(_xlfn.XLOOKUP(A405&amp;B405&amp;C405,盘货信息!$A:$A&amp;盘货信息!$B:$B&amp;盘货信息!$C:$C,盘货信息!$O:$O),"\d+"),1,1)&amp;"元优惠券下单更优惠，优惠卷："&amp;_xlfn.XLOOKUP(A405&amp;B405&amp;C405,盘货信息!$A:$A&amp;盘货信息!$B:$B&amp;盘货信息!$C:$C,盘货信息!$P:$P))</f>
        <v/>
      </c>
      <c r="N405" s="18" t="str">
        <f t="array" ref="N405">IF(AND(ISNUMBER(_xlfn.XLOOKUP(A405&amp;B405&amp;C405,盘货信息!$A:$A&amp;盘货信息!$B:$B&amp;盘货信息!$C:$C,盘货信息!$I:$I)),_xlfn.XLOOKUP(A405&amp;B405&amp;C405,盘货信息!$A:$A&amp;盘货信息!$B:$B&amp;盘货信息!$C:$C,盘货信息!$I:$I)&gt;1),"【88VIP】立减"&amp;_xlfn.XLOOKUP(A405&amp;B405&amp;C405,盘货信息!$A:$A&amp;盘货信息!$B:$B&amp;盘货信息!$C:$C,盘货信息!$I:$I)&amp;"元","")</f>
        <v/>
      </c>
      <c r="O405" s="18" t="str">
        <f t="array" ref="O405">IF(_xlfn.XLOOKUP(A405&amp;B405&amp;C405,盘货信息!$A:$A&amp;盘货信息!$B:$B&amp;盘货信息!$C:$C,盘货信息!$K:$K)="","",IF(AND(_xlfn.XLOOKUP(A405&amp;B405&amp;C405,盘货信息!$A:$A&amp;盘货信息!$B:$B&amp;盘货信息!$C:$C,盘货信息!$G:$G)="不参加",_xlfn.XLOOKUP(A405&amp;B405&amp;C405,盘货信息!$A:$A&amp;盘货信息!$B:$B&amp;盘货信息!$C:$C,盘货信息!$H:$H)=""),"【以旧换新】"&amp;_xlfn.XLOOKUP(A405&amp;B405&amp;C405,盘货信息!$A:$A&amp;盘货信息!$B:$B&amp;盘货信息!$C:$C,盘货信息!$K:$K)&amp;"元以旧换新补贴（可无旧机换新）",""))</f>
        <v/>
      </c>
      <c r="P405" s="18" t="str">
        <f t="array" ref="P405">_xlfn.XLOOKUP(A405&amp;B405&amp;C405,赠品!$A:$A&amp;赠品!$B:$B&amp;赠品!$C:$C,赠品!$D:$D)</f>
        <v/>
      </c>
      <c r="Q405" s="18" t="str">
        <f>IF($C405="","",IF(AND(M405="",N405="",P405=""),"",固定信息!$B$1))</f>
        <v/>
      </c>
      <c r="R405" s="18" t="str">
        <f t="array" ref="R405">IF(ISNUMBER(SEARCH("是",_xlfn.XLOOKUP(A405&amp;B405&amp;C405,盘货信息!$A:$A&amp;盘货信息!$B:$B&amp;盘货信息!$C:$C,盘货信息!$U:$U))),"【折扣】指定型号满2类享96折，满3类享94折","")</f>
        <v/>
      </c>
      <c r="S405" s="18" t="str">
        <f t="array" ref="S405">IF(_xlfn.XLOOKUP(A405&amp;B405&amp;C405,盘货信息!$A:$A&amp;盘货信息!$B:$B&amp;盘货信息!$C:$C,盘货信息!$Q:$Q)&lt;1,"","【红包】活动时间购机送"&amp;_xlfn.TEXTJOIN("",,IF(ISNUMBER(--MID(_xlfn.XLOOKUP(A405&amp;B405&amp;C405,盘货信息!$A:$A&amp;盘货信息!$B:$B&amp;盘货信息!$C:$C,盘货信息!$Q:$Q),_xlfn.SEQUENCE(LEN(_xlfn.XLOOKUP(A405&amp;B405&amp;C405,盘货信息!$A:$A&amp;盘货信息!$B:$B&amp;盘货信息!$C:$C,盘货信息!$Q:$Q))),1)),MID(_xlfn.XLOOKUP(A405&amp;B405&amp;C405,盘货信息!$A:$A&amp;盘货信息!$B:$B&amp;盘货信息!$C:$C,盘货信息!$Q:$Q),_xlfn.SEQUENCE(LEN(_xlfn.XLOOKUP(A405&amp;B405&amp;C405,盘货信息!$A:$A&amp;盘货信息!$B:$B&amp;盘货信息!$C:$C,盘货信息!$Q:$Q))),1),""))&amp;"元")</f>
        <v/>
      </c>
      <c r="T405" s="18" t="str">
        <f t="array" ref="T405">IF(ISNUMBER(SEARCH("是",_xlfn.XLOOKUP(A405&amp;B405&amp;C405,盘货信息!$A:$A&amp;盘货信息!$B:$B&amp;盘货信息!$C:$C,盘货信息!$T:$T))),"【瓜分】"&amp;固定信息!$B$7,"")</f>
        <v/>
      </c>
      <c r="U405" s="18" t="str">
        <f>IF($C405="","",IF(AND(R405="",S405="",T405=""),"",固定信息!$B$1))</f>
        <v/>
      </c>
      <c r="V405" s="18" t="str">
        <f t="array" ref="V405">IF(C405="","","【服务】"&amp;IF(_xlfn.XLOOKUP(A405&amp;B405&amp;C405,盘货信息!$A:$A&amp;盘货信息!$B:$B&amp;盘货信息!$C:$C,盘货信息!$V:$V)="","",_xlfn.XLOOKUP(A405&amp;B405&amp;C405,盘货信息!$A:$A&amp;盘货信息!$B:$B&amp;盘货信息!$C:$C,盘货信息!$V:$V)&amp;"免息,")&amp;IF(_xlfn.XLOOKUP(A405&amp;B405&amp;C405,盘货信息!$A:$A&amp;盘货信息!$B:$B&amp;盘货信息!$C:$C,盘货信息!$W:$W)="","",_xlfn.XLOOKUP(A405&amp;B405&amp;C405,盘货信息!$A:$A&amp;盘货信息!$B:$B&amp;盘货信息!$C:$C,盘货信息!$W:$W)&amp;"，")&amp;"送货入户，退换免运费")</f>
        <v/>
      </c>
    </row>
    <row r="406" customHeight="1" spans="1:22">
      <c r="A406" s="17" t="str">
        <f>IF(盘货信息!A406="","",盘货信息!A406)</f>
        <v/>
      </c>
      <c r="B406" s="20" t="str">
        <f>IF(盘货信息!B406="","",盘货信息!B406)</f>
        <v/>
      </c>
      <c r="C406" s="18" t="str">
        <f>IF(盘货信息!C406="","",盘货信息!C406)</f>
        <v/>
      </c>
      <c r="D406" s="18" t="str">
        <f ca="1" t="shared" si="6"/>
        <v/>
      </c>
      <c r="E406" s="18" t="str">
        <f>IF(C406="","",固定信息!$B$2)</f>
        <v/>
      </c>
      <c r="F406" s="18" t="str">
        <f t="array" ref="F406">IF(C406="","","【"&amp;C406&amp;"】"&amp;_xlfn.XLOOKUP(A406&amp;B406&amp;C406,盘货信息!$A:$A&amp;盘货信息!$B:$B&amp;盘货信息!$C:$C,盘货信息!$D:$D))</f>
        <v/>
      </c>
      <c r="G406" s="18" t="str">
        <f>IF(C406="","","【"&amp;"活动时间："&amp;固定信息!$B$3&amp;"】")</f>
        <v/>
      </c>
      <c r="H406" s="18" t="str">
        <f>IF($C406="","",固定信息!$B$1)</f>
        <v/>
      </c>
      <c r="I406" s="18"/>
      <c r="J406" s="18" t="str">
        <f t="array" ref="J406">_xlfn.XLOOKUP(A406&amp;B406&amp;C406,价格信息!$A:$A&amp;价格信息!$B:$B&amp;价格信息!$C:$C,价格信息!$D:$D)</f>
        <v/>
      </c>
      <c r="K406" s="31" t="str">
        <f t="array" ref="K406">IF(_xlfn.XLOOKUP(A406&amp;B406&amp;C406,价格信息!$A:$A&amp;价格信息!$B:$B&amp;价格信息!$C:$C,价格信息!$I:$I)="","","【优惠券链接】"&amp;固定信息!$B$6)</f>
        <v/>
      </c>
      <c r="L406" s="31" t="str">
        <f>IF($C406="","",固定信息!$B$1)</f>
        <v/>
      </c>
      <c r="M406" s="18" t="str">
        <f t="array" ref="M406">IF(_xlfn.XLOOKUP(A406&amp;B406&amp;C406,盘货信息!$A:$A&amp;盘货信息!$B:$B&amp;盘货信息!$C:$C,盘货信息!$O:$O)="","","【优惠券】领"&amp;INDEX(_wpsfn.REGEXP(_xlfn.XLOOKUP(A406&amp;B406&amp;C406,盘货信息!$A:$A&amp;盘货信息!$B:$B&amp;盘货信息!$C:$C,盘货信息!$O:$O),"\d+"),1,1)&amp;"元优惠券下单更优惠，优惠卷："&amp;_xlfn.XLOOKUP(A406&amp;B406&amp;C406,盘货信息!$A:$A&amp;盘货信息!$B:$B&amp;盘货信息!$C:$C,盘货信息!$P:$P))</f>
        <v/>
      </c>
      <c r="N406" s="18" t="str">
        <f t="array" ref="N406">IF(AND(ISNUMBER(_xlfn.XLOOKUP(A406&amp;B406&amp;C406,盘货信息!$A:$A&amp;盘货信息!$B:$B&amp;盘货信息!$C:$C,盘货信息!$I:$I)),_xlfn.XLOOKUP(A406&amp;B406&amp;C406,盘货信息!$A:$A&amp;盘货信息!$B:$B&amp;盘货信息!$C:$C,盘货信息!$I:$I)&gt;1),"【88VIP】立减"&amp;_xlfn.XLOOKUP(A406&amp;B406&amp;C406,盘货信息!$A:$A&amp;盘货信息!$B:$B&amp;盘货信息!$C:$C,盘货信息!$I:$I)&amp;"元","")</f>
        <v/>
      </c>
      <c r="O406" s="18" t="str">
        <f t="array" ref="O406">IF(_xlfn.XLOOKUP(A406&amp;B406&amp;C406,盘货信息!$A:$A&amp;盘货信息!$B:$B&amp;盘货信息!$C:$C,盘货信息!$K:$K)="","",IF(AND(_xlfn.XLOOKUP(A406&amp;B406&amp;C406,盘货信息!$A:$A&amp;盘货信息!$B:$B&amp;盘货信息!$C:$C,盘货信息!$G:$G)="不参加",_xlfn.XLOOKUP(A406&amp;B406&amp;C406,盘货信息!$A:$A&amp;盘货信息!$B:$B&amp;盘货信息!$C:$C,盘货信息!$H:$H)=""),"【以旧换新】"&amp;_xlfn.XLOOKUP(A406&amp;B406&amp;C406,盘货信息!$A:$A&amp;盘货信息!$B:$B&amp;盘货信息!$C:$C,盘货信息!$K:$K)&amp;"元以旧换新补贴（可无旧机换新）",""))</f>
        <v/>
      </c>
      <c r="P406" s="18" t="str">
        <f t="array" ref="P406">_xlfn.XLOOKUP(A406&amp;B406&amp;C406,赠品!$A:$A&amp;赠品!$B:$B&amp;赠品!$C:$C,赠品!$D:$D)</f>
        <v/>
      </c>
      <c r="Q406" s="18" t="str">
        <f>IF($C406="","",IF(AND(M406="",N406="",P406=""),"",固定信息!$B$1))</f>
        <v/>
      </c>
      <c r="R406" s="18" t="str">
        <f t="array" ref="R406">IF(ISNUMBER(SEARCH("是",_xlfn.XLOOKUP(A406&amp;B406&amp;C406,盘货信息!$A:$A&amp;盘货信息!$B:$B&amp;盘货信息!$C:$C,盘货信息!$U:$U))),"【折扣】指定型号满2类享96折，满3类享94折","")</f>
        <v/>
      </c>
      <c r="S406" s="18" t="str">
        <f t="array" ref="S406">IF(_xlfn.XLOOKUP(A406&amp;B406&amp;C406,盘货信息!$A:$A&amp;盘货信息!$B:$B&amp;盘货信息!$C:$C,盘货信息!$Q:$Q)&lt;1,"","【红包】活动时间购机送"&amp;_xlfn.TEXTJOIN("",,IF(ISNUMBER(--MID(_xlfn.XLOOKUP(A406&amp;B406&amp;C406,盘货信息!$A:$A&amp;盘货信息!$B:$B&amp;盘货信息!$C:$C,盘货信息!$Q:$Q),_xlfn.SEQUENCE(LEN(_xlfn.XLOOKUP(A406&amp;B406&amp;C406,盘货信息!$A:$A&amp;盘货信息!$B:$B&amp;盘货信息!$C:$C,盘货信息!$Q:$Q))),1)),MID(_xlfn.XLOOKUP(A406&amp;B406&amp;C406,盘货信息!$A:$A&amp;盘货信息!$B:$B&amp;盘货信息!$C:$C,盘货信息!$Q:$Q),_xlfn.SEQUENCE(LEN(_xlfn.XLOOKUP(A406&amp;B406&amp;C406,盘货信息!$A:$A&amp;盘货信息!$B:$B&amp;盘货信息!$C:$C,盘货信息!$Q:$Q))),1),""))&amp;"元")</f>
        <v/>
      </c>
      <c r="T406" s="18" t="str">
        <f t="array" ref="T406">IF(ISNUMBER(SEARCH("是",_xlfn.XLOOKUP(A406&amp;B406&amp;C406,盘货信息!$A:$A&amp;盘货信息!$B:$B&amp;盘货信息!$C:$C,盘货信息!$T:$T))),"【瓜分】"&amp;固定信息!$B$7,"")</f>
        <v/>
      </c>
      <c r="U406" s="18" t="str">
        <f>IF($C406="","",IF(AND(R406="",S406="",T406=""),"",固定信息!$B$1))</f>
        <v/>
      </c>
      <c r="V406" s="18" t="str">
        <f t="array" ref="V406">IF(C406="","","【服务】"&amp;IF(_xlfn.XLOOKUP(A406&amp;B406&amp;C406,盘货信息!$A:$A&amp;盘货信息!$B:$B&amp;盘货信息!$C:$C,盘货信息!$V:$V)="","",_xlfn.XLOOKUP(A406&amp;B406&amp;C406,盘货信息!$A:$A&amp;盘货信息!$B:$B&amp;盘货信息!$C:$C,盘货信息!$V:$V)&amp;"免息,")&amp;IF(_xlfn.XLOOKUP(A406&amp;B406&amp;C406,盘货信息!$A:$A&amp;盘货信息!$B:$B&amp;盘货信息!$C:$C,盘货信息!$W:$W)="","",_xlfn.XLOOKUP(A406&amp;B406&amp;C406,盘货信息!$A:$A&amp;盘货信息!$B:$B&amp;盘货信息!$C:$C,盘货信息!$W:$W)&amp;"，")&amp;"送货入户，退换免运费")</f>
        <v/>
      </c>
    </row>
    <row r="407" customHeight="1" spans="1:22">
      <c r="A407" s="17" t="str">
        <f>IF(盘货信息!A407="","",盘货信息!A407)</f>
        <v/>
      </c>
      <c r="B407" s="20" t="str">
        <f>IF(盘货信息!B407="","",盘货信息!B407)</f>
        <v/>
      </c>
      <c r="C407" s="18" t="str">
        <f>IF(盘货信息!C407="","",盘货信息!C407)</f>
        <v/>
      </c>
      <c r="D407" s="18" t="str">
        <f ca="1" t="shared" si="6"/>
        <v/>
      </c>
      <c r="E407" s="18" t="str">
        <f>IF(C407="","",固定信息!$B$2)</f>
        <v/>
      </c>
      <c r="F407" s="18" t="str">
        <f t="array" ref="F407">IF(C407="","","【"&amp;C407&amp;"】"&amp;_xlfn.XLOOKUP(A407&amp;B407&amp;C407,盘货信息!$A:$A&amp;盘货信息!$B:$B&amp;盘货信息!$C:$C,盘货信息!$D:$D))</f>
        <v/>
      </c>
      <c r="G407" s="18" t="str">
        <f>IF(C407="","","【"&amp;"活动时间："&amp;固定信息!$B$3&amp;"】")</f>
        <v/>
      </c>
      <c r="H407" s="18" t="str">
        <f>IF($C407="","",固定信息!$B$1)</f>
        <v/>
      </c>
      <c r="I407" s="18"/>
      <c r="J407" s="18" t="str">
        <f t="array" ref="J407">_xlfn.XLOOKUP(A407&amp;B407&amp;C407,价格信息!$A:$A&amp;价格信息!$B:$B&amp;价格信息!$C:$C,价格信息!$D:$D)</f>
        <v/>
      </c>
      <c r="K407" s="31" t="str">
        <f t="array" ref="K407">IF(_xlfn.XLOOKUP(A407&amp;B407&amp;C407,价格信息!$A:$A&amp;价格信息!$B:$B&amp;价格信息!$C:$C,价格信息!$I:$I)="","","【优惠券链接】"&amp;固定信息!$B$6)</f>
        <v/>
      </c>
      <c r="L407" s="31" t="str">
        <f>IF($C407="","",固定信息!$B$1)</f>
        <v/>
      </c>
      <c r="M407" s="18" t="str">
        <f t="array" ref="M407">IF(_xlfn.XLOOKUP(A407&amp;B407&amp;C407,盘货信息!$A:$A&amp;盘货信息!$B:$B&amp;盘货信息!$C:$C,盘货信息!$O:$O)="","","【优惠券】领"&amp;INDEX(_wpsfn.REGEXP(_xlfn.XLOOKUP(A407&amp;B407&amp;C407,盘货信息!$A:$A&amp;盘货信息!$B:$B&amp;盘货信息!$C:$C,盘货信息!$O:$O),"\d+"),1,1)&amp;"元优惠券下单更优惠，优惠卷："&amp;_xlfn.XLOOKUP(A407&amp;B407&amp;C407,盘货信息!$A:$A&amp;盘货信息!$B:$B&amp;盘货信息!$C:$C,盘货信息!$P:$P))</f>
        <v/>
      </c>
      <c r="N407" s="18" t="str">
        <f t="array" ref="N407">IF(AND(ISNUMBER(_xlfn.XLOOKUP(A407&amp;B407&amp;C407,盘货信息!$A:$A&amp;盘货信息!$B:$B&amp;盘货信息!$C:$C,盘货信息!$I:$I)),_xlfn.XLOOKUP(A407&amp;B407&amp;C407,盘货信息!$A:$A&amp;盘货信息!$B:$B&amp;盘货信息!$C:$C,盘货信息!$I:$I)&gt;1),"【88VIP】立减"&amp;_xlfn.XLOOKUP(A407&amp;B407&amp;C407,盘货信息!$A:$A&amp;盘货信息!$B:$B&amp;盘货信息!$C:$C,盘货信息!$I:$I)&amp;"元","")</f>
        <v/>
      </c>
      <c r="O407" s="18" t="str">
        <f t="array" ref="O407">IF(_xlfn.XLOOKUP(A407&amp;B407&amp;C407,盘货信息!$A:$A&amp;盘货信息!$B:$B&amp;盘货信息!$C:$C,盘货信息!$K:$K)="","",IF(AND(_xlfn.XLOOKUP(A407&amp;B407&amp;C407,盘货信息!$A:$A&amp;盘货信息!$B:$B&amp;盘货信息!$C:$C,盘货信息!$G:$G)="不参加",_xlfn.XLOOKUP(A407&amp;B407&amp;C407,盘货信息!$A:$A&amp;盘货信息!$B:$B&amp;盘货信息!$C:$C,盘货信息!$H:$H)=""),"【以旧换新】"&amp;_xlfn.XLOOKUP(A407&amp;B407&amp;C407,盘货信息!$A:$A&amp;盘货信息!$B:$B&amp;盘货信息!$C:$C,盘货信息!$K:$K)&amp;"元以旧换新补贴（可无旧机换新）",""))</f>
        <v/>
      </c>
      <c r="P407" s="18" t="str">
        <f t="array" ref="P407">_xlfn.XLOOKUP(A407&amp;B407&amp;C407,赠品!$A:$A&amp;赠品!$B:$B&amp;赠品!$C:$C,赠品!$D:$D)</f>
        <v/>
      </c>
      <c r="Q407" s="18" t="str">
        <f>IF($C407="","",IF(AND(M407="",N407="",P407=""),"",固定信息!$B$1))</f>
        <v/>
      </c>
      <c r="R407" s="18" t="str">
        <f t="array" ref="R407">IF(ISNUMBER(SEARCH("是",_xlfn.XLOOKUP(A407&amp;B407&amp;C407,盘货信息!$A:$A&amp;盘货信息!$B:$B&amp;盘货信息!$C:$C,盘货信息!$U:$U))),"【折扣】指定型号满2类享96折，满3类享94折","")</f>
        <v/>
      </c>
      <c r="S407" s="18" t="str">
        <f t="array" ref="S407">IF(_xlfn.XLOOKUP(A407&amp;B407&amp;C407,盘货信息!$A:$A&amp;盘货信息!$B:$B&amp;盘货信息!$C:$C,盘货信息!$Q:$Q)&lt;1,"","【红包】活动时间购机送"&amp;_xlfn.TEXTJOIN("",,IF(ISNUMBER(--MID(_xlfn.XLOOKUP(A407&amp;B407&amp;C407,盘货信息!$A:$A&amp;盘货信息!$B:$B&amp;盘货信息!$C:$C,盘货信息!$Q:$Q),_xlfn.SEQUENCE(LEN(_xlfn.XLOOKUP(A407&amp;B407&amp;C407,盘货信息!$A:$A&amp;盘货信息!$B:$B&amp;盘货信息!$C:$C,盘货信息!$Q:$Q))),1)),MID(_xlfn.XLOOKUP(A407&amp;B407&amp;C407,盘货信息!$A:$A&amp;盘货信息!$B:$B&amp;盘货信息!$C:$C,盘货信息!$Q:$Q),_xlfn.SEQUENCE(LEN(_xlfn.XLOOKUP(A407&amp;B407&amp;C407,盘货信息!$A:$A&amp;盘货信息!$B:$B&amp;盘货信息!$C:$C,盘货信息!$Q:$Q))),1),""))&amp;"元")</f>
        <v/>
      </c>
      <c r="T407" s="18" t="str">
        <f t="array" ref="T407">IF(ISNUMBER(SEARCH("是",_xlfn.XLOOKUP(A407&amp;B407&amp;C407,盘货信息!$A:$A&amp;盘货信息!$B:$B&amp;盘货信息!$C:$C,盘货信息!$T:$T))),"【瓜分】"&amp;固定信息!$B$7,"")</f>
        <v/>
      </c>
      <c r="U407" s="18" t="str">
        <f>IF($C407="","",IF(AND(R407="",S407="",T407=""),"",固定信息!$B$1))</f>
        <v/>
      </c>
      <c r="V407" s="18" t="str">
        <f t="array" ref="V407">IF(C407="","","【服务】"&amp;IF(_xlfn.XLOOKUP(A407&amp;B407&amp;C407,盘货信息!$A:$A&amp;盘货信息!$B:$B&amp;盘货信息!$C:$C,盘货信息!$V:$V)="","",_xlfn.XLOOKUP(A407&amp;B407&amp;C407,盘货信息!$A:$A&amp;盘货信息!$B:$B&amp;盘货信息!$C:$C,盘货信息!$V:$V)&amp;"免息,")&amp;IF(_xlfn.XLOOKUP(A407&amp;B407&amp;C407,盘货信息!$A:$A&amp;盘货信息!$B:$B&amp;盘货信息!$C:$C,盘货信息!$W:$W)="","",_xlfn.XLOOKUP(A407&amp;B407&amp;C407,盘货信息!$A:$A&amp;盘货信息!$B:$B&amp;盘货信息!$C:$C,盘货信息!$W:$W)&amp;"，")&amp;"送货入户，退换免运费")</f>
        <v/>
      </c>
    </row>
    <row r="408" customHeight="1" spans="1:22">
      <c r="A408" s="17" t="str">
        <f>IF(盘货信息!A408="","",盘货信息!A408)</f>
        <v/>
      </c>
      <c r="B408" s="20" t="str">
        <f>IF(盘货信息!B408="","",盘货信息!B408)</f>
        <v/>
      </c>
      <c r="C408" s="18" t="str">
        <f>IF(盘货信息!C408="","",盘货信息!C408)</f>
        <v/>
      </c>
      <c r="D408" s="18" t="str">
        <f ca="1" t="shared" si="6"/>
        <v/>
      </c>
      <c r="E408" s="18" t="str">
        <f>IF(C408="","",固定信息!$B$2)</f>
        <v/>
      </c>
      <c r="F408" s="18" t="str">
        <f t="array" ref="F408">IF(C408="","","【"&amp;C408&amp;"】"&amp;_xlfn.XLOOKUP(A408&amp;B408&amp;C408,盘货信息!$A:$A&amp;盘货信息!$B:$B&amp;盘货信息!$C:$C,盘货信息!$D:$D))</f>
        <v/>
      </c>
      <c r="G408" s="18" t="str">
        <f>IF(C408="","","【"&amp;"活动时间："&amp;固定信息!$B$3&amp;"】")</f>
        <v/>
      </c>
      <c r="H408" s="18" t="str">
        <f>IF($C408="","",固定信息!$B$1)</f>
        <v/>
      </c>
      <c r="I408" s="18"/>
      <c r="J408" s="18" t="str">
        <f t="array" ref="J408">_xlfn.XLOOKUP(A408&amp;B408&amp;C408,价格信息!$A:$A&amp;价格信息!$B:$B&amp;价格信息!$C:$C,价格信息!$D:$D)</f>
        <v/>
      </c>
      <c r="K408" s="31" t="str">
        <f t="array" ref="K408">IF(_xlfn.XLOOKUP(A408&amp;B408&amp;C408,价格信息!$A:$A&amp;价格信息!$B:$B&amp;价格信息!$C:$C,价格信息!$I:$I)="","","【优惠券链接】"&amp;固定信息!$B$6)</f>
        <v/>
      </c>
      <c r="L408" s="31" t="str">
        <f>IF($C408="","",固定信息!$B$1)</f>
        <v/>
      </c>
      <c r="M408" s="18" t="str">
        <f t="array" ref="M408">IF(_xlfn.XLOOKUP(A408&amp;B408&amp;C408,盘货信息!$A:$A&amp;盘货信息!$B:$B&amp;盘货信息!$C:$C,盘货信息!$O:$O)="","","【优惠券】领"&amp;INDEX(_wpsfn.REGEXP(_xlfn.XLOOKUP(A408&amp;B408&amp;C408,盘货信息!$A:$A&amp;盘货信息!$B:$B&amp;盘货信息!$C:$C,盘货信息!$O:$O),"\d+"),1,1)&amp;"元优惠券下单更优惠，优惠卷："&amp;_xlfn.XLOOKUP(A408&amp;B408&amp;C408,盘货信息!$A:$A&amp;盘货信息!$B:$B&amp;盘货信息!$C:$C,盘货信息!$P:$P))</f>
        <v/>
      </c>
      <c r="N408" s="18" t="str">
        <f t="array" ref="N408">IF(AND(ISNUMBER(_xlfn.XLOOKUP(A408&amp;B408&amp;C408,盘货信息!$A:$A&amp;盘货信息!$B:$B&amp;盘货信息!$C:$C,盘货信息!$I:$I)),_xlfn.XLOOKUP(A408&amp;B408&amp;C408,盘货信息!$A:$A&amp;盘货信息!$B:$B&amp;盘货信息!$C:$C,盘货信息!$I:$I)&gt;1),"【88VIP】立减"&amp;_xlfn.XLOOKUP(A408&amp;B408&amp;C408,盘货信息!$A:$A&amp;盘货信息!$B:$B&amp;盘货信息!$C:$C,盘货信息!$I:$I)&amp;"元","")</f>
        <v/>
      </c>
      <c r="O408" s="18" t="str">
        <f t="array" ref="O408">IF(_xlfn.XLOOKUP(A408&amp;B408&amp;C408,盘货信息!$A:$A&amp;盘货信息!$B:$B&amp;盘货信息!$C:$C,盘货信息!$K:$K)="","",IF(AND(_xlfn.XLOOKUP(A408&amp;B408&amp;C408,盘货信息!$A:$A&amp;盘货信息!$B:$B&amp;盘货信息!$C:$C,盘货信息!$G:$G)="不参加",_xlfn.XLOOKUP(A408&amp;B408&amp;C408,盘货信息!$A:$A&amp;盘货信息!$B:$B&amp;盘货信息!$C:$C,盘货信息!$H:$H)=""),"【以旧换新】"&amp;_xlfn.XLOOKUP(A408&amp;B408&amp;C408,盘货信息!$A:$A&amp;盘货信息!$B:$B&amp;盘货信息!$C:$C,盘货信息!$K:$K)&amp;"元以旧换新补贴（可无旧机换新）",""))</f>
        <v/>
      </c>
      <c r="P408" s="18" t="str">
        <f t="array" ref="P408">_xlfn.XLOOKUP(A408&amp;B408&amp;C408,赠品!$A:$A&amp;赠品!$B:$B&amp;赠品!$C:$C,赠品!$D:$D)</f>
        <v/>
      </c>
      <c r="Q408" s="18" t="str">
        <f>IF($C408="","",IF(AND(M408="",N408="",P408=""),"",固定信息!$B$1))</f>
        <v/>
      </c>
      <c r="R408" s="18" t="str">
        <f t="array" ref="R408">IF(ISNUMBER(SEARCH("是",_xlfn.XLOOKUP(A408&amp;B408&amp;C408,盘货信息!$A:$A&amp;盘货信息!$B:$B&amp;盘货信息!$C:$C,盘货信息!$U:$U))),"【折扣】指定型号满2类享96折，满3类享94折","")</f>
        <v/>
      </c>
      <c r="S408" s="18" t="str">
        <f t="array" ref="S408">IF(_xlfn.XLOOKUP(A408&amp;B408&amp;C408,盘货信息!$A:$A&amp;盘货信息!$B:$B&amp;盘货信息!$C:$C,盘货信息!$Q:$Q)&lt;1,"","【红包】活动时间购机送"&amp;_xlfn.TEXTJOIN("",,IF(ISNUMBER(--MID(_xlfn.XLOOKUP(A408&amp;B408&amp;C408,盘货信息!$A:$A&amp;盘货信息!$B:$B&amp;盘货信息!$C:$C,盘货信息!$Q:$Q),_xlfn.SEQUENCE(LEN(_xlfn.XLOOKUP(A408&amp;B408&amp;C408,盘货信息!$A:$A&amp;盘货信息!$B:$B&amp;盘货信息!$C:$C,盘货信息!$Q:$Q))),1)),MID(_xlfn.XLOOKUP(A408&amp;B408&amp;C408,盘货信息!$A:$A&amp;盘货信息!$B:$B&amp;盘货信息!$C:$C,盘货信息!$Q:$Q),_xlfn.SEQUENCE(LEN(_xlfn.XLOOKUP(A408&amp;B408&amp;C408,盘货信息!$A:$A&amp;盘货信息!$B:$B&amp;盘货信息!$C:$C,盘货信息!$Q:$Q))),1),""))&amp;"元")</f>
        <v/>
      </c>
      <c r="T408" s="18" t="str">
        <f t="array" ref="T408">IF(ISNUMBER(SEARCH("是",_xlfn.XLOOKUP(A408&amp;B408&amp;C408,盘货信息!$A:$A&amp;盘货信息!$B:$B&amp;盘货信息!$C:$C,盘货信息!$T:$T))),"【瓜分】"&amp;固定信息!$B$7,"")</f>
        <v/>
      </c>
      <c r="U408" s="18" t="str">
        <f>IF($C408="","",IF(AND(R408="",S408="",T408=""),"",固定信息!$B$1))</f>
        <v/>
      </c>
      <c r="V408" s="18" t="str">
        <f t="array" ref="V408">IF(C408="","","【服务】"&amp;IF(_xlfn.XLOOKUP(A408&amp;B408&amp;C408,盘货信息!$A:$A&amp;盘货信息!$B:$B&amp;盘货信息!$C:$C,盘货信息!$V:$V)="","",_xlfn.XLOOKUP(A408&amp;B408&amp;C408,盘货信息!$A:$A&amp;盘货信息!$B:$B&amp;盘货信息!$C:$C,盘货信息!$V:$V)&amp;"免息,")&amp;IF(_xlfn.XLOOKUP(A408&amp;B408&amp;C408,盘货信息!$A:$A&amp;盘货信息!$B:$B&amp;盘货信息!$C:$C,盘货信息!$W:$W)="","",_xlfn.XLOOKUP(A408&amp;B408&amp;C408,盘货信息!$A:$A&amp;盘货信息!$B:$B&amp;盘货信息!$C:$C,盘货信息!$W:$W)&amp;"，")&amp;"送货入户，退换免运费")</f>
        <v/>
      </c>
    </row>
    <row r="409" customHeight="1" spans="1:22">
      <c r="A409" s="17" t="str">
        <f>IF(盘货信息!A409="","",盘货信息!A409)</f>
        <v/>
      </c>
      <c r="B409" s="20" t="str">
        <f>IF(盘货信息!B409="","",盘货信息!B409)</f>
        <v/>
      </c>
      <c r="C409" s="18" t="str">
        <f>IF(盘货信息!C409="","",盘货信息!C409)</f>
        <v/>
      </c>
      <c r="D409" s="18" t="str">
        <f ca="1" t="shared" si="6"/>
        <v/>
      </c>
      <c r="E409" s="18" t="str">
        <f>IF(C409="","",固定信息!$B$2)</f>
        <v/>
      </c>
      <c r="F409" s="18" t="str">
        <f t="array" ref="F409">IF(C409="","","【"&amp;C409&amp;"】"&amp;_xlfn.XLOOKUP(A409&amp;B409&amp;C409,盘货信息!$A:$A&amp;盘货信息!$B:$B&amp;盘货信息!$C:$C,盘货信息!$D:$D))</f>
        <v/>
      </c>
      <c r="G409" s="18" t="str">
        <f>IF(C409="","","【"&amp;"活动时间："&amp;固定信息!$B$3&amp;"】")</f>
        <v/>
      </c>
      <c r="H409" s="18" t="str">
        <f>IF($C409="","",固定信息!$B$1)</f>
        <v/>
      </c>
      <c r="I409" s="18"/>
      <c r="J409" s="18" t="str">
        <f t="array" ref="J409">_xlfn.XLOOKUP(A409&amp;B409&amp;C409,价格信息!$A:$A&amp;价格信息!$B:$B&amp;价格信息!$C:$C,价格信息!$D:$D)</f>
        <v/>
      </c>
      <c r="K409" s="31" t="str">
        <f t="array" ref="K409">IF(_xlfn.XLOOKUP(A409&amp;B409&amp;C409,价格信息!$A:$A&amp;价格信息!$B:$B&amp;价格信息!$C:$C,价格信息!$I:$I)="","","【优惠券链接】"&amp;固定信息!$B$6)</f>
        <v/>
      </c>
      <c r="L409" s="31" t="str">
        <f>IF($C409="","",固定信息!$B$1)</f>
        <v/>
      </c>
      <c r="M409" s="18" t="str">
        <f t="array" ref="M409">IF(_xlfn.XLOOKUP(A409&amp;B409&amp;C409,盘货信息!$A:$A&amp;盘货信息!$B:$B&amp;盘货信息!$C:$C,盘货信息!$O:$O)="","","【优惠券】领"&amp;INDEX(_wpsfn.REGEXP(_xlfn.XLOOKUP(A409&amp;B409&amp;C409,盘货信息!$A:$A&amp;盘货信息!$B:$B&amp;盘货信息!$C:$C,盘货信息!$O:$O),"\d+"),1,1)&amp;"元优惠券下单更优惠，优惠卷："&amp;_xlfn.XLOOKUP(A409&amp;B409&amp;C409,盘货信息!$A:$A&amp;盘货信息!$B:$B&amp;盘货信息!$C:$C,盘货信息!$P:$P))</f>
        <v/>
      </c>
      <c r="N409" s="18" t="str">
        <f t="array" ref="N409">IF(AND(ISNUMBER(_xlfn.XLOOKUP(A409&amp;B409&amp;C409,盘货信息!$A:$A&amp;盘货信息!$B:$B&amp;盘货信息!$C:$C,盘货信息!$I:$I)),_xlfn.XLOOKUP(A409&amp;B409&amp;C409,盘货信息!$A:$A&amp;盘货信息!$B:$B&amp;盘货信息!$C:$C,盘货信息!$I:$I)&gt;1),"【88VIP】立减"&amp;_xlfn.XLOOKUP(A409&amp;B409&amp;C409,盘货信息!$A:$A&amp;盘货信息!$B:$B&amp;盘货信息!$C:$C,盘货信息!$I:$I)&amp;"元","")</f>
        <v/>
      </c>
      <c r="O409" s="18" t="str">
        <f t="array" ref="O409">IF(_xlfn.XLOOKUP(A409&amp;B409&amp;C409,盘货信息!$A:$A&amp;盘货信息!$B:$B&amp;盘货信息!$C:$C,盘货信息!$K:$K)="","",IF(AND(_xlfn.XLOOKUP(A409&amp;B409&amp;C409,盘货信息!$A:$A&amp;盘货信息!$B:$B&amp;盘货信息!$C:$C,盘货信息!$G:$G)="不参加",_xlfn.XLOOKUP(A409&amp;B409&amp;C409,盘货信息!$A:$A&amp;盘货信息!$B:$B&amp;盘货信息!$C:$C,盘货信息!$H:$H)=""),"【以旧换新】"&amp;_xlfn.XLOOKUP(A409&amp;B409&amp;C409,盘货信息!$A:$A&amp;盘货信息!$B:$B&amp;盘货信息!$C:$C,盘货信息!$K:$K)&amp;"元以旧换新补贴（可无旧机换新）",""))</f>
        <v/>
      </c>
      <c r="P409" s="18" t="str">
        <f t="array" ref="P409">_xlfn.XLOOKUP(A409&amp;B409&amp;C409,赠品!$A:$A&amp;赠品!$B:$B&amp;赠品!$C:$C,赠品!$D:$D)</f>
        <v/>
      </c>
      <c r="Q409" s="18" t="str">
        <f>IF($C409="","",IF(AND(M409="",N409="",P409=""),"",固定信息!$B$1))</f>
        <v/>
      </c>
      <c r="R409" s="18" t="str">
        <f t="array" ref="R409">IF(ISNUMBER(SEARCH("是",_xlfn.XLOOKUP(A409&amp;B409&amp;C409,盘货信息!$A:$A&amp;盘货信息!$B:$B&amp;盘货信息!$C:$C,盘货信息!$U:$U))),"【折扣】指定型号满2类享96折，满3类享94折","")</f>
        <v/>
      </c>
      <c r="S409" s="18" t="str">
        <f t="array" ref="S409">IF(_xlfn.XLOOKUP(A409&amp;B409&amp;C409,盘货信息!$A:$A&amp;盘货信息!$B:$B&amp;盘货信息!$C:$C,盘货信息!$Q:$Q)&lt;1,"","【红包】活动时间购机送"&amp;_xlfn.TEXTJOIN("",,IF(ISNUMBER(--MID(_xlfn.XLOOKUP(A409&amp;B409&amp;C409,盘货信息!$A:$A&amp;盘货信息!$B:$B&amp;盘货信息!$C:$C,盘货信息!$Q:$Q),_xlfn.SEQUENCE(LEN(_xlfn.XLOOKUP(A409&amp;B409&amp;C409,盘货信息!$A:$A&amp;盘货信息!$B:$B&amp;盘货信息!$C:$C,盘货信息!$Q:$Q))),1)),MID(_xlfn.XLOOKUP(A409&amp;B409&amp;C409,盘货信息!$A:$A&amp;盘货信息!$B:$B&amp;盘货信息!$C:$C,盘货信息!$Q:$Q),_xlfn.SEQUENCE(LEN(_xlfn.XLOOKUP(A409&amp;B409&amp;C409,盘货信息!$A:$A&amp;盘货信息!$B:$B&amp;盘货信息!$C:$C,盘货信息!$Q:$Q))),1),""))&amp;"元")</f>
        <v/>
      </c>
      <c r="T409" s="18" t="str">
        <f t="array" ref="T409">IF(ISNUMBER(SEARCH("是",_xlfn.XLOOKUP(A409&amp;B409&amp;C409,盘货信息!$A:$A&amp;盘货信息!$B:$B&amp;盘货信息!$C:$C,盘货信息!$T:$T))),"【瓜分】"&amp;固定信息!$B$7,"")</f>
        <v/>
      </c>
      <c r="U409" s="18" t="str">
        <f>IF($C409="","",IF(AND(R409="",S409="",T409=""),"",固定信息!$B$1))</f>
        <v/>
      </c>
      <c r="V409" s="18" t="str">
        <f t="array" ref="V409">IF(C409="","","【服务】"&amp;IF(_xlfn.XLOOKUP(A409&amp;B409&amp;C409,盘货信息!$A:$A&amp;盘货信息!$B:$B&amp;盘货信息!$C:$C,盘货信息!$V:$V)="","",_xlfn.XLOOKUP(A409&amp;B409&amp;C409,盘货信息!$A:$A&amp;盘货信息!$B:$B&amp;盘货信息!$C:$C,盘货信息!$V:$V)&amp;"免息,")&amp;IF(_xlfn.XLOOKUP(A409&amp;B409&amp;C409,盘货信息!$A:$A&amp;盘货信息!$B:$B&amp;盘货信息!$C:$C,盘货信息!$W:$W)="","",_xlfn.XLOOKUP(A409&amp;B409&amp;C409,盘货信息!$A:$A&amp;盘货信息!$B:$B&amp;盘货信息!$C:$C,盘货信息!$W:$W)&amp;"，")&amp;"送货入户，退换免运费")</f>
        <v/>
      </c>
    </row>
    <row r="410" customHeight="1" spans="1:22">
      <c r="A410" s="17" t="str">
        <f>IF(盘货信息!A410="","",盘货信息!A410)</f>
        <v/>
      </c>
      <c r="B410" s="20" t="str">
        <f>IF(盘货信息!B410="","",盘货信息!B410)</f>
        <v/>
      </c>
      <c r="C410" s="18" t="str">
        <f>IF(盘货信息!C410="","",盘货信息!C410)</f>
        <v/>
      </c>
      <c r="D410" s="18" t="str">
        <f ca="1" t="shared" si="6"/>
        <v/>
      </c>
      <c r="E410" s="18" t="str">
        <f>IF(C410="","",固定信息!$B$2)</f>
        <v/>
      </c>
      <c r="F410" s="18" t="str">
        <f t="array" ref="F410">IF(C410="","","【"&amp;C410&amp;"】"&amp;_xlfn.XLOOKUP(A410&amp;B410&amp;C410,盘货信息!$A:$A&amp;盘货信息!$B:$B&amp;盘货信息!$C:$C,盘货信息!$D:$D))</f>
        <v/>
      </c>
      <c r="G410" s="18" t="str">
        <f>IF(C410="","","【"&amp;"活动时间："&amp;固定信息!$B$3&amp;"】")</f>
        <v/>
      </c>
      <c r="H410" s="18" t="str">
        <f>IF($C410="","",固定信息!$B$1)</f>
        <v/>
      </c>
      <c r="I410" s="18"/>
      <c r="J410" s="18" t="str">
        <f t="array" ref="J410">_xlfn.XLOOKUP(A410&amp;B410&amp;C410,价格信息!$A:$A&amp;价格信息!$B:$B&amp;价格信息!$C:$C,价格信息!$D:$D)</f>
        <v/>
      </c>
      <c r="K410" s="31" t="str">
        <f t="array" ref="K410">IF(_xlfn.XLOOKUP(A410&amp;B410&amp;C410,价格信息!$A:$A&amp;价格信息!$B:$B&amp;价格信息!$C:$C,价格信息!$I:$I)="","","【优惠券链接】"&amp;固定信息!$B$6)</f>
        <v/>
      </c>
      <c r="L410" s="31" t="str">
        <f>IF($C410="","",固定信息!$B$1)</f>
        <v/>
      </c>
      <c r="M410" s="18" t="str">
        <f t="array" ref="M410">IF(_xlfn.XLOOKUP(A410&amp;B410&amp;C410,盘货信息!$A:$A&amp;盘货信息!$B:$B&amp;盘货信息!$C:$C,盘货信息!$O:$O)="","","【优惠券】领"&amp;INDEX(_wpsfn.REGEXP(_xlfn.XLOOKUP(A410&amp;B410&amp;C410,盘货信息!$A:$A&amp;盘货信息!$B:$B&amp;盘货信息!$C:$C,盘货信息!$O:$O),"\d+"),1,1)&amp;"元优惠券下单更优惠，优惠卷："&amp;_xlfn.XLOOKUP(A410&amp;B410&amp;C410,盘货信息!$A:$A&amp;盘货信息!$B:$B&amp;盘货信息!$C:$C,盘货信息!$P:$P))</f>
        <v/>
      </c>
      <c r="N410" s="18" t="str">
        <f t="array" ref="N410">IF(AND(ISNUMBER(_xlfn.XLOOKUP(A410&amp;B410&amp;C410,盘货信息!$A:$A&amp;盘货信息!$B:$B&amp;盘货信息!$C:$C,盘货信息!$I:$I)),_xlfn.XLOOKUP(A410&amp;B410&amp;C410,盘货信息!$A:$A&amp;盘货信息!$B:$B&amp;盘货信息!$C:$C,盘货信息!$I:$I)&gt;1),"【88VIP】立减"&amp;_xlfn.XLOOKUP(A410&amp;B410&amp;C410,盘货信息!$A:$A&amp;盘货信息!$B:$B&amp;盘货信息!$C:$C,盘货信息!$I:$I)&amp;"元","")</f>
        <v/>
      </c>
      <c r="O410" s="18" t="str">
        <f t="array" ref="O410">IF(_xlfn.XLOOKUP(A410&amp;B410&amp;C410,盘货信息!$A:$A&amp;盘货信息!$B:$B&amp;盘货信息!$C:$C,盘货信息!$K:$K)="","",IF(AND(_xlfn.XLOOKUP(A410&amp;B410&amp;C410,盘货信息!$A:$A&amp;盘货信息!$B:$B&amp;盘货信息!$C:$C,盘货信息!$G:$G)="不参加",_xlfn.XLOOKUP(A410&amp;B410&amp;C410,盘货信息!$A:$A&amp;盘货信息!$B:$B&amp;盘货信息!$C:$C,盘货信息!$H:$H)=""),"【以旧换新】"&amp;_xlfn.XLOOKUP(A410&amp;B410&amp;C410,盘货信息!$A:$A&amp;盘货信息!$B:$B&amp;盘货信息!$C:$C,盘货信息!$K:$K)&amp;"元以旧换新补贴（可无旧机换新）",""))</f>
        <v/>
      </c>
      <c r="P410" s="18" t="str">
        <f t="array" ref="P410">_xlfn.XLOOKUP(A410&amp;B410&amp;C410,赠品!$A:$A&amp;赠品!$B:$B&amp;赠品!$C:$C,赠品!$D:$D)</f>
        <v/>
      </c>
      <c r="Q410" s="18" t="str">
        <f>IF($C410="","",IF(AND(M410="",N410="",P410=""),"",固定信息!$B$1))</f>
        <v/>
      </c>
      <c r="R410" s="18" t="str">
        <f t="array" ref="R410">IF(ISNUMBER(SEARCH("是",_xlfn.XLOOKUP(A410&amp;B410&amp;C410,盘货信息!$A:$A&amp;盘货信息!$B:$B&amp;盘货信息!$C:$C,盘货信息!$U:$U))),"【折扣】指定型号满2类享96折，满3类享94折","")</f>
        <v/>
      </c>
      <c r="S410" s="18" t="str">
        <f t="array" ref="S410">IF(_xlfn.XLOOKUP(A410&amp;B410&amp;C410,盘货信息!$A:$A&amp;盘货信息!$B:$B&amp;盘货信息!$C:$C,盘货信息!$Q:$Q)&lt;1,"","【红包】活动时间购机送"&amp;_xlfn.TEXTJOIN("",,IF(ISNUMBER(--MID(_xlfn.XLOOKUP(A410&amp;B410&amp;C410,盘货信息!$A:$A&amp;盘货信息!$B:$B&amp;盘货信息!$C:$C,盘货信息!$Q:$Q),_xlfn.SEQUENCE(LEN(_xlfn.XLOOKUP(A410&amp;B410&amp;C410,盘货信息!$A:$A&amp;盘货信息!$B:$B&amp;盘货信息!$C:$C,盘货信息!$Q:$Q))),1)),MID(_xlfn.XLOOKUP(A410&amp;B410&amp;C410,盘货信息!$A:$A&amp;盘货信息!$B:$B&amp;盘货信息!$C:$C,盘货信息!$Q:$Q),_xlfn.SEQUENCE(LEN(_xlfn.XLOOKUP(A410&amp;B410&amp;C410,盘货信息!$A:$A&amp;盘货信息!$B:$B&amp;盘货信息!$C:$C,盘货信息!$Q:$Q))),1),""))&amp;"元")</f>
        <v/>
      </c>
      <c r="T410" s="18" t="str">
        <f t="array" ref="T410">IF(ISNUMBER(SEARCH("是",_xlfn.XLOOKUP(A410&amp;B410&amp;C410,盘货信息!$A:$A&amp;盘货信息!$B:$B&amp;盘货信息!$C:$C,盘货信息!$T:$T))),"【瓜分】"&amp;固定信息!$B$7,"")</f>
        <v/>
      </c>
      <c r="U410" s="18" t="str">
        <f>IF($C410="","",IF(AND(R410="",S410="",T410=""),"",固定信息!$B$1))</f>
        <v/>
      </c>
      <c r="V410" s="18" t="str">
        <f t="array" ref="V410">IF(C410="","","【服务】"&amp;IF(_xlfn.XLOOKUP(A410&amp;B410&amp;C410,盘货信息!$A:$A&amp;盘货信息!$B:$B&amp;盘货信息!$C:$C,盘货信息!$V:$V)="","",_xlfn.XLOOKUP(A410&amp;B410&amp;C410,盘货信息!$A:$A&amp;盘货信息!$B:$B&amp;盘货信息!$C:$C,盘货信息!$V:$V)&amp;"免息,")&amp;IF(_xlfn.XLOOKUP(A410&amp;B410&amp;C410,盘货信息!$A:$A&amp;盘货信息!$B:$B&amp;盘货信息!$C:$C,盘货信息!$W:$W)="","",_xlfn.XLOOKUP(A410&amp;B410&amp;C410,盘货信息!$A:$A&amp;盘货信息!$B:$B&amp;盘货信息!$C:$C,盘货信息!$W:$W)&amp;"，")&amp;"送货入户，退换免运费")</f>
        <v/>
      </c>
    </row>
    <row r="411" customHeight="1" spans="1:22">
      <c r="A411" s="17" t="str">
        <f>IF(盘货信息!A411="","",盘货信息!A411)</f>
        <v/>
      </c>
      <c r="B411" s="20" t="str">
        <f>IF(盘货信息!B411="","",盘货信息!B411)</f>
        <v/>
      </c>
      <c r="C411" s="18" t="str">
        <f>IF(盘货信息!C411="","",盘货信息!C411)</f>
        <v/>
      </c>
      <c r="D411" s="18" t="str">
        <f ca="1" t="shared" si="6"/>
        <v/>
      </c>
      <c r="E411" s="18" t="str">
        <f>IF(C411="","",固定信息!$B$2)</f>
        <v/>
      </c>
      <c r="F411" s="18" t="str">
        <f t="array" ref="F411">IF(C411="","","【"&amp;C411&amp;"】"&amp;_xlfn.XLOOKUP(A411&amp;B411&amp;C411,盘货信息!$A:$A&amp;盘货信息!$B:$B&amp;盘货信息!$C:$C,盘货信息!$D:$D))</f>
        <v/>
      </c>
      <c r="G411" s="18" t="str">
        <f>IF(C411="","","【"&amp;"活动时间："&amp;固定信息!$B$3&amp;"】")</f>
        <v/>
      </c>
      <c r="H411" s="18" t="str">
        <f>IF($C411="","",固定信息!$B$1)</f>
        <v/>
      </c>
      <c r="I411" s="18"/>
      <c r="J411" s="18" t="str">
        <f t="array" ref="J411">_xlfn.XLOOKUP(A411&amp;B411&amp;C411,价格信息!$A:$A&amp;价格信息!$B:$B&amp;价格信息!$C:$C,价格信息!$D:$D)</f>
        <v/>
      </c>
      <c r="K411" s="31" t="str">
        <f t="array" ref="K411">IF(_xlfn.XLOOKUP(A411&amp;B411&amp;C411,价格信息!$A:$A&amp;价格信息!$B:$B&amp;价格信息!$C:$C,价格信息!$I:$I)="","","【优惠券链接】"&amp;固定信息!$B$6)</f>
        <v/>
      </c>
      <c r="L411" s="31" t="str">
        <f>IF($C411="","",固定信息!$B$1)</f>
        <v/>
      </c>
      <c r="M411" s="18" t="str">
        <f t="array" ref="M411">IF(_xlfn.XLOOKUP(A411&amp;B411&amp;C411,盘货信息!$A:$A&amp;盘货信息!$B:$B&amp;盘货信息!$C:$C,盘货信息!$O:$O)="","","【优惠券】领"&amp;INDEX(_wpsfn.REGEXP(_xlfn.XLOOKUP(A411&amp;B411&amp;C411,盘货信息!$A:$A&amp;盘货信息!$B:$B&amp;盘货信息!$C:$C,盘货信息!$O:$O),"\d+"),1,1)&amp;"元优惠券下单更优惠，优惠卷："&amp;_xlfn.XLOOKUP(A411&amp;B411&amp;C411,盘货信息!$A:$A&amp;盘货信息!$B:$B&amp;盘货信息!$C:$C,盘货信息!$P:$P))</f>
        <v/>
      </c>
      <c r="N411" s="18" t="str">
        <f t="array" ref="N411">IF(AND(ISNUMBER(_xlfn.XLOOKUP(A411&amp;B411&amp;C411,盘货信息!$A:$A&amp;盘货信息!$B:$B&amp;盘货信息!$C:$C,盘货信息!$I:$I)),_xlfn.XLOOKUP(A411&amp;B411&amp;C411,盘货信息!$A:$A&amp;盘货信息!$B:$B&amp;盘货信息!$C:$C,盘货信息!$I:$I)&gt;1),"【88VIP】立减"&amp;_xlfn.XLOOKUP(A411&amp;B411&amp;C411,盘货信息!$A:$A&amp;盘货信息!$B:$B&amp;盘货信息!$C:$C,盘货信息!$I:$I)&amp;"元","")</f>
        <v/>
      </c>
      <c r="O411" s="18" t="str">
        <f t="array" ref="O411">IF(_xlfn.XLOOKUP(A411&amp;B411&amp;C411,盘货信息!$A:$A&amp;盘货信息!$B:$B&amp;盘货信息!$C:$C,盘货信息!$K:$K)="","",IF(AND(_xlfn.XLOOKUP(A411&amp;B411&amp;C411,盘货信息!$A:$A&amp;盘货信息!$B:$B&amp;盘货信息!$C:$C,盘货信息!$G:$G)="不参加",_xlfn.XLOOKUP(A411&amp;B411&amp;C411,盘货信息!$A:$A&amp;盘货信息!$B:$B&amp;盘货信息!$C:$C,盘货信息!$H:$H)=""),"【以旧换新】"&amp;_xlfn.XLOOKUP(A411&amp;B411&amp;C411,盘货信息!$A:$A&amp;盘货信息!$B:$B&amp;盘货信息!$C:$C,盘货信息!$K:$K)&amp;"元以旧换新补贴（可无旧机换新）",""))</f>
        <v/>
      </c>
      <c r="P411" s="18" t="str">
        <f t="array" ref="P411">_xlfn.XLOOKUP(A411&amp;B411&amp;C411,赠品!$A:$A&amp;赠品!$B:$B&amp;赠品!$C:$C,赠品!$D:$D)</f>
        <v/>
      </c>
      <c r="Q411" s="18" t="str">
        <f>IF($C411="","",IF(AND(M411="",N411="",P411=""),"",固定信息!$B$1))</f>
        <v/>
      </c>
      <c r="R411" s="18" t="str">
        <f t="array" ref="R411">IF(ISNUMBER(SEARCH("是",_xlfn.XLOOKUP(A411&amp;B411&amp;C411,盘货信息!$A:$A&amp;盘货信息!$B:$B&amp;盘货信息!$C:$C,盘货信息!$U:$U))),"【折扣】指定型号满2类享96折，满3类享94折","")</f>
        <v/>
      </c>
      <c r="S411" s="18" t="str">
        <f t="array" ref="S411">IF(_xlfn.XLOOKUP(A411&amp;B411&amp;C411,盘货信息!$A:$A&amp;盘货信息!$B:$B&amp;盘货信息!$C:$C,盘货信息!$Q:$Q)&lt;1,"","【红包】活动时间购机送"&amp;_xlfn.TEXTJOIN("",,IF(ISNUMBER(--MID(_xlfn.XLOOKUP(A411&amp;B411&amp;C411,盘货信息!$A:$A&amp;盘货信息!$B:$B&amp;盘货信息!$C:$C,盘货信息!$Q:$Q),_xlfn.SEQUENCE(LEN(_xlfn.XLOOKUP(A411&amp;B411&amp;C411,盘货信息!$A:$A&amp;盘货信息!$B:$B&amp;盘货信息!$C:$C,盘货信息!$Q:$Q))),1)),MID(_xlfn.XLOOKUP(A411&amp;B411&amp;C411,盘货信息!$A:$A&amp;盘货信息!$B:$B&amp;盘货信息!$C:$C,盘货信息!$Q:$Q),_xlfn.SEQUENCE(LEN(_xlfn.XLOOKUP(A411&amp;B411&amp;C411,盘货信息!$A:$A&amp;盘货信息!$B:$B&amp;盘货信息!$C:$C,盘货信息!$Q:$Q))),1),""))&amp;"元")</f>
        <v/>
      </c>
      <c r="T411" s="18" t="str">
        <f t="array" ref="T411">IF(ISNUMBER(SEARCH("是",_xlfn.XLOOKUP(A411&amp;B411&amp;C411,盘货信息!$A:$A&amp;盘货信息!$B:$B&amp;盘货信息!$C:$C,盘货信息!$T:$T))),"【瓜分】"&amp;固定信息!$B$7,"")</f>
        <v/>
      </c>
      <c r="U411" s="18" t="str">
        <f>IF($C411="","",IF(AND(R411="",S411="",T411=""),"",固定信息!$B$1))</f>
        <v/>
      </c>
      <c r="V411" s="18" t="str">
        <f t="array" ref="V411">IF(C411="","","【服务】"&amp;IF(_xlfn.XLOOKUP(A411&amp;B411&amp;C411,盘货信息!$A:$A&amp;盘货信息!$B:$B&amp;盘货信息!$C:$C,盘货信息!$V:$V)="","",_xlfn.XLOOKUP(A411&amp;B411&amp;C411,盘货信息!$A:$A&amp;盘货信息!$B:$B&amp;盘货信息!$C:$C,盘货信息!$V:$V)&amp;"免息,")&amp;IF(_xlfn.XLOOKUP(A411&amp;B411&amp;C411,盘货信息!$A:$A&amp;盘货信息!$B:$B&amp;盘货信息!$C:$C,盘货信息!$W:$W)="","",_xlfn.XLOOKUP(A411&amp;B411&amp;C411,盘货信息!$A:$A&amp;盘货信息!$B:$B&amp;盘货信息!$C:$C,盘货信息!$W:$W)&amp;"，")&amp;"送货入户，退换免运费")</f>
        <v/>
      </c>
    </row>
    <row r="412" customHeight="1" spans="1:22">
      <c r="A412" s="17" t="str">
        <f>IF(盘货信息!A412="","",盘货信息!A412)</f>
        <v/>
      </c>
      <c r="B412" s="20" t="str">
        <f>IF(盘货信息!B412="","",盘货信息!B412)</f>
        <v/>
      </c>
      <c r="C412" s="18" t="str">
        <f>IF(盘货信息!C412="","",盘货信息!C412)</f>
        <v/>
      </c>
      <c r="D412" s="18" t="str">
        <f ca="1" t="shared" si="6"/>
        <v/>
      </c>
      <c r="E412" s="18" t="str">
        <f>IF(C412="","",固定信息!$B$2)</f>
        <v/>
      </c>
      <c r="F412" s="18" t="str">
        <f t="array" ref="F412">IF(C412="","","【"&amp;C412&amp;"】"&amp;_xlfn.XLOOKUP(A412&amp;B412&amp;C412,盘货信息!$A:$A&amp;盘货信息!$B:$B&amp;盘货信息!$C:$C,盘货信息!$D:$D))</f>
        <v/>
      </c>
      <c r="G412" s="18" t="str">
        <f>IF(C412="","","【"&amp;"活动时间："&amp;固定信息!$B$3&amp;"】")</f>
        <v/>
      </c>
      <c r="H412" s="18" t="str">
        <f>IF($C412="","",固定信息!$B$1)</f>
        <v/>
      </c>
      <c r="I412" s="18"/>
      <c r="J412" s="18" t="str">
        <f t="array" ref="J412">_xlfn.XLOOKUP(A412&amp;B412&amp;C412,价格信息!$A:$A&amp;价格信息!$B:$B&amp;价格信息!$C:$C,价格信息!$D:$D)</f>
        <v/>
      </c>
      <c r="K412" s="31" t="str">
        <f t="array" ref="K412">IF(_xlfn.XLOOKUP(A412&amp;B412&amp;C412,价格信息!$A:$A&amp;价格信息!$B:$B&amp;价格信息!$C:$C,价格信息!$I:$I)="","","【优惠券链接】"&amp;固定信息!$B$6)</f>
        <v/>
      </c>
      <c r="L412" s="31" t="str">
        <f>IF($C412="","",固定信息!$B$1)</f>
        <v/>
      </c>
      <c r="M412" s="18" t="str">
        <f t="array" ref="M412">IF(_xlfn.XLOOKUP(A412&amp;B412&amp;C412,盘货信息!$A:$A&amp;盘货信息!$B:$B&amp;盘货信息!$C:$C,盘货信息!$O:$O)="","","【优惠券】领"&amp;INDEX(_wpsfn.REGEXP(_xlfn.XLOOKUP(A412&amp;B412&amp;C412,盘货信息!$A:$A&amp;盘货信息!$B:$B&amp;盘货信息!$C:$C,盘货信息!$O:$O),"\d+"),1,1)&amp;"元优惠券下单更优惠，优惠卷："&amp;_xlfn.XLOOKUP(A412&amp;B412&amp;C412,盘货信息!$A:$A&amp;盘货信息!$B:$B&amp;盘货信息!$C:$C,盘货信息!$P:$P))</f>
        <v/>
      </c>
      <c r="N412" s="18" t="str">
        <f t="array" ref="N412">IF(AND(ISNUMBER(_xlfn.XLOOKUP(A412&amp;B412&amp;C412,盘货信息!$A:$A&amp;盘货信息!$B:$B&amp;盘货信息!$C:$C,盘货信息!$I:$I)),_xlfn.XLOOKUP(A412&amp;B412&amp;C412,盘货信息!$A:$A&amp;盘货信息!$B:$B&amp;盘货信息!$C:$C,盘货信息!$I:$I)&gt;1),"【88VIP】立减"&amp;_xlfn.XLOOKUP(A412&amp;B412&amp;C412,盘货信息!$A:$A&amp;盘货信息!$B:$B&amp;盘货信息!$C:$C,盘货信息!$I:$I)&amp;"元","")</f>
        <v/>
      </c>
      <c r="O412" s="18" t="str">
        <f t="array" ref="O412">IF(_xlfn.XLOOKUP(A412&amp;B412&amp;C412,盘货信息!$A:$A&amp;盘货信息!$B:$B&amp;盘货信息!$C:$C,盘货信息!$K:$K)="","",IF(AND(_xlfn.XLOOKUP(A412&amp;B412&amp;C412,盘货信息!$A:$A&amp;盘货信息!$B:$B&amp;盘货信息!$C:$C,盘货信息!$G:$G)="不参加",_xlfn.XLOOKUP(A412&amp;B412&amp;C412,盘货信息!$A:$A&amp;盘货信息!$B:$B&amp;盘货信息!$C:$C,盘货信息!$H:$H)=""),"【以旧换新】"&amp;_xlfn.XLOOKUP(A412&amp;B412&amp;C412,盘货信息!$A:$A&amp;盘货信息!$B:$B&amp;盘货信息!$C:$C,盘货信息!$K:$K)&amp;"元以旧换新补贴（可无旧机换新）",""))</f>
        <v/>
      </c>
      <c r="P412" s="18" t="str">
        <f t="array" ref="P412">_xlfn.XLOOKUP(A412&amp;B412&amp;C412,赠品!$A:$A&amp;赠品!$B:$B&amp;赠品!$C:$C,赠品!$D:$D)</f>
        <v/>
      </c>
      <c r="Q412" s="18" t="str">
        <f>IF($C412="","",IF(AND(M412="",N412="",P412=""),"",固定信息!$B$1))</f>
        <v/>
      </c>
      <c r="R412" s="18" t="str">
        <f t="array" ref="R412">IF(ISNUMBER(SEARCH("是",_xlfn.XLOOKUP(A412&amp;B412&amp;C412,盘货信息!$A:$A&amp;盘货信息!$B:$B&amp;盘货信息!$C:$C,盘货信息!$U:$U))),"【折扣】指定型号满2类享96折，满3类享94折","")</f>
        <v/>
      </c>
      <c r="S412" s="18" t="str">
        <f t="array" ref="S412">IF(_xlfn.XLOOKUP(A412&amp;B412&amp;C412,盘货信息!$A:$A&amp;盘货信息!$B:$B&amp;盘货信息!$C:$C,盘货信息!$Q:$Q)&lt;1,"","【红包】活动时间购机送"&amp;_xlfn.TEXTJOIN("",,IF(ISNUMBER(--MID(_xlfn.XLOOKUP(A412&amp;B412&amp;C412,盘货信息!$A:$A&amp;盘货信息!$B:$B&amp;盘货信息!$C:$C,盘货信息!$Q:$Q),_xlfn.SEQUENCE(LEN(_xlfn.XLOOKUP(A412&amp;B412&amp;C412,盘货信息!$A:$A&amp;盘货信息!$B:$B&amp;盘货信息!$C:$C,盘货信息!$Q:$Q))),1)),MID(_xlfn.XLOOKUP(A412&amp;B412&amp;C412,盘货信息!$A:$A&amp;盘货信息!$B:$B&amp;盘货信息!$C:$C,盘货信息!$Q:$Q),_xlfn.SEQUENCE(LEN(_xlfn.XLOOKUP(A412&amp;B412&amp;C412,盘货信息!$A:$A&amp;盘货信息!$B:$B&amp;盘货信息!$C:$C,盘货信息!$Q:$Q))),1),""))&amp;"元")</f>
        <v/>
      </c>
      <c r="T412" s="18" t="str">
        <f t="array" ref="T412">IF(ISNUMBER(SEARCH("是",_xlfn.XLOOKUP(A412&amp;B412&amp;C412,盘货信息!$A:$A&amp;盘货信息!$B:$B&amp;盘货信息!$C:$C,盘货信息!$T:$T))),"【瓜分】"&amp;固定信息!$B$7,"")</f>
        <v/>
      </c>
      <c r="U412" s="18" t="str">
        <f>IF($C412="","",IF(AND(R412="",S412="",T412=""),"",固定信息!$B$1))</f>
        <v/>
      </c>
      <c r="V412" s="18" t="str">
        <f t="array" ref="V412">IF(C412="","","【服务】"&amp;IF(_xlfn.XLOOKUP(A412&amp;B412&amp;C412,盘货信息!$A:$A&amp;盘货信息!$B:$B&amp;盘货信息!$C:$C,盘货信息!$V:$V)="","",_xlfn.XLOOKUP(A412&amp;B412&amp;C412,盘货信息!$A:$A&amp;盘货信息!$B:$B&amp;盘货信息!$C:$C,盘货信息!$V:$V)&amp;"免息,")&amp;IF(_xlfn.XLOOKUP(A412&amp;B412&amp;C412,盘货信息!$A:$A&amp;盘货信息!$B:$B&amp;盘货信息!$C:$C,盘货信息!$W:$W)="","",_xlfn.XLOOKUP(A412&amp;B412&amp;C412,盘货信息!$A:$A&amp;盘货信息!$B:$B&amp;盘货信息!$C:$C,盘货信息!$W:$W)&amp;"，")&amp;"送货入户，退换免运费")</f>
        <v/>
      </c>
    </row>
    <row r="413" customHeight="1" spans="1:22">
      <c r="A413" s="17" t="str">
        <f>IF(盘货信息!A413="","",盘货信息!A413)</f>
        <v/>
      </c>
      <c r="B413" s="20" t="str">
        <f>IF(盘货信息!B413="","",盘货信息!B413)</f>
        <v/>
      </c>
      <c r="C413" s="18" t="str">
        <f>IF(盘货信息!C413="","",盘货信息!C413)</f>
        <v/>
      </c>
      <c r="D413" s="18" t="str">
        <f ca="1" t="shared" si="6"/>
        <v/>
      </c>
      <c r="E413" s="18" t="str">
        <f>IF(C413="","",固定信息!$B$2)</f>
        <v/>
      </c>
      <c r="F413" s="18" t="str">
        <f t="array" ref="F413">IF(C413="","","【"&amp;C413&amp;"】"&amp;_xlfn.XLOOKUP(A413&amp;B413&amp;C413,盘货信息!$A:$A&amp;盘货信息!$B:$B&amp;盘货信息!$C:$C,盘货信息!$D:$D))</f>
        <v/>
      </c>
      <c r="G413" s="18" t="str">
        <f>IF(C413="","","【"&amp;"活动时间："&amp;固定信息!$B$3&amp;"】")</f>
        <v/>
      </c>
      <c r="H413" s="18" t="str">
        <f>IF($C413="","",固定信息!$B$1)</f>
        <v/>
      </c>
      <c r="I413" s="18"/>
      <c r="J413" s="18" t="str">
        <f t="array" ref="J413">_xlfn.XLOOKUP(A413&amp;B413&amp;C413,价格信息!$A:$A&amp;价格信息!$B:$B&amp;价格信息!$C:$C,价格信息!$D:$D)</f>
        <v/>
      </c>
      <c r="K413" s="31" t="str">
        <f t="array" ref="K413">IF(_xlfn.XLOOKUP(A413&amp;B413&amp;C413,价格信息!$A:$A&amp;价格信息!$B:$B&amp;价格信息!$C:$C,价格信息!$I:$I)="","","【优惠券链接】"&amp;固定信息!$B$6)</f>
        <v/>
      </c>
      <c r="L413" s="31" t="str">
        <f>IF($C413="","",固定信息!$B$1)</f>
        <v/>
      </c>
      <c r="M413" s="18" t="str">
        <f t="array" ref="M413">IF(_xlfn.XLOOKUP(A413&amp;B413&amp;C413,盘货信息!$A:$A&amp;盘货信息!$B:$B&amp;盘货信息!$C:$C,盘货信息!$O:$O)="","","【优惠券】领"&amp;INDEX(_wpsfn.REGEXP(_xlfn.XLOOKUP(A413&amp;B413&amp;C413,盘货信息!$A:$A&amp;盘货信息!$B:$B&amp;盘货信息!$C:$C,盘货信息!$O:$O),"\d+"),1,1)&amp;"元优惠券下单更优惠，优惠卷："&amp;_xlfn.XLOOKUP(A413&amp;B413&amp;C413,盘货信息!$A:$A&amp;盘货信息!$B:$B&amp;盘货信息!$C:$C,盘货信息!$P:$P))</f>
        <v/>
      </c>
      <c r="N413" s="18" t="str">
        <f t="array" ref="N413">IF(AND(ISNUMBER(_xlfn.XLOOKUP(A413&amp;B413&amp;C413,盘货信息!$A:$A&amp;盘货信息!$B:$B&amp;盘货信息!$C:$C,盘货信息!$I:$I)),_xlfn.XLOOKUP(A413&amp;B413&amp;C413,盘货信息!$A:$A&amp;盘货信息!$B:$B&amp;盘货信息!$C:$C,盘货信息!$I:$I)&gt;1),"【88VIP】立减"&amp;_xlfn.XLOOKUP(A413&amp;B413&amp;C413,盘货信息!$A:$A&amp;盘货信息!$B:$B&amp;盘货信息!$C:$C,盘货信息!$I:$I)&amp;"元","")</f>
        <v/>
      </c>
      <c r="O413" s="18" t="str">
        <f t="array" ref="O413">IF(_xlfn.XLOOKUP(A413&amp;B413&amp;C413,盘货信息!$A:$A&amp;盘货信息!$B:$B&amp;盘货信息!$C:$C,盘货信息!$K:$K)="","",IF(AND(_xlfn.XLOOKUP(A413&amp;B413&amp;C413,盘货信息!$A:$A&amp;盘货信息!$B:$B&amp;盘货信息!$C:$C,盘货信息!$G:$G)="不参加",_xlfn.XLOOKUP(A413&amp;B413&amp;C413,盘货信息!$A:$A&amp;盘货信息!$B:$B&amp;盘货信息!$C:$C,盘货信息!$H:$H)=""),"【以旧换新】"&amp;_xlfn.XLOOKUP(A413&amp;B413&amp;C413,盘货信息!$A:$A&amp;盘货信息!$B:$B&amp;盘货信息!$C:$C,盘货信息!$K:$K)&amp;"元以旧换新补贴（可无旧机换新）",""))</f>
        <v/>
      </c>
      <c r="P413" s="18" t="str">
        <f t="array" ref="P413">_xlfn.XLOOKUP(A413&amp;B413&amp;C413,赠品!$A:$A&amp;赠品!$B:$B&amp;赠品!$C:$C,赠品!$D:$D)</f>
        <v/>
      </c>
      <c r="Q413" s="18" t="str">
        <f>IF($C413="","",IF(AND(M413="",N413="",P413=""),"",固定信息!$B$1))</f>
        <v/>
      </c>
      <c r="R413" s="18" t="str">
        <f t="array" ref="R413">IF(ISNUMBER(SEARCH("是",_xlfn.XLOOKUP(A413&amp;B413&amp;C413,盘货信息!$A:$A&amp;盘货信息!$B:$B&amp;盘货信息!$C:$C,盘货信息!$U:$U))),"【折扣】指定型号满2类享96折，满3类享94折","")</f>
        <v/>
      </c>
      <c r="S413" s="18" t="str">
        <f t="array" ref="S413">IF(_xlfn.XLOOKUP(A413&amp;B413&amp;C413,盘货信息!$A:$A&amp;盘货信息!$B:$B&amp;盘货信息!$C:$C,盘货信息!$Q:$Q)&lt;1,"","【红包】活动时间购机送"&amp;_xlfn.TEXTJOIN("",,IF(ISNUMBER(--MID(_xlfn.XLOOKUP(A413&amp;B413&amp;C413,盘货信息!$A:$A&amp;盘货信息!$B:$B&amp;盘货信息!$C:$C,盘货信息!$Q:$Q),_xlfn.SEQUENCE(LEN(_xlfn.XLOOKUP(A413&amp;B413&amp;C413,盘货信息!$A:$A&amp;盘货信息!$B:$B&amp;盘货信息!$C:$C,盘货信息!$Q:$Q))),1)),MID(_xlfn.XLOOKUP(A413&amp;B413&amp;C413,盘货信息!$A:$A&amp;盘货信息!$B:$B&amp;盘货信息!$C:$C,盘货信息!$Q:$Q),_xlfn.SEQUENCE(LEN(_xlfn.XLOOKUP(A413&amp;B413&amp;C413,盘货信息!$A:$A&amp;盘货信息!$B:$B&amp;盘货信息!$C:$C,盘货信息!$Q:$Q))),1),""))&amp;"元")</f>
        <v/>
      </c>
      <c r="T413" s="18" t="str">
        <f t="array" ref="T413">IF(ISNUMBER(SEARCH("是",_xlfn.XLOOKUP(A413&amp;B413&amp;C413,盘货信息!$A:$A&amp;盘货信息!$B:$B&amp;盘货信息!$C:$C,盘货信息!$T:$T))),"【瓜分】"&amp;固定信息!$B$7,"")</f>
        <v/>
      </c>
      <c r="U413" s="18" t="str">
        <f>IF($C413="","",IF(AND(R413="",S413="",T413=""),"",固定信息!$B$1))</f>
        <v/>
      </c>
      <c r="V413" s="18" t="str">
        <f t="array" ref="V413">IF(C413="","","【服务】"&amp;IF(_xlfn.XLOOKUP(A413&amp;B413&amp;C413,盘货信息!$A:$A&amp;盘货信息!$B:$B&amp;盘货信息!$C:$C,盘货信息!$V:$V)="","",_xlfn.XLOOKUP(A413&amp;B413&amp;C413,盘货信息!$A:$A&amp;盘货信息!$B:$B&amp;盘货信息!$C:$C,盘货信息!$V:$V)&amp;"免息,")&amp;IF(_xlfn.XLOOKUP(A413&amp;B413&amp;C413,盘货信息!$A:$A&amp;盘货信息!$B:$B&amp;盘货信息!$C:$C,盘货信息!$W:$W)="","",_xlfn.XLOOKUP(A413&amp;B413&amp;C413,盘货信息!$A:$A&amp;盘货信息!$B:$B&amp;盘货信息!$C:$C,盘货信息!$W:$W)&amp;"，")&amp;"送货入户，退换免运费")</f>
        <v/>
      </c>
    </row>
    <row r="414" customHeight="1" spans="1:22">
      <c r="A414" s="17" t="str">
        <f>IF(盘货信息!A414="","",盘货信息!A414)</f>
        <v/>
      </c>
      <c r="B414" s="20" t="str">
        <f>IF(盘货信息!B414="","",盘货信息!B414)</f>
        <v/>
      </c>
      <c r="C414" s="18" t="str">
        <f>IF(盘货信息!C414="","",盘货信息!C414)</f>
        <v/>
      </c>
      <c r="D414" s="18" t="str">
        <f ca="1" t="shared" si="6"/>
        <v/>
      </c>
      <c r="E414" s="18" t="str">
        <f>IF(C414="","",固定信息!$B$2)</f>
        <v/>
      </c>
      <c r="F414" s="18" t="str">
        <f t="array" ref="F414">IF(C414="","","【"&amp;C414&amp;"】"&amp;_xlfn.XLOOKUP(A414&amp;B414&amp;C414,盘货信息!$A:$A&amp;盘货信息!$B:$B&amp;盘货信息!$C:$C,盘货信息!$D:$D))</f>
        <v/>
      </c>
      <c r="G414" s="18" t="str">
        <f>IF(C414="","","【"&amp;"活动时间："&amp;固定信息!$B$3&amp;"】")</f>
        <v/>
      </c>
      <c r="H414" s="18" t="str">
        <f>IF($C414="","",固定信息!$B$1)</f>
        <v/>
      </c>
      <c r="I414" s="18"/>
      <c r="J414" s="18" t="str">
        <f t="array" ref="J414">_xlfn.XLOOKUP(A414&amp;B414&amp;C414,价格信息!$A:$A&amp;价格信息!$B:$B&amp;价格信息!$C:$C,价格信息!$D:$D)</f>
        <v/>
      </c>
      <c r="K414" s="31" t="str">
        <f t="array" ref="K414">IF(_xlfn.XLOOKUP(A414&amp;B414&amp;C414,价格信息!$A:$A&amp;价格信息!$B:$B&amp;价格信息!$C:$C,价格信息!$I:$I)="","","【优惠券链接】"&amp;固定信息!$B$6)</f>
        <v/>
      </c>
      <c r="L414" s="31" t="str">
        <f>IF($C414="","",固定信息!$B$1)</f>
        <v/>
      </c>
      <c r="M414" s="18" t="str">
        <f t="array" ref="M414">IF(_xlfn.XLOOKUP(A414&amp;B414&amp;C414,盘货信息!$A:$A&amp;盘货信息!$B:$B&amp;盘货信息!$C:$C,盘货信息!$O:$O)="","","【优惠券】领"&amp;INDEX(_wpsfn.REGEXP(_xlfn.XLOOKUP(A414&amp;B414&amp;C414,盘货信息!$A:$A&amp;盘货信息!$B:$B&amp;盘货信息!$C:$C,盘货信息!$O:$O),"\d+"),1,1)&amp;"元优惠券下单更优惠，优惠卷："&amp;_xlfn.XLOOKUP(A414&amp;B414&amp;C414,盘货信息!$A:$A&amp;盘货信息!$B:$B&amp;盘货信息!$C:$C,盘货信息!$P:$P))</f>
        <v/>
      </c>
      <c r="N414" s="18" t="str">
        <f t="array" ref="N414">IF(AND(ISNUMBER(_xlfn.XLOOKUP(A414&amp;B414&amp;C414,盘货信息!$A:$A&amp;盘货信息!$B:$B&amp;盘货信息!$C:$C,盘货信息!$I:$I)),_xlfn.XLOOKUP(A414&amp;B414&amp;C414,盘货信息!$A:$A&amp;盘货信息!$B:$B&amp;盘货信息!$C:$C,盘货信息!$I:$I)&gt;1),"【88VIP】立减"&amp;_xlfn.XLOOKUP(A414&amp;B414&amp;C414,盘货信息!$A:$A&amp;盘货信息!$B:$B&amp;盘货信息!$C:$C,盘货信息!$I:$I)&amp;"元","")</f>
        <v/>
      </c>
      <c r="O414" s="18" t="str">
        <f t="array" ref="O414">IF(_xlfn.XLOOKUP(A414&amp;B414&amp;C414,盘货信息!$A:$A&amp;盘货信息!$B:$B&amp;盘货信息!$C:$C,盘货信息!$K:$K)="","",IF(AND(_xlfn.XLOOKUP(A414&amp;B414&amp;C414,盘货信息!$A:$A&amp;盘货信息!$B:$B&amp;盘货信息!$C:$C,盘货信息!$G:$G)="不参加",_xlfn.XLOOKUP(A414&amp;B414&amp;C414,盘货信息!$A:$A&amp;盘货信息!$B:$B&amp;盘货信息!$C:$C,盘货信息!$H:$H)=""),"【以旧换新】"&amp;_xlfn.XLOOKUP(A414&amp;B414&amp;C414,盘货信息!$A:$A&amp;盘货信息!$B:$B&amp;盘货信息!$C:$C,盘货信息!$K:$K)&amp;"元以旧换新补贴（可无旧机换新）",""))</f>
        <v/>
      </c>
      <c r="P414" s="18" t="str">
        <f t="array" ref="P414">_xlfn.XLOOKUP(A414&amp;B414&amp;C414,赠品!$A:$A&amp;赠品!$B:$B&amp;赠品!$C:$C,赠品!$D:$D)</f>
        <v/>
      </c>
      <c r="Q414" s="18" t="str">
        <f>IF($C414="","",IF(AND(M414="",N414="",P414=""),"",固定信息!$B$1))</f>
        <v/>
      </c>
      <c r="R414" s="18" t="str">
        <f t="array" ref="R414">IF(ISNUMBER(SEARCH("是",_xlfn.XLOOKUP(A414&amp;B414&amp;C414,盘货信息!$A:$A&amp;盘货信息!$B:$B&amp;盘货信息!$C:$C,盘货信息!$U:$U))),"【折扣】指定型号满2类享96折，满3类享94折","")</f>
        <v/>
      </c>
      <c r="S414" s="18" t="str">
        <f t="array" ref="S414">IF(_xlfn.XLOOKUP(A414&amp;B414&amp;C414,盘货信息!$A:$A&amp;盘货信息!$B:$B&amp;盘货信息!$C:$C,盘货信息!$Q:$Q)&lt;1,"","【红包】活动时间购机送"&amp;_xlfn.TEXTJOIN("",,IF(ISNUMBER(--MID(_xlfn.XLOOKUP(A414&amp;B414&amp;C414,盘货信息!$A:$A&amp;盘货信息!$B:$B&amp;盘货信息!$C:$C,盘货信息!$Q:$Q),_xlfn.SEQUENCE(LEN(_xlfn.XLOOKUP(A414&amp;B414&amp;C414,盘货信息!$A:$A&amp;盘货信息!$B:$B&amp;盘货信息!$C:$C,盘货信息!$Q:$Q))),1)),MID(_xlfn.XLOOKUP(A414&amp;B414&amp;C414,盘货信息!$A:$A&amp;盘货信息!$B:$B&amp;盘货信息!$C:$C,盘货信息!$Q:$Q),_xlfn.SEQUENCE(LEN(_xlfn.XLOOKUP(A414&amp;B414&amp;C414,盘货信息!$A:$A&amp;盘货信息!$B:$B&amp;盘货信息!$C:$C,盘货信息!$Q:$Q))),1),""))&amp;"元")</f>
        <v/>
      </c>
      <c r="T414" s="18" t="str">
        <f t="array" ref="T414">IF(ISNUMBER(SEARCH("是",_xlfn.XLOOKUP(A414&amp;B414&amp;C414,盘货信息!$A:$A&amp;盘货信息!$B:$B&amp;盘货信息!$C:$C,盘货信息!$T:$T))),"【瓜分】"&amp;固定信息!$B$7,"")</f>
        <v/>
      </c>
      <c r="U414" s="18" t="str">
        <f>IF($C414="","",IF(AND(R414="",S414="",T414=""),"",固定信息!$B$1))</f>
        <v/>
      </c>
      <c r="V414" s="18" t="str">
        <f t="array" ref="V414">IF(C414="","","【服务】"&amp;IF(_xlfn.XLOOKUP(A414&amp;B414&amp;C414,盘货信息!$A:$A&amp;盘货信息!$B:$B&amp;盘货信息!$C:$C,盘货信息!$V:$V)="","",_xlfn.XLOOKUP(A414&amp;B414&amp;C414,盘货信息!$A:$A&amp;盘货信息!$B:$B&amp;盘货信息!$C:$C,盘货信息!$V:$V)&amp;"免息,")&amp;IF(_xlfn.XLOOKUP(A414&amp;B414&amp;C414,盘货信息!$A:$A&amp;盘货信息!$B:$B&amp;盘货信息!$C:$C,盘货信息!$W:$W)="","",_xlfn.XLOOKUP(A414&amp;B414&amp;C414,盘货信息!$A:$A&amp;盘货信息!$B:$B&amp;盘货信息!$C:$C,盘货信息!$W:$W)&amp;"，")&amp;"送货入户，退换免运费")</f>
        <v/>
      </c>
    </row>
    <row r="415" customHeight="1" spans="1:22">
      <c r="A415" s="17" t="str">
        <f>IF(盘货信息!A415="","",盘货信息!A415)</f>
        <v/>
      </c>
      <c r="B415" s="20" t="str">
        <f>IF(盘货信息!B415="","",盘货信息!B415)</f>
        <v/>
      </c>
      <c r="C415" s="18" t="str">
        <f>IF(盘货信息!C415="","",盘货信息!C415)</f>
        <v/>
      </c>
      <c r="D415" s="18" t="str">
        <f ca="1" t="shared" si="6"/>
        <v/>
      </c>
      <c r="E415" s="18" t="str">
        <f>IF(C415="","",固定信息!$B$2)</f>
        <v/>
      </c>
      <c r="F415" s="18" t="str">
        <f t="array" ref="F415">IF(C415="","","【"&amp;C415&amp;"】"&amp;_xlfn.XLOOKUP(A415&amp;B415&amp;C415,盘货信息!$A:$A&amp;盘货信息!$B:$B&amp;盘货信息!$C:$C,盘货信息!$D:$D))</f>
        <v/>
      </c>
      <c r="G415" s="18" t="str">
        <f>IF(C415="","","【"&amp;"活动时间："&amp;固定信息!$B$3&amp;"】")</f>
        <v/>
      </c>
      <c r="H415" s="18" t="str">
        <f>IF($C415="","",固定信息!$B$1)</f>
        <v/>
      </c>
      <c r="I415" s="18"/>
      <c r="J415" s="18" t="str">
        <f t="array" ref="J415">_xlfn.XLOOKUP(A415&amp;B415&amp;C415,价格信息!$A:$A&amp;价格信息!$B:$B&amp;价格信息!$C:$C,价格信息!$D:$D)</f>
        <v/>
      </c>
      <c r="K415" s="31" t="str">
        <f t="array" ref="K415">IF(_xlfn.XLOOKUP(A415&amp;B415&amp;C415,价格信息!$A:$A&amp;价格信息!$B:$B&amp;价格信息!$C:$C,价格信息!$I:$I)="","","【优惠券链接】"&amp;固定信息!$B$6)</f>
        <v/>
      </c>
      <c r="L415" s="31" t="str">
        <f>IF($C415="","",固定信息!$B$1)</f>
        <v/>
      </c>
      <c r="M415" s="18" t="str">
        <f t="array" ref="M415">IF(_xlfn.XLOOKUP(A415&amp;B415&amp;C415,盘货信息!$A:$A&amp;盘货信息!$B:$B&amp;盘货信息!$C:$C,盘货信息!$O:$O)="","","【优惠券】领"&amp;INDEX(_wpsfn.REGEXP(_xlfn.XLOOKUP(A415&amp;B415&amp;C415,盘货信息!$A:$A&amp;盘货信息!$B:$B&amp;盘货信息!$C:$C,盘货信息!$O:$O),"\d+"),1,1)&amp;"元优惠券下单更优惠，优惠卷："&amp;_xlfn.XLOOKUP(A415&amp;B415&amp;C415,盘货信息!$A:$A&amp;盘货信息!$B:$B&amp;盘货信息!$C:$C,盘货信息!$P:$P))</f>
        <v/>
      </c>
      <c r="N415" s="18" t="str">
        <f t="array" ref="N415">IF(AND(ISNUMBER(_xlfn.XLOOKUP(A415&amp;B415&amp;C415,盘货信息!$A:$A&amp;盘货信息!$B:$B&amp;盘货信息!$C:$C,盘货信息!$I:$I)),_xlfn.XLOOKUP(A415&amp;B415&amp;C415,盘货信息!$A:$A&amp;盘货信息!$B:$B&amp;盘货信息!$C:$C,盘货信息!$I:$I)&gt;1),"【88VIP】立减"&amp;_xlfn.XLOOKUP(A415&amp;B415&amp;C415,盘货信息!$A:$A&amp;盘货信息!$B:$B&amp;盘货信息!$C:$C,盘货信息!$I:$I)&amp;"元","")</f>
        <v/>
      </c>
      <c r="O415" s="18" t="str">
        <f t="array" ref="O415">IF(_xlfn.XLOOKUP(A415&amp;B415&amp;C415,盘货信息!$A:$A&amp;盘货信息!$B:$B&amp;盘货信息!$C:$C,盘货信息!$K:$K)="","",IF(AND(_xlfn.XLOOKUP(A415&amp;B415&amp;C415,盘货信息!$A:$A&amp;盘货信息!$B:$B&amp;盘货信息!$C:$C,盘货信息!$G:$G)="不参加",_xlfn.XLOOKUP(A415&amp;B415&amp;C415,盘货信息!$A:$A&amp;盘货信息!$B:$B&amp;盘货信息!$C:$C,盘货信息!$H:$H)=""),"【以旧换新】"&amp;_xlfn.XLOOKUP(A415&amp;B415&amp;C415,盘货信息!$A:$A&amp;盘货信息!$B:$B&amp;盘货信息!$C:$C,盘货信息!$K:$K)&amp;"元以旧换新补贴（可无旧机换新）",""))</f>
        <v/>
      </c>
      <c r="P415" s="18" t="str">
        <f t="array" ref="P415">_xlfn.XLOOKUP(A415&amp;B415&amp;C415,赠品!$A:$A&amp;赠品!$B:$B&amp;赠品!$C:$C,赠品!$D:$D)</f>
        <v/>
      </c>
      <c r="Q415" s="18" t="str">
        <f>IF($C415="","",IF(AND(M415="",N415="",P415=""),"",固定信息!$B$1))</f>
        <v/>
      </c>
      <c r="R415" s="18" t="str">
        <f t="array" ref="R415">IF(ISNUMBER(SEARCH("是",_xlfn.XLOOKUP(A415&amp;B415&amp;C415,盘货信息!$A:$A&amp;盘货信息!$B:$B&amp;盘货信息!$C:$C,盘货信息!$U:$U))),"【折扣】指定型号满2类享96折，满3类享94折","")</f>
        <v/>
      </c>
      <c r="S415" s="18" t="str">
        <f t="array" ref="S415">IF(_xlfn.XLOOKUP(A415&amp;B415&amp;C415,盘货信息!$A:$A&amp;盘货信息!$B:$B&amp;盘货信息!$C:$C,盘货信息!$Q:$Q)&lt;1,"","【红包】活动时间购机送"&amp;_xlfn.TEXTJOIN("",,IF(ISNUMBER(--MID(_xlfn.XLOOKUP(A415&amp;B415&amp;C415,盘货信息!$A:$A&amp;盘货信息!$B:$B&amp;盘货信息!$C:$C,盘货信息!$Q:$Q),_xlfn.SEQUENCE(LEN(_xlfn.XLOOKUP(A415&amp;B415&amp;C415,盘货信息!$A:$A&amp;盘货信息!$B:$B&amp;盘货信息!$C:$C,盘货信息!$Q:$Q))),1)),MID(_xlfn.XLOOKUP(A415&amp;B415&amp;C415,盘货信息!$A:$A&amp;盘货信息!$B:$B&amp;盘货信息!$C:$C,盘货信息!$Q:$Q),_xlfn.SEQUENCE(LEN(_xlfn.XLOOKUP(A415&amp;B415&amp;C415,盘货信息!$A:$A&amp;盘货信息!$B:$B&amp;盘货信息!$C:$C,盘货信息!$Q:$Q))),1),""))&amp;"元")</f>
        <v/>
      </c>
      <c r="T415" s="18" t="str">
        <f t="array" ref="T415">IF(ISNUMBER(SEARCH("是",_xlfn.XLOOKUP(A415&amp;B415&amp;C415,盘货信息!$A:$A&amp;盘货信息!$B:$B&amp;盘货信息!$C:$C,盘货信息!$T:$T))),"【瓜分】"&amp;固定信息!$B$7,"")</f>
        <v/>
      </c>
      <c r="U415" s="18" t="str">
        <f>IF($C415="","",IF(AND(R415="",S415="",T415=""),"",固定信息!$B$1))</f>
        <v/>
      </c>
      <c r="V415" s="18" t="str">
        <f t="array" ref="V415">IF(C415="","","【服务】"&amp;IF(_xlfn.XLOOKUP(A415&amp;B415&amp;C415,盘货信息!$A:$A&amp;盘货信息!$B:$B&amp;盘货信息!$C:$C,盘货信息!$V:$V)="","",_xlfn.XLOOKUP(A415&amp;B415&amp;C415,盘货信息!$A:$A&amp;盘货信息!$B:$B&amp;盘货信息!$C:$C,盘货信息!$V:$V)&amp;"免息,")&amp;IF(_xlfn.XLOOKUP(A415&amp;B415&amp;C415,盘货信息!$A:$A&amp;盘货信息!$B:$B&amp;盘货信息!$C:$C,盘货信息!$W:$W)="","",_xlfn.XLOOKUP(A415&amp;B415&amp;C415,盘货信息!$A:$A&amp;盘货信息!$B:$B&amp;盘货信息!$C:$C,盘货信息!$W:$W)&amp;"，")&amp;"送货入户，退换免运费")</f>
        <v/>
      </c>
    </row>
    <row r="416" customHeight="1" spans="1:22">
      <c r="A416" s="17" t="str">
        <f>IF(盘货信息!A416="","",盘货信息!A416)</f>
        <v/>
      </c>
      <c r="B416" s="20" t="str">
        <f>IF(盘货信息!B416="","",盘货信息!B416)</f>
        <v/>
      </c>
      <c r="C416" s="18" t="str">
        <f>IF(盘货信息!C416="","",盘货信息!C416)</f>
        <v/>
      </c>
      <c r="D416" s="18" t="str">
        <f ca="1" t="shared" si="6"/>
        <v/>
      </c>
      <c r="E416" s="18" t="str">
        <f>IF(C416="","",固定信息!$B$2)</f>
        <v/>
      </c>
      <c r="F416" s="18" t="str">
        <f t="array" ref="F416">IF(C416="","","【"&amp;C416&amp;"】"&amp;_xlfn.XLOOKUP(A416&amp;B416&amp;C416,盘货信息!$A:$A&amp;盘货信息!$B:$B&amp;盘货信息!$C:$C,盘货信息!$D:$D))</f>
        <v/>
      </c>
      <c r="G416" s="18" t="str">
        <f>IF(C416="","","【"&amp;"活动时间："&amp;固定信息!$B$3&amp;"】")</f>
        <v/>
      </c>
      <c r="H416" s="18" t="str">
        <f>IF($C416="","",固定信息!$B$1)</f>
        <v/>
      </c>
      <c r="I416" s="18"/>
      <c r="J416" s="18" t="str">
        <f t="array" ref="J416">_xlfn.XLOOKUP(A416&amp;B416&amp;C416,价格信息!$A:$A&amp;价格信息!$B:$B&amp;价格信息!$C:$C,价格信息!$D:$D)</f>
        <v/>
      </c>
      <c r="K416" s="31" t="str">
        <f t="array" ref="K416">IF(_xlfn.XLOOKUP(A416&amp;B416&amp;C416,价格信息!$A:$A&amp;价格信息!$B:$B&amp;价格信息!$C:$C,价格信息!$I:$I)="","","【优惠券链接】"&amp;固定信息!$B$6)</f>
        <v/>
      </c>
      <c r="L416" s="31" t="str">
        <f>IF($C416="","",固定信息!$B$1)</f>
        <v/>
      </c>
      <c r="M416" s="18" t="str">
        <f t="array" ref="M416">IF(_xlfn.XLOOKUP(A416&amp;B416&amp;C416,盘货信息!$A:$A&amp;盘货信息!$B:$B&amp;盘货信息!$C:$C,盘货信息!$O:$O)="","","【优惠券】领"&amp;INDEX(_wpsfn.REGEXP(_xlfn.XLOOKUP(A416&amp;B416&amp;C416,盘货信息!$A:$A&amp;盘货信息!$B:$B&amp;盘货信息!$C:$C,盘货信息!$O:$O),"\d+"),1,1)&amp;"元优惠券下单更优惠，优惠卷："&amp;_xlfn.XLOOKUP(A416&amp;B416&amp;C416,盘货信息!$A:$A&amp;盘货信息!$B:$B&amp;盘货信息!$C:$C,盘货信息!$P:$P))</f>
        <v/>
      </c>
      <c r="N416" s="18" t="str">
        <f t="array" ref="N416">IF(AND(ISNUMBER(_xlfn.XLOOKUP(A416&amp;B416&amp;C416,盘货信息!$A:$A&amp;盘货信息!$B:$B&amp;盘货信息!$C:$C,盘货信息!$I:$I)),_xlfn.XLOOKUP(A416&amp;B416&amp;C416,盘货信息!$A:$A&amp;盘货信息!$B:$B&amp;盘货信息!$C:$C,盘货信息!$I:$I)&gt;1),"【88VIP】立减"&amp;_xlfn.XLOOKUP(A416&amp;B416&amp;C416,盘货信息!$A:$A&amp;盘货信息!$B:$B&amp;盘货信息!$C:$C,盘货信息!$I:$I)&amp;"元","")</f>
        <v/>
      </c>
      <c r="O416" s="18" t="str">
        <f t="array" ref="O416">IF(_xlfn.XLOOKUP(A416&amp;B416&amp;C416,盘货信息!$A:$A&amp;盘货信息!$B:$B&amp;盘货信息!$C:$C,盘货信息!$K:$K)="","",IF(AND(_xlfn.XLOOKUP(A416&amp;B416&amp;C416,盘货信息!$A:$A&amp;盘货信息!$B:$B&amp;盘货信息!$C:$C,盘货信息!$G:$G)="不参加",_xlfn.XLOOKUP(A416&amp;B416&amp;C416,盘货信息!$A:$A&amp;盘货信息!$B:$B&amp;盘货信息!$C:$C,盘货信息!$H:$H)=""),"【以旧换新】"&amp;_xlfn.XLOOKUP(A416&amp;B416&amp;C416,盘货信息!$A:$A&amp;盘货信息!$B:$B&amp;盘货信息!$C:$C,盘货信息!$K:$K)&amp;"元以旧换新补贴（可无旧机换新）",""))</f>
        <v/>
      </c>
      <c r="P416" s="18" t="str">
        <f t="array" ref="P416">_xlfn.XLOOKUP(A416&amp;B416&amp;C416,赠品!$A:$A&amp;赠品!$B:$B&amp;赠品!$C:$C,赠品!$D:$D)</f>
        <v/>
      </c>
      <c r="Q416" s="18" t="str">
        <f>IF($C416="","",IF(AND(M416="",N416="",P416=""),"",固定信息!$B$1))</f>
        <v/>
      </c>
      <c r="R416" s="18" t="str">
        <f t="array" ref="R416">IF(ISNUMBER(SEARCH("是",_xlfn.XLOOKUP(A416&amp;B416&amp;C416,盘货信息!$A:$A&amp;盘货信息!$B:$B&amp;盘货信息!$C:$C,盘货信息!$U:$U))),"【折扣】指定型号满2类享96折，满3类享94折","")</f>
        <v/>
      </c>
      <c r="S416" s="18" t="str">
        <f t="array" ref="S416">IF(_xlfn.XLOOKUP(A416&amp;B416&amp;C416,盘货信息!$A:$A&amp;盘货信息!$B:$B&amp;盘货信息!$C:$C,盘货信息!$Q:$Q)&lt;1,"","【红包】活动时间购机送"&amp;_xlfn.TEXTJOIN("",,IF(ISNUMBER(--MID(_xlfn.XLOOKUP(A416&amp;B416&amp;C416,盘货信息!$A:$A&amp;盘货信息!$B:$B&amp;盘货信息!$C:$C,盘货信息!$Q:$Q),_xlfn.SEQUENCE(LEN(_xlfn.XLOOKUP(A416&amp;B416&amp;C416,盘货信息!$A:$A&amp;盘货信息!$B:$B&amp;盘货信息!$C:$C,盘货信息!$Q:$Q))),1)),MID(_xlfn.XLOOKUP(A416&amp;B416&amp;C416,盘货信息!$A:$A&amp;盘货信息!$B:$B&amp;盘货信息!$C:$C,盘货信息!$Q:$Q),_xlfn.SEQUENCE(LEN(_xlfn.XLOOKUP(A416&amp;B416&amp;C416,盘货信息!$A:$A&amp;盘货信息!$B:$B&amp;盘货信息!$C:$C,盘货信息!$Q:$Q))),1),""))&amp;"元")</f>
        <v/>
      </c>
      <c r="T416" s="18" t="str">
        <f t="array" ref="T416">IF(ISNUMBER(SEARCH("是",_xlfn.XLOOKUP(A416&amp;B416&amp;C416,盘货信息!$A:$A&amp;盘货信息!$B:$B&amp;盘货信息!$C:$C,盘货信息!$T:$T))),"【瓜分】"&amp;固定信息!$B$7,"")</f>
        <v/>
      </c>
      <c r="U416" s="18" t="str">
        <f>IF($C416="","",IF(AND(R416="",S416="",T416=""),"",固定信息!$B$1))</f>
        <v/>
      </c>
      <c r="V416" s="18" t="str">
        <f t="array" ref="V416">IF(C416="","","【服务】"&amp;IF(_xlfn.XLOOKUP(A416&amp;B416&amp;C416,盘货信息!$A:$A&amp;盘货信息!$B:$B&amp;盘货信息!$C:$C,盘货信息!$V:$V)="","",_xlfn.XLOOKUP(A416&amp;B416&amp;C416,盘货信息!$A:$A&amp;盘货信息!$B:$B&amp;盘货信息!$C:$C,盘货信息!$V:$V)&amp;"免息,")&amp;IF(_xlfn.XLOOKUP(A416&amp;B416&amp;C416,盘货信息!$A:$A&amp;盘货信息!$B:$B&amp;盘货信息!$C:$C,盘货信息!$W:$W)="","",_xlfn.XLOOKUP(A416&amp;B416&amp;C416,盘货信息!$A:$A&amp;盘货信息!$B:$B&amp;盘货信息!$C:$C,盘货信息!$W:$W)&amp;"，")&amp;"送货入户，退换免运费")</f>
        <v/>
      </c>
    </row>
    <row r="417" customHeight="1" spans="1:22">
      <c r="A417" s="17" t="str">
        <f>IF(盘货信息!A417="","",盘货信息!A417)</f>
        <v/>
      </c>
      <c r="B417" s="20" t="str">
        <f>IF(盘货信息!B417="","",盘货信息!B417)</f>
        <v/>
      </c>
      <c r="C417" s="18" t="str">
        <f>IF(盘货信息!C417="","",盘货信息!C417)</f>
        <v/>
      </c>
      <c r="D417" s="18" t="str">
        <f ca="1" t="shared" si="6"/>
        <v/>
      </c>
      <c r="E417" s="18" t="str">
        <f>IF(C417="","",固定信息!$B$2)</f>
        <v/>
      </c>
      <c r="F417" s="18" t="str">
        <f t="array" ref="F417">IF(C417="","","【"&amp;C417&amp;"】"&amp;_xlfn.XLOOKUP(A417&amp;B417&amp;C417,盘货信息!$A:$A&amp;盘货信息!$B:$B&amp;盘货信息!$C:$C,盘货信息!$D:$D))</f>
        <v/>
      </c>
      <c r="G417" s="18" t="str">
        <f>IF(C417="","","【"&amp;"活动时间："&amp;固定信息!$B$3&amp;"】")</f>
        <v/>
      </c>
      <c r="H417" s="18" t="str">
        <f>IF($C417="","",固定信息!$B$1)</f>
        <v/>
      </c>
      <c r="I417" s="18"/>
      <c r="J417" s="18" t="str">
        <f t="array" ref="J417">_xlfn.XLOOKUP(A417&amp;B417&amp;C417,价格信息!$A:$A&amp;价格信息!$B:$B&amp;价格信息!$C:$C,价格信息!$D:$D)</f>
        <v/>
      </c>
      <c r="K417" s="31" t="str">
        <f t="array" ref="K417">IF(_xlfn.XLOOKUP(A417&amp;B417&amp;C417,价格信息!$A:$A&amp;价格信息!$B:$B&amp;价格信息!$C:$C,价格信息!$I:$I)="","","【优惠券链接】"&amp;固定信息!$B$6)</f>
        <v/>
      </c>
      <c r="L417" s="31" t="str">
        <f>IF($C417="","",固定信息!$B$1)</f>
        <v/>
      </c>
      <c r="M417" s="18" t="str">
        <f t="array" ref="M417">IF(_xlfn.XLOOKUP(A417&amp;B417&amp;C417,盘货信息!$A:$A&amp;盘货信息!$B:$B&amp;盘货信息!$C:$C,盘货信息!$O:$O)="","","【优惠券】领"&amp;INDEX(_wpsfn.REGEXP(_xlfn.XLOOKUP(A417&amp;B417&amp;C417,盘货信息!$A:$A&amp;盘货信息!$B:$B&amp;盘货信息!$C:$C,盘货信息!$O:$O),"\d+"),1,1)&amp;"元优惠券下单更优惠，优惠卷："&amp;_xlfn.XLOOKUP(A417&amp;B417&amp;C417,盘货信息!$A:$A&amp;盘货信息!$B:$B&amp;盘货信息!$C:$C,盘货信息!$P:$P))</f>
        <v/>
      </c>
      <c r="N417" s="18" t="str">
        <f t="array" ref="N417">IF(AND(ISNUMBER(_xlfn.XLOOKUP(A417&amp;B417&amp;C417,盘货信息!$A:$A&amp;盘货信息!$B:$B&amp;盘货信息!$C:$C,盘货信息!$I:$I)),_xlfn.XLOOKUP(A417&amp;B417&amp;C417,盘货信息!$A:$A&amp;盘货信息!$B:$B&amp;盘货信息!$C:$C,盘货信息!$I:$I)&gt;1),"【88VIP】立减"&amp;_xlfn.XLOOKUP(A417&amp;B417&amp;C417,盘货信息!$A:$A&amp;盘货信息!$B:$B&amp;盘货信息!$C:$C,盘货信息!$I:$I)&amp;"元","")</f>
        <v/>
      </c>
      <c r="O417" s="18" t="str">
        <f t="array" ref="O417">IF(_xlfn.XLOOKUP(A417&amp;B417&amp;C417,盘货信息!$A:$A&amp;盘货信息!$B:$B&amp;盘货信息!$C:$C,盘货信息!$K:$K)="","",IF(AND(_xlfn.XLOOKUP(A417&amp;B417&amp;C417,盘货信息!$A:$A&amp;盘货信息!$B:$B&amp;盘货信息!$C:$C,盘货信息!$G:$G)="不参加",_xlfn.XLOOKUP(A417&amp;B417&amp;C417,盘货信息!$A:$A&amp;盘货信息!$B:$B&amp;盘货信息!$C:$C,盘货信息!$H:$H)=""),"【以旧换新】"&amp;_xlfn.XLOOKUP(A417&amp;B417&amp;C417,盘货信息!$A:$A&amp;盘货信息!$B:$B&amp;盘货信息!$C:$C,盘货信息!$K:$K)&amp;"元以旧换新补贴（可无旧机换新）",""))</f>
        <v/>
      </c>
      <c r="P417" s="18" t="str">
        <f t="array" ref="P417">_xlfn.XLOOKUP(A417&amp;B417&amp;C417,赠品!$A:$A&amp;赠品!$B:$B&amp;赠品!$C:$C,赠品!$D:$D)</f>
        <v/>
      </c>
      <c r="Q417" s="18" t="str">
        <f>IF($C417="","",IF(AND(M417="",N417="",P417=""),"",固定信息!$B$1))</f>
        <v/>
      </c>
      <c r="R417" s="18" t="str">
        <f t="array" ref="R417">IF(ISNUMBER(SEARCH("是",_xlfn.XLOOKUP(A417&amp;B417&amp;C417,盘货信息!$A:$A&amp;盘货信息!$B:$B&amp;盘货信息!$C:$C,盘货信息!$U:$U))),"【折扣】指定型号满2类享96折，满3类享94折","")</f>
        <v/>
      </c>
      <c r="S417" s="18" t="str">
        <f t="array" ref="S417">IF(_xlfn.XLOOKUP(A417&amp;B417&amp;C417,盘货信息!$A:$A&amp;盘货信息!$B:$B&amp;盘货信息!$C:$C,盘货信息!$Q:$Q)&lt;1,"","【红包】活动时间购机送"&amp;_xlfn.TEXTJOIN("",,IF(ISNUMBER(--MID(_xlfn.XLOOKUP(A417&amp;B417&amp;C417,盘货信息!$A:$A&amp;盘货信息!$B:$B&amp;盘货信息!$C:$C,盘货信息!$Q:$Q),_xlfn.SEQUENCE(LEN(_xlfn.XLOOKUP(A417&amp;B417&amp;C417,盘货信息!$A:$A&amp;盘货信息!$B:$B&amp;盘货信息!$C:$C,盘货信息!$Q:$Q))),1)),MID(_xlfn.XLOOKUP(A417&amp;B417&amp;C417,盘货信息!$A:$A&amp;盘货信息!$B:$B&amp;盘货信息!$C:$C,盘货信息!$Q:$Q),_xlfn.SEQUENCE(LEN(_xlfn.XLOOKUP(A417&amp;B417&amp;C417,盘货信息!$A:$A&amp;盘货信息!$B:$B&amp;盘货信息!$C:$C,盘货信息!$Q:$Q))),1),""))&amp;"元")</f>
        <v/>
      </c>
      <c r="T417" s="18" t="str">
        <f t="array" ref="T417">IF(ISNUMBER(SEARCH("是",_xlfn.XLOOKUP(A417&amp;B417&amp;C417,盘货信息!$A:$A&amp;盘货信息!$B:$B&amp;盘货信息!$C:$C,盘货信息!$T:$T))),"【瓜分】"&amp;固定信息!$B$7,"")</f>
        <v/>
      </c>
      <c r="U417" s="18" t="str">
        <f>IF($C417="","",IF(AND(R417="",S417="",T417=""),"",固定信息!$B$1))</f>
        <v/>
      </c>
      <c r="V417" s="18" t="str">
        <f t="array" ref="V417">IF(C417="","","【服务】"&amp;IF(_xlfn.XLOOKUP(A417&amp;B417&amp;C417,盘货信息!$A:$A&amp;盘货信息!$B:$B&amp;盘货信息!$C:$C,盘货信息!$V:$V)="","",_xlfn.XLOOKUP(A417&amp;B417&amp;C417,盘货信息!$A:$A&amp;盘货信息!$B:$B&amp;盘货信息!$C:$C,盘货信息!$V:$V)&amp;"免息,")&amp;IF(_xlfn.XLOOKUP(A417&amp;B417&amp;C417,盘货信息!$A:$A&amp;盘货信息!$B:$B&amp;盘货信息!$C:$C,盘货信息!$W:$W)="","",_xlfn.XLOOKUP(A417&amp;B417&amp;C417,盘货信息!$A:$A&amp;盘货信息!$B:$B&amp;盘货信息!$C:$C,盘货信息!$W:$W)&amp;"，")&amp;"送货入户，退换免运费")</f>
        <v/>
      </c>
    </row>
    <row r="418" customHeight="1" spans="1:22">
      <c r="A418" s="17" t="str">
        <f>IF(盘货信息!A418="","",盘货信息!A418)</f>
        <v/>
      </c>
      <c r="B418" s="20" t="str">
        <f>IF(盘货信息!B418="","",盘货信息!B418)</f>
        <v/>
      </c>
      <c r="C418" s="18" t="str">
        <f>IF(盘货信息!C418="","",盘货信息!C418)</f>
        <v/>
      </c>
      <c r="D418" s="18" t="str">
        <f ca="1" t="shared" si="6"/>
        <v/>
      </c>
      <c r="E418" s="18" t="str">
        <f>IF(C418="","",固定信息!$B$2)</f>
        <v/>
      </c>
      <c r="F418" s="18" t="str">
        <f t="array" ref="F418">IF(C418="","","【"&amp;C418&amp;"】"&amp;_xlfn.XLOOKUP(A418&amp;B418&amp;C418,盘货信息!$A:$A&amp;盘货信息!$B:$B&amp;盘货信息!$C:$C,盘货信息!$D:$D))</f>
        <v/>
      </c>
      <c r="G418" s="18" t="str">
        <f>IF(C418="","","【"&amp;"活动时间："&amp;固定信息!$B$3&amp;"】")</f>
        <v/>
      </c>
      <c r="H418" s="18" t="str">
        <f>IF($C418="","",固定信息!$B$1)</f>
        <v/>
      </c>
      <c r="I418" s="18"/>
      <c r="J418" s="18" t="str">
        <f t="array" ref="J418">_xlfn.XLOOKUP(A418&amp;B418&amp;C418,价格信息!$A:$A&amp;价格信息!$B:$B&amp;价格信息!$C:$C,价格信息!$D:$D)</f>
        <v/>
      </c>
      <c r="K418" s="31" t="str">
        <f t="array" ref="K418">IF(_xlfn.XLOOKUP(A418&amp;B418&amp;C418,价格信息!$A:$A&amp;价格信息!$B:$B&amp;价格信息!$C:$C,价格信息!$I:$I)="","","【优惠券链接】"&amp;固定信息!$B$6)</f>
        <v/>
      </c>
      <c r="L418" s="31" t="str">
        <f>IF($C418="","",固定信息!$B$1)</f>
        <v/>
      </c>
      <c r="M418" s="18" t="str">
        <f t="array" ref="M418">IF(_xlfn.XLOOKUP(A418&amp;B418&amp;C418,盘货信息!$A:$A&amp;盘货信息!$B:$B&amp;盘货信息!$C:$C,盘货信息!$O:$O)="","","【优惠券】领"&amp;INDEX(_wpsfn.REGEXP(_xlfn.XLOOKUP(A418&amp;B418&amp;C418,盘货信息!$A:$A&amp;盘货信息!$B:$B&amp;盘货信息!$C:$C,盘货信息!$O:$O),"\d+"),1,1)&amp;"元优惠券下单更优惠，优惠卷："&amp;_xlfn.XLOOKUP(A418&amp;B418&amp;C418,盘货信息!$A:$A&amp;盘货信息!$B:$B&amp;盘货信息!$C:$C,盘货信息!$P:$P))</f>
        <v/>
      </c>
      <c r="N418" s="18" t="str">
        <f t="array" ref="N418">IF(AND(ISNUMBER(_xlfn.XLOOKUP(A418&amp;B418&amp;C418,盘货信息!$A:$A&amp;盘货信息!$B:$B&amp;盘货信息!$C:$C,盘货信息!$I:$I)),_xlfn.XLOOKUP(A418&amp;B418&amp;C418,盘货信息!$A:$A&amp;盘货信息!$B:$B&amp;盘货信息!$C:$C,盘货信息!$I:$I)&gt;1),"【88VIP】立减"&amp;_xlfn.XLOOKUP(A418&amp;B418&amp;C418,盘货信息!$A:$A&amp;盘货信息!$B:$B&amp;盘货信息!$C:$C,盘货信息!$I:$I)&amp;"元","")</f>
        <v/>
      </c>
      <c r="O418" s="18" t="str">
        <f t="array" ref="O418">IF(_xlfn.XLOOKUP(A418&amp;B418&amp;C418,盘货信息!$A:$A&amp;盘货信息!$B:$B&amp;盘货信息!$C:$C,盘货信息!$K:$K)="","",IF(AND(_xlfn.XLOOKUP(A418&amp;B418&amp;C418,盘货信息!$A:$A&amp;盘货信息!$B:$B&amp;盘货信息!$C:$C,盘货信息!$G:$G)="不参加",_xlfn.XLOOKUP(A418&amp;B418&amp;C418,盘货信息!$A:$A&amp;盘货信息!$B:$B&amp;盘货信息!$C:$C,盘货信息!$H:$H)=""),"【以旧换新】"&amp;_xlfn.XLOOKUP(A418&amp;B418&amp;C418,盘货信息!$A:$A&amp;盘货信息!$B:$B&amp;盘货信息!$C:$C,盘货信息!$K:$K)&amp;"元以旧换新补贴（可无旧机换新）",""))</f>
        <v/>
      </c>
      <c r="P418" s="18" t="str">
        <f t="array" ref="P418">_xlfn.XLOOKUP(A418&amp;B418&amp;C418,赠品!$A:$A&amp;赠品!$B:$B&amp;赠品!$C:$C,赠品!$D:$D)</f>
        <v/>
      </c>
      <c r="Q418" s="18" t="str">
        <f>IF($C418="","",IF(AND(M418="",N418="",P418=""),"",固定信息!$B$1))</f>
        <v/>
      </c>
      <c r="R418" s="18" t="str">
        <f t="array" ref="R418">IF(ISNUMBER(SEARCH("是",_xlfn.XLOOKUP(A418&amp;B418&amp;C418,盘货信息!$A:$A&amp;盘货信息!$B:$B&amp;盘货信息!$C:$C,盘货信息!$U:$U))),"【折扣】指定型号满2类享96折，满3类享94折","")</f>
        <v/>
      </c>
      <c r="S418" s="18" t="str">
        <f t="array" ref="S418">IF(_xlfn.XLOOKUP(A418&amp;B418&amp;C418,盘货信息!$A:$A&amp;盘货信息!$B:$B&amp;盘货信息!$C:$C,盘货信息!$Q:$Q)&lt;1,"","【红包】活动时间购机送"&amp;_xlfn.TEXTJOIN("",,IF(ISNUMBER(--MID(_xlfn.XLOOKUP(A418&amp;B418&amp;C418,盘货信息!$A:$A&amp;盘货信息!$B:$B&amp;盘货信息!$C:$C,盘货信息!$Q:$Q),_xlfn.SEQUENCE(LEN(_xlfn.XLOOKUP(A418&amp;B418&amp;C418,盘货信息!$A:$A&amp;盘货信息!$B:$B&amp;盘货信息!$C:$C,盘货信息!$Q:$Q))),1)),MID(_xlfn.XLOOKUP(A418&amp;B418&amp;C418,盘货信息!$A:$A&amp;盘货信息!$B:$B&amp;盘货信息!$C:$C,盘货信息!$Q:$Q),_xlfn.SEQUENCE(LEN(_xlfn.XLOOKUP(A418&amp;B418&amp;C418,盘货信息!$A:$A&amp;盘货信息!$B:$B&amp;盘货信息!$C:$C,盘货信息!$Q:$Q))),1),""))&amp;"元")</f>
        <v/>
      </c>
      <c r="T418" s="18" t="str">
        <f t="array" ref="T418">IF(ISNUMBER(SEARCH("是",_xlfn.XLOOKUP(A418&amp;B418&amp;C418,盘货信息!$A:$A&amp;盘货信息!$B:$B&amp;盘货信息!$C:$C,盘货信息!$T:$T))),"【瓜分】"&amp;固定信息!$B$7,"")</f>
        <v/>
      </c>
      <c r="U418" s="18" t="str">
        <f>IF($C418="","",IF(AND(R418="",S418="",T418=""),"",固定信息!$B$1))</f>
        <v/>
      </c>
      <c r="V418" s="18" t="str">
        <f t="array" ref="V418">IF(C418="","","【服务】"&amp;IF(_xlfn.XLOOKUP(A418&amp;B418&amp;C418,盘货信息!$A:$A&amp;盘货信息!$B:$B&amp;盘货信息!$C:$C,盘货信息!$V:$V)="","",_xlfn.XLOOKUP(A418&amp;B418&amp;C418,盘货信息!$A:$A&amp;盘货信息!$B:$B&amp;盘货信息!$C:$C,盘货信息!$V:$V)&amp;"免息,")&amp;IF(_xlfn.XLOOKUP(A418&amp;B418&amp;C418,盘货信息!$A:$A&amp;盘货信息!$B:$B&amp;盘货信息!$C:$C,盘货信息!$W:$W)="","",_xlfn.XLOOKUP(A418&amp;B418&amp;C418,盘货信息!$A:$A&amp;盘货信息!$B:$B&amp;盘货信息!$C:$C,盘货信息!$W:$W)&amp;"，")&amp;"送货入户，退换免运费")</f>
        <v/>
      </c>
    </row>
    <row r="419" customHeight="1" spans="1:22">
      <c r="A419" s="17" t="str">
        <f>IF(盘货信息!A419="","",盘货信息!A419)</f>
        <v/>
      </c>
      <c r="B419" s="20" t="str">
        <f>IF(盘货信息!B419="","",盘货信息!B419)</f>
        <v/>
      </c>
      <c r="C419" s="18" t="str">
        <f>IF(盘货信息!C419="","",盘货信息!C419)</f>
        <v/>
      </c>
      <c r="D419" s="18" t="str">
        <f ca="1" t="shared" si="6"/>
        <v/>
      </c>
      <c r="E419" s="18" t="str">
        <f>IF(C419="","",固定信息!$B$2)</f>
        <v/>
      </c>
      <c r="F419" s="18" t="str">
        <f t="array" ref="F419">IF(C419="","","【"&amp;C419&amp;"】"&amp;_xlfn.XLOOKUP(A419&amp;B419&amp;C419,盘货信息!$A:$A&amp;盘货信息!$B:$B&amp;盘货信息!$C:$C,盘货信息!$D:$D))</f>
        <v/>
      </c>
      <c r="G419" s="18" t="str">
        <f>IF(C419="","","【"&amp;"活动时间："&amp;固定信息!$B$3&amp;"】")</f>
        <v/>
      </c>
      <c r="H419" s="18" t="str">
        <f>IF($C419="","",固定信息!$B$1)</f>
        <v/>
      </c>
      <c r="I419" s="18"/>
      <c r="J419" s="18" t="str">
        <f t="array" ref="J419">_xlfn.XLOOKUP(A419&amp;B419&amp;C419,价格信息!$A:$A&amp;价格信息!$B:$B&amp;价格信息!$C:$C,价格信息!$D:$D)</f>
        <v/>
      </c>
      <c r="K419" s="31" t="str">
        <f t="array" ref="K419">IF(_xlfn.XLOOKUP(A419&amp;B419&amp;C419,价格信息!$A:$A&amp;价格信息!$B:$B&amp;价格信息!$C:$C,价格信息!$I:$I)="","","【优惠券链接】"&amp;固定信息!$B$6)</f>
        <v/>
      </c>
      <c r="L419" s="31" t="str">
        <f>IF($C419="","",固定信息!$B$1)</f>
        <v/>
      </c>
      <c r="M419" s="18" t="str">
        <f t="array" ref="M419">IF(_xlfn.XLOOKUP(A419&amp;B419&amp;C419,盘货信息!$A:$A&amp;盘货信息!$B:$B&amp;盘货信息!$C:$C,盘货信息!$O:$O)="","","【优惠券】领"&amp;INDEX(_wpsfn.REGEXP(_xlfn.XLOOKUP(A419&amp;B419&amp;C419,盘货信息!$A:$A&amp;盘货信息!$B:$B&amp;盘货信息!$C:$C,盘货信息!$O:$O),"\d+"),1,1)&amp;"元优惠券下单更优惠，优惠卷："&amp;_xlfn.XLOOKUP(A419&amp;B419&amp;C419,盘货信息!$A:$A&amp;盘货信息!$B:$B&amp;盘货信息!$C:$C,盘货信息!$P:$P))</f>
        <v/>
      </c>
      <c r="N419" s="18" t="str">
        <f t="array" ref="N419">IF(AND(ISNUMBER(_xlfn.XLOOKUP(A419&amp;B419&amp;C419,盘货信息!$A:$A&amp;盘货信息!$B:$B&amp;盘货信息!$C:$C,盘货信息!$I:$I)),_xlfn.XLOOKUP(A419&amp;B419&amp;C419,盘货信息!$A:$A&amp;盘货信息!$B:$B&amp;盘货信息!$C:$C,盘货信息!$I:$I)&gt;1),"【88VIP】立减"&amp;_xlfn.XLOOKUP(A419&amp;B419&amp;C419,盘货信息!$A:$A&amp;盘货信息!$B:$B&amp;盘货信息!$C:$C,盘货信息!$I:$I)&amp;"元","")</f>
        <v/>
      </c>
      <c r="O419" s="18" t="str">
        <f t="array" ref="O419">IF(_xlfn.XLOOKUP(A419&amp;B419&amp;C419,盘货信息!$A:$A&amp;盘货信息!$B:$B&amp;盘货信息!$C:$C,盘货信息!$K:$K)="","",IF(AND(_xlfn.XLOOKUP(A419&amp;B419&amp;C419,盘货信息!$A:$A&amp;盘货信息!$B:$B&amp;盘货信息!$C:$C,盘货信息!$G:$G)="不参加",_xlfn.XLOOKUP(A419&amp;B419&amp;C419,盘货信息!$A:$A&amp;盘货信息!$B:$B&amp;盘货信息!$C:$C,盘货信息!$H:$H)=""),"【以旧换新】"&amp;_xlfn.XLOOKUP(A419&amp;B419&amp;C419,盘货信息!$A:$A&amp;盘货信息!$B:$B&amp;盘货信息!$C:$C,盘货信息!$K:$K)&amp;"元以旧换新补贴（可无旧机换新）",""))</f>
        <v/>
      </c>
      <c r="P419" s="18" t="str">
        <f t="array" ref="P419">_xlfn.XLOOKUP(A419&amp;B419&amp;C419,赠品!$A:$A&amp;赠品!$B:$B&amp;赠品!$C:$C,赠品!$D:$D)</f>
        <v/>
      </c>
      <c r="Q419" s="18" t="str">
        <f>IF($C419="","",IF(AND(M419="",N419="",P419=""),"",固定信息!$B$1))</f>
        <v/>
      </c>
      <c r="R419" s="18" t="str">
        <f t="array" ref="R419">IF(ISNUMBER(SEARCH("是",_xlfn.XLOOKUP(A419&amp;B419&amp;C419,盘货信息!$A:$A&amp;盘货信息!$B:$B&amp;盘货信息!$C:$C,盘货信息!$U:$U))),"【折扣】指定型号满2类享96折，满3类享94折","")</f>
        <v/>
      </c>
      <c r="S419" s="18" t="str">
        <f t="array" ref="S419">IF(_xlfn.XLOOKUP(A419&amp;B419&amp;C419,盘货信息!$A:$A&amp;盘货信息!$B:$B&amp;盘货信息!$C:$C,盘货信息!$Q:$Q)&lt;1,"","【红包】活动时间购机送"&amp;_xlfn.TEXTJOIN("",,IF(ISNUMBER(--MID(_xlfn.XLOOKUP(A419&amp;B419&amp;C419,盘货信息!$A:$A&amp;盘货信息!$B:$B&amp;盘货信息!$C:$C,盘货信息!$Q:$Q),_xlfn.SEQUENCE(LEN(_xlfn.XLOOKUP(A419&amp;B419&amp;C419,盘货信息!$A:$A&amp;盘货信息!$B:$B&amp;盘货信息!$C:$C,盘货信息!$Q:$Q))),1)),MID(_xlfn.XLOOKUP(A419&amp;B419&amp;C419,盘货信息!$A:$A&amp;盘货信息!$B:$B&amp;盘货信息!$C:$C,盘货信息!$Q:$Q),_xlfn.SEQUENCE(LEN(_xlfn.XLOOKUP(A419&amp;B419&amp;C419,盘货信息!$A:$A&amp;盘货信息!$B:$B&amp;盘货信息!$C:$C,盘货信息!$Q:$Q))),1),""))&amp;"元")</f>
        <v/>
      </c>
      <c r="T419" s="18" t="str">
        <f t="array" ref="T419">IF(ISNUMBER(SEARCH("是",_xlfn.XLOOKUP(A419&amp;B419&amp;C419,盘货信息!$A:$A&amp;盘货信息!$B:$B&amp;盘货信息!$C:$C,盘货信息!$T:$T))),"【瓜分】"&amp;固定信息!$B$7,"")</f>
        <v/>
      </c>
      <c r="U419" s="18" t="str">
        <f>IF($C419="","",IF(AND(R419="",S419="",T419=""),"",固定信息!$B$1))</f>
        <v/>
      </c>
      <c r="V419" s="18" t="str">
        <f t="array" ref="V419">IF(C419="","","【服务】"&amp;IF(_xlfn.XLOOKUP(A419&amp;B419&amp;C419,盘货信息!$A:$A&amp;盘货信息!$B:$B&amp;盘货信息!$C:$C,盘货信息!$V:$V)="","",_xlfn.XLOOKUP(A419&amp;B419&amp;C419,盘货信息!$A:$A&amp;盘货信息!$B:$B&amp;盘货信息!$C:$C,盘货信息!$V:$V)&amp;"免息,")&amp;IF(_xlfn.XLOOKUP(A419&amp;B419&amp;C419,盘货信息!$A:$A&amp;盘货信息!$B:$B&amp;盘货信息!$C:$C,盘货信息!$W:$W)="","",_xlfn.XLOOKUP(A419&amp;B419&amp;C419,盘货信息!$A:$A&amp;盘货信息!$B:$B&amp;盘货信息!$C:$C,盘货信息!$W:$W)&amp;"，")&amp;"送货入户，退换免运费")</f>
        <v/>
      </c>
    </row>
    <row r="420" customHeight="1" spans="1:22">
      <c r="A420" s="17" t="str">
        <f>IF(盘货信息!A420="","",盘货信息!A420)</f>
        <v/>
      </c>
      <c r="B420" s="20" t="str">
        <f>IF(盘货信息!B420="","",盘货信息!B420)</f>
        <v/>
      </c>
      <c r="C420" s="18" t="str">
        <f>IF(盘货信息!C420="","",盘货信息!C420)</f>
        <v/>
      </c>
      <c r="D420" s="18" t="str">
        <f ca="1" t="shared" si="6"/>
        <v/>
      </c>
      <c r="E420" s="18" t="str">
        <f>IF(C420="","",固定信息!$B$2)</f>
        <v/>
      </c>
      <c r="F420" s="18" t="str">
        <f t="array" ref="F420">IF(C420="","","【"&amp;C420&amp;"】"&amp;_xlfn.XLOOKUP(A420&amp;B420&amp;C420,盘货信息!$A:$A&amp;盘货信息!$B:$B&amp;盘货信息!$C:$C,盘货信息!$D:$D))</f>
        <v/>
      </c>
      <c r="G420" s="18" t="str">
        <f>IF(C420="","","【"&amp;"活动时间："&amp;固定信息!$B$3&amp;"】")</f>
        <v/>
      </c>
      <c r="H420" s="18" t="str">
        <f>IF($C420="","",固定信息!$B$1)</f>
        <v/>
      </c>
      <c r="I420" s="18"/>
      <c r="J420" s="18" t="str">
        <f t="array" ref="J420">_xlfn.XLOOKUP(A420&amp;B420&amp;C420,价格信息!$A:$A&amp;价格信息!$B:$B&amp;价格信息!$C:$C,价格信息!$D:$D)</f>
        <v/>
      </c>
      <c r="K420" s="31" t="str">
        <f t="array" ref="K420">IF(_xlfn.XLOOKUP(A420&amp;B420&amp;C420,价格信息!$A:$A&amp;价格信息!$B:$B&amp;价格信息!$C:$C,价格信息!$I:$I)="","","【优惠券链接】"&amp;固定信息!$B$6)</f>
        <v/>
      </c>
      <c r="L420" s="31" t="str">
        <f>IF($C420="","",固定信息!$B$1)</f>
        <v/>
      </c>
      <c r="M420" s="18" t="str">
        <f t="array" ref="M420">IF(_xlfn.XLOOKUP(A420&amp;B420&amp;C420,盘货信息!$A:$A&amp;盘货信息!$B:$B&amp;盘货信息!$C:$C,盘货信息!$O:$O)="","","【优惠券】领"&amp;INDEX(_wpsfn.REGEXP(_xlfn.XLOOKUP(A420&amp;B420&amp;C420,盘货信息!$A:$A&amp;盘货信息!$B:$B&amp;盘货信息!$C:$C,盘货信息!$O:$O),"\d+"),1,1)&amp;"元优惠券下单更优惠，优惠卷："&amp;_xlfn.XLOOKUP(A420&amp;B420&amp;C420,盘货信息!$A:$A&amp;盘货信息!$B:$B&amp;盘货信息!$C:$C,盘货信息!$P:$P))</f>
        <v/>
      </c>
      <c r="N420" s="18" t="str">
        <f t="array" ref="N420">IF(AND(ISNUMBER(_xlfn.XLOOKUP(A420&amp;B420&amp;C420,盘货信息!$A:$A&amp;盘货信息!$B:$B&amp;盘货信息!$C:$C,盘货信息!$I:$I)),_xlfn.XLOOKUP(A420&amp;B420&amp;C420,盘货信息!$A:$A&amp;盘货信息!$B:$B&amp;盘货信息!$C:$C,盘货信息!$I:$I)&gt;1),"【88VIP】立减"&amp;_xlfn.XLOOKUP(A420&amp;B420&amp;C420,盘货信息!$A:$A&amp;盘货信息!$B:$B&amp;盘货信息!$C:$C,盘货信息!$I:$I)&amp;"元","")</f>
        <v/>
      </c>
      <c r="O420" s="18" t="str">
        <f t="array" ref="O420">IF(_xlfn.XLOOKUP(A420&amp;B420&amp;C420,盘货信息!$A:$A&amp;盘货信息!$B:$B&amp;盘货信息!$C:$C,盘货信息!$K:$K)="","",IF(AND(_xlfn.XLOOKUP(A420&amp;B420&amp;C420,盘货信息!$A:$A&amp;盘货信息!$B:$B&amp;盘货信息!$C:$C,盘货信息!$G:$G)="不参加",_xlfn.XLOOKUP(A420&amp;B420&amp;C420,盘货信息!$A:$A&amp;盘货信息!$B:$B&amp;盘货信息!$C:$C,盘货信息!$H:$H)=""),"【以旧换新】"&amp;_xlfn.XLOOKUP(A420&amp;B420&amp;C420,盘货信息!$A:$A&amp;盘货信息!$B:$B&amp;盘货信息!$C:$C,盘货信息!$K:$K)&amp;"元以旧换新补贴（可无旧机换新）",""))</f>
        <v/>
      </c>
      <c r="P420" s="18" t="str">
        <f t="array" ref="P420">_xlfn.XLOOKUP(A420&amp;B420&amp;C420,赠品!$A:$A&amp;赠品!$B:$B&amp;赠品!$C:$C,赠品!$D:$D)</f>
        <v/>
      </c>
      <c r="Q420" s="18" t="str">
        <f>IF($C420="","",IF(AND(M420="",N420="",P420=""),"",固定信息!$B$1))</f>
        <v/>
      </c>
      <c r="R420" s="18" t="str">
        <f t="array" ref="R420">IF(ISNUMBER(SEARCH("是",_xlfn.XLOOKUP(A420&amp;B420&amp;C420,盘货信息!$A:$A&amp;盘货信息!$B:$B&amp;盘货信息!$C:$C,盘货信息!$U:$U))),"【折扣】指定型号满2类享96折，满3类享94折","")</f>
        <v/>
      </c>
      <c r="S420" s="18" t="str">
        <f t="array" ref="S420">IF(_xlfn.XLOOKUP(A420&amp;B420&amp;C420,盘货信息!$A:$A&amp;盘货信息!$B:$B&amp;盘货信息!$C:$C,盘货信息!$Q:$Q)&lt;1,"","【红包】活动时间购机送"&amp;_xlfn.TEXTJOIN("",,IF(ISNUMBER(--MID(_xlfn.XLOOKUP(A420&amp;B420&amp;C420,盘货信息!$A:$A&amp;盘货信息!$B:$B&amp;盘货信息!$C:$C,盘货信息!$Q:$Q),_xlfn.SEQUENCE(LEN(_xlfn.XLOOKUP(A420&amp;B420&amp;C420,盘货信息!$A:$A&amp;盘货信息!$B:$B&amp;盘货信息!$C:$C,盘货信息!$Q:$Q))),1)),MID(_xlfn.XLOOKUP(A420&amp;B420&amp;C420,盘货信息!$A:$A&amp;盘货信息!$B:$B&amp;盘货信息!$C:$C,盘货信息!$Q:$Q),_xlfn.SEQUENCE(LEN(_xlfn.XLOOKUP(A420&amp;B420&amp;C420,盘货信息!$A:$A&amp;盘货信息!$B:$B&amp;盘货信息!$C:$C,盘货信息!$Q:$Q))),1),""))&amp;"元")</f>
        <v/>
      </c>
      <c r="T420" s="18" t="str">
        <f t="array" ref="T420">IF(ISNUMBER(SEARCH("是",_xlfn.XLOOKUP(A420&amp;B420&amp;C420,盘货信息!$A:$A&amp;盘货信息!$B:$B&amp;盘货信息!$C:$C,盘货信息!$T:$T))),"【瓜分】"&amp;固定信息!$B$7,"")</f>
        <v/>
      </c>
      <c r="U420" s="18" t="str">
        <f>IF($C420="","",IF(AND(R420="",S420="",T420=""),"",固定信息!$B$1))</f>
        <v/>
      </c>
      <c r="V420" s="18" t="str">
        <f t="array" ref="V420">IF(C420="","","【服务】"&amp;IF(_xlfn.XLOOKUP(A420&amp;B420&amp;C420,盘货信息!$A:$A&amp;盘货信息!$B:$B&amp;盘货信息!$C:$C,盘货信息!$V:$V)="","",_xlfn.XLOOKUP(A420&amp;B420&amp;C420,盘货信息!$A:$A&amp;盘货信息!$B:$B&amp;盘货信息!$C:$C,盘货信息!$V:$V)&amp;"免息,")&amp;IF(_xlfn.XLOOKUP(A420&amp;B420&amp;C420,盘货信息!$A:$A&amp;盘货信息!$B:$B&amp;盘货信息!$C:$C,盘货信息!$W:$W)="","",_xlfn.XLOOKUP(A420&amp;B420&amp;C420,盘货信息!$A:$A&amp;盘货信息!$B:$B&amp;盘货信息!$C:$C,盘货信息!$W:$W)&amp;"，")&amp;"送货入户，退换免运费")</f>
        <v/>
      </c>
    </row>
    <row r="421" customHeight="1" spans="1:22">
      <c r="A421" s="17" t="str">
        <f>IF(盘货信息!A421="","",盘货信息!A421)</f>
        <v/>
      </c>
      <c r="B421" s="20" t="str">
        <f>IF(盘货信息!B421="","",盘货信息!B421)</f>
        <v/>
      </c>
      <c r="C421" s="18" t="str">
        <f>IF(盘货信息!C421="","",盘货信息!C421)</f>
        <v/>
      </c>
      <c r="D421" s="18" t="str">
        <f ca="1" t="shared" si="6"/>
        <v/>
      </c>
      <c r="E421" s="18" t="str">
        <f>IF(C421="","",固定信息!$B$2)</f>
        <v/>
      </c>
      <c r="F421" s="18" t="str">
        <f t="array" ref="F421">IF(C421="","","【"&amp;C421&amp;"】"&amp;_xlfn.XLOOKUP(A421&amp;B421&amp;C421,盘货信息!$A:$A&amp;盘货信息!$B:$B&amp;盘货信息!$C:$C,盘货信息!$D:$D))</f>
        <v/>
      </c>
      <c r="G421" s="18" t="str">
        <f>IF(C421="","","【"&amp;"活动时间："&amp;固定信息!$B$3&amp;"】")</f>
        <v/>
      </c>
      <c r="H421" s="18" t="str">
        <f>IF($C421="","",固定信息!$B$1)</f>
        <v/>
      </c>
      <c r="I421" s="18"/>
      <c r="J421" s="18" t="str">
        <f t="array" ref="J421">_xlfn.XLOOKUP(A421&amp;B421&amp;C421,价格信息!$A:$A&amp;价格信息!$B:$B&amp;价格信息!$C:$C,价格信息!$D:$D)</f>
        <v/>
      </c>
      <c r="K421" s="31" t="str">
        <f t="array" ref="K421">IF(_xlfn.XLOOKUP(A421&amp;B421&amp;C421,价格信息!$A:$A&amp;价格信息!$B:$B&amp;价格信息!$C:$C,价格信息!$I:$I)="","","【优惠券链接】"&amp;固定信息!$B$6)</f>
        <v/>
      </c>
      <c r="L421" s="31" t="str">
        <f>IF($C421="","",固定信息!$B$1)</f>
        <v/>
      </c>
      <c r="M421" s="18" t="str">
        <f t="array" ref="M421">IF(_xlfn.XLOOKUP(A421&amp;B421&amp;C421,盘货信息!$A:$A&amp;盘货信息!$B:$B&amp;盘货信息!$C:$C,盘货信息!$O:$O)="","","【优惠券】领"&amp;INDEX(_wpsfn.REGEXP(_xlfn.XLOOKUP(A421&amp;B421&amp;C421,盘货信息!$A:$A&amp;盘货信息!$B:$B&amp;盘货信息!$C:$C,盘货信息!$O:$O),"\d+"),1,1)&amp;"元优惠券下单更优惠，优惠卷："&amp;_xlfn.XLOOKUP(A421&amp;B421&amp;C421,盘货信息!$A:$A&amp;盘货信息!$B:$B&amp;盘货信息!$C:$C,盘货信息!$P:$P))</f>
        <v/>
      </c>
      <c r="N421" s="18" t="str">
        <f t="array" ref="N421">IF(AND(ISNUMBER(_xlfn.XLOOKUP(A421&amp;B421&amp;C421,盘货信息!$A:$A&amp;盘货信息!$B:$B&amp;盘货信息!$C:$C,盘货信息!$I:$I)),_xlfn.XLOOKUP(A421&amp;B421&amp;C421,盘货信息!$A:$A&amp;盘货信息!$B:$B&amp;盘货信息!$C:$C,盘货信息!$I:$I)&gt;1),"【88VIP】立减"&amp;_xlfn.XLOOKUP(A421&amp;B421&amp;C421,盘货信息!$A:$A&amp;盘货信息!$B:$B&amp;盘货信息!$C:$C,盘货信息!$I:$I)&amp;"元","")</f>
        <v/>
      </c>
      <c r="O421" s="18" t="str">
        <f t="array" ref="O421">IF(_xlfn.XLOOKUP(A421&amp;B421&amp;C421,盘货信息!$A:$A&amp;盘货信息!$B:$B&amp;盘货信息!$C:$C,盘货信息!$K:$K)="","",IF(AND(_xlfn.XLOOKUP(A421&amp;B421&amp;C421,盘货信息!$A:$A&amp;盘货信息!$B:$B&amp;盘货信息!$C:$C,盘货信息!$G:$G)="不参加",_xlfn.XLOOKUP(A421&amp;B421&amp;C421,盘货信息!$A:$A&amp;盘货信息!$B:$B&amp;盘货信息!$C:$C,盘货信息!$H:$H)=""),"【以旧换新】"&amp;_xlfn.XLOOKUP(A421&amp;B421&amp;C421,盘货信息!$A:$A&amp;盘货信息!$B:$B&amp;盘货信息!$C:$C,盘货信息!$K:$K)&amp;"元以旧换新补贴（可无旧机换新）",""))</f>
        <v/>
      </c>
      <c r="P421" s="18" t="str">
        <f t="array" ref="P421">_xlfn.XLOOKUP(A421&amp;B421&amp;C421,赠品!$A:$A&amp;赠品!$B:$B&amp;赠品!$C:$C,赠品!$D:$D)</f>
        <v/>
      </c>
      <c r="Q421" s="18" t="str">
        <f>IF($C421="","",IF(AND(M421="",N421="",P421=""),"",固定信息!$B$1))</f>
        <v/>
      </c>
      <c r="R421" s="18" t="str">
        <f t="array" ref="R421">IF(ISNUMBER(SEARCH("是",_xlfn.XLOOKUP(A421&amp;B421&amp;C421,盘货信息!$A:$A&amp;盘货信息!$B:$B&amp;盘货信息!$C:$C,盘货信息!$U:$U))),"【折扣】指定型号满2类享96折，满3类享94折","")</f>
        <v/>
      </c>
      <c r="S421" s="18" t="str">
        <f t="array" ref="S421">IF(_xlfn.XLOOKUP(A421&amp;B421&amp;C421,盘货信息!$A:$A&amp;盘货信息!$B:$B&amp;盘货信息!$C:$C,盘货信息!$Q:$Q)&lt;1,"","【红包】活动时间购机送"&amp;_xlfn.TEXTJOIN("",,IF(ISNUMBER(--MID(_xlfn.XLOOKUP(A421&amp;B421&amp;C421,盘货信息!$A:$A&amp;盘货信息!$B:$B&amp;盘货信息!$C:$C,盘货信息!$Q:$Q),_xlfn.SEQUENCE(LEN(_xlfn.XLOOKUP(A421&amp;B421&amp;C421,盘货信息!$A:$A&amp;盘货信息!$B:$B&amp;盘货信息!$C:$C,盘货信息!$Q:$Q))),1)),MID(_xlfn.XLOOKUP(A421&amp;B421&amp;C421,盘货信息!$A:$A&amp;盘货信息!$B:$B&amp;盘货信息!$C:$C,盘货信息!$Q:$Q),_xlfn.SEQUENCE(LEN(_xlfn.XLOOKUP(A421&amp;B421&amp;C421,盘货信息!$A:$A&amp;盘货信息!$B:$B&amp;盘货信息!$C:$C,盘货信息!$Q:$Q))),1),""))&amp;"元")</f>
        <v/>
      </c>
      <c r="T421" s="18" t="str">
        <f t="array" ref="T421">IF(ISNUMBER(SEARCH("是",_xlfn.XLOOKUP(A421&amp;B421&amp;C421,盘货信息!$A:$A&amp;盘货信息!$B:$B&amp;盘货信息!$C:$C,盘货信息!$T:$T))),"【瓜分】"&amp;固定信息!$B$7,"")</f>
        <v/>
      </c>
      <c r="U421" s="18" t="str">
        <f>IF($C421="","",IF(AND(R421="",S421="",T421=""),"",固定信息!$B$1))</f>
        <v/>
      </c>
      <c r="V421" s="18" t="str">
        <f t="array" ref="V421">IF(C421="","","【服务】"&amp;IF(_xlfn.XLOOKUP(A421&amp;B421&amp;C421,盘货信息!$A:$A&amp;盘货信息!$B:$B&amp;盘货信息!$C:$C,盘货信息!$V:$V)="","",_xlfn.XLOOKUP(A421&amp;B421&amp;C421,盘货信息!$A:$A&amp;盘货信息!$B:$B&amp;盘货信息!$C:$C,盘货信息!$V:$V)&amp;"免息,")&amp;IF(_xlfn.XLOOKUP(A421&amp;B421&amp;C421,盘货信息!$A:$A&amp;盘货信息!$B:$B&amp;盘货信息!$C:$C,盘货信息!$W:$W)="","",_xlfn.XLOOKUP(A421&amp;B421&amp;C421,盘货信息!$A:$A&amp;盘货信息!$B:$B&amp;盘货信息!$C:$C,盘货信息!$W:$W)&amp;"，")&amp;"送货入户，退换免运费")</f>
        <v/>
      </c>
    </row>
    <row r="422" customHeight="1" spans="1:22">
      <c r="A422" s="17" t="str">
        <f>IF(盘货信息!A422="","",盘货信息!A422)</f>
        <v/>
      </c>
      <c r="B422" s="20" t="str">
        <f>IF(盘货信息!B422="","",盘货信息!B422)</f>
        <v/>
      </c>
      <c r="C422" s="18" t="str">
        <f>IF(盘货信息!C422="","",盘货信息!C422)</f>
        <v/>
      </c>
      <c r="D422" s="18" t="str">
        <f ca="1" t="shared" si="6"/>
        <v/>
      </c>
      <c r="E422" s="18" t="str">
        <f>IF(C422="","",固定信息!$B$2)</f>
        <v/>
      </c>
      <c r="F422" s="18" t="str">
        <f t="array" ref="F422">IF(C422="","","【"&amp;C422&amp;"】"&amp;_xlfn.XLOOKUP(A422&amp;B422&amp;C422,盘货信息!$A:$A&amp;盘货信息!$B:$B&amp;盘货信息!$C:$C,盘货信息!$D:$D))</f>
        <v/>
      </c>
      <c r="G422" s="18" t="str">
        <f>IF(C422="","","【"&amp;"活动时间："&amp;固定信息!$B$3&amp;"】")</f>
        <v/>
      </c>
      <c r="H422" s="18" t="str">
        <f>IF($C422="","",固定信息!$B$1)</f>
        <v/>
      </c>
      <c r="I422" s="18"/>
      <c r="J422" s="18" t="str">
        <f t="array" ref="J422">_xlfn.XLOOKUP(A422&amp;B422&amp;C422,价格信息!$A:$A&amp;价格信息!$B:$B&amp;价格信息!$C:$C,价格信息!$D:$D)</f>
        <v/>
      </c>
      <c r="K422" s="31" t="str">
        <f t="array" ref="K422">IF(_xlfn.XLOOKUP(A422&amp;B422&amp;C422,价格信息!$A:$A&amp;价格信息!$B:$B&amp;价格信息!$C:$C,价格信息!$I:$I)="","","【优惠券链接】"&amp;固定信息!$B$6)</f>
        <v/>
      </c>
      <c r="L422" s="31" t="str">
        <f>IF($C422="","",固定信息!$B$1)</f>
        <v/>
      </c>
      <c r="M422" s="18" t="str">
        <f t="array" ref="M422">IF(_xlfn.XLOOKUP(A422&amp;B422&amp;C422,盘货信息!$A:$A&amp;盘货信息!$B:$B&amp;盘货信息!$C:$C,盘货信息!$O:$O)="","","【优惠券】领"&amp;INDEX(_wpsfn.REGEXP(_xlfn.XLOOKUP(A422&amp;B422&amp;C422,盘货信息!$A:$A&amp;盘货信息!$B:$B&amp;盘货信息!$C:$C,盘货信息!$O:$O),"\d+"),1,1)&amp;"元优惠券下单更优惠，优惠卷："&amp;_xlfn.XLOOKUP(A422&amp;B422&amp;C422,盘货信息!$A:$A&amp;盘货信息!$B:$B&amp;盘货信息!$C:$C,盘货信息!$P:$P))</f>
        <v/>
      </c>
      <c r="N422" s="18" t="str">
        <f t="array" ref="N422">IF(AND(ISNUMBER(_xlfn.XLOOKUP(A422&amp;B422&amp;C422,盘货信息!$A:$A&amp;盘货信息!$B:$B&amp;盘货信息!$C:$C,盘货信息!$I:$I)),_xlfn.XLOOKUP(A422&amp;B422&amp;C422,盘货信息!$A:$A&amp;盘货信息!$B:$B&amp;盘货信息!$C:$C,盘货信息!$I:$I)&gt;1),"【88VIP】立减"&amp;_xlfn.XLOOKUP(A422&amp;B422&amp;C422,盘货信息!$A:$A&amp;盘货信息!$B:$B&amp;盘货信息!$C:$C,盘货信息!$I:$I)&amp;"元","")</f>
        <v/>
      </c>
      <c r="O422" s="18" t="str">
        <f t="array" ref="O422">IF(_xlfn.XLOOKUP(A422&amp;B422&amp;C422,盘货信息!$A:$A&amp;盘货信息!$B:$B&amp;盘货信息!$C:$C,盘货信息!$K:$K)="","",IF(AND(_xlfn.XLOOKUP(A422&amp;B422&amp;C422,盘货信息!$A:$A&amp;盘货信息!$B:$B&amp;盘货信息!$C:$C,盘货信息!$G:$G)="不参加",_xlfn.XLOOKUP(A422&amp;B422&amp;C422,盘货信息!$A:$A&amp;盘货信息!$B:$B&amp;盘货信息!$C:$C,盘货信息!$H:$H)=""),"【以旧换新】"&amp;_xlfn.XLOOKUP(A422&amp;B422&amp;C422,盘货信息!$A:$A&amp;盘货信息!$B:$B&amp;盘货信息!$C:$C,盘货信息!$K:$K)&amp;"元以旧换新补贴（可无旧机换新）",""))</f>
        <v/>
      </c>
      <c r="P422" s="18" t="str">
        <f t="array" ref="P422">_xlfn.XLOOKUP(A422&amp;B422&amp;C422,赠品!$A:$A&amp;赠品!$B:$B&amp;赠品!$C:$C,赠品!$D:$D)</f>
        <v/>
      </c>
      <c r="Q422" s="18" t="str">
        <f>IF($C422="","",IF(AND(M422="",N422="",P422=""),"",固定信息!$B$1))</f>
        <v/>
      </c>
      <c r="R422" s="18" t="str">
        <f t="array" ref="R422">IF(ISNUMBER(SEARCH("是",_xlfn.XLOOKUP(A422&amp;B422&amp;C422,盘货信息!$A:$A&amp;盘货信息!$B:$B&amp;盘货信息!$C:$C,盘货信息!$U:$U))),"【折扣】指定型号满2类享96折，满3类享94折","")</f>
        <v/>
      </c>
      <c r="S422" s="18" t="str">
        <f t="array" ref="S422">IF(_xlfn.XLOOKUP(A422&amp;B422&amp;C422,盘货信息!$A:$A&amp;盘货信息!$B:$B&amp;盘货信息!$C:$C,盘货信息!$Q:$Q)&lt;1,"","【红包】活动时间购机送"&amp;_xlfn.TEXTJOIN("",,IF(ISNUMBER(--MID(_xlfn.XLOOKUP(A422&amp;B422&amp;C422,盘货信息!$A:$A&amp;盘货信息!$B:$B&amp;盘货信息!$C:$C,盘货信息!$Q:$Q),_xlfn.SEQUENCE(LEN(_xlfn.XLOOKUP(A422&amp;B422&amp;C422,盘货信息!$A:$A&amp;盘货信息!$B:$B&amp;盘货信息!$C:$C,盘货信息!$Q:$Q))),1)),MID(_xlfn.XLOOKUP(A422&amp;B422&amp;C422,盘货信息!$A:$A&amp;盘货信息!$B:$B&amp;盘货信息!$C:$C,盘货信息!$Q:$Q),_xlfn.SEQUENCE(LEN(_xlfn.XLOOKUP(A422&amp;B422&amp;C422,盘货信息!$A:$A&amp;盘货信息!$B:$B&amp;盘货信息!$C:$C,盘货信息!$Q:$Q))),1),""))&amp;"元")</f>
        <v/>
      </c>
      <c r="T422" s="18" t="str">
        <f t="array" ref="T422">IF(ISNUMBER(SEARCH("是",_xlfn.XLOOKUP(A422&amp;B422&amp;C422,盘货信息!$A:$A&amp;盘货信息!$B:$B&amp;盘货信息!$C:$C,盘货信息!$T:$T))),"【瓜分】"&amp;固定信息!$B$7,"")</f>
        <v/>
      </c>
      <c r="U422" s="18" t="str">
        <f>IF($C422="","",IF(AND(R422="",S422="",T422=""),"",固定信息!$B$1))</f>
        <v/>
      </c>
      <c r="V422" s="18" t="str">
        <f t="array" ref="V422">IF(C422="","","【服务】"&amp;IF(_xlfn.XLOOKUP(A422&amp;B422&amp;C422,盘货信息!$A:$A&amp;盘货信息!$B:$B&amp;盘货信息!$C:$C,盘货信息!$V:$V)="","",_xlfn.XLOOKUP(A422&amp;B422&amp;C422,盘货信息!$A:$A&amp;盘货信息!$B:$B&amp;盘货信息!$C:$C,盘货信息!$V:$V)&amp;"免息,")&amp;IF(_xlfn.XLOOKUP(A422&amp;B422&amp;C422,盘货信息!$A:$A&amp;盘货信息!$B:$B&amp;盘货信息!$C:$C,盘货信息!$W:$W)="","",_xlfn.XLOOKUP(A422&amp;B422&amp;C422,盘货信息!$A:$A&amp;盘货信息!$B:$B&amp;盘货信息!$C:$C,盘货信息!$W:$W)&amp;"，")&amp;"送货入户，退换免运费")</f>
        <v/>
      </c>
    </row>
    <row r="423" customHeight="1" spans="1:22">
      <c r="A423" s="17" t="str">
        <f>IF(盘货信息!A423="","",盘货信息!A423)</f>
        <v/>
      </c>
      <c r="B423" s="20" t="str">
        <f>IF(盘货信息!B423="","",盘货信息!B423)</f>
        <v/>
      </c>
      <c r="C423" s="18" t="str">
        <f>IF(盘货信息!C423="","",盘货信息!C423)</f>
        <v/>
      </c>
      <c r="D423" s="18" t="str">
        <f ca="1" t="shared" si="6"/>
        <v/>
      </c>
      <c r="E423" s="18" t="str">
        <f>IF(C423="","",固定信息!$B$2)</f>
        <v/>
      </c>
      <c r="F423" s="18" t="str">
        <f t="array" ref="F423">IF(C423="","","【"&amp;C423&amp;"】"&amp;_xlfn.XLOOKUP(A423&amp;B423&amp;C423,盘货信息!$A:$A&amp;盘货信息!$B:$B&amp;盘货信息!$C:$C,盘货信息!$D:$D))</f>
        <v/>
      </c>
      <c r="G423" s="18" t="str">
        <f>IF(C423="","","【"&amp;"活动时间："&amp;固定信息!$B$3&amp;"】")</f>
        <v/>
      </c>
      <c r="H423" s="18" t="str">
        <f>IF($C423="","",固定信息!$B$1)</f>
        <v/>
      </c>
      <c r="I423" s="18"/>
      <c r="J423" s="18" t="str">
        <f t="array" ref="J423">_xlfn.XLOOKUP(A423&amp;B423&amp;C423,价格信息!$A:$A&amp;价格信息!$B:$B&amp;价格信息!$C:$C,价格信息!$D:$D)</f>
        <v/>
      </c>
      <c r="K423" s="31" t="str">
        <f t="array" ref="K423">IF(_xlfn.XLOOKUP(A423&amp;B423&amp;C423,价格信息!$A:$A&amp;价格信息!$B:$B&amp;价格信息!$C:$C,价格信息!$I:$I)="","","【优惠券链接】"&amp;固定信息!$B$6)</f>
        <v/>
      </c>
      <c r="L423" s="31" t="str">
        <f>IF($C423="","",固定信息!$B$1)</f>
        <v/>
      </c>
      <c r="M423" s="18" t="str">
        <f t="array" ref="M423">IF(_xlfn.XLOOKUP(A423&amp;B423&amp;C423,盘货信息!$A:$A&amp;盘货信息!$B:$B&amp;盘货信息!$C:$C,盘货信息!$O:$O)="","","【优惠券】领"&amp;INDEX(_wpsfn.REGEXP(_xlfn.XLOOKUP(A423&amp;B423&amp;C423,盘货信息!$A:$A&amp;盘货信息!$B:$B&amp;盘货信息!$C:$C,盘货信息!$O:$O),"\d+"),1,1)&amp;"元优惠券下单更优惠，优惠卷："&amp;_xlfn.XLOOKUP(A423&amp;B423&amp;C423,盘货信息!$A:$A&amp;盘货信息!$B:$B&amp;盘货信息!$C:$C,盘货信息!$P:$P))</f>
        <v/>
      </c>
      <c r="N423" s="18" t="str">
        <f t="array" ref="N423">IF(AND(ISNUMBER(_xlfn.XLOOKUP(A423&amp;B423&amp;C423,盘货信息!$A:$A&amp;盘货信息!$B:$B&amp;盘货信息!$C:$C,盘货信息!$I:$I)),_xlfn.XLOOKUP(A423&amp;B423&amp;C423,盘货信息!$A:$A&amp;盘货信息!$B:$B&amp;盘货信息!$C:$C,盘货信息!$I:$I)&gt;1),"【88VIP】立减"&amp;_xlfn.XLOOKUP(A423&amp;B423&amp;C423,盘货信息!$A:$A&amp;盘货信息!$B:$B&amp;盘货信息!$C:$C,盘货信息!$I:$I)&amp;"元","")</f>
        <v/>
      </c>
      <c r="O423" s="18" t="str">
        <f t="array" ref="O423">IF(_xlfn.XLOOKUP(A423&amp;B423&amp;C423,盘货信息!$A:$A&amp;盘货信息!$B:$B&amp;盘货信息!$C:$C,盘货信息!$K:$K)="","",IF(AND(_xlfn.XLOOKUP(A423&amp;B423&amp;C423,盘货信息!$A:$A&amp;盘货信息!$B:$B&amp;盘货信息!$C:$C,盘货信息!$G:$G)="不参加",_xlfn.XLOOKUP(A423&amp;B423&amp;C423,盘货信息!$A:$A&amp;盘货信息!$B:$B&amp;盘货信息!$C:$C,盘货信息!$H:$H)=""),"【以旧换新】"&amp;_xlfn.XLOOKUP(A423&amp;B423&amp;C423,盘货信息!$A:$A&amp;盘货信息!$B:$B&amp;盘货信息!$C:$C,盘货信息!$K:$K)&amp;"元以旧换新补贴（可无旧机换新）",""))</f>
        <v/>
      </c>
      <c r="P423" s="18" t="str">
        <f t="array" ref="P423">_xlfn.XLOOKUP(A423&amp;B423&amp;C423,赠品!$A:$A&amp;赠品!$B:$B&amp;赠品!$C:$C,赠品!$D:$D)</f>
        <v/>
      </c>
      <c r="Q423" s="18" t="str">
        <f>IF($C423="","",IF(AND(M423="",N423="",P423=""),"",固定信息!$B$1))</f>
        <v/>
      </c>
      <c r="R423" s="18" t="str">
        <f t="array" ref="R423">IF(ISNUMBER(SEARCH("是",_xlfn.XLOOKUP(A423&amp;B423&amp;C423,盘货信息!$A:$A&amp;盘货信息!$B:$B&amp;盘货信息!$C:$C,盘货信息!$U:$U))),"【折扣】指定型号满2类享96折，满3类享94折","")</f>
        <v/>
      </c>
      <c r="S423" s="18" t="str">
        <f t="array" ref="S423">IF(_xlfn.XLOOKUP(A423&amp;B423&amp;C423,盘货信息!$A:$A&amp;盘货信息!$B:$B&amp;盘货信息!$C:$C,盘货信息!$Q:$Q)&lt;1,"","【红包】活动时间购机送"&amp;_xlfn.TEXTJOIN("",,IF(ISNUMBER(--MID(_xlfn.XLOOKUP(A423&amp;B423&amp;C423,盘货信息!$A:$A&amp;盘货信息!$B:$B&amp;盘货信息!$C:$C,盘货信息!$Q:$Q),_xlfn.SEQUENCE(LEN(_xlfn.XLOOKUP(A423&amp;B423&amp;C423,盘货信息!$A:$A&amp;盘货信息!$B:$B&amp;盘货信息!$C:$C,盘货信息!$Q:$Q))),1)),MID(_xlfn.XLOOKUP(A423&amp;B423&amp;C423,盘货信息!$A:$A&amp;盘货信息!$B:$B&amp;盘货信息!$C:$C,盘货信息!$Q:$Q),_xlfn.SEQUENCE(LEN(_xlfn.XLOOKUP(A423&amp;B423&amp;C423,盘货信息!$A:$A&amp;盘货信息!$B:$B&amp;盘货信息!$C:$C,盘货信息!$Q:$Q))),1),""))&amp;"元")</f>
        <v/>
      </c>
      <c r="T423" s="18" t="str">
        <f t="array" ref="T423">IF(ISNUMBER(SEARCH("是",_xlfn.XLOOKUP(A423&amp;B423&amp;C423,盘货信息!$A:$A&amp;盘货信息!$B:$B&amp;盘货信息!$C:$C,盘货信息!$T:$T))),"【瓜分】"&amp;固定信息!$B$7,"")</f>
        <v/>
      </c>
      <c r="U423" s="18" t="str">
        <f>IF($C423="","",IF(AND(R423="",S423="",T423=""),"",固定信息!$B$1))</f>
        <v/>
      </c>
      <c r="V423" s="18" t="str">
        <f t="array" ref="V423">IF(C423="","","【服务】"&amp;IF(_xlfn.XLOOKUP(A423&amp;B423&amp;C423,盘货信息!$A:$A&amp;盘货信息!$B:$B&amp;盘货信息!$C:$C,盘货信息!$V:$V)="","",_xlfn.XLOOKUP(A423&amp;B423&amp;C423,盘货信息!$A:$A&amp;盘货信息!$B:$B&amp;盘货信息!$C:$C,盘货信息!$V:$V)&amp;"免息,")&amp;IF(_xlfn.XLOOKUP(A423&amp;B423&amp;C423,盘货信息!$A:$A&amp;盘货信息!$B:$B&amp;盘货信息!$C:$C,盘货信息!$W:$W)="","",_xlfn.XLOOKUP(A423&amp;B423&amp;C423,盘货信息!$A:$A&amp;盘货信息!$B:$B&amp;盘货信息!$C:$C,盘货信息!$W:$W)&amp;"，")&amp;"送货入户，退换免运费")</f>
        <v/>
      </c>
    </row>
    <row r="424" customHeight="1" spans="1:22">
      <c r="A424" s="17" t="str">
        <f>IF(盘货信息!A424="","",盘货信息!A424)</f>
        <v/>
      </c>
      <c r="B424" s="20" t="str">
        <f>IF(盘货信息!B424="","",盘货信息!B424)</f>
        <v/>
      </c>
      <c r="C424" s="18" t="str">
        <f>IF(盘货信息!C424="","",盘货信息!C424)</f>
        <v/>
      </c>
      <c r="D424" s="18" t="str">
        <f ca="1" t="shared" si="6"/>
        <v/>
      </c>
      <c r="E424" s="18" t="str">
        <f>IF(C424="","",固定信息!$B$2)</f>
        <v/>
      </c>
      <c r="F424" s="18" t="str">
        <f t="array" ref="F424">IF(C424="","","【"&amp;C424&amp;"】"&amp;_xlfn.XLOOKUP(A424&amp;B424&amp;C424,盘货信息!$A:$A&amp;盘货信息!$B:$B&amp;盘货信息!$C:$C,盘货信息!$D:$D))</f>
        <v/>
      </c>
      <c r="G424" s="18" t="str">
        <f>IF(C424="","","【"&amp;"活动时间："&amp;固定信息!$B$3&amp;"】")</f>
        <v/>
      </c>
      <c r="H424" s="18" t="str">
        <f>IF($C424="","",固定信息!$B$1)</f>
        <v/>
      </c>
      <c r="I424" s="18"/>
      <c r="J424" s="18" t="str">
        <f t="array" ref="J424">_xlfn.XLOOKUP(A424&amp;B424&amp;C424,价格信息!$A:$A&amp;价格信息!$B:$B&amp;价格信息!$C:$C,价格信息!$D:$D)</f>
        <v/>
      </c>
      <c r="K424" s="31" t="str">
        <f t="array" ref="K424">IF(_xlfn.XLOOKUP(A424&amp;B424&amp;C424,价格信息!$A:$A&amp;价格信息!$B:$B&amp;价格信息!$C:$C,价格信息!$I:$I)="","","【优惠券链接】"&amp;固定信息!$B$6)</f>
        <v/>
      </c>
      <c r="L424" s="31" t="str">
        <f>IF($C424="","",固定信息!$B$1)</f>
        <v/>
      </c>
      <c r="M424" s="18" t="str">
        <f t="array" ref="M424">IF(_xlfn.XLOOKUP(A424&amp;B424&amp;C424,盘货信息!$A:$A&amp;盘货信息!$B:$B&amp;盘货信息!$C:$C,盘货信息!$O:$O)="","","【优惠券】领"&amp;INDEX(_wpsfn.REGEXP(_xlfn.XLOOKUP(A424&amp;B424&amp;C424,盘货信息!$A:$A&amp;盘货信息!$B:$B&amp;盘货信息!$C:$C,盘货信息!$O:$O),"\d+"),1,1)&amp;"元优惠券下单更优惠，优惠卷："&amp;_xlfn.XLOOKUP(A424&amp;B424&amp;C424,盘货信息!$A:$A&amp;盘货信息!$B:$B&amp;盘货信息!$C:$C,盘货信息!$P:$P))</f>
        <v/>
      </c>
      <c r="N424" s="18" t="str">
        <f t="array" ref="N424">IF(AND(ISNUMBER(_xlfn.XLOOKUP(A424&amp;B424&amp;C424,盘货信息!$A:$A&amp;盘货信息!$B:$B&amp;盘货信息!$C:$C,盘货信息!$I:$I)),_xlfn.XLOOKUP(A424&amp;B424&amp;C424,盘货信息!$A:$A&amp;盘货信息!$B:$B&amp;盘货信息!$C:$C,盘货信息!$I:$I)&gt;1),"【88VIP】立减"&amp;_xlfn.XLOOKUP(A424&amp;B424&amp;C424,盘货信息!$A:$A&amp;盘货信息!$B:$B&amp;盘货信息!$C:$C,盘货信息!$I:$I)&amp;"元","")</f>
        <v/>
      </c>
      <c r="O424" s="18" t="str">
        <f t="array" ref="O424">IF(_xlfn.XLOOKUP(A424&amp;B424&amp;C424,盘货信息!$A:$A&amp;盘货信息!$B:$B&amp;盘货信息!$C:$C,盘货信息!$K:$K)="","",IF(AND(_xlfn.XLOOKUP(A424&amp;B424&amp;C424,盘货信息!$A:$A&amp;盘货信息!$B:$B&amp;盘货信息!$C:$C,盘货信息!$G:$G)="不参加",_xlfn.XLOOKUP(A424&amp;B424&amp;C424,盘货信息!$A:$A&amp;盘货信息!$B:$B&amp;盘货信息!$C:$C,盘货信息!$H:$H)=""),"【以旧换新】"&amp;_xlfn.XLOOKUP(A424&amp;B424&amp;C424,盘货信息!$A:$A&amp;盘货信息!$B:$B&amp;盘货信息!$C:$C,盘货信息!$K:$K)&amp;"元以旧换新补贴（可无旧机换新）",""))</f>
        <v/>
      </c>
      <c r="P424" s="18" t="str">
        <f t="array" ref="P424">_xlfn.XLOOKUP(A424&amp;B424&amp;C424,赠品!$A:$A&amp;赠品!$B:$B&amp;赠品!$C:$C,赠品!$D:$D)</f>
        <v/>
      </c>
      <c r="Q424" s="18" t="str">
        <f>IF($C424="","",IF(AND(M424="",N424="",P424=""),"",固定信息!$B$1))</f>
        <v/>
      </c>
      <c r="R424" s="18" t="str">
        <f t="array" ref="R424">IF(ISNUMBER(SEARCH("是",_xlfn.XLOOKUP(A424&amp;B424&amp;C424,盘货信息!$A:$A&amp;盘货信息!$B:$B&amp;盘货信息!$C:$C,盘货信息!$U:$U))),"【折扣】指定型号满2类享96折，满3类享94折","")</f>
        <v/>
      </c>
      <c r="S424" s="18" t="str">
        <f t="array" ref="S424">IF(_xlfn.XLOOKUP(A424&amp;B424&amp;C424,盘货信息!$A:$A&amp;盘货信息!$B:$B&amp;盘货信息!$C:$C,盘货信息!$Q:$Q)&lt;1,"","【红包】活动时间购机送"&amp;_xlfn.TEXTJOIN("",,IF(ISNUMBER(--MID(_xlfn.XLOOKUP(A424&amp;B424&amp;C424,盘货信息!$A:$A&amp;盘货信息!$B:$B&amp;盘货信息!$C:$C,盘货信息!$Q:$Q),_xlfn.SEQUENCE(LEN(_xlfn.XLOOKUP(A424&amp;B424&amp;C424,盘货信息!$A:$A&amp;盘货信息!$B:$B&amp;盘货信息!$C:$C,盘货信息!$Q:$Q))),1)),MID(_xlfn.XLOOKUP(A424&amp;B424&amp;C424,盘货信息!$A:$A&amp;盘货信息!$B:$B&amp;盘货信息!$C:$C,盘货信息!$Q:$Q),_xlfn.SEQUENCE(LEN(_xlfn.XLOOKUP(A424&amp;B424&amp;C424,盘货信息!$A:$A&amp;盘货信息!$B:$B&amp;盘货信息!$C:$C,盘货信息!$Q:$Q))),1),""))&amp;"元")</f>
        <v/>
      </c>
      <c r="T424" s="18" t="str">
        <f t="array" ref="T424">IF(ISNUMBER(SEARCH("是",_xlfn.XLOOKUP(A424&amp;B424&amp;C424,盘货信息!$A:$A&amp;盘货信息!$B:$B&amp;盘货信息!$C:$C,盘货信息!$T:$T))),"【瓜分】"&amp;固定信息!$B$7,"")</f>
        <v/>
      </c>
      <c r="U424" s="18" t="str">
        <f>IF($C424="","",IF(AND(R424="",S424="",T424=""),"",固定信息!$B$1))</f>
        <v/>
      </c>
      <c r="V424" s="18" t="str">
        <f t="array" ref="V424">IF(C424="","","【服务】"&amp;IF(_xlfn.XLOOKUP(A424&amp;B424&amp;C424,盘货信息!$A:$A&amp;盘货信息!$B:$B&amp;盘货信息!$C:$C,盘货信息!$V:$V)="","",_xlfn.XLOOKUP(A424&amp;B424&amp;C424,盘货信息!$A:$A&amp;盘货信息!$B:$B&amp;盘货信息!$C:$C,盘货信息!$V:$V)&amp;"免息,")&amp;IF(_xlfn.XLOOKUP(A424&amp;B424&amp;C424,盘货信息!$A:$A&amp;盘货信息!$B:$B&amp;盘货信息!$C:$C,盘货信息!$W:$W)="","",_xlfn.XLOOKUP(A424&amp;B424&amp;C424,盘货信息!$A:$A&amp;盘货信息!$B:$B&amp;盘货信息!$C:$C,盘货信息!$W:$W)&amp;"，")&amp;"送货入户，退换免运费")</f>
        <v/>
      </c>
    </row>
    <row r="425" customHeight="1" spans="1:22">
      <c r="A425" s="17" t="str">
        <f>IF(盘货信息!A425="","",盘货信息!A425)</f>
        <v/>
      </c>
      <c r="B425" s="20" t="str">
        <f>IF(盘货信息!B425="","",盘货信息!B425)</f>
        <v/>
      </c>
      <c r="C425" s="18" t="str">
        <f>IF(盘货信息!C425="","",盘货信息!C425)</f>
        <v/>
      </c>
      <c r="D425" s="18" t="str">
        <f ca="1" t="shared" si="6"/>
        <v/>
      </c>
      <c r="E425" s="18" t="str">
        <f>IF(C425="","",固定信息!$B$2)</f>
        <v/>
      </c>
      <c r="F425" s="18" t="str">
        <f t="array" ref="F425">IF(C425="","","【"&amp;C425&amp;"】"&amp;_xlfn.XLOOKUP(A425&amp;B425&amp;C425,盘货信息!$A:$A&amp;盘货信息!$B:$B&amp;盘货信息!$C:$C,盘货信息!$D:$D))</f>
        <v/>
      </c>
      <c r="G425" s="18" t="str">
        <f>IF(C425="","","【"&amp;"活动时间："&amp;固定信息!$B$3&amp;"】")</f>
        <v/>
      </c>
      <c r="H425" s="18" t="str">
        <f>IF($C425="","",固定信息!$B$1)</f>
        <v/>
      </c>
      <c r="I425" s="18"/>
      <c r="J425" s="18" t="str">
        <f t="array" ref="J425">_xlfn.XLOOKUP(A425&amp;B425&amp;C425,价格信息!$A:$A&amp;价格信息!$B:$B&amp;价格信息!$C:$C,价格信息!$D:$D)</f>
        <v/>
      </c>
      <c r="K425" s="31" t="str">
        <f t="array" ref="K425">IF(_xlfn.XLOOKUP(A425&amp;B425&amp;C425,价格信息!$A:$A&amp;价格信息!$B:$B&amp;价格信息!$C:$C,价格信息!$I:$I)="","","【优惠券链接】"&amp;固定信息!$B$6)</f>
        <v/>
      </c>
      <c r="L425" s="31" t="str">
        <f>IF($C425="","",固定信息!$B$1)</f>
        <v/>
      </c>
      <c r="M425" s="18" t="str">
        <f t="array" ref="M425">IF(_xlfn.XLOOKUP(A425&amp;B425&amp;C425,盘货信息!$A:$A&amp;盘货信息!$B:$B&amp;盘货信息!$C:$C,盘货信息!$O:$O)="","","【优惠券】领"&amp;INDEX(_wpsfn.REGEXP(_xlfn.XLOOKUP(A425&amp;B425&amp;C425,盘货信息!$A:$A&amp;盘货信息!$B:$B&amp;盘货信息!$C:$C,盘货信息!$O:$O),"\d+"),1,1)&amp;"元优惠券下单更优惠，优惠卷："&amp;_xlfn.XLOOKUP(A425&amp;B425&amp;C425,盘货信息!$A:$A&amp;盘货信息!$B:$B&amp;盘货信息!$C:$C,盘货信息!$P:$P))</f>
        <v/>
      </c>
      <c r="N425" s="18" t="str">
        <f t="array" ref="N425">IF(AND(ISNUMBER(_xlfn.XLOOKUP(A425&amp;B425&amp;C425,盘货信息!$A:$A&amp;盘货信息!$B:$B&amp;盘货信息!$C:$C,盘货信息!$I:$I)),_xlfn.XLOOKUP(A425&amp;B425&amp;C425,盘货信息!$A:$A&amp;盘货信息!$B:$B&amp;盘货信息!$C:$C,盘货信息!$I:$I)&gt;1),"【88VIP】立减"&amp;_xlfn.XLOOKUP(A425&amp;B425&amp;C425,盘货信息!$A:$A&amp;盘货信息!$B:$B&amp;盘货信息!$C:$C,盘货信息!$I:$I)&amp;"元","")</f>
        <v/>
      </c>
      <c r="O425" s="18" t="str">
        <f t="array" ref="O425">IF(_xlfn.XLOOKUP(A425&amp;B425&amp;C425,盘货信息!$A:$A&amp;盘货信息!$B:$B&amp;盘货信息!$C:$C,盘货信息!$K:$K)="","",IF(AND(_xlfn.XLOOKUP(A425&amp;B425&amp;C425,盘货信息!$A:$A&amp;盘货信息!$B:$B&amp;盘货信息!$C:$C,盘货信息!$G:$G)="不参加",_xlfn.XLOOKUP(A425&amp;B425&amp;C425,盘货信息!$A:$A&amp;盘货信息!$B:$B&amp;盘货信息!$C:$C,盘货信息!$H:$H)=""),"【以旧换新】"&amp;_xlfn.XLOOKUP(A425&amp;B425&amp;C425,盘货信息!$A:$A&amp;盘货信息!$B:$B&amp;盘货信息!$C:$C,盘货信息!$K:$K)&amp;"元以旧换新补贴（可无旧机换新）",""))</f>
        <v/>
      </c>
      <c r="P425" s="18" t="str">
        <f t="array" ref="P425">_xlfn.XLOOKUP(A425&amp;B425&amp;C425,赠品!$A:$A&amp;赠品!$B:$B&amp;赠品!$C:$C,赠品!$D:$D)</f>
        <v/>
      </c>
      <c r="Q425" s="18" t="str">
        <f>IF($C425="","",IF(AND(M425="",N425="",P425=""),"",固定信息!$B$1))</f>
        <v/>
      </c>
      <c r="R425" s="18" t="str">
        <f t="array" ref="R425">IF(ISNUMBER(SEARCH("是",_xlfn.XLOOKUP(A425&amp;B425&amp;C425,盘货信息!$A:$A&amp;盘货信息!$B:$B&amp;盘货信息!$C:$C,盘货信息!$U:$U))),"【折扣】指定型号满2类享96折，满3类享94折","")</f>
        <v/>
      </c>
      <c r="S425" s="18" t="str">
        <f t="array" ref="S425">IF(_xlfn.XLOOKUP(A425&amp;B425&amp;C425,盘货信息!$A:$A&amp;盘货信息!$B:$B&amp;盘货信息!$C:$C,盘货信息!$Q:$Q)&lt;1,"","【红包】活动时间购机送"&amp;_xlfn.TEXTJOIN("",,IF(ISNUMBER(--MID(_xlfn.XLOOKUP(A425&amp;B425&amp;C425,盘货信息!$A:$A&amp;盘货信息!$B:$B&amp;盘货信息!$C:$C,盘货信息!$Q:$Q),_xlfn.SEQUENCE(LEN(_xlfn.XLOOKUP(A425&amp;B425&amp;C425,盘货信息!$A:$A&amp;盘货信息!$B:$B&amp;盘货信息!$C:$C,盘货信息!$Q:$Q))),1)),MID(_xlfn.XLOOKUP(A425&amp;B425&amp;C425,盘货信息!$A:$A&amp;盘货信息!$B:$B&amp;盘货信息!$C:$C,盘货信息!$Q:$Q),_xlfn.SEQUENCE(LEN(_xlfn.XLOOKUP(A425&amp;B425&amp;C425,盘货信息!$A:$A&amp;盘货信息!$B:$B&amp;盘货信息!$C:$C,盘货信息!$Q:$Q))),1),""))&amp;"元")</f>
        <v/>
      </c>
      <c r="T425" s="18" t="str">
        <f t="array" ref="T425">IF(ISNUMBER(SEARCH("是",_xlfn.XLOOKUP(A425&amp;B425&amp;C425,盘货信息!$A:$A&amp;盘货信息!$B:$B&amp;盘货信息!$C:$C,盘货信息!$T:$T))),"【瓜分】"&amp;固定信息!$B$7,"")</f>
        <v/>
      </c>
      <c r="U425" s="18" t="str">
        <f>IF($C425="","",IF(AND(R425="",S425="",T425=""),"",固定信息!$B$1))</f>
        <v/>
      </c>
      <c r="V425" s="18" t="str">
        <f t="array" ref="V425">IF(C425="","","【服务】"&amp;IF(_xlfn.XLOOKUP(A425&amp;B425&amp;C425,盘货信息!$A:$A&amp;盘货信息!$B:$B&amp;盘货信息!$C:$C,盘货信息!$V:$V)="","",_xlfn.XLOOKUP(A425&amp;B425&amp;C425,盘货信息!$A:$A&amp;盘货信息!$B:$B&amp;盘货信息!$C:$C,盘货信息!$V:$V)&amp;"免息,")&amp;IF(_xlfn.XLOOKUP(A425&amp;B425&amp;C425,盘货信息!$A:$A&amp;盘货信息!$B:$B&amp;盘货信息!$C:$C,盘货信息!$W:$W)="","",_xlfn.XLOOKUP(A425&amp;B425&amp;C425,盘货信息!$A:$A&amp;盘货信息!$B:$B&amp;盘货信息!$C:$C,盘货信息!$W:$W)&amp;"，")&amp;"送货入户，退换免运费")</f>
        <v/>
      </c>
    </row>
    <row r="426" customHeight="1" spans="1:22">
      <c r="A426" s="17" t="str">
        <f>IF(盘货信息!A426="","",盘货信息!A426)</f>
        <v/>
      </c>
      <c r="B426" s="20" t="str">
        <f>IF(盘货信息!B426="","",盘货信息!B426)</f>
        <v/>
      </c>
      <c r="C426" s="18" t="str">
        <f>IF(盘货信息!C426="","",盘货信息!C426)</f>
        <v/>
      </c>
      <c r="D426" s="18" t="str">
        <f ca="1" t="shared" si="6"/>
        <v/>
      </c>
      <c r="E426" s="18" t="str">
        <f>IF(C426="","",固定信息!$B$2)</f>
        <v/>
      </c>
      <c r="F426" s="18" t="str">
        <f t="array" ref="F426">IF(C426="","","【"&amp;C426&amp;"】"&amp;_xlfn.XLOOKUP(A426&amp;B426&amp;C426,盘货信息!$A:$A&amp;盘货信息!$B:$B&amp;盘货信息!$C:$C,盘货信息!$D:$D))</f>
        <v/>
      </c>
      <c r="G426" s="18" t="str">
        <f>IF(C426="","","【"&amp;"活动时间："&amp;固定信息!$B$3&amp;"】")</f>
        <v/>
      </c>
      <c r="H426" s="18" t="str">
        <f>IF($C426="","",固定信息!$B$1)</f>
        <v/>
      </c>
      <c r="I426" s="18"/>
      <c r="J426" s="18" t="str">
        <f t="array" ref="J426">_xlfn.XLOOKUP(A426&amp;B426&amp;C426,价格信息!$A:$A&amp;价格信息!$B:$B&amp;价格信息!$C:$C,价格信息!$D:$D)</f>
        <v/>
      </c>
      <c r="K426" s="31" t="str">
        <f t="array" ref="K426">IF(_xlfn.XLOOKUP(A426&amp;B426&amp;C426,价格信息!$A:$A&amp;价格信息!$B:$B&amp;价格信息!$C:$C,价格信息!$I:$I)="","","【优惠券链接】"&amp;固定信息!$B$6)</f>
        <v/>
      </c>
      <c r="L426" s="31" t="str">
        <f>IF($C426="","",固定信息!$B$1)</f>
        <v/>
      </c>
      <c r="M426" s="18" t="str">
        <f t="array" ref="M426">IF(_xlfn.XLOOKUP(A426&amp;B426&amp;C426,盘货信息!$A:$A&amp;盘货信息!$B:$B&amp;盘货信息!$C:$C,盘货信息!$O:$O)="","","【优惠券】领"&amp;INDEX(_wpsfn.REGEXP(_xlfn.XLOOKUP(A426&amp;B426&amp;C426,盘货信息!$A:$A&amp;盘货信息!$B:$B&amp;盘货信息!$C:$C,盘货信息!$O:$O),"\d+"),1,1)&amp;"元优惠券下单更优惠，优惠卷："&amp;_xlfn.XLOOKUP(A426&amp;B426&amp;C426,盘货信息!$A:$A&amp;盘货信息!$B:$B&amp;盘货信息!$C:$C,盘货信息!$P:$P))</f>
        <v/>
      </c>
      <c r="N426" s="18" t="str">
        <f t="array" ref="N426">IF(AND(ISNUMBER(_xlfn.XLOOKUP(A426&amp;B426&amp;C426,盘货信息!$A:$A&amp;盘货信息!$B:$B&amp;盘货信息!$C:$C,盘货信息!$I:$I)),_xlfn.XLOOKUP(A426&amp;B426&amp;C426,盘货信息!$A:$A&amp;盘货信息!$B:$B&amp;盘货信息!$C:$C,盘货信息!$I:$I)&gt;1),"【88VIP】立减"&amp;_xlfn.XLOOKUP(A426&amp;B426&amp;C426,盘货信息!$A:$A&amp;盘货信息!$B:$B&amp;盘货信息!$C:$C,盘货信息!$I:$I)&amp;"元","")</f>
        <v/>
      </c>
      <c r="O426" s="18" t="str">
        <f t="array" ref="O426">IF(_xlfn.XLOOKUP(A426&amp;B426&amp;C426,盘货信息!$A:$A&amp;盘货信息!$B:$B&amp;盘货信息!$C:$C,盘货信息!$K:$K)="","",IF(AND(_xlfn.XLOOKUP(A426&amp;B426&amp;C426,盘货信息!$A:$A&amp;盘货信息!$B:$B&amp;盘货信息!$C:$C,盘货信息!$G:$G)="不参加",_xlfn.XLOOKUP(A426&amp;B426&amp;C426,盘货信息!$A:$A&amp;盘货信息!$B:$B&amp;盘货信息!$C:$C,盘货信息!$H:$H)=""),"【以旧换新】"&amp;_xlfn.XLOOKUP(A426&amp;B426&amp;C426,盘货信息!$A:$A&amp;盘货信息!$B:$B&amp;盘货信息!$C:$C,盘货信息!$K:$K)&amp;"元以旧换新补贴（可无旧机换新）",""))</f>
        <v/>
      </c>
      <c r="P426" s="18" t="str">
        <f t="array" ref="P426">_xlfn.XLOOKUP(A426&amp;B426&amp;C426,赠品!$A:$A&amp;赠品!$B:$B&amp;赠品!$C:$C,赠品!$D:$D)</f>
        <v/>
      </c>
      <c r="Q426" s="18" t="str">
        <f>IF($C426="","",IF(AND(M426="",N426="",P426=""),"",固定信息!$B$1))</f>
        <v/>
      </c>
      <c r="R426" s="18" t="str">
        <f t="array" ref="R426">IF(ISNUMBER(SEARCH("是",_xlfn.XLOOKUP(A426&amp;B426&amp;C426,盘货信息!$A:$A&amp;盘货信息!$B:$B&amp;盘货信息!$C:$C,盘货信息!$U:$U))),"【折扣】指定型号满2类享96折，满3类享94折","")</f>
        <v/>
      </c>
      <c r="S426" s="18" t="str">
        <f t="array" ref="S426">IF(_xlfn.XLOOKUP(A426&amp;B426&amp;C426,盘货信息!$A:$A&amp;盘货信息!$B:$B&amp;盘货信息!$C:$C,盘货信息!$Q:$Q)&lt;1,"","【红包】活动时间购机送"&amp;_xlfn.TEXTJOIN("",,IF(ISNUMBER(--MID(_xlfn.XLOOKUP(A426&amp;B426&amp;C426,盘货信息!$A:$A&amp;盘货信息!$B:$B&amp;盘货信息!$C:$C,盘货信息!$Q:$Q),_xlfn.SEQUENCE(LEN(_xlfn.XLOOKUP(A426&amp;B426&amp;C426,盘货信息!$A:$A&amp;盘货信息!$B:$B&amp;盘货信息!$C:$C,盘货信息!$Q:$Q))),1)),MID(_xlfn.XLOOKUP(A426&amp;B426&amp;C426,盘货信息!$A:$A&amp;盘货信息!$B:$B&amp;盘货信息!$C:$C,盘货信息!$Q:$Q),_xlfn.SEQUENCE(LEN(_xlfn.XLOOKUP(A426&amp;B426&amp;C426,盘货信息!$A:$A&amp;盘货信息!$B:$B&amp;盘货信息!$C:$C,盘货信息!$Q:$Q))),1),""))&amp;"元")</f>
        <v/>
      </c>
      <c r="T426" s="18" t="str">
        <f t="array" ref="T426">IF(ISNUMBER(SEARCH("是",_xlfn.XLOOKUP(A426&amp;B426&amp;C426,盘货信息!$A:$A&amp;盘货信息!$B:$B&amp;盘货信息!$C:$C,盘货信息!$T:$T))),"【瓜分】"&amp;固定信息!$B$7,"")</f>
        <v/>
      </c>
      <c r="U426" s="18" t="str">
        <f>IF($C426="","",IF(AND(R426="",S426="",T426=""),"",固定信息!$B$1))</f>
        <v/>
      </c>
      <c r="V426" s="18" t="str">
        <f t="array" ref="V426">IF(C426="","","【服务】"&amp;IF(_xlfn.XLOOKUP(A426&amp;B426&amp;C426,盘货信息!$A:$A&amp;盘货信息!$B:$B&amp;盘货信息!$C:$C,盘货信息!$V:$V)="","",_xlfn.XLOOKUP(A426&amp;B426&amp;C426,盘货信息!$A:$A&amp;盘货信息!$B:$B&amp;盘货信息!$C:$C,盘货信息!$V:$V)&amp;"免息,")&amp;IF(_xlfn.XLOOKUP(A426&amp;B426&amp;C426,盘货信息!$A:$A&amp;盘货信息!$B:$B&amp;盘货信息!$C:$C,盘货信息!$W:$W)="","",_xlfn.XLOOKUP(A426&amp;B426&amp;C426,盘货信息!$A:$A&amp;盘货信息!$B:$B&amp;盘货信息!$C:$C,盘货信息!$W:$W)&amp;"，")&amp;"送货入户，退换免运费")</f>
        <v/>
      </c>
    </row>
    <row r="427" customHeight="1" spans="1:22">
      <c r="A427" s="17" t="str">
        <f>IF(盘货信息!A427="","",盘货信息!A427)</f>
        <v/>
      </c>
      <c r="B427" s="20" t="str">
        <f>IF(盘货信息!B427="","",盘货信息!B427)</f>
        <v/>
      </c>
      <c r="C427" s="18" t="str">
        <f>IF(盘货信息!C427="","",盘货信息!C427)</f>
        <v/>
      </c>
      <c r="D427" s="18" t="str">
        <f ca="1" t="shared" si="6"/>
        <v/>
      </c>
      <c r="E427" s="18" t="str">
        <f>IF(C427="","",固定信息!$B$2)</f>
        <v/>
      </c>
      <c r="F427" s="18" t="str">
        <f t="array" ref="F427">IF(C427="","","【"&amp;C427&amp;"】"&amp;_xlfn.XLOOKUP(A427&amp;B427&amp;C427,盘货信息!$A:$A&amp;盘货信息!$B:$B&amp;盘货信息!$C:$C,盘货信息!$D:$D))</f>
        <v/>
      </c>
      <c r="G427" s="18" t="str">
        <f>IF(C427="","","【"&amp;"活动时间："&amp;固定信息!$B$3&amp;"】")</f>
        <v/>
      </c>
      <c r="H427" s="18" t="str">
        <f>IF($C427="","",固定信息!$B$1)</f>
        <v/>
      </c>
      <c r="I427" s="18"/>
      <c r="J427" s="18" t="str">
        <f t="array" ref="J427">_xlfn.XLOOKUP(A427&amp;B427&amp;C427,价格信息!$A:$A&amp;价格信息!$B:$B&amp;价格信息!$C:$C,价格信息!$D:$D)</f>
        <v/>
      </c>
      <c r="K427" s="31" t="str">
        <f t="array" ref="K427">IF(_xlfn.XLOOKUP(A427&amp;B427&amp;C427,价格信息!$A:$A&amp;价格信息!$B:$B&amp;价格信息!$C:$C,价格信息!$I:$I)="","","【优惠券链接】"&amp;固定信息!$B$6)</f>
        <v/>
      </c>
      <c r="L427" s="31" t="str">
        <f>IF($C427="","",固定信息!$B$1)</f>
        <v/>
      </c>
      <c r="M427" s="18" t="str">
        <f t="array" ref="M427">IF(_xlfn.XLOOKUP(A427&amp;B427&amp;C427,盘货信息!$A:$A&amp;盘货信息!$B:$B&amp;盘货信息!$C:$C,盘货信息!$O:$O)="","","【优惠券】领"&amp;INDEX(_wpsfn.REGEXP(_xlfn.XLOOKUP(A427&amp;B427&amp;C427,盘货信息!$A:$A&amp;盘货信息!$B:$B&amp;盘货信息!$C:$C,盘货信息!$O:$O),"\d+"),1,1)&amp;"元优惠券下单更优惠，优惠卷："&amp;_xlfn.XLOOKUP(A427&amp;B427&amp;C427,盘货信息!$A:$A&amp;盘货信息!$B:$B&amp;盘货信息!$C:$C,盘货信息!$P:$P))</f>
        <v/>
      </c>
      <c r="N427" s="18" t="str">
        <f t="array" ref="N427">IF(AND(ISNUMBER(_xlfn.XLOOKUP(A427&amp;B427&amp;C427,盘货信息!$A:$A&amp;盘货信息!$B:$B&amp;盘货信息!$C:$C,盘货信息!$I:$I)),_xlfn.XLOOKUP(A427&amp;B427&amp;C427,盘货信息!$A:$A&amp;盘货信息!$B:$B&amp;盘货信息!$C:$C,盘货信息!$I:$I)&gt;1),"【88VIP】立减"&amp;_xlfn.XLOOKUP(A427&amp;B427&amp;C427,盘货信息!$A:$A&amp;盘货信息!$B:$B&amp;盘货信息!$C:$C,盘货信息!$I:$I)&amp;"元","")</f>
        <v/>
      </c>
      <c r="O427" s="18" t="str">
        <f t="array" ref="O427">IF(_xlfn.XLOOKUP(A427&amp;B427&amp;C427,盘货信息!$A:$A&amp;盘货信息!$B:$B&amp;盘货信息!$C:$C,盘货信息!$K:$K)="","",IF(AND(_xlfn.XLOOKUP(A427&amp;B427&amp;C427,盘货信息!$A:$A&amp;盘货信息!$B:$B&amp;盘货信息!$C:$C,盘货信息!$G:$G)="不参加",_xlfn.XLOOKUP(A427&amp;B427&amp;C427,盘货信息!$A:$A&amp;盘货信息!$B:$B&amp;盘货信息!$C:$C,盘货信息!$H:$H)=""),"【以旧换新】"&amp;_xlfn.XLOOKUP(A427&amp;B427&amp;C427,盘货信息!$A:$A&amp;盘货信息!$B:$B&amp;盘货信息!$C:$C,盘货信息!$K:$K)&amp;"元以旧换新补贴（可无旧机换新）",""))</f>
        <v/>
      </c>
      <c r="P427" s="18" t="str">
        <f t="array" ref="P427">_xlfn.XLOOKUP(A427&amp;B427&amp;C427,赠品!$A:$A&amp;赠品!$B:$B&amp;赠品!$C:$C,赠品!$D:$D)</f>
        <v/>
      </c>
      <c r="Q427" s="18" t="str">
        <f>IF($C427="","",IF(AND(M427="",N427="",P427=""),"",固定信息!$B$1))</f>
        <v/>
      </c>
      <c r="R427" s="18" t="str">
        <f t="array" ref="R427">IF(ISNUMBER(SEARCH("是",_xlfn.XLOOKUP(A427&amp;B427&amp;C427,盘货信息!$A:$A&amp;盘货信息!$B:$B&amp;盘货信息!$C:$C,盘货信息!$U:$U))),"【折扣】指定型号满2类享96折，满3类享94折","")</f>
        <v/>
      </c>
      <c r="S427" s="18" t="str">
        <f t="array" ref="S427">IF(_xlfn.XLOOKUP(A427&amp;B427&amp;C427,盘货信息!$A:$A&amp;盘货信息!$B:$B&amp;盘货信息!$C:$C,盘货信息!$Q:$Q)&lt;1,"","【红包】活动时间购机送"&amp;_xlfn.TEXTJOIN("",,IF(ISNUMBER(--MID(_xlfn.XLOOKUP(A427&amp;B427&amp;C427,盘货信息!$A:$A&amp;盘货信息!$B:$B&amp;盘货信息!$C:$C,盘货信息!$Q:$Q),_xlfn.SEQUENCE(LEN(_xlfn.XLOOKUP(A427&amp;B427&amp;C427,盘货信息!$A:$A&amp;盘货信息!$B:$B&amp;盘货信息!$C:$C,盘货信息!$Q:$Q))),1)),MID(_xlfn.XLOOKUP(A427&amp;B427&amp;C427,盘货信息!$A:$A&amp;盘货信息!$B:$B&amp;盘货信息!$C:$C,盘货信息!$Q:$Q),_xlfn.SEQUENCE(LEN(_xlfn.XLOOKUP(A427&amp;B427&amp;C427,盘货信息!$A:$A&amp;盘货信息!$B:$B&amp;盘货信息!$C:$C,盘货信息!$Q:$Q))),1),""))&amp;"元")</f>
        <v/>
      </c>
      <c r="T427" s="18" t="str">
        <f t="array" ref="T427">IF(ISNUMBER(SEARCH("是",_xlfn.XLOOKUP(A427&amp;B427&amp;C427,盘货信息!$A:$A&amp;盘货信息!$B:$B&amp;盘货信息!$C:$C,盘货信息!$T:$T))),"【瓜分】"&amp;固定信息!$B$7,"")</f>
        <v/>
      </c>
      <c r="U427" s="18" t="str">
        <f>IF($C427="","",IF(AND(R427="",S427="",T427=""),"",固定信息!$B$1))</f>
        <v/>
      </c>
      <c r="V427" s="18" t="str">
        <f t="array" ref="V427">IF(C427="","","【服务】"&amp;IF(_xlfn.XLOOKUP(A427&amp;B427&amp;C427,盘货信息!$A:$A&amp;盘货信息!$B:$B&amp;盘货信息!$C:$C,盘货信息!$V:$V)="","",_xlfn.XLOOKUP(A427&amp;B427&amp;C427,盘货信息!$A:$A&amp;盘货信息!$B:$B&amp;盘货信息!$C:$C,盘货信息!$V:$V)&amp;"免息,")&amp;IF(_xlfn.XLOOKUP(A427&amp;B427&amp;C427,盘货信息!$A:$A&amp;盘货信息!$B:$B&amp;盘货信息!$C:$C,盘货信息!$W:$W)="","",_xlfn.XLOOKUP(A427&amp;B427&amp;C427,盘货信息!$A:$A&amp;盘货信息!$B:$B&amp;盘货信息!$C:$C,盘货信息!$W:$W)&amp;"，")&amp;"送货入户，退换免运费")</f>
        <v/>
      </c>
    </row>
    <row r="428" customHeight="1" spans="1:22">
      <c r="A428" s="17" t="str">
        <f>IF(盘货信息!A428="","",盘货信息!A428)</f>
        <v/>
      </c>
      <c r="B428" s="20" t="str">
        <f>IF(盘货信息!B428="","",盘货信息!B428)</f>
        <v/>
      </c>
      <c r="C428" s="18" t="str">
        <f>IF(盘货信息!C428="","",盘货信息!C428)</f>
        <v/>
      </c>
      <c r="D428" s="18" t="str">
        <f ca="1" t="shared" si="6"/>
        <v/>
      </c>
      <c r="E428" s="18" t="str">
        <f>IF(C428="","",固定信息!$B$2)</f>
        <v/>
      </c>
      <c r="F428" s="18" t="str">
        <f t="array" ref="F428">IF(C428="","","【"&amp;C428&amp;"】"&amp;_xlfn.XLOOKUP(A428&amp;B428&amp;C428,盘货信息!$A:$A&amp;盘货信息!$B:$B&amp;盘货信息!$C:$C,盘货信息!$D:$D))</f>
        <v/>
      </c>
      <c r="G428" s="18" t="str">
        <f>IF(C428="","","【"&amp;"活动时间："&amp;固定信息!$B$3&amp;"】")</f>
        <v/>
      </c>
      <c r="H428" s="18" t="str">
        <f>IF($C428="","",固定信息!$B$1)</f>
        <v/>
      </c>
      <c r="I428" s="18"/>
      <c r="J428" s="18" t="str">
        <f t="array" ref="J428">_xlfn.XLOOKUP(A428&amp;B428&amp;C428,价格信息!$A:$A&amp;价格信息!$B:$B&amp;价格信息!$C:$C,价格信息!$D:$D)</f>
        <v/>
      </c>
      <c r="K428" s="31" t="str">
        <f t="array" ref="K428">IF(_xlfn.XLOOKUP(A428&amp;B428&amp;C428,价格信息!$A:$A&amp;价格信息!$B:$B&amp;价格信息!$C:$C,价格信息!$I:$I)="","","【优惠券链接】"&amp;固定信息!$B$6)</f>
        <v/>
      </c>
      <c r="L428" s="31" t="str">
        <f>IF($C428="","",固定信息!$B$1)</f>
        <v/>
      </c>
      <c r="M428" s="18" t="str">
        <f t="array" ref="M428">IF(_xlfn.XLOOKUP(A428&amp;B428&amp;C428,盘货信息!$A:$A&amp;盘货信息!$B:$B&amp;盘货信息!$C:$C,盘货信息!$O:$O)="","","【优惠券】领"&amp;INDEX(_wpsfn.REGEXP(_xlfn.XLOOKUP(A428&amp;B428&amp;C428,盘货信息!$A:$A&amp;盘货信息!$B:$B&amp;盘货信息!$C:$C,盘货信息!$O:$O),"\d+"),1,1)&amp;"元优惠券下单更优惠，优惠卷："&amp;_xlfn.XLOOKUP(A428&amp;B428&amp;C428,盘货信息!$A:$A&amp;盘货信息!$B:$B&amp;盘货信息!$C:$C,盘货信息!$P:$P))</f>
        <v/>
      </c>
      <c r="N428" s="18" t="str">
        <f t="array" ref="N428">IF(AND(ISNUMBER(_xlfn.XLOOKUP(A428&amp;B428&amp;C428,盘货信息!$A:$A&amp;盘货信息!$B:$B&amp;盘货信息!$C:$C,盘货信息!$I:$I)),_xlfn.XLOOKUP(A428&amp;B428&amp;C428,盘货信息!$A:$A&amp;盘货信息!$B:$B&amp;盘货信息!$C:$C,盘货信息!$I:$I)&gt;1),"【88VIP】立减"&amp;_xlfn.XLOOKUP(A428&amp;B428&amp;C428,盘货信息!$A:$A&amp;盘货信息!$B:$B&amp;盘货信息!$C:$C,盘货信息!$I:$I)&amp;"元","")</f>
        <v/>
      </c>
      <c r="O428" s="18" t="str">
        <f t="array" ref="O428">IF(_xlfn.XLOOKUP(A428&amp;B428&amp;C428,盘货信息!$A:$A&amp;盘货信息!$B:$B&amp;盘货信息!$C:$C,盘货信息!$K:$K)="","",IF(AND(_xlfn.XLOOKUP(A428&amp;B428&amp;C428,盘货信息!$A:$A&amp;盘货信息!$B:$B&amp;盘货信息!$C:$C,盘货信息!$G:$G)="不参加",_xlfn.XLOOKUP(A428&amp;B428&amp;C428,盘货信息!$A:$A&amp;盘货信息!$B:$B&amp;盘货信息!$C:$C,盘货信息!$H:$H)=""),"【以旧换新】"&amp;_xlfn.XLOOKUP(A428&amp;B428&amp;C428,盘货信息!$A:$A&amp;盘货信息!$B:$B&amp;盘货信息!$C:$C,盘货信息!$K:$K)&amp;"元以旧换新补贴（可无旧机换新）",""))</f>
        <v/>
      </c>
      <c r="P428" s="18" t="str">
        <f t="array" ref="P428">_xlfn.XLOOKUP(A428&amp;B428&amp;C428,赠品!$A:$A&amp;赠品!$B:$B&amp;赠品!$C:$C,赠品!$D:$D)</f>
        <v/>
      </c>
      <c r="Q428" s="18" t="str">
        <f>IF($C428="","",IF(AND(M428="",N428="",P428=""),"",固定信息!$B$1))</f>
        <v/>
      </c>
      <c r="R428" s="18" t="str">
        <f t="array" ref="R428">IF(ISNUMBER(SEARCH("是",_xlfn.XLOOKUP(A428&amp;B428&amp;C428,盘货信息!$A:$A&amp;盘货信息!$B:$B&amp;盘货信息!$C:$C,盘货信息!$U:$U))),"【折扣】指定型号满2类享96折，满3类享94折","")</f>
        <v/>
      </c>
      <c r="S428" s="18" t="str">
        <f t="array" ref="S428">IF(_xlfn.XLOOKUP(A428&amp;B428&amp;C428,盘货信息!$A:$A&amp;盘货信息!$B:$B&amp;盘货信息!$C:$C,盘货信息!$Q:$Q)&lt;1,"","【红包】活动时间购机送"&amp;_xlfn.TEXTJOIN("",,IF(ISNUMBER(--MID(_xlfn.XLOOKUP(A428&amp;B428&amp;C428,盘货信息!$A:$A&amp;盘货信息!$B:$B&amp;盘货信息!$C:$C,盘货信息!$Q:$Q),_xlfn.SEQUENCE(LEN(_xlfn.XLOOKUP(A428&amp;B428&amp;C428,盘货信息!$A:$A&amp;盘货信息!$B:$B&amp;盘货信息!$C:$C,盘货信息!$Q:$Q))),1)),MID(_xlfn.XLOOKUP(A428&amp;B428&amp;C428,盘货信息!$A:$A&amp;盘货信息!$B:$B&amp;盘货信息!$C:$C,盘货信息!$Q:$Q),_xlfn.SEQUENCE(LEN(_xlfn.XLOOKUP(A428&amp;B428&amp;C428,盘货信息!$A:$A&amp;盘货信息!$B:$B&amp;盘货信息!$C:$C,盘货信息!$Q:$Q))),1),""))&amp;"元")</f>
        <v/>
      </c>
      <c r="T428" s="18" t="str">
        <f t="array" ref="T428">IF(ISNUMBER(SEARCH("是",_xlfn.XLOOKUP(A428&amp;B428&amp;C428,盘货信息!$A:$A&amp;盘货信息!$B:$B&amp;盘货信息!$C:$C,盘货信息!$T:$T))),"【瓜分】"&amp;固定信息!$B$7,"")</f>
        <v/>
      </c>
      <c r="U428" s="18" t="str">
        <f>IF($C428="","",IF(AND(R428="",S428="",T428=""),"",固定信息!$B$1))</f>
        <v/>
      </c>
      <c r="V428" s="18" t="str">
        <f t="array" ref="V428">IF(C428="","","【服务】"&amp;IF(_xlfn.XLOOKUP(A428&amp;B428&amp;C428,盘货信息!$A:$A&amp;盘货信息!$B:$B&amp;盘货信息!$C:$C,盘货信息!$V:$V)="","",_xlfn.XLOOKUP(A428&amp;B428&amp;C428,盘货信息!$A:$A&amp;盘货信息!$B:$B&amp;盘货信息!$C:$C,盘货信息!$V:$V)&amp;"免息,")&amp;IF(_xlfn.XLOOKUP(A428&amp;B428&amp;C428,盘货信息!$A:$A&amp;盘货信息!$B:$B&amp;盘货信息!$C:$C,盘货信息!$W:$W)="","",_xlfn.XLOOKUP(A428&amp;B428&amp;C428,盘货信息!$A:$A&amp;盘货信息!$B:$B&amp;盘货信息!$C:$C,盘货信息!$W:$W)&amp;"，")&amp;"送货入户，退换免运费")</f>
        <v/>
      </c>
    </row>
    <row r="429" customHeight="1" spans="1:22">
      <c r="A429" s="17" t="str">
        <f>IF(盘货信息!A429="","",盘货信息!A429)</f>
        <v/>
      </c>
      <c r="B429" s="20" t="str">
        <f>IF(盘货信息!B429="","",盘货信息!B429)</f>
        <v/>
      </c>
      <c r="C429" s="18" t="str">
        <f>IF(盘货信息!C429="","",盘货信息!C429)</f>
        <v/>
      </c>
      <c r="D429" s="18" t="str">
        <f ca="1" t="shared" si="6"/>
        <v/>
      </c>
      <c r="E429" s="18" t="str">
        <f>IF(C429="","",固定信息!$B$2)</f>
        <v/>
      </c>
      <c r="F429" s="18" t="str">
        <f t="array" ref="F429">IF(C429="","","【"&amp;C429&amp;"】"&amp;_xlfn.XLOOKUP(A429&amp;B429&amp;C429,盘货信息!$A:$A&amp;盘货信息!$B:$B&amp;盘货信息!$C:$C,盘货信息!$D:$D))</f>
        <v/>
      </c>
      <c r="G429" s="18" t="str">
        <f>IF(C429="","","【"&amp;"活动时间："&amp;固定信息!$B$3&amp;"】")</f>
        <v/>
      </c>
      <c r="H429" s="18" t="str">
        <f>IF($C429="","",固定信息!$B$1)</f>
        <v/>
      </c>
      <c r="I429" s="18"/>
      <c r="J429" s="18" t="str">
        <f t="array" ref="J429">_xlfn.XLOOKUP(A429&amp;B429&amp;C429,价格信息!$A:$A&amp;价格信息!$B:$B&amp;价格信息!$C:$C,价格信息!$D:$D)</f>
        <v/>
      </c>
      <c r="K429" s="31" t="str">
        <f t="array" ref="K429">IF(_xlfn.XLOOKUP(A429&amp;B429&amp;C429,价格信息!$A:$A&amp;价格信息!$B:$B&amp;价格信息!$C:$C,价格信息!$I:$I)="","","【优惠券链接】"&amp;固定信息!$B$6)</f>
        <v/>
      </c>
      <c r="L429" s="31" t="str">
        <f>IF($C429="","",固定信息!$B$1)</f>
        <v/>
      </c>
      <c r="M429" s="18" t="str">
        <f t="array" ref="M429">IF(_xlfn.XLOOKUP(A429&amp;B429&amp;C429,盘货信息!$A:$A&amp;盘货信息!$B:$B&amp;盘货信息!$C:$C,盘货信息!$O:$O)="","","【优惠券】领"&amp;INDEX(_wpsfn.REGEXP(_xlfn.XLOOKUP(A429&amp;B429&amp;C429,盘货信息!$A:$A&amp;盘货信息!$B:$B&amp;盘货信息!$C:$C,盘货信息!$O:$O),"\d+"),1,1)&amp;"元优惠券下单更优惠，优惠卷："&amp;_xlfn.XLOOKUP(A429&amp;B429&amp;C429,盘货信息!$A:$A&amp;盘货信息!$B:$B&amp;盘货信息!$C:$C,盘货信息!$P:$P))</f>
        <v/>
      </c>
      <c r="N429" s="18" t="str">
        <f t="array" ref="N429">IF(AND(ISNUMBER(_xlfn.XLOOKUP(A429&amp;B429&amp;C429,盘货信息!$A:$A&amp;盘货信息!$B:$B&amp;盘货信息!$C:$C,盘货信息!$I:$I)),_xlfn.XLOOKUP(A429&amp;B429&amp;C429,盘货信息!$A:$A&amp;盘货信息!$B:$B&amp;盘货信息!$C:$C,盘货信息!$I:$I)&gt;1),"【88VIP】立减"&amp;_xlfn.XLOOKUP(A429&amp;B429&amp;C429,盘货信息!$A:$A&amp;盘货信息!$B:$B&amp;盘货信息!$C:$C,盘货信息!$I:$I)&amp;"元","")</f>
        <v/>
      </c>
      <c r="O429" s="18" t="str">
        <f t="array" ref="O429">IF(_xlfn.XLOOKUP(A429&amp;B429&amp;C429,盘货信息!$A:$A&amp;盘货信息!$B:$B&amp;盘货信息!$C:$C,盘货信息!$K:$K)="","",IF(AND(_xlfn.XLOOKUP(A429&amp;B429&amp;C429,盘货信息!$A:$A&amp;盘货信息!$B:$B&amp;盘货信息!$C:$C,盘货信息!$G:$G)="不参加",_xlfn.XLOOKUP(A429&amp;B429&amp;C429,盘货信息!$A:$A&amp;盘货信息!$B:$B&amp;盘货信息!$C:$C,盘货信息!$H:$H)=""),"【以旧换新】"&amp;_xlfn.XLOOKUP(A429&amp;B429&amp;C429,盘货信息!$A:$A&amp;盘货信息!$B:$B&amp;盘货信息!$C:$C,盘货信息!$K:$K)&amp;"元以旧换新补贴（可无旧机换新）",""))</f>
        <v/>
      </c>
      <c r="P429" s="18" t="str">
        <f t="array" ref="P429">_xlfn.XLOOKUP(A429&amp;B429&amp;C429,赠品!$A:$A&amp;赠品!$B:$B&amp;赠品!$C:$C,赠品!$D:$D)</f>
        <v/>
      </c>
      <c r="Q429" s="18" t="str">
        <f>IF($C429="","",IF(AND(M429="",N429="",P429=""),"",固定信息!$B$1))</f>
        <v/>
      </c>
      <c r="R429" s="18" t="str">
        <f t="array" ref="R429">IF(ISNUMBER(SEARCH("是",_xlfn.XLOOKUP(A429&amp;B429&amp;C429,盘货信息!$A:$A&amp;盘货信息!$B:$B&amp;盘货信息!$C:$C,盘货信息!$U:$U))),"【折扣】指定型号满2类享96折，满3类享94折","")</f>
        <v/>
      </c>
      <c r="S429" s="18" t="str">
        <f t="array" ref="S429">IF(_xlfn.XLOOKUP(A429&amp;B429&amp;C429,盘货信息!$A:$A&amp;盘货信息!$B:$B&amp;盘货信息!$C:$C,盘货信息!$Q:$Q)&lt;1,"","【红包】活动时间购机送"&amp;_xlfn.TEXTJOIN("",,IF(ISNUMBER(--MID(_xlfn.XLOOKUP(A429&amp;B429&amp;C429,盘货信息!$A:$A&amp;盘货信息!$B:$B&amp;盘货信息!$C:$C,盘货信息!$Q:$Q),_xlfn.SEQUENCE(LEN(_xlfn.XLOOKUP(A429&amp;B429&amp;C429,盘货信息!$A:$A&amp;盘货信息!$B:$B&amp;盘货信息!$C:$C,盘货信息!$Q:$Q))),1)),MID(_xlfn.XLOOKUP(A429&amp;B429&amp;C429,盘货信息!$A:$A&amp;盘货信息!$B:$B&amp;盘货信息!$C:$C,盘货信息!$Q:$Q),_xlfn.SEQUENCE(LEN(_xlfn.XLOOKUP(A429&amp;B429&amp;C429,盘货信息!$A:$A&amp;盘货信息!$B:$B&amp;盘货信息!$C:$C,盘货信息!$Q:$Q))),1),""))&amp;"元")</f>
        <v/>
      </c>
      <c r="T429" s="18" t="str">
        <f t="array" ref="T429">IF(ISNUMBER(SEARCH("是",_xlfn.XLOOKUP(A429&amp;B429&amp;C429,盘货信息!$A:$A&amp;盘货信息!$B:$B&amp;盘货信息!$C:$C,盘货信息!$T:$T))),"【瓜分】"&amp;固定信息!$B$7,"")</f>
        <v/>
      </c>
      <c r="U429" s="18" t="str">
        <f>IF($C429="","",IF(AND(R429="",S429="",T429=""),"",固定信息!$B$1))</f>
        <v/>
      </c>
      <c r="V429" s="18" t="str">
        <f t="array" ref="V429">IF(C429="","","【服务】"&amp;IF(_xlfn.XLOOKUP(A429&amp;B429&amp;C429,盘货信息!$A:$A&amp;盘货信息!$B:$B&amp;盘货信息!$C:$C,盘货信息!$V:$V)="","",_xlfn.XLOOKUP(A429&amp;B429&amp;C429,盘货信息!$A:$A&amp;盘货信息!$B:$B&amp;盘货信息!$C:$C,盘货信息!$V:$V)&amp;"免息,")&amp;IF(_xlfn.XLOOKUP(A429&amp;B429&amp;C429,盘货信息!$A:$A&amp;盘货信息!$B:$B&amp;盘货信息!$C:$C,盘货信息!$W:$W)="","",_xlfn.XLOOKUP(A429&amp;B429&amp;C429,盘货信息!$A:$A&amp;盘货信息!$B:$B&amp;盘货信息!$C:$C,盘货信息!$W:$W)&amp;"，")&amp;"送货入户，退换免运费")</f>
        <v/>
      </c>
    </row>
    <row r="430" customHeight="1" spans="1:22">
      <c r="A430" s="17" t="str">
        <f>IF(盘货信息!A430="","",盘货信息!A430)</f>
        <v/>
      </c>
      <c r="B430" s="20" t="str">
        <f>IF(盘货信息!B430="","",盘货信息!B430)</f>
        <v/>
      </c>
      <c r="C430" s="18" t="str">
        <f>IF(盘货信息!C430="","",盘货信息!C430)</f>
        <v/>
      </c>
      <c r="D430" s="18" t="str">
        <f ca="1" t="shared" si="6"/>
        <v/>
      </c>
      <c r="E430" s="18" t="str">
        <f>IF(C430="","",固定信息!$B$2)</f>
        <v/>
      </c>
      <c r="F430" s="18" t="str">
        <f t="array" ref="F430">IF(C430="","","【"&amp;C430&amp;"】"&amp;_xlfn.XLOOKUP(A430&amp;B430&amp;C430,盘货信息!$A:$A&amp;盘货信息!$B:$B&amp;盘货信息!$C:$C,盘货信息!$D:$D))</f>
        <v/>
      </c>
      <c r="G430" s="18" t="str">
        <f>IF(C430="","","【"&amp;"活动时间："&amp;固定信息!$B$3&amp;"】")</f>
        <v/>
      </c>
      <c r="H430" s="18" t="str">
        <f>IF($C430="","",固定信息!$B$1)</f>
        <v/>
      </c>
      <c r="I430" s="18"/>
      <c r="J430" s="18" t="str">
        <f t="array" ref="J430">_xlfn.XLOOKUP(A430&amp;B430&amp;C430,价格信息!$A:$A&amp;价格信息!$B:$B&amp;价格信息!$C:$C,价格信息!$D:$D)</f>
        <v/>
      </c>
      <c r="K430" s="31" t="str">
        <f t="array" ref="K430">IF(_xlfn.XLOOKUP(A430&amp;B430&amp;C430,价格信息!$A:$A&amp;价格信息!$B:$B&amp;价格信息!$C:$C,价格信息!$I:$I)="","","【优惠券链接】"&amp;固定信息!$B$6)</f>
        <v/>
      </c>
      <c r="L430" s="31" t="str">
        <f>IF($C430="","",固定信息!$B$1)</f>
        <v/>
      </c>
      <c r="M430" s="18" t="str">
        <f t="array" ref="M430">IF(_xlfn.XLOOKUP(A430&amp;B430&amp;C430,盘货信息!$A:$A&amp;盘货信息!$B:$B&amp;盘货信息!$C:$C,盘货信息!$O:$O)="","","【优惠券】领"&amp;INDEX(_wpsfn.REGEXP(_xlfn.XLOOKUP(A430&amp;B430&amp;C430,盘货信息!$A:$A&amp;盘货信息!$B:$B&amp;盘货信息!$C:$C,盘货信息!$O:$O),"\d+"),1,1)&amp;"元优惠券下单更优惠，优惠卷："&amp;_xlfn.XLOOKUP(A430&amp;B430&amp;C430,盘货信息!$A:$A&amp;盘货信息!$B:$B&amp;盘货信息!$C:$C,盘货信息!$P:$P))</f>
        <v/>
      </c>
      <c r="N430" s="18" t="str">
        <f t="array" ref="N430">IF(AND(ISNUMBER(_xlfn.XLOOKUP(A430&amp;B430&amp;C430,盘货信息!$A:$A&amp;盘货信息!$B:$B&amp;盘货信息!$C:$C,盘货信息!$I:$I)),_xlfn.XLOOKUP(A430&amp;B430&amp;C430,盘货信息!$A:$A&amp;盘货信息!$B:$B&amp;盘货信息!$C:$C,盘货信息!$I:$I)&gt;1),"【88VIP】立减"&amp;_xlfn.XLOOKUP(A430&amp;B430&amp;C430,盘货信息!$A:$A&amp;盘货信息!$B:$B&amp;盘货信息!$C:$C,盘货信息!$I:$I)&amp;"元","")</f>
        <v/>
      </c>
      <c r="O430" s="18" t="str">
        <f t="array" ref="O430">IF(_xlfn.XLOOKUP(A430&amp;B430&amp;C430,盘货信息!$A:$A&amp;盘货信息!$B:$B&amp;盘货信息!$C:$C,盘货信息!$K:$K)="","",IF(AND(_xlfn.XLOOKUP(A430&amp;B430&amp;C430,盘货信息!$A:$A&amp;盘货信息!$B:$B&amp;盘货信息!$C:$C,盘货信息!$G:$G)="不参加",_xlfn.XLOOKUP(A430&amp;B430&amp;C430,盘货信息!$A:$A&amp;盘货信息!$B:$B&amp;盘货信息!$C:$C,盘货信息!$H:$H)=""),"【以旧换新】"&amp;_xlfn.XLOOKUP(A430&amp;B430&amp;C430,盘货信息!$A:$A&amp;盘货信息!$B:$B&amp;盘货信息!$C:$C,盘货信息!$K:$K)&amp;"元以旧换新补贴（可无旧机换新）",""))</f>
        <v/>
      </c>
      <c r="P430" s="18" t="str">
        <f t="array" ref="P430">_xlfn.XLOOKUP(A430&amp;B430&amp;C430,赠品!$A:$A&amp;赠品!$B:$B&amp;赠品!$C:$C,赠品!$D:$D)</f>
        <v/>
      </c>
      <c r="Q430" s="18" t="str">
        <f>IF($C430="","",IF(AND(M430="",N430="",P430=""),"",固定信息!$B$1))</f>
        <v/>
      </c>
      <c r="R430" s="18" t="str">
        <f t="array" ref="R430">IF(ISNUMBER(SEARCH("是",_xlfn.XLOOKUP(A430&amp;B430&amp;C430,盘货信息!$A:$A&amp;盘货信息!$B:$B&amp;盘货信息!$C:$C,盘货信息!$U:$U))),"【折扣】指定型号满2类享96折，满3类享94折","")</f>
        <v/>
      </c>
      <c r="S430" s="18" t="str">
        <f t="array" ref="S430">IF(_xlfn.XLOOKUP(A430&amp;B430&amp;C430,盘货信息!$A:$A&amp;盘货信息!$B:$B&amp;盘货信息!$C:$C,盘货信息!$Q:$Q)&lt;1,"","【红包】活动时间购机送"&amp;_xlfn.TEXTJOIN("",,IF(ISNUMBER(--MID(_xlfn.XLOOKUP(A430&amp;B430&amp;C430,盘货信息!$A:$A&amp;盘货信息!$B:$B&amp;盘货信息!$C:$C,盘货信息!$Q:$Q),_xlfn.SEQUENCE(LEN(_xlfn.XLOOKUP(A430&amp;B430&amp;C430,盘货信息!$A:$A&amp;盘货信息!$B:$B&amp;盘货信息!$C:$C,盘货信息!$Q:$Q))),1)),MID(_xlfn.XLOOKUP(A430&amp;B430&amp;C430,盘货信息!$A:$A&amp;盘货信息!$B:$B&amp;盘货信息!$C:$C,盘货信息!$Q:$Q),_xlfn.SEQUENCE(LEN(_xlfn.XLOOKUP(A430&amp;B430&amp;C430,盘货信息!$A:$A&amp;盘货信息!$B:$B&amp;盘货信息!$C:$C,盘货信息!$Q:$Q))),1),""))&amp;"元")</f>
        <v/>
      </c>
      <c r="T430" s="18" t="str">
        <f t="array" ref="T430">IF(ISNUMBER(SEARCH("是",_xlfn.XLOOKUP(A430&amp;B430&amp;C430,盘货信息!$A:$A&amp;盘货信息!$B:$B&amp;盘货信息!$C:$C,盘货信息!$T:$T))),"【瓜分】"&amp;固定信息!$B$7,"")</f>
        <v/>
      </c>
      <c r="U430" s="18" t="str">
        <f>IF($C430="","",IF(AND(R430="",S430="",T430=""),"",固定信息!$B$1))</f>
        <v/>
      </c>
      <c r="V430" s="18" t="str">
        <f t="array" ref="V430">IF(C430="","","【服务】"&amp;IF(_xlfn.XLOOKUP(A430&amp;B430&amp;C430,盘货信息!$A:$A&amp;盘货信息!$B:$B&amp;盘货信息!$C:$C,盘货信息!$V:$V)="","",_xlfn.XLOOKUP(A430&amp;B430&amp;C430,盘货信息!$A:$A&amp;盘货信息!$B:$B&amp;盘货信息!$C:$C,盘货信息!$V:$V)&amp;"免息,")&amp;IF(_xlfn.XLOOKUP(A430&amp;B430&amp;C430,盘货信息!$A:$A&amp;盘货信息!$B:$B&amp;盘货信息!$C:$C,盘货信息!$W:$W)="","",_xlfn.XLOOKUP(A430&amp;B430&amp;C430,盘货信息!$A:$A&amp;盘货信息!$B:$B&amp;盘货信息!$C:$C,盘货信息!$W:$W)&amp;"，")&amp;"送货入户，退换免运费")</f>
        <v/>
      </c>
    </row>
    <row r="431" customHeight="1" spans="1:22">
      <c r="A431" s="17" t="str">
        <f>IF(盘货信息!A431="","",盘货信息!A431)</f>
        <v/>
      </c>
      <c r="B431" s="20" t="str">
        <f>IF(盘货信息!B431="","",盘货信息!B431)</f>
        <v/>
      </c>
      <c r="C431" s="18" t="str">
        <f>IF(盘货信息!C431="","",盘货信息!C431)</f>
        <v/>
      </c>
      <c r="D431" s="18" t="str">
        <f ca="1" t="shared" si="6"/>
        <v/>
      </c>
      <c r="E431" s="18" t="str">
        <f>IF(C431="","",固定信息!$B$2)</f>
        <v/>
      </c>
      <c r="F431" s="18" t="str">
        <f t="array" ref="F431">IF(C431="","","【"&amp;C431&amp;"】"&amp;_xlfn.XLOOKUP(A431&amp;B431&amp;C431,盘货信息!$A:$A&amp;盘货信息!$B:$B&amp;盘货信息!$C:$C,盘货信息!$D:$D))</f>
        <v/>
      </c>
      <c r="G431" s="18" t="str">
        <f>IF(C431="","","【"&amp;"活动时间："&amp;固定信息!$B$3&amp;"】")</f>
        <v/>
      </c>
      <c r="H431" s="18" t="str">
        <f>IF($C431="","",固定信息!$B$1)</f>
        <v/>
      </c>
      <c r="I431" s="18"/>
      <c r="J431" s="18" t="str">
        <f t="array" ref="J431">_xlfn.XLOOKUP(A431&amp;B431&amp;C431,价格信息!$A:$A&amp;价格信息!$B:$B&amp;价格信息!$C:$C,价格信息!$D:$D)</f>
        <v/>
      </c>
      <c r="K431" s="31" t="str">
        <f t="array" ref="K431">IF(_xlfn.XLOOKUP(A431&amp;B431&amp;C431,价格信息!$A:$A&amp;价格信息!$B:$B&amp;价格信息!$C:$C,价格信息!$I:$I)="","","【优惠券链接】"&amp;固定信息!$B$6)</f>
        <v/>
      </c>
      <c r="L431" s="31" t="str">
        <f>IF($C431="","",固定信息!$B$1)</f>
        <v/>
      </c>
      <c r="M431" s="18" t="str">
        <f t="array" ref="M431">IF(_xlfn.XLOOKUP(A431&amp;B431&amp;C431,盘货信息!$A:$A&amp;盘货信息!$B:$B&amp;盘货信息!$C:$C,盘货信息!$O:$O)="","","【优惠券】领"&amp;INDEX(_wpsfn.REGEXP(_xlfn.XLOOKUP(A431&amp;B431&amp;C431,盘货信息!$A:$A&amp;盘货信息!$B:$B&amp;盘货信息!$C:$C,盘货信息!$O:$O),"\d+"),1,1)&amp;"元优惠券下单更优惠，优惠卷："&amp;_xlfn.XLOOKUP(A431&amp;B431&amp;C431,盘货信息!$A:$A&amp;盘货信息!$B:$B&amp;盘货信息!$C:$C,盘货信息!$P:$P))</f>
        <v/>
      </c>
      <c r="N431" s="18" t="str">
        <f t="array" ref="N431">IF(AND(ISNUMBER(_xlfn.XLOOKUP(A431&amp;B431&amp;C431,盘货信息!$A:$A&amp;盘货信息!$B:$B&amp;盘货信息!$C:$C,盘货信息!$I:$I)),_xlfn.XLOOKUP(A431&amp;B431&amp;C431,盘货信息!$A:$A&amp;盘货信息!$B:$B&amp;盘货信息!$C:$C,盘货信息!$I:$I)&gt;1),"【88VIP】立减"&amp;_xlfn.XLOOKUP(A431&amp;B431&amp;C431,盘货信息!$A:$A&amp;盘货信息!$B:$B&amp;盘货信息!$C:$C,盘货信息!$I:$I)&amp;"元","")</f>
        <v/>
      </c>
      <c r="O431" s="18" t="str">
        <f t="array" ref="O431">IF(_xlfn.XLOOKUP(A431&amp;B431&amp;C431,盘货信息!$A:$A&amp;盘货信息!$B:$B&amp;盘货信息!$C:$C,盘货信息!$K:$K)="","",IF(AND(_xlfn.XLOOKUP(A431&amp;B431&amp;C431,盘货信息!$A:$A&amp;盘货信息!$B:$B&amp;盘货信息!$C:$C,盘货信息!$G:$G)="不参加",_xlfn.XLOOKUP(A431&amp;B431&amp;C431,盘货信息!$A:$A&amp;盘货信息!$B:$B&amp;盘货信息!$C:$C,盘货信息!$H:$H)=""),"【以旧换新】"&amp;_xlfn.XLOOKUP(A431&amp;B431&amp;C431,盘货信息!$A:$A&amp;盘货信息!$B:$B&amp;盘货信息!$C:$C,盘货信息!$K:$K)&amp;"元以旧换新补贴（可无旧机换新）",""))</f>
        <v/>
      </c>
      <c r="P431" s="18" t="str">
        <f t="array" ref="P431">_xlfn.XLOOKUP(A431&amp;B431&amp;C431,赠品!$A:$A&amp;赠品!$B:$B&amp;赠品!$C:$C,赠品!$D:$D)</f>
        <v/>
      </c>
      <c r="Q431" s="18" t="str">
        <f>IF($C431="","",IF(AND(M431="",N431="",P431=""),"",固定信息!$B$1))</f>
        <v/>
      </c>
      <c r="R431" s="18" t="str">
        <f t="array" ref="R431">IF(ISNUMBER(SEARCH("是",_xlfn.XLOOKUP(A431&amp;B431&amp;C431,盘货信息!$A:$A&amp;盘货信息!$B:$B&amp;盘货信息!$C:$C,盘货信息!$U:$U))),"【折扣】指定型号满2类享96折，满3类享94折","")</f>
        <v/>
      </c>
      <c r="S431" s="18" t="str">
        <f t="array" ref="S431">IF(_xlfn.XLOOKUP(A431&amp;B431&amp;C431,盘货信息!$A:$A&amp;盘货信息!$B:$B&amp;盘货信息!$C:$C,盘货信息!$Q:$Q)&lt;1,"","【红包】活动时间购机送"&amp;_xlfn.TEXTJOIN("",,IF(ISNUMBER(--MID(_xlfn.XLOOKUP(A431&amp;B431&amp;C431,盘货信息!$A:$A&amp;盘货信息!$B:$B&amp;盘货信息!$C:$C,盘货信息!$Q:$Q),_xlfn.SEQUENCE(LEN(_xlfn.XLOOKUP(A431&amp;B431&amp;C431,盘货信息!$A:$A&amp;盘货信息!$B:$B&amp;盘货信息!$C:$C,盘货信息!$Q:$Q))),1)),MID(_xlfn.XLOOKUP(A431&amp;B431&amp;C431,盘货信息!$A:$A&amp;盘货信息!$B:$B&amp;盘货信息!$C:$C,盘货信息!$Q:$Q),_xlfn.SEQUENCE(LEN(_xlfn.XLOOKUP(A431&amp;B431&amp;C431,盘货信息!$A:$A&amp;盘货信息!$B:$B&amp;盘货信息!$C:$C,盘货信息!$Q:$Q))),1),""))&amp;"元")</f>
        <v/>
      </c>
      <c r="T431" s="18" t="str">
        <f t="array" ref="T431">IF(ISNUMBER(SEARCH("是",_xlfn.XLOOKUP(A431&amp;B431&amp;C431,盘货信息!$A:$A&amp;盘货信息!$B:$B&amp;盘货信息!$C:$C,盘货信息!$T:$T))),"【瓜分】"&amp;固定信息!$B$7,"")</f>
        <v/>
      </c>
      <c r="U431" s="18" t="str">
        <f>IF($C431="","",IF(AND(R431="",S431="",T431=""),"",固定信息!$B$1))</f>
        <v/>
      </c>
      <c r="V431" s="18" t="str">
        <f t="array" ref="V431">IF(C431="","","【服务】"&amp;IF(_xlfn.XLOOKUP(A431&amp;B431&amp;C431,盘货信息!$A:$A&amp;盘货信息!$B:$B&amp;盘货信息!$C:$C,盘货信息!$V:$V)="","",_xlfn.XLOOKUP(A431&amp;B431&amp;C431,盘货信息!$A:$A&amp;盘货信息!$B:$B&amp;盘货信息!$C:$C,盘货信息!$V:$V)&amp;"免息,")&amp;IF(_xlfn.XLOOKUP(A431&amp;B431&amp;C431,盘货信息!$A:$A&amp;盘货信息!$B:$B&amp;盘货信息!$C:$C,盘货信息!$W:$W)="","",_xlfn.XLOOKUP(A431&amp;B431&amp;C431,盘货信息!$A:$A&amp;盘货信息!$B:$B&amp;盘货信息!$C:$C,盘货信息!$W:$W)&amp;"，")&amp;"送货入户，退换免运费")</f>
        <v/>
      </c>
    </row>
    <row r="432" customHeight="1" spans="1:22">
      <c r="A432" s="17" t="str">
        <f>IF(盘货信息!A432="","",盘货信息!A432)</f>
        <v/>
      </c>
      <c r="B432" s="20" t="str">
        <f>IF(盘货信息!B432="","",盘货信息!B432)</f>
        <v/>
      </c>
      <c r="C432" s="18" t="str">
        <f>IF(盘货信息!C432="","",盘货信息!C432)</f>
        <v/>
      </c>
      <c r="D432" s="18" t="str">
        <f ca="1" t="shared" si="6"/>
        <v/>
      </c>
      <c r="E432" s="18" t="str">
        <f>IF(C432="","",固定信息!$B$2)</f>
        <v/>
      </c>
      <c r="F432" s="18" t="str">
        <f t="array" ref="F432">IF(C432="","","【"&amp;C432&amp;"】"&amp;_xlfn.XLOOKUP(A432&amp;B432&amp;C432,盘货信息!$A:$A&amp;盘货信息!$B:$B&amp;盘货信息!$C:$C,盘货信息!$D:$D))</f>
        <v/>
      </c>
      <c r="G432" s="18" t="str">
        <f>IF(C432="","","【"&amp;"活动时间："&amp;固定信息!$B$3&amp;"】")</f>
        <v/>
      </c>
      <c r="H432" s="18" t="str">
        <f>IF($C432="","",固定信息!$B$1)</f>
        <v/>
      </c>
      <c r="I432" s="18"/>
      <c r="J432" s="18" t="str">
        <f t="array" ref="J432">_xlfn.XLOOKUP(A432&amp;B432&amp;C432,价格信息!$A:$A&amp;价格信息!$B:$B&amp;价格信息!$C:$C,价格信息!$D:$D)</f>
        <v/>
      </c>
      <c r="K432" s="31" t="str">
        <f t="array" ref="K432">IF(_xlfn.XLOOKUP(A432&amp;B432&amp;C432,价格信息!$A:$A&amp;价格信息!$B:$B&amp;价格信息!$C:$C,价格信息!$I:$I)="","","【优惠券链接】"&amp;固定信息!$B$6)</f>
        <v/>
      </c>
      <c r="L432" s="31" t="str">
        <f>IF($C432="","",固定信息!$B$1)</f>
        <v/>
      </c>
      <c r="M432" s="18" t="str">
        <f t="array" ref="M432">IF(_xlfn.XLOOKUP(A432&amp;B432&amp;C432,盘货信息!$A:$A&amp;盘货信息!$B:$B&amp;盘货信息!$C:$C,盘货信息!$O:$O)="","","【优惠券】领"&amp;INDEX(_wpsfn.REGEXP(_xlfn.XLOOKUP(A432&amp;B432&amp;C432,盘货信息!$A:$A&amp;盘货信息!$B:$B&amp;盘货信息!$C:$C,盘货信息!$O:$O),"\d+"),1,1)&amp;"元优惠券下单更优惠，优惠卷："&amp;_xlfn.XLOOKUP(A432&amp;B432&amp;C432,盘货信息!$A:$A&amp;盘货信息!$B:$B&amp;盘货信息!$C:$C,盘货信息!$P:$P))</f>
        <v/>
      </c>
      <c r="N432" s="18" t="str">
        <f t="array" ref="N432">IF(AND(ISNUMBER(_xlfn.XLOOKUP(A432&amp;B432&amp;C432,盘货信息!$A:$A&amp;盘货信息!$B:$B&amp;盘货信息!$C:$C,盘货信息!$I:$I)),_xlfn.XLOOKUP(A432&amp;B432&amp;C432,盘货信息!$A:$A&amp;盘货信息!$B:$B&amp;盘货信息!$C:$C,盘货信息!$I:$I)&gt;1),"【88VIP】立减"&amp;_xlfn.XLOOKUP(A432&amp;B432&amp;C432,盘货信息!$A:$A&amp;盘货信息!$B:$B&amp;盘货信息!$C:$C,盘货信息!$I:$I)&amp;"元","")</f>
        <v/>
      </c>
      <c r="O432" s="18" t="str">
        <f t="array" ref="O432">IF(_xlfn.XLOOKUP(A432&amp;B432&amp;C432,盘货信息!$A:$A&amp;盘货信息!$B:$B&amp;盘货信息!$C:$C,盘货信息!$K:$K)="","",IF(AND(_xlfn.XLOOKUP(A432&amp;B432&amp;C432,盘货信息!$A:$A&amp;盘货信息!$B:$B&amp;盘货信息!$C:$C,盘货信息!$G:$G)="不参加",_xlfn.XLOOKUP(A432&amp;B432&amp;C432,盘货信息!$A:$A&amp;盘货信息!$B:$B&amp;盘货信息!$C:$C,盘货信息!$H:$H)=""),"【以旧换新】"&amp;_xlfn.XLOOKUP(A432&amp;B432&amp;C432,盘货信息!$A:$A&amp;盘货信息!$B:$B&amp;盘货信息!$C:$C,盘货信息!$K:$K)&amp;"元以旧换新补贴（可无旧机换新）",""))</f>
        <v/>
      </c>
      <c r="P432" s="18" t="str">
        <f t="array" ref="P432">_xlfn.XLOOKUP(A432&amp;B432&amp;C432,赠品!$A:$A&amp;赠品!$B:$B&amp;赠品!$C:$C,赠品!$D:$D)</f>
        <v/>
      </c>
      <c r="Q432" s="18" t="str">
        <f>IF($C432="","",IF(AND(M432="",N432="",P432=""),"",固定信息!$B$1))</f>
        <v/>
      </c>
      <c r="R432" s="18" t="str">
        <f t="array" ref="R432">IF(ISNUMBER(SEARCH("是",_xlfn.XLOOKUP(A432&amp;B432&amp;C432,盘货信息!$A:$A&amp;盘货信息!$B:$B&amp;盘货信息!$C:$C,盘货信息!$U:$U))),"【折扣】指定型号满2类享96折，满3类享94折","")</f>
        <v/>
      </c>
      <c r="S432" s="18" t="str">
        <f t="array" ref="S432">IF(_xlfn.XLOOKUP(A432&amp;B432&amp;C432,盘货信息!$A:$A&amp;盘货信息!$B:$B&amp;盘货信息!$C:$C,盘货信息!$Q:$Q)&lt;1,"","【红包】活动时间购机送"&amp;_xlfn.TEXTJOIN("",,IF(ISNUMBER(--MID(_xlfn.XLOOKUP(A432&amp;B432&amp;C432,盘货信息!$A:$A&amp;盘货信息!$B:$B&amp;盘货信息!$C:$C,盘货信息!$Q:$Q),_xlfn.SEQUENCE(LEN(_xlfn.XLOOKUP(A432&amp;B432&amp;C432,盘货信息!$A:$A&amp;盘货信息!$B:$B&amp;盘货信息!$C:$C,盘货信息!$Q:$Q))),1)),MID(_xlfn.XLOOKUP(A432&amp;B432&amp;C432,盘货信息!$A:$A&amp;盘货信息!$B:$B&amp;盘货信息!$C:$C,盘货信息!$Q:$Q),_xlfn.SEQUENCE(LEN(_xlfn.XLOOKUP(A432&amp;B432&amp;C432,盘货信息!$A:$A&amp;盘货信息!$B:$B&amp;盘货信息!$C:$C,盘货信息!$Q:$Q))),1),""))&amp;"元")</f>
        <v/>
      </c>
      <c r="T432" s="18" t="str">
        <f t="array" ref="T432">IF(ISNUMBER(SEARCH("是",_xlfn.XLOOKUP(A432&amp;B432&amp;C432,盘货信息!$A:$A&amp;盘货信息!$B:$B&amp;盘货信息!$C:$C,盘货信息!$T:$T))),"【瓜分】"&amp;固定信息!$B$7,"")</f>
        <v/>
      </c>
      <c r="U432" s="18" t="str">
        <f>IF($C432="","",IF(AND(R432="",S432="",T432=""),"",固定信息!$B$1))</f>
        <v/>
      </c>
      <c r="V432" s="18" t="str">
        <f t="array" ref="V432">IF(C432="","","【服务】"&amp;IF(_xlfn.XLOOKUP(A432&amp;B432&amp;C432,盘货信息!$A:$A&amp;盘货信息!$B:$B&amp;盘货信息!$C:$C,盘货信息!$V:$V)="","",_xlfn.XLOOKUP(A432&amp;B432&amp;C432,盘货信息!$A:$A&amp;盘货信息!$B:$B&amp;盘货信息!$C:$C,盘货信息!$V:$V)&amp;"免息,")&amp;IF(_xlfn.XLOOKUP(A432&amp;B432&amp;C432,盘货信息!$A:$A&amp;盘货信息!$B:$B&amp;盘货信息!$C:$C,盘货信息!$W:$W)="","",_xlfn.XLOOKUP(A432&amp;B432&amp;C432,盘货信息!$A:$A&amp;盘货信息!$B:$B&amp;盘货信息!$C:$C,盘货信息!$W:$W)&amp;"，")&amp;"送货入户，退换免运费")</f>
        <v/>
      </c>
    </row>
    <row r="433" customHeight="1" spans="1:22">
      <c r="A433" s="17" t="str">
        <f>IF(盘货信息!A433="","",盘货信息!A433)</f>
        <v/>
      </c>
      <c r="B433" s="20" t="str">
        <f>IF(盘货信息!B433="","",盘货信息!B433)</f>
        <v/>
      </c>
      <c r="C433" s="18" t="str">
        <f>IF(盘货信息!C433="","",盘货信息!C433)</f>
        <v/>
      </c>
      <c r="D433" s="18" t="str">
        <f ca="1" t="shared" si="6"/>
        <v/>
      </c>
      <c r="E433" s="18" t="str">
        <f>IF(C433="","",固定信息!$B$2)</f>
        <v/>
      </c>
      <c r="F433" s="18" t="str">
        <f t="array" ref="F433">IF(C433="","","【"&amp;C433&amp;"】"&amp;_xlfn.XLOOKUP(A433&amp;B433&amp;C433,盘货信息!$A:$A&amp;盘货信息!$B:$B&amp;盘货信息!$C:$C,盘货信息!$D:$D))</f>
        <v/>
      </c>
      <c r="G433" s="18" t="str">
        <f>IF(C433="","","【"&amp;"活动时间："&amp;固定信息!$B$3&amp;"】")</f>
        <v/>
      </c>
      <c r="H433" s="18" t="str">
        <f>IF($C433="","",固定信息!$B$1)</f>
        <v/>
      </c>
      <c r="I433" s="18"/>
      <c r="J433" s="18" t="str">
        <f t="array" ref="J433">_xlfn.XLOOKUP(A433&amp;B433&amp;C433,价格信息!$A:$A&amp;价格信息!$B:$B&amp;价格信息!$C:$C,价格信息!$D:$D)</f>
        <v/>
      </c>
      <c r="K433" s="31" t="str">
        <f t="array" ref="K433">IF(_xlfn.XLOOKUP(A433&amp;B433&amp;C433,价格信息!$A:$A&amp;价格信息!$B:$B&amp;价格信息!$C:$C,价格信息!$I:$I)="","","【优惠券链接】"&amp;固定信息!$B$6)</f>
        <v/>
      </c>
      <c r="L433" s="31" t="str">
        <f>IF($C433="","",固定信息!$B$1)</f>
        <v/>
      </c>
      <c r="M433" s="18" t="str">
        <f t="array" ref="M433">IF(_xlfn.XLOOKUP(A433&amp;B433&amp;C433,盘货信息!$A:$A&amp;盘货信息!$B:$B&amp;盘货信息!$C:$C,盘货信息!$O:$O)="","","【优惠券】领"&amp;INDEX(_wpsfn.REGEXP(_xlfn.XLOOKUP(A433&amp;B433&amp;C433,盘货信息!$A:$A&amp;盘货信息!$B:$B&amp;盘货信息!$C:$C,盘货信息!$O:$O),"\d+"),1,1)&amp;"元优惠券下单更优惠，优惠卷："&amp;_xlfn.XLOOKUP(A433&amp;B433&amp;C433,盘货信息!$A:$A&amp;盘货信息!$B:$B&amp;盘货信息!$C:$C,盘货信息!$P:$P))</f>
        <v/>
      </c>
      <c r="N433" s="18" t="str">
        <f t="array" ref="N433">IF(AND(ISNUMBER(_xlfn.XLOOKUP(A433&amp;B433&amp;C433,盘货信息!$A:$A&amp;盘货信息!$B:$B&amp;盘货信息!$C:$C,盘货信息!$I:$I)),_xlfn.XLOOKUP(A433&amp;B433&amp;C433,盘货信息!$A:$A&amp;盘货信息!$B:$B&amp;盘货信息!$C:$C,盘货信息!$I:$I)&gt;1),"【88VIP】立减"&amp;_xlfn.XLOOKUP(A433&amp;B433&amp;C433,盘货信息!$A:$A&amp;盘货信息!$B:$B&amp;盘货信息!$C:$C,盘货信息!$I:$I)&amp;"元","")</f>
        <v/>
      </c>
      <c r="O433" s="18" t="str">
        <f t="array" ref="O433">IF(_xlfn.XLOOKUP(A433&amp;B433&amp;C433,盘货信息!$A:$A&amp;盘货信息!$B:$B&amp;盘货信息!$C:$C,盘货信息!$K:$K)="","",IF(AND(_xlfn.XLOOKUP(A433&amp;B433&amp;C433,盘货信息!$A:$A&amp;盘货信息!$B:$B&amp;盘货信息!$C:$C,盘货信息!$G:$G)="不参加",_xlfn.XLOOKUP(A433&amp;B433&amp;C433,盘货信息!$A:$A&amp;盘货信息!$B:$B&amp;盘货信息!$C:$C,盘货信息!$H:$H)=""),"【以旧换新】"&amp;_xlfn.XLOOKUP(A433&amp;B433&amp;C433,盘货信息!$A:$A&amp;盘货信息!$B:$B&amp;盘货信息!$C:$C,盘货信息!$K:$K)&amp;"元以旧换新补贴（可无旧机换新）",""))</f>
        <v/>
      </c>
      <c r="P433" s="18" t="str">
        <f t="array" ref="P433">_xlfn.XLOOKUP(A433&amp;B433&amp;C433,赠品!$A:$A&amp;赠品!$B:$B&amp;赠品!$C:$C,赠品!$D:$D)</f>
        <v/>
      </c>
      <c r="Q433" s="18" t="str">
        <f>IF($C433="","",IF(AND(M433="",N433="",P433=""),"",固定信息!$B$1))</f>
        <v/>
      </c>
      <c r="R433" s="18" t="str">
        <f t="array" ref="R433">IF(ISNUMBER(SEARCH("是",_xlfn.XLOOKUP(A433&amp;B433&amp;C433,盘货信息!$A:$A&amp;盘货信息!$B:$B&amp;盘货信息!$C:$C,盘货信息!$U:$U))),"【折扣】指定型号满2类享96折，满3类享94折","")</f>
        <v/>
      </c>
      <c r="S433" s="18" t="str">
        <f t="array" ref="S433">IF(_xlfn.XLOOKUP(A433&amp;B433&amp;C433,盘货信息!$A:$A&amp;盘货信息!$B:$B&amp;盘货信息!$C:$C,盘货信息!$Q:$Q)&lt;1,"","【红包】活动时间购机送"&amp;_xlfn.TEXTJOIN("",,IF(ISNUMBER(--MID(_xlfn.XLOOKUP(A433&amp;B433&amp;C433,盘货信息!$A:$A&amp;盘货信息!$B:$B&amp;盘货信息!$C:$C,盘货信息!$Q:$Q),_xlfn.SEQUENCE(LEN(_xlfn.XLOOKUP(A433&amp;B433&amp;C433,盘货信息!$A:$A&amp;盘货信息!$B:$B&amp;盘货信息!$C:$C,盘货信息!$Q:$Q))),1)),MID(_xlfn.XLOOKUP(A433&amp;B433&amp;C433,盘货信息!$A:$A&amp;盘货信息!$B:$B&amp;盘货信息!$C:$C,盘货信息!$Q:$Q),_xlfn.SEQUENCE(LEN(_xlfn.XLOOKUP(A433&amp;B433&amp;C433,盘货信息!$A:$A&amp;盘货信息!$B:$B&amp;盘货信息!$C:$C,盘货信息!$Q:$Q))),1),""))&amp;"元")</f>
        <v/>
      </c>
      <c r="T433" s="18" t="str">
        <f t="array" ref="T433">IF(ISNUMBER(SEARCH("是",_xlfn.XLOOKUP(A433&amp;B433&amp;C433,盘货信息!$A:$A&amp;盘货信息!$B:$B&amp;盘货信息!$C:$C,盘货信息!$T:$T))),"【瓜分】"&amp;固定信息!$B$7,"")</f>
        <v/>
      </c>
      <c r="U433" s="18" t="str">
        <f>IF($C433="","",IF(AND(R433="",S433="",T433=""),"",固定信息!$B$1))</f>
        <v/>
      </c>
      <c r="V433" s="18" t="str">
        <f t="array" ref="V433">IF(C433="","","【服务】"&amp;IF(_xlfn.XLOOKUP(A433&amp;B433&amp;C433,盘货信息!$A:$A&amp;盘货信息!$B:$B&amp;盘货信息!$C:$C,盘货信息!$V:$V)="","",_xlfn.XLOOKUP(A433&amp;B433&amp;C433,盘货信息!$A:$A&amp;盘货信息!$B:$B&amp;盘货信息!$C:$C,盘货信息!$V:$V)&amp;"免息,")&amp;IF(_xlfn.XLOOKUP(A433&amp;B433&amp;C433,盘货信息!$A:$A&amp;盘货信息!$B:$B&amp;盘货信息!$C:$C,盘货信息!$W:$W)="","",_xlfn.XLOOKUP(A433&amp;B433&amp;C433,盘货信息!$A:$A&amp;盘货信息!$B:$B&amp;盘货信息!$C:$C,盘货信息!$W:$W)&amp;"，")&amp;"送货入户，退换免运费")</f>
        <v/>
      </c>
    </row>
    <row r="434" customHeight="1" spans="1:22">
      <c r="A434" s="17" t="str">
        <f>IF(盘货信息!A434="","",盘货信息!A434)</f>
        <v/>
      </c>
      <c r="B434" s="20" t="str">
        <f>IF(盘货信息!B434="","",盘货信息!B434)</f>
        <v/>
      </c>
      <c r="C434" s="18" t="str">
        <f>IF(盘货信息!C434="","",盘货信息!C434)</f>
        <v/>
      </c>
      <c r="D434" s="18" t="str">
        <f ca="1" t="shared" si="6"/>
        <v/>
      </c>
      <c r="E434" s="18" t="str">
        <f>IF(C434="","",固定信息!$B$2)</f>
        <v/>
      </c>
      <c r="F434" s="18" t="str">
        <f t="array" ref="F434">IF(C434="","","【"&amp;C434&amp;"】"&amp;_xlfn.XLOOKUP(A434&amp;B434&amp;C434,盘货信息!$A:$A&amp;盘货信息!$B:$B&amp;盘货信息!$C:$C,盘货信息!$D:$D))</f>
        <v/>
      </c>
      <c r="G434" s="18" t="str">
        <f>IF(C434="","","【"&amp;"活动时间："&amp;固定信息!$B$3&amp;"】")</f>
        <v/>
      </c>
      <c r="H434" s="18" t="str">
        <f>IF($C434="","",固定信息!$B$1)</f>
        <v/>
      </c>
      <c r="I434" s="18"/>
      <c r="J434" s="18" t="str">
        <f t="array" ref="J434">_xlfn.XLOOKUP(A434&amp;B434&amp;C434,价格信息!$A:$A&amp;价格信息!$B:$B&amp;价格信息!$C:$C,价格信息!$D:$D)</f>
        <v/>
      </c>
      <c r="K434" s="31" t="str">
        <f t="array" ref="K434">IF(_xlfn.XLOOKUP(A434&amp;B434&amp;C434,价格信息!$A:$A&amp;价格信息!$B:$B&amp;价格信息!$C:$C,价格信息!$I:$I)="","","【优惠券链接】"&amp;固定信息!$B$6)</f>
        <v/>
      </c>
      <c r="L434" s="31" t="str">
        <f>IF($C434="","",固定信息!$B$1)</f>
        <v/>
      </c>
      <c r="M434" s="18" t="str">
        <f t="array" ref="M434">IF(_xlfn.XLOOKUP(A434&amp;B434&amp;C434,盘货信息!$A:$A&amp;盘货信息!$B:$B&amp;盘货信息!$C:$C,盘货信息!$O:$O)="","","【优惠券】领"&amp;INDEX(_wpsfn.REGEXP(_xlfn.XLOOKUP(A434&amp;B434&amp;C434,盘货信息!$A:$A&amp;盘货信息!$B:$B&amp;盘货信息!$C:$C,盘货信息!$O:$O),"\d+"),1,1)&amp;"元优惠券下单更优惠，优惠卷："&amp;_xlfn.XLOOKUP(A434&amp;B434&amp;C434,盘货信息!$A:$A&amp;盘货信息!$B:$B&amp;盘货信息!$C:$C,盘货信息!$P:$P))</f>
        <v/>
      </c>
      <c r="N434" s="18" t="str">
        <f t="array" ref="N434">IF(AND(ISNUMBER(_xlfn.XLOOKUP(A434&amp;B434&amp;C434,盘货信息!$A:$A&amp;盘货信息!$B:$B&amp;盘货信息!$C:$C,盘货信息!$I:$I)),_xlfn.XLOOKUP(A434&amp;B434&amp;C434,盘货信息!$A:$A&amp;盘货信息!$B:$B&amp;盘货信息!$C:$C,盘货信息!$I:$I)&gt;1),"【88VIP】立减"&amp;_xlfn.XLOOKUP(A434&amp;B434&amp;C434,盘货信息!$A:$A&amp;盘货信息!$B:$B&amp;盘货信息!$C:$C,盘货信息!$I:$I)&amp;"元","")</f>
        <v/>
      </c>
      <c r="O434" s="18" t="str">
        <f t="array" ref="O434">IF(_xlfn.XLOOKUP(A434&amp;B434&amp;C434,盘货信息!$A:$A&amp;盘货信息!$B:$B&amp;盘货信息!$C:$C,盘货信息!$K:$K)="","",IF(AND(_xlfn.XLOOKUP(A434&amp;B434&amp;C434,盘货信息!$A:$A&amp;盘货信息!$B:$B&amp;盘货信息!$C:$C,盘货信息!$G:$G)="不参加",_xlfn.XLOOKUP(A434&amp;B434&amp;C434,盘货信息!$A:$A&amp;盘货信息!$B:$B&amp;盘货信息!$C:$C,盘货信息!$H:$H)=""),"【以旧换新】"&amp;_xlfn.XLOOKUP(A434&amp;B434&amp;C434,盘货信息!$A:$A&amp;盘货信息!$B:$B&amp;盘货信息!$C:$C,盘货信息!$K:$K)&amp;"元以旧换新补贴（可无旧机换新）",""))</f>
        <v/>
      </c>
      <c r="P434" s="18" t="str">
        <f t="array" ref="P434">_xlfn.XLOOKUP(A434&amp;B434&amp;C434,赠品!$A:$A&amp;赠品!$B:$B&amp;赠品!$C:$C,赠品!$D:$D)</f>
        <v/>
      </c>
      <c r="Q434" s="18" t="str">
        <f>IF($C434="","",IF(AND(M434="",N434="",P434=""),"",固定信息!$B$1))</f>
        <v/>
      </c>
      <c r="R434" s="18" t="str">
        <f t="array" ref="R434">IF(ISNUMBER(SEARCH("是",_xlfn.XLOOKUP(A434&amp;B434&amp;C434,盘货信息!$A:$A&amp;盘货信息!$B:$B&amp;盘货信息!$C:$C,盘货信息!$U:$U))),"【折扣】指定型号满2类享96折，满3类享94折","")</f>
        <v/>
      </c>
      <c r="S434" s="18" t="str">
        <f t="array" ref="S434">IF(_xlfn.XLOOKUP(A434&amp;B434&amp;C434,盘货信息!$A:$A&amp;盘货信息!$B:$B&amp;盘货信息!$C:$C,盘货信息!$Q:$Q)&lt;1,"","【红包】活动时间购机送"&amp;_xlfn.TEXTJOIN("",,IF(ISNUMBER(--MID(_xlfn.XLOOKUP(A434&amp;B434&amp;C434,盘货信息!$A:$A&amp;盘货信息!$B:$B&amp;盘货信息!$C:$C,盘货信息!$Q:$Q),_xlfn.SEQUENCE(LEN(_xlfn.XLOOKUP(A434&amp;B434&amp;C434,盘货信息!$A:$A&amp;盘货信息!$B:$B&amp;盘货信息!$C:$C,盘货信息!$Q:$Q))),1)),MID(_xlfn.XLOOKUP(A434&amp;B434&amp;C434,盘货信息!$A:$A&amp;盘货信息!$B:$B&amp;盘货信息!$C:$C,盘货信息!$Q:$Q),_xlfn.SEQUENCE(LEN(_xlfn.XLOOKUP(A434&amp;B434&amp;C434,盘货信息!$A:$A&amp;盘货信息!$B:$B&amp;盘货信息!$C:$C,盘货信息!$Q:$Q))),1),""))&amp;"元")</f>
        <v/>
      </c>
      <c r="T434" s="18" t="str">
        <f t="array" ref="T434">IF(ISNUMBER(SEARCH("是",_xlfn.XLOOKUP(A434&amp;B434&amp;C434,盘货信息!$A:$A&amp;盘货信息!$B:$B&amp;盘货信息!$C:$C,盘货信息!$T:$T))),"【瓜分】"&amp;固定信息!$B$7,"")</f>
        <v/>
      </c>
      <c r="U434" s="18" t="str">
        <f>IF($C434="","",IF(AND(R434="",S434="",T434=""),"",固定信息!$B$1))</f>
        <v/>
      </c>
      <c r="V434" s="18" t="str">
        <f t="array" ref="V434">IF(C434="","","【服务】"&amp;IF(_xlfn.XLOOKUP(A434&amp;B434&amp;C434,盘货信息!$A:$A&amp;盘货信息!$B:$B&amp;盘货信息!$C:$C,盘货信息!$V:$V)="","",_xlfn.XLOOKUP(A434&amp;B434&amp;C434,盘货信息!$A:$A&amp;盘货信息!$B:$B&amp;盘货信息!$C:$C,盘货信息!$V:$V)&amp;"免息,")&amp;IF(_xlfn.XLOOKUP(A434&amp;B434&amp;C434,盘货信息!$A:$A&amp;盘货信息!$B:$B&amp;盘货信息!$C:$C,盘货信息!$W:$W)="","",_xlfn.XLOOKUP(A434&amp;B434&amp;C434,盘货信息!$A:$A&amp;盘货信息!$B:$B&amp;盘货信息!$C:$C,盘货信息!$W:$W)&amp;"，")&amp;"送货入户，退换免运费")</f>
        <v/>
      </c>
    </row>
    <row r="435" customHeight="1" spans="1:22">
      <c r="A435" s="17" t="str">
        <f>IF(盘货信息!A435="","",盘货信息!A435)</f>
        <v/>
      </c>
      <c r="B435" s="20" t="str">
        <f>IF(盘货信息!B435="","",盘货信息!B435)</f>
        <v/>
      </c>
      <c r="C435" s="18" t="str">
        <f>IF(盘货信息!C435="","",盘货信息!C435)</f>
        <v/>
      </c>
      <c r="D435" s="18" t="str">
        <f ca="1" t="shared" si="6"/>
        <v/>
      </c>
      <c r="E435" s="18" t="str">
        <f>IF(C435="","",固定信息!$B$2)</f>
        <v/>
      </c>
      <c r="F435" s="18" t="str">
        <f t="array" ref="F435">IF(C435="","","【"&amp;C435&amp;"】"&amp;_xlfn.XLOOKUP(A435&amp;B435&amp;C435,盘货信息!$A:$A&amp;盘货信息!$B:$B&amp;盘货信息!$C:$C,盘货信息!$D:$D))</f>
        <v/>
      </c>
      <c r="G435" s="18" t="str">
        <f>IF(C435="","","【"&amp;"活动时间："&amp;固定信息!$B$3&amp;"】")</f>
        <v/>
      </c>
      <c r="H435" s="18" t="str">
        <f>IF($C435="","",固定信息!$B$1)</f>
        <v/>
      </c>
      <c r="I435" s="18"/>
      <c r="J435" s="18" t="str">
        <f t="array" ref="J435">_xlfn.XLOOKUP(A435&amp;B435&amp;C435,价格信息!$A:$A&amp;价格信息!$B:$B&amp;价格信息!$C:$C,价格信息!$D:$D)</f>
        <v/>
      </c>
      <c r="K435" s="31" t="str">
        <f t="array" ref="K435">IF(_xlfn.XLOOKUP(A435&amp;B435&amp;C435,价格信息!$A:$A&amp;价格信息!$B:$B&amp;价格信息!$C:$C,价格信息!$I:$I)="","","【优惠券链接】"&amp;固定信息!$B$6)</f>
        <v/>
      </c>
      <c r="L435" s="31" t="str">
        <f>IF($C435="","",固定信息!$B$1)</f>
        <v/>
      </c>
      <c r="M435" s="18" t="str">
        <f t="array" ref="M435">IF(_xlfn.XLOOKUP(A435&amp;B435&amp;C435,盘货信息!$A:$A&amp;盘货信息!$B:$B&amp;盘货信息!$C:$C,盘货信息!$O:$O)="","","【优惠券】领"&amp;INDEX(_wpsfn.REGEXP(_xlfn.XLOOKUP(A435&amp;B435&amp;C435,盘货信息!$A:$A&amp;盘货信息!$B:$B&amp;盘货信息!$C:$C,盘货信息!$O:$O),"\d+"),1,1)&amp;"元优惠券下单更优惠，优惠卷："&amp;_xlfn.XLOOKUP(A435&amp;B435&amp;C435,盘货信息!$A:$A&amp;盘货信息!$B:$B&amp;盘货信息!$C:$C,盘货信息!$P:$P))</f>
        <v/>
      </c>
      <c r="N435" s="18" t="str">
        <f t="array" ref="N435">IF(AND(ISNUMBER(_xlfn.XLOOKUP(A435&amp;B435&amp;C435,盘货信息!$A:$A&amp;盘货信息!$B:$B&amp;盘货信息!$C:$C,盘货信息!$I:$I)),_xlfn.XLOOKUP(A435&amp;B435&amp;C435,盘货信息!$A:$A&amp;盘货信息!$B:$B&amp;盘货信息!$C:$C,盘货信息!$I:$I)&gt;1),"【88VIP】立减"&amp;_xlfn.XLOOKUP(A435&amp;B435&amp;C435,盘货信息!$A:$A&amp;盘货信息!$B:$B&amp;盘货信息!$C:$C,盘货信息!$I:$I)&amp;"元","")</f>
        <v/>
      </c>
      <c r="O435" s="18" t="str">
        <f t="array" ref="O435">IF(_xlfn.XLOOKUP(A435&amp;B435&amp;C435,盘货信息!$A:$A&amp;盘货信息!$B:$B&amp;盘货信息!$C:$C,盘货信息!$K:$K)="","",IF(AND(_xlfn.XLOOKUP(A435&amp;B435&amp;C435,盘货信息!$A:$A&amp;盘货信息!$B:$B&amp;盘货信息!$C:$C,盘货信息!$G:$G)="不参加",_xlfn.XLOOKUP(A435&amp;B435&amp;C435,盘货信息!$A:$A&amp;盘货信息!$B:$B&amp;盘货信息!$C:$C,盘货信息!$H:$H)=""),"【以旧换新】"&amp;_xlfn.XLOOKUP(A435&amp;B435&amp;C435,盘货信息!$A:$A&amp;盘货信息!$B:$B&amp;盘货信息!$C:$C,盘货信息!$K:$K)&amp;"元以旧换新补贴（可无旧机换新）",""))</f>
        <v/>
      </c>
      <c r="P435" s="18" t="str">
        <f t="array" ref="P435">_xlfn.XLOOKUP(A435&amp;B435&amp;C435,赠品!$A:$A&amp;赠品!$B:$B&amp;赠品!$C:$C,赠品!$D:$D)</f>
        <v/>
      </c>
      <c r="Q435" s="18" t="str">
        <f>IF($C435="","",IF(AND(M435="",N435="",P435=""),"",固定信息!$B$1))</f>
        <v/>
      </c>
      <c r="R435" s="18" t="str">
        <f t="array" ref="R435">IF(ISNUMBER(SEARCH("是",_xlfn.XLOOKUP(A435&amp;B435&amp;C435,盘货信息!$A:$A&amp;盘货信息!$B:$B&amp;盘货信息!$C:$C,盘货信息!$U:$U))),"【折扣】指定型号满2类享96折，满3类享94折","")</f>
        <v/>
      </c>
      <c r="S435" s="18" t="str">
        <f t="array" ref="S435">IF(_xlfn.XLOOKUP(A435&amp;B435&amp;C435,盘货信息!$A:$A&amp;盘货信息!$B:$B&amp;盘货信息!$C:$C,盘货信息!$Q:$Q)&lt;1,"","【红包】活动时间购机送"&amp;_xlfn.TEXTJOIN("",,IF(ISNUMBER(--MID(_xlfn.XLOOKUP(A435&amp;B435&amp;C435,盘货信息!$A:$A&amp;盘货信息!$B:$B&amp;盘货信息!$C:$C,盘货信息!$Q:$Q),_xlfn.SEQUENCE(LEN(_xlfn.XLOOKUP(A435&amp;B435&amp;C435,盘货信息!$A:$A&amp;盘货信息!$B:$B&amp;盘货信息!$C:$C,盘货信息!$Q:$Q))),1)),MID(_xlfn.XLOOKUP(A435&amp;B435&amp;C435,盘货信息!$A:$A&amp;盘货信息!$B:$B&amp;盘货信息!$C:$C,盘货信息!$Q:$Q),_xlfn.SEQUENCE(LEN(_xlfn.XLOOKUP(A435&amp;B435&amp;C435,盘货信息!$A:$A&amp;盘货信息!$B:$B&amp;盘货信息!$C:$C,盘货信息!$Q:$Q))),1),""))&amp;"元")</f>
        <v/>
      </c>
      <c r="T435" s="18" t="str">
        <f t="array" ref="T435">IF(ISNUMBER(SEARCH("是",_xlfn.XLOOKUP(A435&amp;B435&amp;C435,盘货信息!$A:$A&amp;盘货信息!$B:$B&amp;盘货信息!$C:$C,盘货信息!$T:$T))),"【瓜分】"&amp;固定信息!$B$7,"")</f>
        <v/>
      </c>
      <c r="U435" s="18" t="str">
        <f>IF($C435="","",IF(AND(R435="",S435="",T435=""),"",固定信息!$B$1))</f>
        <v/>
      </c>
      <c r="V435" s="18" t="str">
        <f t="array" ref="V435">IF(C435="","","【服务】"&amp;IF(_xlfn.XLOOKUP(A435&amp;B435&amp;C435,盘货信息!$A:$A&amp;盘货信息!$B:$B&amp;盘货信息!$C:$C,盘货信息!$V:$V)="","",_xlfn.XLOOKUP(A435&amp;B435&amp;C435,盘货信息!$A:$A&amp;盘货信息!$B:$B&amp;盘货信息!$C:$C,盘货信息!$V:$V)&amp;"免息,")&amp;IF(_xlfn.XLOOKUP(A435&amp;B435&amp;C435,盘货信息!$A:$A&amp;盘货信息!$B:$B&amp;盘货信息!$C:$C,盘货信息!$W:$W)="","",_xlfn.XLOOKUP(A435&amp;B435&amp;C435,盘货信息!$A:$A&amp;盘货信息!$B:$B&amp;盘货信息!$C:$C,盘货信息!$W:$W)&amp;"，")&amp;"送货入户，退换免运费")</f>
        <v/>
      </c>
    </row>
    <row r="436" customHeight="1" spans="1:22">
      <c r="A436" s="17" t="str">
        <f>IF(盘货信息!A436="","",盘货信息!A436)</f>
        <v/>
      </c>
      <c r="B436" s="20" t="str">
        <f>IF(盘货信息!B436="","",盘货信息!B436)</f>
        <v/>
      </c>
      <c r="C436" s="18" t="str">
        <f>IF(盘货信息!C436="","",盘货信息!C436)</f>
        <v/>
      </c>
      <c r="D436" s="18" t="str">
        <f ca="1" t="shared" si="6"/>
        <v/>
      </c>
      <c r="E436" s="18" t="str">
        <f>IF(C436="","",固定信息!$B$2)</f>
        <v/>
      </c>
      <c r="F436" s="18" t="str">
        <f t="array" ref="F436">IF(C436="","","【"&amp;C436&amp;"】"&amp;_xlfn.XLOOKUP(A436&amp;B436&amp;C436,盘货信息!$A:$A&amp;盘货信息!$B:$B&amp;盘货信息!$C:$C,盘货信息!$D:$D))</f>
        <v/>
      </c>
      <c r="G436" s="18" t="str">
        <f>IF(C436="","","【"&amp;"活动时间："&amp;固定信息!$B$3&amp;"】")</f>
        <v/>
      </c>
      <c r="H436" s="18" t="str">
        <f>IF($C436="","",固定信息!$B$1)</f>
        <v/>
      </c>
      <c r="I436" s="18"/>
      <c r="J436" s="18" t="str">
        <f t="array" ref="J436">_xlfn.XLOOKUP(A436&amp;B436&amp;C436,价格信息!$A:$A&amp;价格信息!$B:$B&amp;价格信息!$C:$C,价格信息!$D:$D)</f>
        <v/>
      </c>
      <c r="K436" s="31" t="str">
        <f t="array" ref="K436">IF(_xlfn.XLOOKUP(A436&amp;B436&amp;C436,价格信息!$A:$A&amp;价格信息!$B:$B&amp;价格信息!$C:$C,价格信息!$I:$I)="","","【优惠券链接】"&amp;固定信息!$B$6)</f>
        <v/>
      </c>
      <c r="L436" s="31" t="str">
        <f>IF($C436="","",固定信息!$B$1)</f>
        <v/>
      </c>
      <c r="M436" s="18" t="str">
        <f t="array" ref="M436">IF(_xlfn.XLOOKUP(A436&amp;B436&amp;C436,盘货信息!$A:$A&amp;盘货信息!$B:$B&amp;盘货信息!$C:$C,盘货信息!$O:$O)="","","【优惠券】领"&amp;INDEX(_wpsfn.REGEXP(_xlfn.XLOOKUP(A436&amp;B436&amp;C436,盘货信息!$A:$A&amp;盘货信息!$B:$B&amp;盘货信息!$C:$C,盘货信息!$O:$O),"\d+"),1,1)&amp;"元优惠券下单更优惠，优惠卷："&amp;_xlfn.XLOOKUP(A436&amp;B436&amp;C436,盘货信息!$A:$A&amp;盘货信息!$B:$B&amp;盘货信息!$C:$C,盘货信息!$P:$P))</f>
        <v/>
      </c>
      <c r="N436" s="18" t="str">
        <f t="array" ref="N436">IF(AND(ISNUMBER(_xlfn.XLOOKUP(A436&amp;B436&amp;C436,盘货信息!$A:$A&amp;盘货信息!$B:$B&amp;盘货信息!$C:$C,盘货信息!$I:$I)),_xlfn.XLOOKUP(A436&amp;B436&amp;C436,盘货信息!$A:$A&amp;盘货信息!$B:$B&amp;盘货信息!$C:$C,盘货信息!$I:$I)&gt;1),"【88VIP】立减"&amp;_xlfn.XLOOKUP(A436&amp;B436&amp;C436,盘货信息!$A:$A&amp;盘货信息!$B:$B&amp;盘货信息!$C:$C,盘货信息!$I:$I)&amp;"元","")</f>
        <v/>
      </c>
      <c r="O436" s="18" t="str">
        <f t="array" ref="O436">IF(_xlfn.XLOOKUP(A436&amp;B436&amp;C436,盘货信息!$A:$A&amp;盘货信息!$B:$B&amp;盘货信息!$C:$C,盘货信息!$K:$K)="","",IF(AND(_xlfn.XLOOKUP(A436&amp;B436&amp;C436,盘货信息!$A:$A&amp;盘货信息!$B:$B&amp;盘货信息!$C:$C,盘货信息!$G:$G)="不参加",_xlfn.XLOOKUP(A436&amp;B436&amp;C436,盘货信息!$A:$A&amp;盘货信息!$B:$B&amp;盘货信息!$C:$C,盘货信息!$H:$H)=""),"【以旧换新】"&amp;_xlfn.XLOOKUP(A436&amp;B436&amp;C436,盘货信息!$A:$A&amp;盘货信息!$B:$B&amp;盘货信息!$C:$C,盘货信息!$K:$K)&amp;"元以旧换新补贴（可无旧机换新）",""))</f>
        <v/>
      </c>
      <c r="P436" s="18" t="str">
        <f t="array" ref="P436">_xlfn.XLOOKUP(A436&amp;B436&amp;C436,赠品!$A:$A&amp;赠品!$B:$B&amp;赠品!$C:$C,赠品!$D:$D)</f>
        <v/>
      </c>
      <c r="Q436" s="18" t="str">
        <f>IF($C436="","",IF(AND(M436="",N436="",P436=""),"",固定信息!$B$1))</f>
        <v/>
      </c>
      <c r="R436" s="18" t="str">
        <f t="array" ref="R436">IF(ISNUMBER(SEARCH("是",_xlfn.XLOOKUP(A436&amp;B436&amp;C436,盘货信息!$A:$A&amp;盘货信息!$B:$B&amp;盘货信息!$C:$C,盘货信息!$U:$U))),"【折扣】指定型号满2类享96折，满3类享94折","")</f>
        <v/>
      </c>
      <c r="S436" s="18" t="str">
        <f t="array" ref="S436">IF(_xlfn.XLOOKUP(A436&amp;B436&amp;C436,盘货信息!$A:$A&amp;盘货信息!$B:$B&amp;盘货信息!$C:$C,盘货信息!$Q:$Q)&lt;1,"","【红包】活动时间购机送"&amp;_xlfn.TEXTJOIN("",,IF(ISNUMBER(--MID(_xlfn.XLOOKUP(A436&amp;B436&amp;C436,盘货信息!$A:$A&amp;盘货信息!$B:$B&amp;盘货信息!$C:$C,盘货信息!$Q:$Q),_xlfn.SEQUENCE(LEN(_xlfn.XLOOKUP(A436&amp;B436&amp;C436,盘货信息!$A:$A&amp;盘货信息!$B:$B&amp;盘货信息!$C:$C,盘货信息!$Q:$Q))),1)),MID(_xlfn.XLOOKUP(A436&amp;B436&amp;C436,盘货信息!$A:$A&amp;盘货信息!$B:$B&amp;盘货信息!$C:$C,盘货信息!$Q:$Q),_xlfn.SEQUENCE(LEN(_xlfn.XLOOKUP(A436&amp;B436&amp;C436,盘货信息!$A:$A&amp;盘货信息!$B:$B&amp;盘货信息!$C:$C,盘货信息!$Q:$Q))),1),""))&amp;"元")</f>
        <v/>
      </c>
      <c r="T436" s="18" t="str">
        <f t="array" ref="T436">IF(ISNUMBER(SEARCH("是",_xlfn.XLOOKUP(A436&amp;B436&amp;C436,盘货信息!$A:$A&amp;盘货信息!$B:$B&amp;盘货信息!$C:$C,盘货信息!$T:$T))),"【瓜分】"&amp;固定信息!$B$7,"")</f>
        <v/>
      </c>
      <c r="U436" s="18" t="str">
        <f>IF($C436="","",IF(AND(R436="",S436="",T436=""),"",固定信息!$B$1))</f>
        <v/>
      </c>
      <c r="V436" s="18" t="str">
        <f t="array" ref="V436">IF(C436="","","【服务】"&amp;IF(_xlfn.XLOOKUP(A436&amp;B436&amp;C436,盘货信息!$A:$A&amp;盘货信息!$B:$B&amp;盘货信息!$C:$C,盘货信息!$V:$V)="","",_xlfn.XLOOKUP(A436&amp;B436&amp;C436,盘货信息!$A:$A&amp;盘货信息!$B:$B&amp;盘货信息!$C:$C,盘货信息!$V:$V)&amp;"免息,")&amp;IF(_xlfn.XLOOKUP(A436&amp;B436&amp;C436,盘货信息!$A:$A&amp;盘货信息!$B:$B&amp;盘货信息!$C:$C,盘货信息!$W:$W)="","",_xlfn.XLOOKUP(A436&amp;B436&amp;C436,盘货信息!$A:$A&amp;盘货信息!$B:$B&amp;盘货信息!$C:$C,盘货信息!$W:$W)&amp;"，")&amp;"送货入户，退换免运费")</f>
        <v/>
      </c>
    </row>
    <row r="437" customHeight="1" spans="1:22">
      <c r="A437" s="17" t="str">
        <f>IF(盘货信息!A437="","",盘货信息!A437)</f>
        <v/>
      </c>
      <c r="B437" s="20" t="str">
        <f>IF(盘货信息!B437="","",盘货信息!B437)</f>
        <v/>
      </c>
      <c r="C437" s="18" t="str">
        <f>IF(盘货信息!C437="","",盘货信息!C437)</f>
        <v/>
      </c>
      <c r="D437" s="18" t="str">
        <f ca="1" t="shared" si="6"/>
        <v/>
      </c>
      <c r="E437" s="18" t="str">
        <f>IF(C437="","",固定信息!$B$2)</f>
        <v/>
      </c>
      <c r="F437" s="18" t="str">
        <f t="array" ref="F437">IF(C437="","","【"&amp;C437&amp;"】"&amp;_xlfn.XLOOKUP(A437&amp;B437&amp;C437,盘货信息!$A:$A&amp;盘货信息!$B:$B&amp;盘货信息!$C:$C,盘货信息!$D:$D))</f>
        <v/>
      </c>
      <c r="G437" s="18" t="str">
        <f>IF(C437="","","【"&amp;"活动时间："&amp;固定信息!$B$3&amp;"】")</f>
        <v/>
      </c>
      <c r="H437" s="18" t="str">
        <f>IF($C437="","",固定信息!$B$1)</f>
        <v/>
      </c>
      <c r="I437" s="18"/>
      <c r="J437" s="18" t="str">
        <f t="array" ref="J437">_xlfn.XLOOKUP(A437&amp;B437&amp;C437,价格信息!$A:$A&amp;价格信息!$B:$B&amp;价格信息!$C:$C,价格信息!$D:$D)</f>
        <v/>
      </c>
      <c r="K437" s="31" t="str">
        <f t="array" ref="K437">IF(_xlfn.XLOOKUP(A437&amp;B437&amp;C437,价格信息!$A:$A&amp;价格信息!$B:$B&amp;价格信息!$C:$C,价格信息!$I:$I)="","","【优惠券链接】"&amp;固定信息!$B$6)</f>
        <v/>
      </c>
      <c r="L437" s="31" t="str">
        <f>IF($C437="","",固定信息!$B$1)</f>
        <v/>
      </c>
      <c r="M437" s="18" t="str">
        <f t="array" ref="M437">IF(_xlfn.XLOOKUP(A437&amp;B437&amp;C437,盘货信息!$A:$A&amp;盘货信息!$B:$B&amp;盘货信息!$C:$C,盘货信息!$O:$O)="","","【优惠券】领"&amp;INDEX(_wpsfn.REGEXP(_xlfn.XLOOKUP(A437&amp;B437&amp;C437,盘货信息!$A:$A&amp;盘货信息!$B:$B&amp;盘货信息!$C:$C,盘货信息!$O:$O),"\d+"),1,1)&amp;"元优惠券下单更优惠，优惠卷："&amp;_xlfn.XLOOKUP(A437&amp;B437&amp;C437,盘货信息!$A:$A&amp;盘货信息!$B:$B&amp;盘货信息!$C:$C,盘货信息!$P:$P))</f>
        <v/>
      </c>
      <c r="N437" s="18" t="str">
        <f t="array" ref="N437">IF(AND(ISNUMBER(_xlfn.XLOOKUP(A437&amp;B437&amp;C437,盘货信息!$A:$A&amp;盘货信息!$B:$B&amp;盘货信息!$C:$C,盘货信息!$I:$I)),_xlfn.XLOOKUP(A437&amp;B437&amp;C437,盘货信息!$A:$A&amp;盘货信息!$B:$B&amp;盘货信息!$C:$C,盘货信息!$I:$I)&gt;1),"【88VIP】立减"&amp;_xlfn.XLOOKUP(A437&amp;B437&amp;C437,盘货信息!$A:$A&amp;盘货信息!$B:$B&amp;盘货信息!$C:$C,盘货信息!$I:$I)&amp;"元","")</f>
        <v/>
      </c>
      <c r="O437" s="18" t="str">
        <f t="array" ref="O437">IF(_xlfn.XLOOKUP(A437&amp;B437&amp;C437,盘货信息!$A:$A&amp;盘货信息!$B:$B&amp;盘货信息!$C:$C,盘货信息!$K:$K)="","",IF(AND(_xlfn.XLOOKUP(A437&amp;B437&amp;C437,盘货信息!$A:$A&amp;盘货信息!$B:$B&amp;盘货信息!$C:$C,盘货信息!$G:$G)="不参加",_xlfn.XLOOKUP(A437&amp;B437&amp;C437,盘货信息!$A:$A&amp;盘货信息!$B:$B&amp;盘货信息!$C:$C,盘货信息!$H:$H)=""),"【以旧换新】"&amp;_xlfn.XLOOKUP(A437&amp;B437&amp;C437,盘货信息!$A:$A&amp;盘货信息!$B:$B&amp;盘货信息!$C:$C,盘货信息!$K:$K)&amp;"元以旧换新补贴（可无旧机换新）",""))</f>
        <v/>
      </c>
      <c r="P437" s="18" t="str">
        <f t="array" ref="P437">_xlfn.XLOOKUP(A437&amp;B437&amp;C437,赠品!$A:$A&amp;赠品!$B:$B&amp;赠品!$C:$C,赠品!$D:$D)</f>
        <v/>
      </c>
      <c r="Q437" s="18" t="str">
        <f>IF($C437="","",IF(AND(M437="",N437="",P437=""),"",固定信息!$B$1))</f>
        <v/>
      </c>
      <c r="R437" s="18" t="str">
        <f t="array" ref="R437">IF(ISNUMBER(SEARCH("是",_xlfn.XLOOKUP(A437&amp;B437&amp;C437,盘货信息!$A:$A&amp;盘货信息!$B:$B&amp;盘货信息!$C:$C,盘货信息!$U:$U))),"【折扣】指定型号满2类享96折，满3类享94折","")</f>
        <v/>
      </c>
      <c r="S437" s="18" t="str">
        <f t="array" ref="S437">IF(_xlfn.XLOOKUP(A437&amp;B437&amp;C437,盘货信息!$A:$A&amp;盘货信息!$B:$B&amp;盘货信息!$C:$C,盘货信息!$Q:$Q)&lt;1,"","【红包】活动时间购机送"&amp;_xlfn.TEXTJOIN("",,IF(ISNUMBER(--MID(_xlfn.XLOOKUP(A437&amp;B437&amp;C437,盘货信息!$A:$A&amp;盘货信息!$B:$B&amp;盘货信息!$C:$C,盘货信息!$Q:$Q),_xlfn.SEQUENCE(LEN(_xlfn.XLOOKUP(A437&amp;B437&amp;C437,盘货信息!$A:$A&amp;盘货信息!$B:$B&amp;盘货信息!$C:$C,盘货信息!$Q:$Q))),1)),MID(_xlfn.XLOOKUP(A437&amp;B437&amp;C437,盘货信息!$A:$A&amp;盘货信息!$B:$B&amp;盘货信息!$C:$C,盘货信息!$Q:$Q),_xlfn.SEQUENCE(LEN(_xlfn.XLOOKUP(A437&amp;B437&amp;C437,盘货信息!$A:$A&amp;盘货信息!$B:$B&amp;盘货信息!$C:$C,盘货信息!$Q:$Q))),1),""))&amp;"元")</f>
        <v/>
      </c>
      <c r="T437" s="18" t="str">
        <f t="array" ref="T437">IF(ISNUMBER(SEARCH("是",_xlfn.XLOOKUP(A437&amp;B437&amp;C437,盘货信息!$A:$A&amp;盘货信息!$B:$B&amp;盘货信息!$C:$C,盘货信息!$T:$T))),"【瓜分】"&amp;固定信息!$B$7,"")</f>
        <v/>
      </c>
      <c r="U437" s="18" t="str">
        <f>IF($C437="","",IF(AND(R437="",S437="",T437=""),"",固定信息!$B$1))</f>
        <v/>
      </c>
      <c r="V437" s="18" t="str">
        <f t="array" ref="V437">IF(C437="","","【服务】"&amp;IF(_xlfn.XLOOKUP(A437&amp;B437&amp;C437,盘货信息!$A:$A&amp;盘货信息!$B:$B&amp;盘货信息!$C:$C,盘货信息!$V:$V)="","",_xlfn.XLOOKUP(A437&amp;B437&amp;C437,盘货信息!$A:$A&amp;盘货信息!$B:$B&amp;盘货信息!$C:$C,盘货信息!$V:$V)&amp;"免息,")&amp;IF(_xlfn.XLOOKUP(A437&amp;B437&amp;C437,盘货信息!$A:$A&amp;盘货信息!$B:$B&amp;盘货信息!$C:$C,盘货信息!$W:$W)="","",_xlfn.XLOOKUP(A437&amp;B437&amp;C437,盘货信息!$A:$A&amp;盘货信息!$B:$B&amp;盘货信息!$C:$C,盘货信息!$W:$W)&amp;"，")&amp;"送货入户，退换免运费")</f>
        <v/>
      </c>
    </row>
    <row r="438" customHeight="1" spans="1:22">
      <c r="A438" s="17" t="str">
        <f>IF(盘货信息!A438="","",盘货信息!A438)</f>
        <v/>
      </c>
      <c r="B438" s="20" t="str">
        <f>IF(盘货信息!B438="","",盘货信息!B438)</f>
        <v/>
      </c>
      <c r="C438" s="18" t="str">
        <f>IF(盘货信息!C438="","",盘货信息!C438)</f>
        <v/>
      </c>
      <c r="D438" s="18" t="str">
        <f ca="1" t="shared" si="6"/>
        <v/>
      </c>
      <c r="E438" s="18" t="str">
        <f>IF(C438="","",固定信息!$B$2)</f>
        <v/>
      </c>
      <c r="F438" s="18" t="str">
        <f t="array" ref="F438">IF(C438="","","【"&amp;C438&amp;"】"&amp;_xlfn.XLOOKUP(A438&amp;B438&amp;C438,盘货信息!$A:$A&amp;盘货信息!$B:$B&amp;盘货信息!$C:$C,盘货信息!$D:$D))</f>
        <v/>
      </c>
      <c r="G438" s="18" t="str">
        <f>IF(C438="","","【"&amp;"活动时间："&amp;固定信息!$B$3&amp;"】")</f>
        <v/>
      </c>
      <c r="H438" s="18" t="str">
        <f>IF($C438="","",固定信息!$B$1)</f>
        <v/>
      </c>
      <c r="I438" s="18"/>
      <c r="J438" s="18" t="str">
        <f t="array" ref="J438">_xlfn.XLOOKUP(A438&amp;B438&amp;C438,价格信息!$A:$A&amp;价格信息!$B:$B&amp;价格信息!$C:$C,价格信息!$D:$D)</f>
        <v/>
      </c>
      <c r="K438" s="31" t="str">
        <f t="array" ref="K438">IF(_xlfn.XLOOKUP(A438&amp;B438&amp;C438,价格信息!$A:$A&amp;价格信息!$B:$B&amp;价格信息!$C:$C,价格信息!$I:$I)="","","【优惠券链接】"&amp;固定信息!$B$6)</f>
        <v/>
      </c>
      <c r="L438" s="31" t="str">
        <f>IF($C438="","",固定信息!$B$1)</f>
        <v/>
      </c>
      <c r="M438" s="18" t="str">
        <f t="array" ref="M438">IF(_xlfn.XLOOKUP(A438&amp;B438&amp;C438,盘货信息!$A:$A&amp;盘货信息!$B:$B&amp;盘货信息!$C:$C,盘货信息!$O:$O)="","","【优惠券】领"&amp;INDEX(_wpsfn.REGEXP(_xlfn.XLOOKUP(A438&amp;B438&amp;C438,盘货信息!$A:$A&amp;盘货信息!$B:$B&amp;盘货信息!$C:$C,盘货信息!$O:$O),"\d+"),1,1)&amp;"元优惠券下单更优惠，优惠卷："&amp;_xlfn.XLOOKUP(A438&amp;B438&amp;C438,盘货信息!$A:$A&amp;盘货信息!$B:$B&amp;盘货信息!$C:$C,盘货信息!$P:$P))</f>
        <v/>
      </c>
      <c r="N438" s="18" t="str">
        <f t="array" ref="N438">IF(AND(ISNUMBER(_xlfn.XLOOKUP(A438&amp;B438&amp;C438,盘货信息!$A:$A&amp;盘货信息!$B:$B&amp;盘货信息!$C:$C,盘货信息!$I:$I)),_xlfn.XLOOKUP(A438&amp;B438&amp;C438,盘货信息!$A:$A&amp;盘货信息!$B:$B&amp;盘货信息!$C:$C,盘货信息!$I:$I)&gt;1),"【88VIP】立减"&amp;_xlfn.XLOOKUP(A438&amp;B438&amp;C438,盘货信息!$A:$A&amp;盘货信息!$B:$B&amp;盘货信息!$C:$C,盘货信息!$I:$I)&amp;"元","")</f>
        <v/>
      </c>
      <c r="O438" s="18" t="str">
        <f t="array" ref="O438">IF(_xlfn.XLOOKUP(A438&amp;B438&amp;C438,盘货信息!$A:$A&amp;盘货信息!$B:$B&amp;盘货信息!$C:$C,盘货信息!$K:$K)="","",IF(AND(_xlfn.XLOOKUP(A438&amp;B438&amp;C438,盘货信息!$A:$A&amp;盘货信息!$B:$B&amp;盘货信息!$C:$C,盘货信息!$G:$G)="不参加",_xlfn.XLOOKUP(A438&amp;B438&amp;C438,盘货信息!$A:$A&amp;盘货信息!$B:$B&amp;盘货信息!$C:$C,盘货信息!$H:$H)=""),"【以旧换新】"&amp;_xlfn.XLOOKUP(A438&amp;B438&amp;C438,盘货信息!$A:$A&amp;盘货信息!$B:$B&amp;盘货信息!$C:$C,盘货信息!$K:$K)&amp;"元以旧换新补贴（可无旧机换新）",""))</f>
        <v/>
      </c>
      <c r="P438" s="18" t="str">
        <f t="array" ref="P438">_xlfn.XLOOKUP(A438&amp;B438&amp;C438,赠品!$A:$A&amp;赠品!$B:$B&amp;赠品!$C:$C,赠品!$D:$D)</f>
        <v/>
      </c>
      <c r="Q438" s="18" t="str">
        <f>IF($C438="","",IF(AND(M438="",N438="",P438=""),"",固定信息!$B$1))</f>
        <v/>
      </c>
      <c r="R438" s="18" t="str">
        <f t="array" ref="R438">IF(ISNUMBER(SEARCH("是",_xlfn.XLOOKUP(A438&amp;B438&amp;C438,盘货信息!$A:$A&amp;盘货信息!$B:$B&amp;盘货信息!$C:$C,盘货信息!$U:$U))),"【折扣】指定型号满2类享96折，满3类享94折","")</f>
        <v/>
      </c>
      <c r="S438" s="18" t="str">
        <f t="array" ref="S438">IF(_xlfn.XLOOKUP(A438&amp;B438&amp;C438,盘货信息!$A:$A&amp;盘货信息!$B:$B&amp;盘货信息!$C:$C,盘货信息!$Q:$Q)&lt;1,"","【红包】活动时间购机送"&amp;_xlfn.TEXTJOIN("",,IF(ISNUMBER(--MID(_xlfn.XLOOKUP(A438&amp;B438&amp;C438,盘货信息!$A:$A&amp;盘货信息!$B:$B&amp;盘货信息!$C:$C,盘货信息!$Q:$Q),_xlfn.SEQUENCE(LEN(_xlfn.XLOOKUP(A438&amp;B438&amp;C438,盘货信息!$A:$A&amp;盘货信息!$B:$B&amp;盘货信息!$C:$C,盘货信息!$Q:$Q))),1)),MID(_xlfn.XLOOKUP(A438&amp;B438&amp;C438,盘货信息!$A:$A&amp;盘货信息!$B:$B&amp;盘货信息!$C:$C,盘货信息!$Q:$Q),_xlfn.SEQUENCE(LEN(_xlfn.XLOOKUP(A438&amp;B438&amp;C438,盘货信息!$A:$A&amp;盘货信息!$B:$B&amp;盘货信息!$C:$C,盘货信息!$Q:$Q))),1),""))&amp;"元")</f>
        <v/>
      </c>
      <c r="T438" s="18" t="str">
        <f t="array" ref="T438">IF(ISNUMBER(SEARCH("是",_xlfn.XLOOKUP(A438&amp;B438&amp;C438,盘货信息!$A:$A&amp;盘货信息!$B:$B&amp;盘货信息!$C:$C,盘货信息!$T:$T))),"【瓜分】"&amp;固定信息!$B$7,"")</f>
        <v/>
      </c>
      <c r="U438" s="18" t="str">
        <f>IF($C438="","",IF(AND(R438="",S438="",T438=""),"",固定信息!$B$1))</f>
        <v/>
      </c>
      <c r="V438" s="18" t="str">
        <f t="array" ref="V438">IF(C438="","","【服务】"&amp;IF(_xlfn.XLOOKUP(A438&amp;B438&amp;C438,盘货信息!$A:$A&amp;盘货信息!$B:$B&amp;盘货信息!$C:$C,盘货信息!$V:$V)="","",_xlfn.XLOOKUP(A438&amp;B438&amp;C438,盘货信息!$A:$A&amp;盘货信息!$B:$B&amp;盘货信息!$C:$C,盘货信息!$V:$V)&amp;"免息,")&amp;IF(_xlfn.XLOOKUP(A438&amp;B438&amp;C438,盘货信息!$A:$A&amp;盘货信息!$B:$B&amp;盘货信息!$C:$C,盘货信息!$W:$W)="","",_xlfn.XLOOKUP(A438&amp;B438&amp;C438,盘货信息!$A:$A&amp;盘货信息!$B:$B&amp;盘货信息!$C:$C,盘货信息!$W:$W)&amp;"，")&amp;"送货入户，退换免运费")</f>
        <v/>
      </c>
    </row>
    <row r="439" customHeight="1" spans="1:22">
      <c r="A439" s="17" t="str">
        <f>IF(盘货信息!A439="","",盘货信息!A439)</f>
        <v/>
      </c>
      <c r="B439" s="20" t="str">
        <f>IF(盘货信息!B439="","",盘货信息!B439)</f>
        <v/>
      </c>
      <c r="C439" s="18" t="str">
        <f>IF(盘货信息!C439="","",盘货信息!C439)</f>
        <v/>
      </c>
      <c r="D439" s="18" t="str">
        <f ca="1" t="shared" si="6"/>
        <v/>
      </c>
      <c r="E439" s="18" t="str">
        <f>IF(C439="","",固定信息!$B$2)</f>
        <v/>
      </c>
      <c r="F439" s="18" t="str">
        <f t="array" ref="F439">IF(C439="","","【"&amp;C439&amp;"】"&amp;_xlfn.XLOOKUP(A439&amp;B439&amp;C439,盘货信息!$A:$A&amp;盘货信息!$B:$B&amp;盘货信息!$C:$C,盘货信息!$D:$D))</f>
        <v/>
      </c>
      <c r="G439" s="18" t="str">
        <f>IF(C439="","","【"&amp;"活动时间："&amp;固定信息!$B$3&amp;"】")</f>
        <v/>
      </c>
      <c r="H439" s="18" t="str">
        <f>IF($C439="","",固定信息!$B$1)</f>
        <v/>
      </c>
      <c r="I439" s="18"/>
      <c r="J439" s="18" t="str">
        <f t="array" ref="J439">_xlfn.XLOOKUP(A439&amp;B439&amp;C439,价格信息!$A:$A&amp;价格信息!$B:$B&amp;价格信息!$C:$C,价格信息!$D:$D)</f>
        <v/>
      </c>
      <c r="K439" s="31" t="str">
        <f t="array" ref="K439">IF(_xlfn.XLOOKUP(A439&amp;B439&amp;C439,价格信息!$A:$A&amp;价格信息!$B:$B&amp;价格信息!$C:$C,价格信息!$I:$I)="","","【优惠券链接】"&amp;固定信息!$B$6)</f>
        <v/>
      </c>
      <c r="L439" s="31" t="str">
        <f>IF($C439="","",固定信息!$B$1)</f>
        <v/>
      </c>
      <c r="M439" s="18" t="str">
        <f t="array" ref="M439">IF(_xlfn.XLOOKUP(A439&amp;B439&amp;C439,盘货信息!$A:$A&amp;盘货信息!$B:$B&amp;盘货信息!$C:$C,盘货信息!$O:$O)="","","【优惠券】领"&amp;INDEX(_wpsfn.REGEXP(_xlfn.XLOOKUP(A439&amp;B439&amp;C439,盘货信息!$A:$A&amp;盘货信息!$B:$B&amp;盘货信息!$C:$C,盘货信息!$O:$O),"\d+"),1,1)&amp;"元优惠券下单更优惠，优惠卷："&amp;_xlfn.XLOOKUP(A439&amp;B439&amp;C439,盘货信息!$A:$A&amp;盘货信息!$B:$B&amp;盘货信息!$C:$C,盘货信息!$P:$P))</f>
        <v/>
      </c>
      <c r="N439" s="18" t="str">
        <f t="array" ref="N439">IF(AND(ISNUMBER(_xlfn.XLOOKUP(A439&amp;B439&amp;C439,盘货信息!$A:$A&amp;盘货信息!$B:$B&amp;盘货信息!$C:$C,盘货信息!$I:$I)),_xlfn.XLOOKUP(A439&amp;B439&amp;C439,盘货信息!$A:$A&amp;盘货信息!$B:$B&amp;盘货信息!$C:$C,盘货信息!$I:$I)&gt;1),"【88VIP】立减"&amp;_xlfn.XLOOKUP(A439&amp;B439&amp;C439,盘货信息!$A:$A&amp;盘货信息!$B:$B&amp;盘货信息!$C:$C,盘货信息!$I:$I)&amp;"元","")</f>
        <v/>
      </c>
      <c r="O439" s="18" t="str">
        <f t="array" ref="O439">IF(_xlfn.XLOOKUP(A439&amp;B439&amp;C439,盘货信息!$A:$A&amp;盘货信息!$B:$B&amp;盘货信息!$C:$C,盘货信息!$K:$K)="","",IF(AND(_xlfn.XLOOKUP(A439&amp;B439&amp;C439,盘货信息!$A:$A&amp;盘货信息!$B:$B&amp;盘货信息!$C:$C,盘货信息!$G:$G)="不参加",_xlfn.XLOOKUP(A439&amp;B439&amp;C439,盘货信息!$A:$A&amp;盘货信息!$B:$B&amp;盘货信息!$C:$C,盘货信息!$H:$H)=""),"【以旧换新】"&amp;_xlfn.XLOOKUP(A439&amp;B439&amp;C439,盘货信息!$A:$A&amp;盘货信息!$B:$B&amp;盘货信息!$C:$C,盘货信息!$K:$K)&amp;"元以旧换新补贴（可无旧机换新）",""))</f>
        <v/>
      </c>
      <c r="P439" s="18" t="str">
        <f t="array" ref="P439">_xlfn.XLOOKUP(A439&amp;B439&amp;C439,赠品!$A:$A&amp;赠品!$B:$B&amp;赠品!$C:$C,赠品!$D:$D)</f>
        <v/>
      </c>
      <c r="Q439" s="18" t="str">
        <f>IF($C439="","",IF(AND(M439="",N439="",P439=""),"",固定信息!$B$1))</f>
        <v/>
      </c>
      <c r="R439" s="18" t="str">
        <f t="array" ref="R439">IF(ISNUMBER(SEARCH("是",_xlfn.XLOOKUP(A439&amp;B439&amp;C439,盘货信息!$A:$A&amp;盘货信息!$B:$B&amp;盘货信息!$C:$C,盘货信息!$U:$U))),"【折扣】指定型号满2类享96折，满3类享94折","")</f>
        <v/>
      </c>
      <c r="S439" s="18" t="str">
        <f t="array" ref="S439">IF(_xlfn.XLOOKUP(A439&amp;B439&amp;C439,盘货信息!$A:$A&amp;盘货信息!$B:$B&amp;盘货信息!$C:$C,盘货信息!$Q:$Q)&lt;1,"","【红包】活动时间购机送"&amp;_xlfn.TEXTJOIN("",,IF(ISNUMBER(--MID(_xlfn.XLOOKUP(A439&amp;B439&amp;C439,盘货信息!$A:$A&amp;盘货信息!$B:$B&amp;盘货信息!$C:$C,盘货信息!$Q:$Q),_xlfn.SEQUENCE(LEN(_xlfn.XLOOKUP(A439&amp;B439&amp;C439,盘货信息!$A:$A&amp;盘货信息!$B:$B&amp;盘货信息!$C:$C,盘货信息!$Q:$Q))),1)),MID(_xlfn.XLOOKUP(A439&amp;B439&amp;C439,盘货信息!$A:$A&amp;盘货信息!$B:$B&amp;盘货信息!$C:$C,盘货信息!$Q:$Q),_xlfn.SEQUENCE(LEN(_xlfn.XLOOKUP(A439&amp;B439&amp;C439,盘货信息!$A:$A&amp;盘货信息!$B:$B&amp;盘货信息!$C:$C,盘货信息!$Q:$Q))),1),""))&amp;"元")</f>
        <v/>
      </c>
      <c r="T439" s="18" t="str">
        <f t="array" ref="T439">IF(ISNUMBER(SEARCH("是",_xlfn.XLOOKUP(A439&amp;B439&amp;C439,盘货信息!$A:$A&amp;盘货信息!$B:$B&amp;盘货信息!$C:$C,盘货信息!$T:$T))),"【瓜分】"&amp;固定信息!$B$7,"")</f>
        <v/>
      </c>
      <c r="U439" s="18" t="str">
        <f>IF($C439="","",IF(AND(R439="",S439="",T439=""),"",固定信息!$B$1))</f>
        <v/>
      </c>
      <c r="V439" s="18" t="str">
        <f t="array" ref="V439">IF(C439="","","【服务】"&amp;IF(_xlfn.XLOOKUP(A439&amp;B439&amp;C439,盘货信息!$A:$A&amp;盘货信息!$B:$B&amp;盘货信息!$C:$C,盘货信息!$V:$V)="","",_xlfn.XLOOKUP(A439&amp;B439&amp;C439,盘货信息!$A:$A&amp;盘货信息!$B:$B&amp;盘货信息!$C:$C,盘货信息!$V:$V)&amp;"免息,")&amp;IF(_xlfn.XLOOKUP(A439&amp;B439&amp;C439,盘货信息!$A:$A&amp;盘货信息!$B:$B&amp;盘货信息!$C:$C,盘货信息!$W:$W)="","",_xlfn.XLOOKUP(A439&amp;B439&amp;C439,盘货信息!$A:$A&amp;盘货信息!$B:$B&amp;盘货信息!$C:$C,盘货信息!$W:$W)&amp;"，")&amp;"送货入户，退换免运费")</f>
        <v/>
      </c>
    </row>
    <row r="440" customHeight="1" spans="1:22">
      <c r="A440" s="17" t="str">
        <f>IF(盘货信息!A440="","",盘货信息!A440)</f>
        <v/>
      </c>
      <c r="B440" s="20" t="str">
        <f>IF(盘货信息!B440="","",盘货信息!B440)</f>
        <v/>
      </c>
      <c r="C440" s="18" t="str">
        <f>IF(盘货信息!C440="","",盘货信息!C440)</f>
        <v/>
      </c>
      <c r="D440" s="18" t="str">
        <f ca="1" t="shared" si="6"/>
        <v/>
      </c>
      <c r="E440" s="18" t="str">
        <f>IF(C440="","",固定信息!$B$2)</f>
        <v/>
      </c>
      <c r="F440" s="18" t="str">
        <f t="array" ref="F440">IF(C440="","","【"&amp;C440&amp;"】"&amp;_xlfn.XLOOKUP(A440&amp;B440&amp;C440,盘货信息!$A:$A&amp;盘货信息!$B:$B&amp;盘货信息!$C:$C,盘货信息!$D:$D))</f>
        <v/>
      </c>
      <c r="G440" s="18" t="str">
        <f>IF(C440="","","【"&amp;"活动时间："&amp;固定信息!$B$3&amp;"】")</f>
        <v/>
      </c>
      <c r="H440" s="18" t="str">
        <f>IF($C440="","",固定信息!$B$1)</f>
        <v/>
      </c>
      <c r="I440" s="18"/>
      <c r="J440" s="18" t="str">
        <f t="array" ref="J440">_xlfn.XLOOKUP(A440&amp;B440&amp;C440,价格信息!$A:$A&amp;价格信息!$B:$B&amp;价格信息!$C:$C,价格信息!$D:$D)</f>
        <v/>
      </c>
      <c r="K440" s="31" t="str">
        <f t="array" ref="K440">IF(_xlfn.XLOOKUP(A440&amp;B440&amp;C440,价格信息!$A:$A&amp;价格信息!$B:$B&amp;价格信息!$C:$C,价格信息!$I:$I)="","","【优惠券链接】"&amp;固定信息!$B$6)</f>
        <v/>
      </c>
      <c r="L440" s="31" t="str">
        <f>IF($C440="","",固定信息!$B$1)</f>
        <v/>
      </c>
      <c r="M440" s="18" t="str">
        <f t="array" ref="M440">IF(_xlfn.XLOOKUP(A440&amp;B440&amp;C440,盘货信息!$A:$A&amp;盘货信息!$B:$B&amp;盘货信息!$C:$C,盘货信息!$O:$O)="","","【优惠券】领"&amp;INDEX(_wpsfn.REGEXP(_xlfn.XLOOKUP(A440&amp;B440&amp;C440,盘货信息!$A:$A&amp;盘货信息!$B:$B&amp;盘货信息!$C:$C,盘货信息!$O:$O),"\d+"),1,1)&amp;"元优惠券下单更优惠，优惠卷："&amp;_xlfn.XLOOKUP(A440&amp;B440&amp;C440,盘货信息!$A:$A&amp;盘货信息!$B:$B&amp;盘货信息!$C:$C,盘货信息!$P:$P))</f>
        <v/>
      </c>
      <c r="N440" s="18" t="str">
        <f t="array" ref="N440">IF(AND(ISNUMBER(_xlfn.XLOOKUP(A440&amp;B440&amp;C440,盘货信息!$A:$A&amp;盘货信息!$B:$B&amp;盘货信息!$C:$C,盘货信息!$I:$I)),_xlfn.XLOOKUP(A440&amp;B440&amp;C440,盘货信息!$A:$A&amp;盘货信息!$B:$B&amp;盘货信息!$C:$C,盘货信息!$I:$I)&gt;1),"【88VIP】立减"&amp;_xlfn.XLOOKUP(A440&amp;B440&amp;C440,盘货信息!$A:$A&amp;盘货信息!$B:$B&amp;盘货信息!$C:$C,盘货信息!$I:$I)&amp;"元","")</f>
        <v/>
      </c>
      <c r="O440" s="18" t="str">
        <f t="array" ref="O440">IF(_xlfn.XLOOKUP(A440&amp;B440&amp;C440,盘货信息!$A:$A&amp;盘货信息!$B:$B&amp;盘货信息!$C:$C,盘货信息!$K:$K)="","",IF(AND(_xlfn.XLOOKUP(A440&amp;B440&amp;C440,盘货信息!$A:$A&amp;盘货信息!$B:$B&amp;盘货信息!$C:$C,盘货信息!$G:$G)="不参加",_xlfn.XLOOKUP(A440&amp;B440&amp;C440,盘货信息!$A:$A&amp;盘货信息!$B:$B&amp;盘货信息!$C:$C,盘货信息!$H:$H)=""),"【以旧换新】"&amp;_xlfn.XLOOKUP(A440&amp;B440&amp;C440,盘货信息!$A:$A&amp;盘货信息!$B:$B&amp;盘货信息!$C:$C,盘货信息!$K:$K)&amp;"元以旧换新补贴（可无旧机换新）",""))</f>
        <v/>
      </c>
      <c r="P440" s="18" t="str">
        <f t="array" ref="P440">_xlfn.XLOOKUP(A440&amp;B440&amp;C440,赠品!$A:$A&amp;赠品!$B:$B&amp;赠品!$C:$C,赠品!$D:$D)</f>
        <v/>
      </c>
      <c r="Q440" s="18" t="str">
        <f>IF($C440="","",IF(AND(M440="",N440="",P440=""),"",固定信息!$B$1))</f>
        <v/>
      </c>
      <c r="R440" s="18" t="str">
        <f t="array" ref="R440">IF(ISNUMBER(SEARCH("是",_xlfn.XLOOKUP(A440&amp;B440&amp;C440,盘货信息!$A:$A&amp;盘货信息!$B:$B&amp;盘货信息!$C:$C,盘货信息!$U:$U))),"【折扣】指定型号满2类享96折，满3类享94折","")</f>
        <v/>
      </c>
      <c r="S440" s="18" t="str">
        <f t="array" ref="S440">IF(_xlfn.XLOOKUP(A440&amp;B440&amp;C440,盘货信息!$A:$A&amp;盘货信息!$B:$B&amp;盘货信息!$C:$C,盘货信息!$Q:$Q)&lt;1,"","【红包】活动时间购机送"&amp;_xlfn.TEXTJOIN("",,IF(ISNUMBER(--MID(_xlfn.XLOOKUP(A440&amp;B440&amp;C440,盘货信息!$A:$A&amp;盘货信息!$B:$B&amp;盘货信息!$C:$C,盘货信息!$Q:$Q),_xlfn.SEQUENCE(LEN(_xlfn.XLOOKUP(A440&amp;B440&amp;C440,盘货信息!$A:$A&amp;盘货信息!$B:$B&amp;盘货信息!$C:$C,盘货信息!$Q:$Q))),1)),MID(_xlfn.XLOOKUP(A440&amp;B440&amp;C440,盘货信息!$A:$A&amp;盘货信息!$B:$B&amp;盘货信息!$C:$C,盘货信息!$Q:$Q),_xlfn.SEQUENCE(LEN(_xlfn.XLOOKUP(A440&amp;B440&amp;C440,盘货信息!$A:$A&amp;盘货信息!$B:$B&amp;盘货信息!$C:$C,盘货信息!$Q:$Q))),1),""))&amp;"元")</f>
        <v/>
      </c>
      <c r="T440" s="18" t="str">
        <f t="array" ref="T440">IF(ISNUMBER(SEARCH("是",_xlfn.XLOOKUP(A440&amp;B440&amp;C440,盘货信息!$A:$A&amp;盘货信息!$B:$B&amp;盘货信息!$C:$C,盘货信息!$T:$T))),"【瓜分】"&amp;固定信息!$B$7,"")</f>
        <v/>
      </c>
      <c r="U440" s="18" t="str">
        <f>IF($C440="","",IF(AND(R440="",S440="",T440=""),"",固定信息!$B$1))</f>
        <v/>
      </c>
      <c r="V440" s="18" t="str">
        <f t="array" ref="V440">IF(C440="","","【服务】"&amp;IF(_xlfn.XLOOKUP(A440&amp;B440&amp;C440,盘货信息!$A:$A&amp;盘货信息!$B:$B&amp;盘货信息!$C:$C,盘货信息!$V:$V)="","",_xlfn.XLOOKUP(A440&amp;B440&amp;C440,盘货信息!$A:$A&amp;盘货信息!$B:$B&amp;盘货信息!$C:$C,盘货信息!$V:$V)&amp;"免息,")&amp;IF(_xlfn.XLOOKUP(A440&amp;B440&amp;C440,盘货信息!$A:$A&amp;盘货信息!$B:$B&amp;盘货信息!$C:$C,盘货信息!$W:$W)="","",_xlfn.XLOOKUP(A440&amp;B440&amp;C440,盘货信息!$A:$A&amp;盘货信息!$B:$B&amp;盘货信息!$C:$C,盘货信息!$W:$W)&amp;"，")&amp;"送货入户，退换免运费")</f>
        <v/>
      </c>
    </row>
    <row r="441" customHeight="1" spans="1:22">
      <c r="A441" s="17" t="str">
        <f>IF(盘货信息!A441="","",盘货信息!A441)</f>
        <v/>
      </c>
      <c r="B441" s="20" t="str">
        <f>IF(盘货信息!B441="","",盘货信息!B441)</f>
        <v/>
      </c>
      <c r="C441" s="18" t="str">
        <f>IF(盘货信息!C441="","",盘货信息!C441)</f>
        <v/>
      </c>
      <c r="D441" s="18" t="str">
        <f ca="1" t="shared" si="6"/>
        <v/>
      </c>
      <c r="E441" s="18" t="str">
        <f>IF(C441="","",固定信息!$B$2)</f>
        <v/>
      </c>
      <c r="F441" s="18" t="str">
        <f t="array" ref="F441">IF(C441="","","【"&amp;C441&amp;"】"&amp;_xlfn.XLOOKUP(A441&amp;B441&amp;C441,盘货信息!$A:$A&amp;盘货信息!$B:$B&amp;盘货信息!$C:$C,盘货信息!$D:$D))</f>
        <v/>
      </c>
      <c r="G441" s="18" t="str">
        <f>IF(C441="","","【"&amp;"活动时间："&amp;固定信息!$B$3&amp;"】")</f>
        <v/>
      </c>
      <c r="H441" s="18" t="str">
        <f>IF($C441="","",固定信息!$B$1)</f>
        <v/>
      </c>
      <c r="I441" s="18"/>
      <c r="J441" s="18" t="str">
        <f t="array" ref="J441">_xlfn.XLOOKUP(A441&amp;B441&amp;C441,价格信息!$A:$A&amp;价格信息!$B:$B&amp;价格信息!$C:$C,价格信息!$D:$D)</f>
        <v/>
      </c>
      <c r="K441" s="31" t="str">
        <f t="array" ref="K441">IF(_xlfn.XLOOKUP(A441&amp;B441&amp;C441,价格信息!$A:$A&amp;价格信息!$B:$B&amp;价格信息!$C:$C,价格信息!$I:$I)="","","【优惠券链接】"&amp;固定信息!$B$6)</f>
        <v/>
      </c>
      <c r="L441" s="31" t="str">
        <f>IF($C441="","",固定信息!$B$1)</f>
        <v/>
      </c>
      <c r="M441" s="18" t="str">
        <f t="array" ref="M441">IF(_xlfn.XLOOKUP(A441&amp;B441&amp;C441,盘货信息!$A:$A&amp;盘货信息!$B:$B&amp;盘货信息!$C:$C,盘货信息!$O:$O)="","","【优惠券】领"&amp;INDEX(_wpsfn.REGEXP(_xlfn.XLOOKUP(A441&amp;B441&amp;C441,盘货信息!$A:$A&amp;盘货信息!$B:$B&amp;盘货信息!$C:$C,盘货信息!$O:$O),"\d+"),1,1)&amp;"元优惠券下单更优惠，优惠卷："&amp;_xlfn.XLOOKUP(A441&amp;B441&amp;C441,盘货信息!$A:$A&amp;盘货信息!$B:$B&amp;盘货信息!$C:$C,盘货信息!$P:$P))</f>
        <v/>
      </c>
      <c r="N441" s="18" t="str">
        <f t="array" ref="N441">IF(AND(ISNUMBER(_xlfn.XLOOKUP(A441&amp;B441&amp;C441,盘货信息!$A:$A&amp;盘货信息!$B:$B&amp;盘货信息!$C:$C,盘货信息!$I:$I)),_xlfn.XLOOKUP(A441&amp;B441&amp;C441,盘货信息!$A:$A&amp;盘货信息!$B:$B&amp;盘货信息!$C:$C,盘货信息!$I:$I)&gt;1),"【88VIP】立减"&amp;_xlfn.XLOOKUP(A441&amp;B441&amp;C441,盘货信息!$A:$A&amp;盘货信息!$B:$B&amp;盘货信息!$C:$C,盘货信息!$I:$I)&amp;"元","")</f>
        <v/>
      </c>
      <c r="O441" s="18" t="str">
        <f t="array" ref="O441">IF(_xlfn.XLOOKUP(A441&amp;B441&amp;C441,盘货信息!$A:$A&amp;盘货信息!$B:$B&amp;盘货信息!$C:$C,盘货信息!$K:$K)="","",IF(AND(_xlfn.XLOOKUP(A441&amp;B441&amp;C441,盘货信息!$A:$A&amp;盘货信息!$B:$B&amp;盘货信息!$C:$C,盘货信息!$G:$G)="不参加",_xlfn.XLOOKUP(A441&amp;B441&amp;C441,盘货信息!$A:$A&amp;盘货信息!$B:$B&amp;盘货信息!$C:$C,盘货信息!$H:$H)=""),"【以旧换新】"&amp;_xlfn.XLOOKUP(A441&amp;B441&amp;C441,盘货信息!$A:$A&amp;盘货信息!$B:$B&amp;盘货信息!$C:$C,盘货信息!$K:$K)&amp;"元以旧换新补贴（可无旧机换新）",""))</f>
        <v/>
      </c>
      <c r="P441" s="18" t="str">
        <f t="array" ref="P441">_xlfn.XLOOKUP(A441&amp;B441&amp;C441,赠品!$A:$A&amp;赠品!$B:$B&amp;赠品!$C:$C,赠品!$D:$D)</f>
        <v/>
      </c>
      <c r="Q441" s="18" t="str">
        <f>IF($C441="","",IF(AND(M441="",N441="",P441=""),"",固定信息!$B$1))</f>
        <v/>
      </c>
      <c r="R441" s="18" t="str">
        <f t="array" ref="R441">IF(ISNUMBER(SEARCH("是",_xlfn.XLOOKUP(A441&amp;B441&amp;C441,盘货信息!$A:$A&amp;盘货信息!$B:$B&amp;盘货信息!$C:$C,盘货信息!$U:$U))),"【折扣】指定型号满2类享96折，满3类享94折","")</f>
        <v/>
      </c>
      <c r="S441" s="18" t="str">
        <f t="array" ref="S441">IF(_xlfn.XLOOKUP(A441&amp;B441&amp;C441,盘货信息!$A:$A&amp;盘货信息!$B:$B&amp;盘货信息!$C:$C,盘货信息!$Q:$Q)&lt;1,"","【红包】活动时间购机送"&amp;_xlfn.TEXTJOIN("",,IF(ISNUMBER(--MID(_xlfn.XLOOKUP(A441&amp;B441&amp;C441,盘货信息!$A:$A&amp;盘货信息!$B:$B&amp;盘货信息!$C:$C,盘货信息!$Q:$Q),_xlfn.SEQUENCE(LEN(_xlfn.XLOOKUP(A441&amp;B441&amp;C441,盘货信息!$A:$A&amp;盘货信息!$B:$B&amp;盘货信息!$C:$C,盘货信息!$Q:$Q))),1)),MID(_xlfn.XLOOKUP(A441&amp;B441&amp;C441,盘货信息!$A:$A&amp;盘货信息!$B:$B&amp;盘货信息!$C:$C,盘货信息!$Q:$Q),_xlfn.SEQUENCE(LEN(_xlfn.XLOOKUP(A441&amp;B441&amp;C441,盘货信息!$A:$A&amp;盘货信息!$B:$B&amp;盘货信息!$C:$C,盘货信息!$Q:$Q))),1),""))&amp;"元")</f>
        <v/>
      </c>
      <c r="T441" s="18" t="str">
        <f t="array" ref="T441">IF(ISNUMBER(SEARCH("是",_xlfn.XLOOKUP(A441&amp;B441&amp;C441,盘货信息!$A:$A&amp;盘货信息!$B:$B&amp;盘货信息!$C:$C,盘货信息!$T:$T))),"【瓜分】"&amp;固定信息!$B$7,"")</f>
        <v/>
      </c>
      <c r="U441" s="18" t="str">
        <f>IF($C441="","",IF(AND(R441="",S441="",T441=""),"",固定信息!$B$1))</f>
        <v/>
      </c>
      <c r="V441" s="18" t="str">
        <f t="array" ref="V441">IF(C441="","","【服务】"&amp;IF(_xlfn.XLOOKUP(A441&amp;B441&amp;C441,盘货信息!$A:$A&amp;盘货信息!$B:$B&amp;盘货信息!$C:$C,盘货信息!$V:$V)="","",_xlfn.XLOOKUP(A441&amp;B441&amp;C441,盘货信息!$A:$A&amp;盘货信息!$B:$B&amp;盘货信息!$C:$C,盘货信息!$V:$V)&amp;"免息,")&amp;IF(_xlfn.XLOOKUP(A441&amp;B441&amp;C441,盘货信息!$A:$A&amp;盘货信息!$B:$B&amp;盘货信息!$C:$C,盘货信息!$W:$W)="","",_xlfn.XLOOKUP(A441&amp;B441&amp;C441,盘货信息!$A:$A&amp;盘货信息!$B:$B&amp;盘货信息!$C:$C,盘货信息!$W:$W)&amp;"，")&amp;"送货入户，退换免运费")</f>
        <v/>
      </c>
    </row>
    <row r="442" customHeight="1" spans="1:22">
      <c r="A442" s="17" t="str">
        <f>IF(盘货信息!A442="","",盘货信息!A442)</f>
        <v/>
      </c>
      <c r="B442" s="20" t="str">
        <f>IF(盘货信息!B442="","",盘货信息!B442)</f>
        <v/>
      </c>
      <c r="C442" s="18" t="str">
        <f>IF(盘货信息!C442="","",盘货信息!C442)</f>
        <v/>
      </c>
      <c r="D442" s="18" t="str">
        <f ca="1" t="shared" si="6"/>
        <v/>
      </c>
      <c r="E442" s="18" t="str">
        <f>IF(C442="","",固定信息!$B$2)</f>
        <v/>
      </c>
      <c r="F442" s="18" t="str">
        <f t="array" ref="F442">IF(C442="","","【"&amp;C442&amp;"】"&amp;_xlfn.XLOOKUP(A442&amp;B442&amp;C442,盘货信息!$A:$A&amp;盘货信息!$B:$B&amp;盘货信息!$C:$C,盘货信息!$D:$D))</f>
        <v/>
      </c>
      <c r="G442" s="18" t="str">
        <f>IF(C442="","","【"&amp;"活动时间："&amp;固定信息!$B$3&amp;"】")</f>
        <v/>
      </c>
      <c r="H442" s="18" t="str">
        <f>IF($C442="","",固定信息!$B$1)</f>
        <v/>
      </c>
      <c r="I442" s="18"/>
      <c r="J442" s="18" t="str">
        <f t="array" ref="J442">_xlfn.XLOOKUP(A442&amp;B442&amp;C442,价格信息!$A:$A&amp;价格信息!$B:$B&amp;价格信息!$C:$C,价格信息!$D:$D)</f>
        <v/>
      </c>
      <c r="K442" s="31" t="str">
        <f t="array" ref="K442">IF(_xlfn.XLOOKUP(A442&amp;B442&amp;C442,价格信息!$A:$A&amp;价格信息!$B:$B&amp;价格信息!$C:$C,价格信息!$I:$I)="","","【优惠券链接】"&amp;固定信息!$B$6)</f>
        <v/>
      </c>
      <c r="L442" s="31" t="str">
        <f>IF($C442="","",固定信息!$B$1)</f>
        <v/>
      </c>
      <c r="M442" s="18" t="str">
        <f t="array" ref="M442">IF(_xlfn.XLOOKUP(A442&amp;B442&amp;C442,盘货信息!$A:$A&amp;盘货信息!$B:$B&amp;盘货信息!$C:$C,盘货信息!$O:$O)="","","【优惠券】领"&amp;INDEX(_wpsfn.REGEXP(_xlfn.XLOOKUP(A442&amp;B442&amp;C442,盘货信息!$A:$A&amp;盘货信息!$B:$B&amp;盘货信息!$C:$C,盘货信息!$O:$O),"\d+"),1,1)&amp;"元优惠券下单更优惠，优惠卷："&amp;_xlfn.XLOOKUP(A442&amp;B442&amp;C442,盘货信息!$A:$A&amp;盘货信息!$B:$B&amp;盘货信息!$C:$C,盘货信息!$P:$P))</f>
        <v/>
      </c>
      <c r="N442" s="18" t="str">
        <f t="array" ref="N442">IF(AND(ISNUMBER(_xlfn.XLOOKUP(A442&amp;B442&amp;C442,盘货信息!$A:$A&amp;盘货信息!$B:$B&amp;盘货信息!$C:$C,盘货信息!$I:$I)),_xlfn.XLOOKUP(A442&amp;B442&amp;C442,盘货信息!$A:$A&amp;盘货信息!$B:$B&amp;盘货信息!$C:$C,盘货信息!$I:$I)&gt;1),"【88VIP】立减"&amp;_xlfn.XLOOKUP(A442&amp;B442&amp;C442,盘货信息!$A:$A&amp;盘货信息!$B:$B&amp;盘货信息!$C:$C,盘货信息!$I:$I)&amp;"元","")</f>
        <v/>
      </c>
      <c r="O442" s="18" t="str">
        <f t="array" ref="O442">IF(_xlfn.XLOOKUP(A442&amp;B442&amp;C442,盘货信息!$A:$A&amp;盘货信息!$B:$B&amp;盘货信息!$C:$C,盘货信息!$K:$K)="","",IF(AND(_xlfn.XLOOKUP(A442&amp;B442&amp;C442,盘货信息!$A:$A&amp;盘货信息!$B:$B&amp;盘货信息!$C:$C,盘货信息!$G:$G)="不参加",_xlfn.XLOOKUP(A442&amp;B442&amp;C442,盘货信息!$A:$A&amp;盘货信息!$B:$B&amp;盘货信息!$C:$C,盘货信息!$H:$H)=""),"【以旧换新】"&amp;_xlfn.XLOOKUP(A442&amp;B442&amp;C442,盘货信息!$A:$A&amp;盘货信息!$B:$B&amp;盘货信息!$C:$C,盘货信息!$K:$K)&amp;"元以旧换新补贴（可无旧机换新）",""))</f>
        <v/>
      </c>
      <c r="P442" s="18" t="str">
        <f t="array" ref="P442">_xlfn.XLOOKUP(A442&amp;B442&amp;C442,赠品!$A:$A&amp;赠品!$B:$B&amp;赠品!$C:$C,赠品!$D:$D)</f>
        <v/>
      </c>
      <c r="Q442" s="18" t="str">
        <f>IF($C442="","",IF(AND(M442="",N442="",P442=""),"",固定信息!$B$1))</f>
        <v/>
      </c>
      <c r="R442" s="18" t="str">
        <f t="array" ref="R442">IF(ISNUMBER(SEARCH("是",_xlfn.XLOOKUP(A442&amp;B442&amp;C442,盘货信息!$A:$A&amp;盘货信息!$B:$B&amp;盘货信息!$C:$C,盘货信息!$U:$U))),"【折扣】指定型号满2类享96折，满3类享94折","")</f>
        <v/>
      </c>
      <c r="S442" s="18" t="str">
        <f t="array" ref="S442">IF(_xlfn.XLOOKUP(A442&amp;B442&amp;C442,盘货信息!$A:$A&amp;盘货信息!$B:$B&amp;盘货信息!$C:$C,盘货信息!$Q:$Q)&lt;1,"","【红包】活动时间购机送"&amp;_xlfn.TEXTJOIN("",,IF(ISNUMBER(--MID(_xlfn.XLOOKUP(A442&amp;B442&amp;C442,盘货信息!$A:$A&amp;盘货信息!$B:$B&amp;盘货信息!$C:$C,盘货信息!$Q:$Q),_xlfn.SEQUENCE(LEN(_xlfn.XLOOKUP(A442&amp;B442&amp;C442,盘货信息!$A:$A&amp;盘货信息!$B:$B&amp;盘货信息!$C:$C,盘货信息!$Q:$Q))),1)),MID(_xlfn.XLOOKUP(A442&amp;B442&amp;C442,盘货信息!$A:$A&amp;盘货信息!$B:$B&amp;盘货信息!$C:$C,盘货信息!$Q:$Q),_xlfn.SEQUENCE(LEN(_xlfn.XLOOKUP(A442&amp;B442&amp;C442,盘货信息!$A:$A&amp;盘货信息!$B:$B&amp;盘货信息!$C:$C,盘货信息!$Q:$Q))),1),""))&amp;"元")</f>
        <v/>
      </c>
      <c r="T442" s="18" t="str">
        <f t="array" ref="T442">IF(ISNUMBER(SEARCH("是",_xlfn.XLOOKUP(A442&amp;B442&amp;C442,盘货信息!$A:$A&amp;盘货信息!$B:$B&amp;盘货信息!$C:$C,盘货信息!$T:$T))),"【瓜分】"&amp;固定信息!$B$7,"")</f>
        <v/>
      </c>
      <c r="U442" s="18" t="str">
        <f>IF($C442="","",IF(AND(R442="",S442="",T442=""),"",固定信息!$B$1))</f>
        <v/>
      </c>
      <c r="V442" s="18" t="str">
        <f t="array" ref="V442">IF(C442="","","【服务】"&amp;IF(_xlfn.XLOOKUP(A442&amp;B442&amp;C442,盘货信息!$A:$A&amp;盘货信息!$B:$B&amp;盘货信息!$C:$C,盘货信息!$V:$V)="","",_xlfn.XLOOKUP(A442&amp;B442&amp;C442,盘货信息!$A:$A&amp;盘货信息!$B:$B&amp;盘货信息!$C:$C,盘货信息!$V:$V)&amp;"免息,")&amp;IF(_xlfn.XLOOKUP(A442&amp;B442&amp;C442,盘货信息!$A:$A&amp;盘货信息!$B:$B&amp;盘货信息!$C:$C,盘货信息!$W:$W)="","",_xlfn.XLOOKUP(A442&amp;B442&amp;C442,盘货信息!$A:$A&amp;盘货信息!$B:$B&amp;盘货信息!$C:$C,盘货信息!$W:$W)&amp;"，")&amp;"送货入户，退换免运费")</f>
        <v/>
      </c>
    </row>
    <row r="443" customHeight="1" spans="1:22">
      <c r="A443" s="17" t="str">
        <f>IF(盘货信息!A443="","",盘货信息!A443)</f>
        <v/>
      </c>
      <c r="B443" s="20" t="str">
        <f>IF(盘货信息!B443="","",盘货信息!B443)</f>
        <v/>
      </c>
      <c r="C443" s="18" t="str">
        <f>IF(盘货信息!C443="","",盘货信息!C443)</f>
        <v/>
      </c>
      <c r="D443" s="18" t="str">
        <f ca="1" t="shared" si="6"/>
        <v/>
      </c>
      <c r="E443" s="18" t="str">
        <f>IF(C443="","",固定信息!$B$2)</f>
        <v/>
      </c>
      <c r="F443" s="18" t="str">
        <f t="array" ref="F443">IF(C443="","","【"&amp;C443&amp;"】"&amp;_xlfn.XLOOKUP(A443&amp;B443&amp;C443,盘货信息!$A:$A&amp;盘货信息!$B:$B&amp;盘货信息!$C:$C,盘货信息!$D:$D))</f>
        <v/>
      </c>
      <c r="G443" s="18" t="str">
        <f>IF(C443="","","【"&amp;"活动时间："&amp;固定信息!$B$3&amp;"】")</f>
        <v/>
      </c>
      <c r="H443" s="18" t="str">
        <f>IF($C443="","",固定信息!$B$1)</f>
        <v/>
      </c>
      <c r="I443" s="18"/>
      <c r="J443" s="18" t="str">
        <f t="array" ref="J443">_xlfn.XLOOKUP(A443&amp;B443&amp;C443,价格信息!$A:$A&amp;价格信息!$B:$B&amp;价格信息!$C:$C,价格信息!$D:$D)</f>
        <v/>
      </c>
      <c r="K443" s="31" t="str">
        <f t="array" ref="K443">IF(_xlfn.XLOOKUP(A443&amp;B443&amp;C443,价格信息!$A:$A&amp;价格信息!$B:$B&amp;价格信息!$C:$C,价格信息!$I:$I)="","","【优惠券链接】"&amp;固定信息!$B$6)</f>
        <v/>
      </c>
      <c r="L443" s="31" t="str">
        <f>IF($C443="","",固定信息!$B$1)</f>
        <v/>
      </c>
      <c r="M443" s="18" t="str">
        <f t="array" ref="M443">IF(_xlfn.XLOOKUP(A443&amp;B443&amp;C443,盘货信息!$A:$A&amp;盘货信息!$B:$B&amp;盘货信息!$C:$C,盘货信息!$O:$O)="","","【优惠券】领"&amp;INDEX(_wpsfn.REGEXP(_xlfn.XLOOKUP(A443&amp;B443&amp;C443,盘货信息!$A:$A&amp;盘货信息!$B:$B&amp;盘货信息!$C:$C,盘货信息!$O:$O),"\d+"),1,1)&amp;"元优惠券下单更优惠，优惠卷："&amp;_xlfn.XLOOKUP(A443&amp;B443&amp;C443,盘货信息!$A:$A&amp;盘货信息!$B:$B&amp;盘货信息!$C:$C,盘货信息!$P:$P))</f>
        <v/>
      </c>
      <c r="N443" s="18" t="str">
        <f t="array" ref="N443">IF(AND(ISNUMBER(_xlfn.XLOOKUP(A443&amp;B443&amp;C443,盘货信息!$A:$A&amp;盘货信息!$B:$B&amp;盘货信息!$C:$C,盘货信息!$I:$I)),_xlfn.XLOOKUP(A443&amp;B443&amp;C443,盘货信息!$A:$A&amp;盘货信息!$B:$B&amp;盘货信息!$C:$C,盘货信息!$I:$I)&gt;1),"【88VIP】立减"&amp;_xlfn.XLOOKUP(A443&amp;B443&amp;C443,盘货信息!$A:$A&amp;盘货信息!$B:$B&amp;盘货信息!$C:$C,盘货信息!$I:$I)&amp;"元","")</f>
        <v/>
      </c>
      <c r="O443" s="18" t="str">
        <f t="array" ref="O443">IF(_xlfn.XLOOKUP(A443&amp;B443&amp;C443,盘货信息!$A:$A&amp;盘货信息!$B:$B&amp;盘货信息!$C:$C,盘货信息!$K:$K)="","",IF(AND(_xlfn.XLOOKUP(A443&amp;B443&amp;C443,盘货信息!$A:$A&amp;盘货信息!$B:$B&amp;盘货信息!$C:$C,盘货信息!$G:$G)="不参加",_xlfn.XLOOKUP(A443&amp;B443&amp;C443,盘货信息!$A:$A&amp;盘货信息!$B:$B&amp;盘货信息!$C:$C,盘货信息!$H:$H)=""),"【以旧换新】"&amp;_xlfn.XLOOKUP(A443&amp;B443&amp;C443,盘货信息!$A:$A&amp;盘货信息!$B:$B&amp;盘货信息!$C:$C,盘货信息!$K:$K)&amp;"元以旧换新补贴（可无旧机换新）",""))</f>
        <v/>
      </c>
      <c r="P443" s="18" t="str">
        <f t="array" ref="P443">_xlfn.XLOOKUP(A443&amp;B443&amp;C443,赠品!$A:$A&amp;赠品!$B:$B&amp;赠品!$C:$C,赠品!$D:$D)</f>
        <v/>
      </c>
      <c r="Q443" s="18" t="str">
        <f>IF($C443="","",IF(AND(M443="",N443="",P443=""),"",固定信息!$B$1))</f>
        <v/>
      </c>
      <c r="R443" s="18" t="str">
        <f t="array" ref="R443">IF(ISNUMBER(SEARCH("是",_xlfn.XLOOKUP(A443&amp;B443&amp;C443,盘货信息!$A:$A&amp;盘货信息!$B:$B&amp;盘货信息!$C:$C,盘货信息!$U:$U))),"【折扣】指定型号满2类享96折，满3类享94折","")</f>
        <v/>
      </c>
      <c r="S443" s="18" t="str">
        <f t="array" ref="S443">IF(_xlfn.XLOOKUP(A443&amp;B443&amp;C443,盘货信息!$A:$A&amp;盘货信息!$B:$B&amp;盘货信息!$C:$C,盘货信息!$Q:$Q)&lt;1,"","【红包】活动时间购机送"&amp;_xlfn.TEXTJOIN("",,IF(ISNUMBER(--MID(_xlfn.XLOOKUP(A443&amp;B443&amp;C443,盘货信息!$A:$A&amp;盘货信息!$B:$B&amp;盘货信息!$C:$C,盘货信息!$Q:$Q),_xlfn.SEQUENCE(LEN(_xlfn.XLOOKUP(A443&amp;B443&amp;C443,盘货信息!$A:$A&amp;盘货信息!$B:$B&amp;盘货信息!$C:$C,盘货信息!$Q:$Q))),1)),MID(_xlfn.XLOOKUP(A443&amp;B443&amp;C443,盘货信息!$A:$A&amp;盘货信息!$B:$B&amp;盘货信息!$C:$C,盘货信息!$Q:$Q),_xlfn.SEQUENCE(LEN(_xlfn.XLOOKUP(A443&amp;B443&amp;C443,盘货信息!$A:$A&amp;盘货信息!$B:$B&amp;盘货信息!$C:$C,盘货信息!$Q:$Q))),1),""))&amp;"元")</f>
        <v/>
      </c>
      <c r="T443" s="18" t="str">
        <f t="array" ref="T443">IF(ISNUMBER(SEARCH("是",_xlfn.XLOOKUP(A443&amp;B443&amp;C443,盘货信息!$A:$A&amp;盘货信息!$B:$B&amp;盘货信息!$C:$C,盘货信息!$T:$T))),"【瓜分】"&amp;固定信息!$B$7,"")</f>
        <v/>
      </c>
      <c r="U443" s="18" t="str">
        <f>IF($C443="","",IF(AND(R443="",S443="",T443=""),"",固定信息!$B$1))</f>
        <v/>
      </c>
      <c r="V443" s="18" t="str">
        <f t="array" ref="V443">IF(C443="","","【服务】"&amp;IF(_xlfn.XLOOKUP(A443&amp;B443&amp;C443,盘货信息!$A:$A&amp;盘货信息!$B:$B&amp;盘货信息!$C:$C,盘货信息!$V:$V)="","",_xlfn.XLOOKUP(A443&amp;B443&amp;C443,盘货信息!$A:$A&amp;盘货信息!$B:$B&amp;盘货信息!$C:$C,盘货信息!$V:$V)&amp;"免息,")&amp;IF(_xlfn.XLOOKUP(A443&amp;B443&amp;C443,盘货信息!$A:$A&amp;盘货信息!$B:$B&amp;盘货信息!$C:$C,盘货信息!$W:$W)="","",_xlfn.XLOOKUP(A443&amp;B443&amp;C443,盘货信息!$A:$A&amp;盘货信息!$B:$B&amp;盘货信息!$C:$C,盘货信息!$W:$W)&amp;"，")&amp;"送货入户，退换免运费")</f>
        <v/>
      </c>
    </row>
    <row r="444" customHeight="1" spans="1:22">
      <c r="A444" s="17" t="str">
        <f>IF(盘货信息!A444="","",盘货信息!A444)</f>
        <v/>
      </c>
      <c r="B444" s="20" t="str">
        <f>IF(盘货信息!B444="","",盘货信息!B444)</f>
        <v/>
      </c>
      <c r="C444" s="18" t="str">
        <f>IF(盘货信息!C444="","",盘货信息!C444)</f>
        <v/>
      </c>
      <c r="D444" s="18" t="str">
        <f ca="1" t="shared" si="6"/>
        <v/>
      </c>
      <c r="E444" s="18" t="str">
        <f>IF(C444="","",固定信息!$B$2)</f>
        <v/>
      </c>
      <c r="F444" s="18" t="str">
        <f t="array" ref="F444">IF(C444="","","【"&amp;C444&amp;"】"&amp;_xlfn.XLOOKUP(A444&amp;B444&amp;C444,盘货信息!$A:$A&amp;盘货信息!$B:$B&amp;盘货信息!$C:$C,盘货信息!$D:$D))</f>
        <v/>
      </c>
      <c r="G444" s="18" t="str">
        <f>IF(C444="","","【"&amp;"活动时间："&amp;固定信息!$B$3&amp;"】")</f>
        <v/>
      </c>
      <c r="H444" s="18" t="str">
        <f>IF($C444="","",固定信息!$B$1)</f>
        <v/>
      </c>
      <c r="I444" s="18"/>
      <c r="J444" s="18" t="str">
        <f t="array" ref="J444">_xlfn.XLOOKUP(A444&amp;B444&amp;C444,价格信息!$A:$A&amp;价格信息!$B:$B&amp;价格信息!$C:$C,价格信息!$D:$D)</f>
        <v/>
      </c>
      <c r="K444" s="31" t="str">
        <f t="array" ref="K444">IF(_xlfn.XLOOKUP(A444&amp;B444&amp;C444,价格信息!$A:$A&amp;价格信息!$B:$B&amp;价格信息!$C:$C,价格信息!$I:$I)="","","【优惠券链接】"&amp;固定信息!$B$6)</f>
        <v/>
      </c>
      <c r="L444" s="31" t="str">
        <f>IF($C444="","",固定信息!$B$1)</f>
        <v/>
      </c>
      <c r="M444" s="18" t="str">
        <f t="array" ref="M444">IF(_xlfn.XLOOKUP(A444&amp;B444&amp;C444,盘货信息!$A:$A&amp;盘货信息!$B:$B&amp;盘货信息!$C:$C,盘货信息!$O:$O)="","","【优惠券】领"&amp;INDEX(_wpsfn.REGEXP(_xlfn.XLOOKUP(A444&amp;B444&amp;C444,盘货信息!$A:$A&amp;盘货信息!$B:$B&amp;盘货信息!$C:$C,盘货信息!$O:$O),"\d+"),1,1)&amp;"元优惠券下单更优惠，优惠卷："&amp;_xlfn.XLOOKUP(A444&amp;B444&amp;C444,盘货信息!$A:$A&amp;盘货信息!$B:$B&amp;盘货信息!$C:$C,盘货信息!$P:$P))</f>
        <v/>
      </c>
      <c r="N444" s="18" t="str">
        <f t="array" ref="N444">IF(AND(ISNUMBER(_xlfn.XLOOKUP(A444&amp;B444&amp;C444,盘货信息!$A:$A&amp;盘货信息!$B:$B&amp;盘货信息!$C:$C,盘货信息!$I:$I)),_xlfn.XLOOKUP(A444&amp;B444&amp;C444,盘货信息!$A:$A&amp;盘货信息!$B:$B&amp;盘货信息!$C:$C,盘货信息!$I:$I)&gt;1),"【88VIP】立减"&amp;_xlfn.XLOOKUP(A444&amp;B444&amp;C444,盘货信息!$A:$A&amp;盘货信息!$B:$B&amp;盘货信息!$C:$C,盘货信息!$I:$I)&amp;"元","")</f>
        <v/>
      </c>
      <c r="O444" s="18" t="str">
        <f t="array" ref="O444">IF(_xlfn.XLOOKUP(A444&amp;B444&amp;C444,盘货信息!$A:$A&amp;盘货信息!$B:$B&amp;盘货信息!$C:$C,盘货信息!$K:$K)="","",IF(AND(_xlfn.XLOOKUP(A444&amp;B444&amp;C444,盘货信息!$A:$A&amp;盘货信息!$B:$B&amp;盘货信息!$C:$C,盘货信息!$G:$G)="不参加",_xlfn.XLOOKUP(A444&amp;B444&amp;C444,盘货信息!$A:$A&amp;盘货信息!$B:$B&amp;盘货信息!$C:$C,盘货信息!$H:$H)=""),"【以旧换新】"&amp;_xlfn.XLOOKUP(A444&amp;B444&amp;C444,盘货信息!$A:$A&amp;盘货信息!$B:$B&amp;盘货信息!$C:$C,盘货信息!$K:$K)&amp;"元以旧换新补贴（可无旧机换新）",""))</f>
        <v/>
      </c>
      <c r="P444" s="18" t="str">
        <f t="array" ref="P444">_xlfn.XLOOKUP(A444&amp;B444&amp;C444,赠品!$A:$A&amp;赠品!$B:$B&amp;赠品!$C:$C,赠品!$D:$D)</f>
        <v/>
      </c>
      <c r="Q444" s="18" t="str">
        <f>IF($C444="","",IF(AND(M444="",N444="",P444=""),"",固定信息!$B$1))</f>
        <v/>
      </c>
      <c r="R444" s="18" t="str">
        <f t="array" ref="R444">IF(ISNUMBER(SEARCH("是",_xlfn.XLOOKUP(A444&amp;B444&amp;C444,盘货信息!$A:$A&amp;盘货信息!$B:$B&amp;盘货信息!$C:$C,盘货信息!$U:$U))),"【折扣】指定型号满2类享96折，满3类享94折","")</f>
        <v/>
      </c>
      <c r="S444" s="18" t="str">
        <f t="array" ref="S444">IF(_xlfn.XLOOKUP(A444&amp;B444&amp;C444,盘货信息!$A:$A&amp;盘货信息!$B:$B&amp;盘货信息!$C:$C,盘货信息!$Q:$Q)&lt;1,"","【红包】活动时间购机送"&amp;_xlfn.TEXTJOIN("",,IF(ISNUMBER(--MID(_xlfn.XLOOKUP(A444&amp;B444&amp;C444,盘货信息!$A:$A&amp;盘货信息!$B:$B&amp;盘货信息!$C:$C,盘货信息!$Q:$Q),_xlfn.SEQUENCE(LEN(_xlfn.XLOOKUP(A444&amp;B444&amp;C444,盘货信息!$A:$A&amp;盘货信息!$B:$B&amp;盘货信息!$C:$C,盘货信息!$Q:$Q))),1)),MID(_xlfn.XLOOKUP(A444&amp;B444&amp;C444,盘货信息!$A:$A&amp;盘货信息!$B:$B&amp;盘货信息!$C:$C,盘货信息!$Q:$Q),_xlfn.SEQUENCE(LEN(_xlfn.XLOOKUP(A444&amp;B444&amp;C444,盘货信息!$A:$A&amp;盘货信息!$B:$B&amp;盘货信息!$C:$C,盘货信息!$Q:$Q))),1),""))&amp;"元")</f>
        <v/>
      </c>
      <c r="T444" s="18" t="str">
        <f t="array" ref="T444">IF(ISNUMBER(SEARCH("是",_xlfn.XLOOKUP(A444&amp;B444&amp;C444,盘货信息!$A:$A&amp;盘货信息!$B:$B&amp;盘货信息!$C:$C,盘货信息!$T:$T))),"【瓜分】"&amp;固定信息!$B$7,"")</f>
        <v/>
      </c>
      <c r="U444" s="18" t="str">
        <f>IF($C444="","",IF(AND(R444="",S444="",T444=""),"",固定信息!$B$1))</f>
        <v/>
      </c>
      <c r="V444" s="18" t="str">
        <f t="array" ref="V444">IF(C444="","","【服务】"&amp;IF(_xlfn.XLOOKUP(A444&amp;B444&amp;C444,盘货信息!$A:$A&amp;盘货信息!$B:$B&amp;盘货信息!$C:$C,盘货信息!$V:$V)="","",_xlfn.XLOOKUP(A444&amp;B444&amp;C444,盘货信息!$A:$A&amp;盘货信息!$B:$B&amp;盘货信息!$C:$C,盘货信息!$V:$V)&amp;"免息,")&amp;IF(_xlfn.XLOOKUP(A444&amp;B444&amp;C444,盘货信息!$A:$A&amp;盘货信息!$B:$B&amp;盘货信息!$C:$C,盘货信息!$W:$W)="","",_xlfn.XLOOKUP(A444&amp;B444&amp;C444,盘货信息!$A:$A&amp;盘货信息!$B:$B&amp;盘货信息!$C:$C,盘货信息!$W:$W)&amp;"，")&amp;"送货入户，退换免运费")</f>
        <v/>
      </c>
    </row>
    <row r="445" customHeight="1" spans="1:22">
      <c r="A445" s="17" t="str">
        <f>IF(盘货信息!A445="","",盘货信息!A445)</f>
        <v/>
      </c>
      <c r="B445" s="20" t="str">
        <f>IF(盘货信息!B445="","",盘货信息!B445)</f>
        <v/>
      </c>
      <c r="C445" s="18" t="str">
        <f>IF(盘货信息!C445="","",盘货信息!C445)</f>
        <v/>
      </c>
      <c r="D445" s="18" t="str">
        <f ca="1" t="shared" si="6"/>
        <v/>
      </c>
      <c r="E445" s="18" t="str">
        <f>IF(C445="","",固定信息!$B$2)</f>
        <v/>
      </c>
      <c r="F445" s="18" t="str">
        <f t="array" ref="F445">IF(C445="","","【"&amp;C445&amp;"】"&amp;_xlfn.XLOOKUP(A445&amp;B445&amp;C445,盘货信息!$A:$A&amp;盘货信息!$B:$B&amp;盘货信息!$C:$C,盘货信息!$D:$D))</f>
        <v/>
      </c>
      <c r="G445" s="18" t="str">
        <f>IF(C445="","","【"&amp;"活动时间："&amp;固定信息!$B$3&amp;"】")</f>
        <v/>
      </c>
      <c r="H445" s="18" t="str">
        <f>IF($C445="","",固定信息!$B$1)</f>
        <v/>
      </c>
      <c r="I445" s="18"/>
      <c r="J445" s="18" t="str">
        <f t="array" ref="J445">_xlfn.XLOOKUP(A445&amp;B445&amp;C445,价格信息!$A:$A&amp;价格信息!$B:$B&amp;价格信息!$C:$C,价格信息!$D:$D)</f>
        <v/>
      </c>
      <c r="K445" s="31" t="str">
        <f t="array" ref="K445">IF(_xlfn.XLOOKUP(A445&amp;B445&amp;C445,价格信息!$A:$A&amp;价格信息!$B:$B&amp;价格信息!$C:$C,价格信息!$I:$I)="","","【优惠券链接】"&amp;固定信息!$B$6)</f>
        <v/>
      </c>
      <c r="L445" s="31" t="str">
        <f>IF($C445="","",固定信息!$B$1)</f>
        <v/>
      </c>
      <c r="M445" s="18" t="str">
        <f t="array" ref="M445">IF(_xlfn.XLOOKUP(A445&amp;B445&amp;C445,盘货信息!$A:$A&amp;盘货信息!$B:$B&amp;盘货信息!$C:$C,盘货信息!$O:$O)="","","【优惠券】领"&amp;INDEX(_wpsfn.REGEXP(_xlfn.XLOOKUP(A445&amp;B445&amp;C445,盘货信息!$A:$A&amp;盘货信息!$B:$B&amp;盘货信息!$C:$C,盘货信息!$O:$O),"\d+"),1,1)&amp;"元优惠券下单更优惠，优惠卷："&amp;_xlfn.XLOOKUP(A445&amp;B445&amp;C445,盘货信息!$A:$A&amp;盘货信息!$B:$B&amp;盘货信息!$C:$C,盘货信息!$P:$P))</f>
        <v/>
      </c>
      <c r="N445" s="18" t="str">
        <f t="array" ref="N445">IF(AND(ISNUMBER(_xlfn.XLOOKUP(A445&amp;B445&amp;C445,盘货信息!$A:$A&amp;盘货信息!$B:$B&amp;盘货信息!$C:$C,盘货信息!$I:$I)),_xlfn.XLOOKUP(A445&amp;B445&amp;C445,盘货信息!$A:$A&amp;盘货信息!$B:$B&amp;盘货信息!$C:$C,盘货信息!$I:$I)&gt;1),"【88VIP】立减"&amp;_xlfn.XLOOKUP(A445&amp;B445&amp;C445,盘货信息!$A:$A&amp;盘货信息!$B:$B&amp;盘货信息!$C:$C,盘货信息!$I:$I)&amp;"元","")</f>
        <v/>
      </c>
      <c r="O445" s="18" t="str">
        <f t="array" ref="O445">IF(_xlfn.XLOOKUP(A445&amp;B445&amp;C445,盘货信息!$A:$A&amp;盘货信息!$B:$B&amp;盘货信息!$C:$C,盘货信息!$K:$K)="","",IF(AND(_xlfn.XLOOKUP(A445&amp;B445&amp;C445,盘货信息!$A:$A&amp;盘货信息!$B:$B&amp;盘货信息!$C:$C,盘货信息!$G:$G)="不参加",_xlfn.XLOOKUP(A445&amp;B445&amp;C445,盘货信息!$A:$A&amp;盘货信息!$B:$B&amp;盘货信息!$C:$C,盘货信息!$H:$H)=""),"【以旧换新】"&amp;_xlfn.XLOOKUP(A445&amp;B445&amp;C445,盘货信息!$A:$A&amp;盘货信息!$B:$B&amp;盘货信息!$C:$C,盘货信息!$K:$K)&amp;"元以旧换新补贴（可无旧机换新）",""))</f>
        <v/>
      </c>
      <c r="P445" s="18" t="str">
        <f t="array" ref="P445">_xlfn.XLOOKUP(A445&amp;B445&amp;C445,赠品!$A:$A&amp;赠品!$B:$B&amp;赠品!$C:$C,赠品!$D:$D)</f>
        <v/>
      </c>
      <c r="Q445" s="18" t="str">
        <f>IF($C445="","",IF(AND(M445="",N445="",P445=""),"",固定信息!$B$1))</f>
        <v/>
      </c>
      <c r="R445" s="18" t="str">
        <f t="array" ref="R445">IF(ISNUMBER(SEARCH("是",_xlfn.XLOOKUP(A445&amp;B445&amp;C445,盘货信息!$A:$A&amp;盘货信息!$B:$B&amp;盘货信息!$C:$C,盘货信息!$U:$U))),"【折扣】指定型号满2类享96折，满3类享94折","")</f>
        <v/>
      </c>
      <c r="S445" s="18" t="str">
        <f t="array" ref="S445">IF(_xlfn.XLOOKUP(A445&amp;B445&amp;C445,盘货信息!$A:$A&amp;盘货信息!$B:$B&amp;盘货信息!$C:$C,盘货信息!$Q:$Q)&lt;1,"","【红包】活动时间购机送"&amp;_xlfn.TEXTJOIN("",,IF(ISNUMBER(--MID(_xlfn.XLOOKUP(A445&amp;B445&amp;C445,盘货信息!$A:$A&amp;盘货信息!$B:$B&amp;盘货信息!$C:$C,盘货信息!$Q:$Q),_xlfn.SEQUENCE(LEN(_xlfn.XLOOKUP(A445&amp;B445&amp;C445,盘货信息!$A:$A&amp;盘货信息!$B:$B&amp;盘货信息!$C:$C,盘货信息!$Q:$Q))),1)),MID(_xlfn.XLOOKUP(A445&amp;B445&amp;C445,盘货信息!$A:$A&amp;盘货信息!$B:$B&amp;盘货信息!$C:$C,盘货信息!$Q:$Q),_xlfn.SEQUENCE(LEN(_xlfn.XLOOKUP(A445&amp;B445&amp;C445,盘货信息!$A:$A&amp;盘货信息!$B:$B&amp;盘货信息!$C:$C,盘货信息!$Q:$Q))),1),""))&amp;"元")</f>
        <v/>
      </c>
      <c r="T445" s="18" t="str">
        <f t="array" ref="T445">IF(ISNUMBER(SEARCH("是",_xlfn.XLOOKUP(A445&amp;B445&amp;C445,盘货信息!$A:$A&amp;盘货信息!$B:$B&amp;盘货信息!$C:$C,盘货信息!$T:$T))),"【瓜分】"&amp;固定信息!$B$7,"")</f>
        <v/>
      </c>
      <c r="U445" s="18" t="str">
        <f>IF($C445="","",IF(AND(R445="",S445="",T445=""),"",固定信息!$B$1))</f>
        <v/>
      </c>
      <c r="V445" s="18" t="str">
        <f t="array" ref="V445">IF(C445="","","【服务】"&amp;IF(_xlfn.XLOOKUP(A445&amp;B445&amp;C445,盘货信息!$A:$A&amp;盘货信息!$B:$B&amp;盘货信息!$C:$C,盘货信息!$V:$V)="","",_xlfn.XLOOKUP(A445&amp;B445&amp;C445,盘货信息!$A:$A&amp;盘货信息!$B:$B&amp;盘货信息!$C:$C,盘货信息!$V:$V)&amp;"免息,")&amp;IF(_xlfn.XLOOKUP(A445&amp;B445&amp;C445,盘货信息!$A:$A&amp;盘货信息!$B:$B&amp;盘货信息!$C:$C,盘货信息!$W:$W)="","",_xlfn.XLOOKUP(A445&amp;B445&amp;C445,盘货信息!$A:$A&amp;盘货信息!$B:$B&amp;盘货信息!$C:$C,盘货信息!$W:$W)&amp;"，")&amp;"送货入户，退换免运费")</f>
        <v/>
      </c>
    </row>
    <row r="446" customHeight="1" spans="1:22">
      <c r="A446" s="17" t="str">
        <f>IF(盘货信息!A446="","",盘货信息!A446)</f>
        <v/>
      </c>
      <c r="B446" s="20" t="str">
        <f>IF(盘货信息!B446="","",盘货信息!B446)</f>
        <v/>
      </c>
      <c r="C446" s="18" t="str">
        <f>IF(盘货信息!C446="","",盘货信息!C446)</f>
        <v/>
      </c>
      <c r="D446" s="18" t="str">
        <f ca="1" t="shared" si="6"/>
        <v/>
      </c>
      <c r="E446" s="18" t="str">
        <f>IF(C446="","",固定信息!$B$2)</f>
        <v/>
      </c>
      <c r="F446" s="18" t="str">
        <f t="array" ref="F446">IF(C446="","","【"&amp;C446&amp;"】"&amp;_xlfn.XLOOKUP(A446&amp;B446&amp;C446,盘货信息!$A:$A&amp;盘货信息!$B:$B&amp;盘货信息!$C:$C,盘货信息!$D:$D))</f>
        <v/>
      </c>
      <c r="G446" s="18" t="str">
        <f>IF(C446="","","【"&amp;"活动时间："&amp;固定信息!$B$3&amp;"】")</f>
        <v/>
      </c>
      <c r="H446" s="18" t="str">
        <f>IF($C446="","",固定信息!$B$1)</f>
        <v/>
      </c>
      <c r="I446" s="18"/>
      <c r="J446" s="18" t="str">
        <f t="array" ref="J446">_xlfn.XLOOKUP(A446&amp;B446&amp;C446,价格信息!$A:$A&amp;价格信息!$B:$B&amp;价格信息!$C:$C,价格信息!$D:$D)</f>
        <v/>
      </c>
      <c r="K446" s="31" t="str">
        <f t="array" ref="K446">IF(_xlfn.XLOOKUP(A446&amp;B446&amp;C446,价格信息!$A:$A&amp;价格信息!$B:$B&amp;价格信息!$C:$C,价格信息!$I:$I)="","","【优惠券链接】"&amp;固定信息!$B$6)</f>
        <v/>
      </c>
      <c r="L446" s="31" t="str">
        <f>IF($C446="","",固定信息!$B$1)</f>
        <v/>
      </c>
      <c r="M446" s="18" t="str">
        <f t="array" ref="M446">IF(_xlfn.XLOOKUP(A446&amp;B446&amp;C446,盘货信息!$A:$A&amp;盘货信息!$B:$B&amp;盘货信息!$C:$C,盘货信息!$O:$O)="","","【优惠券】领"&amp;INDEX(_wpsfn.REGEXP(_xlfn.XLOOKUP(A446&amp;B446&amp;C446,盘货信息!$A:$A&amp;盘货信息!$B:$B&amp;盘货信息!$C:$C,盘货信息!$O:$O),"\d+"),1,1)&amp;"元优惠券下单更优惠，优惠卷："&amp;_xlfn.XLOOKUP(A446&amp;B446&amp;C446,盘货信息!$A:$A&amp;盘货信息!$B:$B&amp;盘货信息!$C:$C,盘货信息!$P:$P))</f>
        <v/>
      </c>
      <c r="N446" s="18" t="str">
        <f t="array" ref="N446">IF(AND(ISNUMBER(_xlfn.XLOOKUP(A446&amp;B446&amp;C446,盘货信息!$A:$A&amp;盘货信息!$B:$B&amp;盘货信息!$C:$C,盘货信息!$I:$I)),_xlfn.XLOOKUP(A446&amp;B446&amp;C446,盘货信息!$A:$A&amp;盘货信息!$B:$B&amp;盘货信息!$C:$C,盘货信息!$I:$I)&gt;1),"【88VIP】立减"&amp;_xlfn.XLOOKUP(A446&amp;B446&amp;C446,盘货信息!$A:$A&amp;盘货信息!$B:$B&amp;盘货信息!$C:$C,盘货信息!$I:$I)&amp;"元","")</f>
        <v/>
      </c>
      <c r="O446" s="18" t="str">
        <f t="array" ref="O446">IF(_xlfn.XLOOKUP(A446&amp;B446&amp;C446,盘货信息!$A:$A&amp;盘货信息!$B:$B&amp;盘货信息!$C:$C,盘货信息!$K:$K)="","",IF(AND(_xlfn.XLOOKUP(A446&amp;B446&amp;C446,盘货信息!$A:$A&amp;盘货信息!$B:$B&amp;盘货信息!$C:$C,盘货信息!$G:$G)="不参加",_xlfn.XLOOKUP(A446&amp;B446&amp;C446,盘货信息!$A:$A&amp;盘货信息!$B:$B&amp;盘货信息!$C:$C,盘货信息!$H:$H)=""),"【以旧换新】"&amp;_xlfn.XLOOKUP(A446&amp;B446&amp;C446,盘货信息!$A:$A&amp;盘货信息!$B:$B&amp;盘货信息!$C:$C,盘货信息!$K:$K)&amp;"元以旧换新补贴（可无旧机换新）",""))</f>
        <v/>
      </c>
      <c r="P446" s="18" t="str">
        <f t="array" ref="P446">_xlfn.XLOOKUP(A446&amp;B446&amp;C446,赠品!$A:$A&amp;赠品!$B:$B&amp;赠品!$C:$C,赠品!$D:$D)</f>
        <v/>
      </c>
      <c r="Q446" s="18" t="str">
        <f>IF($C446="","",IF(AND(M446="",N446="",P446=""),"",固定信息!$B$1))</f>
        <v/>
      </c>
      <c r="R446" s="18" t="str">
        <f t="array" ref="R446">IF(ISNUMBER(SEARCH("是",_xlfn.XLOOKUP(A446&amp;B446&amp;C446,盘货信息!$A:$A&amp;盘货信息!$B:$B&amp;盘货信息!$C:$C,盘货信息!$U:$U))),"【折扣】指定型号满2类享96折，满3类享94折","")</f>
        <v/>
      </c>
      <c r="S446" s="18" t="str">
        <f t="array" ref="S446">IF(_xlfn.XLOOKUP(A446&amp;B446&amp;C446,盘货信息!$A:$A&amp;盘货信息!$B:$B&amp;盘货信息!$C:$C,盘货信息!$Q:$Q)&lt;1,"","【红包】活动时间购机送"&amp;_xlfn.TEXTJOIN("",,IF(ISNUMBER(--MID(_xlfn.XLOOKUP(A446&amp;B446&amp;C446,盘货信息!$A:$A&amp;盘货信息!$B:$B&amp;盘货信息!$C:$C,盘货信息!$Q:$Q),_xlfn.SEQUENCE(LEN(_xlfn.XLOOKUP(A446&amp;B446&amp;C446,盘货信息!$A:$A&amp;盘货信息!$B:$B&amp;盘货信息!$C:$C,盘货信息!$Q:$Q))),1)),MID(_xlfn.XLOOKUP(A446&amp;B446&amp;C446,盘货信息!$A:$A&amp;盘货信息!$B:$B&amp;盘货信息!$C:$C,盘货信息!$Q:$Q),_xlfn.SEQUENCE(LEN(_xlfn.XLOOKUP(A446&amp;B446&amp;C446,盘货信息!$A:$A&amp;盘货信息!$B:$B&amp;盘货信息!$C:$C,盘货信息!$Q:$Q))),1),""))&amp;"元")</f>
        <v/>
      </c>
      <c r="T446" s="18" t="str">
        <f t="array" ref="T446">IF(ISNUMBER(SEARCH("是",_xlfn.XLOOKUP(A446&amp;B446&amp;C446,盘货信息!$A:$A&amp;盘货信息!$B:$B&amp;盘货信息!$C:$C,盘货信息!$T:$T))),"【瓜分】"&amp;固定信息!$B$7,"")</f>
        <v/>
      </c>
      <c r="U446" s="18" t="str">
        <f>IF($C446="","",IF(AND(R446="",S446="",T446=""),"",固定信息!$B$1))</f>
        <v/>
      </c>
      <c r="V446" s="18" t="str">
        <f t="array" ref="V446">IF(C446="","","【服务】"&amp;IF(_xlfn.XLOOKUP(A446&amp;B446&amp;C446,盘货信息!$A:$A&amp;盘货信息!$B:$B&amp;盘货信息!$C:$C,盘货信息!$V:$V)="","",_xlfn.XLOOKUP(A446&amp;B446&amp;C446,盘货信息!$A:$A&amp;盘货信息!$B:$B&amp;盘货信息!$C:$C,盘货信息!$V:$V)&amp;"免息,")&amp;IF(_xlfn.XLOOKUP(A446&amp;B446&amp;C446,盘货信息!$A:$A&amp;盘货信息!$B:$B&amp;盘货信息!$C:$C,盘货信息!$W:$W)="","",_xlfn.XLOOKUP(A446&amp;B446&amp;C446,盘货信息!$A:$A&amp;盘货信息!$B:$B&amp;盘货信息!$C:$C,盘货信息!$W:$W)&amp;"，")&amp;"送货入户，退换免运费")</f>
        <v/>
      </c>
    </row>
    <row r="447" customHeight="1" spans="1:22">
      <c r="A447" s="17" t="str">
        <f>IF(盘货信息!A447="","",盘货信息!A447)</f>
        <v/>
      </c>
      <c r="B447" s="20" t="str">
        <f>IF(盘货信息!B447="","",盘货信息!B447)</f>
        <v/>
      </c>
      <c r="C447" s="18" t="str">
        <f>IF(盘货信息!C447="","",盘货信息!C447)</f>
        <v/>
      </c>
      <c r="D447" s="18" t="str">
        <f ca="1" t="shared" si="6"/>
        <v/>
      </c>
      <c r="E447" s="18" t="str">
        <f>IF(C447="","",固定信息!$B$2)</f>
        <v/>
      </c>
      <c r="F447" s="18" t="str">
        <f t="array" ref="F447">IF(C447="","","【"&amp;C447&amp;"】"&amp;_xlfn.XLOOKUP(A447&amp;B447&amp;C447,盘货信息!$A:$A&amp;盘货信息!$B:$B&amp;盘货信息!$C:$C,盘货信息!$D:$D))</f>
        <v/>
      </c>
      <c r="G447" s="18" t="str">
        <f>IF(C447="","","【"&amp;"活动时间："&amp;固定信息!$B$3&amp;"】")</f>
        <v/>
      </c>
      <c r="H447" s="18" t="str">
        <f>IF($C447="","",固定信息!$B$1)</f>
        <v/>
      </c>
      <c r="I447" s="18"/>
      <c r="J447" s="18" t="str">
        <f t="array" ref="J447">_xlfn.XLOOKUP(A447&amp;B447&amp;C447,价格信息!$A:$A&amp;价格信息!$B:$B&amp;价格信息!$C:$C,价格信息!$D:$D)</f>
        <v/>
      </c>
      <c r="K447" s="31" t="str">
        <f t="array" ref="K447">IF(_xlfn.XLOOKUP(A447&amp;B447&amp;C447,价格信息!$A:$A&amp;价格信息!$B:$B&amp;价格信息!$C:$C,价格信息!$I:$I)="","","【优惠券链接】"&amp;固定信息!$B$6)</f>
        <v/>
      </c>
      <c r="L447" s="31" t="str">
        <f>IF($C447="","",固定信息!$B$1)</f>
        <v/>
      </c>
      <c r="M447" s="18" t="str">
        <f t="array" ref="M447">IF(_xlfn.XLOOKUP(A447&amp;B447&amp;C447,盘货信息!$A:$A&amp;盘货信息!$B:$B&amp;盘货信息!$C:$C,盘货信息!$O:$O)="","","【优惠券】领"&amp;INDEX(_wpsfn.REGEXP(_xlfn.XLOOKUP(A447&amp;B447&amp;C447,盘货信息!$A:$A&amp;盘货信息!$B:$B&amp;盘货信息!$C:$C,盘货信息!$O:$O),"\d+"),1,1)&amp;"元优惠券下单更优惠，优惠卷："&amp;_xlfn.XLOOKUP(A447&amp;B447&amp;C447,盘货信息!$A:$A&amp;盘货信息!$B:$B&amp;盘货信息!$C:$C,盘货信息!$P:$P))</f>
        <v/>
      </c>
      <c r="N447" s="18" t="str">
        <f t="array" ref="N447">IF(AND(ISNUMBER(_xlfn.XLOOKUP(A447&amp;B447&amp;C447,盘货信息!$A:$A&amp;盘货信息!$B:$B&amp;盘货信息!$C:$C,盘货信息!$I:$I)),_xlfn.XLOOKUP(A447&amp;B447&amp;C447,盘货信息!$A:$A&amp;盘货信息!$B:$B&amp;盘货信息!$C:$C,盘货信息!$I:$I)&gt;1),"【88VIP】立减"&amp;_xlfn.XLOOKUP(A447&amp;B447&amp;C447,盘货信息!$A:$A&amp;盘货信息!$B:$B&amp;盘货信息!$C:$C,盘货信息!$I:$I)&amp;"元","")</f>
        <v/>
      </c>
      <c r="O447" s="18" t="str">
        <f t="array" ref="O447">IF(_xlfn.XLOOKUP(A447&amp;B447&amp;C447,盘货信息!$A:$A&amp;盘货信息!$B:$B&amp;盘货信息!$C:$C,盘货信息!$K:$K)="","",IF(AND(_xlfn.XLOOKUP(A447&amp;B447&amp;C447,盘货信息!$A:$A&amp;盘货信息!$B:$B&amp;盘货信息!$C:$C,盘货信息!$G:$G)="不参加",_xlfn.XLOOKUP(A447&amp;B447&amp;C447,盘货信息!$A:$A&amp;盘货信息!$B:$B&amp;盘货信息!$C:$C,盘货信息!$H:$H)=""),"【以旧换新】"&amp;_xlfn.XLOOKUP(A447&amp;B447&amp;C447,盘货信息!$A:$A&amp;盘货信息!$B:$B&amp;盘货信息!$C:$C,盘货信息!$K:$K)&amp;"元以旧换新补贴（可无旧机换新）",""))</f>
        <v/>
      </c>
      <c r="P447" s="18" t="str">
        <f t="array" ref="P447">_xlfn.XLOOKUP(A447&amp;B447&amp;C447,赠品!$A:$A&amp;赠品!$B:$B&amp;赠品!$C:$C,赠品!$D:$D)</f>
        <v/>
      </c>
      <c r="Q447" s="18" t="str">
        <f>IF($C447="","",IF(AND(M447="",N447="",P447=""),"",固定信息!$B$1))</f>
        <v/>
      </c>
      <c r="R447" s="18" t="str">
        <f t="array" ref="R447">IF(ISNUMBER(SEARCH("是",_xlfn.XLOOKUP(A447&amp;B447&amp;C447,盘货信息!$A:$A&amp;盘货信息!$B:$B&amp;盘货信息!$C:$C,盘货信息!$U:$U))),"【折扣】指定型号满2类享96折，满3类享94折","")</f>
        <v/>
      </c>
      <c r="S447" s="18" t="str">
        <f t="array" ref="S447">IF(_xlfn.XLOOKUP(A447&amp;B447&amp;C447,盘货信息!$A:$A&amp;盘货信息!$B:$B&amp;盘货信息!$C:$C,盘货信息!$Q:$Q)&lt;1,"","【红包】活动时间购机送"&amp;_xlfn.TEXTJOIN("",,IF(ISNUMBER(--MID(_xlfn.XLOOKUP(A447&amp;B447&amp;C447,盘货信息!$A:$A&amp;盘货信息!$B:$B&amp;盘货信息!$C:$C,盘货信息!$Q:$Q),_xlfn.SEQUENCE(LEN(_xlfn.XLOOKUP(A447&amp;B447&amp;C447,盘货信息!$A:$A&amp;盘货信息!$B:$B&amp;盘货信息!$C:$C,盘货信息!$Q:$Q))),1)),MID(_xlfn.XLOOKUP(A447&amp;B447&amp;C447,盘货信息!$A:$A&amp;盘货信息!$B:$B&amp;盘货信息!$C:$C,盘货信息!$Q:$Q),_xlfn.SEQUENCE(LEN(_xlfn.XLOOKUP(A447&amp;B447&amp;C447,盘货信息!$A:$A&amp;盘货信息!$B:$B&amp;盘货信息!$C:$C,盘货信息!$Q:$Q))),1),""))&amp;"元")</f>
        <v/>
      </c>
      <c r="T447" s="18" t="str">
        <f t="array" ref="T447">IF(ISNUMBER(SEARCH("是",_xlfn.XLOOKUP(A447&amp;B447&amp;C447,盘货信息!$A:$A&amp;盘货信息!$B:$B&amp;盘货信息!$C:$C,盘货信息!$T:$T))),"【瓜分】"&amp;固定信息!$B$7,"")</f>
        <v/>
      </c>
      <c r="U447" s="18" t="str">
        <f>IF($C447="","",IF(AND(R447="",S447="",T447=""),"",固定信息!$B$1))</f>
        <v/>
      </c>
      <c r="V447" s="18" t="str">
        <f t="array" ref="V447">IF(C447="","","【服务】"&amp;IF(_xlfn.XLOOKUP(A447&amp;B447&amp;C447,盘货信息!$A:$A&amp;盘货信息!$B:$B&amp;盘货信息!$C:$C,盘货信息!$V:$V)="","",_xlfn.XLOOKUP(A447&amp;B447&amp;C447,盘货信息!$A:$A&amp;盘货信息!$B:$B&amp;盘货信息!$C:$C,盘货信息!$V:$V)&amp;"免息,")&amp;IF(_xlfn.XLOOKUP(A447&amp;B447&amp;C447,盘货信息!$A:$A&amp;盘货信息!$B:$B&amp;盘货信息!$C:$C,盘货信息!$W:$W)="","",_xlfn.XLOOKUP(A447&amp;B447&amp;C447,盘货信息!$A:$A&amp;盘货信息!$B:$B&amp;盘货信息!$C:$C,盘货信息!$W:$W)&amp;"，")&amp;"送货入户，退换免运费")</f>
        <v/>
      </c>
    </row>
    <row r="448" customHeight="1" spans="1:22">
      <c r="A448" s="17" t="str">
        <f>IF(盘货信息!A448="","",盘货信息!A448)</f>
        <v/>
      </c>
      <c r="B448" s="20" t="str">
        <f>IF(盘货信息!B448="","",盘货信息!B448)</f>
        <v/>
      </c>
      <c r="C448" s="18" t="str">
        <f>IF(盘货信息!C448="","",盘货信息!C448)</f>
        <v/>
      </c>
      <c r="D448" s="18" t="str">
        <f ca="1" t="shared" si="6"/>
        <v/>
      </c>
      <c r="E448" s="18" t="str">
        <f>IF(C448="","",固定信息!$B$2)</f>
        <v/>
      </c>
      <c r="F448" s="18" t="str">
        <f t="array" ref="F448">IF(C448="","","【"&amp;C448&amp;"】"&amp;_xlfn.XLOOKUP(A448&amp;B448&amp;C448,盘货信息!$A:$A&amp;盘货信息!$B:$B&amp;盘货信息!$C:$C,盘货信息!$D:$D))</f>
        <v/>
      </c>
      <c r="G448" s="18" t="str">
        <f>IF(C448="","","【"&amp;"活动时间："&amp;固定信息!$B$3&amp;"】")</f>
        <v/>
      </c>
      <c r="H448" s="18" t="str">
        <f>IF($C448="","",固定信息!$B$1)</f>
        <v/>
      </c>
      <c r="I448" s="18"/>
      <c r="J448" s="18" t="str">
        <f t="array" ref="J448">_xlfn.XLOOKUP(A448&amp;B448&amp;C448,价格信息!$A:$A&amp;价格信息!$B:$B&amp;价格信息!$C:$C,价格信息!$D:$D)</f>
        <v/>
      </c>
      <c r="K448" s="31" t="str">
        <f t="array" ref="K448">IF(_xlfn.XLOOKUP(A448&amp;B448&amp;C448,价格信息!$A:$A&amp;价格信息!$B:$B&amp;价格信息!$C:$C,价格信息!$I:$I)="","","【优惠券链接】"&amp;固定信息!$B$6)</f>
        <v/>
      </c>
      <c r="L448" s="31" t="str">
        <f>IF($C448="","",固定信息!$B$1)</f>
        <v/>
      </c>
      <c r="M448" s="18" t="str">
        <f t="array" ref="M448">IF(_xlfn.XLOOKUP(A448&amp;B448&amp;C448,盘货信息!$A:$A&amp;盘货信息!$B:$B&amp;盘货信息!$C:$C,盘货信息!$O:$O)="","","【优惠券】领"&amp;INDEX(_wpsfn.REGEXP(_xlfn.XLOOKUP(A448&amp;B448&amp;C448,盘货信息!$A:$A&amp;盘货信息!$B:$B&amp;盘货信息!$C:$C,盘货信息!$O:$O),"\d+"),1,1)&amp;"元优惠券下单更优惠，优惠卷："&amp;_xlfn.XLOOKUP(A448&amp;B448&amp;C448,盘货信息!$A:$A&amp;盘货信息!$B:$B&amp;盘货信息!$C:$C,盘货信息!$P:$P))</f>
        <v/>
      </c>
      <c r="N448" s="18" t="str">
        <f t="array" ref="N448">IF(AND(ISNUMBER(_xlfn.XLOOKUP(A448&amp;B448&amp;C448,盘货信息!$A:$A&amp;盘货信息!$B:$B&amp;盘货信息!$C:$C,盘货信息!$I:$I)),_xlfn.XLOOKUP(A448&amp;B448&amp;C448,盘货信息!$A:$A&amp;盘货信息!$B:$B&amp;盘货信息!$C:$C,盘货信息!$I:$I)&gt;1),"【88VIP】立减"&amp;_xlfn.XLOOKUP(A448&amp;B448&amp;C448,盘货信息!$A:$A&amp;盘货信息!$B:$B&amp;盘货信息!$C:$C,盘货信息!$I:$I)&amp;"元","")</f>
        <v/>
      </c>
      <c r="O448" s="18" t="str">
        <f t="array" ref="O448">IF(_xlfn.XLOOKUP(A448&amp;B448&amp;C448,盘货信息!$A:$A&amp;盘货信息!$B:$B&amp;盘货信息!$C:$C,盘货信息!$K:$K)="","",IF(AND(_xlfn.XLOOKUP(A448&amp;B448&amp;C448,盘货信息!$A:$A&amp;盘货信息!$B:$B&amp;盘货信息!$C:$C,盘货信息!$G:$G)="不参加",_xlfn.XLOOKUP(A448&amp;B448&amp;C448,盘货信息!$A:$A&amp;盘货信息!$B:$B&amp;盘货信息!$C:$C,盘货信息!$H:$H)=""),"【以旧换新】"&amp;_xlfn.XLOOKUP(A448&amp;B448&amp;C448,盘货信息!$A:$A&amp;盘货信息!$B:$B&amp;盘货信息!$C:$C,盘货信息!$K:$K)&amp;"元以旧换新补贴（可无旧机换新）",""))</f>
        <v/>
      </c>
      <c r="P448" s="18" t="str">
        <f t="array" ref="P448">_xlfn.XLOOKUP(A448&amp;B448&amp;C448,赠品!$A:$A&amp;赠品!$B:$B&amp;赠品!$C:$C,赠品!$D:$D)</f>
        <v/>
      </c>
      <c r="Q448" s="18" t="str">
        <f>IF($C448="","",IF(AND(M448="",N448="",P448=""),"",固定信息!$B$1))</f>
        <v/>
      </c>
      <c r="R448" s="18" t="str">
        <f t="array" ref="R448">IF(ISNUMBER(SEARCH("是",_xlfn.XLOOKUP(A448&amp;B448&amp;C448,盘货信息!$A:$A&amp;盘货信息!$B:$B&amp;盘货信息!$C:$C,盘货信息!$U:$U))),"【折扣】指定型号满2类享96折，满3类享94折","")</f>
        <v/>
      </c>
      <c r="S448" s="18" t="str">
        <f t="array" ref="S448">IF(_xlfn.XLOOKUP(A448&amp;B448&amp;C448,盘货信息!$A:$A&amp;盘货信息!$B:$B&amp;盘货信息!$C:$C,盘货信息!$Q:$Q)&lt;1,"","【红包】活动时间购机送"&amp;_xlfn.TEXTJOIN("",,IF(ISNUMBER(--MID(_xlfn.XLOOKUP(A448&amp;B448&amp;C448,盘货信息!$A:$A&amp;盘货信息!$B:$B&amp;盘货信息!$C:$C,盘货信息!$Q:$Q),_xlfn.SEQUENCE(LEN(_xlfn.XLOOKUP(A448&amp;B448&amp;C448,盘货信息!$A:$A&amp;盘货信息!$B:$B&amp;盘货信息!$C:$C,盘货信息!$Q:$Q))),1)),MID(_xlfn.XLOOKUP(A448&amp;B448&amp;C448,盘货信息!$A:$A&amp;盘货信息!$B:$B&amp;盘货信息!$C:$C,盘货信息!$Q:$Q),_xlfn.SEQUENCE(LEN(_xlfn.XLOOKUP(A448&amp;B448&amp;C448,盘货信息!$A:$A&amp;盘货信息!$B:$B&amp;盘货信息!$C:$C,盘货信息!$Q:$Q))),1),""))&amp;"元")</f>
        <v/>
      </c>
      <c r="T448" s="18" t="str">
        <f t="array" ref="T448">IF(ISNUMBER(SEARCH("是",_xlfn.XLOOKUP(A448&amp;B448&amp;C448,盘货信息!$A:$A&amp;盘货信息!$B:$B&amp;盘货信息!$C:$C,盘货信息!$T:$T))),"【瓜分】"&amp;固定信息!$B$7,"")</f>
        <v/>
      </c>
      <c r="U448" s="18" t="str">
        <f>IF($C448="","",IF(AND(R448="",S448="",T448=""),"",固定信息!$B$1))</f>
        <v/>
      </c>
      <c r="V448" s="18" t="str">
        <f t="array" ref="V448">IF(C448="","","【服务】"&amp;IF(_xlfn.XLOOKUP(A448&amp;B448&amp;C448,盘货信息!$A:$A&amp;盘货信息!$B:$B&amp;盘货信息!$C:$C,盘货信息!$V:$V)="","",_xlfn.XLOOKUP(A448&amp;B448&amp;C448,盘货信息!$A:$A&amp;盘货信息!$B:$B&amp;盘货信息!$C:$C,盘货信息!$V:$V)&amp;"免息,")&amp;IF(_xlfn.XLOOKUP(A448&amp;B448&amp;C448,盘货信息!$A:$A&amp;盘货信息!$B:$B&amp;盘货信息!$C:$C,盘货信息!$W:$W)="","",_xlfn.XLOOKUP(A448&amp;B448&amp;C448,盘货信息!$A:$A&amp;盘货信息!$B:$B&amp;盘货信息!$C:$C,盘货信息!$W:$W)&amp;"，")&amp;"送货入户，退换免运费")</f>
        <v/>
      </c>
    </row>
    <row r="449" customHeight="1" spans="1:22">
      <c r="A449" s="17" t="str">
        <f>IF(盘货信息!A449="","",盘货信息!A449)</f>
        <v/>
      </c>
      <c r="B449" s="20" t="str">
        <f>IF(盘货信息!B449="","",盘货信息!B449)</f>
        <v/>
      </c>
      <c r="C449" s="18" t="str">
        <f>IF(盘货信息!C449="","",盘货信息!C449)</f>
        <v/>
      </c>
      <c r="D449" s="18" t="str">
        <f ca="1" t="shared" si="6"/>
        <v/>
      </c>
      <c r="E449" s="18" t="str">
        <f>IF(C449="","",固定信息!$B$2)</f>
        <v/>
      </c>
      <c r="F449" s="18" t="str">
        <f t="array" ref="F449">IF(C449="","","【"&amp;C449&amp;"】"&amp;_xlfn.XLOOKUP(A449&amp;B449&amp;C449,盘货信息!$A:$A&amp;盘货信息!$B:$B&amp;盘货信息!$C:$C,盘货信息!$D:$D))</f>
        <v/>
      </c>
      <c r="G449" s="18" t="str">
        <f>IF(C449="","","【"&amp;"活动时间："&amp;固定信息!$B$3&amp;"】")</f>
        <v/>
      </c>
      <c r="H449" s="18" t="str">
        <f>IF($C449="","",固定信息!$B$1)</f>
        <v/>
      </c>
      <c r="I449" s="18"/>
      <c r="J449" s="18" t="str">
        <f t="array" ref="J449">_xlfn.XLOOKUP(A449&amp;B449&amp;C449,价格信息!$A:$A&amp;价格信息!$B:$B&amp;价格信息!$C:$C,价格信息!$D:$D)</f>
        <v/>
      </c>
      <c r="K449" s="31" t="str">
        <f t="array" ref="K449">IF(_xlfn.XLOOKUP(A449&amp;B449&amp;C449,价格信息!$A:$A&amp;价格信息!$B:$B&amp;价格信息!$C:$C,价格信息!$I:$I)="","","【优惠券链接】"&amp;固定信息!$B$6)</f>
        <v/>
      </c>
      <c r="L449" s="31" t="str">
        <f>IF($C449="","",固定信息!$B$1)</f>
        <v/>
      </c>
      <c r="M449" s="18" t="str">
        <f t="array" ref="M449">IF(_xlfn.XLOOKUP(A449&amp;B449&amp;C449,盘货信息!$A:$A&amp;盘货信息!$B:$B&amp;盘货信息!$C:$C,盘货信息!$O:$O)="","","【优惠券】领"&amp;INDEX(_wpsfn.REGEXP(_xlfn.XLOOKUP(A449&amp;B449&amp;C449,盘货信息!$A:$A&amp;盘货信息!$B:$B&amp;盘货信息!$C:$C,盘货信息!$O:$O),"\d+"),1,1)&amp;"元优惠券下单更优惠，优惠卷："&amp;_xlfn.XLOOKUP(A449&amp;B449&amp;C449,盘货信息!$A:$A&amp;盘货信息!$B:$B&amp;盘货信息!$C:$C,盘货信息!$P:$P))</f>
        <v/>
      </c>
      <c r="N449" s="18" t="str">
        <f t="array" ref="N449">IF(AND(ISNUMBER(_xlfn.XLOOKUP(A449&amp;B449&amp;C449,盘货信息!$A:$A&amp;盘货信息!$B:$B&amp;盘货信息!$C:$C,盘货信息!$I:$I)),_xlfn.XLOOKUP(A449&amp;B449&amp;C449,盘货信息!$A:$A&amp;盘货信息!$B:$B&amp;盘货信息!$C:$C,盘货信息!$I:$I)&gt;1),"【88VIP】立减"&amp;_xlfn.XLOOKUP(A449&amp;B449&amp;C449,盘货信息!$A:$A&amp;盘货信息!$B:$B&amp;盘货信息!$C:$C,盘货信息!$I:$I)&amp;"元","")</f>
        <v/>
      </c>
      <c r="O449" s="18" t="str">
        <f t="array" ref="O449">IF(_xlfn.XLOOKUP(A449&amp;B449&amp;C449,盘货信息!$A:$A&amp;盘货信息!$B:$B&amp;盘货信息!$C:$C,盘货信息!$K:$K)="","",IF(AND(_xlfn.XLOOKUP(A449&amp;B449&amp;C449,盘货信息!$A:$A&amp;盘货信息!$B:$B&amp;盘货信息!$C:$C,盘货信息!$G:$G)="不参加",_xlfn.XLOOKUP(A449&amp;B449&amp;C449,盘货信息!$A:$A&amp;盘货信息!$B:$B&amp;盘货信息!$C:$C,盘货信息!$H:$H)=""),"【以旧换新】"&amp;_xlfn.XLOOKUP(A449&amp;B449&amp;C449,盘货信息!$A:$A&amp;盘货信息!$B:$B&amp;盘货信息!$C:$C,盘货信息!$K:$K)&amp;"元以旧换新补贴（可无旧机换新）",""))</f>
        <v/>
      </c>
      <c r="P449" s="18" t="str">
        <f t="array" ref="P449">_xlfn.XLOOKUP(A449&amp;B449&amp;C449,赠品!$A:$A&amp;赠品!$B:$B&amp;赠品!$C:$C,赠品!$D:$D)</f>
        <v/>
      </c>
      <c r="Q449" s="18" t="str">
        <f>IF($C449="","",IF(AND(M449="",N449="",P449=""),"",固定信息!$B$1))</f>
        <v/>
      </c>
      <c r="R449" s="18" t="str">
        <f t="array" ref="R449">IF(ISNUMBER(SEARCH("是",_xlfn.XLOOKUP(A449&amp;B449&amp;C449,盘货信息!$A:$A&amp;盘货信息!$B:$B&amp;盘货信息!$C:$C,盘货信息!$U:$U))),"【折扣】指定型号满2类享96折，满3类享94折","")</f>
        <v/>
      </c>
      <c r="S449" s="18" t="str">
        <f t="array" ref="S449">IF(_xlfn.XLOOKUP(A449&amp;B449&amp;C449,盘货信息!$A:$A&amp;盘货信息!$B:$B&amp;盘货信息!$C:$C,盘货信息!$Q:$Q)&lt;1,"","【红包】活动时间购机送"&amp;_xlfn.TEXTJOIN("",,IF(ISNUMBER(--MID(_xlfn.XLOOKUP(A449&amp;B449&amp;C449,盘货信息!$A:$A&amp;盘货信息!$B:$B&amp;盘货信息!$C:$C,盘货信息!$Q:$Q),_xlfn.SEQUENCE(LEN(_xlfn.XLOOKUP(A449&amp;B449&amp;C449,盘货信息!$A:$A&amp;盘货信息!$B:$B&amp;盘货信息!$C:$C,盘货信息!$Q:$Q))),1)),MID(_xlfn.XLOOKUP(A449&amp;B449&amp;C449,盘货信息!$A:$A&amp;盘货信息!$B:$B&amp;盘货信息!$C:$C,盘货信息!$Q:$Q),_xlfn.SEQUENCE(LEN(_xlfn.XLOOKUP(A449&amp;B449&amp;C449,盘货信息!$A:$A&amp;盘货信息!$B:$B&amp;盘货信息!$C:$C,盘货信息!$Q:$Q))),1),""))&amp;"元")</f>
        <v/>
      </c>
      <c r="T449" s="18" t="str">
        <f t="array" ref="T449">IF(ISNUMBER(SEARCH("是",_xlfn.XLOOKUP(A449&amp;B449&amp;C449,盘货信息!$A:$A&amp;盘货信息!$B:$B&amp;盘货信息!$C:$C,盘货信息!$T:$T))),"【瓜分】"&amp;固定信息!$B$7,"")</f>
        <v/>
      </c>
      <c r="U449" s="18" t="str">
        <f>IF($C449="","",IF(AND(R449="",S449="",T449=""),"",固定信息!$B$1))</f>
        <v/>
      </c>
      <c r="V449" s="18" t="str">
        <f t="array" ref="V449">IF(C449="","","【服务】"&amp;IF(_xlfn.XLOOKUP(A449&amp;B449&amp;C449,盘货信息!$A:$A&amp;盘货信息!$B:$B&amp;盘货信息!$C:$C,盘货信息!$V:$V)="","",_xlfn.XLOOKUP(A449&amp;B449&amp;C449,盘货信息!$A:$A&amp;盘货信息!$B:$B&amp;盘货信息!$C:$C,盘货信息!$V:$V)&amp;"免息,")&amp;IF(_xlfn.XLOOKUP(A449&amp;B449&amp;C449,盘货信息!$A:$A&amp;盘货信息!$B:$B&amp;盘货信息!$C:$C,盘货信息!$W:$W)="","",_xlfn.XLOOKUP(A449&amp;B449&amp;C449,盘货信息!$A:$A&amp;盘货信息!$B:$B&amp;盘货信息!$C:$C,盘货信息!$W:$W)&amp;"，")&amp;"送货入户，退换免运费")</f>
        <v/>
      </c>
    </row>
    <row r="450" customHeight="1" spans="1:22">
      <c r="A450" s="17" t="str">
        <f>IF(盘货信息!A450="","",盘货信息!A450)</f>
        <v/>
      </c>
      <c r="B450" s="20" t="str">
        <f>IF(盘货信息!B450="","",盘货信息!B450)</f>
        <v/>
      </c>
      <c r="C450" s="18" t="str">
        <f>IF(盘货信息!C450="","",盘货信息!C450)</f>
        <v/>
      </c>
      <c r="D450" s="18" t="str">
        <f ca="1" t="shared" ref="D450:D501" si="7">_xlfn.TEXTJOIN(CHAR(10),TRUE,OFFSET(INDIRECT("RC",FALSE),0,1,1,30))</f>
        <v/>
      </c>
      <c r="E450" s="18" t="str">
        <f>IF(C450="","",固定信息!$B$2)</f>
        <v/>
      </c>
      <c r="F450" s="18" t="str">
        <f t="array" ref="F450">IF(C450="","","【"&amp;C450&amp;"】"&amp;_xlfn.XLOOKUP(A450&amp;B450&amp;C450,盘货信息!$A:$A&amp;盘货信息!$B:$B&amp;盘货信息!$C:$C,盘货信息!$D:$D))</f>
        <v/>
      </c>
      <c r="G450" s="18" t="str">
        <f>IF(C450="","","【"&amp;"活动时间："&amp;固定信息!$B$3&amp;"】")</f>
        <v/>
      </c>
      <c r="H450" s="18" t="str">
        <f>IF($C450="","",固定信息!$B$1)</f>
        <v/>
      </c>
      <c r="I450" s="18"/>
      <c r="J450" s="18" t="str">
        <f t="array" ref="J450">_xlfn.XLOOKUP(A450&amp;B450&amp;C450,价格信息!$A:$A&amp;价格信息!$B:$B&amp;价格信息!$C:$C,价格信息!$D:$D)</f>
        <v/>
      </c>
      <c r="K450" s="31" t="str">
        <f t="array" ref="K450">IF(_xlfn.XLOOKUP(A450&amp;B450&amp;C450,价格信息!$A:$A&amp;价格信息!$B:$B&amp;价格信息!$C:$C,价格信息!$I:$I)="","","【优惠券链接】"&amp;固定信息!$B$6)</f>
        <v/>
      </c>
      <c r="L450" s="31" t="str">
        <f>IF($C450="","",固定信息!$B$1)</f>
        <v/>
      </c>
      <c r="M450" s="18" t="str">
        <f t="array" ref="M450">IF(_xlfn.XLOOKUP(A450&amp;B450&amp;C450,盘货信息!$A:$A&amp;盘货信息!$B:$B&amp;盘货信息!$C:$C,盘货信息!$O:$O)="","","【优惠券】领"&amp;INDEX(_wpsfn.REGEXP(_xlfn.XLOOKUP(A450&amp;B450&amp;C450,盘货信息!$A:$A&amp;盘货信息!$B:$B&amp;盘货信息!$C:$C,盘货信息!$O:$O),"\d+"),1,1)&amp;"元优惠券下单更优惠，优惠卷："&amp;_xlfn.XLOOKUP(A450&amp;B450&amp;C450,盘货信息!$A:$A&amp;盘货信息!$B:$B&amp;盘货信息!$C:$C,盘货信息!$P:$P))</f>
        <v/>
      </c>
      <c r="N450" s="18" t="str">
        <f t="array" ref="N450">IF(AND(ISNUMBER(_xlfn.XLOOKUP(A450&amp;B450&amp;C450,盘货信息!$A:$A&amp;盘货信息!$B:$B&amp;盘货信息!$C:$C,盘货信息!$I:$I)),_xlfn.XLOOKUP(A450&amp;B450&amp;C450,盘货信息!$A:$A&amp;盘货信息!$B:$B&amp;盘货信息!$C:$C,盘货信息!$I:$I)&gt;1),"【88VIP】立减"&amp;_xlfn.XLOOKUP(A450&amp;B450&amp;C450,盘货信息!$A:$A&amp;盘货信息!$B:$B&amp;盘货信息!$C:$C,盘货信息!$I:$I)&amp;"元","")</f>
        <v/>
      </c>
      <c r="O450" s="18" t="str">
        <f t="array" ref="O450">IF(_xlfn.XLOOKUP(A450&amp;B450&amp;C450,盘货信息!$A:$A&amp;盘货信息!$B:$B&amp;盘货信息!$C:$C,盘货信息!$K:$K)="","",IF(AND(_xlfn.XLOOKUP(A450&amp;B450&amp;C450,盘货信息!$A:$A&amp;盘货信息!$B:$B&amp;盘货信息!$C:$C,盘货信息!$G:$G)="不参加",_xlfn.XLOOKUP(A450&amp;B450&amp;C450,盘货信息!$A:$A&amp;盘货信息!$B:$B&amp;盘货信息!$C:$C,盘货信息!$H:$H)=""),"【以旧换新】"&amp;_xlfn.XLOOKUP(A450&amp;B450&amp;C450,盘货信息!$A:$A&amp;盘货信息!$B:$B&amp;盘货信息!$C:$C,盘货信息!$K:$K)&amp;"元以旧换新补贴（可无旧机换新）",""))</f>
        <v/>
      </c>
      <c r="P450" s="18" t="str">
        <f t="array" ref="P450">_xlfn.XLOOKUP(A450&amp;B450&amp;C450,赠品!$A:$A&amp;赠品!$B:$B&amp;赠品!$C:$C,赠品!$D:$D)</f>
        <v/>
      </c>
      <c r="Q450" s="18" t="str">
        <f>IF($C450="","",IF(AND(M450="",N450="",P450=""),"",固定信息!$B$1))</f>
        <v/>
      </c>
      <c r="R450" s="18" t="str">
        <f t="array" ref="R450">IF(ISNUMBER(SEARCH("是",_xlfn.XLOOKUP(A450&amp;B450&amp;C450,盘货信息!$A:$A&amp;盘货信息!$B:$B&amp;盘货信息!$C:$C,盘货信息!$U:$U))),"【折扣】指定型号满2类享96折，满3类享94折","")</f>
        <v/>
      </c>
      <c r="S450" s="18" t="str">
        <f t="array" ref="S450">IF(_xlfn.XLOOKUP(A450&amp;B450&amp;C450,盘货信息!$A:$A&amp;盘货信息!$B:$B&amp;盘货信息!$C:$C,盘货信息!$Q:$Q)&lt;1,"","【红包】活动时间购机送"&amp;_xlfn.TEXTJOIN("",,IF(ISNUMBER(--MID(_xlfn.XLOOKUP(A450&amp;B450&amp;C450,盘货信息!$A:$A&amp;盘货信息!$B:$B&amp;盘货信息!$C:$C,盘货信息!$Q:$Q),_xlfn.SEQUENCE(LEN(_xlfn.XLOOKUP(A450&amp;B450&amp;C450,盘货信息!$A:$A&amp;盘货信息!$B:$B&amp;盘货信息!$C:$C,盘货信息!$Q:$Q))),1)),MID(_xlfn.XLOOKUP(A450&amp;B450&amp;C450,盘货信息!$A:$A&amp;盘货信息!$B:$B&amp;盘货信息!$C:$C,盘货信息!$Q:$Q),_xlfn.SEQUENCE(LEN(_xlfn.XLOOKUP(A450&amp;B450&amp;C450,盘货信息!$A:$A&amp;盘货信息!$B:$B&amp;盘货信息!$C:$C,盘货信息!$Q:$Q))),1),""))&amp;"元")</f>
        <v/>
      </c>
      <c r="T450" s="18" t="str">
        <f t="array" ref="T450">IF(ISNUMBER(SEARCH("是",_xlfn.XLOOKUP(A450&amp;B450&amp;C450,盘货信息!$A:$A&amp;盘货信息!$B:$B&amp;盘货信息!$C:$C,盘货信息!$T:$T))),"【瓜分】"&amp;固定信息!$B$7,"")</f>
        <v/>
      </c>
      <c r="U450" s="18" t="str">
        <f>IF($C450="","",IF(AND(R450="",S450="",T450=""),"",固定信息!$B$1))</f>
        <v/>
      </c>
      <c r="V450" s="18" t="str">
        <f t="array" ref="V450">IF(C450="","","【服务】"&amp;IF(_xlfn.XLOOKUP(A450&amp;B450&amp;C450,盘货信息!$A:$A&amp;盘货信息!$B:$B&amp;盘货信息!$C:$C,盘货信息!$V:$V)="","",_xlfn.XLOOKUP(A450&amp;B450&amp;C450,盘货信息!$A:$A&amp;盘货信息!$B:$B&amp;盘货信息!$C:$C,盘货信息!$V:$V)&amp;"免息,")&amp;IF(_xlfn.XLOOKUP(A450&amp;B450&amp;C450,盘货信息!$A:$A&amp;盘货信息!$B:$B&amp;盘货信息!$C:$C,盘货信息!$W:$W)="","",_xlfn.XLOOKUP(A450&amp;B450&amp;C450,盘货信息!$A:$A&amp;盘货信息!$B:$B&amp;盘货信息!$C:$C,盘货信息!$W:$W)&amp;"，")&amp;"送货入户，退换免运费")</f>
        <v/>
      </c>
    </row>
    <row r="451" customHeight="1" spans="1:22">
      <c r="A451" s="17" t="str">
        <f>IF(盘货信息!A451="","",盘货信息!A451)</f>
        <v/>
      </c>
      <c r="B451" s="20" t="str">
        <f>IF(盘货信息!B451="","",盘货信息!B451)</f>
        <v/>
      </c>
      <c r="C451" s="18" t="str">
        <f>IF(盘货信息!C451="","",盘货信息!C451)</f>
        <v/>
      </c>
      <c r="D451" s="18" t="str">
        <f ca="1" t="shared" si="7"/>
        <v/>
      </c>
      <c r="E451" s="18" t="str">
        <f>IF(C451="","",固定信息!$B$2)</f>
        <v/>
      </c>
      <c r="F451" s="18" t="str">
        <f t="array" ref="F451">IF(C451="","","【"&amp;C451&amp;"】"&amp;_xlfn.XLOOKUP(A451&amp;B451&amp;C451,盘货信息!$A:$A&amp;盘货信息!$B:$B&amp;盘货信息!$C:$C,盘货信息!$D:$D))</f>
        <v/>
      </c>
      <c r="G451" s="18" t="str">
        <f>IF(C451="","","【"&amp;"活动时间："&amp;固定信息!$B$3&amp;"】")</f>
        <v/>
      </c>
      <c r="H451" s="18" t="str">
        <f>IF($C451="","",固定信息!$B$1)</f>
        <v/>
      </c>
      <c r="I451" s="18"/>
      <c r="J451" s="18" t="str">
        <f t="array" ref="J451">_xlfn.XLOOKUP(A451&amp;B451&amp;C451,价格信息!$A:$A&amp;价格信息!$B:$B&amp;价格信息!$C:$C,价格信息!$D:$D)</f>
        <v/>
      </c>
      <c r="K451" s="31" t="str">
        <f t="array" ref="K451">IF(_xlfn.XLOOKUP(A451&amp;B451&amp;C451,价格信息!$A:$A&amp;价格信息!$B:$B&amp;价格信息!$C:$C,价格信息!$I:$I)="","","【优惠券链接】"&amp;固定信息!$B$6)</f>
        <v/>
      </c>
      <c r="L451" s="31" t="str">
        <f>IF($C451="","",固定信息!$B$1)</f>
        <v/>
      </c>
      <c r="M451" s="18" t="str">
        <f t="array" ref="M451">IF(_xlfn.XLOOKUP(A451&amp;B451&amp;C451,盘货信息!$A:$A&amp;盘货信息!$B:$B&amp;盘货信息!$C:$C,盘货信息!$O:$O)="","","【优惠券】领"&amp;INDEX(_wpsfn.REGEXP(_xlfn.XLOOKUP(A451&amp;B451&amp;C451,盘货信息!$A:$A&amp;盘货信息!$B:$B&amp;盘货信息!$C:$C,盘货信息!$O:$O),"\d+"),1,1)&amp;"元优惠券下单更优惠，优惠卷："&amp;_xlfn.XLOOKUP(A451&amp;B451&amp;C451,盘货信息!$A:$A&amp;盘货信息!$B:$B&amp;盘货信息!$C:$C,盘货信息!$P:$P))</f>
        <v/>
      </c>
      <c r="N451" s="18" t="str">
        <f t="array" ref="N451">IF(AND(ISNUMBER(_xlfn.XLOOKUP(A451&amp;B451&amp;C451,盘货信息!$A:$A&amp;盘货信息!$B:$B&amp;盘货信息!$C:$C,盘货信息!$I:$I)),_xlfn.XLOOKUP(A451&amp;B451&amp;C451,盘货信息!$A:$A&amp;盘货信息!$B:$B&amp;盘货信息!$C:$C,盘货信息!$I:$I)&gt;1),"【88VIP】立减"&amp;_xlfn.XLOOKUP(A451&amp;B451&amp;C451,盘货信息!$A:$A&amp;盘货信息!$B:$B&amp;盘货信息!$C:$C,盘货信息!$I:$I)&amp;"元","")</f>
        <v/>
      </c>
      <c r="O451" s="18" t="str">
        <f t="array" ref="O451">IF(_xlfn.XLOOKUP(A451&amp;B451&amp;C451,盘货信息!$A:$A&amp;盘货信息!$B:$B&amp;盘货信息!$C:$C,盘货信息!$K:$K)="","",IF(AND(_xlfn.XLOOKUP(A451&amp;B451&amp;C451,盘货信息!$A:$A&amp;盘货信息!$B:$B&amp;盘货信息!$C:$C,盘货信息!$G:$G)="不参加",_xlfn.XLOOKUP(A451&amp;B451&amp;C451,盘货信息!$A:$A&amp;盘货信息!$B:$B&amp;盘货信息!$C:$C,盘货信息!$H:$H)=""),"【以旧换新】"&amp;_xlfn.XLOOKUP(A451&amp;B451&amp;C451,盘货信息!$A:$A&amp;盘货信息!$B:$B&amp;盘货信息!$C:$C,盘货信息!$K:$K)&amp;"元以旧换新补贴（可无旧机换新）",""))</f>
        <v/>
      </c>
      <c r="P451" s="18" t="str">
        <f t="array" ref="P451">_xlfn.XLOOKUP(A451&amp;B451&amp;C451,赠品!$A:$A&amp;赠品!$B:$B&amp;赠品!$C:$C,赠品!$D:$D)</f>
        <v/>
      </c>
      <c r="Q451" s="18" t="str">
        <f>IF($C451="","",IF(AND(M451="",N451="",P451=""),"",固定信息!$B$1))</f>
        <v/>
      </c>
      <c r="R451" s="18" t="str">
        <f t="array" ref="R451">IF(ISNUMBER(SEARCH("是",_xlfn.XLOOKUP(A451&amp;B451&amp;C451,盘货信息!$A:$A&amp;盘货信息!$B:$B&amp;盘货信息!$C:$C,盘货信息!$U:$U))),"【折扣】指定型号满2类享96折，满3类享94折","")</f>
        <v/>
      </c>
      <c r="S451" s="18" t="str">
        <f t="array" ref="S451">IF(_xlfn.XLOOKUP(A451&amp;B451&amp;C451,盘货信息!$A:$A&amp;盘货信息!$B:$B&amp;盘货信息!$C:$C,盘货信息!$Q:$Q)&lt;1,"","【红包】活动时间购机送"&amp;_xlfn.TEXTJOIN("",,IF(ISNUMBER(--MID(_xlfn.XLOOKUP(A451&amp;B451&amp;C451,盘货信息!$A:$A&amp;盘货信息!$B:$B&amp;盘货信息!$C:$C,盘货信息!$Q:$Q),_xlfn.SEQUENCE(LEN(_xlfn.XLOOKUP(A451&amp;B451&amp;C451,盘货信息!$A:$A&amp;盘货信息!$B:$B&amp;盘货信息!$C:$C,盘货信息!$Q:$Q))),1)),MID(_xlfn.XLOOKUP(A451&amp;B451&amp;C451,盘货信息!$A:$A&amp;盘货信息!$B:$B&amp;盘货信息!$C:$C,盘货信息!$Q:$Q),_xlfn.SEQUENCE(LEN(_xlfn.XLOOKUP(A451&amp;B451&amp;C451,盘货信息!$A:$A&amp;盘货信息!$B:$B&amp;盘货信息!$C:$C,盘货信息!$Q:$Q))),1),""))&amp;"元")</f>
        <v/>
      </c>
      <c r="T451" s="18" t="str">
        <f t="array" ref="T451">IF(ISNUMBER(SEARCH("是",_xlfn.XLOOKUP(A451&amp;B451&amp;C451,盘货信息!$A:$A&amp;盘货信息!$B:$B&amp;盘货信息!$C:$C,盘货信息!$T:$T))),"【瓜分】"&amp;固定信息!$B$7,"")</f>
        <v/>
      </c>
      <c r="U451" s="18" t="str">
        <f>IF($C451="","",IF(AND(R451="",S451="",T451=""),"",固定信息!$B$1))</f>
        <v/>
      </c>
      <c r="V451" s="18" t="str">
        <f t="array" ref="V451">IF(C451="","","【服务】"&amp;IF(_xlfn.XLOOKUP(A451&amp;B451&amp;C451,盘货信息!$A:$A&amp;盘货信息!$B:$B&amp;盘货信息!$C:$C,盘货信息!$V:$V)="","",_xlfn.XLOOKUP(A451&amp;B451&amp;C451,盘货信息!$A:$A&amp;盘货信息!$B:$B&amp;盘货信息!$C:$C,盘货信息!$V:$V)&amp;"免息,")&amp;IF(_xlfn.XLOOKUP(A451&amp;B451&amp;C451,盘货信息!$A:$A&amp;盘货信息!$B:$B&amp;盘货信息!$C:$C,盘货信息!$W:$W)="","",_xlfn.XLOOKUP(A451&amp;B451&amp;C451,盘货信息!$A:$A&amp;盘货信息!$B:$B&amp;盘货信息!$C:$C,盘货信息!$W:$W)&amp;"，")&amp;"送货入户，退换免运费")</f>
        <v/>
      </c>
    </row>
    <row r="452" customHeight="1" spans="1:22">
      <c r="A452" s="17" t="str">
        <f>IF(盘货信息!A452="","",盘货信息!A452)</f>
        <v/>
      </c>
      <c r="B452" s="20" t="str">
        <f>IF(盘货信息!B452="","",盘货信息!B452)</f>
        <v/>
      </c>
      <c r="C452" s="18" t="str">
        <f>IF(盘货信息!C452="","",盘货信息!C452)</f>
        <v/>
      </c>
      <c r="D452" s="18" t="str">
        <f ca="1" t="shared" si="7"/>
        <v/>
      </c>
      <c r="E452" s="18" t="str">
        <f>IF(C452="","",固定信息!$B$2)</f>
        <v/>
      </c>
      <c r="F452" s="18" t="str">
        <f t="array" ref="F452">IF(C452="","","【"&amp;C452&amp;"】"&amp;_xlfn.XLOOKUP(A452&amp;B452&amp;C452,盘货信息!$A:$A&amp;盘货信息!$B:$B&amp;盘货信息!$C:$C,盘货信息!$D:$D))</f>
        <v/>
      </c>
      <c r="G452" s="18" t="str">
        <f>IF(C452="","","【"&amp;"活动时间："&amp;固定信息!$B$3&amp;"】")</f>
        <v/>
      </c>
      <c r="H452" s="18" t="str">
        <f>IF($C452="","",固定信息!$B$1)</f>
        <v/>
      </c>
      <c r="I452" s="18"/>
      <c r="J452" s="18" t="str">
        <f t="array" ref="J452">_xlfn.XLOOKUP(A452&amp;B452&amp;C452,价格信息!$A:$A&amp;价格信息!$B:$B&amp;价格信息!$C:$C,价格信息!$D:$D)</f>
        <v/>
      </c>
      <c r="K452" s="31" t="str">
        <f t="array" ref="K452">IF(_xlfn.XLOOKUP(A452&amp;B452&amp;C452,价格信息!$A:$A&amp;价格信息!$B:$B&amp;价格信息!$C:$C,价格信息!$I:$I)="","","【优惠券链接】"&amp;固定信息!$B$6)</f>
        <v/>
      </c>
      <c r="L452" s="31" t="str">
        <f>IF($C452="","",固定信息!$B$1)</f>
        <v/>
      </c>
      <c r="M452" s="18" t="str">
        <f t="array" ref="M452">IF(_xlfn.XLOOKUP(A452&amp;B452&amp;C452,盘货信息!$A:$A&amp;盘货信息!$B:$B&amp;盘货信息!$C:$C,盘货信息!$O:$O)="","","【优惠券】领"&amp;INDEX(_wpsfn.REGEXP(_xlfn.XLOOKUP(A452&amp;B452&amp;C452,盘货信息!$A:$A&amp;盘货信息!$B:$B&amp;盘货信息!$C:$C,盘货信息!$O:$O),"\d+"),1,1)&amp;"元优惠券下单更优惠，优惠卷："&amp;_xlfn.XLOOKUP(A452&amp;B452&amp;C452,盘货信息!$A:$A&amp;盘货信息!$B:$B&amp;盘货信息!$C:$C,盘货信息!$P:$P))</f>
        <v/>
      </c>
      <c r="N452" s="18" t="str">
        <f t="array" ref="N452">IF(AND(ISNUMBER(_xlfn.XLOOKUP(A452&amp;B452&amp;C452,盘货信息!$A:$A&amp;盘货信息!$B:$B&amp;盘货信息!$C:$C,盘货信息!$I:$I)),_xlfn.XLOOKUP(A452&amp;B452&amp;C452,盘货信息!$A:$A&amp;盘货信息!$B:$B&amp;盘货信息!$C:$C,盘货信息!$I:$I)&gt;1),"【88VIP】立减"&amp;_xlfn.XLOOKUP(A452&amp;B452&amp;C452,盘货信息!$A:$A&amp;盘货信息!$B:$B&amp;盘货信息!$C:$C,盘货信息!$I:$I)&amp;"元","")</f>
        <v/>
      </c>
      <c r="O452" s="18" t="str">
        <f t="array" ref="O452">IF(_xlfn.XLOOKUP(A452&amp;B452&amp;C452,盘货信息!$A:$A&amp;盘货信息!$B:$B&amp;盘货信息!$C:$C,盘货信息!$K:$K)="","",IF(AND(_xlfn.XLOOKUP(A452&amp;B452&amp;C452,盘货信息!$A:$A&amp;盘货信息!$B:$B&amp;盘货信息!$C:$C,盘货信息!$G:$G)="不参加",_xlfn.XLOOKUP(A452&amp;B452&amp;C452,盘货信息!$A:$A&amp;盘货信息!$B:$B&amp;盘货信息!$C:$C,盘货信息!$H:$H)=""),"【以旧换新】"&amp;_xlfn.XLOOKUP(A452&amp;B452&amp;C452,盘货信息!$A:$A&amp;盘货信息!$B:$B&amp;盘货信息!$C:$C,盘货信息!$K:$K)&amp;"元以旧换新补贴（可无旧机换新）",""))</f>
        <v/>
      </c>
      <c r="P452" s="18" t="str">
        <f t="array" ref="P452">_xlfn.XLOOKUP(A452&amp;B452&amp;C452,赠品!$A:$A&amp;赠品!$B:$B&amp;赠品!$C:$C,赠品!$D:$D)</f>
        <v/>
      </c>
      <c r="Q452" s="18" t="str">
        <f>IF($C452="","",IF(AND(M452="",N452="",P452=""),"",固定信息!$B$1))</f>
        <v/>
      </c>
      <c r="R452" s="18" t="str">
        <f t="array" ref="R452">IF(ISNUMBER(SEARCH("是",_xlfn.XLOOKUP(A452&amp;B452&amp;C452,盘货信息!$A:$A&amp;盘货信息!$B:$B&amp;盘货信息!$C:$C,盘货信息!$U:$U))),"【折扣】指定型号满2类享96折，满3类享94折","")</f>
        <v/>
      </c>
      <c r="S452" s="18" t="str">
        <f t="array" ref="S452">IF(_xlfn.XLOOKUP(A452&amp;B452&amp;C452,盘货信息!$A:$A&amp;盘货信息!$B:$B&amp;盘货信息!$C:$C,盘货信息!$Q:$Q)&lt;1,"","【红包】活动时间购机送"&amp;_xlfn.TEXTJOIN("",,IF(ISNUMBER(--MID(_xlfn.XLOOKUP(A452&amp;B452&amp;C452,盘货信息!$A:$A&amp;盘货信息!$B:$B&amp;盘货信息!$C:$C,盘货信息!$Q:$Q),_xlfn.SEQUENCE(LEN(_xlfn.XLOOKUP(A452&amp;B452&amp;C452,盘货信息!$A:$A&amp;盘货信息!$B:$B&amp;盘货信息!$C:$C,盘货信息!$Q:$Q))),1)),MID(_xlfn.XLOOKUP(A452&amp;B452&amp;C452,盘货信息!$A:$A&amp;盘货信息!$B:$B&amp;盘货信息!$C:$C,盘货信息!$Q:$Q),_xlfn.SEQUENCE(LEN(_xlfn.XLOOKUP(A452&amp;B452&amp;C452,盘货信息!$A:$A&amp;盘货信息!$B:$B&amp;盘货信息!$C:$C,盘货信息!$Q:$Q))),1),""))&amp;"元")</f>
        <v/>
      </c>
      <c r="T452" s="18" t="str">
        <f t="array" ref="T452">IF(ISNUMBER(SEARCH("是",_xlfn.XLOOKUP(A452&amp;B452&amp;C452,盘货信息!$A:$A&amp;盘货信息!$B:$B&amp;盘货信息!$C:$C,盘货信息!$T:$T))),"【瓜分】"&amp;固定信息!$B$7,"")</f>
        <v/>
      </c>
      <c r="U452" s="18" t="str">
        <f>IF($C452="","",IF(AND(R452="",S452="",T452=""),"",固定信息!$B$1))</f>
        <v/>
      </c>
      <c r="V452" s="18" t="str">
        <f t="array" ref="V452">IF(C452="","","【服务】"&amp;IF(_xlfn.XLOOKUP(A452&amp;B452&amp;C452,盘货信息!$A:$A&amp;盘货信息!$B:$B&amp;盘货信息!$C:$C,盘货信息!$V:$V)="","",_xlfn.XLOOKUP(A452&amp;B452&amp;C452,盘货信息!$A:$A&amp;盘货信息!$B:$B&amp;盘货信息!$C:$C,盘货信息!$V:$V)&amp;"免息,")&amp;IF(_xlfn.XLOOKUP(A452&amp;B452&amp;C452,盘货信息!$A:$A&amp;盘货信息!$B:$B&amp;盘货信息!$C:$C,盘货信息!$W:$W)="","",_xlfn.XLOOKUP(A452&amp;B452&amp;C452,盘货信息!$A:$A&amp;盘货信息!$B:$B&amp;盘货信息!$C:$C,盘货信息!$W:$W)&amp;"，")&amp;"送货入户，退换免运费")</f>
        <v/>
      </c>
    </row>
    <row r="453" customHeight="1" spans="1:22">
      <c r="A453" s="17" t="str">
        <f>IF(盘货信息!A453="","",盘货信息!A453)</f>
        <v/>
      </c>
      <c r="B453" s="20" t="str">
        <f>IF(盘货信息!B453="","",盘货信息!B453)</f>
        <v/>
      </c>
      <c r="C453" s="18" t="str">
        <f>IF(盘货信息!C453="","",盘货信息!C453)</f>
        <v/>
      </c>
      <c r="D453" s="18" t="str">
        <f ca="1" t="shared" si="7"/>
        <v/>
      </c>
      <c r="E453" s="18" t="str">
        <f>IF(C453="","",固定信息!$B$2)</f>
        <v/>
      </c>
      <c r="F453" s="18" t="str">
        <f t="array" ref="F453">IF(C453="","","【"&amp;C453&amp;"】"&amp;_xlfn.XLOOKUP(A453&amp;B453&amp;C453,盘货信息!$A:$A&amp;盘货信息!$B:$B&amp;盘货信息!$C:$C,盘货信息!$D:$D))</f>
        <v/>
      </c>
      <c r="G453" s="18" t="str">
        <f>IF(C453="","","【"&amp;"活动时间："&amp;固定信息!$B$3&amp;"】")</f>
        <v/>
      </c>
      <c r="H453" s="18" t="str">
        <f>IF($C453="","",固定信息!$B$1)</f>
        <v/>
      </c>
      <c r="I453" s="18"/>
      <c r="J453" s="18" t="str">
        <f t="array" ref="J453">_xlfn.XLOOKUP(A453&amp;B453&amp;C453,价格信息!$A:$A&amp;价格信息!$B:$B&amp;价格信息!$C:$C,价格信息!$D:$D)</f>
        <v/>
      </c>
      <c r="K453" s="31" t="str">
        <f t="array" ref="K453">IF(_xlfn.XLOOKUP(A453&amp;B453&amp;C453,价格信息!$A:$A&amp;价格信息!$B:$B&amp;价格信息!$C:$C,价格信息!$I:$I)="","","【优惠券链接】"&amp;固定信息!$B$6)</f>
        <v/>
      </c>
      <c r="L453" s="31" t="str">
        <f>IF($C453="","",固定信息!$B$1)</f>
        <v/>
      </c>
      <c r="M453" s="18" t="str">
        <f t="array" ref="M453">IF(_xlfn.XLOOKUP(A453&amp;B453&amp;C453,盘货信息!$A:$A&amp;盘货信息!$B:$B&amp;盘货信息!$C:$C,盘货信息!$O:$O)="","","【优惠券】领"&amp;INDEX(_wpsfn.REGEXP(_xlfn.XLOOKUP(A453&amp;B453&amp;C453,盘货信息!$A:$A&amp;盘货信息!$B:$B&amp;盘货信息!$C:$C,盘货信息!$O:$O),"\d+"),1,1)&amp;"元优惠券下单更优惠，优惠卷："&amp;_xlfn.XLOOKUP(A453&amp;B453&amp;C453,盘货信息!$A:$A&amp;盘货信息!$B:$B&amp;盘货信息!$C:$C,盘货信息!$P:$P))</f>
        <v/>
      </c>
      <c r="N453" s="18" t="str">
        <f t="array" ref="N453">IF(AND(ISNUMBER(_xlfn.XLOOKUP(A453&amp;B453&amp;C453,盘货信息!$A:$A&amp;盘货信息!$B:$B&amp;盘货信息!$C:$C,盘货信息!$I:$I)),_xlfn.XLOOKUP(A453&amp;B453&amp;C453,盘货信息!$A:$A&amp;盘货信息!$B:$B&amp;盘货信息!$C:$C,盘货信息!$I:$I)&gt;1),"【88VIP】立减"&amp;_xlfn.XLOOKUP(A453&amp;B453&amp;C453,盘货信息!$A:$A&amp;盘货信息!$B:$B&amp;盘货信息!$C:$C,盘货信息!$I:$I)&amp;"元","")</f>
        <v/>
      </c>
      <c r="O453" s="18" t="str">
        <f t="array" ref="O453">IF(_xlfn.XLOOKUP(A453&amp;B453&amp;C453,盘货信息!$A:$A&amp;盘货信息!$B:$B&amp;盘货信息!$C:$C,盘货信息!$K:$K)="","",IF(AND(_xlfn.XLOOKUP(A453&amp;B453&amp;C453,盘货信息!$A:$A&amp;盘货信息!$B:$B&amp;盘货信息!$C:$C,盘货信息!$G:$G)="不参加",_xlfn.XLOOKUP(A453&amp;B453&amp;C453,盘货信息!$A:$A&amp;盘货信息!$B:$B&amp;盘货信息!$C:$C,盘货信息!$H:$H)=""),"【以旧换新】"&amp;_xlfn.XLOOKUP(A453&amp;B453&amp;C453,盘货信息!$A:$A&amp;盘货信息!$B:$B&amp;盘货信息!$C:$C,盘货信息!$K:$K)&amp;"元以旧换新补贴（可无旧机换新）",""))</f>
        <v/>
      </c>
      <c r="P453" s="18" t="str">
        <f t="array" ref="P453">_xlfn.XLOOKUP(A453&amp;B453&amp;C453,赠品!$A:$A&amp;赠品!$B:$B&amp;赠品!$C:$C,赠品!$D:$D)</f>
        <v/>
      </c>
      <c r="Q453" s="18" t="str">
        <f>IF($C453="","",IF(AND(M453="",N453="",P453=""),"",固定信息!$B$1))</f>
        <v/>
      </c>
      <c r="R453" s="18" t="str">
        <f t="array" ref="R453">IF(ISNUMBER(SEARCH("是",_xlfn.XLOOKUP(A453&amp;B453&amp;C453,盘货信息!$A:$A&amp;盘货信息!$B:$B&amp;盘货信息!$C:$C,盘货信息!$U:$U))),"【折扣】指定型号满2类享96折，满3类享94折","")</f>
        <v/>
      </c>
      <c r="S453" s="18" t="str">
        <f t="array" ref="S453">IF(_xlfn.XLOOKUP(A453&amp;B453&amp;C453,盘货信息!$A:$A&amp;盘货信息!$B:$B&amp;盘货信息!$C:$C,盘货信息!$Q:$Q)&lt;1,"","【红包】活动时间购机送"&amp;_xlfn.TEXTJOIN("",,IF(ISNUMBER(--MID(_xlfn.XLOOKUP(A453&amp;B453&amp;C453,盘货信息!$A:$A&amp;盘货信息!$B:$B&amp;盘货信息!$C:$C,盘货信息!$Q:$Q),_xlfn.SEQUENCE(LEN(_xlfn.XLOOKUP(A453&amp;B453&amp;C453,盘货信息!$A:$A&amp;盘货信息!$B:$B&amp;盘货信息!$C:$C,盘货信息!$Q:$Q))),1)),MID(_xlfn.XLOOKUP(A453&amp;B453&amp;C453,盘货信息!$A:$A&amp;盘货信息!$B:$B&amp;盘货信息!$C:$C,盘货信息!$Q:$Q),_xlfn.SEQUENCE(LEN(_xlfn.XLOOKUP(A453&amp;B453&amp;C453,盘货信息!$A:$A&amp;盘货信息!$B:$B&amp;盘货信息!$C:$C,盘货信息!$Q:$Q))),1),""))&amp;"元")</f>
        <v/>
      </c>
      <c r="T453" s="18" t="str">
        <f t="array" ref="T453">IF(ISNUMBER(SEARCH("是",_xlfn.XLOOKUP(A453&amp;B453&amp;C453,盘货信息!$A:$A&amp;盘货信息!$B:$B&amp;盘货信息!$C:$C,盘货信息!$T:$T))),"【瓜分】"&amp;固定信息!$B$7,"")</f>
        <v/>
      </c>
      <c r="U453" s="18" t="str">
        <f>IF($C453="","",IF(AND(R453="",S453="",T453=""),"",固定信息!$B$1))</f>
        <v/>
      </c>
      <c r="V453" s="18" t="str">
        <f t="array" ref="V453">IF(C453="","","【服务】"&amp;IF(_xlfn.XLOOKUP(A453&amp;B453&amp;C453,盘货信息!$A:$A&amp;盘货信息!$B:$B&amp;盘货信息!$C:$C,盘货信息!$V:$V)="","",_xlfn.XLOOKUP(A453&amp;B453&amp;C453,盘货信息!$A:$A&amp;盘货信息!$B:$B&amp;盘货信息!$C:$C,盘货信息!$V:$V)&amp;"免息,")&amp;IF(_xlfn.XLOOKUP(A453&amp;B453&amp;C453,盘货信息!$A:$A&amp;盘货信息!$B:$B&amp;盘货信息!$C:$C,盘货信息!$W:$W)="","",_xlfn.XLOOKUP(A453&amp;B453&amp;C453,盘货信息!$A:$A&amp;盘货信息!$B:$B&amp;盘货信息!$C:$C,盘货信息!$W:$W)&amp;"，")&amp;"送货入户，退换免运费")</f>
        <v/>
      </c>
    </row>
    <row r="454" customHeight="1" spans="1:22">
      <c r="A454" s="17" t="str">
        <f>IF(盘货信息!A454="","",盘货信息!A454)</f>
        <v/>
      </c>
      <c r="B454" s="20" t="str">
        <f>IF(盘货信息!B454="","",盘货信息!B454)</f>
        <v/>
      </c>
      <c r="C454" s="18" t="str">
        <f>IF(盘货信息!C454="","",盘货信息!C454)</f>
        <v/>
      </c>
      <c r="D454" s="18" t="str">
        <f ca="1" t="shared" si="7"/>
        <v/>
      </c>
      <c r="E454" s="18" t="str">
        <f>IF(C454="","",固定信息!$B$2)</f>
        <v/>
      </c>
      <c r="F454" s="18" t="str">
        <f t="array" ref="F454">IF(C454="","","【"&amp;C454&amp;"】"&amp;_xlfn.XLOOKUP(A454&amp;B454&amp;C454,盘货信息!$A:$A&amp;盘货信息!$B:$B&amp;盘货信息!$C:$C,盘货信息!$D:$D))</f>
        <v/>
      </c>
      <c r="G454" s="18" t="str">
        <f>IF(C454="","","【"&amp;"活动时间："&amp;固定信息!$B$3&amp;"】")</f>
        <v/>
      </c>
      <c r="H454" s="18" t="str">
        <f>IF($C454="","",固定信息!$B$1)</f>
        <v/>
      </c>
      <c r="I454" s="18"/>
      <c r="J454" s="18" t="str">
        <f t="array" ref="J454">_xlfn.XLOOKUP(A454&amp;B454&amp;C454,价格信息!$A:$A&amp;价格信息!$B:$B&amp;价格信息!$C:$C,价格信息!$D:$D)</f>
        <v/>
      </c>
      <c r="K454" s="31" t="str">
        <f t="array" ref="K454">IF(_xlfn.XLOOKUP(A454&amp;B454&amp;C454,价格信息!$A:$A&amp;价格信息!$B:$B&amp;价格信息!$C:$C,价格信息!$I:$I)="","","【优惠券链接】"&amp;固定信息!$B$6)</f>
        <v/>
      </c>
      <c r="L454" s="31" t="str">
        <f>IF($C454="","",固定信息!$B$1)</f>
        <v/>
      </c>
      <c r="M454" s="18" t="str">
        <f t="array" ref="M454">IF(_xlfn.XLOOKUP(A454&amp;B454&amp;C454,盘货信息!$A:$A&amp;盘货信息!$B:$B&amp;盘货信息!$C:$C,盘货信息!$O:$O)="","","【优惠券】领"&amp;INDEX(_wpsfn.REGEXP(_xlfn.XLOOKUP(A454&amp;B454&amp;C454,盘货信息!$A:$A&amp;盘货信息!$B:$B&amp;盘货信息!$C:$C,盘货信息!$O:$O),"\d+"),1,1)&amp;"元优惠券下单更优惠，优惠卷："&amp;_xlfn.XLOOKUP(A454&amp;B454&amp;C454,盘货信息!$A:$A&amp;盘货信息!$B:$B&amp;盘货信息!$C:$C,盘货信息!$P:$P))</f>
        <v/>
      </c>
      <c r="N454" s="18" t="str">
        <f t="array" ref="N454">IF(AND(ISNUMBER(_xlfn.XLOOKUP(A454&amp;B454&amp;C454,盘货信息!$A:$A&amp;盘货信息!$B:$B&amp;盘货信息!$C:$C,盘货信息!$I:$I)),_xlfn.XLOOKUP(A454&amp;B454&amp;C454,盘货信息!$A:$A&amp;盘货信息!$B:$B&amp;盘货信息!$C:$C,盘货信息!$I:$I)&gt;1),"【88VIP】立减"&amp;_xlfn.XLOOKUP(A454&amp;B454&amp;C454,盘货信息!$A:$A&amp;盘货信息!$B:$B&amp;盘货信息!$C:$C,盘货信息!$I:$I)&amp;"元","")</f>
        <v/>
      </c>
      <c r="O454" s="18" t="str">
        <f t="array" ref="O454">IF(_xlfn.XLOOKUP(A454&amp;B454&amp;C454,盘货信息!$A:$A&amp;盘货信息!$B:$B&amp;盘货信息!$C:$C,盘货信息!$K:$K)="","",IF(AND(_xlfn.XLOOKUP(A454&amp;B454&amp;C454,盘货信息!$A:$A&amp;盘货信息!$B:$B&amp;盘货信息!$C:$C,盘货信息!$G:$G)="不参加",_xlfn.XLOOKUP(A454&amp;B454&amp;C454,盘货信息!$A:$A&amp;盘货信息!$B:$B&amp;盘货信息!$C:$C,盘货信息!$H:$H)=""),"【以旧换新】"&amp;_xlfn.XLOOKUP(A454&amp;B454&amp;C454,盘货信息!$A:$A&amp;盘货信息!$B:$B&amp;盘货信息!$C:$C,盘货信息!$K:$K)&amp;"元以旧换新补贴（可无旧机换新）",""))</f>
        <v/>
      </c>
      <c r="P454" s="18" t="str">
        <f t="array" ref="P454">_xlfn.XLOOKUP(A454&amp;B454&amp;C454,赠品!$A:$A&amp;赠品!$B:$B&amp;赠品!$C:$C,赠品!$D:$D)</f>
        <v/>
      </c>
      <c r="Q454" s="18" t="str">
        <f>IF($C454="","",IF(AND(M454="",N454="",P454=""),"",固定信息!$B$1))</f>
        <v/>
      </c>
      <c r="R454" s="18" t="str">
        <f t="array" ref="R454">IF(ISNUMBER(SEARCH("是",_xlfn.XLOOKUP(A454&amp;B454&amp;C454,盘货信息!$A:$A&amp;盘货信息!$B:$B&amp;盘货信息!$C:$C,盘货信息!$U:$U))),"【折扣】指定型号满2类享96折，满3类享94折","")</f>
        <v/>
      </c>
      <c r="S454" s="18" t="str">
        <f t="array" ref="S454">IF(_xlfn.XLOOKUP(A454&amp;B454&amp;C454,盘货信息!$A:$A&amp;盘货信息!$B:$B&amp;盘货信息!$C:$C,盘货信息!$Q:$Q)&lt;1,"","【红包】活动时间购机送"&amp;_xlfn.TEXTJOIN("",,IF(ISNUMBER(--MID(_xlfn.XLOOKUP(A454&amp;B454&amp;C454,盘货信息!$A:$A&amp;盘货信息!$B:$B&amp;盘货信息!$C:$C,盘货信息!$Q:$Q),_xlfn.SEQUENCE(LEN(_xlfn.XLOOKUP(A454&amp;B454&amp;C454,盘货信息!$A:$A&amp;盘货信息!$B:$B&amp;盘货信息!$C:$C,盘货信息!$Q:$Q))),1)),MID(_xlfn.XLOOKUP(A454&amp;B454&amp;C454,盘货信息!$A:$A&amp;盘货信息!$B:$B&amp;盘货信息!$C:$C,盘货信息!$Q:$Q),_xlfn.SEQUENCE(LEN(_xlfn.XLOOKUP(A454&amp;B454&amp;C454,盘货信息!$A:$A&amp;盘货信息!$B:$B&amp;盘货信息!$C:$C,盘货信息!$Q:$Q))),1),""))&amp;"元")</f>
        <v/>
      </c>
      <c r="T454" s="18" t="str">
        <f t="array" ref="T454">IF(ISNUMBER(SEARCH("是",_xlfn.XLOOKUP(A454&amp;B454&amp;C454,盘货信息!$A:$A&amp;盘货信息!$B:$B&amp;盘货信息!$C:$C,盘货信息!$T:$T))),"【瓜分】"&amp;固定信息!$B$7,"")</f>
        <v/>
      </c>
      <c r="U454" s="18" t="str">
        <f>IF($C454="","",IF(AND(R454="",S454="",T454=""),"",固定信息!$B$1))</f>
        <v/>
      </c>
      <c r="V454" s="18" t="str">
        <f t="array" ref="V454">IF(C454="","","【服务】"&amp;IF(_xlfn.XLOOKUP(A454&amp;B454&amp;C454,盘货信息!$A:$A&amp;盘货信息!$B:$B&amp;盘货信息!$C:$C,盘货信息!$V:$V)="","",_xlfn.XLOOKUP(A454&amp;B454&amp;C454,盘货信息!$A:$A&amp;盘货信息!$B:$B&amp;盘货信息!$C:$C,盘货信息!$V:$V)&amp;"免息,")&amp;IF(_xlfn.XLOOKUP(A454&amp;B454&amp;C454,盘货信息!$A:$A&amp;盘货信息!$B:$B&amp;盘货信息!$C:$C,盘货信息!$W:$W)="","",_xlfn.XLOOKUP(A454&amp;B454&amp;C454,盘货信息!$A:$A&amp;盘货信息!$B:$B&amp;盘货信息!$C:$C,盘货信息!$W:$W)&amp;"，")&amp;"送货入户，退换免运费")</f>
        <v/>
      </c>
    </row>
    <row r="455" customHeight="1" spans="1:22">
      <c r="A455" s="17" t="str">
        <f>IF(盘货信息!A455="","",盘货信息!A455)</f>
        <v/>
      </c>
      <c r="B455" s="20" t="str">
        <f>IF(盘货信息!B455="","",盘货信息!B455)</f>
        <v/>
      </c>
      <c r="C455" s="18" t="str">
        <f>IF(盘货信息!C455="","",盘货信息!C455)</f>
        <v/>
      </c>
      <c r="D455" s="18" t="str">
        <f ca="1" t="shared" si="7"/>
        <v/>
      </c>
      <c r="E455" s="18" t="str">
        <f>IF(C455="","",固定信息!$B$2)</f>
        <v/>
      </c>
      <c r="F455" s="18" t="str">
        <f t="array" ref="F455">IF(C455="","","【"&amp;C455&amp;"】"&amp;_xlfn.XLOOKUP(A455&amp;B455&amp;C455,盘货信息!$A:$A&amp;盘货信息!$B:$B&amp;盘货信息!$C:$C,盘货信息!$D:$D))</f>
        <v/>
      </c>
      <c r="G455" s="18" t="str">
        <f>IF(C455="","","【"&amp;"活动时间："&amp;固定信息!$B$3&amp;"】")</f>
        <v/>
      </c>
      <c r="H455" s="18" t="str">
        <f>IF($C455="","",固定信息!$B$1)</f>
        <v/>
      </c>
      <c r="I455" s="18"/>
      <c r="J455" s="18" t="str">
        <f t="array" ref="J455">_xlfn.XLOOKUP(A455&amp;B455&amp;C455,价格信息!$A:$A&amp;价格信息!$B:$B&amp;价格信息!$C:$C,价格信息!$D:$D)</f>
        <v/>
      </c>
      <c r="K455" s="31" t="str">
        <f t="array" ref="K455">IF(_xlfn.XLOOKUP(A455&amp;B455&amp;C455,价格信息!$A:$A&amp;价格信息!$B:$B&amp;价格信息!$C:$C,价格信息!$I:$I)="","","【优惠券链接】"&amp;固定信息!$B$6)</f>
        <v/>
      </c>
      <c r="L455" s="31" t="str">
        <f>IF($C455="","",固定信息!$B$1)</f>
        <v/>
      </c>
      <c r="M455" s="18" t="str">
        <f t="array" ref="M455">IF(_xlfn.XLOOKUP(A455&amp;B455&amp;C455,盘货信息!$A:$A&amp;盘货信息!$B:$B&amp;盘货信息!$C:$C,盘货信息!$O:$O)="","","【优惠券】领"&amp;INDEX(_wpsfn.REGEXP(_xlfn.XLOOKUP(A455&amp;B455&amp;C455,盘货信息!$A:$A&amp;盘货信息!$B:$B&amp;盘货信息!$C:$C,盘货信息!$O:$O),"\d+"),1,1)&amp;"元优惠券下单更优惠，优惠卷："&amp;_xlfn.XLOOKUP(A455&amp;B455&amp;C455,盘货信息!$A:$A&amp;盘货信息!$B:$B&amp;盘货信息!$C:$C,盘货信息!$P:$P))</f>
        <v/>
      </c>
      <c r="N455" s="18" t="str">
        <f t="array" ref="N455">IF(AND(ISNUMBER(_xlfn.XLOOKUP(A455&amp;B455&amp;C455,盘货信息!$A:$A&amp;盘货信息!$B:$B&amp;盘货信息!$C:$C,盘货信息!$I:$I)),_xlfn.XLOOKUP(A455&amp;B455&amp;C455,盘货信息!$A:$A&amp;盘货信息!$B:$B&amp;盘货信息!$C:$C,盘货信息!$I:$I)&gt;1),"【88VIP】立减"&amp;_xlfn.XLOOKUP(A455&amp;B455&amp;C455,盘货信息!$A:$A&amp;盘货信息!$B:$B&amp;盘货信息!$C:$C,盘货信息!$I:$I)&amp;"元","")</f>
        <v/>
      </c>
      <c r="O455" s="18" t="str">
        <f t="array" ref="O455">IF(_xlfn.XLOOKUP(A455&amp;B455&amp;C455,盘货信息!$A:$A&amp;盘货信息!$B:$B&amp;盘货信息!$C:$C,盘货信息!$K:$K)="","",IF(AND(_xlfn.XLOOKUP(A455&amp;B455&amp;C455,盘货信息!$A:$A&amp;盘货信息!$B:$B&amp;盘货信息!$C:$C,盘货信息!$G:$G)="不参加",_xlfn.XLOOKUP(A455&amp;B455&amp;C455,盘货信息!$A:$A&amp;盘货信息!$B:$B&amp;盘货信息!$C:$C,盘货信息!$H:$H)=""),"【以旧换新】"&amp;_xlfn.XLOOKUP(A455&amp;B455&amp;C455,盘货信息!$A:$A&amp;盘货信息!$B:$B&amp;盘货信息!$C:$C,盘货信息!$K:$K)&amp;"元以旧换新补贴（可无旧机换新）",""))</f>
        <v/>
      </c>
      <c r="P455" s="18" t="str">
        <f t="array" ref="P455">_xlfn.XLOOKUP(A455&amp;B455&amp;C455,赠品!$A:$A&amp;赠品!$B:$B&amp;赠品!$C:$C,赠品!$D:$D)</f>
        <v/>
      </c>
      <c r="Q455" s="18" t="str">
        <f>IF($C455="","",IF(AND(M455="",N455="",P455=""),"",固定信息!$B$1))</f>
        <v/>
      </c>
      <c r="R455" s="18" t="str">
        <f t="array" ref="R455">IF(ISNUMBER(SEARCH("是",_xlfn.XLOOKUP(A455&amp;B455&amp;C455,盘货信息!$A:$A&amp;盘货信息!$B:$B&amp;盘货信息!$C:$C,盘货信息!$U:$U))),"【折扣】指定型号满2类享96折，满3类享94折","")</f>
        <v/>
      </c>
      <c r="S455" s="18" t="str">
        <f t="array" ref="S455">IF(_xlfn.XLOOKUP(A455&amp;B455&amp;C455,盘货信息!$A:$A&amp;盘货信息!$B:$B&amp;盘货信息!$C:$C,盘货信息!$Q:$Q)&lt;1,"","【红包】活动时间购机送"&amp;_xlfn.TEXTJOIN("",,IF(ISNUMBER(--MID(_xlfn.XLOOKUP(A455&amp;B455&amp;C455,盘货信息!$A:$A&amp;盘货信息!$B:$B&amp;盘货信息!$C:$C,盘货信息!$Q:$Q),_xlfn.SEQUENCE(LEN(_xlfn.XLOOKUP(A455&amp;B455&amp;C455,盘货信息!$A:$A&amp;盘货信息!$B:$B&amp;盘货信息!$C:$C,盘货信息!$Q:$Q))),1)),MID(_xlfn.XLOOKUP(A455&amp;B455&amp;C455,盘货信息!$A:$A&amp;盘货信息!$B:$B&amp;盘货信息!$C:$C,盘货信息!$Q:$Q),_xlfn.SEQUENCE(LEN(_xlfn.XLOOKUP(A455&amp;B455&amp;C455,盘货信息!$A:$A&amp;盘货信息!$B:$B&amp;盘货信息!$C:$C,盘货信息!$Q:$Q))),1),""))&amp;"元")</f>
        <v/>
      </c>
      <c r="T455" s="18" t="str">
        <f t="array" ref="T455">IF(ISNUMBER(SEARCH("是",_xlfn.XLOOKUP(A455&amp;B455&amp;C455,盘货信息!$A:$A&amp;盘货信息!$B:$B&amp;盘货信息!$C:$C,盘货信息!$T:$T))),"【瓜分】"&amp;固定信息!$B$7,"")</f>
        <v/>
      </c>
      <c r="U455" s="18" t="str">
        <f>IF($C455="","",IF(AND(R455="",S455="",T455=""),"",固定信息!$B$1))</f>
        <v/>
      </c>
      <c r="V455" s="18" t="str">
        <f t="array" ref="V455">IF(C455="","","【服务】"&amp;IF(_xlfn.XLOOKUP(A455&amp;B455&amp;C455,盘货信息!$A:$A&amp;盘货信息!$B:$B&amp;盘货信息!$C:$C,盘货信息!$V:$V)="","",_xlfn.XLOOKUP(A455&amp;B455&amp;C455,盘货信息!$A:$A&amp;盘货信息!$B:$B&amp;盘货信息!$C:$C,盘货信息!$V:$V)&amp;"免息,")&amp;IF(_xlfn.XLOOKUP(A455&amp;B455&amp;C455,盘货信息!$A:$A&amp;盘货信息!$B:$B&amp;盘货信息!$C:$C,盘货信息!$W:$W)="","",_xlfn.XLOOKUP(A455&amp;B455&amp;C455,盘货信息!$A:$A&amp;盘货信息!$B:$B&amp;盘货信息!$C:$C,盘货信息!$W:$W)&amp;"，")&amp;"送货入户，退换免运费")</f>
        <v/>
      </c>
    </row>
    <row r="456" customHeight="1" spans="1:22">
      <c r="A456" s="17" t="str">
        <f>IF(盘货信息!A456="","",盘货信息!A456)</f>
        <v/>
      </c>
      <c r="B456" s="20" t="str">
        <f>IF(盘货信息!B456="","",盘货信息!B456)</f>
        <v/>
      </c>
      <c r="C456" s="18" t="str">
        <f>IF(盘货信息!C456="","",盘货信息!C456)</f>
        <v/>
      </c>
      <c r="D456" s="18" t="str">
        <f ca="1" t="shared" si="7"/>
        <v/>
      </c>
      <c r="E456" s="18" t="str">
        <f>IF(C456="","",固定信息!$B$2)</f>
        <v/>
      </c>
      <c r="F456" s="18" t="str">
        <f t="array" ref="F456">IF(C456="","","【"&amp;C456&amp;"】"&amp;_xlfn.XLOOKUP(A456&amp;B456&amp;C456,盘货信息!$A:$A&amp;盘货信息!$B:$B&amp;盘货信息!$C:$C,盘货信息!$D:$D))</f>
        <v/>
      </c>
      <c r="G456" s="18" t="str">
        <f>IF(C456="","","【"&amp;"活动时间："&amp;固定信息!$B$3&amp;"】")</f>
        <v/>
      </c>
      <c r="H456" s="18" t="str">
        <f>IF($C456="","",固定信息!$B$1)</f>
        <v/>
      </c>
      <c r="I456" s="18"/>
      <c r="J456" s="18" t="str">
        <f t="array" ref="J456">_xlfn.XLOOKUP(A456&amp;B456&amp;C456,价格信息!$A:$A&amp;价格信息!$B:$B&amp;价格信息!$C:$C,价格信息!$D:$D)</f>
        <v/>
      </c>
      <c r="K456" s="31" t="str">
        <f t="array" ref="K456">IF(_xlfn.XLOOKUP(A456&amp;B456&amp;C456,价格信息!$A:$A&amp;价格信息!$B:$B&amp;价格信息!$C:$C,价格信息!$I:$I)="","","【优惠券链接】"&amp;固定信息!$B$6)</f>
        <v/>
      </c>
      <c r="L456" s="31" t="str">
        <f>IF($C456="","",固定信息!$B$1)</f>
        <v/>
      </c>
      <c r="M456" s="18" t="str">
        <f t="array" ref="M456">IF(_xlfn.XLOOKUP(A456&amp;B456&amp;C456,盘货信息!$A:$A&amp;盘货信息!$B:$B&amp;盘货信息!$C:$C,盘货信息!$O:$O)="","","【优惠券】领"&amp;INDEX(_wpsfn.REGEXP(_xlfn.XLOOKUP(A456&amp;B456&amp;C456,盘货信息!$A:$A&amp;盘货信息!$B:$B&amp;盘货信息!$C:$C,盘货信息!$O:$O),"\d+"),1,1)&amp;"元优惠券下单更优惠，优惠卷："&amp;_xlfn.XLOOKUP(A456&amp;B456&amp;C456,盘货信息!$A:$A&amp;盘货信息!$B:$B&amp;盘货信息!$C:$C,盘货信息!$P:$P))</f>
        <v/>
      </c>
      <c r="N456" s="18" t="str">
        <f t="array" ref="N456">IF(AND(ISNUMBER(_xlfn.XLOOKUP(A456&amp;B456&amp;C456,盘货信息!$A:$A&amp;盘货信息!$B:$B&amp;盘货信息!$C:$C,盘货信息!$I:$I)),_xlfn.XLOOKUP(A456&amp;B456&amp;C456,盘货信息!$A:$A&amp;盘货信息!$B:$B&amp;盘货信息!$C:$C,盘货信息!$I:$I)&gt;1),"【88VIP】立减"&amp;_xlfn.XLOOKUP(A456&amp;B456&amp;C456,盘货信息!$A:$A&amp;盘货信息!$B:$B&amp;盘货信息!$C:$C,盘货信息!$I:$I)&amp;"元","")</f>
        <v/>
      </c>
      <c r="O456" s="18" t="str">
        <f t="array" ref="O456">IF(_xlfn.XLOOKUP(A456&amp;B456&amp;C456,盘货信息!$A:$A&amp;盘货信息!$B:$B&amp;盘货信息!$C:$C,盘货信息!$K:$K)="","",IF(AND(_xlfn.XLOOKUP(A456&amp;B456&amp;C456,盘货信息!$A:$A&amp;盘货信息!$B:$B&amp;盘货信息!$C:$C,盘货信息!$G:$G)="不参加",_xlfn.XLOOKUP(A456&amp;B456&amp;C456,盘货信息!$A:$A&amp;盘货信息!$B:$B&amp;盘货信息!$C:$C,盘货信息!$H:$H)=""),"【以旧换新】"&amp;_xlfn.XLOOKUP(A456&amp;B456&amp;C456,盘货信息!$A:$A&amp;盘货信息!$B:$B&amp;盘货信息!$C:$C,盘货信息!$K:$K)&amp;"元以旧换新补贴（可无旧机换新）",""))</f>
        <v/>
      </c>
      <c r="P456" s="18" t="str">
        <f t="array" ref="P456">_xlfn.XLOOKUP(A456&amp;B456&amp;C456,赠品!$A:$A&amp;赠品!$B:$B&amp;赠品!$C:$C,赠品!$D:$D)</f>
        <v/>
      </c>
      <c r="Q456" s="18" t="str">
        <f>IF($C456="","",IF(AND(M456="",N456="",P456=""),"",固定信息!$B$1))</f>
        <v/>
      </c>
      <c r="R456" s="18" t="str">
        <f t="array" ref="R456">IF(ISNUMBER(SEARCH("是",_xlfn.XLOOKUP(A456&amp;B456&amp;C456,盘货信息!$A:$A&amp;盘货信息!$B:$B&amp;盘货信息!$C:$C,盘货信息!$U:$U))),"【折扣】指定型号满2类享96折，满3类享94折","")</f>
        <v/>
      </c>
      <c r="S456" s="18" t="str">
        <f t="array" ref="S456">IF(_xlfn.XLOOKUP(A456&amp;B456&amp;C456,盘货信息!$A:$A&amp;盘货信息!$B:$B&amp;盘货信息!$C:$C,盘货信息!$Q:$Q)&lt;1,"","【红包】活动时间购机送"&amp;_xlfn.TEXTJOIN("",,IF(ISNUMBER(--MID(_xlfn.XLOOKUP(A456&amp;B456&amp;C456,盘货信息!$A:$A&amp;盘货信息!$B:$B&amp;盘货信息!$C:$C,盘货信息!$Q:$Q),_xlfn.SEQUENCE(LEN(_xlfn.XLOOKUP(A456&amp;B456&amp;C456,盘货信息!$A:$A&amp;盘货信息!$B:$B&amp;盘货信息!$C:$C,盘货信息!$Q:$Q))),1)),MID(_xlfn.XLOOKUP(A456&amp;B456&amp;C456,盘货信息!$A:$A&amp;盘货信息!$B:$B&amp;盘货信息!$C:$C,盘货信息!$Q:$Q),_xlfn.SEQUENCE(LEN(_xlfn.XLOOKUP(A456&amp;B456&amp;C456,盘货信息!$A:$A&amp;盘货信息!$B:$B&amp;盘货信息!$C:$C,盘货信息!$Q:$Q))),1),""))&amp;"元")</f>
        <v/>
      </c>
      <c r="T456" s="18" t="str">
        <f t="array" ref="T456">IF(ISNUMBER(SEARCH("是",_xlfn.XLOOKUP(A456&amp;B456&amp;C456,盘货信息!$A:$A&amp;盘货信息!$B:$B&amp;盘货信息!$C:$C,盘货信息!$T:$T))),"【瓜分】"&amp;固定信息!$B$7,"")</f>
        <v/>
      </c>
      <c r="U456" s="18" t="str">
        <f>IF($C456="","",IF(AND(R456="",S456="",T456=""),"",固定信息!$B$1))</f>
        <v/>
      </c>
      <c r="V456" s="18" t="str">
        <f t="array" ref="V456">IF(C456="","","【服务】"&amp;IF(_xlfn.XLOOKUP(A456&amp;B456&amp;C456,盘货信息!$A:$A&amp;盘货信息!$B:$B&amp;盘货信息!$C:$C,盘货信息!$V:$V)="","",_xlfn.XLOOKUP(A456&amp;B456&amp;C456,盘货信息!$A:$A&amp;盘货信息!$B:$B&amp;盘货信息!$C:$C,盘货信息!$V:$V)&amp;"免息,")&amp;IF(_xlfn.XLOOKUP(A456&amp;B456&amp;C456,盘货信息!$A:$A&amp;盘货信息!$B:$B&amp;盘货信息!$C:$C,盘货信息!$W:$W)="","",_xlfn.XLOOKUP(A456&amp;B456&amp;C456,盘货信息!$A:$A&amp;盘货信息!$B:$B&amp;盘货信息!$C:$C,盘货信息!$W:$W)&amp;"，")&amp;"送货入户，退换免运费")</f>
        <v/>
      </c>
    </row>
    <row r="457" customHeight="1" spans="1:22">
      <c r="A457" s="17" t="str">
        <f>IF(盘货信息!A457="","",盘货信息!A457)</f>
        <v/>
      </c>
      <c r="B457" s="20" t="str">
        <f>IF(盘货信息!B457="","",盘货信息!B457)</f>
        <v/>
      </c>
      <c r="C457" s="18" t="str">
        <f>IF(盘货信息!C457="","",盘货信息!C457)</f>
        <v/>
      </c>
      <c r="D457" s="18" t="str">
        <f ca="1" t="shared" si="7"/>
        <v/>
      </c>
      <c r="E457" s="18" t="str">
        <f>IF(C457="","",固定信息!$B$2)</f>
        <v/>
      </c>
      <c r="F457" s="18" t="str">
        <f t="array" ref="F457">IF(C457="","","【"&amp;C457&amp;"】"&amp;_xlfn.XLOOKUP(A457&amp;B457&amp;C457,盘货信息!$A:$A&amp;盘货信息!$B:$B&amp;盘货信息!$C:$C,盘货信息!$D:$D))</f>
        <v/>
      </c>
      <c r="G457" s="18" t="str">
        <f>IF(C457="","","【"&amp;"活动时间："&amp;固定信息!$B$3&amp;"】")</f>
        <v/>
      </c>
      <c r="H457" s="18" t="str">
        <f>IF($C457="","",固定信息!$B$1)</f>
        <v/>
      </c>
      <c r="I457" s="18"/>
      <c r="J457" s="18" t="str">
        <f t="array" ref="J457">_xlfn.XLOOKUP(A457&amp;B457&amp;C457,价格信息!$A:$A&amp;价格信息!$B:$B&amp;价格信息!$C:$C,价格信息!$D:$D)</f>
        <v/>
      </c>
      <c r="K457" s="31" t="str">
        <f t="array" ref="K457">IF(_xlfn.XLOOKUP(A457&amp;B457&amp;C457,价格信息!$A:$A&amp;价格信息!$B:$B&amp;价格信息!$C:$C,价格信息!$I:$I)="","","【优惠券链接】"&amp;固定信息!$B$6)</f>
        <v/>
      </c>
      <c r="L457" s="31" t="str">
        <f>IF($C457="","",固定信息!$B$1)</f>
        <v/>
      </c>
      <c r="M457" s="18" t="str">
        <f t="array" ref="M457">IF(_xlfn.XLOOKUP(A457&amp;B457&amp;C457,盘货信息!$A:$A&amp;盘货信息!$B:$B&amp;盘货信息!$C:$C,盘货信息!$O:$O)="","","【优惠券】领"&amp;INDEX(_wpsfn.REGEXP(_xlfn.XLOOKUP(A457&amp;B457&amp;C457,盘货信息!$A:$A&amp;盘货信息!$B:$B&amp;盘货信息!$C:$C,盘货信息!$O:$O),"\d+"),1,1)&amp;"元优惠券下单更优惠，优惠卷："&amp;_xlfn.XLOOKUP(A457&amp;B457&amp;C457,盘货信息!$A:$A&amp;盘货信息!$B:$B&amp;盘货信息!$C:$C,盘货信息!$P:$P))</f>
        <v/>
      </c>
      <c r="N457" s="18" t="str">
        <f t="array" ref="N457">IF(AND(ISNUMBER(_xlfn.XLOOKUP(A457&amp;B457&amp;C457,盘货信息!$A:$A&amp;盘货信息!$B:$B&amp;盘货信息!$C:$C,盘货信息!$I:$I)),_xlfn.XLOOKUP(A457&amp;B457&amp;C457,盘货信息!$A:$A&amp;盘货信息!$B:$B&amp;盘货信息!$C:$C,盘货信息!$I:$I)&gt;1),"【88VIP】立减"&amp;_xlfn.XLOOKUP(A457&amp;B457&amp;C457,盘货信息!$A:$A&amp;盘货信息!$B:$B&amp;盘货信息!$C:$C,盘货信息!$I:$I)&amp;"元","")</f>
        <v/>
      </c>
      <c r="O457" s="18" t="str">
        <f t="array" ref="O457">IF(_xlfn.XLOOKUP(A457&amp;B457&amp;C457,盘货信息!$A:$A&amp;盘货信息!$B:$B&amp;盘货信息!$C:$C,盘货信息!$K:$K)="","",IF(AND(_xlfn.XLOOKUP(A457&amp;B457&amp;C457,盘货信息!$A:$A&amp;盘货信息!$B:$B&amp;盘货信息!$C:$C,盘货信息!$G:$G)="不参加",_xlfn.XLOOKUP(A457&amp;B457&amp;C457,盘货信息!$A:$A&amp;盘货信息!$B:$B&amp;盘货信息!$C:$C,盘货信息!$H:$H)=""),"【以旧换新】"&amp;_xlfn.XLOOKUP(A457&amp;B457&amp;C457,盘货信息!$A:$A&amp;盘货信息!$B:$B&amp;盘货信息!$C:$C,盘货信息!$K:$K)&amp;"元以旧换新补贴（可无旧机换新）",""))</f>
        <v/>
      </c>
      <c r="P457" s="18" t="str">
        <f t="array" ref="P457">_xlfn.XLOOKUP(A457&amp;B457&amp;C457,赠品!$A:$A&amp;赠品!$B:$B&amp;赠品!$C:$C,赠品!$D:$D)</f>
        <v/>
      </c>
      <c r="Q457" s="18" t="str">
        <f>IF($C457="","",IF(AND(M457="",N457="",P457=""),"",固定信息!$B$1))</f>
        <v/>
      </c>
      <c r="R457" s="18" t="str">
        <f t="array" ref="R457">IF(ISNUMBER(SEARCH("是",_xlfn.XLOOKUP(A457&amp;B457&amp;C457,盘货信息!$A:$A&amp;盘货信息!$B:$B&amp;盘货信息!$C:$C,盘货信息!$U:$U))),"【折扣】指定型号满2类享96折，满3类享94折","")</f>
        <v/>
      </c>
      <c r="S457" s="18" t="str">
        <f t="array" ref="S457">IF(_xlfn.XLOOKUP(A457&amp;B457&amp;C457,盘货信息!$A:$A&amp;盘货信息!$B:$B&amp;盘货信息!$C:$C,盘货信息!$Q:$Q)&lt;1,"","【红包】活动时间购机送"&amp;_xlfn.TEXTJOIN("",,IF(ISNUMBER(--MID(_xlfn.XLOOKUP(A457&amp;B457&amp;C457,盘货信息!$A:$A&amp;盘货信息!$B:$B&amp;盘货信息!$C:$C,盘货信息!$Q:$Q),_xlfn.SEQUENCE(LEN(_xlfn.XLOOKUP(A457&amp;B457&amp;C457,盘货信息!$A:$A&amp;盘货信息!$B:$B&amp;盘货信息!$C:$C,盘货信息!$Q:$Q))),1)),MID(_xlfn.XLOOKUP(A457&amp;B457&amp;C457,盘货信息!$A:$A&amp;盘货信息!$B:$B&amp;盘货信息!$C:$C,盘货信息!$Q:$Q),_xlfn.SEQUENCE(LEN(_xlfn.XLOOKUP(A457&amp;B457&amp;C457,盘货信息!$A:$A&amp;盘货信息!$B:$B&amp;盘货信息!$C:$C,盘货信息!$Q:$Q))),1),""))&amp;"元")</f>
        <v/>
      </c>
      <c r="T457" s="18" t="str">
        <f t="array" ref="T457">IF(ISNUMBER(SEARCH("是",_xlfn.XLOOKUP(A457&amp;B457&amp;C457,盘货信息!$A:$A&amp;盘货信息!$B:$B&amp;盘货信息!$C:$C,盘货信息!$T:$T))),"【瓜分】"&amp;固定信息!$B$7,"")</f>
        <v/>
      </c>
      <c r="U457" s="18" t="str">
        <f>IF($C457="","",IF(AND(R457="",S457="",T457=""),"",固定信息!$B$1))</f>
        <v/>
      </c>
      <c r="V457" s="18" t="str">
        <f t="array" ref="V457">IF(C457="","","【服务】"&amp;IF(_xlfn.XLOOKUP(A457&amp;B457&amp;C457,盘货信息!$A:$A&amp;盘货信息!$B:$B&amp;盘货信息!$C:$C,盘货信息!$V:$V)="","",_xlfn.XLOOKUP(A457&amp;B457&amp;C457,盘货信息!$A:$A&amp;盘货信息!$B:$B&amp;盘货信息!$C:$C,盘货信息!$V:$V)&amp;"免息,")&amp;IF(_xlfn.XLOOKUP(A457&amp;B457&amp;C457,盘货信息!$A:$A&amp;盘货信息!$B:$B&amp;盘货信息!$C:$C,盘货信息!$W:$W)="","",_xlfn.XLOOKUP(A457&amp;B457&amp;C457,盘货信息!$A:$A&amp;盘货信息!$B:$B&amp;盘货信息!$C:$C,盘货信息!$W:$W)&amp;"，")&amp;"送货入户，退换免运费")</f>
        <v/>
      </c>
    </row>
    <row r="458" customHeight="1" spans="1:22">
      <c r="A458" s="17" t="str">
        <f>IF(盘货信息!A458="","",盘货信息!A458)</f>
        <v/>
      </c>
      <c r="B458" s="20" t="str">
        <f>IF(盘货信息!B458="","",盘货信息!B458)</f>
        <v/>
      </c>
      <c r="C458" s="18" t="str">
        <f>IF(盘货信息!C458="","",盘货信息!C458)</f>
        <v/>
      </c>
      <c r="D458" s="18" t="str">
        <f ca="1" t="shared" si="7"/>
        <v/>
      </c>
      <c r="E458" s="18" t="str">
        <f>IF(C458="","",固定信息!$B$2)</f>
        <v/>
      </c>
      <c r="F458" s="18" t="str">
        <f t="array" ref="F458">IF(C458="","","【"&amp;C458&amp;"】"&amp;_xlfn.XLOOKUP(A458&amp;B458&amp;C458,盘货信息!$A:$A&amp;盘货信息!$B:$B&amp;盘货信息!$C:$C,盘货信息!$D:$D))</f>
        <v/>
      </c>
      <c r="G458" s="18" t="str">
        <f>IF(C458="","","【"&amp;"活动时间："&amp;固定信息!$B$3&amp;"】")</f>
        <v/>
      </c>
      <c r="H458" s="18" t="str">
        <f>IF($C458="","",固定信息!$B$1)</f>
        <v/>
      </c>
      <c r="I458" s="18"/>
      <c r="J458" s="18" t="str">
        <f t="array" ref="J458">_xlfn.XLOOKUP(A458&amp;B458&amp;C458,价格信息!$A:$A&amp;价格信息!$B:$B&amp;价格信息!$C:$C,价格信息!$D:$D)</f>
        <v/>
      </c>
      <c r="K458" s="31" t="str">
        <f t="array" ref="K458">IF(_xlfn.XLOOKUP(A458&amp;B458&amp;C458,价格信息!$A:$A&amp;价格信息!$B:$B&amp;价格信息!$C:$C,价格信息!$I:$I)="","","【优惠券链接】"&amp;固定信息!$B$6)</f>
        <v/>
      </c>
      <c r="L458" s="31" t="str">
        <f>IF($C458="","",固定信息!$B$1)</f>
        <v/>
      </c>
      <c r="M458" s="18" t="str">
        <f t="array" ref="M458">IF(_xlfn.XLOOKUP(A458&amp;B458&amp;C458,盘货信息!$A:$A&amp;盘货信息!$B:$B&amp;盘货信息!$C:$C,盘货信息!$O:$O)="","","【优惠券】领"&amp;INDEX(_wpsfn.REGEXP(_xlfn.XLOOKUP(A458&amp;B458&amp;C458,盘货信息!$A:$A&amp;盘货信息!$B:$B&amp;盘货信息!$C:$C,盘货信息!$O:$O),"\d+"),1,1)&amp;"元优惠券下单更优惠，优惠卷："&amp;_xlfn.XLOOKUP(A458&amp;B458&amp;C458,盘货信息!$A:$A&amp;盘货信息!$B:$B&amp;盘货信息!$C:$C,盘货信息!$P:$P))</f>
        <v/>
      </c>
      <c r="N458" s="18" t="str">
        <f t="array" ref="N458">IF(AND(ISNUMBER(_xlfn.XLOOKUP(A458&amp;B458&amp;C458,盘货信息!$A:$A&amp;盘货信息!$B:$B&amp;盘货信息!$C:$C,盘货信息!$I:$I)),_xlfn.XLOOKUP(A458&amp;B458&amp;C458,盘货信息!$A:$A&amp;盘货信息!$B:$B&amp;盘货信息!$C:$C,盘货信息!$I:$I)&gt;1),"【88VIP】立减"&amp;_xlfn.XLOOKUP(A458&amp;B458&amp;C458,盘货信息!$A:$A&amp;盘货信息!$B:$B&amp;盘货信息!$C:$C,盘货信息!$I:$I)&amp;"元","")</f>
        <v/>
      </c>
      <c r="O458" s="18" t="str">
        <f t="array" ref="O458">IF(_xlfn.XLOOKUP(A458&amp;B458&amp;C458,盘货信息!$A:$A&amp;盘货信息!$B:$B&amp;盘货信息!$C:$C,盘货信息!$K:$K)="","",IF(AND(_xlfn.XLOOKUP(A458&amp;B458&amp;C458,盘货信息!$A:$A&amp;盘货信息!$B:$B&amp;盘货信息!$C:$C,盘货信息!$G:$G)="不参加",_xlfn.XLOOKUP(A458&amp;B458&amp;C458,盘货信息!$A:$A&amp;盘货信息!$B:$B&amp;盘货信息!$C:$C,盘货信息!$H:$H)=""),"【以旧换新】"&amp;_xlfn.XLOOKUP(A458&amp;B458&amp;C458,盘货信息!$A:$A&amp;盘货信息!$B:$B&amp;盘货信息!$C:$C,盘货信息!$K:$K)&amp;"元以旧换新补贴（可无旧机换新）",""))</f>
        <v/>
      </c>
      <c r="P458" s="18" t="str">
        <f t="array" ref="P458">_xlfn.XLOOKUP(A458&amp;B458&amp;C458,赠品!$A:$A&amp;赠品!$B:$B&amp;赠品!$C:$C,赠品!$D:$D)</f>
        <v/>
      </c>
      <c r="Q458" s="18" t="str">
        <f>IF($C458="","",IF(AND(M458="",N458="",P458=""),"",固定信息!$B$1))</f>
        <v/>
      </c>
      <c r="R458" s="18" t="str">
        <f t="array" ref="R458">IF(ISNUMBER(SEARCH("是",_xlfn.XLOOKUP(A458&amp;B458&amp;C458,盘货信息!$A:$A&amp;盘货信息!$B:$B&amp;盘货信息!$C:$C,盘货信息!$U:$U))),"【折扣】指定型号满2类享96折，满3类享94折","")</f>
        <v/>
      </c>
      <c r="S458" s="18" t="str">
        <f t="array" ref="S458">IF(_xlfn.XLOOKUP(A458&amp;B458&amp;C458,盘货信息!$A:$A&amp;盘货信息!$B:$B&amp;盘货信息!$C:$C,盘货信息!$Q:$Q)&lt;1,"","【红包】活动时间购机送"&amp;_xlfn.TEXTJOIN("",,IF(ISNUMBER(--MID(_xlfn.XLOOKUP(A458&amp;B458&amp;C458,盘货信息!$A:$A&amp;盘货信息!$B:$B&amp;盘货信息!$C:$C,盘货信息!$Q:$Q),_xlfn.SEQUENCE(LEN(_xlfn.XLOOKUP(A458&amp;B458&amp;C458,盘货信息!$A:$A&amp;盘货信息!$B:$B&amp;盘货信息!$C:$C,盘货信息!$Q:$Q))),1)),MID(_xlfn.XLOOKUP(A458&amp;B458&amp;C458,盘货信息!$A:$A&amp;盘货信息!$B:$B&amp;盘货信息!$C:$C,盘货信息!$Q:$Q),_xlfn.SEQUENCE(LEN(_xlfn.XLOOKUP(A458&amp;B458&amp;C458,盘货信息!$A:$A&amp;盘货信息!$B:$B&amp;盘货信息!$C:$C,盘货信息!$Q:$Q))),1),""))&amp;"元")</f>
        <v/>
      </c>
      <c r="T458" s="18" t="str">
        <f t="array" ref="T458">IF(ISNUMBER(SEARCH("是",_xlfn.XLOOKUP(A458&amp;B458&amp;C458,盘货信息!$A:$A&amp;盘货信息!$B:$B&amp;盘货信息!$C:$C,盘货信息!$T:$T))),"【瓜分】"&amp;固定信息!$B$7,"")</f>
        <v/>
      </c>
      <c r="U458" s="18" t="str">
        <f>IF($C458="","",IF(AND(R458="",S458="",T458=""),"",固定信息!$B$1))</f>
        <v/>
      </c>
      <c r="V458" s="18" t="str">
        <f t="array" ref="V458">IF(C458="","","【服务】"&amp;IF(_xlfn.XLOOKUP(A458&amp;B458&amp;C458,盘货信息!$A:$A&amp;盘货信息!$B:$B&amp;盘货信息!$C:$C,盘货信息!$V:$V)="","",_xlfn.XLOOKUP(A458&amp;B458&amp;C458,盘货信息!$A:$A&amp;盘货信息!$B:$B&amp;盘货信息!$C:$C,盘货信息!$V:$V)&amp;"免息,")&amp;IF(_xlfn.XLOOKUP(A458&amp;B458&amp;C458,盘货信息!$A:$A&amp;盘货信息!$B:$B&amp;盘货信息!$C:$C,盘货信息!$W:$W)="","",_xlfn.XLOOKUP(A458&amp;B458&amp;C458,盘货信息!$A:$A&amp;盘货信息!$B:$B&amp;盘货信息!$C:$C,盘货信息!$W:$W)&amp;"，")&amp;"送货入户，退换免运费")</f>
        <v/>
      </c>
    </row>
    <row r="459" customHeight="1" spans="1:22">
      <c r="A459" s="17" t="str">
        <f>IF(盘货信息!A459="","",盘货信息!A459)</f>
        <v/>
      </c>
      <c r="B459" s="20" t="str">
        <f>IF(盘货信息!B459="","",盘货信息!B459)</f>
        <v/>
      </c>
      <c r="C459" s="18" t="str">
        <f>IF(盘货信息!C459="","",盘货信息!C459)</f>
        <v/>
      </c>
      <c r="D459" s="18" t="str">
        <f ca="1" t="shared" si="7"/>
        <v/>
      </c>
      <c r="E459" s="18" t="str">
        <f>IF(C459="","",固定信息!$B$2)</f>
        <v/>
      </c>
      <c r="F459" s="18" t="str">
        <f t="array" ref="F459">IF(C459="","","【"&amp;C459&amp;"】"&amp;_xlfn.XLOOKUP(A459&amp;B459&amp;C459,盘货信息!$A:$A&amp;盘货信息!$B:$B&amp;盘货信息!$C:$C,盘货信息!$D:$D))</f>
        <v/>
      </c>
      <c r="G459" s="18" t="str">
        <f>IF(C459="","","【"&amp;"活动时间："&amp;固定信息!$B$3&amp;"】")</f>
        <v/>
      </c>
      <c r="H459" s="18" t="str">
        <f>IF($C459="","",固定信息!$B$1)</f>
        <v/>
      </c>
      <c r="I459" s="18"/>
      <c r="J459" s="18" t="str">
        <f t="array" ref="J459">_xlfn.XLOOKUP(A459&amp;B459&amp;C459,价格信息!$A:$A&amp;价格信息!$B:$B&amp;价格信息!$C:$C,价格信息!$D:$D)</f>
        <v/>
      </c>
      <c r="K459" s="31" t="str">
        <f t="array" ref="K459">IF(_xlfn.XLOOKUP(A459&amp;B459&amp;C459,价格信息!$A:$A&amp;价格信息!$B:$B&amp;价格信息!$C:$C,价格信息!$I:$I)="","","【优惠券链接】"&amp;固定信息!$B$6)</f>
        <v/>
      </c>
      <c r="L459" s="31" t="str">
        <f>IF($C459="","",固定信息!$B$1)</f>
        <v/>
      </c>
      <c r="M459" s="18" t="str">
        <f t="array" ref="M459">IF(_xlfn.XLOOKUP(A459&amp;B459&amp;C459,盘货信息!$A:$A&amp;盘货信息!$B:$B&amp;盘货信息!$C:$C,盘货信息!$O:$O)="","","【优惠券】领"&amp;INDEX(_wpsfn.REGEXP(_xlfn.XLOOKUP(A459&amp;B459&amp;C459,盘货信息!$A:$A&amp;盘货信息!$B:$B&amp;盘货信息!$C:$C,盘货信息!$O:$O),"\d+"),1,1)&amp;"元优惠券下单更优惠，优惠卷："&amp;_xlfn.XLOOKUP(A459&amp;B459&amp;C459,盘货信息!$A:$A&amp;盘货信息!$B:$B&amp;盘货信息!$C:$C,盘货信息!$P:$P))</f>
        <v/>
      </c>
      <c r="N459" s="18" t="str">
        <f t="array" ref="N459">IF(AND(ISNUMBER(_xlfn.XLOOKUP(A459&amp;B459&amp;C459,盘货信息!$A:$A&amp;盘货信息!$B:$B&amp;盘货信息!$C:$C,盘货信息!$I:$I)),_xlfn.XLOOKUP(A459&amp;B459&amp;C459,盘货信息!$A:$A&amp;盘货信息!$B:$B&amp;盘货信息!$C:$C,盘货信息!$I:$I)&gt;1),"【88VIP】立减"&amp;_xlfn.XLOOKUP(A459&amp;B459&amp;C459,盘货信息!$A:$A&amp;盘货信息!$B:$B&amp;盘货信息!$C:$C,盘货信息!$I:$I)&amp;"元","")</f>
        <v/>
      </c>
      <c r="O459" s="18" t="str">
        <f t="array" ref="O459">IF(_xlfn.XLOOKUP(A459&amp;B459&amp;C459,盘货信息!$A:$A&amp;盘货信息!$B:$B&amp;盘货信息!$C:$C,盘货信息!$K:$K)="","",IF(AND(_xlfn.XLOOKUP(A459&amp;B459&amp;C459,盘货信息!$A:$A&amp;盘货信息!$B:$B&amp;盘货信息!$C:$C,盘货信息!$G:$G)="不参加",_xlfn.XLOOKUP(A459&amp;B459&amp;C459,盘货信息!$A:$A&amp;盘货信息!$B:$B&amp;盘货信息!$C:$C,盘货信息!$H:$H)=""),"【以旧换新】"&amp;_xlfn.XLOOKUP(A459&amp;B459&amp;C459,盘货信息!$A:$A&amp;盘货信息!$B:$B&amp;盘货信息!$C:$C,盘货信息!$K:$K)&amp;"元以旧换新补贴（可无旧机换新）",""))</f>
        <v/>
      </c>
      <c r="P459" s="18" t="str">
        <f t="array" ref="P459">_xlfn.XLOOKUP(A459&amp;B459&amp;C459,赠品!$A:$A&amp;赠品!$B:$B&amp;赠品!$C:$C,赠品!$D:$D)</f>
        <v/>
      </c>
      <c r="Q459" s="18" t="str">
        <f>IF($C459="","",IF(AND(M459="",N459="",P459=""),"",固定信息!$B$1))</f>
        <v/>
      </c>
      <c r="R459" s="18" t="str">
        <f t="array" ref="R459">IF(ISNUMBER(SEARCH("是",_xlfn.XLOOKUP(A459&amp;B459&amp;C459,盘货信息!$A:$A&amp;盘货信息!$B:$B&amp;盘货信息!$C:$C,盘货信息!$U:$U))),"【折扣】指定型号满2类享96折，满3类享94折","")</f>
        <v/>
      </c>
      <c r="S459" s="18" t="str">
        <f t="array" ref="S459">IF(_xlfn.XLOOKUP(A459&amp;B459&amp;C459,盘货信息!$A:$A&amp;盘货信息!$B:$B&amp;盘货信息!$C:$C,盘货信息!$Q:$Q)&lt;1,"","【红包】活动时间购机送"&amp;_xlfn.TEXTJOIN("",,IF(ISNUMBER(--MID(_xlfn.XLOOKUP(A459&amp;B459&amp;C459,盘货信息!$A:$A&amp;盘货信息!$B:$B&amp;盘货信息!$C:$C,盘货信息!$Q:$Q),_xlfn.SEQUENCE(LEN(_xlfn.XLOOKUP(A459&amp;B459&amp;C459,盘货信息!$A:$A&amp;盘货信息!$B:$B&amp;盘货信息!$C:$C,盘货信息!$Q:$Q))),1)),MID(_xlfn.XLOOKUP(A459&amp;B459&amp;C459,盘货信息!$A:$A&amp;盘货信息!$B:$B&amp;盘货信息!$C:$C,盘货信息!$Q:$Q),_xlfn.SEQUENCE(LEN(_xlfn.XLOOKUP(A459&amp;B459&amp;C459,盘货信息!$A:$A&amp;盘货信息!$B:$B&amp;盘货信息!$C:$C,盘货信息!$Q:$Q))),1),""))&amp;"元")</f>
        <v/>
      </c>
      <c r="T459" s="18" t="str">
        <f t="array" ref="T459">IF(ISNUMBER(SEARCH("是",_xlfn.XLOOKUP(A459&amp;B459&amp;C459,盘货信息!$A:$A&amp;盘货信息!$B:$B&amp;盘货信息!$C:$C,盘货信息!$T:$T))),"【瓜分】"&amp;固定信息!$B$7,"")</f>
        <v/>
      </c>
      <c r="U459" s="18" t="str">
        <f>IF($C459="","",IF(AND(R459="",S459="",T459=""),"",固定信息!$B$1))</f>
        <v/>
      </c>
      <c r="V459" s="18" t="str">
        <f t="array" ref="V459">IF(C459="","","【服务】"&amp;IF(_xlfn.XLOOKUP(A459&amp;B459&amp;C459,盘货信息!$A:$A&amp;盘货信息!$B:$B&amp;盘货信息!$C:$C,盘货信息!$V:$V)="","",_xlfn.XLOOKUP(A459&amp;B459&amp;C459,盘货信息!$A:$A&amp;盘货信息!$B:$B&amp;盘货信息!$C:$C,盘货信息!$V:$V)&amp;"免息,")&amp;IF(_xlfn.XLOOKUP(A459&amp;B459&amp;C459,盘货信息!$A:$A&amp;盘货信息!$B:$B&amp;盘货信息!$C:$C,盘货信息!$W:$W)="","",_xlfn.XLOOKUP(A459&amp;B459&amp;C459,盘货信息!$A:$A&amp;盘货信息!$B:$B&amp;盘货信息!$C:$C,盘货信息!$W:$W)&amp;"，")&amp;"送货入户，退换免运费")</f>
        <v/>
      </c>
    </row>
    <row r="460" customHeight="1" spans="1:22">
      <c r="A460" s="17" t="str">
        <f>IF(盘货信息!A460="","",盘货信息!A460)</f>
        <v/>
      </c>
      <c r="B460" s="20" t="str">
        <f>IF(盘货信息!B460="","",盘货信息!B460)</f>
        <v/>
      </c>
      <c r="C460" s="18" t="str">
        <f>IF(盘货信息!C460="","",盘货信息!C460)</f>
        <v/>
      </c>
      <c r="D460" s="18" t="str">
        <f ca="1" t="shared" si="7"/>
        <v/>
      </c>
      <c r="E460" s="18" t="str">
        <f>IF(C460="","",固定信息!$B$2)</f>
        <v/>
      </c>
      <c r="F460" s="18" t="str">
        <f t="array" ref="F460">IF(C460="","","【"&amp;C460&amp;"】"&amp;_xlfn.XLOOKUP(A460&amp;B460&amp;C460,盘货信息!$A:$A&amp;盘货信息!$B:$B&amp;盘货信息!$C:$C,盘货信息!$D:$D))</f>
        <v/>
      </c>
      <c r="G460" s="18" t="str">
        <f>IF(C460="","","【"&amp;"活动时间："&amp;固定信息!$B$3&amp;"】")</f>
        <v/>
      </c>
      <c r="H460" s="18" t="str">
        <f>IF($C460="","",固定信息!$B$1)</f>
        <v/>
      </c>
      <c r="I460" s="18"/>
      <c r="J460" s="18" t="str">
        <f t="array" ref="J460">_xlfn.XLOOKUP(A460&amp;B460&amp;C460,价格信息!$A:$A&amp;价格信息!$B:$B&amp;价格信息!$C:$C,价格信息!$D:$D)</f>
        <v/>
      </c>
      <c r="K460" s="31" t="str">
        <f t="array" ref="K460">IF(_xlfn.XLOOKUP(A460&amp;B460&amp;C460,价格信息!$A:$A&amp;价格信息!$B:$B&amp;价格信息!$C:$C,价格信息!$I:$I)="","","【优惠券链接】"&amp;固定信息!$B$6)</f>
        <v/>
      </c>
      <c r="L460" s="31" t="str">
        <f>IF($C460="","",固定信息!$B$1)</f>
        <v/>
      </c>
      <c r="M460" s="18" t="str">
        <f t="array" ref="M460">IF(_xlfn.XLOOKUP(A460&amp;B460&amp;C460,盘货信息!$A:$A&amp;盘货信息!$B:$B&amp;盘货信息!$C:$C,盘货信息!$O:$O)="","","【优惠券】领"&amp;INDEX(_wpsfn.REGEXP(_xlfn.XLOOKUP(A460&amp;B460&amp;C460,盘货信息!$A:$A&amp;盘货信息!$B:$B&amp;盘货信息!$C:$C,盘货信息!$O:$O),"\d+"),1,1)&amp;"元优惠券下单更优惠，优惠卷："&amp;_xlfn.XLOOKUP(A460&amp;B460&amp;C460,盘货信息!$A:$A&amp;盘货信息!$B:$B&amp;盘货信息!$C:$C,盘货信息!$P:$P))</f>
        <v/>
      </c>
      <c r="N460" s="18" t="str">
        <f t="array" ref="N460">IF(AND(ISNUMBER(_xlfn.XLOOKUP(A460&amp;B460&amp;C460,盘货信息!$A:$A&amp;盘货信息!$B:$B&amp;盘货信息!$C:$C,盘货信息!$I:$I)),_xlfn.XLOOKUP(A460&amp;B460&amp;C460,盘货信息!$A:$A&amp;盘货信息!$B:$B&amp;盘货信息!$C:$C,盘货信息!$I:$I)&gt;1),"【88VIP】立减"&amp;_xlfn.XLOOKUP(A460&amp;B460&amp;C460,盘货信息!$A:$A&amp;盘货信息!$B:$B&amp;盘货信息!$C:$C,盘货信息!$I:$I)&amp;"元","")</f>
        <v/>
      </c>
      <c r="O460" s="18" t="str">
        <f t="array" ref="O460">IF(_xlfn.XLOOKUP(A460&amp;B460&amp;C460,盘货信息!$A:$A&amp;盘货信息!$B:$B&amp;盘货信息!$C:$C,盘货信息!$K:$K)="","",IF(AND(_xlfn.XLOOKUP(A460&amp;B460&amp;C460,盘货信息!$A:$A&amp;盘货信息!$B:$B&amp;盘货信息!$C:$C,盘货信息!$G:$G)="不参加",_xlfn.XLOOKUP(A460&amp;B460&amp;C460,盘货信息!$A:$A&amp;盘货信息!$B:$B&amp;盘货信息!$C:$C,盘货信息!$H:$H)=""),"【以旧换新】"&amp;_xlfn.XLOOKUP(A460&amp;B460&amp;C460,盘货信息!$A:$A&amp;盘货信息!$B:$B&amp;盘货信息!$C:$C,盘货信息!$K:$K)&amp;"元以旧换新补贴（可无旧机换新）",""))</f>
        <v/>
      </c>
      <c r="P460" s="18" t="str">
        <f t="array" ref="P460">_xlfn.XLOOKUP(A460&amp;B460&amp;C460,赠品!$A:$A&amp;赠品!$B:$B&amp;赠品!$C:$C,赠品!$D:$D)</f>
        <v/>
      </c>
      <c r="Q460" s="18" t="str">
        <f>IF($C460="","",IF(AND(M460="",N460="",P460=""),"",固定信息!$B$1))</f>
        <v/>
      </c>
      <c r="R460" s="18" t="str">
        <f t="array" ref="R460">IF(ISNUMBER(SEARCH("是",_xlfn.XLOOKUP(A460&amp;B460&amp;C460,盘货信息!$A:$A&amp;盘货信息!$B:$B&amp;盘货信息!$C:$C,盘货信息!$U:$U))),"【折扣】指定型号满2类享96折，满3类享94折","")</f>
        <v/>
      </c>
      <c r="S460" s="18" t="str">
        <f t="array" ref="S460">IF(_xlfn.XLOOKUP(A460&amp;B460&amp;C460,盘货信息!$A:$A&amp;盘货信息!$B:$B&amp;盘货信息!$C:$C,盘货信息!$Q:$Q)&lt;1,"","【红包】活动时间购机送"&amp;_xlfn.TEXTJOIN("",,IF(ISNUMBER(--MID(_xlfn.XLOOKUP(A460&amp;B460&amp;C460,盘货信息!$A:$A&amp;盘货信息!$B:$B&amp;盘货信息!$C:$C,盘货信息!$Q:$Q),_xlfn.SEQUENCE(LEN(_xlfn.XLOOKUP(A460&amp;B460&amp;C460,盘货信息!$A:$A&amp;盘货信息!$B:$B&amp;盘货信息!$C:$C,盘货信息!$Q:$Q))),1)),MID(_xlfn.XLOOKUP(A460&amp;B460&amp;C460,盘货信息!$A:$A&amp;盘货信息!$B:$B&amp;盘货信息!$C:$C,盘货信息!$Q:$Q),_xlfn.SEQUENCE(LEN(_xlfn.XLOOKUP(A460&amp;B460&amp;C460,盘货信息!$A:$A&amp;盘货信息!$B:$B&amp;盘货信息!$C:$C,盘货信息!$Q:$Q))),1),""))&amp;"元")</f>
        <v/>
      </c>
      <c r="T460" s="18" t="str">
        <f t="array" ref="T460">IF(ISNUMBER(SEARCH("是",_xlfn.XLOOKUP(A460&amp;B460&amp;C460,盘货信息!$A:$A&amp;盘货信息!$B:$B&amp;盘货信息!$C:$C,盘货信息!$T:$T))),"【瓜分】"&amp;固定信息!$B$7,"")</f>
        <v/>
      </c>
      <c r="U460" s="18" t="str">
        <f>IF($C460="","",IF(AND(R460="",S460="",T460=""),"",固定信息!$B$1))</f>
        <v/>
      </c>
      <c r="V460" s="18" t="str">
        <f t="array" ref="V460">IF(C460="","","【服务】"&amp;IF(_xlfn.XLOOKUP(A460&amp;B460&amp;C460,盘货信息!$A:$A&amp;盘货信息!$B:$B&amp;盘货信息!$C:$C,盘货信息!$V:$V)="","",_xlfn.XLOOKUP(A460&amp;B460&amp;C460,盘货信息!$A:$A&amp;盘货信息!$B:$B&amp;盘货信息!$C:$C,盘货信息!$V:$V)&amp;"免息,")&amp;IF(_xlfn.XLOOKUP(A460&amp;B460&amp;C460,盘货信息!$A:$A&amp;盘货信息!$B:$B&amp;盘货信息!$C:$C,盘货信息!$W:$W)="","",_xlfn.XLOOKUP(A460&amp;B460&amp;C460,盘货信息!$A:$A&amp;盘货信息!$B:$B&amp;盘货信息!$C:$C,盘货信息!$W:$W)&amp;"，")&amp;"送货入户，退换免运费")</f>
        <v/>
      </c>
    </row>
    <row r="461" customHeight="1" spans="1:22">
      <c r="A461" s="17" t="str">
        <f>IF(盘货信息!A461="","",盘货信息!A461)</f>
        <v/>
      </c>
      <c r="B461" s="20" t="str">
        <f>IF(盘货信息!B461="","",盘货信息!B461)</f>
        <v/>
      </c>
      <c r="C461" s="18" t="str">
        <f>IF(盘货信息!C461="","",盘货信息!C461)</f>
        <v/>
      </c>
      <c r="D461" s="18" t="str">
        <f ca="1" t="shared" si="7"/>
        <v/>
      </c>
      <c r="E461" s="18" t="str">
        <f>IF(C461="","",固定信息!$B$2)</f>
        <v/>
      </c>
      <c r="F461" s="18" t="str">
        <f t="array" ref="F461">IF(C461="","","【"&amp;C461&amp;"】"&amp;_xlfn.XLOOKUP(A461&amp;B461&amp;C461,盘货信息!$A:$A&amp;盘货信息!$B:$B&amp;盘货信息!$C:$C,盘货信息!$D:$D))</f>
        <v/>
      </c>
      <c r="G461" s="18" t="str">
        <f>IF(C461="","","【"&amp;"活动时间："&amp;固定信息!$B$3&amp;"】")</f>
        <v/>
      </c>
      <c r="H461" s="18" t="str">
        <f>IF($C461="","",固定信息!$B$1)</f>
        <v/>
      </c>
      <c r="I461" s="18"/>
      <c r="J461" s="18" t="str">
        <f t="array" ref="J461">_xlfn.XLOOKUP(A461&amp;B461&amp;C461,价格信息!$A:$A&amp;价格信息!$B:$B&amp;价格信息!$C:$C,价格信息!$D:$D)</f>
        <v/>
      </c>
      <c r="K461" s="31" t="str">
        <f t="array" ref="K461">IF(_xlfn.XLOOKUP(A461&amp;B461&amp;C461,价格信息!$A:$A&amp;价格信息!$B:$B&amp;价格信息!$C:$C,价格信息!$I:$I)="","","【优惠券链接】"&amp;固定信息!$B$6)</f>
        <v/>
      </c>
      <c r="L461" s="31" t="str">
        <f>IF($C461="","",固定信息!$B$1)</f>
        <v/>
      </c>
      <c r="M461" s="18" t="str">
        <f t="array" ref="M461">IF(_xlfn.XLOOKUP(A461&amp;B461&amp;C461,盘货信息!$A:$A&amp;盘货信息!$B:$B&amp;盘货信息!$C:$C,盘货信息!$O:$O)="","","【优惠券】领"&amp;INDEX(_wpsfn.REGEXP(_xlfn.XLOOKUP(A461&amp;B461&amp;C461,盘货信息!$A:$A&amp;盘货信息!$B:$B&amp;盘货信息!$C:$C,盘货信息!$O:$O),"\d+"),1,1)&amp;"元优惠券下单更优惠，优惠卷："&amp;_xlfn.XLOOKUP(A461&amp;B461&amp;C461,盘货信息!$A:$A&amp;盘货信息!$B:$B&amp;盘货信息!$C:$C,盘货信息!$P:$P))</f>
        <v/>
      </c>
      <c r="N461" s="18" t="str">
        <f t="array" ref="N461">IF(AND(ISNUMBER(_xlfn.XLOOKUP(A461&amp;B461&amp;C461,盘货信息!$A:$A&amp;盘货信息!$B:$B&amp;盘货信息!$C:$C,盘货信息!$I:$I)),_xlfn.XLOOKUP(A461&amp;B461&amp;C461,盘货信息!$A:$A&amp;盘货信息!$B:$B&amp;盘货信息!$C:$C,盘货信息!$I:$I)&gt;1),"【88VIP】立减"&amp;_xlfn.XLOOKUP(A461&amp;B461&amp;C461,盘货信息!$A:$A&amp;盘货信息!$B:$B&amp;盘货信息!$C:$C,盘货信息!$I:$I)&amp;"元","")</f>
        <v/>
      </c>
      <c r="O461" s="18" t="str">
        <f t="array" ref="O461">IF(_xlfn.XLOOKUP(A461&amp;B461&amp;C461,盘货信息!$A:$A&amp;盘货信息!$B:$B&amp;盘货信息!$C:$C,盘货信息!$K:$K)="","",IF(AND(_xlfn.XLOOKUP(A461&amp;B461&amp;C461,盘货信息!$A:$A&amp;盘货信息!$B:$B&amp;盘货信息!$C:$C,盘货信息!$G:$G)="不参加",_xlfn.XLOOKUP(A461&amp;B461&amp;C461,盘货信息!$A:$A&amp;盘货信息!$B:$B&amp;盘货信息!$C:$C,盘货信息!$H:$H)=""),"【以旧换新】"&amp;_xlfn.XLOOKUP(A461&amp;B461&amp;C461,盘货信息!$A:$A&amp;盘货信息!$B:$B&amp;盘货信息!$C:$C,盘货信息!$K:$K)&amp;"元以旧换新补贴（可无旧机换新）",""))</f>
        <v/>
      </c>
      <c r="P461" s="18" t="str">
        <f t="array" ref="P461">_xlfn.XLOOKUP(A461&amp;B461&amp;C461,赠品!$A:$A&amp;赠品!$B:$B&amp;赠品!$C:$C,赠品!$D:$D)</f>
        <v/>
      </c>
      <c r="Q461" s="18" t="str">
        <f>IF($C461="","",IF(AND(M461="",N461="",P461=""),"",固定信息!$B$1))</f>
        <v/>
      </c>
      <c r="R461" s="18" t="str">
        <f t="array" ref="R461">IF(ISNUMBER(SEARCH("是",_xlfn.XLOOKUP(A461&amp;B461&amp;C461,盘货信息!$A:$A&amp;盘货信息!$B:$B&amp;盘货信息!$C:$C,盘货信息!$U:$U))),"【折扣】指定型号满2类享96折，满3类享94折","")</f>
        <v/>
      </c>
      <c r="S461" s="18" t="str">
        <f t="array" ref="S461">IF(_xlfn.XLOOKUP(A461&amp;B461&amp;C461,盘货信息!$A:$A&amp;盘货信息!$B:$B&amp;盘货信息!$C:$C,盘货信息!$Q:$Q)&lt;1,"","【红包】活动时间购机送"&amp;_xlfn.TEXTJOIN("",,IF(ISNUMBER(--MID(_xlfn.XLOOKUP(A461&amp;B461&amp;C461,盘货信息!$A:$A&amp;盘货信息!$B:$B&amp;盘货信息!$C:$C,盘货信息!$Q:$Q),_xlfn.SEQUENCE(LEN(_xlfn.XLOOKUP(A461&amp;B461&amp;C461,盘货信息!$A:$A&amp;盘货信息!$B:$B&amp;盘货信息!$C:$C,盘货信息!$Q:$Q))),1)),MID(_xlfn.XLOOKUP(A461&amp;B461&amp;C461,盘货信息!$A:$A&amp;盘货信息!$B:$B&amp;盘货信息!$C:$C,盘货信息!$Q:$Q),_xlfn.SEQUENCE(LEN(_xlfn.XLOOKUP(A461&amp;B461&amp;C461,盘货信息!$A:$A&amp;盘货信息!$B:$B&amp;盘货信息!$C:$C,盘货信息!$Q:$Q))),1),""))&amp;"元")</f>
        <v/>
      </c>
      <c r="T461" s="18" t="str">
        <f t="array" ref="T461">IF(ISNUMBER(SEARCH("是",_xlfn.XLOOKUP(A461&amp;B461&amp;C461,盘货信息!$A:$A&amp;盘货信息!$B:$B&amp;盘货信息!$C:$C,盘货信息!$T:$T))),"【瓜分】"&amp;固定信息!$B$7,"")</f>
        <v/>
      </c>
      <c r="U461" s="18" t="str">
        <f>IF($C461="","",IF(AND(R461="",S461="",T461=""),"",固定信息!$B$1))</f>
        <v/>
      </c>
      <c r="V461" s="18" t="str">
        <f t="array" ref="V461">IF(C461="","","【服务】"&amp;IF(_xlfn.XLOOKUP(A461&amp;B461&amp;C461,盘货信息!$A:$A&amp;盘货信息!$B:$B&amp;盘货信息!$C:$C,盘货信息!$V:$V)="","",_xlfn.XLOOKUP(A461&amp;B461&amp;C461,盘货信息!$A:$A&amp;盘货信息!$B:$B&amp;盘货信息!$C:$C,盘货信息!$V:$V)&amp;"免息,")&amp;IF(_xlfn.XLOOKUP(A461&amp;B461&amp;C461,盘货信息!$A:$A&amp;盘货信息!$B:$B&amp;盘货信息!$C:$C,盘货信息!$W:$W)="","",_xlfn.XLOOKUP(A461&amp;B461&amp;C461,盘货信息!$A:$A&amp;盘货信息!$B:$B&amp;盘货信息!$C:$C,盘货信息!$W:$W)&amp;"，")&amp;"送货入户，退换免运费")</f>
        <v/>
      </c>
    </row>
    <row r="462" customHeight="1" spans="1:22">
      <c r="A462" s="17" t="str">
        <f>IF(盘货信息!A462="","",盘货信息!A462)</f>
        <v/>
      </c>
      <c r="B462" s="20" t="str">
        <f>IF(盘货信息!B462="","",盘货信息!B462)</f>
        <v/>
      </c>
      <c r="C462" s="18" t="str">
        <f>IF(盘货信息!C462="","",盘货信息!C462)</f>
        <v/>
      </c>
      <c r="D462" s="18" t="str">
        <f ca="1" t="shared" si="7"/>
        <v/>
      </c>
      <c r="E462" s="18" t="str">
        <f>IF(C462="","",固定信息!$B$2)</f>
        <v/>
      </c>
      <c r="F462" s="18" t="str">
        <f t="array" ref="F462">IF(C462="","","【"&amp;C462&amp;"】"&amp;_xlfn.XLOOKUP(A462&amp;B462&amp;C462,盘货信息!$A:$A&amp;盘货信息!$B:$B&amp;盘货信息!$C:$C,盘货信息!$D:$D))</f>
        <v/>
      </c>
      <c r="G462" s="18" t="str">
        <f>IF(C462="","","【"&amp;"活动时间："&amp;固定信息!$B$3&amp;"】")</f>
        <v/>
      </c>
      <c r="H462" s="18" t="str">
        <f>IF($C462="","",固定信息!$B$1)</f>
        <v/>
      </c>
      <c r="I462" s="18"/>
      <c r="J462" s="18" t="str">
        <f t="array" ref="J462">_xlfn.XLOOKUP(A462&amp;B462&amp;C462,价格信息!$A:$A&amp;价格信息!$B:$B&amp;价格信息!$C:$C,价格信息!$D:$D)</f>
        <v/>
      </c>
      <c r="K462" s="31" t="str">
        <f t="array" ref="K462">IF(_xlfn.XLOOKUP(A462&amp;B462&amp;C462,价格信息!$A:$A&amp;价格信息!$B:$B&amp;价格信息!$C:$C,价格信息!$I:$I)="","","【优惠券链接】"&amp;固定信息!$B$6)</f>
        <v/>
      </c>
      <c r="L462" s="31" t="str">
        <f>IF($C462="","",固定信息!$B$1)</f>
        <v/>
      </c>
      <c r="M462" s="18" t="str">
        <f t="array" ref="M462">IF(_xlfn.XLOOKUP(A462&amp;B462&amp;C462,盘货信息!$A:$A&amp;盘货信息!$B:$B&amp;盘货信息!$C:$C,盘货信息!$O:$O)="","","【优惠券】领"&amp;INDEX(_wpsfn.REGEXP(_xlfn.XLOOKUP(A462&amp;B462&amp;C462,盘货信息!$A:$A&amp;盘货信息!$B:$B&amp;盘货信息!$C:$C,盘货信息!$O:$O),"\d+"),1,1)&amp;"元优惠券下单更优惠，优惠卷："&amp;_xlfn.XLOOKUP(A462&amp;B462&amp;C462,盘货信息!$A:$A&amp;盘货信息!$B:$B&amp;盘货信息!$C:$C,盘货信息!$P:$P))</f>
        <v/>
      </c>
      <c r="N462" s="18" t="str">
        <f t="array" ref="N462">IF(AND(ISNUMBER(_xlfn.XLOOKUP(A462&amp;B462&amp;C462,盘货信息!$A:$A&amp;盘货信息!$B:$B&amp;盘货信息!$C:$C,盘货信息!$I:$I)),_xlfn.XLOOKUP(A462&amp;B462&amp;C462,盘货信息!$A:$A&amp;盘货信息!$B:$B&amp;盘货信息!$C:$C,盘货信息!$I:$I)&gt;1),"【88VIP】立减"&amp;_xlfn.XLOOKUP(A462&amp;B462&amp;C462,盘货信息!$A:$A&amp;盘货信息!$B:$B&amp;盘货信息!$C:$C,盘货信息!$I:$I)&amp;"元","")</f>
        <v/>
      </c>
      <c r="O462" s="18" t="str">
        <f t="array" ref="O462">IF(_xlfn.XLOOKUP(A462&amp;B462&amp;C462,盘货信息!$A:$A&amp;盘货信息!$B:$B&amp;盘货信息!$C:$C,盘货信息!$K:$K)="","",IF(AND(_xlfn.XLOOKUP(A462&amp;B462&amp;C462,盘货信息!$A:$A&amp;盘货信息!$B:$B&amp;盘货信息!$C:$C,盘货信息!$G:$G)="不参加",_xlfn.XLOOKUP(A462&amp;B462&amp;C462,盘货信息!$A:$A&amp;盘货信息!$B:$B&amp;盘货信息!$C:$C,盘货信息!$H:$H)=""),"【以旧换新】"&amp;_xlfn.XLOOKUP(A462&amp;B462&amp;C462,盘货信息!$A:$A&amp;盘货信息!$B:$B&amp;盘货信息!$C:$C,盘货信息!$K:$K)&amp;"元以旧换新补贴（可无旧机换新）",""))</f>
        <v/>
      </c>
      <c r="P462" s="18" t="str">
        <f t="array" ref="P462">_xlfn.XLOOKUP(A462&amp;B462&amp;C462,赠品!$A:$A&amp;赠品!$B:$B&amp;赠品!$C:$C,赠品!$D:$D)</f>
        <v/>
      </c>
      <c r="Q462" s="18" t="str">
        <f>IF($C462="","",IF(AND(M462="",N462="",P462=""),"",固定信息!$B$1))</f>
        <v/>
      </c>
      <c r="R462" s="18" t="str">
        <f t="array" ref="R462">IF(ISNUMBER(SEARCH("是",_xlfn.XLOOKUP(A462&amp;B462&amp;C462,盘货信息!$A:$A&amp;盘货信息!$B:$B&amp;盘货信息!$C:$C,盘货信息!$U:$U))),"【折扣】指定型号满2类享96折，满3类享94折","")</f>
        <v/>
      </c>
      <c r="S462" s="18" t="str">
        <f t="array" ref="S462">IF(_xlfn.XLOOKUP(A462&amp;B462&amp;C462,盘货信息!$A:$A&amp;盘货信息!$B:$B&amp;盘货信息!$C:$C,盘货信息!$Q:$Q)&lt;1,"","【红包】活动时间购机送"&amp;_xlfn.TEXTJOIN("",,IF(ISNUMBER(--MID(_xlfn.XLOOKUP(A462&amp;B462&amp;C462,盘货信息!$A:$A&amp;盘货信息!$B:$B&amp;盘货信息!$C:$C,盘货信息!$Q:$Q),_xlfn.SEQUENCE(LEN(_xlfn.XLOOKUP(A462&amp;B462&amp;C462,盘货信息!$A:$A&amp;盘货信息!$B:$B&amp;盘货信息!$C:$C,盘货信息!$Q:$Q))),1)),MID(_xlfn.XLOOKUP(A462&amp;B462&amp;C462,盘货信息!$A:$A&amp;盘货信息!$B:$B&amp;盘货信息!$C:$C,盘货信息!$Q:$Q),_xlfn.SEQUENCE(LEN(_xlfn.XLOOKUP(A462&amp;B462&amp;C462,盘货信息!$A:$A&amp;盘货信息!$B:$B&amp;盘货信息!$C:$C,盘货信息!$Q:$Q))),1),""))&amp;"元")</f>
        <v/>
      </c>
      <c r="T462" s="18" t="str">
        <f t="array" ref="T462">IF(ISNUMBER(SEARCH("是",_xlfn.XLOOKUP(A462&amp;B462&amp;C462,盘货信息!$A:$A&amp;盘货信息!$B:$B&amp;盘货信息!$C:$C,盘货信息!$T:$T))),"【瓜分】"&amp;固定信息!$B$7,"")</f>
        <v/>
      </c>
      <c r="U462" s="18" t="str">
        <f>IF($C462="","",IF(AND(R462="",S462="",T462=""),"",固定信息!$B$1))</f>
        <v/>
      </c>
      <c r="V462" s="18" t="str">
        <f t="array" ref="V462">IF(C462="","","【服务】"&amp;IF(_xlfn.XLOOKUP(A462&amp;B462&amp;C462,盘货信息!$A:$A&amp;盘货信息!$B:$B&amp;盘货信息!$C:$C,盘货信息!$V:$V)="","",_xlfn.XLOOKUP(A462&amp;B462&amp;C462,盘货信息!$A:$A&amp;盘货信息!$B:$B&amp;盘货信息!$C:$C,盘货信息!$V:$V)&amp;"免息,")&amp;IF(_xlfn.XLOOKUP(A462&amp;B462&amp;C462,盘货信息!$A:$A&amp;盘货信息!$B:$B&amp;盘货信息!$C:$C,盘货信息!$W:$W)="","",_xlfn.XLOOKUP(A462&amp;B462&amp;C462,盘货信息!$A:$A&amp;盘货信息!$B:$B&amp;盘货信息!$C:$C,盘货信息!$W:$W)&amp;"，")&amp;"送货入户，退换免运费")</f>
        <v/>
      </c>
    </row>
    <row r="463" customHeight="1" spans="1:22">
      <c r="A463" s="17" t="str">
        <f>IF(盘货信息!A463="","",盘货信息!A463)</f>
        <v/>
      </c>
      <c r="B463" s="20" t="str">
        <f>IF(盘货信息!B463="","",盘货信息!B463)</f>
        <v/>
      </c>
      <c r="C463" s="18" t="str">
        <f>IF(盘货信息!C463="","",盘货信息!C463)</f>
        <v/>
      </c>
      <c r="D463" s="18" t="str">
        <f ca="1" t="shared" si="7"/>
        <v/>
      </c>
      <c r="E463" s="18" t="str">
        <f>IF(C463="","",固定信息!$B$2)</f>
        <v/>
      </c>
      <c r="F463" s="18" t="str">
        <f t="array" ref="F463">IF(C463="","","【"&amp;C463&amp;"】"&amp;_xlfn.XLOOKUP(A463&amp;B463&amp;C463,盘货信息!$A:$A&amp;盘货信息!$B:$B&amp;盘货信息!$C:$C,盘货信息!$D:$D))</f>
        <v/>
      </c>
      <c r="G463" s="18" t="str">
        <f>IF(C463="","","【"&amp;"活动时间："&amp;固定信息!$B$3&amp;"】")</f>
        <v/>
      </c>
      <c r="H463" s="18" t="str">
        <f>IF($C463="","",固定信息!$B$1)</f>
        <v/>
      </c>
      <c r="I463" s="18"/>
      <c r="J463" s="18" t="str">
        <f t="array" ref="J463">_xlfn.XLOOKUP(A463&amp;B463&amp;C463,价格信息!$A:$A&amp;价格信息!$B:$B&amp;价格信息!$C:$C,价格信息!$D:$D)</f>
        <v/>
      </c>
      <c r="K463" s="31" t="str">
        <f t="array" ref="K463">IF(_xlfn.XLOOKUP(A463&amp;B463&amp;C463,价格信息!$A:$A&amp;价格信息!$B:$B&amp;价格信息!$C:$C,价格信息!$I:$I)="","","【优惠券链接】"&amp;固定信息!$B$6)</f>
        <v/>
      </c>
      <c r="L463" s="31" t="str">
        <f>IF($C463="","",固定信息!$B$1)</f>
        <v/>
      </c>
      <c r="M463" s="18" t="str">
        <f t="array" ref="M463">IF(_xlfn.XLOOKUP(A463&amp;B463&amp;C463,盘货信息!$A:$A&amp;盘货信息!$B:$B&amp;盘货信息!$C:$C,盘货信息!$O:$O)="","","【优惠券】领"&amp;INDEX(_wpsfn.REGEXP(_xlfn.XLOOKUP(A463&amp;B463&amp;C463,盘货信息!$A:$A&amp;盘货信息!$B:$B&amp;盘货信息!$C:$C,盘货信息!$O:$O),"\d+"),1,1)&amp;"元优惠券下单更优惠，优惠卷："&amp;_xlfn.XLOOKUP(A463&amp;B463&amp;C463,盘货信息!$A:$A&amp;盘货信息!$B:$B&amp;盘货信息!$C:$C,盘货信息!$P:$P))</f>
        <v/>
      </c>
      <c r="N463" s="18" t="str">
        <f t="array" ref="N463">IF(AND(ISNUMBER(_xlfn.XLOOKUP(A463&amp;B463&amp;C463,盘货信息!$A:$A&amp;盘货信息!$B:$B&amp;盘货信息!$C:$C,盘货信息!$I:$I)),_xlfn.XLOOKUP(A463&amp;B463&amp;C463,盘货信息!$A:$A&amp;盘货信息!$B:$B&amp;盘货信息!$C:$C,盘货信息!$I:$I)&gt;1),"【88VIP】立减"&amp;_xlfn.XLOOKUP(A463&amp;B463&amp;C463,盘货信息!$A:$A&amp;盘货信息!$B:$B&amp;盘货信息!$C:$C,盘货信息!$I:$I)&amp;"元","")</f>
        <v/>
      </c>
      <c r="O463" s="18" t="str">
        <f t="array" ref="O463">IF(_xlfn.XLOOKUP(A463&amp;B463&amp;C463,盘货信息!$A:$A&amp;盘货信息!$B:$B&amp;盘货信息!$C:$C,盘货信息!$K:$K)="","",IF(AND(_xlfn.XLOOKUP(A463&amp;B463&amp;C463,盘货信息!$A:$A&amp;盘货信息!$B:$B&amp;盘货信息!$C:$C,盘货信息!$G:$G)="不参加",_xlfn.XLOOKUP(A463&amp;B463&amp;C463,盘货信息!$A:$A&amp;盘货信息!$B:$B&amp;盘货信息!$C:$C,盘货信息!$H:$H)=""),"【以旧换新】"&amp;_xlfn.XLOOKUP(A463&amp;B463&amp;C463,盘货信息!$A:$A&amp;盘货信息!$B:$B&amp;盘货信息!$C:$C,盘货信息!$K:$K)&amp;"元以旧换新补贴（可无旧机换新）",""))</f>
        <v/>
      </c>
      <c r="P463" s="18" t="str">
        <f t="array" ref="P463">_xlfn.XLOOKUP(A463&amp;B463&amp;C463,赠品!$A:$A&amp;赠品!$B:$B&amp;赠品!$C:$C,赠品!$D:$D)</f>
        <v/>
      </c>
      <c r="Q463" s="18" t="str">
        <f>IF($C463="","",IF(AND(M463="",N463="",P463=""),"",固定信息!$B$1))</f>
        <v/>
      </c>
      <c r="R463" s="18" t="str">
        <f t="array" ref="R463">IF(ISNUMBER(SEARCH("是",_xlfn.XLOOKUP(A463&amp;B463&amp;C463,盘货信息!$A:$A&amp;盘货信息!$B:$B&amp;盘货信息!$C:$C,盘货信息!$U:$U))),"【折扣】指定型号满2类享96折，满3类享94折","")</f>
        <v/>
      </c>
      <c r="S463" s="18" t="str">
        <f t="array" ref="S463">IF(_xlfn.XLOOKUP(A463&amp;B463&amp;C463,盘货信息!$A:$A&amp;盘货信息!$B:$B&amp;盘货信息!$C:$C,盘货信息!$Q:$Q)&lt;1,"","【红包】活动时间购机送"&amp;_xlfn.TEXTJOIN("",,IF(ISNUMBER(--MID(_xlfn.XLOOKUP(A463&amp;B463&amp;C463,盘货信息!$A:$A&amp;盘货信息!$B:$B&amp;盘货信息!$C:$C,盘货信息!$Q:$Q),_xlfn.SEQUENCE(LEN(_xlfn.XLOOKUP(A463&amp;B463&amp;C463,盘货信息!$A:$A&amp;盘货信息!$B:$B&amp;盘货信息!$C:$C,盘货信息!$Q:$Q))),1)),MID(_xlfn.XLOOKUP(A463&amp;B463&amp;C463,盘货信息!$A:$A&amp;盘货信息!$B:$B&amp;盘货信息!$C:$C,盘货信息!$Q:$Q),_xlfn.SEQUENCE(LEN(_xlfn.XLOOKUP(A463&amp;B463&amp;C463,盘货信息!$A:$A&amp;盘货信息!$B:$B&amp;盘货信息!$C:$C,盘货信息!$Q:$Q))),1),""))&amp;"元")</f>
        <v/>
      </c>
      <c r="T463" s="18" t="str">
        <f t="array" ref="T463">IF(ISNUMBER(SEARCH("是",_xlfn.XLOOKUP(A463&amp;B463&amp;C463,盘货信息!$A:$A&amp;盘货信息!$B:$B&amp;盘货信息!$C:$C,盘货信息!$T:$T))),"【瓜分】"&amp;固定信息!$B$7,"")</f>
        <v/>
      </c>
      <c r="U463" s="18" t="str">
        <f>IF($C463="","",IF(AND(R463="",S463="",T463=""),"",固定信息!$B$1))</f>
        <v/>
      </c>
      <c r="V463" s="18" t="str">
        <f t="array" ref="V463">IF(C463="","","【服务】"&amp;IF(_xlfn.XLOOKUP(A463&amp;B463&amp;C463,盘货信息!$A:$A&amp;盘货信息!$B:$B&amp;盘货信息!$C:$C,盘货信息!$V:$V)="","",_xlfn.XLOOKUP(A463&amp;B463&amp;C463,盘货信息!$A:$A&amp;盘货信息!$B:$B&amp;盘货信息!$C:$C,盘货信息!$V:$V)&amp;"免息,")&amp;IF(_xlfn.XLOOKUP(A463&amp;B463&amp;C463,盘货信息!$A:$A&amp;盘货信息!$B:$B&amp;盘货信息!$C:$C,盘货信息!$W:$W)="","",_xlfn.XLOOKUP(A463&amp;B463&amp;C463,盘货信息!$A:$A&amp;盘货信息!$B:$B&amp;盘货信息!$C:$C,盘货信息!$W:$W)&amp;"，")&amp;"送货入户，退换免运费")</f>
        <v/>
      </c>
    </row>
    <row r="464" customHeight="1" spans="1:22">
      <c r="A464" s="17" t="str">
        <f>IF(盘货信息!A464="","",盘货信息!A464)</f>
        <v/>
      </c>
      <c r="B464" s="20" t="str">
        <f>IF(盘货信息!B464="","",盘货信息!B464)</f>
        <v/>
      </c>
      <c r="C464" s="18" t="str">
        <f>IF(盘货信息!C464="","",盘货信息!C464)</f>
        <v/>
      </c>
      <c r="D464" s="18" t="str">
        <f ca="1" t="shared" si="7"/>
        <v/>
      </c>
      <c r="E464" s="18" t="str">
        <f>IF(C464="","",固定信息!$B$2)</f>
        <v/>
      </c>
      <c r="F464" s="18" t="str">
        <f t="array" ref="F464">IF(C464="","","【"&amp;C464&amp;"】"&amp;_xlfn.XLOOKUP(A464&amp;B464&amp;C464,盘货信息!$A:$A&amp;盘货信息!$B:$B&amp;盘货信息!$C:$C,盘货信息!$D:$D))</f>
        <v/>
      </c>
      <c r="G464" s="18" t="str">
        <f>IF(C464="","","【"&amp;"活动时间："&amp;固定信息!$B$3&amp;"】")</f>
        <v/>
      </c>
      <c r="H464" s="18" t="str">
        <f>IF($C464="","",固定信息!$B$1)</f>
        <v/>
      </c>
      <c r="I464" s="18"/>
      <c r="J464" s="18" t="str">
        <f t="array" ref="J464">_xlfn.XLOOKUP(A464&amp;B464&amp;C464,价格信息!$A:$A&amp;价格信息!$B:$B&amp;价格信息!$C:$C,价格信息!$D:$D)</f>
        <v/>
      </c>
      <c r="K464" s="31" t="str">
        <f t="array" ref="K464">IF(_xlfn.XLOOKUP(A464&amp;B464&amp;C464,价格信息!$A:$A&amp;价格信息!$B:$B&amp;价格信息!$C:$C,价格信息!$I:$I)="","","【优惠券链接】"&amp;固定信息!$B$6)</f>
        <v/>
      </c>
      <c r="L464" s="31" t="str">
        <f>IF($C464="","",固定信息!$B$1)</f>
        <v/>
      </c>
      <c r="M464" s="18" t="str">
        <f t="array" ref="M464">IF(_xlfn.XLOOKUP(A464&amp;B464&amp;C464,盘货信息!$A:$A&amp;盘货信息!$B:$B&amp;盘货信息!$C:$C,盘货信息!$O:$O)="","","【优惠券】领"&amp;INDEX(_wpsfn.REGEXP(_xlfn.XLOOKUP(A464&amp;B464&amp;C464,盘货信息!$A:$A&amp;盘货信息!$B:$B&amp;盘货信息!$C:$C,盘货信息!$O:$O),"\d+"),1,1)&amp;"元优惠券下单更优惠，优惠卷："&amp;_xlfn.XLOOKUP(A464&amp;B464&amp;C464,盘货信息!$A:$A&amp;盘货信息!$B:$B&amp;盘货信息!$C:$C,盘货信息!$P:$P))</f>
        <v/>
      </c>
      <c r="N464" s="18" t="str">
        <f t="array" ref="N464">IF(AND(ISNUMBER(_xlfn.XLOOKUP(A464&amp;B464&amp;C464,盘货信息!$A:$A&amp;盘货信息!$B:$B&amp;盘货信息!$C:$C,盘货信息!$I:$I)),_xlfn.XLOOKUP(A464&amp;B464&amp;C464,盘货信息!$A:$A&amp;盘货信息!$B:$B&amp;盘货信息!$C:$C,盘货信息!$I:$I)&gt;1),"【88VIP】立减"&amp;_xlfn.XLOOKUP(A464&amp;B464&amp;C464,盘货信息!$A:$A&amp;盘货信息!$B:$B&amp;盘货信息!$C:$C,盘货信息!$I:$I)&amp;"元","")</f>
        <v/>
      </c>
      <c r="O464" s="18" t="str">
        <f t="array" ref="O464">IF(_xlfn.XLOOKUP(A464&amp;B464&amp;C464,盘货信息!$A:$A&amp;盘货信息!$B:$B&amp;盘货信息!$C:$C,盘货信息!$K:$K)="","",IF(AND(_xlfn.XLOOKUP(A464&amp;B464&amp;C464,盘货信息!$A:$A&amp;盘货信息!$B:$B&amp;盘货信息!$C:$C,盘货信息!$G:$G)="不参加",_xlfn.XLOOKUP(A464&amp;B464&amp;C464,盘货信息!$A:$A&amp;盘货信息!$B:$B&amp;盘货信息!$C:$C,盘货信息!$H:$H)=""),"【以旧换新】"&amp;_xlfn.XLOOKUP(A464&amp;B464&amp;C464,盘货信息!$A:$A&amp;盘货信息!$B:$B&amp;盘货信息!$C:$C,盘货信息!$K:$K)&amp;"元以旧换新补贴（可无旧机换新）",""))</f>
        <v/>
      </c>
      <c r="P464" s="18" t="str">
        <f t="array" ref="P464">_xlfn.XLOOKUP(A464&amp;B464&amp;C464,赠品!$A:$A&amp;赠品!$B:$B&amp;赠品!$C:$C,赠品!$D:$D)</f>
        <v/>
      </c>
      <c r="Q464" s="18" t="str">
        <f>IF($C464="","",IF(AND(M464="",N464="",P464=""),"",固定信息!$B$1))</f>
        <v/>
      </c>
      <c r="R464" s="18" t="str">
        <f t="array" ref="R464">IF(ISNUMBER(SEARCH("是",_xlfn.XLOOKUP(A464&amp;B464&amp;C464,盘货信息!$A:$A&amp;盘货信息!$B:$B&amp;盘货信息!$C:$C,盘货信息!$U:$U))),"【折扣】指定型号满2类享96折，满3类享94折","")</f>
        <v/>
      </c>
      <c r="S464" s="18" t="str">
        <f t="array" ref="S464">IF(_xlfn.XLOOKUP(A464&amp;B464&amp;C464,盘货信息!$A:$A&amp;盘货信息!$B:$B&amp;盘货信息!$C:$C,盘货信息!$Q:$Q)&lt;1,"","【红包】活动时间购机送"&amp;_xlfn.TEXTJOIN("",,IF(ISNUMBER(--MID(_xlfn.XLOOKUP(A464&amp;B464&amp;C464,盘货信息!$A:$A&amp;盘货信息!$B:$B&amp;盘货信息!$C:$C,盘货信息!$Q:$Q),_xlfn.SEQUENCE(LEN(_xlfn.XLOOKUP(A464&amp;B464&amp;C464,盘货信息!$A:$A&amp;盘货信息!$B:$B&amp;盘货信息!$C:$C,盘货信息!$Q:$Q))),1)),MID(_xlfn.XLOOKUP(A464&amp;B464&amp;C464,盘货信息!$A:$A&amp;盘货信息!$B:$B&amp;盘货信息!$C:$C,盘货信息!$Q:$Q),_xlfn.SEQUENCE(LEN(_xlfn.XLOOKUP(A464&amp;B464&amp;C464,盘货信息!$A:$A&amp;盘货信息!$B:$B&amp;盘货信息!$C:$C,盘货信息!$Q:$Q))),1),""))&amp;"元")</f>
        <v/>
      </c>
      <c r="T464" s="18" t="str">
        <f t="array" ref="T464">IF(ISNUMBER(SEARCH("是",_xlfn.XLOOKUP(A464&amp;B464&amp;C464,盘货信息!$A:$A&amp;盘货信息!$B:$B&amp;盘货信息!$C:$C,盘货信息!$T:$T))),"【瓜分】"&amp;固定信息!$B$7,"")</f>
        <v/>
      </c>
      <c r="U464" s="18" t="str">
        <f>IF($C464="","",IF(AND(R464="",S464="",T464=""),"",固定信息!$B$1))</f>
        <v/>
      </c>
      <c r="V464" s="18" t="str">
        <f t="array" ref="V464">IF(C464="","","【服务】"&amp;IF(_xlfn.XLOOKUP(A464&amp;B464&amp;C464,盘货信息!$A:$A&amp;盘货信息!$B:$B&amp;盘货信息!$C:$C,盘货信息!$V:$V)="","",_xlfn.XLOOKUP(A464&amp;B464&amp;C464,盘货信息!$A:$A&amp;盘货信息!$B:$B&amp;盘货信息!$C:$C,盘货信息!$V:$V)&amp;"免息,")&amp;IF(_xlfn.XLOOKUP(A464&amp;B464&amp;C464,盘货信息!$A:$A&amp;盘货信息!$B:$B&amp;盘货信息!$C:$C,盘货信息!$W:$W)="","",_xlfn.XLOOKUP(A464&amp;B464&amp;C464,盘货信息!$A:$A&amp;盘货信息!$B:$B&amp;盘货信息!$C:$C,盘货信息!$W:$W)&amp;"，")&amp;"送货入户，退换免运费")</f>
        <v/>
      </c>
    </row>
    <row r="465" customHeight="1" spans="1:22">
      <c r="A465" s="17" t="str">
        <f>IF(盘货信息!A465="","",盘货信息!A465)</f>
        <v/>
      </c>
      <c r="B465" s="20" t="str">
        <f>IF(盘货信息!B465="","",盘货信息!B465)</f>
        <v/>
      </c>
      <c r="C465" s="18" t="str">
        <f>IF(盘货信息!C465="","",盘货信息!C465)</f>
        <v/>
      </c>
      <c r="D465" s="18" t="str">
        <f ca="1" t="shared" si="7"/>
        <v/>
      </c>
      <c r="E465" s="18" t="str">
        <f>IF(C465="","",固定信息!$B$2)</f>
        <v/>
      </c>
      <c r="F465" s="18" t="str">
        <f t="array" ref="F465">IF(C465="","","【"&amp;C465&amp;"】"&amp;_xlfn.XLOOKUP(A465&amp;B465&amp;C465,盘货信息!$A:$A&amp;盘货信息!$B:$B&amp;盘货信息!$C:$C,盘货信息!$D:$D))</f>
        <v/>
      </c>
      <c r="G465" s="18" t="str">
        <f>IF(C465="","","【"&amp;"活动时间："&amp;固定信息!$B$3&amp;"】")</f>
        <v/>
      </c>
      <c r="H465" s="18" t="str">
        <f>IF($C465="","",固定信息!$B$1)</f>
        <v/>
      </c>
      <c r="I465" s="18"/>
      <c r="J465" s="18" t="str">
        <f t="array" ref="J465">_xlfn.XLOOKUP(A465&amp;B465&amp;C465,价格信息!$A:$A&amp;价格信息!$B:$B&amp;价格信息!$C:$C,价格信息!$D:$D)</f>
        <v/>
      </c>
      <c r="K465" s="31" t="str">
        <f t="array" ref="K465">IF(_xlfn.XLOOKUP(A465&amp;B465&amp;C465,价格信息!$A:$A&amp;价格信息!$B:$B&amp;价格信息!$C:$C,价格信息!$I:$I)="","","【优惠券链接】"&amp;固定信息!$B$6)</f>
        <v/>
      </c>
      <c r="L465" s="31" t="str">
        <f>IF($C465="","",固定信息!$B$1)</f>
        <v/>
      </c>
      <c r="M465" s="18" t="str">
        <f t="array" ref="M465">IF(_xlfn.XLOOKUP(A465&amp;B465&amp;C465,盘货信息!$A:$A&amp;盘货信息!$B:$B&amp;盘货信息!$C:$C,盘货信息!$O:$O)="","","【优惠券】领"&amp;INDEX(_wpsfn.REGEXP(_xlfn.XLOOKUP(A465&amp;B465&amp;C465,盘货信息!$A:$A&amp;盘货信息!$B:$B&amp;盘货信息!$C:$C,盘货信息!$O:$O),"\d+"),1,1)&amp;"元优惠券下单更优惠，优惠卷："&amp;_xlfn.XLOOKUP(A465&amp;B465&amp;C465,盘货信息!$A:$A&amp;盘货信息!$B:$B&amp;盘货信息!$C:$C,盘货信息!$P:$P))</f>
        <v/>
      </c>
      <c r="N465" s="18" t="str">
        <f t="array" ref="N465">IF(AND(ISNUMBER(_xlfn.XLOOKUP(A465&amp;B465&amp;C465,盘货信息!$A:$A&amp;盘货信息!$B:$B&amp;盘货信息!$C:$C,盘货信息!$I:$I)),_xlfn.XLOOKUP(A465&amp;B465&amp;C465,盘货信息!$A:$A&amp;盘货信息!$B:$B&amp;盘货信息!$C:$C,盘货信息!$I:$I)&gt;1),"【88VIP】立减"&amp;_xlfn.XLOOKUP(A465&amp;B465&amp;C465,盘货信息!$A:$A&amp;盘货信息!$B:$B&amp;盘货信息!$C:$C,盘货信息!$I:$I)&amp;"元","")</f>
        <v/>
      </c>
      <c r="O465" s="18" t="str">
        <f t="array" ref="O465">IF(_xlfn.XLOOKUP(A465&amp;B465&amp;C465,盘货信息!$A:$A&amp;盘货信息!$B:$B&amp;盘货信息!$C:$C,盘货信息!$K:$K)="","",IF(AND(_xlfn.XLOOKUP(A465&amp;B465&amp;C465,盘货信息!$A:$A&amp;盘货信息!$B:$B&amp;盘货信息!$C:$C,盘货信息!$G:$G)="不参加",_xlfn.XLOOKUP(A465&amp;B465&amp;C465,盘货信息!$A:$A&amp;盘货信息!$B:$B&amp;盘货信息!$C:$C,盘货信息!$H:$H)=""),"【以旧换新】"&amp;_xlfn.XLOOKUP(A465&amp;B465&amp;C465,盘货信息!$A:$A&amp;盘货信息!$B:$B&amp;盘货信息!$C:$C,盘货信息!$K:$K)&amp;"元以旧换新补贴（可无旧机换新）",""))</f>
        <v/>
      </c>
      <c r="P465" s="18" t="str">
        <f t="array" ref="P465">_xlfn.XLOOKUP(A465&amp;B465&amp;C465,赠品!$A:$A&amp;赠品!$B:$B&amp;赠品!$C:$C,赠品!$D:$D)</f>
        <v/>
      </c>
      <c r="Q465" s="18" t="str">
        <f>IF($C465="","",IF(AND(M465="",N465="",P465=""),"",固定信息!$B$1))</f>
        <v/>
      </c>
      <c r="R465" s="18" t="str">
        <f t="array" ref="R465">IF(ISNUMBER(SEARCH("是",_xlfn.XLOOKUP(A465&amp;B465&amp;C465,盘货信息!$A:$A&amp;盘货信息!$B:$B&amp;盘货信息!$C:$C,盘货信息!$U:$U))),"【折扣】指定型号满2类享96折，满3类享94折","")</f>
        <v/>
      </c>
      <c r="S465" s="18" t="str">
        <f t="array" ref="S465">IF(_xlfn.XLOOKUP(A465&amp;B465&amp;C465,盘货信息!$A:$A&amp;盘货信息!$B:$B&amp;盘货信息!$C:$C,盘货信息!$Q:$Q)&lt;1,"","【红包】活动时间购机送"&amp;_xlfn.TEXTJOIN("",,IF(ISNUMBER(--MID(_xlfn.XLOOKUP(A465&amp;B465&amp;C465,盘货信息!$A:$A&amp;盘货信息!$B:$B&amp;盘货信息!$C:$C,盘货信息!$Q:$Q),_xlfn.SEQUENCE(LEN(_xlfn.XLOOKUP(A465&amp;B465&amp;C465,盘货信息!$A:$A&amp;盘货信息!$B:$B&amp;盘货信息!$C:$C,盘货信息!$Q:$Q))),1)),MID(_xlfn.XLOOKUP(A465&amp;B465&amp;C465,盘货信息!$A:$A&amp;盘货信息!$B:$B&amp;盘货信息!$C:$C,盘货信息!$Q:$Q),_xlfn.SEQUENCE(LEN(_xlfn.XLOOKUP(A465&amp;B465&amp;C465,盘货信息!$A:$A&amp;盘货信息!$B:$B&amp;盘货信息!$C:$C,盘货信息!$Q:$Q))),1),""))&amp;"元")</f>
        <v/>
      </c>
      <c r="T465" s="18" t="str">
        <f t="array" ref="T465">IF(ISNUMBER(SEARCH("是",_xlfn.XLOOKUP(A465&amp;B465&amp;C465,盘货信息!$A:$A&amp;盘货信息!$B:$B&amp;盘货信息!$C:$C,盘货信息!$T:$T))),"【瓜分】"&amp;固定信息!$B$7,"")</f>
        <v/>
      </c>
      <c r="U465" s="18" t="str">
        <f>IF($C465="","",IF(AND(R465="",S465="",T465=""),"",固定信息!$B$1))</f>
        <v/>
      </c>
      <c r="V465" s="18" t="str">
        <f t="array" ref="V465">IF(C465="","","【服务】"&amp;IF(_xlfn.XLOOKUP(A465&amp;B465&amp;C465,盘货信息!$A:$A&amp;盘货信息!$B:$B&amp;盘货信息!$C:$C,盘货信息!$V:$V)="","",_xlfn.XLOOKUP(A465&amp;B465&amp;C465,盘货信息!$A:$A&amp;盘货信息!$B:$B&amp;盘货信息!$C:$C,盘货信息!$V:$V)&amp;"免息,")&amp;IF(_xlfn.XLOOKUP(A465&amp;B465&amp;C465,盘货信息!$A:$A&amp;盘货信息!$B:$B&amp;盘货信息!$C:$C,盘货信息!$W:$W)="","",_xlfn.XLOOKUP(A465&amp;B465&amp;C465,盘货信息!$A:$A&amp;盘货信息!$B:$B&amp;盘货信息!$C:$C,盘货信息!$W:$W)&amp;"，")&amp;"送货入户，退换免运费")</f>
        <v/>
      </c>
    </row>
    <row r="466" customHeight="1" spans="1:22">
      <c r="A466" s="17" t="str">
        <f>IF(盘货信息!A466="","",盘货信息!A466)</f>
        <v/>
      </c>
      <c r="B466" s="20" t="str">
        <f>IF(盘货信息!B466="","",盘货信息!B466)</f>
        <v/>
      </c>
      <c r="C466" s="18" t="str">
        <f>IF(盘货信息!C466="","",盘货信息!C466)</f>
        <v/>
      </c>
      <c r="D466" s="18" t="str">
        <f ca="1" t="shared" si="7"/>
        <v/>
      </c>
      <c r="E466" s="18" t="str">
        <f>IF(C466="","",固定信息!$B$2)</f>
        <v/>
      </c>
      <c r="F466" s="18" t="str">
        <f t="array" ref="F466">IF(C466="","","【"&amp;C466&amp;"】"&amp;_xlfn.XLOOKUP(A466&amp;B466&amp;C466,盘货信息!$A:$A&amp;盘货信息!$B:$B&amp;盘货信息!$C:$C,盘货信息!$D:$D))</f>
        <v/>
      </c>
      <c r="G466" s="18" t="str">
        <f>IF(C466="","","【"&amp;"活动时间："&amp;固定信息!$B$3&amp;"】")</f>
        <v/>
      </c>
      <c r="H466" s="18" t="str">
        <f>IF($C466="","",固定信息!$B$1)</f>
        <v/>
      </c>
      <c r="I466" s="18"/>
      <c r="J466" s="18" t="str">
        <f t="array" ref="J466">_xlfn.XLOOKUP(A466&amp;B466&amp;C466,价格信息!$A:$A&amp;价格信息!$B:$B&amp;价格信息!$C:$C,价格信息!$D:$D)</f>
        <v/>
      </c>
      <c r="K466" s="31" t="str">
        <f t="array" ref="K466">IF(_xlfn.XLOOKUP(A466&amp;B466&amp;C466,价格信息!$A:$A&amp;价格信息!$B:$B&amp;价格信息!$C:$C,价格信息!$I:$I)="","","【优惠券链接】"&amp;固定信息!$B$6)</f>
        <v/>
      </c>
      <c r="L466" s="31" t="str">
        <f>IF($C466="","",固定信息!$B$1)</f>
        <v/>
      </c>
      <c r="M466" s="18" t="str">
        <f t="array" ref="M466">IF(_xlfn.XLOOKUP(A466&amp;B466&amp;C466,盘货信息!$A:$A&amp;盘货信息!$B:$B&amp;盘货信息!$C:$C,盘货信息!$O:$O)="","","【优惠券】领"&amp;INDEX(_wpsfn.REGEXP(_xlfn.XLOOKUP(A466&amp;B466&amp;C466,盘货信息!$A:$A&amp;盘货信息!$B:$B&amp;盘货信息!$C:$C,盘货信息!$O:$O),"\d+"),1,1)&amp;"元优惠券下单更优惠，优惠卷："&amp;_xlfn.XLOOKUP(A466&amp;B466&amp;C466,盘货信息!$A:$A&amp;盘货信息!$B:$B&amp;盘货信息!$C:$C,盘货信息!$P:$P))</f>
        <v/>
      </c>
      <c r="N466" s="18" t="str">
        <f t="array" ref="N466">IF(AND(ISNUMBER(_xlfn.XLOOKUP(A466&amp;B466&amp;C466,盘货信息!$A:$A&amp;盘货信息!$B:$B&amp;盘货信息!$C:$C,盘货信息!$I:$I)),_xlfn.XLOOKUP(A466&amp;B466&amp;C466,盘货信息!$A:$A&amp;盘货信息!$B:$B&amp;盘货信息!$C:$C,盘货信息!$I:$I)&gt;1),"【88VIP】立减"&amp;_xlfn.XLOOKUP(A466&amp;B466&amp;C466,盘货信息!$A:$A&amp;盘货信息!$B:$B&amp;盘货信息!$C:$C,盘货信息!$I:$I)&amp;"元","")</f>
        <v/>
      </c>
      <c r="O466" s="18" t="str">
        <f t="array" ref="O466">IF(_xlfn.XLOOKUP(A466&amp;B466&amp;C466,盘货信息!$A:$A&amp;盘货信息!$B:$B&amp;盘货信息!$C:$C,盘货信息!$K:$K)="","",IF(AND(_xlfn.XLOOKUP(A466&amp;B466&amp;C466,盘货信息!$A:$A&amp;盘货信息!$B:$B&amp;盘货信息!$C:$C,盘货信息!$G:$G)="不参加",_xlfn.XLOOKUP(A466&amp;B466&amp;C466,盘货信息!$A:$A&amp;盘货信息!$B:$B&amp;盘货信息!$C:$C,盘货信息!$H:$H)=""),"【以旧换新】"&amp;_xlfn.XLOOKUP(A466&amp;B466&amp;C466,盘货信息!$A:$A&amp;盘货信息!$B:$B&amp;盘货信息!$C:$C,盘货信息!$K:$K)&amp;"元以旧换新补贴（可无旧机换新）",""))</f>
        <v/>
      </c>
      <c r="P466" s="18" t="str">
        <f t="array" ref="P466">_xlfn.XLOOKUP(A466&amp;B466&amp;C466,赠品!$A:$A&amp;赠品!$B:$B&amp;赠品!$C:$C,赠品!$D:$D)</f>
        <v/>
      </c>
      <c r="Q466" s="18" t="str">
        <f>IF($C466="","",IF(AND(M466="",N466="",P466=""),"",固定信息!$B$1))</f>
        <v/>
      </c>
      <c r="R466" s="18" t="str">
        <f t="array" ref="R466">IF(ISNUMBER(SEARCH("是",_xlfn.XLOOKUP(A466&amp;B466&amp;C466,盘货信息!$A:$A&amp;盘货信息!$B:$B&amp;盘货信息!$C:$C,盘货信息!$U:$U))),"【折扣】指定型号满2类享96折，满3类享94折","")</f>
        <v/>
      </c>
      <c r="S466" s="18" t="str">
        <f t="array" ref="S466">IF(_xlfn.XLOOKUP(A466&amp;B466&amp;C466,盘货信息!$A:$A&amp;盘货信息!$B:$B&amp;盘货信息!$C:$C,盘货信息!$Q:$Q)&lt;1,"","【红包】活动时间购机送"&amp;_xlfn.TEXTJOIN("",,IF(ISNUMBER(--MID(_xlfn.XLOOKUP(A466&amp;B466&amp;C466,盘货信息!$A:$A&amp;盘货信息!$B:$B&amp;盘货信息!$C:$C,盘货信息!$Q:$Q),_xlfn.SEQUENCE(LEN(_xlfn.XLOOKUP(A466&amp;B466&amp;C466,盘货信息!$A:$A&amp;盘货信息!$B:$B&amp;盘货信息!$C:$C,盘货信息!$Q:$Q))),1)),MID(_xlfn.XLOOKUP(A466&amp;B466&amp;C466,盘货信息!$A:$A&amp;盘货信息!$B:$B&amp;盘货信息!$C:$C,盘货信息!$Q:$Q),_xlfn.SEQUENCE(LEN(_xlfn.XLOOKUP(A466&amp;B466&amp;C466,盘货信息!$A:$A&amp;盘货信息!$B:$B&amp;盘货信息!$C:$C,盘货信息!$Q:$Q))),1),""))&amp;"元")</f>
        <v/>
      </c>
      <c r="T466" s="18" t="str">
        <f t="array" ref="T466">IF(ISNUMBER(SEARCH("是",_xlfn.XLOOKUP(A466&amp;B466&amp;C466,盘货信息!$A:$A&amp;盘货信息!$B:$B&amp;盘货信息!$C:$C,盘货信息!$T:$T))),"【瓜分】"&amp;固定信息!$B$7,"")</f>
        <v/>
      </c>
      <c r="U466" s="18" t="str">
        <f>IF($C466="","",IF(AND(R466="",S466="",T466=""),"",固定信息!$B$1))</f>
        <v/>
      </c>
      <c r="V466" s="18" t="str">
        <f t="array" ref="V466">IF(C466="","","【服务】"&amp;IF(_xlfn.XLOOKUP(A466&amp;B466&amp;C466,盘货信息!$A:$A&amp;盘货信息!$B:$B&amp;盘货信息!$C:$C,盘货信息!$V:$V)="","",_xlfn.XLOOKUP(A466&amp;B466&amp;C466,盘货信息!$A:$A&amp;盘货信息!$B:$B&amp;盘货信息!$C:$C,盘货信息!$V:$V)&amp;"免息,")&amp;IF(_xlfn.XLOOKUP(A466&amp;B466&amp;C466,盘货信息!$A:$A&amp;盘货信息!$B:$B&amp;盘货信息!$C:$C,盘货信息!$W:$W)="","",_xlfn.XLOOKUP(A466&amp;B466&amp;C466,盘货信息!$A:$A&amp;盘货信息!$B:$B&amp;盘货信息!$C:$C,盘货信息!$W:$W)&amp;"，")&amp;"送货入户，退换免运费")</f>
        <v/>
      </c>
    </row>
    <row r="467" customHeight="1" spans="1:22">
      <c r="A467" s="17" t="str">
        <f>IF(盘货信息!A467="","",盘货信息!A467)</f>
        <v/>
      </c>
      <c r="B467" s="20" t="str">
        <f>IF(盘货信息!B467="","",盘货信息!B467)</f>
        <v/>
      </c>
      <c r="C467" s="18" t="str">
        <f>IF(盘货信息!C467="","",盘货信息!C467)</f>
        <v/>
      </c>
      <c r="D467" s="18" t="str">
        <f ca="1" t="shared" si="7"/>
        <v/>
      </c>
      <c r="E467" s="18" t="str">
        <f>IF(C467="","",固定信息!$B$2)</f>
        <v/>
      </c>
      <c r="F467" s="18" t="str">
        <f t="array" ref="F467">IF(C467="","","【"&amp;C467&amp;"】"&amp;_xlfn.XLOOKUP(A467&amp;B467&amp;C467,盘货信息!$A:$A&amp;盘货信息!$B:$B&amp;盘货信息!$C:$C,盘货信息!$D:$D))</f>
        <v/>
      </c>
      <c r="G467" s="18" t="str">
        <f>IF(C467="","","【"&amp;"活动时间："&amp;固定信息!$B$3&amp;"】")</f>
        <v/>
      </c>
      <c r="H467" s="18" t="str">
        <f>IF($C467="","",固定信息!$B$1)</f>
        <v/>
      </c>
      <c r="I467" s="18"/>
      <c r="J467" s="18" t="str">
        <f t="array" ref="J467">_xlfn.XLOOKUP(A467&amp;B467&amp;C467,价格信息!$A:$A&amp;价格信息!$B:$B&amp;价格信息!$C:$C,价格信息!$D:$D)</f>
        <v/>
      </c>
      <c r="K467" s="31" t="str">
        <f t="array" ref="K467">IF(_xlfn.XLOOKUP(A467&amp;B467&amp;C467,价格信息!$A:$A&amp;价格信息!$B:$B&amp;价格信息!$C:$C,价格信息!$I:$I)="","","【优惠券链接】"&amp;固定信息!$B$6)</f>
        <v/>
      </c>
      <c r="L467" s="31" t="str">
        <f>IF($C467="","",固定信息!$B$1)</f>
        <v/>
      </c>
      <c r="M467" s="18" t="str">
        <f t="array" ref="M467">IF(_xlfn.XLOOKUP(A467&amp;B467&amp;C467,盘货信息!$A:$A&amp;盘货信息!$B:$B&amp;盘货信息!$C:$C,盘货信息!$O:$O)="","","【优惠券】领"&amp;INDEX(_wpsfn.REGEXP(_xlfn.XLOOKUP(A467&amp;B467&amp;C467,盘货信息!$A:$A&amp;盘货信息!$B:$B&amp;盘货信息!$C:$C,盘货信息!$O:$O),"\d+"),1,1)&amp;"元优惠券下单更优惠，优惠卷："&amp;_xlfn.XLOOKUP(A467&amp;B467&amp;C467,盘货信息!$A:$A&amp;盘货信息!$B:$B&amp;盘货信息!$C:$C,盘货信息!$P:$P))</f>
        <v/>
      </c>
      <c r="N467" s="18" t="str">
        <f t="array" ref="N467">IF(AND(ISNUMBER(_xlfn.XLOOKUP(A467&amp;B467&amp;C467,盘货信息!$A:$A&amp;盘货信息!$B:$B&amp;盘货信息!$C:$C,盘货信息!$I:$I)),_xlfn.XLOOKUP(A467&amp;B467&amp;C467,盘货信息!$A:$A&amp;盘货信息!$B:$B&amp;盘货信息!$C:$C,盘货信息!$I:$I)&gt;1),"【88VIP】立减"&amp;_xlfn.XLOOKUP(A467&amp;B467&amp;C467,盘货信息!$A:$A&amp;盘货信息!$B:$B&amp;盘货信息!$C:$C,盘货信息!$I:$I)&amp;"元","")</f>
        <v/>
      </c>
      <c r="O467" s="18" t="str">
        <f t="array" ref="O467">IF(_xlfn.XLOOKUP(A467&amp;B467&amp;C467,盘货信息!$A:$A&amp;盘货信息!$B:$B&amp;盘货信息!$C:$C,盘货信息!$K:$K)="","",IF(AND(_xlfn.XLOOKUP(A467&amp;B467&amp;C467,盘货信息!$A:$A&amp;盘货信息!$B:$B&amp;盘货信息!$C:$C,盘货信息!$G:$G)="不参加",_xlfn.XLOOKUP(A467&amp;B467&amp;C467,盘货信息!$A:$A&amp;盘货信息!$B:$B&amp;盘货信息!$C:$C,盘货信息!$H:$H)=""),"【以旧换新】"&amp;_xlfn.XLOOKUP(A467&amp;B467&amp;C467,盘货信息!$A:$A&amp;盘货信息!$B:$B&amp;盘货信息!$C:$C,盘货信息!$K:$K)&amp;"元以旧换新补贴（可无旧机换新）",""))</f>
        <v/>
      </c>
      <c r="P467" s="18" t="str">
        <f t="array" ref="P467">_xlfn.XLOOKUP(A467&amp;B467&amp;C467,赠品!$A:$A&amp;赠品!$B:$B&amp;赠品!$C:$C,赠品!$D:$D)</f>
        <v/>
      </c>
      <c r="Q467" s="18" t="str">
        <f>IF($C467="","",IF(AND(M467="",N467="",P467=""),"",固定信息!$B$1))</f>
        <v/>
      </c>
      <c r="R467" s="18" t="str">
        <f t="array" ref="R467">IF(ISNUMBER(SEARCH("是",_xlfn.XLOOKUP(A467&amp;B467&amp;C467,盘货信息!$A:$A&amp;盘货信息!$B:$B&amp;盘货信息!$C:$C,盘货信息!$U:$U))),"【折扣】指定型号满2类享96折，满3类享94折","")</f>
        <v/>
      </c>
      <c r="S467" s="18" t="str">
        <f t="array" ref="S467">IF(_xlfn.XLOOKUP(A467&amp;B467&amp;C467,盘货信息!$A:$A&amp;盘货信息!$B:$B&amp;盘货信息!$C:$C,盘货信息!$Q:$Q)&lt;1,"","【红包】活动时间购机送"&amp;_xlfn.TEXTJOIN("",,IF(ISNUMBER(--MID(_xlfn.XLOOKUP(A467&amp;B467&amp;C467,盘货信息!$A:$A&amp;盘货信息!$B:$B&amp;盘货信息!$C:$C,盘货信息!$Q:$Q),_xlfn.SEQUENCE(LEN(_xlfn.XLOOKUP(A467&amp;B467&amp;C467,盘货信息!$A:$A&amp;盘货信息!$B:$B&amp;盘货信息!$C:$C,盘货信息!$Q:$Q))),1)),MID(_xlfn.XLOOKUP(A467&amp;B467&amp;C467,盘货信息!$A:$A&amp;盘货信息!$B:$B&amp;盘货信息!$C:$C,盘货信息!$Q:$Q),_xlfn.SEQUENCE(LEN(_xlfn.XLOOKUP(A467&amp;B467&amp;C467,盘货信息!$A:$A&amp;盘货信息!$B:$B&amp;盘货信息!$C:$C,盘货信息!$Q:$Q))),1),""))&amp;"元")</f>
        <v/>
      </c>
      <c r="T467" s="18" t="str">
        <f t="array" ref="T467">IF(ISNUMBER(SEARCH("是",_xlfn.XLOOKUP(A467&amp;B467&amp;C467,盘货信息!$A:$A&amp;盘货信息!$B:$B&amp;盘货信息!$C:$C,盘货信息!$T:$T))),"【瓜分】"&amp;固定信息!$B$7,"")</f>
        <v/>
      </c>
      <c r="U467" s="18" t="str">
        <f>IF($C467="","",IF(AND(R467="",S467="",T467=""),"",固定信息!$B$1))</f>
        <v/>
      </c>
      <c r="V467" s="18" t="str">
        <f t="array" ref="V467">IF(C467="","","【服务】"&amp;IF(_xlfn.XLOOKUP(A467&amp;B467&amp;C467,盘货信息!$A:$A&amp;盘货信息!$B:$B&amp;盘货信息!$C:$C,盘货信息!$V:$V)="","",_xlfn.XLOOKUP(A467&amp;B467&amp;C467,盘货信息!$A:$A&amp;盘货信息!$B:$B&amp;盘货信息!$C:$C,盘货信息!$V:$V)&amp;"免息,")&amp;IF(_xlfn.XLOOKUP(A467&amp;B467&amp;C467,盘货信息!$A:$A&amp;盘货信息!$B:$B&amp;盘货信息!$C:$C,盘货信息!$W:$W)="","",_xlfn.XLOOKUP(A467&amp;B467&amp;C467,盘货信息!$A:$A&amp;盘货信息!$B:$B&amp;盘货信息!$C:$C,盘货信息!$W:$W)&amp;"，")&amp;"送货入户，退换免运费")</f>
        <v/>
      </c>
    </row>
    <row r="468" customHeight="1" spans="1:22">
      <c r="A468" s="17" t="str">
        <f>IF(盘货信息!A468="","",盘货信息!A468)</f>
        <v/>
      </c>
      <c r="B468" s="20" t="str">
        <f>IF(盘货信息!B468="","",盘货信息!B468)</f>
        <v/>
      </c>
      <c r="C468" s="18" t="str">
        <f>IF(盘货信息!C468="","",盘货信息!C468)</f>
        <v/>
      </c>
      <c r="D468" s="18" t="str">
        <f ca="1" t="shared" si="7"/>
        <v/>
      </c>
      <c r="E468" s="18" t="str">
        <f>IF(C468="","",固定信息!$B$2)</f>
        <v/>
      </c>
      <c r="F468" s="18" t="str">
        <f t="array" ref="F468">IF(C468="","","【"&amp;C468&amp;"】"&amp;_xlfn.XLOOKUP(A468&amp;B468&amp;C468,盘货信息!$A:$A&amp;盘货信息!$B:$B&amp;盘货信息!$C:$C,盘货信息!$D:$D))</f>
        <v/>
      </c>
      <c r="G468" s="18" t="str">
        <f>IF(C468="","","【"&amp;"活动时间："&amp;固定信息!$B$3&amp;"】")</f>
        <v/>
      </c>
      <c r="H468" s="18" t="str">
        <f>IF($C468="","",固定信息!$B$1)</f>
        <v/>
      </c>
      <c r="I468" s="18"/>
      <c r="J468" s="18" t="str">
        <f t="array" ref="J468">_xlfn.XLOOKUP(A468&amp;B468&amp;C468,价格信息!$A:$A&amp;价格信息!$B:$B&amp;价格信息!$C:$C,价格信息!$D:$D)</f>
        <v/>
      </c>
      <c r="K468" s="31" t="str">
        <f t="array" ref="K468">IF(_xlfn.XLOOKUP(A468&amp;B468&amp;C468,价格信息!$A:$A&amp;价格信息!$B:$B&amp;价格信息!$C:$C,价格信息!$I:$I)="","","【优惠券链接】"&amp;固定信息!$B$6)</f>
        <v/>
      </c>
      <c r="L468" s="31" t="str">
        <f>IF($C468="","",固定信息!$B$1)</f>
        <v/>
      </c>
      <c r="M468" s="18" t="str">
        <f t="array" ref="M468">IF(_xlfn.XLOOKUP(A468&amp;B468&amp;C468,盘货信息!$A:$A&amp;盘货信息!$B:$B&amp;盘货信息!$C:$C,盘货信息!$O:$O)="","","【优惠券】领"&amp;INDEX(_wpsfn.REGEXP(_xlfn.XLOOKUP(A468&amp;B468&amp;C468,盘货信息!$A:$A&amp;盘货信息!$B:$B&amp;盘货信息!$C:$C,盘货信息!$O:$O),"\d+"),1,1)&amp;"元优惠券下单更优惠，优惠卷："&amp;_xlfn.XLOOKUP(A468&amp;B468&amp;C468,盘货信息!$A:$A&amp;盘货信息!$B:$B&amp;盘货信息!$C:$C,盘货信息!$P:$P))</f>
        <v/>
      </c>
      <c r="N468" s="18" t="str">
        <f t="array" ref="N468">IF(AND(ISNUMBER(_xlfn.XLOOKUP(A468&amp;B468&amp;C468,盘货信息!$A:$A&amp;盘货信息!$B:$B&amp;盘货信息!$C:$C,盘货信息!$I:$I)),_xlfn.XLOOKUP(A468&amp;B468&amp;C468,盘货信息!$A:$A&amp;盘货信息!$B:$B&amp;盘货信息!$C:$C,盘货信息!$I:$I)&gt;1),"【88VIP】立减"&amp;_xlfn.XLOOKUP(A468&amp;B468&amp;C468,盘货信息!$A:$A&amp;盘货信息!$B:$B&amp;盘货信息!$C:$C,盘货信息!$I:$I)&amp;"元","")</f>
        <v/>
      </c>
      <c r="O468" s="18" t="str">
        <f t="array" ref="O468">IF(_xlfn.XLOOKUP(A468&amp;B468&amp;C468,盘货信息!$A:$A&amp;盘货信息!$B:$B&amp;盘货信息!$C:$C,盘货信息!$K:$K)="","",IF(AND(_xlfn.XLOOKUP(A468&amp;B468&amp;C468,盘货信息!$A:$A&amp;盘货信息!$B:$B&amp;盘货信息!$C:$C,盘货信息!$G:$G)="不参加",_xlfn.XLOOKUP(A468&amp;B468&amp;C468,盘货信息!$A:$A&amp;盘货信息!$B:$B&amp;盘货信息!$C:$C,盘货信息!$H:$H)=""),"【以旧换新】"&amp;_xlfn.XLOOKUP(A468&amp;B468&amp;C468,盘货信息!$A:$A&amp;盘货信息!$B:$B&amp;盘货信息!$C:$C,盘货信息!$K:$K)&amp;"元以旧换新补贴（可无旧机换新）",""))</f>
        <v/>
      </c>
      <c r="P468" s="18" t="str">
        <f t="array" ref="P468">_xlfn.XLOOKUP(A468&amp;B468&amp;C468,赠品!$A:$A&amp;赠品!$B:$B&amp;赠品!$C:$C,赠品!$D:$D)</f>
        <v/>
      </c>
      <c r="Q468" s="18" t="str">
        <f>IF($C468="","",IF(AND(M468="",N468="",P468=""),"",固定信息!$B$1))</f>
        <v/>
      </c>
      <c r="R468" s="18" t="str">
        <f t="array" ref="R468">IF(ISNUMBER(SEARCH("是",_xlfn.XLOOKUP(A468&amp;B468&amp;C468,盘货信息!$A:$A&amp;盘货信息!$B:$B&amp;盘货信息!$C:$C,盘货信息!$U:$U))),"【折扣】指定型号满2类享96折，满3类享94折","")</f>
        <v/>
      </c>
      <c r="S468" s="18" t="str">
        <f t="array" ref="S468">IF(_xlfn.XLOOKUP(A468&amp;B468&amp;C468,盘货信息!$A:$A&amp;盘货信息!$B:$B&amp;盘货信息!$C:$C,盘货信息!$Q:$Q)&lt;1,"","【红包】活动时间购机送"&amp;_xlfn.TEXTJOIN("",,IF(ISNUMBER(--MID(_xlfn.XLOOKUP(A468&amp;B468&amp;C468,盘货信息!$A:$A&amp;盘货信息!$B:$B&amp;盘货信息!$C:$C,盘货信息!$Q:$Q),_xlfn.SEQUENCE(LEN(_xlfn.XLOOKUP(A468&amp;B468&amp;C468,盘货信息!$A:$A&amp;盘货信息!$B:$B&amp;盘货信息!$C:$C,盘货信息!$Q:$Q))),1)),MID(_xlfn.XLOOKUP(A468&amp;B468&amp;C468,盘货信息!$A:$A&amp;盘货信息!$B:$B&amp;盘货信息!$C:$C,盘货信息!$Q:$Q),_xlfn.SEQUENCE(LEN(_xlfn.XLOOKUP(A468&amp;B468&amp;C468,盘货信息!$A:$A&amp;盘货信息!$B:$B&amp;盘货信息!$C:$C,盘货信息!$Q:$Q))),1),""))&amp;"元")</f>
        <v/>
      </c>
      <c r="T468" s="18" t="str">
        <f t="array" ref="T468">IF(ISNUMBER(SEARCH("是",_xlfn.XLOOKUP(A468&amp;B468&amp;C468,盘货信息!$A:$A&amp;盘货信息!$B:$B&amp;盘货信息!$C:$C,盘货信息!$T:$T))),"【瓜分】"&amp;固定信息!$B$7,"")</f>
        <v/>
      </c>
      <c r="U468" s="18" t="str">
        <f>IF($C468="","",IF(AND(R468="",S468="",T468=""),"",固定信息!$B$1))</f>
        <v/>
      </c>
      <c r="V468" s="18" t="str">
        <f t="array" ref="V468">IF(C468="","","【服务】"&amp;IF(_xlfn.XLOOKUP(A468&amp;B468&amp;C468,盘货信息!$A:$A&amp;盘货信息!$B:$B&amp;盘货信息!$C:$C,盘货信息!$V:$V)="","",_xlfn.XLOOKUP(A468&amp;B468&amp;C468,盘货信息!$A:$A&amp;盘货信息!$B:$B&amp;盘货信息!$C:$C,盘货信息!$V:$V)&amp;"免息,")&amp;IF(_xlfn.XLOOKUP(A468&amp;B468&amp;C468,盘货信息!$A:$A&amp;盘货信息!$B:$B&amp;盘货信息!$C:$C,盘货信息!$W:$W)="","",_xlfn.XLOOKUP(A468&amp;B468&amp;C468,盘货信息!$A:$A&amp;盘货信息!$B:$B&amp;盘货信息!$C:$C,盘货信息!$W:$W)&amp;"，")&amp;"送货入户，退换免运费")</f>
        <v/>
      </c>
    </row>
    <row r="469" customHeight="1" spans="1:22">
      <c r="A469" s="17" t="str">
        <f>IF(盘货信息!A469="","",盘货信息!A469)</f>
        <v/>
      </c>
      <c r="B469" s="20" t="str">
        <f>IF(盘货信息!B469="","",盘货信息!B469)</f>
        <v/>
      </c>
      <c r="C469" s="18" t="str">
        <f>IF(盘货信息!C469="","",盘货信息!C469)</f>
        <v/>
      </c>
      <c r="D469" s="18" t="str">
        <f ca="1" t="shared" si="7"/>
        <v/>
      </c>
      <c r="E469" s="18" t="str">
        <f>IF(C469="","",固定信息!$B$2)</f>
        <v/>
      </c>
      <c r="F469" s="18" t="str">
        <f t="array" ref="F469">IF(C469="","","【"&amp;C469&amp;"】"&amp;_xlfn.XLOOKUP(A469&amp;B469&amp;C469,盘货信息!$A:$A&amp;盘货信息!$B:$B&amp;盘货信息!$C:$C,盘货信息!$D:$D))</f>
        <v/>
      </c>
      <c r="G469" s="18" t="str">
        <f>IF(C469="","","【"&amp;"活动时间："&amp;固定信息!$B$3&amp;"】")</f>
        <v/>
      </c>
      <c r="H469" s="18" t="str">
        <f>IF($C469="","",固定信息!$B$1)</f>
        <v/>
      </c>
      <c r="I469" s="18"/>
      <c r="J469" s="18" t="str">
        <f t="array" ref="J469">_xlfn.XLOOKUP(A469&amp;B469&amp;C469,价格信息!$A:$A&amp;价格信息!$B:$B&amp;价格信息!$C:$C,价格信息!$D:$D)</f>
        <v/>
      </c>
      <c r="K469" s="31" t="str">
        <f t="array" ref="K469">IF(_xlfn.XLOOKUP(A469&amp;B469&amp;C469,价格信息!$A:$A&amp;价格信息!$B:$B&amp;价格信息!$C:$C,价格信息!$I:$I)="","","【优惠券链接】"&amp;固定信息!$B$6)</f>
        <v/>
      </c>
      <c r="L469" s="31" t="str">
        <f>IF($C469="","",固定信息!$B$1)</f>
        <v/>
      </c>
      <c r="M469" s="18" t="str">
        <f t="array" ref="M469">IF(_xlfn.XLOOKUP(A469&amp;B469&amp;C469,盘货信息!$A:$A&amp;盘货信息!$B:$B&amp;盘货信息!$C:$C,盘货信息!$O:$O)="","","【优惠券】领"&amp;INDEX(_wpsfn.REGEXP(_xlfn.XLOOKUP(A469&amp;B469&amp;C469,盘货信息!$A:$A&amp;盘货信息!$B:$B&amp;盘货信息!$C:$C,盘货信息!$O:$O),"\d+"),1,1)&amp;"元优惠券下单更优惠，优惠卷："&amp;_xlfn.XLOOKUP(A469&amp;B469&amp;C469,盘货信息!$A:$A&amp;盘货信息!$B:$B&amp;盘货信息!$C:$C,盘货信息!$P:$P))</f>
        <v/>
      </c>
      <c r="N469" s="18" t="str">
        <f t="array" ref="N469">IF(AND(ISNUMBER(_xlfn.XLOOKUP(A469&amp;B469&amp;C469,盘货信息!$A:$A&amp;盘货信息!$B:$B&amp;盘货信息!$C:$C,盘货信息!$I:$I)),_xlfn.XLOOKUP(A469&amp;B469&amp;C469,盘货信息!$A:$A&amp;盘货信息!$B:$B&amp;盘货信息!$C:$C,盘货信息!$I:$I)&gt;1),"【88VIP】立减"&amp;_xlfn.XLOOKUP(A469&amp;B469&amp;C469,盘货信息!$A:$A&amp;盘货信息!$B:$B&amp;盘货信息!$C:$C,盘货信息!$I:$I)&amp;"元","")</f>
        <v/>
      </c>
      <c r="O469" s="18" t="str">
        <f t="array" ref="O469">IF(_xlfn.XLOOKUP(A469&amp;B469&amp;C469,盘货信息!$A:$A&amp;盘货信息!$B:$B&amp;盘货信息!$C:$C,盘货信息!$K:$K)="","",IF(AND(_xlfn.XLOOKUP(A469&amp;B469&amp;C469,盘货信息!$A:$A&amp;盘货信息!$B:$B&amp;盘货信息!$C:$C,盘货信息!$G:$G)="不参加",_xlfn.XLOOKUP(A469&amp;B469&amp;C469,盘货信息!$A:$A&amp;盘货信息!$B:$B&amp;盘货信息!$C:$C,盘货信息!$H:$H)=""),"【以旧换新】"&amp;_xlfn.XLOOKUP(A469&amp;B469&amp;C469,盘货信息!$A:$A&amp;盘货信息!$B:$B&amp;盘货信息!$C:$C,盘货信息!$K:$K)&amp;"元以旧换新补贴（可无旧机换新）",""))</f>
        <v/>
      </c>
      <c r="P469" s="18" t="str">
        <f t="array" ref="P469">_xlfn.XLOOKUP(A469&amp;B469&amp;C469,赠品!$A:$A&amp;赠品!$B:$B&amp;赠品!$C:$C,赠品!$D:$D)</f>
        <v/>
      </c>
      <c r="Q469" s="18" t="str">
        <f>IF($C469="","",IF(AND(M469="",N469="",P469=""),"",固定信息!$B$1))</f>
        <v/>
      </c>
      <c r="R469" s="18" t="str">
        <f t="array" ref="R469">IF(ISNUMBER(SEARCH("是",_xlfn.XLOOKUP(A469&amp;B469&amp;C469,盘货信息!$A:$A&amp;盘货信息!$B:$B&amp;盘货信息!$C:$C,盘货信息!$U:$U))),"【折扣】指定型号满2类享96折，满3类享94折","")</f>
        <v/>
      </c>
      <c r="S469" s="18" t="str">
        <f t="array" ref="S469">IF(_xlfn.XLOOKUP(A469&amp;B469&amp;C469,盘货信息!$A:$A&amp;盘货信息!$B:$B&amp;盘货信息!$C:$C,盘货信息!$Q:$Q)&lt;1,"","【红包】活动时间购机送"&amp;_xlfn.TEXTJOIN("",,IF(ISNUMBER(--MID(_xlfn.XLOOKUP(A469&amp;B469&amp;C469,盘货信息!$A:$A&amp;盘货信息!$B:$B&amp;盘货信息!$C:$C,盘货信息!$Q:$Q),_xlfn.SEQUENCE(LEN(_xlfn.XLOOKUP(A469&amp;B469&amp;C469,盘货信息!$A:$A&amp;盘货信息!$B:$B&amp;盘货信息!$C:$C,盘货信息!$Q:$Q))),1)),MID(_xlfn.XLOOKUP(A469&amp;B469&amp;C469,盘货信息!$A:$A&amp;盘货信息!$B:$B&amp;盘货信息!$C:$C,盘货信息!$Q:$Q),_xlfn.SEQUENCE(LEN(_xlfn.XLOOKUP(A469&amp;B469&amp;C469,盘货信息!$A:$A&amp;盘货信息!$B:$B&amp;盘货信息!$C:$C,盘货信息!$Q:$Q))),1),""))&amp;"元")</f>
        <v/>
      </c>
      <c r="T469" s="18" t="str">
        <f t="array" ref="T469">IF(ISNUMBER(SEARCH("是",_xlfn.XLOOKUP(A469&amp;B469&amp;C469,盘货信息!$A:$A&amp;盘货信息!$B:$B&amp;盘货信息!$C:$C,盘货信息!$T:$T))),"【瓜分】"&amp;固定信息!$B$7,"")</f>
        <v/>
      </c>
      <c r="U469" s="18" t="str">
        <f>IF($C469="","",IF(AND(R469="",S469="",T469=""),"",固定信息!$B$1))</f>
        <v/>
      </c>
      <c r="V469" s="18" t="str">
        <f t="array" ref="V469">IF(C469="","","【服务】"&amp;IF(_xlfn.XLOOKUP(A469&amp;B469&amp;C469,盘货信息!$A:$A&amp;盘货信息!$B:$B&amp;盘货信息!$C:$C,盘货信息!$V:$V)="","",_xlfn.XLOOKUP(A469&amp;B469&amp;C469,盘货信息!$A:$A&amp;盘货信息!$B:$B&amp;盘货信息!$C:$C,盘货信息!$V:$V)&amp;"免息,")&amp;IF(_xlfn.XLOOKUP(A469&amp;B469&amp;C469,盘货信息!$A:$A&amp;盘货信息!$B:$B&amp;盘货信息!$C:$C,盘货信息!$W:$W)="","",_xlfn.XLOOKUP(A469&amp;B469&amp;C469,盘货信息!$A:$A&amp;盘货信息!$B:$B&amp;盘货信息!$C:$C,盘货信息!$W:$W)&amp;"，")&amp;"送货入户，退换免运费")</f>
        <v/>
      </c>
    </row>
    <row r="470" customHeight="1" spans="1:22">
      <c r="A470" s="17" t="str">
        <f>IF(盘货信息!A470="","",盘货信息!A470)</f>
        <v/>
      </c>
      <c r="B470" s="20" t="str">
        <f>IF(盘货信息!B470="","",盘货信息!B470)</f>
        <v/>
      </c>
      <c r="C470" s="18" t="str">
        <f>IF(盘货信息!C470="","",盘货信息!C470)</f>
        <v/>
      </c>
      <c r="D470" s="18" t="str">
        <f ca="1" t="shared" si="7"/>
        <v/>
      </c>
      <c r="E470" s="18" t="str">
        <f>IF(C470="","",固定信息!$B$2)</f>
        <v/>
      </c>
      <c r="F470" s="18" t="str">
        <f t="array" ref="F470">IF(C470="","","【"&amp;C470&amp;"】"&amp;_xlfn.XLOOKUP(A470&amp;B470&amp;C470,盘货信息!$A:$A&amp;盘货信息!$B:$B&amp;盘货信息!$C:$C,盘货信息!$D:$D))</f>
        <v/>
      </c>
      <c r="G470" s="18" t="str">
        <f>IF(C470="","","【"&amp;"活动时间："&amp;固定信息!$B$3&amp;"】")</f>
        <v/>
      </c>
      <c r="H470" s="18" t="str">
        <f>IF($C470="","",固定信息!$B$1)</f>
        <v/>
      </c>
      <c r="I470" s="18"/>
      <c r="J470" s="18" t="str">
        <f t="array" ref="J470">_xlfn.XLOOKUP(A470&amp;B470&amp;C470,价格信息!$A:$A&amp;价格信息!$B:$B&amp;价格信息!$C:$C,价格信息!$D:$D)</f>
        <v/>
      </c>
      <c r="K470" s="31" t="str">
        <f t="array" ref="K470">IF(_xlfn.XLOOKUP(A470&amp;B470&amp;C470,价格信息!$A:$A&amp;价格信息!$B:$B&amp;价格信息!$C:$C,价格信息!$I:$I)="","","【优惠券链接】"&amp;固定信息!$B$6)</f>
        <v/>
      </c>
      <c r="L470" s="31" t="str">
        <f>IF($C470="","",固定信息!$B$1)</f>
        <v/>
      </c>
      <c r="M470" s="18" t="str">
        <f t="array" ref="M470">IF(_xlfn.XLOOKUP(A470&amp;B470&amp;C470,盘货信息!$A:$A&amp;盘货信息!$B:$B&amp;盘货信息!$C:$C,盘货信息!$O:$O)="","","【优惠券】领"&amp;INDEX(_wpsfn.REGEXP(_xlfn.XLOOKUP(A470&amp;B470&amp;C470,盘货信息!$A:$A&amp;盘货信息!$B:$B&amp;盘货信息!$C:$C,盘货信息!$O:$O),"\d+"),1,1)&amp;"元优惠券下单更优惠，优惠卷："&amp;_xlfn.XLOOKUP(A470&amp;B470&amp;C470,盘货信息!$A:$A&amp;盘货信息!$B:$B&amp;盘货信息!$C:$C,盘货信息!$P:$P))</f>
        <v/>
      </c>
      <c r="N470" s="18" t="str">
        <f t="array" ref="N470">IF(AND(ISNUMBER(_xlfn.XLOOKUP(A470&amp;B470&amp;C470,盘货信息!$A:$A&amp;盘货信息!$B:$B&amp;盘货信息!$C:$C,盘货信息!$I:$I)),_xlfn.XLOOKUP(A470&amp;B470&amp;C470,盘货信息!$A:$A&amp;盘货信息!$B:$B&amp;盘货信息!$C:$C,盘货信息!$I:$I)&gt;1),"【88VIP】立减"&amp;_xlfn.XLOOKUP(A470&amp;B470&amp;C470,盘货信息!$A:$A&amp;盘货信息!$B:$B&amp;盘货信息!$C:$C,盘货信息!$I:$I)&amp;"元","")</f>
        <v/>
      </c>
      <c r="O470" s="18" t="str">
        <f t="array" ref="O470">IF(_xlfn.XLOOKUP(A470&amp;B470&amp;C470,盘货信息!$A:$A&amp;盘货信息!$B:$B&amp;盘货信息!$C:$C,盘货信息!$K:$K)="","",IF(AND(_xlfn.XLOOKUP(A470&amp;B470&amp;C470,盘货信息!$A:$A&amp;盘货信息!$B:$B&amp;盘货信息!$C:$C,盘货信息!$G:$G)="不参加",_xlfn.XLOOKUP(A470&amp;B470&amp;C470,盘货信息!$A:$A&amp;盘货信息!$B:$B&amp;盘货信息!$C:$C,盘货信息!$H:$H)=""),"【以旧换新】"&amp;_xlfn.XLOOKUP(A470&amp;B470&amp;C470,盘货信息!$A:$A&amp;盘货信息!$B:$B&amp;盘货信息!$C:$C,盘货信息!$K:$K)&amp;"元以旧换新补贴（可无旧机换新）",""))</f>
        <v/>
      </c>
      <c r="P470" s="18" t="str">
        <f t="array" ref="P470">_xlfn.XLOOKUP(A470&amp;B470&amp;C470,赠品!$A:$A&amp;赠品!$B:$B&amp;赠品!$C:$C,赠品!$D:$D)</f>
        <v/>
      </c>
      <c r="Q470" s="18" t="str">
        <f>IF($C470="","",IF(AND(M470="",N470="",P470=""),"",固定信息!$B$1))</f>
        <v/>
      </c>
      <c r="R470" s="18" t="str">
        <f t="array" ref="R470">IF(ISNUMBER(SEARCH("是",_xlfn.XLOOKUP(A470&amp;B470&amp;C470,盘货信息!$A:$A&amp;盘货信息!$B:$B&amp;盘货信息!$C:$C,盘货信息!$U:$U))),"【折扣】指定型号满2类享96折，满3类享94折","")</f>
        <v/>
      </c>
      <c r="S470" s="18" t="str">
        <f t="array" ref="S470">IF(_xlfn.XLOOKUP(A470&amp;B470&amp;C470,盘货信息!$A:$A&amp;盘货信息!$B:$B&amp;盘货信息!$C:$C,盘货信息!$Q:$Q)&lt;1,"","【红包】活动时间购机送"&amp;_xlfn.TEXTJOIN("",,IF(ISNUMBER(--MID(_xlfn.XLOOKUP(A470&amp;B470&amp;C470,盘货信息!$A:$A&amp;盘货信息!$B:$B&amp;盘货信息!$C:$C,盘货信息!$Q:$Q),_xlfn.SEQUENCE(LEN(_xlfn.XLOOKUP(A470&amp;B470&amp;C470,盘货信息!$A:$A&amp;盘货信息!$B:$B&amp;盘货信息!$C:$C,盘货信息!$Q:$Q))),1)),MID(_xlfn.XLOOKUP(A470&amp;B470&amp;C470,盘货信息!$A:$A&amp;盘货信息!$B:$B&amp;盘货信息!$C:$C,盘货信息!$Q:$Q),_xlfn.SEQUENCE(LEN(_xlfn.XLOOKUP(A470&amp;B470&amp;C470,盘货信息!$A:$A&amp;盘货信息!$B:$B&amp;盘货信息!$C:$C,盘货信息!$Q:$Q))),1),""))&amp;"元")</f>
        <v/>
      </c>
      <c r="T470" s="18" t="str">
        <f t="array" ref="T470">IF(ISNUMBER(SEARCH("是",_xlfn.XLOOKUP(A470&amp;B470&amp;C470,盘货信息!$A:$A&amp;盘货信息!$B:$B&amp;盘货信息!$C:$C,盘货信息!$T:$T))),"【瓜分】"&amp;固定信息!$B$7,"")</f>
        <v/>
      </c>
      <c r="U470" s="18" t="str">
        <f>IF($C470="","",IF(AND(R470="",S470="",T470=""),"",固定信息!$B$1))</f>
        <v/>
      </c>
      <c r="V470" s="18" t="str">
        <f t="array" ref="V470">IF(C470="","","【服务】"&amp;IF(_xlfn.XLOOKUP(A470&amp;B470&amp;C470,盘货信息!$A:$A&amp;盘货信息!$B:$B&amp;盘货信息!$C:$C,盘货信息!$V:$V)="","",_xlfn.XLOOKUP(A470&amp;B470&amp;C470,盘货信息!$A:$A&amp;盘货信息!$B:$B&amp;盘货信息!$C:$C,盘货信息!$V:$V)&amp;"免息,")&amp;IF(_xlfn.XLOOKUP(A470&amp;B470&amp;C470,盘货信息!$A:$A&amp;盘货信息!$B:$B&amp;盘货信息!$C:$C,盘货信息!$W:$W)="","",_xlfn.XLOOKUP(A470&amp;B470&amp;C470,盘货信息!$A:$A&amp;盘货信息!$B:$B&amp;盘货信息!$C:$C,盘货信息!$W:$W)&amp;"，")&amp;"送货入户，退换免运费")</f>
        <v/>
      </c>
    </row>
    <row r="471" customHeight="1" spans="1:22">
      <c r="A471" s="17" t="str">
        <f>IF(盘货信息!A471="","",盘货信息!A471)</f>
        <v/>
      </c>
      <c r="B471" s="20" t="str">
        <f>IF(盘货信息!B471="","",盘货信息!B471)</f>
        <v/>
      </c>
      <c r="C471" s="18" t="str">
        <f>IF(盘货信息!C471="","",盘货信息!C471)</f>
        <v/>
      </c>
      <c r="D471" s="18" t="str">
        <f ca="1" t="shared" si="7"/>
        <v/>
      </c>
      <c r="E471" s="18" t="str">
        <f>IF(C471="","",固定信息!$B$2)</f>
        <v/>
      </c>
      <c r="F471" s="18" t="str">
        <f t="array" ref="F471">IF(C471="","","【"&amp;C471&amp;"】"&amp;_xlfn.XLOOKUP(A471&amp;B471&amp;C471,盘货信息!$A:$A&amp;盘货信息!$B:$B&amp;盘货信息!$C:$C,盘货信息!$D:$D))</f>
        <v/>
      </c>
      <c r="G471" s="18" t="str">
        <f>IF(C471="","","【"&amp;"活动时间："&amp;固定信息!$B$3&amp;"】")</f>
        <v/>
      </c>
      <c r="H471" s="18" t="str">
        <f>IF($C471="","",固定信息!$B$1)</f>
        <v/>
      </c>
      <c r="I471" s="18"/>
      <c r="J471" s="18" t="str">
        <f t="array" ref="J471">_xlfn.XLOOKUP(A471&amp;B471&amp;C471,价格信息!$A:$A&amp;价格信息!$B:$B&amp;价格信息!$C:$C,价格信息!$D:$D)</f>
        <v/>
      </c>
      <c r="K471" s="31" t="str">
        <f t="array" ref="K471">IF(_xlfn.XLOOKUP(A471&amp;B471&amp;C471,价格信息!$A:$A&amp;价格信息!$B:$B&amp;价格信息!$C:$C,价格信息!$I:$I)="","","【优惠券链接】"&amp;固定信息!$B$6)</f>
        <v/>
      </c>
      <c r="L471" s="31" t="str">
        <f>IF($C471="","",固定信息!$B$1)</f>
        <v/>
      </c>
      <c r="M471" s="18" t="str">
        <f t="array" ref="M471">IF(_xlfn.XLOOKUP(A471&amp;B471&amp;C471,盘货信息!$A:$A&amp;盘货信息!$B:$B&amp;盘货信息!$C:$C,盘货信息!$O:$O)="","","【优惠券】领"&amp;INDEX(_wpsfn.REGEXP(_xlfn.XLOOKUP(A471&amp;B471&amp;C471,盘货信息!$A:$A&amp;盘货信息!$B:$B&amp;盘货信息!$C:$C,盘货信息!$O:$O),"\d+"),1,1)&amp;"元优惠券下单更优惠，优惠卷："&amp;_xlfn.XLOOKUP(A471&amp;B471&amp;C471,盘货信息!$A:$A&amp;盘货信息!$B:$B&amp;盘货信息!$C:$C,盘货信息!$P:$P))</f>
        <v/>
      </c>
      <c r="N471" s="18" t="str">
        <f t="array" ref="N471">IF(AND(ISNUMBER(_xlfn.XLOOKUP(A471&amp;B471&amp;C471,盘货信息!$A:$A&amp;盘货信息!$B:$B&amp;盘货信息!$C:$C,盘货信息!$I:$I)),_xlfn.XLOOKUP(A471&amp;B471&amp;C471,盘货信息!$A:$A&amp;盘货信息!$B:$B&amp;盘货信息!$C:$C,盘货信息!$I:$I)&gt;1),"【88VIP】立减"&amp;_xlfn.XLOOKUP(A471&amp;B471&amp;C471,盘货信息!$A:$A&amp;盘货信息!$B:$B&amp;盘货信息!$C:$C,盘货信息!$I:$I)&amp;"元","")</f>
        <v/>
      </c>
      <c r="O471" s="18" t="str">
        <f t="array" ref="O471">IF(_xlfn.XLOOKUP(A471&amp;B471&amp;C471,盘货信息!$A:$A&amp;盘货信息!$B:$B&amp;盘货信息!$C:$C,盘货信息!$K:$K)="","",IF(AND(_xlfn.XLOOKUP(A471&amp;B471&amp;C471,盘货信息!$A:$A&amp;盘货信息!$B:$B&amp;盘货信息!$C:$C,盘货信息!$G:$G)="不参加",_xlfn.XLOOKUP(A471&amp;B471&amp;C471,盘货信息!$A:$A&amp;盘货信息!$B:$B&amp;盘货信息!$C:$C,盘货信息!$H:$H)=""),"【以旧换新】"&amp;_xlfn.XLOOKUP(A471&amp;B471&amp;C471,盘货信息!$A:$A&amp;盘货信息!$B:$B&amp;盘货信息!$C:$C,盘货信息!$K:$K)&amp;"元以旧换新补贴（可无旧机换新）",""))</f>
        <v/>
      </c>
      <c r="P471" s="18" t="str">
        <f t="array" ref="P471">_xlfn.XLOOKUP(A471&amp;B471&amp;C471,赠品!$A:$A&amp;赠品!$B:$B&amp;赠品!$C:$C,赠品!$D:$D)</f>
        <v/>
      </c>
      <c r="Q471" s="18" t="str">
        <f>IF($C471="","",IF(AND(M471="",N471="",P471=""),"",固定信息!$B$1))</f>
        <v/>
      </c>
      <c r="R471" s="18" t="str">
        <f t="array" ref="R471">IF(ISNUMBER(SEARCH("是",_xlfn.XLOOKUP(A471&amp;B471&amp;C471,盘货信息!$A:$A&amp;盘货信息!$B:$B&amp;盘货信息!$C:$C,盘货信息!$U:$U))),"【折扣】指定型号满2类享96折，满3类享94折","")</f>
        <v/>
      </c>
      <c r="S471" s="18" t="str">
        <f t="array" ref="S471">IF(_xlfn.XLOOKUP(A471&amp;B471&amp;C471,盘货信息!$A:$A&amp;盘货信息!$B:$B&amp;盘货信息!$C:$C,盘货信息!$Q:$Q)&lt;1,"","【红包】活动时间购机送"&amp;_xlfn.TEXTJOIN("",,IF(ISNUMBER(--MID(_xlfn.XLOOKUP(A471&amp;B471&amp;C471,盘货信息!$A:$A&amp;盘货信息!$B:$B&amp;盘货信息!$C:$C,盘货信息!$Q:$Q),_xlfn.SEQUENCE(LEN(_xlfn.XLOOKUP(A471&amp;B471&amp;C471,盘货信息!$A:$A&amp;盘货信息!$B:$B&amp;盘货信息!$C:$C,盘货信息!$Q:$Q))),1)),MID(_xlfn.XLOOKUP(A471&amp;B471&amp;C471,盘货信息!$A:$A&amp;盘货信息!$B:$B&amp;盘货信息!$C:$C,盘货信息!$Q:$Q),_xlfn.SEQUENCE(LEN(_xlfn.XLOOKUP(A471&amp;B471&amp;C471,盘货信息!$A:$A&amp;盘货信息!$B:$B&amp;盘货信息!$C:$C,盘货信息!$Q:$Q))),1),""))&amp;"元")</f>
        <v/>
      </c>
      <c r="T471" s="18" t="str">
        <f t="array" ref="T471">IF(ISNUMBER(SEARCH("是",_xlfn.XLOOKUP(A471&amp;B471&amp;C471,盘货信息!$A:$A&amp;盘货信息!$B:$B&amp;盘货信息!$C:$C,盘货信息!$T:$T))),"【瓜分】"&amp;固定信息!$B$7,"")</f>
        <v/>
      </c>
      <c r="U471" s="18" t="str">
        <f>IF($C471="","",IF(AND(R471="",S471="",T471=""),"",固定信息!$B$1))</f>
        <v/>
      </c>
      <c r="V471" s="18" t="str">
        <f t="array" ref="V471">IF(C471="","","【服务】"&amp;IF(_xlfn.XLOOKUP(A471&amp;B471&amp;C471,盘货信息!$A:$A&amp;盘货信息!$B:$B&amp;盘货信息!$C:$C,盘货信息!$V:$V)="","",_xlfn.XLOOKUP(A471&amp;B471&amp;C471,盘货信息!$A:$A&amp;盘货信息!$B:$B&amp;盘货信息!$C:$C,盘货信息!$V:$V)&amp;"免息,")&amp;IF(_xlfn.XLOOKUP(A471&amp;B471&amp;C471,盘货信息!$A:$A&amp;盘货信息!$B:$B&amp;盘货信息!$C:$C,盘货信息!$W:$W)="","",_xlfn.XLOOKUP(A471&amp;B471&amp;C471,盘货信息!$A:$A&amp;盘货信息!$B:$B&amp;盘货信息!$C:$C,盘货信息!$W:$W)&amp;"，")&amp;"送货入户，退换免运费")</f>
        <v/>
      </c>
    </row>
    <row r="472" customHeight="1" spans="1:22">
      <c r="A472" s="17" t="str">
        <f>IF(盘货信息!A472="","",盘货信息!A472)</f>
        <v/>
      </c>
      <c r="B472" s="20" t="str">
        <f>IF(盘货信息!B472="","",盘货信息!B472)</f>
        <v/>
      </c>
      <c r="C472" s="18" t="str">
        <f>IF(盘货信息!C472="","",盘货信息!C472)</f>
        <v/>
      </c>
      <c r="D472" s="18" t="str">
        <f ca="1" t="shared" si="7"/>
        <v/>
      </c>
      <c r="E472" s="18" t="str">
        <f>IF(C472="","",固定信息!$B$2)</f>
        <v/>
      </c>
      <c r="F472" s="18" t="str">
        <f t="array" ref="F472">IF(C472="","","【"&amp;C472&amp;"】"&amp;_xlfn.XLOOKUP(A472&amp;B472&amp;C472,盘货信息!$A:$A&amp;盘货信息!$B:$B&amp;盘货信息!$C:$C,盘货信息!$D:$D))</f>
        <v/>
      </c>
      <c r="G472" s="18" t="str">
        <f>IF(C472="","","【"&amp;"活动时间："&amp;固定信息!$B$3&amp;"】")</f>
        <v/>
      </c>
      <c r="H472" s="18" t="str">
        <f>IF($C472="","",固定信息!$B$1)</f>
        <v/>
      </c>
      <c r="I472" s="18"/>
      <c r="J472" s="18" t="str">
        <f t="array" ref="J472">_xlfn.XLOOKUP(A472&amp;B472&amp;C472,价格信息!$A:$A&amp;价格信息!$B:$B&amp;价格信息!$C:$C,价格信息!$D:$D)</f>
        <v/>
      </c>
      <c r="K472" s="31" t="str">
        <f t="array" ref="K472">IF(_xlfn.XLOOKUP(A472&amp;B472&amp;C472,价格信息!$A:$A&amp;价格信息!$B:$B&amp;价格信息!$C:$C,价格信息!$I:$I)="","","【优惠券链接】"&amp;固定信息!$B$6)</f>
        <v/>
      </c>
      <c r="L472" s="31" t="str">
        <f>IF($C472="","",固定信息!$B$1)</f>
        <v/>
      </c>
      <c r="M472" s="18" t="str">
        <f t="array" ref="M472">IF(_xlfn.XLOOKUP(A472&amp;B472&amp;C472,盘货信息!$A:$A&amp;盘货信息!$B:$B&amp;盘货信息!$C:$C,盘货信息!$O:$O)="","","【优惠券】领"&amp;INDEX(_wpsfn.REGEXP(_xlfn.XLOOKUP(A472&amp;B472&amp;C472,盘货信息!$A:$A&amp;盘货信息!$B:$B&amp;盘货信息!$C:$C,盘货信息!$O:$O),"\d+"),1,1)&amp;"元优惠券下单更优惠，优惠卷："&amp;_xlfn.XLOOKUP(A472&amp;B472&amp;C472,盘货信息!$A:$A&amp;盘货信息!$B:$B&amp;盘货信息!$C:$C,盘货信息!$P:$P))</f>
        <v/>
      </c>
      <c r="N472" s="18" t="str">
        <f t="array" ref="N472">IF(AND(ISNUMBER(_xlfn.XLOOKUP(A472&amp;B472&amp;C472,盘货信息!$A:$A&amp;盘货信息!$B:$B&amp;盘货信息!$C:$C,盘货信息!$I:$I)),_xlfn.XLOOKUP(A472&amp;B472&amp;C472,盘货信息!$A:$A&amp;盘货信息!$B:$B&amp;盘货信息!$C:$C,盘货信息!$I:$I)&gt;1),"【88VIP】立减"&amp;_xlfn.XLOOKUP(A472&amp;B472&amp;C472,盘货信息!$A:$A&amp;盘货信息!$B:$B&amp;盘货信息!$C:$C,盘货信息!$I:$I)&amp;"元","")</f>
        <v/>
      </c>
      <c r="O472" s="18" t="str">
        <f t="array" ref="O472">IF(_xlfn.XLOOKUP(A472&amp;B472&amp;C472,盘货信息!$A:$A&amp;盘货信息!$B:$B&amp;盘货信息!$C:$C,盘货信息!$K:$K)="","",IF(AND(_xlfn.XLOOKUP(A472&amp;B472&amp;C472,盘货信息!$A:$A&amp;盘货信息!$B:$B&amp;盘货信息!$C:$C,盘货信息!$G:$G)="不参加",_xlfn.XLOOKUP(A472&amp;B472&amp;C472,盘货信息!$A:$A&amp;盘货信息!$B:$B&amp;盘货信息!$C:$C,盘货信息!$H:$H)=""),"【以旧换新】"&amp;_xlfn.XLOOKUP(A472&amp;B472&amp;C472,盘货信息!$A:$A&amp;盘货信息!$B:$B&amp;盘货信息!$C:$C,盘货信息!$K:$K)&amp;"元以旧换新补贴（可无旧机换新）",""))</f>
        <v/>
      </c>
      <c r="P472" s="18" t="str">
        <f t="array" ref="P472">_xlfn.XLOOKUP(A472&amp;B472&amp;C472,赠品!$A:$A&amp;赠品!$B:$B&amp;赠品!$C:$C,赠品!$D:$D)</f>
        <v/>
      </c>
      <c r="Q472" s="18" t="str">
        <f>IF($C472="","",IF(AND(M472="",N472="",P472=""),"",固定信息!$B$1))</f>
        <v/>
      </c>
      <c r="R472" s="18" t="str">
        <f t="array" ref="R472">IF(ISNUMBER(SEARCH("是",_xlfn.XLOOKUP(A472&amp;B472&amp;C472,盘货信息!$A:$A&amp;盘货信息!$B:$B&amp;盘货信息!$C:$C,盘货信息!$U:$U))),"【折扣】指定型号满2类享96折，满3类享94折","")</f>
        <v/>
      </c>
      <c r="S472" s="18" t="str">
        <f t="array" ref="S472">IF(_xlfn.XLOOKUP(A472&amp;B472&amp;C472,盘货信息!$A:$A&amp;盘货信息!$B:$B&amp;盘货信息!$C:$C,盘货信息!$Q:$Q)&lt;1,"","【红包】活动时间购机送"&amp;_xlfn.TEXTJOIN("",,IF(ISNUMBER(--MID(_xlfn.XLOOKUP(A472&amp;B472&amp;C472,盘货信息!$A:$A&amp;盘货信息!$B:$B&amp;盘货信息!$C:$C,盘货信息!$Q:$Q),_xlfn.SEQUENCE(LEN(_xlfn.XLOOKUP(A472&amp;B472&amp;C472,盘货信息!$A:$A&amp;盘货信息!$B:$B&amp;盘货信息!$C:$C,盘货信息!$Q:$Q))),1)),MID(_xlfn.XLOOKUP(A472&amp;B472&amp;C472,盘货信息!$A:$A&amp;盘货信息!$B:$B&amp;盘货信息!$C:$C,盘货信息!$Q:$Q),_xlfn.SEQUENCE(LEN(_xlfn.XLOOKUP(A472&amp;B472&amp;C472,盘货信息!$A:$A&amp;盘货信息!$B:$B&amp;盘货信息!$C:$C,盘货信息!$Q:$Q))),1),""))&amp;"元")</f>
        <v/>
      </c>
      <c r="T472" s="18" t="str">
        <f t="array" ref="T472">IF(ISNUMBER(SEARCH("是",_xlfn.XLOOKUP(A472&amp;B472&amp;C472,盘货信息!$A:$A&amp;盘货信息!$B:$B&amp;盘货信息!$C:$C,盘货信息!$T:$T))),"【瓜分】"&amp;固定信息!$B$7,"")</f>
        <v/>
      </c>
      <c r="U472" s="18" t="str">
        <f>IF($C472="","",IF(AND(R472="",S472="",T472=""),"",固定信息!$B$1))</f>
        <v/>
      </c>
      <c r="V472" s="18" t="str">
        <f t="array" ref="V472">IF(C472="","","【服务】"&amp;IF(_xlfn.XLOOKUP(A472&amp;B472&amp;C472,盘货信息!$A:$A&amp;盘货信息!$B:$B&amp;盘货信息!$C:$C,盘货信息!$V:$V)="","",_xlfn.XLOOKUP(A472&amp;B472&amp;C472,盘货信息!$A:$A&amp;盘货信息!$B:$B&amp;盘货信息!$C:$C,盘货信息!$V:$V)&amp;"免息,")&amp;IF(_xlfn.XLOOKUP(A472&amp;B472&amp;C472,盘货信息!$A:$A&amp;盘货信息!$B:$B&amp;盘货信息!$C:$C,盘货信息!$W:$W)="","",_xlfn.XLOOKUP(A472&amp;B472&amp;C472,盘货信息!$A:$A&amp;盘货信息!$B:$B&amp;盘货信息!$C:$C,盘货信息!$W:$W)&amp;"，")&amp;"送货入户，退换免运费")</f>
        <v/>
      </c>
    </row>
    <row r="473" customHeight="1" spans="1:22">
      <c r="A473" s="17" t="str">
        <f>IF(盘货信息!A473="","",盘货信息!A473)</f>
        <v/>
      </c>
      <c r="B473" s="20" t="str">
        <f>IF(盘货信息!B473="","",盘货信息!B473)</f>
        <v/>
      </c>
      <c r="C473" s="18" t="str">
        <f>IF(盘货信息!C473="","",盘货信息!C473)</f>
        <v/>
      </c>
      <c r="D473" s="18" t="str">
        <f ca="1" t="shared" si="7"/>
        <v/>
      </c>
      <c r="E473" s="18" t="str">
        <f>IF(C473="","",固定信息!$B$2)</f>
        <v/>
      </c>
      <c r="F473" s="18" t="str">
        <f t="array" ref="F473">IF(C473="","","【"&amp;C473&amp;"】"&amp;_xlfn.XLOOKUP(A473&amp;B473&amp;C473,盘货信息!$A:$A&amp;盘货信息!$B:$B&amp;盘货信息!$C:$C,盘货信息!$D:$D))</f>
        <v/>
      </c>
      <c r="G473" s="18" t="str">
        <f>IF(C473="","","【"&amp;"活动时间："&amp;固定信息!$B$3&amp;"】")</f>
        <v/>
      </c>
      <c r="H473" s="18" t="str">
        <f>IF($C473="","",固定信息!$B$1)</f>
        <v/>
      </c>
      <c r="I473" s="18"/>
      <c r="J473" s="18" t="str">
        <f t="array" ref="J473">_xlfn.XLOOKUP(A473&amp;B473&amp;C473,价格信息!$A:$A&amp;价格信息!$B:$B&amp;价格信息!$C:$C,价格信息!$D:$D)</f>
        <v/>
      </c>
      <c r="K473" s="31" t="str">
        <f t="array" ref="K473">IF(_xlfn.XLOOKUP(A473&amp;B473&amp;C473,价格信息!$A:$A&amp;价格信息!$B:$B&amp;价格信息!$C:$C,价格信息!$I:$I)="","","【优惠券链接】"&amp;固定信息!$B$6)</f>
        <v/>
      </c>
      <c r="L473" s="31" t="str">
        <f>IF($C473="","",固定信息!$B$1)</f>
        <v/>
      </c>
      <c r="M473" s="18" t="str">
        <f t="array" ref="M473">IF(_xlfn.XLOOKUP(A473&amp;B473&amp;C473,盘货信息!$A:$A&amp;盘货信息!$B:$B&amp;盘货信息!$C:$C,盘货信息!$O:$O)="","","【优惠券】领"&amp;INDEX(_wpsfn.REGEXP(_xlfn.XLOOKUP(A473&amp;B473&amp;C473,盘货信息!$A:$A&amp;盘货信息!$B:$B&amp;盘货信息!$C:$C,盘货信息!$O:$O),"\d+"),1,1)&amp;"元优惠券下单更优惠，优惠卷："&amp;_xlfn.XLOOKUP(A473&amp;B473&amp;C473,盘货信息!$A:$A&amp;盘货信息!$B:$B&amp;盘货信息!$C:$C,盘货信息!$P:$P))</f>
        <v/>
      </c>
      <c r="N473" s="18" t="str">
        <f t="array" ref="N473">IF(AND(ISNUMBER(_xlfn.XLOOKUP(A473&amp;B473&amp;C473,盘货信息!$A:$A&amp;盘货信息!$B:$B&amp;盘货信息!$C:$C,盘货信息!$I:$I)),_xlfn.XLOOKUP(A473&amp;B473&amp;C473,盘货信息!$A:$A&amp;盘货信息!$B:$B&amp;盘货信息!$C:$C,盘货信息!$I:$I)&gt;1),"【88VIP】立减"&amp;_xlfn.XLOOKUP(A473&amp;B473&amp;C473,盘货信息!$A:$A&amp;盘货信息!$B:$B&amp;盘货信息!$C:$C,盘货信息!$I:$I)&amp;"元","")</f>
        <v/>
      </c>
      <c r="O473" s="18" t="str">
        <f t="array" ref="O473">IF(_xlfn.XLOOKUP(A473&amp;B473&amp;C473,盘货信息!$A:$A&amp;盘货信息!$B:$B&amp;盘货信息!$C:$C,盘货信息!$K:$K)="","",IF(AND(_xlfn.XLOOKUP(A473&amp;B473&amp;C473,盘货信息!$A:$A&amp;盘货信息!$B:$B&amp;盘货信息!$C:$C,盘货信息!$G:$G)="不参加",_xlfn.XLOOKUP(A473&amp;B473&amp;C473,盘货信息!$A:$A&amp;盘货信息!$B:$B&amp;盘货信息!$C:$C,盘货信息!$H:$H)=""),"【以旧换新】"&amp;_xlfn.XLOOKUP(A473&amp;B473&amp;C473,盘货信息!$A:$A&amp;盘货信息!$B:$B&amp;盘货信息!$C:$C,盘货信息!$K:$K)&amp;"元以旧换新补贴（可无旧机换新）",""))</f>
        <v/>
      </c>
      <c r="P473" s="18" t="str">
        <f t="array" ref="P473">_xlfn.XLOOKUP(A473&amp;B473&amp;C473,赠品!$A:$A&amp;赠品!$B:$B&amp;赠品!$C:$C,赠品!$D:$D)</f>
        <v/>
      </c>
      <c r="Q473" s="18" t="str">
        <f>IF($C473="","",IF(AND(M473="",N473="",P473=""),"",固定信息!$B$1))</f>
        <v/>
      </c>
      <c r="R473" s="18" t="str">
        <f t="array" ref="R473">IF(ISNUMBER(SEARCH("是",_xlfn.XLOOKUP(A473&amp;B473&amp;C473,盘货信息!$A:$A&amp;盘货信息!$B:$B&amp;盘货信息!$C:$C,盘货信息!$U:$U))),"【折扣】指定型号满2类享96折，满3类享94折","")</f>
        <v/>
      </c>
      <c r="S473" s="18" t="str">
        <f t="array" ref="S473">IF(_xlfn.XLOOKUP(A473&amp;B473&amp;C473,盘货信息!$A:$A&amp;盘货信息!$B:$B&amp;盘货信息!$C:$C,盘货信息!$Q:$Q)&lt;1,"","【红包】活动时间购机送"&amp;_xlfn.TEXTJOIN("",,IF(ISNUMBER(--MID(_xlfn.XLOOKUP(A473&amp;B473&amp;C473,盘货信息!$A:$A&amp;盘货信息!$B:$B&amp;盘货信息!$C:$C,盘货信息!$Q:$Q),_xlfn.SEQUENCE(LEN(_xlfn.XLOOKUP(A473&amp;B473&amp;C473,盘货信息!$A:$A&amp;盘货信息!$B:$B&amp;盘货信息!$C:$C,盘货信息!$Q:$Q))),1)),MID(_xlfn.XLOOKUP(A473&amp;B473&amp;C473,盘货信息!$A:$A&amp;盘货信息!$B:$B&amp;盘货信息!$C:$C,盘货信息!$Q:$Q),_xlfn.SEQUENCE(LEN(_xlfn.XLOOKUP(A473&amp;B473&amp;C473,盘货信息!$A:$A&amp;盘货信息!$B:$B&amp;盘货信息!$C:$C,盘货信息!$Q:$Q))),1),""))&amp;"元")</f>
        <v/>
      </c>
      <c r="T473" s="18" t="str">
        <f t="array" ref="T473">IF(ISNUMBER(SEARCH("是",_xlfn.XLOOKUP(A473&amp;B473&amp;C473,盘货信息!$A:$A&amp;盘货信息!$B:$B&amp;盘货信息!$C:$C,盘货信息!$T:$T))),"【瓜分】"&amp;固定信息!$B$7,"")</f>
        <v/>
      </c>
      <c r="U473" s="18" t="str">
        <f>IF($C473="","",IF(AND(R473="",S473="",T473=""),"",固定信息!$B$1))</f>
        <v/>
      </c>
      <c r="V473" s="18" t="str">
        <f t="array" ref="V473">IF(C473="","","【服务】"&amp;IF(_xlfn.XLOOKUP(A473&amp;B473&amp;C473,盘货信息!$A:$A&amp;盘货信息!$B:$B&amp;盘货信息!$C:$C,盘货信息!$V:$V)="","",_xlfn.XLOOKUP(A473&amp;B473&amp;C473,盘货信息!$A:$A&amp;盘货信息!$B:$B&amp;盘货信息!$C:$C,盘货信息!$V:$V)&amp;"免息,")&amp;IF(_xlfn.XLOOKUP(A473&amp;B473&amp;C473,盘货信息!$A:$A&amp;盘货信息!$B:$B&amp;盘货信息!$C:$C,盘货信息!$W:$W)="","",_xlfn.XLOOKUP(A473&amp;B473&amp;C473,盘货信息!$A:$A&amp;盘货信息!$B:$B&amp;盘货信息!$C:$C,盘货信息!$W:$W)&amp;"，")&amp;"送货入户，退换免运费")</f>
        <v/>
      </c>
    </row>
    <row r="474" customHeight="1" spans="1:22">
      <c r="A474" s="17" t="str">
        <f>IF(盘货信息!A474="","",盘货信息!A474)</f>
        <v/>
      </c>
      <c r="B474" s="20" t="str">
        <f>IF(盘货信息!B474="","",盘货信息!B474)</f>
        <v/>
      </c>
      <c r="C474" s="18" t="str">
        <f>IF(盘货信息!C474="","",盘货信息!C474)</f>
        <v/>
      </c>
      <c r="D474" s="18" t="str">
        <f ca="1" t="shared" si="7"/>
        <v/>
      </c>
      <c r="E474" s="18" t="str">
        <f>IF(C474="","",固定信息!$B$2)</f>
        <v/>
      </c>
      <c r="F474" s="18" t="str">
        <f t="array" ref="F474">IF(C474="","","【"&amp;C474&amp;"】"&amp;_xlfn.XLOOKUP(A474&amp;B474&amp;C474,盘货信息!$A:$A&amp;盘货信息!$B:$B&amp;盘货信息!$C:$C,盘货信息!$D:$D))</f>
        <v/>
      </c>
      <c r="G474" s="18" t="str">
        <f>IF(C474="","","【"&amp;"活动时间："&amp;固定信息!$B$3&amp;"】")</f>
        <v/>
      </c>
      <c r="H474" s="18" t="str">
        <f>IF($C474="","",固定信息!$B$1)</f>
        <v/>
      </c>
      <c r="I474" s="18"/>
      <c r="J474" s="18" t="str">
        <f t="array" ref="J474">_xlfn.XLOOKUP(A474&amp;B474&amp;C474,价格信息!$A:$A&amp;价格信息!$B:$B&amp;价格信息!$C:$C,价格信息!$D:$D)</f>
        <v/>
      </c>
      <c r="K474" s="31" t="str">
        <f t="array" ref="K474">IF(_xlfn.XLOOKUP(A474&amp;B474&amp;C474,价格信息!$A:$A&amp;价格信息!$B:$B&amp;价格信息!$C:$C,价格信息!$I:$I)="","","【优惠券链接】"&amp;固定信息!$B$6)</f>
        <v/>
      </c>
      <c r="L474" s="31" t="str">
        <f>IF($C474="","",固定信息!$B$1)</f>
        <v/>
      </c>
      <c r="M474" s="18" t="str">
        <f t="array" ref="M474">IF(_xlfn.XLOOKUP(A474&amp;B474&amp;C474,盘货信息!$A:$A&amp;盘货信息!$B:$B&amp;盘货信息!$C:$C,盘货信息!$O:$O)="","","【优惠券】领"&amp;INDEX(_wpsfn.REGEXP(_xlfn.XLOOKUP(A474&amp;B474&amp;C474,盘货信息!$A:$A&amp;盘货信息!$B:$B&amp;盘货信息!$C:$C,盘货信息!$O:$O),"\d+"),1,1)&amp;"元优惠券下单更优惠，优惠卷："&amp;_xlfn.XLOOKUP(A474&amp;B474&amp;C474,盘货信息!$A:$A&amp;盘货信息!$B:$B&amp;盘货信息!$C:$C,盘货信息!$P:$P))</f>
        <v/>
      </c>
      <c r="N474" s="18" t="str">
        <f t="array" ref="N474">IF(AND(ISNUMBER(_xlfn.XLOOKUP(A474&amp;B474&amp;C474,盘货信息!$A:$A&amp;盘货信息!$B:$B&amp;盘货信息!$C:$C,盘货信息!$I:$I)),_xlfn.XLOOKUP(A474&amp;B474&amp;C474,盘货信息!$A:$A&amp;盘货信息!$B:$B&amp;盘货信息!$C:$C,盘货信息!$I:$I)&gt;1),"【88VIP】立减"&amp;_xlfn.XLOOKUP(A474&amp;B474&amp;C474,盘货信息!$A:$A&amp;盘货信息!$B:$B&amp;盘货信息!$C:$C,盘货信息!$I:$I)&amp;"元","")</f>
        <v/>
      </c>
      <c r="O474" s="18" t="str">
        <f t="array" ref="O474">IF(_xlfn.XLOOKUP(A474&amp;B474&amp;C474,盘货信息!$A:$A&amp;盘货信息!$B:$B&amp;盘货信息!$C:$C,盘货信息!$K:$K)="","",IF(AND(_xlfn.XLOOKUP(A474&amp;B474&amp;C474,盘货信息!$A:$A&amp;盘货信息!$B:$B&amp;盘货信息!$C:$C,盘货信息!$G:$G)="不参加",_xlfn.XLOOKUP(A474&amp;B474&amp;C474,盘货信息!$A:$A&amp;盘货信息!$B:$B&amp;盘货信息!$C:$C,盘货信息!$H:$H)=""),"【以旧换新】"&amp;_xlfn.XLOOKUP(A474&amp;B474&amp;C474,盘货信息!$A:$A&amp;盘货信息!$B:$B&amp;盘货信息!$C:$C,盘货信息!$K:$K)&amp;"元以旧换新补贴（可无旧机换新）",""))</f>
        <v/>
      </c>
      <c r="P474" s="18" t="str">
        <f t="array" ref="P474">_xlfn.XLOOKUP(A474&amp;B474&amp;C474,赠品!$A:$A&amp;赠品!$B:$B&amp;赠品!$C:$C,赠品!$D:$D)</f>
        <v/>
      </c>
      <c r="Q474" s="18" t="str">
        <f>IF($C474="","",IF(AND(M474="",N474="",P474=""),"",固定信息!$B$1))</f>
        <v/>
      </c>
      <c r="R474" s="18" t="str">
        <f t="array" ref="R474">IF(ISNUMBER(SEARCH("是",_xlfn.XLOOKUP(A474&amp;B474&amp;C474,盘货信息!$A:$A&amp;盘货信息!$B:$B&amp;盘货信息!$C:$C,盘货信息!$U:$U))),"【折扣】指定型号满2类享96折，满3类享94折","")</f>
        <v/>
      </c>
      <c r="S474" s="18" t="str">
        <f t="array" ref="S474">IF(_xlfn.XLOOKUP(A474&amp;B474&amp;C474,盘货信息!$A:$A&amp;盘货信息!$B:$B&amp;盘货信息!$C:$C,盘货信息!$Q:$Q)&lt;1,"","【红包】活动时间购机送"&amp;_xlfn.TEXTJOIN("",,IF(ISNUMBER(--MID(_xlfn.XLOOKUP(A474&amp;B474&amp;C474,盘货信息!$A:$A&amp;盘货信息!$B:$B&amp;盘货信息!$C:$C,盘货信息!$Q:$Q),_xlfn.SEQUENCE(LEN(_xlfn.XLOOKUP(A474&amp;B474&amp;C474,盘货信息!$A:$A&amp;盘货信息!$B:$B&amp;盘货信息!$C:$C,盘货信息!$Q:$Q))),1)),MID(_xlfn.XLOOKUP(A474&amp;B474&amp;C474,盘货信息!$A:$A&amp;盘货信息!$B:$B&amp;盘货信息!$C:$C,盘货信息!$Q:$Q),_xlfn.SEQUENCE(LEN(_xlfn.XLOOKUP(A474&amp;B474&amp;C474,盘货信息!$A:$A&amp;盘货信息!$B:$B&amp;盘货信息!$C:$C,盘货信息!$Q:$Q))),1),""))&amp;"元")</f>
        <v/>
      </c>
      <c r="T474" s="18" t="str">
        <f t="array" ref="T474">IF(ISNUMBER(SEARCH("是",_xlfn.XLOOKUP(A474&amp;B474&amp;C474,盘货信息!$A:$A&amp;盘货信息!$B:$B&amp;盘货信息!$C:$C,盘货信息!$T:$T))),"【瓜分】"&amp;固定信息!$B$7,"")</f>
        <v/>
      </c>
      <c r="U474" s="18" t="str">
        <f>IF($C474="","",IF(AND(R474="",S474="",T474=""),"",固定信息!$B$1))</f>
        <v/>
      </c>
      <c r="V474" s="18" t="str">
        <f t="array" ref="V474">IF(C474="","","【服务】"&amp;IF(_xlfn.XLOOKUP(A474&amp;B474&amp;C474,盘货信息!$A:$A&amp;盘货信息!$B:$B&amp;盘货信息!$C:$C,盘货信息!$V:$V)="","",_xlfn.XLOOKUP(A474&amp;B474&amp;C474,盘货信息!$A:$A&amp;盘货信息!$B:$B&amp;盘货信息!$C:$C,盘货信息!$V:$V)&amp;"免息,")&amp;IF(_xlfn.XLOOKUP(A474&amp;B474&amp;C474,盘货信息!$A:$A&amp;盘货信息!$B:$B&amp;盘货信息!$C:$C,盘货信息!$W:$W)="","",_xlfn.XLOOKUP(A474&amp;B474&amp;C474,盘货信息!$A:$A&amp;盘货信息!$B:$B&amp;盘货信息!$C:$C,盘货信息!$W:$W)&amp;"，")&amp;"送货入户，退换免运费")</f>
        <v/>
      </c>
    </row>
    <row r="475" customHeight="1" spans="1:22">
      <c r="A475" s="17" t="str">
        <f>IF(盘货信息!A475="","",盘货信息!A475)</f>
        <v/>
      </c>
      <c r="B475" s="20" t="str">
        <f>IF(盘货信息!B475="","",盘货信息!B475)</f>
        <v/>
      </c>
      <c r="C475" s="18" t="str">
        <f>IF(盘货信息!C475="","",盘货信息!C475)</f>
        <v/>
      </c>
      <c r="D475" s="18" t="str">
        <f ca="1" t="shared" si="7"/>
        <v/>
      </c>
      <c r="E475" s="18" t="str">
        <f>IF(C475="","",固定信息!$B$2)</f>
        <v/>
      </c>
      <c r="F475" s="18" t="str">
        <f t="array" ref="F475">IF(C475="","","【"&amp;C475&amp;"】"&amp;_xlfn.XLOOKUP(A475&amp;B475&amp;C475,盘货信息!$A:$A&amp;盘货信息!$B:$B&amp;盘货信息!$C:$C,盘货信息!$D:$D))</f>
        <v/>
      </c>
      <c r="G475" s="18" t="str">
        <f>IF(C475="","","【"&amp;"活动时间："&amp;固定信息!$B$3&amp;"】")</f>
        <v/>
      </c>
      <c r="H475" s="18" t="str">
        <f>IF($C475="","",固定信息!$B$1)</f>
        <v/>
      </c>
      <c r="I475" s="18"/>
      <c r="J475" s="18" t="str">
        <f t="array" ref="J475">_xlfn.XLOOKUP(A475&amp;B475&amp;C475,价格信息!$A:$A&amp;价格信息!$B:$B&amp;价格信息!$C:$C,价格信息!$D:$D)</f>
        <v/>
      </c>
      <c r="K475" s="31" t="str">
        <f t="array" ref="K475">IF(_xlfn.XLOOKUP(A475&amp;B475&amp;C475,价格信息!$A:$A&amp;价格信息!$B:$B&amp;价格信息!$C:$C,价格信息!$I:$I)="","","【优惠券链接】"&amp;固定信息!$B$6)</f>
        <v/>
      </c>
      <c r="L475" s="31" t="str">
        <f>IF($C475="","",固定信息!$B$1)</f>
        <v/>
      </c>
      <c r="M475" s="18" t="str">
        <f t="array" ref="M475">IF(_xlfn.XLOOKUP(A475&amp;B475&amp;C475,盘货信息!$A:$A&amp;盘货信息!$B:$B&amp;盘货信息!$C:$C,盘货信息!$O:$O)="","","【优惠券】领"&amp;INDEX(_wpsfn.REGEXP(_xlfn.XLOOKUP(A475&amp;B475&amp;C475,盘货信息!$A:$A&amp;盘货信息!$B:$B&amp;盘货信息!$C:$C,盘货信息!$O:$O),"\d+"),1,1)&amp;"元优惠券下单更优惠，优惠卷："&amp;_xlfn.XLOOKUP(A475&amp;B475&amp;C475,盘货信息!$A:$A&amp;盘货信息!$B:$B&amp;盘货信息!$C:$C,盘货信息!$P:$P))</f>
        <v/>
      </c>
      <c r="N475" s="18" t="str">
        <f t="array" ref="N475">IF(AND(ISNUMBER(_xlfn.XLOOKUP(A475&amp;B475&amp;C475,盘货信息!$A:$A&amp;盘货信息!$B:$B&amp;盘货信息!$C:$C,盘货信息!$I:$I)),_xlfn.XLOOKUP(A475&amp;B475&amp;C475,盘货信息!$A:$A&amp;盘货信息!$B:$B&amp;盘货信息!$C:$C,盘货信息!$I:$I)&gt;1),"【88VIP】立减"&amp;_xlfn.XLOOKUP(A475&amp;B475&amp;C475,盘货信息!$A:$A&amp;盘货信息!$B:$B&amp;盘货信息!$C:$C,盘货信息!$I:$I)&amp;"元","")</f>
        <v/>
      </c>
      <c r="O475" s="18" t="str">
        <f t="array" ref="O475">IF(_xlfn.XLOOKUP(A475&amp;B475&amp;C475,盘货信息!$A:$A&amp;盘货信息!$B:$B&amp;盘货信息!$C:$C,盘货信息!$K:$K)="","",IF(AND(_xlfn.XLOOKUP(A475&amp;B475&amp;C475,盘货信息!$A:$A&amp;盘货信息!$B:$B&amp;盘货信息!$C:$C,盘货信息!$G:$G)="不参加",_xlfn.XLOOKUP(A475&amp;B475&amp;C475,盘货信息!$A:$A&amp;盘货信息!$B:$B&amp;盘货信息!$C:$C,盘货信息!$H:$H)=""),"【以旧换新】"&amp;_xlfn.XLOOKUP(A475&amp;B475&amp;C475,盘货信息!$A:$A&amp;盘货信息!$B:$B&amp;盘货信息!$C:$C,盘货信息!$K:$K)&amp;"元以旧换新补贴（可无旧机换新）",""))</f>
        <v/>
      </c>
      <c r="P475" s="18" t="str">
        <f t="array" ref="P475">_xlfn.XLOOKUP(A475&amp;B475&amp;C475,赠品!$A:$A&amp;赠品!$B:$B&amp;赠品!$C:$C,赠品!$D:$D)</f>
        <v/>
      </c>
      <c r="Q475" s="18" t="str">
        <f>IF($C475="","",IF(AND(M475="",N475="",P475=""),"",固定信息!$B$1))</f>
        <v/>
      </c>
      <c r="R475" s="18" t="str">
        <f t="array" ref="R475">IF(ISNUMBER(SEARCH("是",_xlfn.XLOOKUP(A475&amp;B475&amp;C475,盘货信息!$A:$A&amp;盘货信息!$B:$B&amp;盘货信息!$C:$C,盘货信息!$U:$U))),"【折扣】指定型号满2类享96折，满3类享94折","")</f>
        <v/>
      </c>
      <c r="S475" s="18" t="str">
        <f t="array" ref="S475">IF(_xlfn.XLOOKUP(A475&amp;B475&amp;C475,盘货信息!$A:$A&amp;盘货信息!$B:$B&amp;盘货信息!$C:$C,盘货信息!$Q:$Q)&lt;1,"","【红包】活动时间购机送"&amp;_xlfn.TEXTJOIN("",,IF(ISNUMBER(--MID(_xlfn.XLOOKUP(A475&amp;B475&amp;C475,盘货信息!$A:$A&amp;盘货信息!$B:$B&amp;盘货信息!$C:$C,盘货信息!$Q:$Q),_xlfn.SEQUENCE(LEN(_xlfn.XLOOKUP(A475&amp;B475&amp;C475,盘货信息!$A:$A&amp;盘货信息!$B:$B&amp;盘货信息!$C:$C,盘货信息!$Q:$Q))),1)),MID(_xlfn.XLOOKUP(A475&amp;B475&amp;C475,盘货信息!$A:$A&amp;盘货信息!$B:$B&amp;盘货信息!$C:$C,盘货信息!$Q:$Q),_xlfn.SEQUENCE(LEN(_xlfn.XLOOKUP(A475&amp;B475&amp;C475,盘货信息!$A:$A&amp;盘货信息!$B:$B&amp;盘货信息!$C:$C,盘货信息!$Q:$Q))),1),""))&amp;"元")</f>
        <v/>
      </c>
      <c r="T475" s="18" t="str">
        <f t="array" ref="T475">IF(ISNUMBER(SEARCH("是",_xlfn.XLOOKUP(A475&amp;B475&amp;C475,盘货信息!$A:$A&amp;盘货信息!$B:$B&amp;盘货信息!$C:$C,盘货信息!$T:$T))),"【瓜分】"&amp;固定信息!$B$7,"")</f>
        <v/>
      </c>
      <c r="U475" s="18" t="str">
        <f>IF($C475="","",IF(AND(R475="",S475="",T475=""),"",固定信息!$B$1))</f>
        <v/>
      </c>
      <c r="V475" s="18" t="str">
        <f t="array" ref="V475">IF(C475="","","【服务】"&amp;IF(_xlfn.XLOOKUP(A475&amp;B475&amp;C475,盘货信息!$A:$A&amp;盘货信息!$B:$B&amp;盘货信息!$C:$C,盘货信息!$V:$V)="","",_xlfn.XLOOKUP(A475&amp;B475&amp;C475,盘货信息!$A:$A&amp;盘货信息!$B:$B&amp;盘货信息!$C:$C,盘货信息!$V:$V)&amp;"免息,")&amp;IF(_xlfn.XLOOKUP(A475&amp;B475&amp;C475,盘货信息!$A:$A&amp;盘货信息!$B:$B&amp;盘货信息!$C:$C,盘货信息!$W:$W)="","",_xlfn.XLOOKUP(A475&amp;B475&amp;C475,盘货信息!$A:$A&amp;盘货信息!$B:$B&amp;盘货信息!$C:$C,盘货信息!$W:$W)&amp;"，")&amp;"送货入户，退换免运费")</f>
        <v/>
      </c>
    </row>
    <row r="476" customHeight="1" spans="1:22">
      <c r="A476" s="17" t="str">
        <f>IF(盘货信息!A476="","",盘货信息!A476)</f>
        <v/>
      </c>
      <c r="B476" s="20" t="str">
        <f>IF(盘货信息!B476="","",盘货信息!B476)</f>
        <v/>
      </c>
      <c r="C476" s="18" t="str">
        <f>IF(盘货信息!C476="","",盘货信息!C476)</f>
        <v/>
      </c>
      <c r="D476" s="18" t="str">
        <f ca="1" t="shared" si="7"/>
        <v/>
      </c>
      <c r="E476" s="18" t="str">
        <f>IF(C476="","",固定信息!$B$2)</f>
        <v/>
      </c>
      <c r="F476" s="18" t="str">
        <f t="array" ref="F476">IF(C476="","","【"&amp;C476&amp;"】"&amp;_xlfn.XLOOKUP(A476&amp;B476&amp;C476,盘货信息!$A:$A&amp;盘货信息!$B:$B&amp;盘货信息!$C:$C,盘货信息!$D:$D))</f>
        <v/>
      </c>
      <c r="G476" s="18" t="str">
        <f>IF(C476="","","【"&amp;"活动时间："&amp;固定信息!$B$3&amp;"】")</f>
        <v/>
      </c>
      <c r="H476" s="18" t="str">
        <f>IF($C476="","",固定信息!$B$1)</f>
        <v/>
      </c>
      <c r="I476" s="18"/>
      <c r="J476" s="18" t="str">
        <f t="array" ref="J476">_xlfn.XLOOKUP(A476&amp;B476&amp;C476,价格信息!$A:$A&amp;价格信息!$B:$B&amp;价格信息!$C:$C,价格信息!$D:$D)</f>
        <v/>
      </c>
      <c r="K476" s="31" t="str">
        <f t="array" ref="K476">IF(_xlfn.XLOOKUP(A476&amp;B476&amp;C476,价格信息!$A:$A&amp;价格信息!$B:$B&amp;价格信息!$C:$C,价格信息!$I:$I)="","","【优惠券链接】"&amp;固定信息!$B$6)</f>
        <v/>
      </c>
      <c r="L476" s="31" t="str">
        <f>IF($C476="","",固定信息!$B$1)</f>
        <v/>
      </c>
      <c r="M476" s="18" t="str">
        <f t="array" ref="M476">IF(_xlfn.XLOOKUP(A476&amp;B476&amp;C476,盘货信息!$A:$A&amp;盘货信息!$B:$B&amp;盘货信息!$C:$C,盘货信息!$O:$O)="","","【优惠券】领"&amp;INDEX(_wpsfn.REGEXP(_xlfn.XLOOKUP(A476&amp;B476&amp;C476,盘货信息!$A:$A&amp;盘货信息!$B:$B&amp;盘货信息!$C:$C,盘货信息!$O:$O),"\d+"),1,1)&amp;"元优惠券下单更优惠，优惠卷："&amp;_xlfn.XLOOKUP(A476&amp;B476&amp;C476,盘货信息!$A:$A&amp;盘货信息!$B:$B&amp;盘货信息!$C:$C,盘货信息!$P:$P))</f>
        <v/>
      </c>
      <c r="N476" s="18" t="str">
        <f t="array" ref="N476">IF(AND(ISNUMBER(_xlfn.XLOOKUP(A476&amp;B476&amp;C476,盘货信息!$A:$A&amp;盘货信息!$B:$B&amp;盘货信息!$C:$C,盘货信息!$I:$I)),_xlfn.XLOOKUP(A476&amp;B476&amp;C476,盘货信息!$A:$A&amp;盘货信息!$B:$B&amp;盘货信息!$C:$C,盘货信息!$I:$I)&gt;1),"【88VIP】立减"&amp;_xlfn.XLOOKUP(A476&amp;B476&amp;C476,盘货信息!$A:$A&amp;盘货信息!$B:$B&amp;盘货信息!$C:$C,盘货信息!$I:$I)&amp;"元","")</f>
        <v/>
      </c>
      <c r="O476" s="18" t="str">
        <f t="array" ref="O476">IF(_xlfn.XLOOKUP(A476&amp;B476&amp;C476,盘货信息!$A:$A&amp;盘货信息!$B:$B&amp;盘货信息!$C:$C,盘货信息!$K:$K)="","",IF(AND(_xlfn.XLOOKUP(A476&amp;B476&amp;C476,盘货信息!$A:$A&amp;盘货信息!$B:$B&amp;盘货信息!$C:$C,盘货信息!$G:$G)="不参加",_xlfn.XLOOKUP(A476&amp;B476&amp;C476,盘货信息!$A:$A&amp;盘货信息!$B:$B&amp;盘货信息!$C:$C,盘货信息!$H:$H)=""),"【以旧换新】"&amp;_xlfn.XLOOKUP(A476&amp;B476&amp;C476,盘货信息!$A:$A&amp;盘货信息!$B:$B&amp;盘货信息!$C:$C,盘货信息!$K:$K)&amp;"元以旧换新补贴（可无旧机换新）",""))</f>
        <v/>
      </c>
      <c r="P476" s="18" t="str">
        <f t="array" ref="P476">_xlfn.XLOOKUP(A476&amp;B476&amp;C476,赠品!$A:$A&amp;赠品!$B:$B&amp;赠品!$C:$C,赠品!$D:$D)</f>
        <v/>
      </c>
      <c r="Q476" s="18" t="str">
        <f>IF($C476="","",IF(AND(M476="",N476="",P476=""),"",固定信息!$B$1))</f>
        <v/>
      </c>
      <c r="R476" s="18" t="str">
        <f t="array" ref="R476">IF(ISNUMBER(SEARCH("是",_xlfn.XLOOKUP(A476&amp;B476&amp;C476,盘货信息!$A:$A&amp;盘货信息!$B:$B&amp;盘货信息!$C:$C,盘货信息!$U:$U))),"【折扣】指定型号满2类享96折，满3类享94折","")</f>
        <v/>
      </c>
      <c r="S476" s="18" t="str">
        <f t="array" ref="S476">IF(_xlfn.XLOOKUP(A476&amp;B476&amp;C476,盘货信息!$A:$A&amp;盘货信息!$B:$B&amp;盘货信息!$C:$C,盘货信息!$Q:$Q)&lt;1,"","【红包】活动时间购机送"&amp;_xlfn.TEXTJOIN("",,IF(ISNUMBER(--MID(_xlfn.XLOOKUP(A476&amp;B476&amp;C476,盘货信息!$A:$A&amp;盘货信息!$B:$B&amp;盘货信息!$C:$C,盘货信息!$Q:$Q),_xlfn.SEQUENCE(LEN(_xlfn.XLOOKUP(A476&amp;B476&amp;C476,盘货信息!$A:$A&amp;盘货信息!$B:$B&amp;盘货信息!$C:$C,盘货信息!$Q:$Q))),1)),MID(_xlfn.XLOOKUP(A476&amp;B476&amp;C476,盘货信息!$A:$A&amp;盘货信息!$B:$B&amp;盘货信息!$C:$C,盘货信息!$Q:$Q),_xlfn.SEQUENCE(LEN(_xlfn.XLOOKUP(A476&amp;B476&amp;C476,盘货信息!$A:$A&amp;盘货信息!$B:$B&amp;盘货信息!$C:$C,盘货信息!$Q:$Q))),1),""))&amp;"元")</f>
        <v/>
      </c>
      <c r="T476" s="18" t="str">
        <f t="array" ref="T476">IF(ISNUMBER(SEARCH("是",_xlfn.XLOOKUP(A476&amp;B476&amp;C476,盘货信息!$A:$A&amp;盘货信息!$B:$B&amp;盘货信息!$C:$C,盘货信息!$T:$T))),"【瓜分】"&amp;固定信息!$B$7,"")</f>
        <v/>
      </c>
      <c r="U476" s="18" t="str">
        <f>IF($C476="","",IF(AND(R476="",S476="",T476=""),"",固定信息!$B$1))</f>
        <v/>
      </c>
      <c r="V476" s="18" t="str">
        <f t="array" ref="V476">IF(C476="","","【服务】"&amp;IF(_xlfn.XLOOKUP(A476&amp;B476&amp;C476,盘货信息!$A:$A&amp;盘货信息!$B:$B&amp;盘货信息!$C:$C,盘货信息!$V:$V)="","",_xlfn.XLOOKUP(A476&amp;B476&amp;C476,盘货信息!$A:$A&amp;盘货信息!$B:$B&amp;盘货信息!$C:$C,盘货信息!$V:$V)&amp;"免息,")&amp;IF(_xlfn.XLOOKUP(A476&amp;B476&amp;C476,盘货信息!$A:$A&amp;盘货信息!$B:$B&amp;盘货信息!$C:$C,盘货信息!$W:$W)="","",_xlfn.XLOOKUP(A476&amp;B476&amp;C476,盘货信息!$A:$A&amp;盘货信息!$B:$B&amp;盘货信息!$C:$C,盘货信息!$W:$W)&amp;"，")&amp;"送货入户，退换免运费")</f>
        <v/>
      </c>
    </row>
    <row r="477" customHeight="1" spans="1:22">
      <c r="A477" s="17" t="str">
        <f>IF(盘货信息!A477="","",盘货信息!A477)</f>
        <v/>
      </c>
      <c r="B477" s="20" t="str">
        <f>IF(盘货信息!B477="","",盘货信息!B477)</f>
        <v/>
      </c>
      <c r="C477" s="18" t="str">
        <f>IF(盘货信息!C477="","",盘货信息!C477)</f>
        <v/>
      </c>
      <c r="D477" s="18" t="str">
        <f ca="1" t="shared" si="7"/>
        <v/>
      </c>
      <c r="E477" s="18" t="str">
        <f>IF(C477="","",固定信息!$B$2)</f>
        <v/>
      </c>
      <c r="F477" s="18" t="str">
        <f t="array" ref="F477">IF(C477="","","【"&amp;C477&amp;"】"&amp;_xlfn.XLOOKUP(A477&amp;B477&amp;C477,盘货信息!$A:$A&amp;盘货信息!$B:$B&amp;盘货信息!$C:$C,盘货信息!$D:$D))</f>
        <v/>
      </c>
      <c r="G477" s="18" t="str">
        <f>IF(C477="","","【"&amp;"活动时间："&amp;固定信息!$B$3&amp;"】")</f>
        <v/>
      </c>
      <c r="H477" s="18" t="str">
        <f>IF($C477="","",固定信息!$B$1)</f>
        <v/>
      </c>
      <c r="I477" s="18"/>
      <c r="J477" s="18" t="str">
        <f t="array" ref="J477">_xlfn.XLOOKUP(A477&amp;B477&amp;C477,价格信息!$A:$A&amp;价格信息!$B:$B&amp;价格信息!$C:$C,价格信息!$D:$D)</f>
        <v/>
      </c>
      <c r="K477" s="31" t="str">
        <f t="array" ref="K477">IF(_xlfn.XLOOKUP(A477&amp;B477&amp;C477,价格信息!$A:$A&amp;价格信息!$B:$B&amp;价格信息!$C:$C,价格信息!$I:$I)="","","【优惠券链接】"&amp;固定信息!$B$6)</f>
        <v/>
      </c>
      <c r="L477" s="31" t="str">
        <f>IF($C477="","",固定信息!$B$1)</f>
        <v/>
      </c>
      <c r="M477" s="18" t="str">
        <f t="array" ref="M477">IF(_xlfn.XLOOKUP(A477&amp;B477&amp;C477,盘货信息!$A:$A&amp;盘货信息!$B:$B&amp;盘货信息!$C:$C,盘货信息!$O:$O)="","","【优惠券】领"&amp;INDEX(_wpsfn.REGEXP(_xlfn.XLOOKUP(A477&amp;B477&amp;C477,盘货信息!$A:$A&amp;盘货信息!$B:$B&amp;盘货信息!$C:$C,盘货信息!$O:$O),"\d+"),1,1)&amp;"元优惠券下单更优惠，优惠卷："&amp;_xlfn.XLOOKUP(A477&amp;B477&amp;C477,盘货信息!$A:$A&amp;盘货信息!$B:$B&amp;盘货信息!$C:$C,盘货信息!$P:$P))</f>
        <v/>
      </c>
      <c r="N477" s="18" t="str">
        <f t="array" ref="N477">IF(AND(ISNUMBER(_xlfn.XLOOKUP(A477&amp;B477&amp;C477,盘货信息!$A:$A&amp;盘货信息!$B:$B&amp;盘货信息!$C:$C,盘货信息!$I:$I)),_xlfn.XLOOKUP(A477&amp;B477&amp;C477,盘货信息!$A:$A&amp;盘货信息!$B:$B&amp;盘货信息!$C:$C,盘货信息!$I:$I)&gt;1),"【88VIP】立减"&amp;_xlfn.XLOOKUP(A477&amp;B477&amp;C477,盘货信息!$A:$A&amp;盘货信息!$B:$B&amp;盘货信息!$C:$C,盘货信息!$I:$I)&amp;"元","")</f>
        <v/>
      </c>
      <c r="O477" s="18" t="str">
        <f t="array" ref="O477">IF(_xlfn.XLOOKUP(A477&amp;B477&amp;C477,盘货信息!$A:$A&amp;盘货信息!$B:$B&amp;盘货信息!$C:$C,盘货信息!$K:$K)="","",IF(AND(_xlfn.XLOOKUP(A477&amp;B477&amp;C477,盘货信息!$A:$A&amp;盘货信息!$B:$B&amp;盘货信息!$C:$C,盘货信息!$G:$G)="不参加",_xlfn.XLOOKUP(A477&amp;B477&amp;C477,盘货信息!$A:$A&amp;盘货信息!$B:$B&amp;盘货信息!$C:$C,盘货信息!$H:$H)=""),"【以旧换新】"&amp;_xlfn.XLOOKUP(A477&amp;B477&amp;C477,盘货信息!$A:$A&amp;盘货信息!$B:$B&amp;盘货信息!$C:$C,盘货信息!$K:$K)&amp;"元以旧换新补贴（可无旧机换新）",""))</f>
        <v/>
      </c>
      <c r="P477" s="18" t="str">
        <f t="array" ref="P477">_xlfn.XLOOKUP(A477&amp;B477&amp;C477,赠品!$A:$A&amp;赠品!$B:$B&amp;赠品!$C:$C,赠品!$D:$D)</f>
        <v/>
      </c>
      <c r="Q477" s="18" t="str">
        <f>IF($C477="","",IF(AND(M477="",N477="",P477=""),"",固定信息!$B$1))</f>
        <v/>
      </c>
      <c r="R477" s="18" t="str">
        <f t="array" ref="R477">IF(ISNUMBER(SEARCH("是",_xlfn.XLOOKUP(A477&amp;B477&amp;C477,盘货信息!$A:$A&amp;盘货信息!$B:$B&amp;盘货信息!$C:$C,盘货信息!$U:$U))),"【折扣】指定型号满2类享96折，满3类享94折","")</f>
        <v/>
      </c>
      <c r="S477" s="18" t="str">
        <f t="array" ref="S477">IF(_xlfn.XLOOKUP(A477&amp;B477&amp;C477,盘货信息!$A:$A&amp;盘货信息!$B:$B&amp;盘货信息!$C:$C,盘货信息!$Q:$Q)&lt;1,"","【红包】活动时间购机送"&amp;_xlfn.TEXTJOIN("",,IF(ISNUMBER(--MID(_xlfn.XLOOKUP(A477&amp;B477&amp;C477,盘货信息!$A:$A&amp;盘货信息!$B:$B&amp;盘货信息!$C:$C,盘货信息!$Q:$Q),_xlfn.SEQUENCE(LEN(_xlfn.XLOOKUP(A477&amp;B477&amp;C477,盘货信息!$A:$A&amp;盘货信息!$B:$B&amp;盘货信息!$C:$C,盘货信息!$Q:$Q))),1)),MID(_xlfn.XLOOKUP(A477&amp;B477&amp;C477,盘货信息!$A:$A&amp;盘货信息!$B:$B&amp;盘货信息!$C:$C,盘货信息!$Q:$Q),_xlfn.SEQUENCE(LEN(_xlfn.XLOOKUP(A477&amp;B477&amp;C477,盘货信息!$A:$A&amp;盘货信息!$B:$B&amp;盘货信息!$C:$C,盘货信息!$Q:$Q))),1),""))&amp;"元")</f>
        <v/>
      </c>
      <c r="T477" s="18" t="str">
        <f t="array" ref="T477">IF(ISNUMBER(SEARCH("是",_xlfn.XLOOKUP(A477&amp;B477&amp;C477,盘货信息!$A:$A&amp;盘货信息!$B:$B&amp;盘货信息!$C:$C,盘货信息!$T:$T))),"【瓜分】"&amp;固定信息!$B$7,"")</f>
        <v/>
      </c>
      <c r="U477" s="18" t="str">
        <f>IF($C477="","",IF(AND(R477="",S477="",T477=""),"",固定信息!$B$1))</f>
        <v/>
      </c>
      <c r="V477" s="18" t="str">
        <f t="array" ref="V477">IF(C477="","","【服务】"&amp;IF(_xlfn.XLOOKUP(A477&amp;B477&amp;C477,盘货信息!$A:$A&amp;盘货信息!$B:$B&amp;盘货信息!$C:$C,盘货信息!$V:$V)="","",_xlfn.XLOOKUP(A477&amp;B477&amp;C477,盘货信息!$A:$A&amp;盘货信息!$B:$B&amp;盘货信息!$C:$C,盘货信息!$V:$V)&amp;"免息,")&amp;IF(_xlfn.XLOOKUP(A477&amp;B477&amp;C477,盘货信息!$A:$A&amp;盘货信息!$B:$B&amp;盘货信息!$C:$C,盘货信息!$W:$W)="","",_xlfn.XLOOKUP(A477&amp;B477&amp;C477,盘货信息!$A:$A&amp;盘货信息!$B:$B&amp;盘货信息!$C:$C,盘货信息!$W:$W)&amp;"，")&amp;"送货入户，退换免运费")</f>
        <v/>
      </c>
    </row>
    <row r="478" customHeight="1" spans="1:22">
      <c r="A478" s="17" t="str">
        <f>IF(盘货信息!A478="","",盘货信息!A478)</f>
        <v/>
      </c>
      <c r="B478" s="20" t="str">
        <f>IF(盘货信息!B478="","",盘货信息!B478)</f>
        <v/>
      </c>
      <c r="C478" s="18" t="str">
        <f>IF(盘货信息!C478="","",盘货信息!C478)</f>
        <v/>
      </c>
      <c r="D478" s="18" t="str">
        <f ca="1" t="shared" si="7"/>
        <v/>
      </c>
      <c r="E478" s="18" t="str">
        <f>IF(C478="","",固定信息!$B$2)</f>
        <v/>
      </c>
      <c r="F478" s="18" t="str">
        <f t="array" ref="F478">IF(C478="","","【"&amp;C478&amp;"】"&amp;_xlfn.XLOOKUP(A478&amp;B478&amp;C478,盘货信息!$A:$A&amp;盘货信息!$B:$B&amp;盘货信息!$C:$C,盘货信息!$D:$D))</f>
        <v/>
      </c>
      <c r="G478" s="18" t="str">
        <f>IF(C478="","","【"&amp;"活动时间："&amp;固定信息!$B$3&amp;"】")</f>
        <v/>
      </c>
      <c r="H478" s="18" t="str">
        <f>IF($C478="","",固定信息!$B$1)</f>
        <v/>
      </c>
      <c r="I478" s="18"/>
      <c r="J478" s="18" t="str">
        <f t="array" ref="J478">_xlfn.XLOOKUP(A478&amp;B478&amp;C478,价格信息!$A:$A&amp;价格信息!$B:$B&amp;价格信息!$C:$C,价格信息!$D:$D)</f>
        <v/>
      </c>
      <c r="K478" s="31" t="str">
        <f t="array" ref="K478">IF(_xlfn.XLOOKUP(A478&amp;B478&amp;C478,价格信息!$A:$A&amp;价格信息!$B:$B&amp;价格信息!$C:$C,价格信息!$I:$I)="","","【优惠券链接】"&amp;固定信息!$B$6)</f>
        <v/>
      </c>
      <c r="L478" s="31" t="str">
        <f>IF($C478="","",固定信息!$B$1)</f>
        <v/>
      </c>
      <c r="M478" s="18" t="str">
        <f t="array" ref="M478">IF(_xlfn.XLOOKUP(A478&amp;B478&amp;C478,盘货信息!$A:$A&amp;盘货信息!$B:$B&amp;盘货信息!$C:$C,盘货信息!$O:$O)="","","【优惠券】领"&amp;INDEX(_wpsfn.REGEXP(_xlfn.XLOOKUP(A478&amp;B478&amp;C478,盘货信息!$A:$A&amp;盘货信息!$B:$B&amp;盘货信息!$C:$C,盘货信息!$O:$O),"\d+"),1,1)&amp;"元优惠券下单更优惠，优惠卷："&amp;_xlfn.XLOOKUP(A478&amp;B478&amp;C478,盘货信息!$A:$A&amp;盘货信息!$B:$B&amp;盘货信息!$C:$C,盘货信息!$P:$P))</f>
        <v/>
      </c>
      <c r="N478" s="18" t="str">
        <f t="array" ref="N478">IF(AND(ISNUMBER(_xlfn.XLOOKUP(A478&amp;B478&amp;C478,盘货信息!$A:$A&amp;盘货信息!$B:$B&amp;盘货信息!$C:$C,盘货信息!$I:$I)),_xlfn.XLOOKUP(A478&amp;B478&amp;C478,盘货信息!$A:$A&amp;盘货信息!$B:$B&amp;盘货信息!$C:$C,盘货信息!$I:$I)&gt;1),"【88VIP】立减"&amp;_xlfn.XLOOKUP(A478&amp;B478&amp;C478,盘货信息!$A:$A&amp;盘货信息!$B:$B&amp;盘货信息!$C:$C,盘货信息!$I:$I)&amp;"元","")</f>
        <v/>
      </c>
      <c r="O478" s="18" t="str">
        <f t="array" ref="O478">IF(_xlfn.XLOOKUP(A478&amp;B478&amp;C478,盘货信息!$A:$A&amp;盘货信息!$B:$B&amp;盘货信息!$C:$C,盘货信息!$K:$K)="","",IF(AND(_xlfn.XLOOKUP(A478&amp;B478&amp;C478,盘货信息!$A:$A&amp;盘货信息!$B:$B&amp;盘货信息!$C:$C,盘货信息!$G:$G)="不参加",_xlfn.XLOOKUP(A478&amp;B478&amp;C478,盘货信息!$A:$A&amp;盘货信息!$B:$B&amp;盘货信息!$C:$C,盘货信息!$H:$H)=""),"【以旧换新】"&amp;_xlfn.XLOOKUP(A478&amp;B478&amp;C478,盘货信息!$A:$A&amp;盘货信息!$B:$B&amp;盘货信息!$C:$C,盘货信息!$K:$K)&amp;"元以旧换新补贴（可无旧机换新）",""))</f>
        <v/>
      </c>
      <c r="P478" s="18" t="str">
        <f t="array" ref="P478">_xlfn.XLOOKUP(A478&amp;B478&amp;C478,赠品!$A:$A&amp;赠品!$B:$B&amp;赠品!$C:$C,赠品!$D:$D)</f>
        <v/>
      </c>
      <c r="Q478" s="18" t="str">
        <f>IF($C478="","",IF(AND(M478="",N478="",P478=""),"",固定信息!$B$1))</f>
        <v/>
      </c>
      <c r="R478" s="18" t="str">
        <f t="array" ref="R478">IF(ISNUMBER(SEARCH("是",_xlfn.XLOOKUP(A478&amp;B478&amp;C478,盘货信息!$A:$A&amp;盘货信息!$B:$B&amp;盘货信息!$C:$C,盘货信息!$U:$U))),"【折扣】指定型号满2类享96折，满3类享94折","")</f>
        <v/>
      </c>
      <c r="S478" s="18" t="str">
        <f t="array" ref="S478">IF(_xlfn.XLOOKUP(A478&amp;B478&amp;C478,盘货信息!$A:$A&amp;盘货信息!$B:$B&amp;盘货信息!$C:$C,盘货信息!$Q:$Q)&lt;1,"","【红包】活动时间购机送"&amp;_xlfn.TEXTJOIN("",,IF(ISNUMBER(--MID(_xlfn.XLOOKUP(A478&amp;B478&amp;C478,盘货信息!$A:$A&amp;盘货信息!$B:$B&amp;盘货信息!$C:$C,盘货信息!$Q:$Q),_xlfn.SEQUENCE(LEN(_xlfn.XLOOKUP(A478&amp;B478&amp;C478,盘货信息!$A:$A&amp;盘货信息!$B:$B&amp;盘货信息!$C:$C,盘货信息!$Q:$Q))),1)),MID(_xlfn.XLOOKUP(A478&amp;B478&amp;C478,盘货信息!$A:$A&amp;盘货信息!$B:$B&amp;盘货信息!$C:$C,盘货信息!$Q:$Q),_xlfn.SEQUENCE(LEN(_xlfn.XLOOKUP(A478&amp;B478&amp;C478,盘货信息!$A:$A&amp;盘货信息!$B:$B&amp;盘货信息!$C:$C,盘货信息!$Q:$Q))),1),""))&amp;"元")</f>
        <v/>
      </c>
      <c r="T478" s="18" t="str">
        <f t="array" ref="T478">IF(ISNUMBER(SEARCH("是",_xlfn.XLOOKUP(A478&amp;B478&amp;C478,盘货信息!$A:$A&amp;盘货信息!$B:$B&amp;盘货信息!$C:$C,盘货信息!$T:$T))),"【瓜分】"&amp;固定信息!$B$7,"")</f>
        <v/>
      </c>
      <c r="U478" s="18" t="str">
        <f>IF($C478="","",IF(AND(R478="",S478="",T478=""),"",固定信息!$B$1))</f>
        <v/>
      </c>
      <c r="V478" s="18" t="str">
        <f t="array" ref="V478">IF(C478="","","【服务】"&amp;IF(_xlfn.XLOOKUP(A478&amp;B478&amp;C478,盘货信息!$A:$A&amp;盘货信息!$B:$B&amp;盘货信息!$C:$C,盘货信息!$V:$V)="","",_xlfn.XLOOKUP(A478&amp;B478&amp;C478,盘货信息!$A:$A&amp;盘货信息!$B:$B&amp;盘货信息!$C:$C,盘货信息!$V:$V)&amp;"免息,")&amp;IF(_xlfn.XLOOKUP(A478&amp;B478&amp;C478,盘货信息!$A:$A&amp;盘货信息!$B:$B&amp;盘货信息!$C:$C,盘货信息!$W:$W)="","",_xlfn.XLOOKUP(A478&amp;B478&amp;C478,盘货信息!$A:$A&amp;盘货信息!$B:$B&amp;盘货信息!$C:$C,盘货信息!$W:$W)&amp;"，")&amp;"送货入户，退换免运费")</f>
        <v/>
      </c>
    </row>
    <row r="479" customHeight="1" spans="1:22">
      <c r="A479" s="17" t="str">
        <f>IF(盘货信息!A479="","",盘货信息!A479)</f>
        <v/>
      </c>
      <c r="B479" s="20" t="str">
        <f>IF(盘货信息!B479="","",盘货信息!B479)</f>
        <v/>
      </c>
      <c r="C479" s="18" t="str">
        <f>IF(盘货信息!C479="","",盘货信息!C479)</f>
        <v/>
      </c>
      <c r="D479" s="18" t="str">
        <f ca="1" t="shared" si="7"/>
        <v/>
      </c>
      <c r="E479" s="18" t="str">
        <f>IF(C479="","",固定信息!$B$2)</f>
        <v/>
      </c>
      <c r="F479" s="18" t="str">
        <f t="array" ref="F479">IF(C479="","","【"&amp;C479&amp;"】"&amp;_xlfn.XLOOKUP(A479&amp;B479&amp;C479,盘货信息!$A:$A&amp;盘货信息!$B:$B&amp;盘货信息!$C:$C,盘货信息!$D:$D))</f>
        <v/>
      </c>
      <c r="G479" s="18" t="str">
        <f>IF(C479="","","【"&amp;"活动时间："&amp;固定信息!$B$3&amp;"】")</f>
        <v/>
      </c>
      <c r="H479" s="18" t="str">
        <f>IF($C479="","",固定信息!$B$1)</f>
        <v/>
      </c>
      <c r="I479" s="18"/>
      <c r="J479" s="18" t="str">
        <f t="array" ref="J479">_xlfn.XLOOKUP(A479&amp;B479&amp;C479,价格信息!$A:$A&amp;价格信息!$B:$B&amp;价格信息!$C:$C,价格信息!$D:$D)</f>
        <v/>
      </c>
      <c r="K479" s="31" t="str">
        <f t="array" ref="K479">IF(_xlfn.XLOOKUP(A479&amp;B479&amp;C479,价格信息!$A:$A&amp;价格信息!$B:$B&amp;价格信息!$C:$C,价格信息!$I:$I)="","","【优惠券链接】"&amp;固定信息!$B$6)</f>
        <v/>
      </c>
      <c r="L479" s="31" t="str">
        <f>IF($C479="","",固定信息!$B$1)</f>
        <v/>
      </c>
      <c r="M479" s="18" t="str">
        <f t="array" ref="M479">IF(_xlfn.XLOOKUP(A479&amp;B479&amp;C479,盘货信息!$A:$A&amp;盘货信息!$B:$B&amp;盘货信息!$C:$C,盘货信息!$O:$O)="","","【优惠券】领"&amp;INDEX(_wpsfn.REGEXP(_xlfn.XLOOKUP(A479&amp;B479&amp;C479,盘货信息!$A:$A&amp;盘货信息!$B:$B&amp;盘货信息!$C:$C,盘货信息!$O:$O),"\d+"),1,1)&amp;"元优惠券下单更优惠，优惠卷："&amp;_xlfn.XLOOKUP(A479&amp;B479&amp;C479,盘货信息!$A:$A&amp;盘货信息!$B:$B&amp;盘货信息!$C:$C,盘货信息!$P:$P))</f>
        <v/>
      </c>
      <c r="N479" s="18" t="str">
        <f t="array" ref="N479">IF(AND(ISNUMBER(_xlfn.XLOOKUP(A479&amp;B479&amp;C479,盘货信息!$A:$A&amp;盘货信息!$B:$B&amp;盘货信息!$C:$C,盘货信息!$I:$I)),_xlfn.XLOOKUP(A479&amp;B479&amp;C479,盘货信息!$A:$A&amp;盘货信息!$B:$B&amp;盘货信息!$C:$C,盘货信息!$I:$I)&gt;1),"【88VIP】立减"&amp;_xlfn.XLOOKUP(A479&amp;B479&amp;C479,盘货信息!$A:$A&amp;盘货信息!$B:$B&amp;盘货信息!$C:$C,盘货信息!$I:$I)&amp;"元","")</f>
        <v/>
      </c>
      <c r="O479" s="18" t="str">
        <f t="array" ref="O479">IF(_xlfn.XLOOKUP(A479&amp;B479&amp;C479,盘货信息!$A:$A&amp;盘货信息!$B:$B&amp;盘货信息!$C:$C,盘货信息!$K:$K)="","",IF(AND(_xlfn.XLOOKUP(A479&amp;B479&amp;C479,盘货信息!$A:$A&amp;盘货信息!$B:$B&amp;盘货信息!$C:$C,盘货信息!$G:$G)="不参加",_xlfn.XLOOKUP(A479&amp;B479&amp;C479,盘货信息!$A:$A&amp;盘货信息!$B:$B&amp;盘货信息!$C:$C,盘货信息!$H:$H)=""),"【以旧换新】"&amp;_xlfn.XLOOKUP(A479&amp;B479&amp;C479,盘货信息!$A:$A&amp;盘货信息!$B:$B&amp;盘货信息!$C:$C,盘货信息!$K:$K)&amp;"元以旧换新补贴（可无旧机换新）",""))</f>
        <v/>
      </c>
      <c r="P479" s="18" t="str">
        <f t="array" ref="P479">_xlfn.XLOOKUP(A479&amp;B479&amp;C479,赠品!$A:$A&amp;赠品!$B:$B&amp;赠品!$C:$C,赠品!$D:$D)</f>
        <v/>
      </c>
      <c r="Q479" s="18" t="str">
        <f>IF($C479="","",IF(AND(M479="",N479="",P479=""),"",固定信息!$B$1))</f>
        <v/>
      </c>
      <c r="R479" s="18" t="str">
        <f t="array" ref="R479">IF(ISNUMBER(SEARCH("是",_xlfn.XLOOKUP(A479&amp;B479&amp;C479,盘货信息!$A:$A&amp;盘货信息!$B:$B&amp;盘货信息!$C:$C,盘货信息!$U:$U))),"【折扣】指定型号满2类享96折，满3类享94折","")</f>
        <v/>
      </c>
      <c r="S479" s="18" t="str">
        <f t="array" ref="S479">IF(_xlfn.XLOOKUP(A479&amp;B479&amp;C479,盘货信息!$A:$A&amp;盘货信息!$B:$B&amp;盘货信息!$C:$C,盘货信息!$Q:$Q)&lt;1,"","【红包】活动时间购机送"&amp;_xlfn.TEXTJOIN("",,IF(ISNUMBER(--MID(_xlfn.XLOOKUP(A479&amp;B479&amp;C479,盘货信息!$A:$A&amp;盘货信息!$B:$B&amp;盘货信息!$C:$C,盘货信息!$Q:$Q),_xlfn.SEQUENCE(LEN(_xlfn.XLOOKUP(A479&amp;B479&amp;C479,盘货信息!$A:$A&amp;盘货信息!$B:$B&amp;盘货信息!$C:$C,盘货信息!$Q:$Q))),1)),MID(_xlfn.XLOOKUP(A479&amp;B479&amp;C479,盘货信息!$A:$A&amp;盘货信息!$B:$B&amp;盘货信息!$C:$C,盘货信息!$Q:$Q),_xlfn.SEQUENCE(LEN(_xlfn.XLOOKUP(A479&amp;B479&amp;C479,盘货信息!$A:$A&amp;盘货信息!$B:$B&amp;盘货信息!$C:$C,盘货信息!$Q:$Q))),1),""))&amp;"元")</f>
        <v/>
      </c>
      <c r="T479" s="18" t="str">
        <f t="array" ref="T479">IF(ISNUMBER(SEARCH("是",_xlfn.XLOOKUP(A479&amp;B479&amp;C479,盘货信息!$A:$A&amp;盘货信息!$B:$B&amp;盘货信息!$C:$C,盘货信息!$T:$T))),"【瓜分】"&amp;固定信息!$B$7,"")</f>
        <v/>
      </c>
      <c r="U479" s="18" t="str">
        <f>IF($C479="","",IF(AND(R479="",S479="",T479=""),"",固定信息!$B$1))</f>
        <v/>
      </c>
      <c r="V479" s="18" t="str">
        <f t="array" ref="V479">IF(C479="","","【服务】"&amp;IF(_xlfn.XLOOKUP(A479&amp;B479&amp;C479,盘货信息!$A:$A&amp;盘货信息!$B:$B&amp;盘货信息!$C:$C,盘货信息!$V:$V)="","",_xlfn.XLOOKUP(A479&amp;B479&amp;C479,盘货信息!$A:$A&amp;盘货信息!$B:$B&amp;盘货信息!$C:$C,盘货信息!$V:$V)&amp;"免息,")&amp;IF(_xlfn.XLOOKUP(A479&amp;B479&amp;C479,盘货信息!$A:$A&amp;盘货信息!$B:$B&amp;盘货信息!$C:$C,盘货信息!$W:$W)="","",_xlfn.XLOOKUP(A479&amp;B479&amp;C479,盘货信息!$A:$A&amp;盘货信息!$B:$B&amp;盘货信息!$C:$C,盘货信息!$W:$W)&amp;"，")&amp;"送货入户，退换免运费")</f>
        <v/>
      </c>
    </row>
    <row r="480" customHeight="1" spans="1:22">
      <c r="A480" s="17" t="str">
        <f>IF(盘货信息!A480="","",盘货信息!A480)</f>
        <v/>
      </c>
      <c r="B480" s="20" t="str">
        <f>IF(盘货信息!B480="","",盘货信息!B480)</f>
        <v/>
      </c>
      <c r="C480" s="18" t="str">
        <f>IF(盘货信息!C480="","",盘货信息!C480)</f>
        <v/>
      </c>
      <c r="D480" s="18" t="str">
        <f ca="1" t="shared" si="7"/>
        <v/>
      </c>
      <c r="E480" s="18" t="str">
        <f>IF(C480="","",固定信息!$B$2)</f>
        <v/>
      </c>
      <c r="F480" s="18" t="str">
        <f t="array" ref="F480">IF(C480="","","【"&amp;C480&amp;"】"&amp;_xlfn.XLOOKUP(A480&amp;B480&amp;C480,盘货信息!$A:$A&amp;盘货信息!$B:$B&amp;盘货信息!$C:$C,盘货信息!$D:$D))</f>
        <v/>
      </c>
      <c r="G480" s="18" t="str">
        <f>IF(C480="","","【"&amp;"活动时间："&amp;固定信息!$B$3&amp;"】")</f>
        <v/>
      </c>
      <c r="H480" s="18" t="str">
        <f>IF($C480="","",固定信息!$B$1)</f>
        <v/>
      </c>
      <c r="I480" s="18"/>
      <c r="J480" s="18" t="str">
        <f t="array" ref="J480">_xlfn.XLOOKUP(A480&amp;B480&amp;C480,价格信息!$A:$A&amp;价格信息!$B:$B&amp;价格信息!$C:$C,价格信息!$D:$D)</f>
        <v/>
      </c>
      <c r="K480" s="31" t="str">
        <f t="array" ref="K480">IF(_xlfn.XLOOKUP(A480&amp;B480&amp;C480,价格信息!$A:$A&amp;价格信息!$B:$B&amp;价格信息!$C:$C,价格信息!$I:$I)="","","【优惠券链接】"&amp;固定信息!$B$6)</f>
        <v/>
      </c>
      <c r="L480" s="31" t="str">
        <f>IF($C480="","",固定信息!$B$1)</f>
        <v/>
      </c>
      <c r="M480" s="18" t="str">
        <f t="array" ref="M480">IF(_xlfn.XLOOKUP(A480&amp;B480&amp;C480,盘货信息!$A:$A&amp;盘货信息!$B:$B&amp;盘货信息!$C:$C,盘货信息!$O:$O)="","","【优惠券】领"&amp;INDEX(_wpsfn.REGEXP(_xlfn.XLOOKUP(A480&amp;B480&amp;C480,盘货信息!$A:$A&amp;盘货信息!$B:$B&amp;盘货信息!$C:$C,盘货信息!$O:$O),"\d+"),1,1)&amp;"元优惠券下单更优惠，优惠卷："&amp;_xlfn.XLOOKUP(A480&amp;B480&amp;C480,盘货信息!$A:$A&amp;盘货信息!$B:$B&amp;盘货信息!$C:$C,盘货信息!$P:$P))</f>
        <v/>
      </c>
      <c r="N480" s="18" t="str">
        <f t="array" ref="N480">IF(AND(ISNUMBER(_xlfn.XLOOKUP(A480&amp;B480&amp;C480,盘货信息!$A:$A&amp;盘货信息!$B:$B&amp;盘货信息!$C:$C,盘货信息!$I:$I)),_xlfn.XLOOKUP(A480&amp;B480&amp;C480,盘货信息!$A:$A&amp;盘货信息!$B:$B&amp;盘货信息!$C:$C,盘货信息!$I:$I)&gt;1),"【88VIP】立减"&amp;_xlfn.XLOOKUP(A480&amp;B480&amp;C480,盘货信息!$A:$A&amp;盘货信息!$B:$B&amp;盘货信息!$C:$C,盘货信息!$I:$I)&amp;"元","")</f>
        <v/>
      </c>
      <c r="O480" s="18" t="str">
        <f t="array" ref="O480">IF(_xlfn.XLOOKUP(A480&amp;B480&amp;C480,盘货信息!$A:$A&amp;盘货信息!$B:$B&amp;盘货信息!$C:$C,盘货信息!$K:$K)="","",IF(AND(_xlfn.XLOOKUP(A480&amp;B480&amp;C480,盘货信息!$A:$A&amp;盘货信息!$B:$B&amp;盘货信息!$C:$C,盘货信息!$G:$G)="不参加",_xlfn.XLOOKUP(A480&amp;B480&amp;C480,盘货信息!$A:$A&amp;盘货信息!$B:$B&amp;盘货信息!$C:$C,盘货信息!$H:$H)=""),"【以旧换新】"&amp;_xlfn.XLOOKUP(A480&amp;B480&amp;C480,盘货信息!$A:$A&amp;盘货信息!$B:$B&amp;盘货信息!$C:$C,盘货信息!$K:$K)&amp;"元以旧换新补贴（可无旧机换新）",""))</f>
        <v/>
      </c>
      <c r="P480" s="18" t="str">
        <f t="array" ref="P480">_xlfn.XLOOKUP(A480&amp;B480&amp;C480,赠品!$A:$A&amp;赠品!$B:$B&amp;赠品!$C:$C,赠品!$D:$D)</f>
        <v/>
      </c>
      <c r="Q480" s="18" t="str">
        <f>IF($C480="","",IF(AND(M480="",N480="",P480=""),"",固定信息!$B$1))</f>
        <v/>
      </c>
      <c r="R480" s="18" t="str">
        <f t="array" ref="R480">IF(ISNUMBER(SEARCH("是",_xlfn.XLOOKUP(A480&amp;B480&amp;C480,盘货信息!$A:$A&amp;盘货信息!$B:$B&amp;盘货信息!$C:$C,盘货信息!$U:$U))),"【折扣】指定型号满2类享96折，满3类享94折","")</f>
        <v/>
      </c>
      <c r="S480" s="18" t="str">
        <f t="array" ref="S480">IF(_xlfn.XLOOKUP(A480&amp;B480&amp;C480,盘货信息!$A:$A&amp;盘货信息!$B:$B&amp;盘货信息!$C:$C,盘货信息!$Q:$Q)&lt;1,"","【红包】活动时间购机送"&amp;_xlfn.TEXTJOIN("",,IF(ISNUMBER(--MID(_xlfn.XLOOKUP(A480&amp;B480&amp;C480,盘货信息!$A:$A&amp;盘货信息!$B:$B&amp;盘货信息!$C:$C,盘货信息!$Q:$Q),_xlfn.SEQUENCE(LEN(_xlfn.XLOOKUP(A480&amp;B480&amp;C480,盘货信息!$A:$A&amp;盘货信息!$B:$B&amp;盘货信息!$C:$C,盘货信息!$Q:$Q))),1)),MID(_xlfn.XLOOKUP(A480&amp;B480&amp;C480,盘货信息!$A:$A&amp;盘货信息!$B:$B&amp;盘货信息!$C:$C,盘货信息!$Q:$Q),_xlfn.SEQUENCE(LEN(_xlfn.XLOOKUP(A480&amp;B480&amp;C480,盘货信息!$A:$A&amp;盘货信息!$B:$B&amp;盘货信息!$C:$C,盘货信息!$Q:$Q))),1),""))&amp;"元")</f>
        <v/>
      </c>
      <c r="T480" s="18" t="str">
        <f t="array" ref="T480">IF(ISNUMBER(SEARCH("是",_xlfn.XLOOKUP(A480&amp;B480&amp;C480,盘货信息!$A:$A&amp;盘货信息!$B:$B&amp;盘货信息!$C:$C,盘货信息!$T:$T))),"【瓜分】"&amp;固定信息!$B$7,"")</f>
        <v/>
      </c>
      <c r="U480" s="18" t="str">
        <f>IF($C480="","",IF(AND(R480="",S480="",T480=""),"",固定信息!$B$1))</f>
        <v/>
      </c>
      <c r="V480" s="18" t="str">
        <f t="array" ref="V480">IF(C480="","","【服务】"&amp;IF(_xlfn.XLOOKUP(A480&amp;B480&amp;C480,盘货信息!$A:$A&amp;盘货信息!$B:$B&amp;盘货信息!$C:$C,盘货信息!$V:$V)="","",_xlfn.XLOOKUP(A480&amp;B480&amp;C480,盘货信息!$A:$A&amp;盘货信息!$B:$B&amp;盘货信息!$C:$C,盘货信息!$V:$V)&amp;"免息,")&amp;IF(_xlfn.XLOOKUP(A480&amp;B480&amp;C480,盘货信息!$A:$A&amp;盘货信息!$B:$B&amp;盘货信息!$C:$C,盘货信息!$W:$W)="","",_xlfn.XLOOKUP(A480&amp;B480&amp;C480,盘货信息!$A:$A&amp;盘货信息!$B:$B&amp;盘货信息!$C:$C,盘货信息!$W:$W)&amp;"，")&amp;"送货入户，退换免运费")</f>
        <v/>
      </c>
    </row>
    <row r="481" customHeight="1" spans="1:22">
      <c r="A481" s="17" t="str">
        <f>IF(盘货信息!A481="","",盘货信息!A481)</f>
        <v/>
      </c>
      <c r="B481" s="20" t="str">
        <f>IF(盘货信息!B481="","",盘货信息!B481)</f>
        <v/>
      </c>
      <c r="C481" s="18" t="str">
        <f>IF(盘货信息!C481="","",盘货信息!C481)</f>
        <v/>
      </c>
      <c r="D481" s="18" t="str">
        <f ca="1" t="shared" si="7"/>
        <v/>
      </c>
      <c r="E481" s="18" t="str">
        <f>IF(C481="","",固定信息!$B$2)</f>
        <v/>
      </c>
      <c r="F481" s="18" t="str">
        <f t="array" ref="F481">IF(C481="","","【"&amp;C481&amp;"】"&amp;_xlfn.XLOOKUP(A481&amp;B481&amp;C481,盘货信息!$A:$A&amp;盘货信息!$B:$B&amp;盘货信息!$C:$C,盘货信息!$D:$D))</f>
        <v/>
      </c>
      <c r="G481" s="18" t="str">
        <f>IF(C481="","","【"&amp;"活动时间："&amp;固定信息!$B$3&amp;"】")</f>
        <v/>
      </c>
      <c r="H481" s="18" t="str">
        <f>IF($C481="","",固定信息!$B$1)</f>
        <v/>
      </c>
      <c r="I481" s="18"/>
      <c r="J481" s="18" t="str">
        <f t="array" ref="J481">_xlfn.XLOOKUP(A481&amp;B481&amp;C481,价格信息!$A:$A&amp;价格信息!$B:$B&amp;价格信息!$C:$C,价格信息!$D:$D)</f>
        <v/>
      </c>
      <c r="K481" s="31" t="str">
        <f t="array" ref="K481">IF(_xlfn.XLOOKUP(A481&amp;B481&amp;C481,价格信息!$A:$A&amp;价格信息!$B:$B&amp;价格信息!$C:$C,价格信息!$I:$I)="","","【优惠券链接】"&amp;固定信息!$B$6)</f>
        <v/>
      </c>
      <c r="L481" s="31" t="str">
        <f>IF($C481="","",固定信息!$B$1)</f>
        <v/>
      </c>
      <c r="M481" s="18" t="str">
        <f t="array" ref="M481">IF(_xlfn.XLOOKUP(A481&amp;B481&amp;C481,盘货信息!$A:$A&amp;盘货信息!$B:$B&amp;盘货信息!$C:$C,盘货信息!$O:$O)="","","【优惠券】领"&amp;INDEX(_wpsfn.REGEXP(_xlfn.XLOOKUP(A481&amp;B481&amp;C481,盘货信息!$A:$A&amp;盘货信息!$B:$B&amp;盘货信息!$C:$C,盘货信息!$O:$O),"\d+"),1,1)&amp;"元优惠券下单更优惠，优惠卷："&amp;_xlfn.XLOOKUP(A481&amp;B481&amp;C481,盘货信息!$A:$A&amp;盘货信息!$B:$B&amp;盘货信息!$C:$C,盘货信息!$P:$P))</f>
        <v/>
      </c>
      <c r="N481" s="18" t="str">
        <f t="array" ref="N481">IF(AND(ISNUMBER(_xlfn.XLOOKUP(A481&amp;B481&amp;C481,盘货信息!$A:$A&amp;盘货信息!$B:$B&amp;盘货信息!$C:$C,盘货信息!$I:$I)),_xlfn.XLOOKUP(A481&amp;B481&amp;C481,盘货信息!$A:$A&amp;盘货信息!$B:$B&amp;盘货信息!$C:$C,盘货信息!$I:$I)&gt;1),"【88VIP】立减"&amp;_xlfn.XLOOKUP(A481&amp;B481&amp;C481,盘货信息!$A:$A&amp;盘货信息!$B:$B&amp;盘货信息!$C:$C,盘货信息!$I:$I)&amp;"元","")</f>
        <v/>
      </c>
      <c r="O481" s="18" t="str">
        <f t="array" ref="O481">IF(_xlfn.XLOOKUP(A481&amp;B481&amp;C481,盘货信息!$A:$A&amp;盘货信息!$B:$B&amp;盘货信息!$C:$C,盘货信息!$K:$K)="","",IF(AND(_xlfn.XLOOKUP(A481&amp;B481&amp;C481,盘货信息!$A:$A&amp;盘货信息!$B:$B&amp;盘货信息!$C:$C,盘货信息!$G:$G)="不参加",_xlfn.XLOOKUP(A481&amp;B481&amp;C481,盘货信息!$A:$A&amp;盘货信息!$B:$B&amp;盘货信息!$C:$C,盘货信息!$H:$H)=""),"【以旧换新】"&amp;_xlfn.XLOOKUP(A481&amp;B481&amp;C481,盘货信息!$A:$A&amp;盘货信息!$B:$B&amp;盘货信息!$C:$C,盘货信息!$K:$K)&amp;"元以旧换新补贴（可无旧机换新）",""))</f>
        <v/>
      </c>
      <c r="P481" s="18" t="str">
        <f t="array" ref="P481">_xlfn.XLOOKUP(A481&amp;B481&amp;C481,赠品!$A:$A&amp;赠品!$B:$B&amp;赠品!$C:$C,赠品!$D:$D)</f>
        <v/>
      </c>
      <c r="Q481" s="18" t="str">
        <f>IF($C481="","",IF(AND(M481="",N481="",P481=""),"",固定信息!$B$1))</f>
        <v/>
      </c>
      <c r="R481" s="18" t="str">
        <f t="array" ref="R481">IF(ISNUMBER(SEARCH("是",_xlfn.XLOOKUP(A481&amp;B481&amp;C481,盘货信息!$A:$A&amp;盘货信息!$B:$B&amp;盘货信息!$C:$C,盘货信息!$U:$U))),"【折扣】指定型号满2类享96折，满3类享94折","")</f>
        <v/>
      </c>
      <c r="S481" s="18" t="str">
        <f t="array" ref="S481">IF(_xlfn.XLOOKUP(A481&amp;B481&amp;C481,盘货信息!$A:$A&amp;盘货信息!$B:$B&amp;盘货信息!$C:$C,盘货信息!$Q:$Q)&lt;1,"","【红包】活动时间购机送"&amp;_xlfn.TEXTJOIN("",,IF(ISNUMBER(--MID(_xlfn.XLOOKUP(A481&amp;B481&amp;C481,盘货信息!$A:$A&amp;盘货信息!$B:$B&amp;盘货信息!$C:$C,盘货信息!$Q:$Q),_xlfn.SEQUENCE(LEN(_xlfn.XLOOKUP(A481&amp;B481&amp;C481,盘货信息!$A:$A&amp;盘货信息!$B:$B&amp;盘货信息!$C:$C,盘货信息!$Q:$Q))),1)),MID(_xlfn.XLOOKUP(A481&amp;B481&amp;C481,盘货信息!$A:$A&amp;盘货信息!$B:$B&amp;盘货信息!$C:$C,盘货信息!$Q:$Q),_xlfn.SEQUENCE(LEN(_xlfn.XLOOKUP(A481&amp;B481&amp;C481,盘货信息!$A:$A&amp;盘货信息!$B:$B&amp;盘货信息!$C:$C,盘货信息!$Q:$Q))),1),""))&amp;"元")</f>
        <v/>
      </c>
      <c r="T481" s="18" t="str">
        <f t="array" ref="T481">IF(ISNUMBER(SEARCH("是",_xlfn.XLOOKUP(A481&amp;B481&amp;C481,盘货信息!$A:$A&amp;盘货信息!$B:$B&amp;盘货信息!$C:$C,盘货信息!$T:$T))),"【瓜分】"&amp;固定信息!$B$7,"")</f>
        <v/>
      </c>
      <c r="U481" s="18" t="str">
        <f>IF($C481="","",IF(AND(R481="",S481="",T481=""),"",固定信息!$B$1))</f>
        <v/>
      </c>
      <c r="V481" s="18" t="str">
        <f t="array" ref="V481">IF(C481="","","【服务】"&amp;IF(_xlfn.XLOOKUP(A481&amp;B481&amp;C481,盘货信息!$A:$A&amp;盘货信息!$B:$B&amp;盘货信息!$C:$C,盘货信息!$V:$V)="","",_xlfn.XLOOKUP(A481&amp;B481&amp;C481,盘货信息!$A:$A&amp;盘货信息!$B:$B&amp;盘货信息!$C:$C,盘货信息!$V:$V)&amp;"免息,")&amp;IF(_xlfn.XLOOKUP(A481&amp;B481&amp;C481,盘货信息!$A:$A&amp;盘货信息!$B:$B&amp;盘货信息!$C:$C,盘货信息!$W:$W)="","",_xlfn.XLOOKUP(A481&amp;B481&amp;C481,盘货信息!$A:$A&amp;盘货信息!$B:$B&amp;盘货信息!$C:$C,盘货信息!$W:$W)&amp;"，")&amp;"送货入户，退换免运费")</f>
        <v/>
      </c>
    </row>
    <row r="482" customHeight="1" spans="1:22">
      <c r="A482" s="17" t="str">
        <f>IF(盘货信息!A482="","",盘货信息!A482)</f>
        <v/>
      </c>
      <c r="B482" s="20" t="str">
        <f>IF(盘货信息!B482="","",盘货信息!B482)</f>
        <v/>
      </c>
      <c r="C482" s="18" t="str">
        <f>IF(盘货信息!C482="","",盘货信息!C482)</f>
        <v/>
      </c>
      <c r="D482" s="18" t="str">
        <f ca="1" t="shared" si="7"/>
        <v/>
      </c>
      <c r="E482" s="18" t="str">
        <f>IF(C482="","",固定信息!$B$2)</f>
        <v/>
      </c>
      <c r="F482" s="18" t="str">
        <f t="array" ref="F482">IF(C482="","","【"&amp;C482&amp;"】"&amp;_xlfn.XLOOKUP(A482&amp;B482&amp;C482,盘货信息!$A:$A&amp;盘货信息!$B:$B&amp;盘货信息!$C:$C,盘货信息!$D:$D))</f>
        <v/>
      </c>
      <c r="G482" s="18" t="str">
        <f>IF(C482="","","【"&amp;"活动时间："&amp;固定信息!$B$3&amp;"】")</f>
        <v/>
      </c>
      <c r="H482" s="18" t="str">
        <f>IF($C482="","",固定信息!$B$1)</f>
        <v/>
      </c>
      <c r="I482" s="18"/>
      <c r="J482" s="18" t="str">
        <f t="array" ref="J482">_xlfn.XLOOKUP(A482&amp;B482&amp;C482,价格信息!$A:$A&amp;价格信息!$B:$B&amp;价格信息!$C:$C,价格信息!$D:$D)</f>
        <v/>
      </c>
      <c r="K482" s="31" t="str">
        <f t="array" ref="K482">IF(_xlfn.XLOOKUP(A482&amp;B482&amp;C482,价格信息!$A:$A&amp;价格信息!$B:$B&amp;价格信息!$C:$C,价格信息!$I:$I)="","","【优惠券链接】"&amp;固定信息!$B$6)</f>
        <v/>
      </c>
      <c r="L482" s="31" t="str">
        <f>IF($C482="","",固定信息!$B$1)</f>
        <v/>
      </c>
      <c r="M482" s="18" t="str">
        <f t="array" ref="M482">IF(_xlfn.XLOOKUP(A482&amp;B482&amp;C482,盘货信息!$A:$A&amp;盘货信息!$B:$B&amp;盘货信息!$C:$C,盘货信息!$O:$O)="","","【优惠券】领"&amp;INDEX(_wpsfn.REGEXP(_xlfn.XLOOKUP(A482&amp;B482&amp;C482,盘货信息!$A:$A&amp;盘货信息!$B:$B&amp;盘货信息!$C:$C,盘货信息!$O:$O),"\d+"),1,1)&amp;"元优惠券下单更优惠，优惠卷："&amp;_xlfn.XLOOKUP(A482&amp;B482&amp;C482,盘货信息!$A:$A&amp;盘货信息!$B:$B&amp;盘货信息!$C:$C,盘货信息!$P:$P))</f>
        <v/>
      </c>
      <c r="N482" s="18" t="str">
        <f t="array" ref="N482">IF(AND(ISNUMBER(_xlfn.XLOOKUP(A482&amp;B482&amp;C482,盘货信息!$A:$A&amp;盘货信息!$B:$B&amp;盘货信息!$C:$C,盘货信息!$I:$I)),_xlfn.XLOOKUP(A482&amp;B482&amp;C482,盘货信息!$A:$A&amp;盘货信息!$B:$B&amp;盘货信息!$C:$C,盘货信息!$I:$I)&gt;1),"【88VIP】立减"&amp;_xlfn.XLOOKUP(A482&amp;B482&amp;C482,盘货信息!$A:$A&amp;盘货信息!$B:$B&amp;盘货信息!$C:$C,盘货信息!$I:$I)&amp;"元","")</f>
        <v/>
      </c>
      <c r="O482" s="18" t="str">
        <f t="array" ref="O482">IF(_xlfn.XLOOKUP(A482&amp;B482&amp;C482,盘货信息!$A:$A&amp;盘货信息!$B:$B&amp;盘货信息!$C:$C,盘货信息!$K:$K)="","",IF(AND(_xlfn.XLOOKUP(A482&amp;B482&amp;C482,盘货信息!$A:$A&amp;盘货信息!$B:$B&amp;盘货信息!$C:$C,盘货信息!$G:$G)="不参加",_xlfn.XLOOKUP(A482&amp;B482&amp;C482,盘货信息!$A:$A&amp;盘货信息!$B:$B&amp;盘货信息!$C:$C,盘货信息!$H:$H)=""),"【以旧换新】"&amp;_xlfn.XLOOKUP(A482&amp;B482&amp;C482,盘货信息!$A:$A&amp;盘货信息!$B:$B&amp;盘货信息!$C:$C,盘货信息!$K:$K)&amp;"元以旧换新补贴（可无旧机换新）",""))</f>
        <v/>
      </c>
      <c r="P482" s="18" t="str">
        <f t="array" ref="P482">_xlfn.XLOOKUP(A482&amp;B482&amp;C482,赠品!$A:$A&amp;赠品!$B:$B&amp;赠品!$C:$C,赠品!$D:$D)</f>
        <v/>
      </c>
      <c r="Q482" s="18" t="str">
        <f>IF($C482="","",IF(AND(M482="",N482="",P482=""),"",固定信息!$B$1))</f>
        <v/>
      </c>
      <c r="R482" s="18" t="str">
        <f t="array" ref="R482">IF(ISNUMBER(SEARCH("是",_xlfn.XLOOKUP(A482&amp;B482&amp;C482,盘货信息!$A:$A&amp;盘货信息!$B:$B&amp;盘货信息!$C:$C,盘货信息!$U:$U))),"【折扣】指定型号满2类享96折，满3类享94折","")</f>
        <v/>
      </c>
      <c r="S482" s="18" t="str">
        <f t="array" ref="S482">IF(_xlfn.XLOOKUP(A482&amp;B482&amp;C482,盘货信息!$A:$A&amp;盘货信息!$B:$B&amp;盘货信息!$C:$C,盘货信息!$Q:$Q)&lt;1,"","【红包】活动时间购机送"&amp;_xlfn.TEXTJOIN("",,IF(ISNUMBER(--MID(_xlfn.XLOOKUP(A482&amp;B482&amp;C482,盘货信息!$A:$A&amp;盘货信息!$B:$B&amp;盘货信息!$C:$C,盘货信息!$Q:$Q),_xlfn.SEQUENCE(LEN(_xlfn.XLOOKUP(A482&amp;B482&amp;C482,盘货信息!$A:$A&amp;盘货信息!$B:$B&amp;盘货信息!$C:$C,盘货信息!$Q:$Q))),1)),MID(_xlfn.XLOOKUP(A482&amp;B482&amp;C482,盘货信息!$A:$A&amp;盘货信息!$B:$B&amp;盘货信息!$C:$C,盘货信息!$Q:$Q),_xlfn.SEQUENCE(LEN(_xlfn.XLOOKUP(A482&amp;B482&amp;C482,盘货信息!$A:$A&amp;盘货信息!$B:$B&amp;盘货信息!$C:$C,盘货信息!$Q:$Q))),1),""))&amp;"元")</f>
        <v/>
      </c>
      <c r="T482" s="18" t="str">
        <f t="array" ref="T482">IF(ISNUMBER(SEARCH("是",_xlfn.XLOOKUP(A482&amp;B482&amp;C482,盘货信息!$A:$A&amp;盘货信息!$B:$B&amp;盘货信息!$C:$C,盘货信息!$T:$T))),"【瓜分】"&amp;固定信息!$B$7,"")</f>
        <v/>
      </c>
      <c r="U482" s="18" t="str">
        <f>IF($C482="","",IF(AND(R482="",S482="",T482=""),"",固定信息!$B$1))</f>
        <v/>
      </c>
      <c r="V482" s="18" t="str">
        <f t="array" ref="V482">IF(C482="","","【服务】"&amp;IF(_xlfn.XLOOKUP(A482&amp;B482&amp;C482,盘货信息!$A:$A&amp;盘货信息!$B:$B&amp;盘货信息!$C:$C,盘货信息!$V:$V)="","",_xlfn.XLOOKUP(A482&amp;B482&amp;C482,盘货信息!$A:$A&amp;盘货信息!$B:$B&amp;盘货信息!$C:$C,盘货信息!$V:$V)&amp;"免息,")&amp;IF(_xlfn.XLOOKUP(A482&amp;B482&amp;C482,盘货信息!$A:$A&amp;盘货信息!$B:$B&amp;盘货信息!$C:$C,盘货信息!$W:$W)="","",_xlfn.XLOOKUP(A482&amp;B482&amp;C482,盘货信息!$A:$A&amp;盘货信息!$B:$B&amp;盘货信息!$C:$C,盘货信息!$W:$W)&amp;"，")&amp;"送货入户，退换免运费")</f>
        <v/>
      </c>
    </row>
    <row r="483" customHeight="1" spans="1:22">
      <c r="A483" s="17" t="str">
        <f>IF(盘货信息!A483="","",盘货信息!A483)</f>
        <v/>
      </c>
      <c r="B483" s="20" t="str">
        <f>IF(盘货信息!B483="","",盘货信息!B483)</f>
        <v/>
      </c>
      <c r="C483" s="18" t="str">
        <f>IF(盘货信息!C483="","",盘货信息!C483)</f>
        <v/>
      </c>
      <c r="D483" s="18" t="str">
        <f ca="1" t="shared" si="7"/>
        <v/>
      </c>
      <c r="E483" s="18" t="str">
        <f>IF(C483="","",固定信息!$B$2)</f>
        <v/>
      </c>
      <c r="F483" s="18" t="str">
        <f t="array" ref="F483">IF(C483="","","【"&amp;C483&amp;"】"&amp;_xlfn.XLOOKUP(A483&amp;B483&amp;C483,盘货信息!$A:$A&amp;盘货信息!$B:$B&amp;盘货信息!$C:$C,盘货信息!$D:$D))</f>
        <v/>
      </c>
      <c r="G483" s="18" t="str">
        <f>IF(C483="","","【"&amp;"活动时间："&amp;固定信息!$B$3&amp;"】")</f>
        <v/>
      </c>
      <c r="H483" s="18" t="str">
        <f>IF($C483="","",固定信息!$B$1)</f>
        <v/>
      </c>
      <c r="I483" s="18"/>
      <c r="J483" s="18" t="str">
        <f t="array" ref="J483">_xlfn.XLOOKUP(A483&amp;B483&amp;C483,价格信息!$A:$A&amp;价格信息!$B:$B&amp;价格信息!$C:$C,价格信息!$D:$D)</f>
        <v/>
      </c>
      <c r="K483" s="31" t="str">
        <f t="array" ref="K483">IF(_xlfn.XLOOKUP(A483&amp;B483&amp;C483,价格信息!$A:$A&amp;价格信息!$B:$B&amp;价格信息!$C:$C,价格信息!$I:$I)="","","【优惠券链接】"&amp;固定信息!$B$6)</f>
        <v/>
      </c>
      <c r="L483" s="31" t="str">
        <f>IF($C483="","",固定信息!$B$1)</f>
        <v/>
      </c>
      <c r="M483" s="18" t="str">
        <f t="array" ref="M483">IF(_xlfn.XLOOKUP(A483&amp;B483&amp;C483,盘货信息!$A:$A&amp;盘货信息!$B:$B&amp;盘货信息!$C:$C,盘货信息!$O:$O)="","","【优惠券】领"&amp;INDEX(_wpsfn.REGEXP(_xlfn.XLOOKUP(A483&amp;B483&amp;C483,盘货信息!$A:$A&amp;盘货信息!$B:$B&amp;盘货信息!$C:$C,盘货信息!$O:$O),"\d+"),1,1)&amp;"元优惠券下单更优惠，优惠卷："&amp;_xlfn.XLOOKUP(A483&amp;B483&amp;C483,盘货信息!$A:$A&amp;盘货信息!$B:$B&amp;盘货信息!$C:$C,盘货信息!$P:$P))</f>
        <v/>
      </c>
      <c r="N483" s="18" t="str">
        <f t="array" ref="N483">IF(AND(ISNUMBER(_xlfn.XLOOKUP(A483&amp;B483&amp;C483,盘货信息!$A:$A&amp;盘货信息!$B:$B&amp;盘货信息!$C:$C,盘货信息!$I:$I)),_xlfn.XLOOKUP(A483&amp;B483&amp;C483,盘货信息!$A:$A&amp;盘货信息!$B:$B&amp;盘货信息!$C:$C,盘货信息!$I:$I)&gt;1),"【88VIP】立减"&amp;_xlfn.XLOOKUP(A483&amp;B483&amp;C483,盘货信息!$A:$A&amp;盘货信息!$B:$B&amp;盘货信息!$C:$C,盘货信息!$I:$I)&amp;"元","")</f>
        <v/>
      </c>
      <c r="O483" s="18" t="str">
        <f t="array" ref="O483">IF(_xlfn.XLOOKUP(A483&amp;B483&amp;C483,盘货信息!$A:$A&amp;盘货信息!$B:$B&amp;盘货信息!$C:$C,盘货信息!$K:$K)="","",IF(AND(_xlfn.XLOOKUP(A483&amp;B483&amp;C483,盘货信息!$A:$A&amp;盘货信息!$B:$B&amp;盘货信息!$C:$C,盘货信息!$G:$G)="不参加",_xlfn.XLOOKUP(A483&amp;B483&amp;C483,盘货信息!$A:$A&amp;盘货信息!$B:$B&amp;盘货信息!$C:$C,盘货信息!$H:$H)=""),"【以旧换新】"&amp;_xlfn.XLOOKUP(A483&amp;B483&amp;C483,盘货信息!$A:$A&amp;盘货信息!$B:$B&amp;盘货信息!$C:$C,盘货信息!$K:$K)&amp;"元以旧换新补贴（可无旧机换新）",""))</f>
        <v/>
      </c>
      <c r="P483" s="18" t="str">
        <f t="array" ref="P483">_xlfn.XLOOKUP(A483&amp;B483&amp;C483,赠品!$A:$A&amp;赠品!$B:$B&amp;赠品!$C:$C,赠品!$D:$D)</f>
        <v/>
      </c>
      <c r="Q483" s="18" t="str">
        <f>IF($C483="","",IF(AND(M483="",N483="",P483=""),"",固定信息!$B$1))</f>
        <v/>
      </c>
      <c r="R483" s="18" t="str">
        <f t="array" ref="R483">IF(ISNUMBER(SEARCH("是",_xlfn.XLOOKUP(A483&amp;B483&amp;C483,盘货信息!$A:$A&amp;盘货信息!$B:$B&amp;盘货信息!$C:$C,盘货信息!$U:$U))),"【折扣】指定型号满2类享96折，满3类享94折","")</f>
        <v/>
      </c>
      <c r="S483" s="18" t="str">
        <f t="array" ref="S483">IF(_xlfn.XLOOKUP(A483&amp;B483&amp;C483,盘货信息!$A:$A&amp;盘货信息!$B:$B&amp;盘货信息!$C:$C,盘货信息!$Q:$Q)&lt;1,"","【红包】活动时间购机送"&amp;_xlfn.TEXTJOIN("",,IF(ISNUMBER(--MID(_xlfn.XLOOKUP(A483&amp;B483&amp;C483,盘货信息!$A:$A&amp;盘货信息!$B:$B&amp;盘货信息!$C:$C,盘货信息!$Q:$Q),_xlfn.SEQUENCE(LEN(_xlfn.XLOOKUP(A483&amp;B483&amp;C483,盘货信息!$A:$A&amp;盘货信息!$B:$B&amp;盘货信息!$C:$C,盘货信息!$Q:$Q))),1)),MID(_xlfn.XLOOKUP(A483&amp;B483&amp;C483,盘货信息!$A:$A&amp;盘货信息!$B:$B&amp;盘货信息!$C:$C,盘货信息!$Q:$Q),_xlfn.SEQUENCE(LEN(_xlfn.XLOOKUP(A483&amp;B483&amp;C483,盘货信息!$A:$A&amp;盘货信息!$B:$B&amp;盘货信息!$C:$C,盘货信息!$Q:$Q))),1),""))&amp;"元")</f>
        <v/>
      </c>
      <c r="T483" s="18" t="str">
        <f t="array" ref="T483">IF(ISNUMBER(SEARCH("是",_xlfn.XLOOKUP(A483&amp;B483&amp;C483,盘货信息!$A:$A&amp;盘货信息!$B:$B&amp;盘货信息!$C:$C,盘货信息!$T:$T))),"【瓜分】"&amp;固定信息!$B$7,"")</f>
        <v/>
      </c>
      <c r="U483" s="18" t="str">
        <f>IF($C483="","",IF(AND(R483="",S483="",T483=""),"",固定信息!$B$1))</f>
        <v/>
      </c>
      <c r="V483" s="18" t="str">
        <f t="array" ref="V483">IF(C483="","","【服务】"&amp;IF(_xlfn.XLOOKUP(A483&amp;B483&amp;C483,盘货信息!$A:$A&amp;盘货信息!$B:$B&amp;盘货信息!$C:$C,盘货信息!$V:$V)="","",_xlfn.XLOOKUP(A483&amp;B483&amp;C483,盘货信息!$A:$A&amp;盘货信息!$B:$B&amp;盘货信息!$C:$C,盘货信息!$V:$V)&amp;"免息,")&amp;IF(_xlfn.XLOOKUP(A483&amp;B483&amp;C483,盘货信息!$A:$A&amp;盘货信息!$B:$B&amp;盘货信息!$C:$C,盘货信息!$W:$W)="","",_xlfn.XLOOKUP(A483&amp;B483&amp;C483,盘货信息!$A:$A&amp;盘货信息!$B:$B&amp;盘货信息!$C:$C,盘货信息!$W:$W)&amp;"，")&amp;"送货入户，退换免运费")</f>
        <v/>
      </c>
    </row>
    <row r="484" customHeight="1" spans="1:22">
      <c r="A484" s="17" t="str">
        <f>IF(盘货信息!A484="","",盘货信息!A484)</f>
        <v/>
      </c>
      <c r="B484" s="20" t="str">
        <f>IF(盘货信息!B484="","",盘货信息!B484)</f>
        <v/>
      </c>
      <c r="C484" s="18" t="str">
        <f>IF(盘货信息!C484="","",盘货信息!C484)</f>
        <v/>
      </c>
      <c r="D484" s="18" t="str">
        <f ca="1" t="shared" si="7"/>
        <v/>
      </c>
      <c r="E484" s="18" t="str">
        <f>IF(C484="","",固定信息!$B$2)</f>
        <v/>
      </c>
      <c r="F484" s="18" t="str">
        <f t="array" ref="F484">IF(C484="","","【"&amp;C484&amp;"】"&amp;_xlfn.XLOOKUP(A484&amp;B484&amp;C484,盘货信息!$A:$A&amp;盘货信息!$B:$B&amp;盘货信息!$C:$C,盘货信息!$D:$D))</f>
        <v/>
      </c>
      <c r="G484" s="18" t="str">
        <f>IF(C484="","","【"&amp;"活动时间："&amp;固定信息!$B$3&amp;"】")</f>
        <v/>
      </c>
      <c r="H484" s="18" t="str">
        <f>IF($C484="","",固定信息!$B$1)</f>
        <v/>
      </c>
      <c r="I484" s="18"/>
      <c r="J484" s="18" t="str">
        <f t="array" ref="J484">_xlfn.XLOOKUP(A484&amp;B484&amp;C484,价格信息!$A:$A&amp;价格信息!$B:$B&amp;价格信息!$C:$C,价格信息!$D:$D)</f>
        <v/>
      </c>
      <c r="K484" s="31" t="str">
        <f t="array" ref="K484">IF(_xlfn.XLOOKUP(A484&amp;B484&amp;C484,价格信息!$A:$A&amp;价格信息!$B:$B&amp;价格信息!$C:$C,价格信息!$I:$I)="","","【优惠券链接】"&amp;固定信息!$B$6)</f>
        <v/>
      </c>
      <c r="L484" s="31" t="str">
        <f>IF($C484="","",固定信息!$B$1)</f>
        <v/>
      </c>
      <c r="M484" s="18" t="str">
        <f t="array" ref="M484">IF(_xlfn.XLOOKUP(A484&amp;B484&amp;C484,盘货信息!$A:$A&amp;盘货信息!$B:$B&amp;盘货信息!$C:$C,盘货信息!$O:$O)="","","【优惠券】领"&amp;INDEX(_wpsfn.REGEXP(_xlfn.XLOOKUP(A484&amp;B484&amp;C484,盘货信息!$A:$A&amp;盘货信息!$B:$B&amp;盘货信息!$C:$C,盘货信息!$O:$O),"\d+"),1,1)&amp;"元优惠券下单更优惠，优惠卷："&amp;_xlfn.XLOOKUP(A484&amp;B484&amp;C484,盘货信息!$A:$A&amp;盘货信息!$B:$B&amp;盘货信息!$C:$C,盘货信息!$P:$P))</f>
        <v/>
      </c>
      <c r="N484" s="18" t="str">
        <f t="array" ref="N484">IF(AND(ISNUMBER(_xlfn.XLOOKUP(A484&amp;B484&amp;C484,盘货信息!$A:$A&amp;盘货信息!$B:$B&amp;盘货信息!$C:$C,盘货信息!$I:$I)),_xlfn.XLOOKUP(A484&amp;B484&amp;C484,盘货信息!$A:$A&amp;盘货信息!$B:$B&amp;盘货信息!$C:$C,盘货信息!$I:$I)&gt;1),"【88VIP】立减"&amp;_xlfn.XLOOKUP(A484&amp;B484&amp;C484,盘货信息!$A:$A&amp;盘货信息!$B:$B&amp;盘货信息!$C:$C,盘货信息!$I:$I)&amp;"元","")</f>
        <v/>
      </c>
      <c r="O484" s="18" t="str">
        <f t="array" ref="O484">IF(_xlfn.XLOOKUP(A484&amp;B484&amp;C484,盘货信息!$A:$A&amp;盘货信息!$B:$B&amp;盘货信息!$C:$C,盘货信息!$K:$K)="","",IF(AND(_xlfn.XLOOKUP(A484&amp;B484&amp;C484,盘货信息!$A:$A&amp;盘货信息!$B:$B&amp;盘货信息!$C:$C,盘货信息!$G:$G)="不参加",_xlfn.XLOOKUP(A484&amp;B484&amp;C484,盘货信息!$A:$A&amp;盘货信息!$B:$B&amp;盘货信息!$C:$C,盘货信息!$H:$H)=""),"【以旧换新】"&amp;_xlfn.XLOOKUP(A484&amp;B484&amp;C484,盘货信息!$A:$A&amp;盘货信息!$B:$B&amp;盘货信息!$C:$C,盘货信息!$K:$K)&amp;"元以旧换新补贴（可无旧机换新）",""))</f>
        <v/>
      </c>
      <c r="P484" s="18" t="str">
        <f t="array" ref="P484">_xlfn.XLOOKUP(A484&amp;B484&amp;C484,赠品!$A:$A&amp;赠品!$B:$B&amp;赠品!$C:$C,赠品!$D:$D)</f>
        <v/>
      </c>
      <c r="Q484" s="18" t="str">
        <f>IF($C484="","",IF(AND(M484="",N484="",P484=""),"",固定信息!$B$1))</f>
        <v/>
      </c>
      <c r="R484" s="18" t="str">
        <f t="array" ref="R484">IF(ISNUMBER(SEARCH("是",_xlfn.XLOOKUP(A484&amp;B484&amp;C484,盘货信息!$A:$A&amp;盘货信息!$B:$B&amp;盘货信息!$C:$C,盘货信息!$U:$U))),"【折扣】指定型号满2类享96折，满3类享94折","")</f>
        <v/>
      </c>
      <c r="S484" s="18" t="str">
        <f t="array" ref="S484">IF(_xlfn.XLOOKUP(A484&amp;B484&amp;C484,盘货信息!$A:$A&amp;盘货信息!$B:$B&amp;盘货信息!$C:$C,盘货信息!$Q:$Q)&lt;1,"","【红包】活动时间购机送"&amp;_xlfn.TEXTJOIN("",,IF(ISNUMBER(--MID(_xlfn.XLOOKUP(A484&amp;B484&amp;C484,盘货信息!$A:$A&amp;盘货信息!$B:$B&amp;盘货信息!$C:$C,盘货信息!$Q:$Q),_xlfn.SEQUENCE(LEN(_xlfn.XLOOKUP(A484&amp;B484&amp;C484,盘货信息!$A:$A&amp;盘货信息!$B:$B&amp;盘货信息!$C:$C,盘货信息!$Q:$Q))),1)),MID(_xlfn.XLOOKUP(A484&amp;B484&amp;C484,盘货信息!$A:$A&amp;盘货信息!$B:$B&amp;盘货信息!$C:$C,盘货信息!$Q:$Q),_xlfn.SEQUENCE(LEN(_xlfn.XLOOKUP(A484&amp;B484&amp;C484,盘货信息!$A:$A&amp;盘货信息!$B:$B&amp;盘货信息!$C:$C,盘货信息!$Q:$Q))),1),""))&amp;"元")</f>
        <v/>
      </c>
      <c r="T484" s="18" t="str">
        <f t="array" ref="T484">IF(ISNUMBER(SEARCH("是",_xlfn.XLOOKUP(A484&amp;B484&amp;C484,盘货信息!$A:$A&amp;盘货信息!$B:$B&amp;盘货信息!$C:$C,盘货信息!$T:$T))),"【瓜分】"&amp;固定信息!$B$7,"")</f>
        <v/>
      </c>
      <c r="U484" s="18" t="str">
        <f>IF($C484="","",IF(AND(R484="",S484="",T484=""),"",固定信息!$B$1))</f>
        <v/>
      </c>
      <c r="V484" s="18" t="str">
        <f t="array" ref="V484">IF(C484="","","【服务】"&amp;IF(_xlfn.XLOOKUP(A484&amp;B484&amp;C484,盘货信息!$A:$A&amp;盘货信息!$B:$B&amp;盘货信息!$C:$C,盘货信息!$V:$V)="","",_xlfn.XLOOKUP(A484&amp;B484&amp;C484,盘货信息!$A:$A&amp;盘货信息!$B:$B&amp;盘货信息!$C:$C,盘货信息!$V:$V)&amp;"免息,")&amp;IF(_xlfn.XLOOKUP(A484&amp;B484&amp;C484,盘货信息!$A:$A&amp;盘货信息!$B:$B&amp;盘货信息!$C:$C,盘货信息!$W:$W)="","",_xlfn.XLOOKUP(A484&amp;B484&amp;C484,盘货信息!$A:$A&amp;盘货信息!$B:$B&amp;盘货信息!$C:$C,盘货信息!$W:$W)&amp;"，")&amp;"送货入户，退换免运费")</f>
        <v/>
      </c>
    </row>
    <row r="485" customHeight="1" spans="1:22">
      <c r="A485" s="17" t="str">
        <f>IF(盘货信息!A485="","",盘货信息!A485)</f>
        <v/>
      </c>
      <c r="B485" s="20" t="str">
        <f>IF(盘货信息!B485="","",盘货信息!B485)</f>
        <v/>
      </c>
      <c r="C485" s="18" t="str">
        <f>IF(盘货信息!C485="","",盘货信息!C485)</f>
        <v/>
      </c>
      <c r="D485" s="18" t="str">
        <f ca="1" t="shared" si="7"/>
        <v/>
      </c>
      <c r="E485" s="18" t="str">
        <f>IF(C485="","",固定信息!$B$2)</f>
        <v/>
      </c>
      <c r="F485" s="18" t="str">
        <f t="array" ref="F485">IF(C485="","","【"&amp;C485&amp;"】"&amp;_xlfn.XLOOKUP(A485&amp;B485&amp;C485,盘货信息!$A:$A&amp;盘货信息!$B:$B&amp;盘货信息!$C:$C,盘货信息!$D:$D))</f>
        <v/>
      </c>
      <c r="G485" s="18" t="str">
        <f>IF(C485="","","【"&amp;"活动时间："&amp;固定信息!$B$3&amp;"】")</f>
        <v/>
      </c>
      <c r="H485" s="18" t="str">
        <f>IF($C485="","",固定信息!$B$1)</f>
        <v/>
      </c>
      <c r="I485" s="18"/>
      <c r="J485" s="18" t="str">
        <f t="array" ref="J485">_xlfn.XLOOKUP(A485&amp;B485&amp;C485,价格信息!$A:$A&amp;价格信息!$B:$B&amp;价格信息!$C:$C,价格信息!$D:$D)</f>
        <v/>
      </c>
      <c r="K485" s="31" t="str">
        <f t="array" ref="K485">IF(_xlfn.XLOOKUP(A485&amp;B485&amp;C485,价格信息!$A:$A&amp;价格信息!$B:$B&amp;价格信息!$C:$C,价格信息!$I:$I)="","","【优惠券链接】"&amp;固定信息!$B$6)</f>
        <v/>
      </c>
      <c r="L485" s="31" t="str">
        <f>IF($C485="","",固定信息!$B$1)</f>
        <v/>
      </c>
      <c r="M485" s="18" t="str">
        <f t="array" ref="M485">IF(_xlfn.XLOOKUP(A485&amp;B485&amp;C485,盘货信息!$A:$A&amp;盘货信息!$B:$B&amp;盘货信息!$C:$C,盘货信息!$O:$O)="","","【优惠券】领"&amp;INDEX(_wpsfn.REGEXP(_xlfn.XLOOKUP(A485&amp;B485&amp;C485,盘货信息!$A:$A&amp;盘货信息!$B:$B&amp;盘货信息!$C:$C,盘货信息!$O:$O),"\d+"),1,1)&amp;"元优惠券下单更优惠，优惠卷："&amp;_xlfn.XLOOKUP(A485&amp;B485&amp;C485,盘货信息!$A:$A&amp;盘货信息!$B:$B&amp;盘货信息!$C:$C,盘货信息!$P:$P))</f>
        <v/>
      </c>
      <c r="N485" s="18" t="str">
        <f t="array" ref="N485">IF(AND(ISNUMBER(_xlfn.XLOOKUP(A485&amp;B485&amp;C485,盘货信息!$A:$A&amp;盘货信息!$B:$B&amp;盘货信息!$C:$C,盘货信息!$I:$I)),_xlfn.XLOOKUP(A485&amp;B485&amp;C485,盘货信息!$A:$A&amp;盘货信息!$B:$B&amp;盘货信息!$C:$C,盘货信息!$I:$I)&gt;1),"【88VIP】立减"&amp;_xlfn.XLOOKUP(A485&amp;B485&amp;C485,盘货信息!$A:$A&amp;盘货信息!$B:$B&amp;盘货信息!$C:$C,盘货信息!$I:$I)&amp;"元","")</f>
        <v/>
      </c>
      <c r="O485" s="18" t="str">
        <f t="array" ref="O485">IF(_xlfn.XLOOKUP(A485&amp;B485&amp;C485,盘货信息!$A:$A&amp;盘货信息!$B:$B&amp;盘货信息!$C:$C,盘货信息!$K:$K)="","",IF(AND(_xlfn.XLOOKUP(A485&amp;B485&amp;C485,盘货信息!$A:$A&amp;盘货信息!$B:$B&amp;盘货信息!$C:$C,盘货信息!$G:$G)="不参加",_xlfn.XLOOKUP(A485&amp;B485&amp;C485,盘货信息!$A:$A&amp;盘货信息!$B:$B&amp;盘货信息!$C:$C,盘货信息!$H:$H)=""),"【以旧换新】"&amp;_xlfn.XLOOKUP(A485&amp;B485&amp;C485,盘货信息!$A:$A&amp;盘货信息!$B:$B&amp;盘货信息!$C:$C,盘货信息!$K:$K)&amp;"元以旧换新补贴（可无旧机换新）",""))</f>
        <v/>
      </c>
      <c r="P485" s="18" t="str">
        <f t="array" ref="P485">_xlfn.XLOOKUP(A485&amp;B485&amp;C485,赠品!$A:$A&amp;赠品!$B:$B&amp;赠品!$C:$C,赠品!$D:$D)</f>
        <v/>
      </c>
      <c r="Q485" s="18" t="str">
        <f>IF($C485="","",IF(AND(M485="",N485="",P485=""),"",固定信息!$B$1))</f>
        <v/>
      </c>
      <c r="R485" s="18" t="str">
        <f t="array" ref="R485">IF(ISNUMBER(SEARCH("是",_xlfn.XLOOKUP(A485&amp;B485&amp;C485,盘货信息!$A:$A&amp;盘货信息!$B:$B&amp;盘货信息!$C:$C,盘货信息!$U:$U))),"【折扣】指定型号满2类享96折，满3类享94折","")</f>
        <v/>
      </c>
      <c r="S485" s="18" t="str">
        <f t="array" ref="S485">IF(_xlfn.XLOOKUP(A485&amp;B485&amp;C485,盘货信息!$A:$A&amp;盘货信息!$B:$B&amp;盘货信息!$C:$C,盘货信息!$Q:$Q)&lt;1,"","【红包】活动时间购机送"&amp;_xlfn.TEXTJOIN("",,IF(ISNUMBER(--MID(_xlfn.XLOOKUP(A485&amp;B485&amp;C485,盘货信息!$A:$A&amp;盘货信息!$B:$B&amp;盘货信息!$C:$C,盘货信息!$Q:$Q),_xlfn.SEQUENCE(LEN(_xlfn.XLOOKUP(A485&amp;B485&amp;C485,盘货信息!$A:$A&amp;盘货信息!$B:$B&amp;盘货信息!$C:$C,盘货信息!$Q:$Q))),1)),MID(_xlfn.XLOOKUP(A485&amp;B485&amp;C485,盘货信息!$A:$A&amp;盘货信息!$B:$B&amp;盘货信息!$C:$C,盘货信息!$Q:$Q),_xlfn.SEQUENCE(LEN(_xlfn.XLOOKUP(A485&amp;B485&amp;C485,盘货信息!$A:$A&amp;盘货信息!$B:$B&amp;盘货信息!$C:$C,盘货信息!$Q:$Q))),1),""))&amp;"元")</f>
        <v/>
      </c>
      <c r="T485" s="18" t="str">
        <f t="array" ref="T485">IF(ISNUMBER(SEARCH("是",_xlfn.XLOOKUP(A485&amp;B485&amp;C485,盘货信息!$A:$A&amp;盘货信息!$B:$B&amp;盘货信息!$C:$C,盘货信息!$T:$T))),"【瓜分】"&amp;固定信息!$B$7,"")</f>
        <v/>
      </c>
      <c r="U485" s="18" t="str">
        <f>IF($C485="","",IF(AND(R485="",S485="",T485=""),"",固定信息!$B$1))</f>
        <v/>
      </c>
      <c r="V485" s="18" t="str">
        <f t="array" ref="V485">IF(C485="","","【服务】"&amp;IF(_xlfn.XLOOKUP(A485&amp;B485&amp;C485,盘货信息!$A:$A&amp;盘货信息!$B:$B&amp;盘货信息!$C:$C,盘货信息!$V:$V)="","",_xlfn.XLOOKUP(A485&amp;B485&amp;C485,盘货信息!$A:$A&amp;盘货信息!$B:$B&amp;盘货信息!$C:$C,盘货信息!$V:$V)&amp;"免息,")&amp;IF(_xlfn.XLOOKUP(A485&amp;B485&amp;C485,盘货信息!$A:$A&amp;盘货信息!$B:$B&amp;盘货信息!$C:$C,盘货信息!$W:$W)="","",_xlfn.XLOOKUP(A485&amp;B485&amp;C485,盘货信息!$A:$A&amp;盘货信息!$B:$B&amp;盘货信息!$C:$C,盘货信息!$W:$W)&amp;"，")&amp;"送货入户，退换免运费")</f>
        <v/>
      </c>
    </row>
    <row r="486" customHeight="1" spans="1:22">
      <c r="A486" s="17" t="str">
        <f>IF(盘货信息!A486="","",盘货信息!A486)</f>
        <v/>
      </c>
      <c r="B486" s="20" t="str">
        <f>IF(盘货信息!B486="","",盘货信息!B486)</f>
        <v/>
      </c>
      <c r="C486" s="18" t="str">
        <f>IF(盘货信息!C486="","",盘货信息!C486)</f>
        <v/>
      </c>
      <c r="D486" s="18" t="str">
        <f ca="1" t="shared" si="7"/>
        <v/>
      </c>
      <c r="E486" s="18" t="str">
        <f>IF(C486="","",固定信息!$B$2)</f>
        <v/>
      </c>
      <c r="F486" s="18" t="str">
        <f t="array" ref="F486">IF(C486="","","【"&amp;C486&amp;"】"&amp;_xlfn.XLOOKUP(A486&amp;B486&amp;C486,盘货信息!$A:$A&amp;盘货信息!$B:$B&amp;盘货信息!$C:$C,盘货信息!$D:$D))</f>
        <v/>
      </c>
      <c r="G486" s="18" t="str">
        <f>IF(C486="","","【"&amp;"活动时间："&amp;固定信息!$B$3&amp;"】")</f>
        <v/>
      </c>
      <c r="H486" s="18" t="str">
        <f>IF($C486="","",固定信息!$B$1)</f>
        <v/>
      </c>
      <c r="I486" s="18"/>
      <c r="J486" s="18" t="str">
        <f t="array" ref="J486">_xlfn.XLOOKUP(A486&amp;B486&amp;C486,价格信息!$A:$A&amp;价格信息!$B:$B&amp;价格信息!$C:$C,价格信息!$D:$D)</f>
        <v/>
      </c>
      <c r="K486" s="31" t="str">
        <f t="array" ref="K486">IF(_xlfn.XLOOKUP(A486&amp;B486&amp;C486,价格信息!$A:$A&amp;价格信息!$B:$B&amp;价格信息!$C:$C,价格信息!$I:$I)="","","【优惠券链接】"&amp;固定信息!$B$6)</f>
        <v/>
      </c>
      <c r="L486" s="31" t="str">
        <f>IF($C486="","",固定信息!$B$1)</f>
        <v/>
      </c>
      <c r="M486" s="18" t="str">
        <f t="array" ref="M486">IF(_xlfn.XLOOKUP(A486&amp;B486&amp;C486,盘货信息!$A:$A&amp;盘货信息!$B:$B&amp;盘货信息!$C:$C,盘货信息!$O:$O)="","","【优惠券】领"&amp;INDEX(_wpsfn.REGEXP(_xlfn.XLOOKUP(A486&amp;B486&amp;C486,盘货信息!$A:$A&amp;盘货信息!$B:$B&amp;盘货信息!$C:$C,盘货信息!$O:$O),"\d+"),1,1)&amp;"元优惠券下单更优惠，优惠卷："&amp;_xlfn.XLOOKUP(A486&amp;B486&amp;C486,盘货信息!$A:$A&amp;盘货信息!$B:$B&amp;盘货信息!$C:$C,盘货信息!$P:$P))</f>
        <v/>
      </c>
      <c r="N486" s="18" t="str">
        <f t="array" ref="N486">IF(AND(ISNUMBER(_xlfn.XLOOKUP(A486&amp;B486&amp;C486,盘货信息!$A:$A&amp;盘货信息!$B:$B&amp;盘货信息!$C:$C,盘货信息!$I:$I)),_xlfn.XLOOKUP(A486&amp;B486&amp;C486,盘货信息!$A:$A&amp;盘货信息!$B:$B&amp;盘货信息!$C:$C,盘货信息!$I:$I)&gt;1),"【88VIP】立减"&amp;_xlfn.XLOOKUP(A486&amp;B486&amp;C486,盘货信息!$A:$A&amp;盘货信息!$B:$B&amp;盘货信息!$C:$C,盘货信息!$I:$I)&amp;"元","")</f>
        <v/>
      </c>
      <c r="O486" s="18" t="str">
        <f t="array" ref="O486">IF(_xlfn.XLOOKUP(A486&amp;B486&amp;C486,盘货信息!$A:$A&amp;盘货信息!$B:$B&amp;盘货信息!$C:$C,盘货信息!$K:$K)="","",IF(AND(_xlfn.XLOOKUP(A486&amp;B486&amp;C486,盘货信息!$A:$A&amp;盘货信息!$B:$B&amp;盘货信息!$C:$C,盘货信息!$G:$G)="不参加",_xlfn.XLOOKUP(A486&amp;B486&amp;C486,盘货信息!$A:$A&amp;盘货信息!$B:$B&amp;盘货信息!$C:$C,盘货信息!$H:$H)=""),"【以旧换新】"&amp;_xlfn.XLOOKUP(A486&amp;B486&amp;C486,盘货信息!$A:$A&amp;盘货信息!$B:$B&amp;盘货信息!$C:$C,盘货信息!$K:$K)&amp;"元以旧换新补贴（可无旧机换新）",""))</f>
        <v/>
      </c>
      <c r="P486" s="18" t="str">
        <f t="array" ref="P486">_xlfn.XLOOKUP(A486&amp;B486&amp;C486,赠品!$A:$A&amp;赠品!$B:$B&amp;赠品!$C:$C,赠品!$D:$D)</f>
        <v/>
      </c>
      <c r="Q486" s="18" t="str">
        <f>IF($C486="","",IF(AND(M486="",N486="",P486=""),"",固定信息!$B$1))</f>
        <v/>
      </c>
      <c r="R486" s="18" t="str">
        <f t="array" ref="R486">IF(ISNUMBER(SEARCH("是",_xlfn.XLOOKUP(A486&amp;B486&amp;C486,盘货信息!$A:$A&amp;盘货信息!$B:$B&amp;盘货信息!$C:$C,盘货信息!$U:$U))),"【折扣】指定型号满2类享96折，满3类享94折","")</f>
        <v/>
      </c>
      <c r="S486" s="18" t="str">
        <f t="array" ref="S486">IF(_xlfn.XLOOKUP(A486&amp;B486&amp;C486,盘货信息!$A:$A&amp;盘货信息!$B:$B&amp;盘货信息!$C:$C,盘货信息!$Q:$Q)&lt;1,"","【红包】活动时间购机送"&amp;_xlfn.TEXTJOIN("",,IF(ISNUMBER(--MID(_xlfn.XLOOKUP(A486&amp;B486&amp;C486,盘货信息!$A:$A&amp;盘货信息!$B:$B&amp;盘货信息!$C:$C,盘货信息!$Q:$Q),_xlfn.SEQUENCE(LEN(_xlfn.XLOOKUP(A486&amp;B486&amp;C486,盘货信息!$A:$A&amp;盘货信息!$B:$B&amp;盘货信息!$C:$C,盘货信息!$Q:$Q))),1)),MID(_xlfn.XLOOKUP(A486&amp;B486&amp;C486,盘货信息!$A:$A&amp;盘货信息!$B:$B&amp;盘货信息!$C:$C,盘货信息!$Q:$Q),_xlfn.SEQUENCE(LEN(_xlfn.XLOOKUP(A486&amp;B486&amp;C486,盘货信息!$A:$A&amp;盘货信息!$B:$B&amp;盘货信息!$C:$C,盘货信息!$Q:$Q))),1),""))&amp;"元")</f>
        <v/>
      </c>
      <c r="T486" s="18" t="str">
        <f t="array" ref="T486">IF(ISNUMBER(SEARCH("是",_xlfn.XLOOKUP(A486&amp;B486&amp;C486,盘货信息!$A:$A&amp;盘货信息!$B:$B&amp;盘货信息!$C:$C,盘货信息!$T:$T))),"【瓜分】"&amp;固定信息!$B$7,"")</f>
        <v/>
      </c>
      <c r="U486" s="18" t="str">
        <f>IF($C486="","",IF(AND(R486="",S486="",T486=""),"",固定信息!$B$1))</f>
        <v/>
      </c>
      <c r="V486" s="18" t="str">
        <f t="array" ref="V486">IF(C486="","","【服务】"&amp;IF(_xlfn.XLOOKUP(A486&amp;B486&amp;C486,盘货信息!$A:$A&amp;盘货信息!$B:$B&amp;盘货信息!$C:$C,盘货信息!$V:$V)="","",_xlfn.XLOOKUP(A486&amp;B486&amp;C486,盘货信息!$A:$A&amp;盘货信息!$B:$B&amp;盘货信息!$C:$C,盘货信息!$V:$V)&amp;"免息,")&amp;IF(_xlfn.XLOOKUP(A486&amp;B486&amp;C486,盘货信息!$A:$A&amp;盘货信息!$B:$B&amp;盘货信息!$C:$C,盘货信息!$W:$W)="","",_xlfn.XLOOKUP(A486&amp;B486&amp;C486,盘货信息!$A:$A&amp;盘货信息!$B:$B&amp;盘货信息!$C:$C,盘货信息!$W:$W)&amp;"，")&amp;"送货入户，退换免运费")</f>
        <v/>
      </c>
    </row>
    <row r="487" customHeight="1" spans="1:22">
      <c r="A487" s="17" t="str">
        <f>IF(盘货信息!A487="","",盘货信息!A487)</f>
        <v/>
      </c>
      <c r="B487" s="20" t="str">
        <f>IF(盘货信息!B487="","",盘货信息!B487)</f>
        <v/>
      </c>
      <c r="C487" s="18" t="str">
        <f>IF(盘货信息!C487="","",盘货信息!C487)</f>
        <v/>
      </c>
      <c r="D487" s="18" t="str">
        <f ca="1" t="shared" si="7"/>
        <v/>
      </c>
      <c r="E487" s="18" t="str">
        <f>IF(C487="","",固定信息!$B$2)</f>
        <v/>
      </c>
      <c r="F487" s="18" t="str">
        <f t="array" ref="F487">IF(C487="","","【"&amp;C487&amp;"】"&amp;_xlfn.XLOOKUP(A487&amp;B487&amp;C487,盘货信息!$A:$A&amp;盘货信息!$B:$B&amp;盘货信息!$C:$C,盘货信息!$D:$D))</f>
        <v/>
      </c>
      <c r="G487" s="18" t="str">
        <f>IF(C487="","","【"&amp;"活动时间："&amp;固定信息!$B$3&amp;"】")</f>
        <v/>
      </c>
      <c r="H487" s="18" t="str">
        <f>IF($C487="","",固定信息!$B$1)</f>
        <v/>
      </c>
      <c r="I487" s="18"/>
      <c r="J487" s="18" t="str">
        <f t="array" ref="J487">_xlfn.XLOOKUP(A487&amp;B487&amp;C487,价格信息!$A:$A&amp;价格信息!$B:$B&amp;价格信息!$C:$C,价格信息!$D:$D)</f>
        <v/>
      </c>
      <c r="K487" s="31" t="str">
        <f t="array" ref="K487">IF(_xlfn.XLOOKUP(A487&amp;B487&amp;C487,价格信息!$A:$A&amp;价格信息!$B:$B&amp;价格信息!$C:$C,价格信息!$I:$I)="","","【优惠券链接】"&amp;固定信息!$B$6)</f>
        <v/>
      </c>
      <c r="L487" s="31" t="str">
        <f>IF($C487="","",固定信息!$B$1)</f>
        <v/>
      </c>
      <c r="M487" s="18" t="str">
        <f t="array" ref="M487">IF(_xlfn.XLOOKUP(A487&amp;B487&amp;C487,盘货信息!$A:$A&amp;盘货信息!$B:$B&amp;盘货信息!$C:$C,盘货信息!$O:$O)="","","【优惠券】领"&amp;INDEX(_wpsfn.REGEXP(_xlfn.XLOOKUP(A487&amp;B487&amp;C487,盘货信息!$A:$A&amp;盘货信息!$B:$B&amp;盘货信息!$C:$C,盘货信息!$O:$O),"\d+"),1,1)&amp;"元优惠券下单更优惠，优惠卷："&amp;_xlfn.XLOOKUP(A487&amp;B487&amp;C487,盘货信息!$A:$A&amp;盘货信息!$B:$B&amp;盘货信息!$C:$C,盘货信息!$P:$P))</f>
        <v/>
      </c>
      <c r="N487" s="18" t="str">
        <f t="array" ref="N487">IF(AND(ISNUMBER(_xlfn.XLOOKUP(A487&amp;B487&amp;C487,盘货信息!$A:$A&amp;盘货信息!$B:$B&amp;盘货信息!$C:$C,盘货信息!$I:$I)),_xlfn.XLOOKUP(A487&amp;B487&amp;C487,盘货信息!$A:$A&amp;盘货信息!$B:$B&amp;盘货信息!$C:$C,盘货信息!$I:$I)&gt;1),"【88VIP】立减"&amp;_xlfn.XLOOKUP(A487&amp;B487&amp;C487,盘货信息!$A:$A&amp;盘货信息!$B:$B&amp;盘货信息!$C:$C,盘货信息!$I:$I)&amp;"元","")</f>
        <v/>
      </c>
      <c r="O487" s="18" t="str">
        <f t="array" ref="O487">IF(_xlfn.XLOOKUP(A487&amp;B487&amp;C487,盘货信息!$A:$A&amp;盘货信息!$B:$B&amp;盘货信息!$C:$C,盘货信息!$K:$K)="","",IF(AND(_xlfn.XLOOKUP(A487&amp;B487&amp;C487,盘货信息!$A:$A&amp;盘货信息!$B:$B&amp;盘货信息!$C:$C,盘货信息!$G:$G)="不参加",_xlfn.XLOOKUP(A487&amp;B487&amp;C487,盘货信息!$A:$A&amp;盘货信息!$B:$B&amp;盘货信息!$C:$C,盘货信息!$H:$H)=""),"【以旧换新】"&amp;_xlfn.XLOOKUP(A487&amp;B487&amp;C487,盘货信息!$A:$A&amp;盘货信息!$B:$B&amp;盘货信息!$C:$C,盘货信息!$K:$K)&amp;"元以旧换新补贴（可无旧机换新）",""))</f>
        <v/>
      </c>
      <c r="P487" s="18" t="str">
        <f t="array" ref="P487">_xlfn.XLOOKUP(A487&amp;B487&amp;C487,赠品!$A:$A&amp;赠品!$B:$B&amp;赠品!$C:$C,赠品!$D:$D)</f>
        <v/>
      </c>
      <c r="Q487" s="18" t="str">
        <f>IF($C487="","",IF(AND(M487="",N487="",P487=""),"",固定信息!$B$1))</f>
        <v/>
      </c>
      <c r="R487" s="18" t="str">
        <f t="array" ref="R487">IF(ISNUMBER(SEARCH("是",_xlfn.XLOOKUP(A487&amp;B487&amp;C487,盘货信息!$A:$A&amp;盘货信息!$B:$B&amp;盘货信息!$C:$C,盘货信息!$U:$U))),"【折扣】指定型号满2类享96折，满3类享94折","")</f>
        <v/>
      </c>
      <c r="S487" s="18" t="str">
        <f t="array" ref="S487">IF(_xlfn.XLOOKUP(A487&amp;B487&amp;C487,盘货信息!$A:$A&amp;盘货信息!$B:$B&amp;盘货信息!$C:$C,盘货信息!$Q:$Q)&lt;1,"","【红包】活动时间购机送"&amp;_xlfn.TEXTJOIN("",,IF(ISNUMBER(--MID(_xlfn.XLOOKUP(A487&amp;B487&amp;C487,盘货信息!$A:$A&amp;盘货信息!$B:$B&amp;盘货信息!$C:$C,盘货信息!$Q:$Q),_xlfn.SEQUENCE(LEN(_xlfn.XLOOKUP(A487&amp;B487&amp;C487,盘货信息!$A:$A&amp;盘货信息!$B:$B&amp;盘货信息!$C:$C,盘货信息!$Q:$Q))),1)),MID(_xlfn.XLOOKUP(A487&amp;B487&amp;C487,盘货信息!$A:$A&amp;盘货信息!$B:$B&amp;盘货信息!$C:$C,盘货信息!$Q:$Q),_xlfn.SEQUENCE(LEN(_xlfn.XLOOKUP(A487&amp;B487&amp;C487,盘货信息!$A:$A&amp;盘货信息!$B:$B&amp;盘货信息!$C:$C,盘货信息!$Q:$Q))),1),""))&amp;"元")</f>
        <v/>
      </c>
      <c r="T487" s="18" t="str">
        <f t="array" ref="T487">IF(ISNUMBER(SEARCH("是",_xlfn.XLOOKUP(A487&amp;B487&amp;C487,盘货信息!$A:$A&amp;盘货信息!$B:$B&amp;盘货信息!$C:$C,盘货信息!$T:$T))),"【瓜分】"&amp;固定信息!$B$7,"")</f>
        <v/>
      </c>
      <c r="U487" s="18" t="str">
        <f>IF($C487="","",IF(AND(R487="",S487="",T487=""),"",固定信息!$B$1))</f>
        <v/>
      </c>
      <c r="V487" s="18" t="str">
        <f t="array" ref="V487">IF(C487="","","【服务】"&amp;IF(_xlfn.XLOOKUP(A487&amp;B487&amp;C487,盘货信息!$A:$A&amp;盘货信息!$B:$B&amp;盘货信息!$C:$C,盘货信息!$V:$V)="","",_xlfn.XLOOKUP(A487&amp;B487&amp;C487,盘货信息!$A:$A&amp;盘货信息!$B:$B&amp;盘货信息!$C:$C,盘货信息!$V:$V)&amp;"免息,")&amp;IF(_xlfn.XLOOKUP(A487&amp;B487&amp;C487,盘货信息!$A:$A&amp;盘货信息!$B:$B&amp;盘货信息!$C:$C,盘货信息!$W:$W)="","",_xlfn.XLOOKUP(A487&amp;B487&amp;C487,盘货信息!$A:$A&amp;盘货信息!$B:$B&amp;盘货信息!$C:$C,盘货信息!$W:$W)&amp;"，")&amp;"送货入户，退换免运费")</f>
        <v/>
      </c>
    </row>
    <row r="488" customHeight="1" spans="1:22">
      <c r="A488" s="17" t="str">
        <f>IF(盘货信息!A488="","",盘货信息!A488)</f>
        <v/>
      </c>
      <c r="B488" s="20" t="str">
        <f>IF(盘货信息!B488="","",盘货信息!B488)</f>
        <v/>
      </c>
      <c r="C488" s="18" t="str">
        <f>IF(盘货信息!C488="","",盘货信息!C488)</f>
        <v/>
      </c>
      <c r="D488" s="18" t="str">
        <f ca="1" t="shared" si="7"/>
        <v/>
      </c>
      <c r="E488" s="18" t="str">
        <f>IF(C488="","",固定信息!$B$2)</f>
        <v/>
      </c>
      <c r="F488" s="18" t="str">
        <f t="array" ref="F488">IF(C488="","","【"&amp;C488&amp;"】"&amp;_xlfn.XLOOKUP(A488&amp;B488&amp;C488,盘货信息!$A:$A&amp;盘货信息!$B:$B&amp;盘货信息!$C:$C,盘货信息!$D:$D))</f>
        <v/>
      </c>
      <c r="G488" s="18" t="str">
        <f>IF(C488="","","【"&amp;"活动时间："&amp;固定信息!$B$3&amp;"】")</f>
        <v/>
      </c>
      <c r="H488" s="18" t="str">
        <f>IF($C488="","",固定信息!$B$1)</f>
        <v/>
      </c>
      <c r="I488" s="18"/>
      <c r="J488" s="18" t="str">
        <f t="array" ref="J488">_xlfn.XLOOKUP(A488&amp;B488&amp;C488,价格信息!$A:$A&amp;价格信息!$B:$B&amp;价格信息!$C:$C,价格信息!$D:$D)</f>
        <v/>
      </c>
      <c r="K488" s="31" t="str">
        <f t="array" ref="K488">IF(_xlfn.XLOOKUP(A488&amp;B488&amp;C488,价格信息!$A:$A&amp;价格信息!$B:$B&amp;价格信息!$C:$C,价格信息!$I:$I)="","","【优惠券链接】"&amp;固定信息!$B$6)</f>
        <v/>
      </c>
      <c r="L488" s="31" t="str">
        <f>IF($C488="","",固定信息!$B$1)</f>
        <v/>
      </c>
      <c r="M488" s="18" t="str">
        <f t="array" ref="M488">IF(_xlfn.XLOOKUP(A488&amp;B488&amp;C488,盘货信息!$A:$A&amp;盘货信息!$B:$B&amp;盘货信息!$C:$C,盘货信息!$O:$O)="","","【优惠券】领"&amp;INDEX(_wpsfn.REGEXP(_xlfn.XLOOKUP(A488&amp;B488&amp;C488,盘货信息!$A:$A&amp;盘货信息!$B:$B&amp;盘货信息!$C:$C,盘货信息!$O:$O),"\d+"),1,1)&amp;"元优惠券下单更优惠，优惠卷："&amp;_xlfn.XLOOKUP(A488&amp;B488&amp;C488,盘货信息!$A:$A&amp;盘货信息!$B:$B&amp;盘货信息!$C:$C,盘货信息!$P:$P))</f>
        <v/>
      </c>
      <c r="N488" s="18" t="str">
        <f t="array" ref="N488">IF(AND(ISNUMBER(_xlfn.XLOOKUP(A488&amp;B488&amp;C488,盘货信息!$A:$A&amp;盘货信息!$B:$B&amp;盘货信息!$C:$C,盘货信息!$I:$I)),_xlfn.XLOOKUP(A488&amp;B488&amp;C488,盘货信息!$A:$A&amp;盘货信息!$B:$B&amp;盘货信息!$C:$C,盘货信息!$I:$I)&gt;1),"【88VIP】立减"&amp;_xlfn.XLOOKUP(A488&amp;B488&amp;C488,盘货信息!$A:$A&amp;盘货信息!$B:$B&amp;盘货信息!$C:$C,盘货信息!$I:$I)&amp;"元","")</f>
        <v/>
      </c>
      <c r="O488" s="18" t="str">
        <f t="array" ref="O488">IF(_xlfn.XLOOKUP(A488&amp;B488&amp;C488,盘货信息!$A:$A&amp;盘货信息!$B:$B&amp;盘货信息!$C:$C,盘货信息!$K:$K)="","",IF(AND(_xlfn.XLOOKUP(A488&amp;B488&amp;C488,盘货信息!$A:$A&amp;盘货信息!$B:$B&amp;盘货信息!$C:$C,盘货信息!$G:$G)="不参加",_xlfn.XLOOKUP(A488&amp;B488&amp;C488,盘货信息!$A:$A&amp;盘货信息!$B:$B&amp;盘货信息!$C:$C,盘货信息!$H:$H)=""),"【以旧换新】"&amp;_xlfn.XLOOKUP(A488&amp;B488&amp;C488,盘货信息!$A:$A&amp;盘货信息!$B:$B&amp;盘货信息!$C:$C,盘货信息!$K:$K)&amp;"元以旧换新补贴（可无旧机换新）",""))</f>
        <v/>
      </c>
      <c r="P488" s="18" t="str">
        <f t="array" ref="P488">_xlfn.XLOOKUP(A488&amp;B488&amp;C488,赠品!$A:$A&amp;赠品!$B:$B&amp;赠品!$C:$C,赠品!$D:$D)</f>
        <v/>
      </c>
      <c r="Q488" s="18" t="str">
        <f>IF($C488="","",IF(AND(M488="",N488="",P488=""),"",固定信息!$B$1))</f>
        <v/>
      </c>
      <c r="R488" s="18" t="str">
        <f t="array" ref="R488">IF(ISNUMBER(SEARCH("是",_xlfn.XLOOKUP(A488&amp;B488&amp;C488,盘货信息!$A:$A&amp;盘货信息!$B:$B&amp;盘货信息!$C:$C,盘货信息!$U:$U))),"【折扣】指定型号满2类享96折，满3类享94折","")</f>
        <v/>
      </c>
      <c r="S488" s="18" t="str">
        <f t="array" ref="S488">IF(_xlfn.XLOOKUP(A488&amp;B488&amp;C488,盘货信息!$A:$A&amp;盘货信息!$B:$B&amp;盘货信息!$C:$C,盘货信息!$Q:$Q)&lt;1,"","【红包】活动时间购机送"&amp;_xlfn.TEXTJOIN("",,IF(ISNUMBER(--MID(_xlfn.XLOOKUP(A488&amp;B488&amp;C488,盘货信息!$A:$A&amp;盘货信息!$B:$B&amp;盘货信息!$C:$C,盘货信息!$Q:$Q),_xlfn.SEQUENCE(LEN(_xlfn.XLOOKUP(A488&amp;B488&amp;C488,盘货信息!$A:$A&amp;盘货信息!$B:$B&amp;盘货信息!$C:$C,盘货信息!$Q:$Q))),1)),MID(_xlfn.XLOOKUP(A488&amp;B488&amp;C488,盘货信息!$A:$A&amp;盘货信息!$B:$B&amp;盘货信息!$C:$C,盘货信息!$Q:$Q),_xlfn.SEQUENCE(LEN(_xlfn.XLOOKUP(A488&amp;B488&amp;C488,盘货信息!$A:$A&amp;盘货信息!$B:$B&amp;盘货信息!$C:$C,盘货信息!$Q:$Q))),1),""))&amp;"元")</f>
        <v/>
      </c>
      <c r="T488" s="18" t="str">
        <f t="array" ref="T488">IF(ISNUMBER(SEARCH("是",_xlfn.XLOOKUP(A488&amp;B488&amp;C488,盘货信息!$A:$A&amp;盘货信息!$B:$B&amp;盘货信息!$C:$C,盘货信息!$T:$T))),"【瓜分】"&amp;固定信息!$B$7,"")</f>
        <v/>
      </c>
      <c r="U488" s="18" t="str">
        <f>IF($C488="","",IF(AND(R488="",S488="",T488=""),"",固定信息!$B$1))</f>
        <v/>
      </c>
      <c r="V488" s="18" t="str">
        <f t="array" ref="V488">IF(C488="","","【服务】"&amp;IF(_xlfn.XLOOKUP(A488&amp;B488&amp;C488,盘货信息!$A:$A&amp;盘货信息!$B:$B&amp;盘货信息!$C:$C,盘货信息!$V:$V)="","",_xlfn.XLOOKUP(A488&amp;B488&amp;C488,盘货信息!$A:$A&amp;盘货信息!$B:$B&amp;盘货信息!$C:$C,盘货信息!$V:$V)&amp;"免息,")&amp;IF(_xlfn.XLOOKUP(A488&amp;B488&amp;C488,盘货信息!$A:$A&amp;盘货信息!$B:$B&amp;盘货信息!$C:$C,盘货信息!$W:$W)="","",_xlfn.XLOOKUP(A488&amp;B488&amp;C488,盘货信息!$A:$A&amp;盘货信息!$B:$B&amp;盘货信息!$C:$C,盘货信息!$W:$W)&amp;"，")&amp;"送货入户，退换免运费")</f>
        <v/>
      </c>
    </row>
    <row r="489" customHeight="1" spans="1:22">
      <c r="A489" s="17" t="str">
        <f>IF(盘货信息!A489="","",盘货信息!A489)</f>
        <v/>
      </c>
      <c r="B489" s="20" t="str">
        <f>IF(盘货信息!B489="","",盘货信息!B489)</f>
        <v/>
      </c>
      <c r="C489" s="18" t="str">
        <f>IF(盘货信息!C489="","",盘货信息!C489)</f>
        <v/>
      </c>
      <c r="D489" s="18" t="str">
        <f ca="1" t="shared" si="7"/>
        <v/>
      </c>
      <c r="E489" s="18" t="str">
        <f>IF(C489="","",固定信息!$B$2)</f>
        <v/>
      </c>
      <c r="F489" s="18" t="str">
        <f t="array" ref="F489">IF(C489="","","【"&amp;C489&amp;"】"&amp;_xlfn.XLOOKUP(A489&amp;B489&amp;C489,盘货信息!$A:$A&amp;盘货信息!$B:$B&amp;盘货信息!$C:$C,盘货信息!$D:$D))</f>
        <v/>
      </c>
      <c r="G489" s="18" t="str">
        <f>IF(C489="","","【"&amp;"活动时间："&amp;固定信息!$B$3&amp;"】")</f>
        <v/>
      </c>
      <c r="H489" s="18" t="str">
        <f>IF($C489="","",固定信息!$B$1)</f>
        <v/>
      </c>
      <c r="I489" s="18"/>
      <c r="J489" s="18" t="str">
        <f t="array" ref="J489">_xlfn.XLOOKUP(A489&amp;B489&amp;C489,价格信息!$A:$A&amp;价格信息!$B:$B&amp;价格信息!$C:$C,价格信息!$D:$D)</f>
        <v/>
      </c>
      <c r="K489" s="31" t="str">
        <f t="array" ref="K489">IF(_xlfn.XLOOKUP(A489&amp;B489&amp;C489,价格信息!$A:$A&amp;价格信息!$B:$B&amp;价格信息!$C:$C,价格信息!$I:$I)="","","【优惠券链接】"&amp;固定信息!$B$6)</f>
        <v/>
      </c>
      <c r="L489" s="31" t="str">
        <f>IF($C489="","",固定信息!$B$1)</f>
        <v/>
      </c>
      <c r="M489" s="18" t="str">
        <f t="array" ref="M489">IF(_xlfn.XLOOKUP(A489&amp;B489&amp;C489,盘货信息!$A:$A&amp;盘货信息!$B:$B&amp;盘货信息!$C:$C,盘货信息!$O:$O)="","","【优惠券】领"&amp;INDEX(_wpsfn.REGEXP(_xlfn.XLOOKUP(A489&amp;B489&amp;C489,盘货信息!$A:$A&amp;盘货信息!$B:$B&amp;盘货信息!$C:$C,盘货信息!$O:$O),"\d+"),1,1)&amp;"元优惠券下单更优惠，优惠卷："&amp;_xlfn.XLOOKUP(A489&amp;B489&amp;C489,盘货信息!$A:$A&amp;盘货信息!$B:$B&amp;盘货信息!$C:$C,盘货信息!$P:$P))</f>
        <v/>
      </c>
      <c r="N489" s="18" t="str">
        <f t="array" ref="N489">IF(AND(ISNUMBER(_xlfn.XLOOKUP(A489&amp;B489&amp;C489,盘货信息!$A:$A&amp;盘货信息!$B:$B&amp;盘货信息!$C:$C,盘货信息!$I:$I)),_xlfn.XLOOKUP(A489&amp;B489&amp;C489,盘货信息!$A:$A&amp;盘货信息!$B:$B&amp;盘货信息!$C:$C,盘货信息!$I:$I)&gt;1),"【88VIP】立减"&amp;_xlfn.XLOOKUP(A489&amp;B489&amp;C489,盘货信息!$A:$A&amp;盘货信息!$B:$B&amp;盘货信息!$C:$C,盘货信息!$I:$I)&amp;"元","")</f>
        <v/>
      </c>
      <c r="O489" s="18" t="str">
        <f t="array" ref="O489">IF(_xlfn.XLOOKUP(A489&amp;B489&amp;C489,盘货信息!$A:$A&amp;盘货信息!$B:$B&amp;盘货信息!$C:$C,盘货信息!$K:$K)="","",IF(AND(_xlfn.XLOOKUP(A489&amp;B489&amp;C489,盘货信息!$A:$A&amp;盘货信息!$B:$B&amp;盘货信息!$C:$C,盘货信息!$G:$G)="不参加",_xlfn.XLOOKUP(A489&amp;B489&amp;C489,盘货信息!$A:$A&amp;盘货信息!$B:$B&amp;盘货信息!$C:$C,盘货信息!$H:$H)=""),"【以旧换新】"&amp;_xlfn.XLOOKUP(A489&amp;B489&amp;C489,盘货信息!$A:$A&amp;盘货信息!$B:$B&amp;盘货信息!$C:$C,盘货信息!$K:$K)&amp;"元以旧换新补贴（可无旧机换新）",""))</f>
        <v/>
      </c>
      <c r="P489" s="18" t="str">
        <f t="array" ref="P489">_xlfn.XLOOKUP(A489&amp;B489&amp;C489,赠品!$A:$A&amp;赠品!$B:$B&amp;赠品!$C:$C,赠品!$D:$D)</f>
        <v/>
      </c>
      <c r="Q489" s="18" t="str">
        <f>IF($C489="","",IF(AND(M489="",N489="",P489=""),"",固定信息!$B$1))</f>
        <v/>
      </c>
      <c r="R489" s="18" t="str">
        <f t="array" ref="R489">IF(ISNUMBER(SEARCH("是",_xlfn.XLOOKUP(A489&amp;B489&amp;C489,盘货信息!$A:$A&amp;盘货信息!$B:$B&amp;盘货信息!$C:$C,盘货信息!$U:$U))),"【折扣】指定型号满2类享96折，满3类享94折","")</f>
        <v/>
      </c>
      <c r="S489" s="18" t="str">
        <f t="array" ref="S489">IF(_xlfn.XLOOKUP(A489&amp;B489&amp;C489,盘货信息!$A:$A&amp;盘货信息!$B:$B&amp;盘货信息!$C:$C,盘货信息!$Q:$Q)&lt;1,"","【红包】活动时间购机送"&amp;_xlfn.TEXTJOIN("",,IF(ISNUMBER(--MID(_xlfn.XLOOKUP(A489&amp;B489&amp;C489,盘货信息!$A:$A&amp;盘货信息!$B:$B&amp;盘货信息!$C:$C,盘货信息!$Q:$Q),_xlfn.SEQUENCE(LEN(_xlfn.XLOOKUP(A489&amp;B489&amp;C489,盘货信息!$A:$A&amp;盘货信息!$B:$B&amp;盘货信息!$C:$C,盘货信息!$Q:$Q))),1)),MID(_xlfn.XLOOKUP(A489&amp;B489&amp;C489,盘货信息!$A:$A&amp;盘货信息!$B:$B&amp;盘货信息!$C:$C,盘货信息!$Q:$Q),_xlfn.SEQUENCE(LEN(_xlfn.XLOOKUP(A489&amp;B489&amp;C489,盘货信息!$A:$A&amp;盘货信息!$B:$B&amp;盘货信息!$C:$C,盘货信息!$Q:$Q))),1),""))&amp;"元")</f>
        <v/>
      </c>
      <c r="T489" s="18" t="str">
        <f t="array" ref="T489">IF(ISNUMBER(SEARCH("是",_xlfn.XLOOKUP(A489&amp;B489&amp;C489,盘货信息!$A:$A&amp;盘货信息!$B:$B&amp;盘货信息!$C:$C,盘货信息!$T:$T))),"【瓜分】"&amp;固定信息!$B$7,"")</f>
        <v/>
      </c>
      <c r="U489" s="18" t="str">
        <f>IF($C489="","",IF(AND(R489="",S489="",T489=""),"",固定信息!$B$1))</f>
        <v/>
      </c>
      <c r="V489" s="18" t="str">
        <f t="array" ref="V489">IF(C489="","","【服务】"&amp;IF(_xlfn.XLOOKUP(A489&amp;B489&amp;C489,盘货信息!$A:$A&amp;盘货信息!$B:$B&amp;盘货信息!$C:$C,盘货信息!$V:$V)="","",_xlfn.XLOOKUP(A489&amp;B489&amp;C489,盘货信息!$A:$A&amp;盘货信息!$B:$B&amp;盘货信息!$C:$C,盘货信息!$V:$V)&amp;"免息,")&amp;IF(_xlfn.XLOOKUP(A489&amp;B489&amp;C489,盘货信息!$A:$A&amp;盘货信息!$B:$B&amp;盘货信息!$C:$C,盘货信息!$W:$W)="","",_xlfn.XLOOKUP(A489&amp;B489&amp;C489,盘货信息!$A:$A&amp;盘货信息!$B:$B&amp;盘货信息!$C:$C,盘货信息!$W:$W)&amp;"，")&amp;"送货入户，退换免运费")</f>
        <v/>
      </c>
    </row>
    <row r="490" customHeight="1" spans="1:22">
      <c r="A490" s="17" t="str">
        <f>IF(盘货信息!A490="","",盘货信息!A490)</f>
        <v/>
      </c>
      <c r="B490" s="20" t="str">
        <f>IF(盘货信息!B490="","",盘货信息!B490)</f>
        <v/>
      </c>
      <c r="C490" s="18" t="str">
        <f>IF(盘货信息!C490="","",盘货信息!C490)</f>
        <v/>
      </c>
      <c r="D490" s="18" t="str">
        <f ca="1" t="shared" si="7"/>
        <v/>
      </c>
      <c r="E490" s="18" t="str">
        <f>IF(C490="","",固定信息!$B$2)</f>
        <v/>
      </c>
      <c r="F490" s="18" t="str">
        <f t="array" ref="F490">IF(C490="","","【"&amp;C490&amp;"】"&amp;_xlfn.XLOOKUP(A490&amp;B490&amp;C490,盘货信息!$A:$A&amp;盘货信息!$B:$B&amp;盘货信息!$C:$C,盘货信息!$D:$D))</f>
        <v/>
      </c>
      <c r="G490" s="18" t="str">
        <f>IF(C490="","","【"&amp;"活动时间："&amp;固定信息!$B$3&amp;"】")</f>
        <v/>
      </c>
      <c r="H490" s="18" t="str">
        <f>IF($C490="","",固定信息!$B$1)</f>
        <v/>
      </c>
      <c r="I490" s="18"/>
      <c r="J490" s="18" t="str">
        <f t="array" ref="J490">_xlfn.XLOOKUP(A490&amp;B490&amp;C490,价格信息!$A:$A&amp;价格信息!$B:$B&amp;价格信息!$C:$C,价格信息!$D:$D)</f>
        <v/>
      </c>
      <c r="K490" s="31" t="str">
        <f t="array" ref="K490">IF(_xlfn.XLOOKUP(A490&amp;B490&amp;C490,价格信息!$A:$A&amp;价格信息!$B:$B&amp;价格信息!$C:$C,价格信息!$I:$I)="","","【优惠券链接】"&amp;固定信息!$B$6)</f>
        <v/>
      </c>
      <c r="L490" s="31" t="str">
        <f>IF($C490="","",固定信息!$B$1)</f>
        <v/>
      </c>
      <c r="M490" s="18" t="str">
        <f t="array" ref="M490">IF(_xlfn.XLOOKUP(A490&amp;B490&amp;C490,盘货信息!$A:$A&amp;盘货信息!$B:$B&amp;盘货信息!$C:$C,盘货信息!$O:$O)="","","【优惠券】领"&amp;INDEX(_wpsfn.REGEXP(_xlfn.XLOOKUP(A490&amp;B490&amp;C490,盘货信息!$A:$A&amp;盘货信息!$B:$B&amp;盘货信息!$C:$C,盘货信息!$O:$O),"\d+"),1,1)&amp;"元优惠券下单更优惠，优惠卷："&amp;_xlfn.XLOOKUP(A490&amp;B490&amp;C490,盘货信息!$A:$A&amp;盘货信息!$B:$B&amp;盘货信息!$C:$C,盘货信息!$P:$P))</f>
        <v/>
      </c>
      <c r="N490" s="18" t="str">
        <f t="array" ref="N490">IF(AND(ISNUMBER(_xlfn.XLOOKUP(A490&amp;B490&amp;C490,盘货信息!$A:$A&amp;盘货信息!$B:$B&amp;盘货信息!$C:$C,盘货信息!$I:$I)),_xlfn.XLOOKUP(A490&amp;B490&amp;C490,盘货信息!$A:$A&amp;盘货信息!$B:$B&amp;盘货信息!$C:$C,盘货信息!$I:$I)&gt;1),"【88VIP】立减"&amp;_xlfn.XLOOKUP(A490&amp;B490&amp;C490,盘货信息!$A:$A&amp;盘货信息!$B:$B&amp;盘货信息!$C:$C,盘货信息!$I:$I)&amp;"元","")</f>
        <v/>
      </c>
      <c r="O490" s="18" t="str">
        <f t="array" ref="O490">IF(_xlfn.XLOOKUP(A490&amp;B490&amp;C490,盘货信息!$A:$A&amp;盘货信息!$B:$B&amp;盘货信息!$C:$C,盘货信息!$K:$K)="","",IF(AND(_xlfn.XLOOKUP(A490&amp;B490&amp;C490,盘货信息!$A:$A&amp;盘货信息!$B:$B&amp;盘货信息!$C:$C,盘货信息!$G:$G)="不参加",_xlfn.XLOOKUP(A490&amp;B490&amp;C490,盘货信息!$A:$A&amp;盘货信息!$B:$B&amp;盘货信息!$C:$C,盘货信息!$H:$H)=""),"【以旧换新】"&amp;_xlfn.XLOOKUP(A490&amp;B490&amp;C490,盘货信息!$A:$A&amp;盘货信息!$B:$B&amp;盘货信息!$C:$C,盘货信息!$K:$K)&amp;"元以旧换新补贴（可无旧机换新）",""))</f>
        <v/>
      </c>
      <c r="P490" s="18" t="str">
        <f t="array" ref="P490">_xlfn.XLOOKUP(A490&amp;B490&amp;C490,赠品!$A:$A&amp;赠品!$B:$B&amp;赠品!$C:$C,赠品!$D:$D)</f>
        <v/>
      </c>
      <c r="Q490" s="18" t="str">
        <f>IF($C490="","",IF(AND(M490="",N490="",P490=""),"",固定信息!$B$1))</f>
        <v/>
      </c>
      <c r="R490" s="18" t="str">
        <f t="array" ref="R490">IF(ISNUMBER(SEARCH("是",_xlfn.XLOOKUP(A490&amp;B490&amp;C490,盘货信息!$A:$A&amp;盘货信息!$B:$B&amp;盘货信息!$C:$C,盘货信息!$U:$U))),"【折扣】指定型号满2类享96折，满3类享94折","")</f>
        <v/>
      </c>
      <c r="S490" s="18" t="str">
        <f t="array" ref="S490">IF(_xlfn.XLOOKUP(A490&amp;B490&amp;C490,盘货信息!$A:$A&amp;盘货信息!$B:$B&amp;盘货信息!$C:$C,盘货信息!$Q:$Q)&lt;1,"","【红包】活动时间购机送"&amp;_xlfn.TEXTJOIN("",,IF(ISNUMBER(--MID(_xlfn.XLOOKUP(A490&amp;B490&amp;C490,盘货信息!$A:$A&amp;盘货信息!$B:$B&amp;盘货信息!$C:$C,盘货信息!$Q:$Q),_xlfn.SEQUENCE(LEN(_xlfn.XLOOKUP(A490&amp;B490&amp;C490,盘货信息!$A:$A&amp;盘货信息!$B:$B&amp;盘货信息!$C:$C,盘货信息!$Q:$Q))),1)),MID(_xlfn.XLOOKUP(A490&amp;B490&amp;C490,盘货信息!$A:$A&amp;盘货信息!$B:$B&amp;盘货信息!$C:$C,盘货信息!$Q:$Q),_xlfn.SEQUENCE(LEN(_xlfn.XLOOKUP(A490&amp;B490&amp;C490,盘货信息!$A:$A&amp;盘货信息!$B:$B&amp;盘货信息!$C:$C,盘货信息!$Q:$Q))),1),""))&amp;"元")</f>
        <v/>
      </c>
      <c r="T490" s="18" t="str">
        <f t="array" ref="T490">IF(ISNUMBER(SEARCH("是",_xlfn.XLOOKUP(A490&amp;B490&amp;C490,盘货信息!$A:$A&amp;盘货信息!$B:$B&amp;盘货信息!$C:$C,盘货信息!$T:$T))),"【瓜分】"&amp;固定信息!$B$7,"")</f>
        <v/>
      </c>
      <c r="U490" s="18" t="str">
        <f>IF($C490="","",IF(AND(R490="",S490="",T490=""),"",固定信息!$B$1))</f>
        <v/>
      </c>
      <c r="V490" s="18" t="str">
        <f t="array" ref="V490">IF(C490="","","【服务】"&amp;IF(_xlfn.XLOOKUP(A490&amp;B490&amp;C490,盘货信息!$A:$A&amp;盘货信息!$B:$B&amp;盘货信息!$C:$C,盘货信息!$V:$V)="","",_xlfn.XLOOKUP(A490&amp;B490&amp;C490,盘货信息!$A:$A&amp;盘货信息!$B:$B&amp;盘货信息!$C:$C,盘货信息!$V:$V)&amp;"免息,")&amp;IF(_xlfn.XLOOKUP(A490&amp;B490&amp;C490,盘货信息!$A:$A&amp;盘货信息!$B:$B&amp;盘货信息!$C:$C,盘货信息!$W:$W)="","",_xlfn.XLOOKUP(A490&amp;B490&amp;C490,盘货信息!$A:$A&amp;盘货信息!$B:$B&amp;盘货信息!$C:$C,盘货信息!$W:$W)&amp;"，")&amp;"送货入户，退换免运费")</f>
        <v/>
      </c>
    </row>
    <row r="491" customHeight="1" spans="1:22">
      <c r="A491" s="17" t="str">
        <f>IF(盘货信息!A491="","",盘货信息!A491)</f>
        <v/>
      </c>
      <c r="B491" s="20" t="str">
        <f>IF(盘货信息!B491="","",盘货信息!B491)</f>
        <v/>
      </c>
      <c r="C491" s="18" t="str">
        <f>IF(盘货信息!C491="","",盘货信息!C491)</f>
        <v/>
      </c>
      <c r="D491" s="18" t="str">
        <f ca="1" t="shared" si="7"/>
        <v/>
      </c>
      <c r="E491" s="18" t="str">
        <f>IF(C491="","",固定信息!$B$2)</f>
        <v/>
      </c>
      <c r="F491" s="18" t="str">
        <f t="array" ref="F491">IF(C491="","","【"&amp;C491&amp;"】"&amp;_xlfn.XLOOKUP(A491&amp;B491&amp;C491,盘货信息!$A:$A&amp;盘货信息!$B:$B&amp;盘货信息!$C:$C,盘货信息!$D:$D))</f>
        <v/>
      </c>
      <c r="G491" s="18" t="str">
        <f>IF(C491="","","【"&amp;"活动时间："&amp;固定信息!$B$3&amp;"】")</f>
        <v/>
      </c>
      <c r="H491" s="18" t="str">
        <f>IF($C491="","",固定信息!$B$1)</f>
        <v/>
      </c>
      <c r="I491" s="18"/>
      <c r="J491" s="18" t="str">
        <f t="array" ref="J491">_xlfn.XLOOKUP(A491&amp;B491&amp;C491,价格信息!$A:$A&amp;价格信息!$B:$B&amp;价格信息!$C:$C,价格信息!$D:$D)</f>
        <v/>
      </c>
      <c r="K491" s="31" t="str">
        <f t="array" ref="K491">IF(_xlfn.XLOOKUP(A491&amp;B491&amp;C491,价格信息!$A:$A&amp;价格信息!$B:$B&amp;价格信息!$C:$C,价格信息!$I:$I)="","","【优惠券链接】"&amp;固定信息!$B$6)</f>
        <v/>
      </c>
      <c r="L491" s="31" t="str">
        <f>IF($C491="","",固定信息!$B$1)</f>
        <v/>
      </c>
      <c r="M491" s="18" t="str">
        <f t="array" ref="M491">IF(_xlfn.XLOOKUP(A491&amp;B491&amp;C491,盘货信息!$A:$A&amp;盘货信息!$B:$B&amp;盘货信息!$C:$C,盘货信息!$O:$O)="","","【优惠券】领"&amp;INDEX(_wpsfn.REGEXP(_xlfn.XLOOKUP(A491&amp;B491&amp;C491,盘货信息!$A:$A&amp;盘货信息!$B:$B&amp;盘货信息!$C:$C,盘货信息!$O:$O),"\d+"),1,1)&amp;"元优惠券下单更优惠，优惠卷："&amp;_xlfn.XLOOKUP(A491&amp;B491&amp;C491,盘货信息!$A:$A&amp;盘货信息!$B:$B&amp;盘货信息!$C:$C,盘货信息!$P:$P))</f>
        <v/>
      </c>
      <c r="N491" s="18" t="str">
        <f t="array" ref="N491">IF(AND(ISNUMBER(_xlfn.XLOOKUP(A491&amp;B491&amp;C491,盘货信息!$A:$A&amp;盘货信息!$B:$B&amp;盘货信息!$C:$C,盘货信息!$I:$I)),_xlfn.XLOOKUP(A491&amp;B491&amp;C491,盘货信息!$A:$A&amp;盘货信息!$B:$B&amp;盘货信息!$C:$C,盘货信息!$I:$I)&gt;1),"【88VIP】立减"&amp;_xlfn.XLOOKUP(A491&amp;B491&amp;C491,盘货信息!$A:$A&amp;盘货信息!$B:$B&amp;盘货信息!$C:$C,盘货信息!$I:$I)&amp;"元","")</f>
        <v/>
      </c>
      <c r="O491" s="18" t="str">
        <f t="array" ref="O491">IF(_xlfn.XLOOKUP(A491&amp;B491&amp;C491,盘货信息!$A:$A&amp;盘货信息!$B:$B&amp;盘货信息!$C:$C,盘货信息!$K:$K)="","",IF(AND(_xlfn.XLOOKUP(A491&amp;B491&amp;C491,盘货信息!$A:$A&amp;盘货信息!$B:$B&amp;盘货信息!$C:$C,盘货信息!$G:$G)="不参加",_xlfn.XLOOKUP(A491&amp;B491&amp;C491,盘货信息!$A:$A&amp;盘货信息!$B:$B&amp;盘货信息!$C:$C,盘货信息!$H:$H)=""),"【以旧换新】"&amp;_xlfn.XLOOKUP(A491&amp;B491&amp;C491,盘货信息!$A:$A&amp;盘货信息!$B:$B&amp;盘货信息!$C:$C,盘货信息!$K:$K)&amp;"元以旧换新补贴（可无旧机换新）",""))</f>
        <v/>
      </c>
      <c r="P491" s="18" t="str">
        <f t="array" ref="P491">_xlfn.XLOOKUP(A491&amp;B491&amp;C491,赠品!$A:$A&amp;赠品!$B:$B&amp;赠品!$C:$C,赠品!$D:$D)</f>
        <v/>
      </c>
      <c r="Q491" s="18" t="str">
        <f>IF($C491="","",IF(AND(M491="",N491="",P491=""),"",固定信息!$B$1))</f>
        <v/>
      </c>
      <c r="R491" s="18" t="str">
        <f t="array" ref="R491">IF(ISNUMBER(SEARCH("是",_xlfn.XLOOKUP(A491&amp;B491&amp;C491,盘货信息!$A:$A&amp;盘货信息!$B:$B&amp;盘货信息!$C:$C,盘货信息!$U:$U))),"【折扣】指定型号满2类享96折，满3类享94折","")</f>
        <v/>
      </c>
      <c r="S491" s="18" t="str">
        <f t="array" ref="S491">IF(_xlfn.XLOOKUP(A491&amp;B491&amp;C491,盘货信息!$A:$A&amp;盘货信息!$B:$B&amp;盘货信息!$C:$C,盘货信息!$Q:$Q)&lt;1,"","【红包】活动时间购机送"&amp;_xlfn.TEXTJOIN("",,IF(ISNUMBER(--MID(_xlfn.XLOOKUP(A491&amp;B491&amp;C491,盘货信息!$A:$A&amp;盘货信息!$B:$B&amp;盘货信息!$C:$C,盘货信息!$Q:$Q),_xlfn.SEQUENCE(LEN(_xlfn.XLOOKUP(A491&amp;B491&amp;C491,盘货信息!$A:$A&amp;盘货信息!$B:$B&amp;盘货信息!$C:$C,盘货信息!$Q:$Q))),1)),MID(_xlfn.XLOOKUP(A491&amp;B491&amp;C491,盘货信息!$A:$A&amp;盘货信息!$B:$B&amp;盘货信息!$C:$C,盘货信息!$Q:$Q),_xlfn.SEQUENCE(LEN(_xlfn.XLOOKUP(A491&amp;B491&amp;C491,盘货信息!$A:$A&amp;盘货信息!$B:$B&amp;盘货信息!$C:$C,盘货信息!$Q:$Q))),1),""))&amp;"元")</f>
        <v/>
      </c>
      <c r="T491" s="18" t="str">
        <f t="array" ref="T491">IF(ISNUMBER(SEARCH("是",_xlfn.XLOOKUP(A491&amp;B491&amp;C491,盘货信息!$A:$A&amp;盘货信息!$B:$B&amp;盘货信息!$C:$C,盘货信息!$T:$T))),"【瓜分】"&amp;固定信息!$B$7,"")</f>
        <v/>
      </c>
      <c r="U491" s="18" t="str">
        <f>IF($C491="","",IF(AND(R491="",S491="",T491=""),"",固定信息!$B$1))</f>
        <v/>
      </c>
      <c r="V491" s="18" t="str">
        <f t="array" ref="V491">IF(C491="","","【服务】"&amp;IF(_xlfn.XLOOKUP(A491&amp;B491&amp;C491,盘货信息!$A:$A&amp;盘货信息!$B:$B&amp;盘货信息!$C:$C,盘货信息!$V:$V)="","",_xlfn.XLOOKUP(A491&amp;B491&amp;C491,盘货信息!$A:$A&amp;盘货信息!$B:$B&amp;盘货信息!$C:$C,盘货信息!$V:$V)&amp;"免息,")&amp;IF(_xlfn.XLOOKUP(A491&amp;B491&amp;C491,盘货信息!$A:$A&amp;盘货信息!$B:$B&amp;盘货信息!$C:$C,盘货信息!$W:$W)="","",_xlfn.XLOOKUP(A491&amp;B491&amp;C491,盘货信息!$A:$A&amp;盘货信息!$B:$B&amp;盘货信息!$C:$C,盘货信息!$W:$W)&amp;"，")&amp;"送货入户，退换免运费")</f>
        <v/>
      </c>
    </row>
    <row r="492" customHeight="1" spans="1:22">
      <c r="A492" s="17" t="str">
        <f>IF(盘货信息!A492="","",盘货信息!A492)</f>
        <v/>
      </c>
      <c r="B492" s="20" t="str">
        <f>IF(盘货信息!B492="","",盘货信息!B492)</f>
        <v/>
      </c>
      <c r="C492" s="18" t="str">
        <f>IF(盘货信息!C492="","",盘货信息!C492)</f>
        <v/>
      </c>
      <c r="D492" s="18" t="str">
        <f ca="1" t="shared" si="7"/>
        <v/>
      </c>
      <c r="E492" s="18" t="str">
        <f>IF(C492="","",固定信息!$B$2)</f>
        <v/>
      </c>
      <c r="F492" s="18" t="str">
        <f t="array" ref="F492">IF(C492="","","【"&amp;C492&amp;"】"&amp;_xlfn.XLOOKUP(A492&amp;B492&amp;C492,盘货信息!$A:$A&amp;盘货信息!$B:$B&amp;盘货信息!$C:$C,盘货信息!$D:$D))</f>
        <v/>
      </c>
      <c r="G492" s="18" t="str">
        <f>IF(C492="","","【"&amp;"活动时间："&amp;固定信息!$B$3&amp;"】")</f>
        <v/>
      </c>
      <c r="H492" s="18" t="str">
        <f>IF($C492="","",固定信息!$B$1)</f>
        <v/>
      </c>
      <c r="I492" s="18"/>
      <c r="J492" s="18" t="str">
        <f t="array" ref="J492">_xlfn.XLOOKUP(A492&amp;B492&amp;C492,价格信息!$A:$A&amp;价格信息!$B:$B&amp;价格信息!$C:$C,价格信息!$D:$D)</f>
        <v/>
      </c>
      <c r="K492" s="31" t="str">
        <f t="array" ref="K492">IF(_xlfn.XLOOKUP(A492&amp;B492&amp;C492,价格信息!$A:$A&amp;价格信息!$B:$B&amp;价格信息!$C:$C,价格信息!$I:$I)="","","【优惠券链接】"&amp;固定信息!$B$6)</f>
        <v/>
      </c>
      <c r="L492" s="31" t="str">
        <f>IF($C492="","",固定信息!$B$1)</f>
        <v/>
      </c>
      <c r="M492" s="18" t="str">
        <f t="array" ref="M492">IF(_xlfn.XLOOKUP(A492&amp;B492&amp;C492,盘货信息!$A:$A&amp;盘货信息!$B:$B&amp;盘货信息!$C:$C,盘货信息!$O:$O)="","","【优惠券】领"&amp;INDEX(_wpsfn.REGEXP(_xlfn.XLOOKUP(A492&amp;B492&amp;C492,盘货信息!$A:$A&amp;盘货信息!$B:$B&amp;盘货信息!$C:$C,盘货信息!$O:$O),"\d+"),1,1)&amp;"元优惠券下单更优惠，优惠卷："&amp;_xlfn.XLOOKUP(A492&amp;B492&amp;C492,盘货信息!$A:$A&amp;盘货信息!$B:$B&amp;盘货信息!$C:$C,盘货信息!$P:$P))</f>
        <v/>
      </c>
      <c r="N492" s="18" t="str">
        <f t="array" ref="N492">IF(AND(ISNUMBER(_xlfn.XLOOKUP(A492&amp;B492&amp;C492,盘货信息!$A:$A&amp;盘货信息!$B:$B&amp;盘货信息!$C:$C,盘货信息!$I:$I)),_xlfn.XLOOKUP(A492&amp;B492&amp;C492,盘货信息!$A:$A&amp;盘货信息!$B:$B&amp;盘货信息!$C:$C,盘货信息!$I:$I)&gt;1),"【88VIP】立减"&amp;_xlfn.XLOOKUP(A492&amp;B492&amp;C492,盘货信息!$A:$A&amp;盘货信息!$B:$B&amp;盘货信息!$C:$C,盘货信息!$I:$I)&amp;"元","")</f>
        <v/>
      </c>
      <c r="O492" s="18" t="str">
        <f t="array" ref="O492">IF(_xlfn.XLOOKUP(A492&amp;B492&amp;C492,盘货信息!$A:$A&amp;盘货信息!$B:$B&amp;盘货信息!$C:$C,盘货信息!$K:$K)="","",IF(AND(_xlfn.XLOOKUP(A492&amp;B492&amp;C492,盘货信息!$A:$A&amp;盘货信息!$B:$B&amp;盘货信息!$C:$C,盘货信息!$G:$G)="不参加",_xlfn.XLOOKUP(A492&amp;B492&amp;C492,盘货信息!$A:$A&amp;盘货信息!$B:$B&amp;盘货信息!$C:$C,盘货信息!$H:$H)=""),"【以旧换新】"&amp;_xlfn.XLOOKUP(A492&amp;B492&amp;C492,盘货信息!$A:$A&amp;盘货信息!$B:$B&amp;盘货信息!$C:$C,盘货信息!$K:$K)&amp;"元以旧换新补贴（可无旧机换新）",""))</f>
        <v/>
      </c>
      <c r="P492" s="18" t="str">
        <f t="array" ref="P492">_xlfn.XLOOKUP(A492&amp;B492&amp;C492,赠品!$A:$A&amp;赠品!$B:$B&amp;赠品!$C:$C,赠品!$D:$D)</f>
        <v/>
      </c>
      <c r="Q492" s="18" t="str">
        <f>IF($C492="","",IF(AND(M492="",N492="",P492=""),"",固定信息!$B$1))</f>
        <v/>
      </c>
      <c r="R492" s="18" t="str">
        <f t="array" ref="R492">IF(ISNUMBER(SEARCH("是",_xlfn.XLOOKUP(A492&amp;B492&amp;C492,盘货信息!$A:$A&amp;盘货信息!$B:$B&amp;盘货信息!$C:$C,盘货信息!$U:$U))),"【折扣】指定型号满2类享96折，满3类享94折","")</f>
        <v/>
      </c>
      <c r="S492" s="18" t="str">
        <f t="array" ref="S492">IF(_xlfn.XLOOKUP(A492&amp;B492&amp;C492,盘货信息!$A:$A&amp;盘货信息!$B:$B&amp;盘货信息!$C:$C,盘货信息!$Q:$Q)&lt;1,"","【红包】活动时间购机送"&amp;_xlfn.TEXTJOIN("",,IF(ISNUMBER(--MID(_xlfn.XLOOKUP(A492&amp;B492&amp;C492,盘货信息!$A:$A&amp;盘货信息!$B:$B&amp;盘货信息!$C:$C,盘货信息!$Q:$Q),_xlfn.SEQUENCE(LEN(_xlfn.XLOOKUP(A492&amp;B492&amp;C492,盘货信息!$A:$A&amp;盘货信息!$B:$B&amp;盘货信息!$C:$C,盘货信息!$Q:$Q))),1)),MID(_xlfn.XLOOKUP(A492&amp;B492&amp;C492,盘货信息!$A:$A&amp;盘货信息!$B:$B&amp;盘货信息!$C:$C,盘货信息!$Q:$Q),_xlfn.SEQUENCE(LEN(_xlfn.XLOOKUP(A492&amp;B492&amp;C492,盘货信息!$A:$A&amp;盘货信息!$B:$B&amp;盘货信息!$C:$C,盘货信息!$Q:$Q))),1),""))&amp;"元")</f>
        <v/>
      </c>
      <c r="T492" s="18" t="str">
        <f t="array" ref="T492">IF(ISNUMBER(SEARCH("是",_xlfn.XLOOKUP(A492&amp;B492&amp;C492,盘货信息!$A:$A&amp;盘货信息!$B:$B&amp;盘货信息!$C:$C,盘货信息!$T:$T))),"【瓜分】"&amp;固定信息!$B$7,"")</f>
        <v/>
      </c>
      <c r="U492" s="18" t="str">
        <f>IF($C492="","",IF(AND(R492="",S492="",T492=""),"",固定信息!$B$1))</f>
        <v/>
      </c>
      <c r="V492" s="18" t="str">
        <f t="array" ref="V492">IF(C492="","","【服务】"&amp;IF(_xlfn.XLOOKUP(A492&amp;B492&amp;C492,盘货信息!$A:$A&amp;盘货信息!$B:$B&amp;盘货信息!$C:$C,盘货信息!$V:$V)="","",_xlfn.XLOOKUP(A492&amp;B492&amp;C492,盘货信息!$A:$A&amp;盘货信息!$B:$B&amp;盘货信息!$C:$C,盘货信息!$V:$V)&amp;"免息,")&amp;IF(_xlfn.XLOOKUP(A492&amp;B492&amp;C492,盘货信息!$A:$A&amp;盘货信息!$B:$B&amp;盘货信息!$C:$C,盘货信息!$W:$W)="","",_xlfn.XLOOKUP(A492&amp;B492&amp;C492,盘货信息!$A:$A&amp;盘货信息!$B:$B&amp;盘货信息!$C:$C,盘货信息!$W:$W)&amp;"，")&amp;"送货入户，退换免运费")</f>
        <v/>
      </c>
    </row>
    <row r="493" customHeight="1" spans="1:22">
      <c r="A493" s="17" t="str">
        <f>IF(盘货信息!A493="","",盘货信息!A493)</f>
        <v/>
      </c>
      <c r="B493" s="20" t="str">
        <f>IF(盘货信息!B493="","",盘货信息!B493)</f>
        <v/>
      </c>
      <c r="C493" s="18" t="str">
        <f>IF(盘货信息!C493="","",盘货信息!C493)</f>
        <v/>
      </c>
      <c r="D493" s="18" t="str">
        <f ca="1" t="shared" si="7"/>
        <v/>
      </c>
      <c r="E493" s="18" t="str">
        <f>IF(C493="","",固定信息!$B$2)</f>
        <v/>
      </c>
      <c r="F493" s="18" t="str">
        <f t="array" ref="F493">IF(C493="","","【"&amp;C493&amp;"】"&amp;_xlfn.XLOOKUP(A493&amp;B493&amp;C493,盘货信息!$A:$A&amp;盘货信息!$B:$B&amp;盘货信息!$C:$C,盘货信息!$D:$D))</f>
        <v/>
      </c>
      <c r="G493" s="18" t="str">
        <f>IF(C493="","","【"&amp;"活动时间："&amp;固定信息!$B$3&amp;"】")</f>
        <v/>
      </c>
      <c r="H493" s="18" t="str">
        <f>IF($C493="","",固定信息!$B$1)</f>
        <v/>
      </c>
      <c r="I493" s="18"/>
      <c r="J493" s="18" t="str">
        <f t="array" ref="J493">_xlfn.XLOOKUP(A493&amp;B493&amp;C493,价格信息!$A:$A&amp;价格信息!$B:$B&amp;价格信息!$C:$C,价格信息!$D:$D)</f>
        <v/>
      </c>
      <c r="K493" s="31" t="str">
        <f t="array" ref="K493">IF(_xlfn.XLOOKUP(A493&amp;B493&amp;C493,价格信息!$A:$A&amp;价格信息!$B:$B&amp;价格信息!$C:$C,价格信息!$I:$I)="","","【优惠券链接】"&amp;固定信息!$B$6)</f>
        <v/>
      </c>
      <c r="L493" s="31" t="str">
        <f>IF($C493="","",固定信息!$B$1)</f>
        <v/>
      </c>
      <c r="M493" s="18" t="str">
        <f t="array" ref="M493">IF(_xlfn.XLOOKUP(A493&amp;B493&amp;C493,盘货信息!$A:$A&amp;盘货信息!$B:$B&amp;盘货信息!$C:$C,盘货信息!$O:$O)="","","【优惠券】领"&amp;INDEX(_wpsfn.REGEXP(_xlfn.XLOOKUP(A493&amp;B493&amp;C493,盘货信息!$A:$A&amp;盘货信息!$B:$B&amp;盘货信息!$C:$C,盘货信息!$O:$O),"\d+"),1,1)&amp;"元优惠券下单更优惠，优惠卷："&amp;_xlfn.XLOOKUP(A493&amp;B493&amp;C493,盘货信息!$A:$A&amp;盘货信息!$B:$B&amp;盘货信息!$C:$C,盘货信息!$P:$P))</f>
        <v/>
      </c>
      <c r="N493" s="18" t="str">
        <f t="array" ref="N493">IF(AND(ISNUMBER(_xlfn.XLOOKUP(A493&amp;B493&amp;C493,盘货信息!$A:$A&amp;盘货信息!$B:$B&amp;盘货信息!$C:$C,盘货信息!$I:$I)),_xlfn.XLOOKUP(A493&amp;B493&amp;C493,盘货信息!$A:$A&amp;盘货信息!$B:$B&amp;盘货信息!$C:$C,盘货信息!$I:$I)&gt;1),"【88VIP】立减"&amp;_xlfn.XLOOKUP(A493&amp;B493&amp;C493,盘货信息!$A:$A&amp;盘货信息!$B:$B&amp;盘货信息!$C:$C,盘货信息!$I:$I)&amp;"元","")</f>
        <v/>
      </c>
      <c r="O493" s="18" t="str">
        <f t="array" ref="O493">IF(_xlfn.XLOOKUP(A493&amp;B493&amp;C493,盘货信息!$A:$A&amp;盘货信息!$B:$B&amp;盘货信息!$C:$C,盘货信息!$K:$K)="","",IF(AND(_xlfn.XLOOKUP(A493&amp;B493&amp;C493,盘货信息!$A:$A&amp;盘货信息!$B:$B&amp;盘货信息!$C:$C,盘货信息!$G:$G)="不参加",_xlfn.XLOOKUP(A493&amp;B493&amp;C493,盘货信息!$A:$A&amp;盘货信息!$B:$B&amp;盘货信息!$C:$C,盘货信息!$H:$H)=""),"【以旧换新】"&amp;_xlfn.XLOOKUP(A493&amp;B493&amp;C493,盘货信息!$A:$A&amp;盘货信息!$B:$B&amp;盘货信息!$C:$C,盘货信息!$K:$K)&amp;"元以旧换新补贴（可无旧机换新）",""))</f>
        <v/>
      </c>
      <c r="P493" s="18" t="str">
        <f t="array" ref="P493">_xlfn.XLOOKUP(A493&amp;B493&amp;C493,赠品!$A:$A&amp;赠品!$B:$B&amp;赠品!$C:$C,赠品!$D:$D)</f>
        <v/>
      </c>
      <c r="Q493" s="18" t="str">
        <f>IF($C493="","",IF(AND(M493="",N493="",P493=""),"",固定信息!$B$1))</f>
        <v/>
      </c>
      <c r="R493" s="18" t="str">
        <f t="array" ref="R493">IF(ISNUMBER(SEARCH("是",_xlfn.XLOOKUP(A493&amp;B493&amp;C493,盘货信息!$A:$A&amp;盘货信息!$B:$B&amp;盘货信息!$C:$C,盘货信息!$U:$U))),"【折扣】指定型号满2类享96折，满3类享94折","")</f>
        <v/>
      </c>
      <c r="S493" s="18" t="str">
        <f t="array" ref="S493">IF(_xlfn.XLOOKUP(A493&amp;B493&amp;C493,盘货信息!$A:$A&amp;盘货信息!$B:$B&amp;盘货信息!$C:$C,盘货信息!$Q:$Q)&lt;1,"","【红包】活动时间购机送"&amp;_xlfn.TEXTJOIN("",,IF(ISNUMBER(--MID(_xlfn.XLOOKUP(A493&amp;B493&amp;C493,盘货信息!$A:$A&amp;盘货信息!$B:$B&amp;盘货信息!$C:$C,盘货信息!$Q:$Q),_xlfn.SEQUENCE(LEN(_xlfn.XLOOKUP(A493&amp;B493&amp;C493,盘货信息!$A:$A&amp;盘货信息!$B:$B&amp;盘货信息!$C:$C,盘货信息!$Q:$Q))),1)),MID(_xlfn.XLOOKUP(A493&amp;B493&amp;C493,盘货信息!$A:$A&amp;盘货信息!$B:$B&amp;盘货信息!$C:$C,盘货信息!$Q:$Q),_xlfn.SEQUENCE(LEN(_xlfn.XLOOKUP(A493&amp;B493&amp;C493,盘货信息!$A:$A&amp;盘货信息!$B:$B&amp;盘货信息!$C:$C,盘货信息!$Q:$Q))),1),""))&amp;"元")</f>
        <v/>
      </c>
      <c r="T493" s="18" t="str">
        <f t="array" ref="T493">IF(ISNUMBER(SEARCH("是",_xlfn.XLOOKUP(A493&amp;B493&amp;C493,盘货信息!$A:$A&amp;盘货信息!$B:$B&amp;盘货信息!$C:$C,盘货信息!$T:$T))),"【瓜分】"&amp;固定信息!$B$7,"")</f>
        <v/>
      </c>
      <c r="U493" s="18" t="str">
        <f>IF($C493="","",IF(AND(R493="",S493="",T493=""),"",固定信息!$B$1))</f>
        <v/>
      </c>
      <c r="V493" s="18" t="str">
        <f t="array" ref="V493">IF(C493="","","【服务】"&amp;IF(_xlfn.XLOOKUP(A493&amp;B493&amp;C493,盘货信息!$A:$A&amp;盘货信息!$B:$B&amp;盘货信息!$C:$C,盘货信息!$V:$V)="","",_xlfn.XLOOKUP(A493&amp;B493&amp;C493,盘货信息!$A:$A&amp;盘货信息!$B:$B&amp;盘货信息!$C:$C,盘货信息!$V:$V)&amp;"免息,")&amp;IF(_xlfn.XLOOKUP(A493&amp;B493&amp;C493,盘货信息!$A:$A&amp;盘货信息!$B:$B&amp;盘货信息!$C:$C,盘货信息!$W:$W)="","",_xlfn.XLOOKUP(A493&amp;B493&amp;C493,盘货信息!$A:$A&amp;盘货信息!$B:$B&amp;盘货信息!$C:$C,盘货信息!$W:$W)&amp;"，")&amp;"送货入户，退换免运费")</f>
        <v/>
      </c>
    </row>
    <row r="494" customHeight="1" spans="1:22">
      <c r="A494" s="17" t="str">
        <f>IF(盘货信息!A494="","",盘货信息!A494)</f>
        <v/>
      </c>
      <c r="B494" s="20" t="str">
        <f>IF(盘货信息!B494="","",盘货信息!B494)</f>
        <v/>
      </c>
      <c r="C494" s="18" t="str">
        <f>IF(盘货信息!C494="","",盘货信息!C494)</f>
        <v/>
      </c>
      <c r="D494" s="18" t="str">
        <f ca="1" t="shared" si="7"/>
        <v/>
      </c>
      <c r="E494" s="18" t="str">
        <f>IF(C494="","",固定信息!$B$2)</f>
        <v/>
      </c>
      <c r="F494" s="18" t="str">
        <f t="array" ref="F494">IF(C494="","","【"&amp;C494&amp;"】"&amp;_xlfn.XLOOKUP(A494&amp;B494&amp;C494,盘货信息!$A:$A&amp;盘货信息!$B:$B&amp;盘货信息!$C:$C,盘货信息!$D:$D))</f>
        <v/>
      </c>
      <c r="G494" s="18" t="str">
        <f>IF(C494="","","【"&amp;"活动时间："&amp;固定信息!$B$3&amp;"】")</f>
        <v/>
      </c>
      <c r="H494" s="18" t="str">
        <f>IF($C494="","",固定信息!$B$1)</f>
        <v/>
      </c>
      <c r="I494" s="18"/>
      <c r="J494" s="18" t="str">
        <f t="array" ref="J494">_xlfn.XLOOKUP(A494&amp;B494&amp;C494,价格信息!$A:$A&amp;价格信息!$B:$B&amp;价格信息!$C:$C,价格信息!$D:$D)</f>
        <v/>
      </c>
      <c r="K494" s="31" t="str">
        <f t="array" ref="K494">IF(_xlfn.XLOOKUP(A494&amp;B494&amp;C494,价格信息!$A:$A&amp;价格信息!$B:$B&amp;价格信息!$C:$C,价格信息!$I:$I)="","","【优惠券链接】"&amp;固定信息!$B$6)</f>
        <v/>
      </c>
      <c r="L494" s="31" t="str">
        <f>IF($C494="","",固定信息!$B$1)</f>
        <v/>
      </c>
      <c r="M494" s="18" t="str">
        <f t="array" ref="M494">IF(_xlfn.XLOOKUP(A494&amp;B494&amp;C494,盘货信息!$A:$A&amp;盘货信息!$B:$B&amp;盘货信息!$C:$C,盘货信息!$O:$O)="","","【优惠券】领"&amp;INDEX(_wpsfn.REGEXP(_xlfn.XLOOKUP(A494&amp;B494&amp;C494,盘货信息!$A:$A&amp;盘货信息!$B:$B&amp;盘货信息!$C:$C,盘货信息!$O:$O),"\d+"),1,1)&amp;"元优惠券下单更优惠，优惠卷："&amp;_xlfn.XLOOKUP(A494&amp;B494&amp;C494,盘货信息!$A:$A&amp;盘货信息!$B:$B&amp;盘货信息!$C:$C,盘货信息!$P:$P))</f>
        <v/>
      </c>
      <c r="N494" s="18" t="str">
        <f t="array" ref="N494">IF(AND(ISNUMBER(_xlfn.XLOOKUP(A494&amp;B494&amp;C494,盘货信息!$A:$A&amp;盘货信息!$B:$B&amp;盘货信息!$C:$C,盘货信息!$I:$I)),_xlfn.XLOOKUP(A494&amp;B494&amp;C494,盘货信息!$A:$A&amp;盘货信息!$B:$B&amp;盘货信息!$C:$C,盘货信息!$I:$I)&gt;1),"【88VIP】立减"&amp;_xlfn.XLOOKUP(A494&amp;B494&amp;C494,盘货信息!$A:$A&amp;盘货信息!$B:$B&amp;盘货信息!$C:$C,盘货信息!$I:$I)&amp;"元","")</f>
        <v/>
      </c>
      <c r="O494" s="18" t="str">
        <f t="array" ref="O494">IF(_xlfn.XLOOKUP(A494&amp;B494&amp;C494,盘货信息!$A:$A&amp;盘货信息!$B:$B&amp;盘货信息!$C:$C,盘货信息!$K:$K)="","",IF(AND(_xlfn.XLOOKUP(A494&amp;B494&amp;C494,盘货信息!$A:$A&amp;盘货信息!$B:$B&amp;盘货信息!$C:$C,盘货信息!$G:$G)="不参加",_xlfn.XLOOKUP(A494&amp;B494&amp;C494,盘货信息!$A:$A&amp;盘货信息!$B:$B&amp;盘货信息!$C:$C,盘货信息!$H:$H)=""),"【以旧换新】"&amp;_xlfn.XLOOKUP(A494&amp;B494&amp;C494,盘货信息!$A:$A&amp;盘货信息!$B:$B&amp;盘货信息!$C:$C,盘货信息!$K:$K)&amp;"元以旧换新补贴（可无旧机换新）",""))</f>
        <v/>
      </c>
      <c r="P494" s="18" t="str">
        <f t="array" ref="P494">_xlfn.XLOOKUP(A494&amp;B494&amp;C494,赠品!$A:$A&amp;赠品!$B:$B&amp;赠品!$C:$C,赠品!$D:$D)</f>
        <v/>
      </c>
      <c r="Q494" s="18" t="str">
        <f>IF($C494="","",IF(AND(M494="",N494="",P494=""),"",固定信息!$B$1))</f>
        <v/>
      </c>
      <c r="R494" s="18" t="str">
        <f t="array" ref="R494">IF(ISNUMBER(SEARCH("是",_xlfn.XLOOKUP(A494&amp;B494&amp;C494,盘货信息!$A:$A&amp;盘货信息!$B:$B&amp;盘货信息!$C:$C,盘货信息!$U:$U))),"【折扣】指定型号满2类享96折，满3类享94折","")</f>
        <v/>
      </c>
      <c r="S494" s="18" t="str">
        <f t="array" ref="S494">IF(_xlfn.XLOOKUP(A494&amp;B494&amp;C494,盘货信息!$A:$A&amp;盘货信息!$B:$B&amp;盘货信息!$C:$C,盘货信息!$Q:$Q)&lt;1,"","【红包】活动时间购机送"&amp;_xlfn.TEXTJOIN("",,IF(ISNUMBER(--MID(_xlfn.XLOOKUP(A494&amp;B494&amp;C494,盘货信息!$A:$A&amp;盘货信息!$B:$B&amp;盘货信息!$C:$C,盘货信息!$Q:$Q),_xlfn.SEQUENCE(LEN(_xlfn.XLOOKUP(A494&amp;B494&amp;C494,盘货信息!$A:$A&amp;盘货信息!$B:$B&amp;盘货信息!$C:$C,盘货信息!$Q:$Q))),1)),MID(_xlfn.XLOOKUP(A494&amp;B494&amp;C494,盘货信息!$A:$A&amp;盘货信息!$B:$B&amp;盘货信息!$C:$C,盘货信息!$Q:$Q),_xlfn.SEQUENCE(LEN(_xlfn.XLOOKUP(A494&amp;B494&amp;C494,盘货信息!$A:$A&amp;盘货信息!$B:$B&amp;盘货信息!$C:$C,盘货信息!$Q:$Q))),1),""))&amp;"元")</f>
        <v/>
      </c>
      <c r="T494" s="18" t="str">
        <f t="array" ref="T494">IF(ISNUMBER(SEARCH("是",_xlfn.XLOOKUP(A494&amp;B494&amp;C494,盘货信息!$A:$A&amp;盘货信息!$B:$B&amp;盘货信息!$C:$C,盘货信息!$T:$T))),"【瓜分】"&amp;固定信息!$B$7,"")</f>
        <v/>
      </c>
      <c r="U494" s="18" t="str">
        <f>IF($C494="","",IF(AND(R494="",S494="",T494=""),"",固定信息!$B$1))</f>
        <v/>
      </c>
      <c r="V494" s="18" t="str">
        <f t="array" ref="V494">IF(C494="","","【服务】"&amp;IF(_xlfn.XLOOKUP(A494&amp;B494&amp;C494,盘货信息!$A:$A&amp;盘货信息!$B:$B&amp;盘货信息!$C:$C,盘货信息!$V:$V)="","",_xlfn.XLOOKUP(A494&amp;B494&amp;C494,盘货信息!$A:$A&amp;盘货信息!$B:$B&amp;盘货信息!$C:$C,盘货信息!$V:$V)&amp;"免息,")&amp;IF(_xlfn.XLOOKUP(A494&amp;B494&amp;C494,盘货信息!$A:$A&amp;盘货信息!$B:$B&amp;盘货信息!$C:$C,盘货信息!$W:$W)="","",_xlfn.XLOOKUP(A494&amp;B494&amp;C494,盘货信息!$A:$A&amp;盘货信息!$B:$B&amp;盘货信息!$C:$C,盘货信息!$W:$W)&amp;"，")&amp;"送货入户，退换免运费")</f>
        <v/>
      </c>
    </row>
    <row r="495" customHeight="1" spans="1:22">
      <c r="A495" s="17" t="str">
        <f>IF(盘货信息!A495="","",盘货信息!A495)</f>
        <v/>
      </c>
      <c r="B495" s="20" t="str">
        <f>IF(盘货信息!B495="","",盘货信息!B495)</f>
        <v/>
      </c>
      <c r="C495" s="18" t="str">
        <f>IF(盘货信息!C495="","",盘货信息!C495)</f>
        <v/>
      </c>
      <c r="D495" s="18" t="str">
        <f ca="1" t="shared" si="7"/>
        <v/>
      </c>
      <c r="E495" s="18" t="str">
        <f>IF(C495="","",固定信息!$B$2)</f>
        <v/>
      </c>
      <c r="F495" s="18" t="str">
        <f t="array" ref="F495">IF(C495="","","【"&amp;C495&amp;"】"&amp;_xlfn.XLOOKUP(A495&amp;B495&amp;C495,盘货信息!$A:$A&amp;盘货信息!$B:$B&amp;盘货信息!$C:$C,盘货信息!$D:$D))</f>
        <v/>
      </c>
      <c r="G495" s="18" t="str">
        <f>IF(C495="","","【"&amp;"活动时间："&amp;固定信息!$B$3&amp;"】")</f>
        <v/>
      </c>
      <c r="H495" s="18" t="str">
        <f>IF($C495="","",固定信息!$B$1)</f>
        <v/>
      </c>
      <c r="I495" s="18"/>
      <c r="J495" s="18" t="str">
        <f t="array" ref="J495">_xlfn.XLOOKUP(A495&amp;B495&amp;C495,价格信息!$A:$A&amp;价格信息!$B:$B&amp;价格信息!$C:$C,价格信息!$D:$D)</f>
        <v/>
      </c>
      <c r="K495" s="31" t="str">
        <f t="array" ref="K495">IF(_xlfn.XLOOKUP(A495&amp;B495&amp;C495,价格信息!$A:$A&amp;价格信息!$B:$B&amp;价格信息!$C:$C,价格信息!$I:$I)="","","【优惠券链接】"&amp;固定信息!$B$6)</f>
        <v/>
      </c>
      <c r="L495" s="31" t="str">
        <f>IF($C495="","",固定信息!$B$1)</f>
        <v/>
      </c>
      <c r="M495" s="18" t="str">
        <f t="array" ref="M495">IF(_xlfn.XLOOKUP(A495&amp;B495&amp;C495,盘货信息!$A:$A&amp;盘货信息!$B:$B&amp;盘货信息!$C:$C,盘货信息!$O:$O)="","","【优惠券】领"&amp;INDEX(_wpsfn.REGEXP(_xlfn.XLOOKUP(A495&amp;B495&amp;C495,盘货信息!$A:$A&amp;盘货信息!$B:$B&amp;盘货信息!$C:$C,盘货信息!$O:$O),"\d+"),1,1)&amp;"元优惠券下单更优惠，优惠卷："&amp;_xlfn.XLOOKUP(A495&amp;B495&amp;C495,盘货信息!$A:$A&amp;盘货信息!$B:$B&amp;盘货信息!$C:$C,盘货信息!$P:$P))</f>
        <v/>
      </c>
      <c r="N495" s="18" t="str">
        <f t="array" ref="N495">IF(AND(ISNUMBER(_xlfn.XLOOKUP(A495&amp;B495&amp;C495,盘货信息!$A:$A&amp;盘货信息!$B:$B&amp;盘货信息!$C:$C,盘货信息!$I:$I)),_xlfn.XLOOKUP(A495&amp;B495&amp;C495,盘货信息!$A:$A&amp;盘货信息!$B:$B&amp;盘货信息!$C:$C,盘货信息!$I:$I)&gt;1),"【88VIP】立减"&amp;_xlfn.XLOOKUP(A495&amp;B495&amp;C495,盘货信息!$A:$A&amp;盘货信息!$B:$B&amp;盘货信息!$C:$C,盘货信息!$I:$I)&amp;"元","")</f>
        <v/>
      </c>
      <c r="O495" s="18" t="str">
        <f t="array" ref="O495">IF(_xlfn.XLOOKUP(A495&amp;B495&amp;C495,盘货信息!$A:$A&amp;盘货信息!$B:$B&amp;盘货信息!$C:$C,盘货信息!$K:$K)="","",IF(AND(_xlfn.XLOOKUP(A495&amp;B495&amp;C495,盘货信息!$A:$A&amp;盘货信息!$B:$B&amp;盘货信息!$C:$C,盘货信息!$G:$G)="不参加",_xlfn.XLOOKUP(A495&amp;B495&amp;C495,盘货信息!$A:$A&amp;盘货信息!$B:$B&amp;盘货信息!$C:$C,盘货信息!$H:$H)=""),"【以旧换新】"&amp;_xlfn.XLOOKUP(A495&amp;B495&amp;C495,盘货信息!$A:$A&amp;盘货信息!$B:$B&amp;盘货信息!$C:$C,盘货信息!$K:$K)&amp;"元以旧换新补贴（可无旧机换新）",""))</f>
        <v/>
      </c>
      <c r="P495" s="18" t="str">
        <f t="array" ref="P495">_xlfn.XLOOKUP(A495&amp;B495&amp;C495,赠品!$A:$A&amp;赠品!$B:$B&amp;赠品!$C:$C,赠品!$D:$D)</f>
        <v/>
      </c>
      <c r="Q495" s="18" t="str">
        <f>IF($C495="","",IF(AND(M495="",N495="",P495=""),"",固定信息!$B$1))</f>
        <v/>
      </c>
      <c r="R495" s="18" t="str">
        <f t="array" ref="R495">IF(ISNUMBER(SEARCH("是",_xlfn.XLOOKUP(A495&amp;B495&amp;C495,盘货信息!$A:$A&amp;盘货信息!$B:$B&amp;盘货信息!$C:$C,盘货信息!$U:$U))),"【折扣】指定型号满2类享96折，满3类享94折","")</f>
        <v/>
      </c>
      <c r="S495" s="18" t="str">
        <f t="array" ref="S495">IF(_xlfn.XLOOKUP(A495&amp;B495&amp;C495,盘货信息!$A:$A&amp;盘货信息!$B:$B&amp;盘货信息!$C:$C,盘货信息!$Q:$Q)&lt;1,"","【红包】活动时间购机送"&amp;_xlfn.TEXTJOIN("",,IF(ISNUMBER(--MID(_xlfn.XLOOKUP(A495&amp;B495&amp;C495,盘货信息!$A:$A&amp;盘货信息!$B:$B&amp;盘货信息!$C:$C,盘货信息!$Q:$Q),_xlfn.SEQUENCE(LEN(_xlfn.XLOOKUP(A495&amp;B495&amp;C495,盘货信息!$A:$A&amp;盘货信息!$B:$B&amp;盘货信息!$C:$C,盘货信息!$Q:$Q))),1)),MID(_xlfn.XLOOKUP(A495&amp;B495&amp;C495,盘货信息!$A:$A&amp;盘货信息!$B:$B&amp;盘货信息!$C:$C,盘货信息!$Q:$Q),_xlfn.SEQUENCE(LEN(_xlfn.XLOOKUP(A495&amp;B495&amp;C495,盘货信息!$A:$A&amp;盘货信息!$B:$B&amp;盘货信息!$C:$C,盘货信息!$Q:$Q))),1),""))&amp;"元")</f>
        <v/>
      </c>
      <c r="T495" s="18" t="str">
        <f t="array" ref="T495">IF(ISNUMBER(SEARCH("是",_xlfn.XLOOKUP(A495&amp;B495&amp;C495,盘货信息!$A:$A&amp;盘货信息!$B:$B&amp;盘货信息!$C:$C,盘货信息!$T:$T))),"【瓜分】"&amp;固定信息!$B$7,"")</f>
        <v/>
      </c>
      <c r="U495" s="18" t="str">
        <f>IF($C495="","",IF(AND(R495="",S495="",T495=""),"",固定信息!$B$1))</f>
        <v/>
      </c>
      <c r="V495" s="18" t="str">
        <f t="array" ref="V495">IF(C495="","","【服务】"&amp;IF(_xlfn.XLOOKUP(A495&amp;B495&amp;C495,盘货信息!$A:$A&amp;盘货信息!$B:$B&amp;盘货信息!$C:$C,盘货信息!$V:$V)="","",_xlfn.XLOOKUP(A495&amp;B495&amp;C495,盘货信息!$A:$A&amp;盘货信息!$B:$B&amp;盘货信息!$C:$C,盘货信息!$V:$V)&amp;"免息,")&amp;IF(_xlfn.XLOOKUP(A495&amp;B495&amp;C495,盘货信息!$A:$A&amp;盘货信息!$B:$B&amp;盘货信息!$C:$C,盘货信息!$W:$W)="","",_xlfn.XLOOKUP(A495&amp;B495&amp;C495,盘货信息!$A:$A&amp;盘货信息!$B:$B&amp;盘货信息!$C:$C,盘货信息!$W:$W)&amp;"，")&amp;"送货入户，退换免运费")</f>
        <v/>
      </c>
    </row>
    <row r="496" customHeight="1" spans="1:22">
      <c r="A496" s="17" t="str">
        <f>IF(盘货信息!A496="","",盘货信息!A496)</f>
        <v/>
      </c>
      <c r="B496" s="20" t="str">
        <f>IF(盘货信息!B496="","",盘货信息!B496)</f>
        <v/>
      </c>
      <c r="C496" s="18" t="str">
        <f>IF(盘货信息!C496="","",盘货信息!C496)</f>
        <v/>
      </c>
      <c r="D496" s="18" t="str">
        <f ca="1" t="shared" si="7"/>
        <v/>
      </c>
      <c r="E496" s="18" t="str">
        <f>IF(C496="","",固定信息!$B$2)</f>
        <v/>
      </c>
      <c r="F496" s="18" t="str">
        <f t="array" ref="F496">IF(C496="","","【"&amp;C496&amp;"】"&amp;_xlfn.XLOOKUP(A496&amp;B496&amp;C496,盘货信息!$A:$A&amp;盘货信息!$B:$B&amp;盘货信息!$C:$C,盘货信息!$D:$D))</f>
        <v/>
      </c>
      <c r="G496" s="18" t="str">
        <f>IF(C496="","","【"&amp;"活动时间："&amp;固定信息!$B$3&amp;"】")</f>
        <v/>
      </c>
      <c r="H496" s="18" t="str">
        <f>IF($C496="","",固定信息!$B$1)</f>
        <v/>
      </c>
      <c r="I496" s="18"/>
      <c r="J496" s="18" t="str">
        <f t="array" ref="J496">_xlfn.XLOOKUP(A496&amp;B496&amp;C496,价格信息!$A:$A&amp;价格信息!$B:$B&amp;价格信息!$C:$C,价格信息!$D:$D)</f>
        <v/>
      </c>
      <c r="K496" s="31" t="str">
        <f t="array" ref="K496">IF(_xlfn.XLOOKUP(A496&amp;B496&amp;C496,价格信息!$A:$A&amp;价格信息!$B:$B&amp;价格信息!$C:$C,价格信息!$I:$I)="","","【优惠券链接】"&amp;固定信息!$B$6)</f>
        <v/>
      </c>
      <c r="L496" s="18" t="str">
        <f>IF($C496="","",固定信息!$B$1)</f>
        <v/>
      </c>
      <c r="M496" s="18" t="str">
        <f t="array" ref="M496">IF(_xlfn.XLOOKUP(A496&amp;B496&amp;C496,盘货信息!$A:$A&amp;盘货信息!$B:$B&amp;盘货信息!$C:$C,盘货信息!$O:$O)="","","【优惠券】领"&amp;INDEX(_wpsfn.REGEXP(_xlfn.XLOOKUP(A496&amp;B496&amp;C496,盘货信息!$A:$A&amp;盘货信息!$B:$B&amp;盘货信息!$C:$C,盘货信息!$O:$O),"\d+"),1,1)&amp;"元优惠券下单更优惠，优惠卷："&amp;_xlfn.XLOOKUP(A496&amp;B496&amp;C496,盘货信息!$A:$A&amp;盘货信息!$B:$B&amp;盘货信息!$C:$C,盘货信息!$P:$P))</f>
        <v/>
      </c>
      <c r="N496" s="18" t="str">
        <f t="array" ref="N496">IF(AND(ISNUMBER(_xlfn.XLOOKUP(A496&amp;B496&amp;C496,盘货信息!$A:$A&amp;盘货信息!$B:$B&amp;盘货信息!$C:$C,盘货信息!$I:$I)),_xlfn.XLOOKUP(A496&amp;B496&amp;C496,盘货信息!$A:$A&amp;盘货信息!$B:$B&amp;盘货信息!$C:$C,盘货信息!$I:$I)&gt;1),"【88VIP】立减"&amp;_xlfn.XLOOKUP(A496&amp;B496&amp;C496,盘货信息!$A:$A&amp;盘货信息!$B:$B&amp;盘货信息!$C:$C,盘货信息!$I:$I)&amp;"元","")</f>
        <v/>
      </c>
      <c r="O496" s="18" t="str">
        <f t="array" ref="O496">IF(_xlfn.XLOOKUP(A496&amp;B496&amp;C496,盘货信息!$A:$A&amp;盘货信息!$B:$B&amp;盘货信息!$C:$C,盘货信息!$K:$K)="","",IF(AND(_xlfn.XLOOKUP(A496&amp;B496&amp;C496,盘货信息!$A:$A&amp;盘货信息!$B:$B&amp;盘货信息!$C:$C,盘货信息!$G:$G)="不参加",_xlfn.XLOOKUP(A496&amp;B496&amp;C496,盘货信息!$A:$A&amp;盘货信息!$B:$B&amp;盘货信息!$C:$C,盘货信息!$H:$H)=""),"【以旧换新】"&amp;_xlfn.XLOOKUP(A496&amp;B496&amp;C496,盘货信息!$A:$A&amp;盘货信息!$B:$B&amp;盘货信息!$C:$C,盘货信息!$K:$K)&amp;"元以旧换新补贴（可无旧机换新）",""))</f>
        <v/>
      </c>
      <c r="P496" s="18" t="str">
        <f t="array" ref="P496">_xlfn.XLOOKUP(A496&amp;B496&amp;C496,赠品!$A:$A&amp;赠品!$B:$B&amp;赠品!$C:$C,赠品!$D:$D)</f>
        <v/>
      </c>
      <c r="Q496" s="18" t="str">
        <f>IF($C496="","",IF(AND(M496="",N496="",P496=""),"",固定信息!$B$1))</f>
        <v/>
      </c>
      <c r="R496" s="18" t="str">
        <f t="array" ref="R496">IF(ISNUMBER(SEARCH("是",_xlfn.XLOOKUP(A496&amp;B496&amp;C496,盘货信息!$A:$A&amp;盘货信息!$B:$B&amp;盘货信息!$C:$C,盘货信息!$U:$U))),"【折扣】指定型号满2类享96折，满3类享94折","")</f>
        <v/>
      </c>
      <c r="S496" s="18" t="str">
        <f t="array" ref="S496">IF(_xlfn.XLOOKUP(A496&amp;B496&amp;C496,盘货信息!$A:$A&amp;盘货信息!$B:$B&amp;盘货信息!$C:$C,盘货信息!$Q:$Q)&lt;1,"","【红包】活动时间购机送"&amp;_xlfn.TEXTJOIN("",,IF(ISNUMBER(--MID(_xlfn.XLOOKUP(A496&amp;B496&amp;C496,盘货信息!$A:$A&amp;盘货信息!$B:$B&amp;盘货信息!$C:$C,盘货信息!$Q:$Q),_xlfn.SEQUENCE(LEN(_xlfn.XLOOKUP(A496&amp;B496&amp;C496,盘货信息!$A:$A&amp;盘货信息!$B:$B&amp;盘货信息!$C:$C,盘货信息!$Q:$Q))),1)),MID(_xlfn.XLOOKUP(A496&amp;B496&amp;C496,盘货信息!$A:$A&amp;盘货信息!$B:$B&amp;盘货信息!$C:$C,盘货信息!$Q:$Q),_xlfn.SEQUENCE(LEN(_xlfn.XLOOKUP(A496&amp;B496&amp;C496,盘货信息!$A:$A&amp;盘货信息!$B:$B&amp;盘货信息!$C:$C,盘货信息!$Q:$Q))),1),""))&amp;"元")</f>
        <v/>
      </c>
      <c r="T496" s="18" t="str">
        <f t="array" ref="T496">IF(ISNUMBER(SEARCH("是",_xlfn.XLOOKUP(A496&amp;B496&amp;C496,盘货信息!$A:$A&amp;盘货信息!$B:$B&amp;盘货信息!$C:$C,盘货信息!$T:$T))),"【瓜分】"&amp;固定信息!$B$7,"")</f>
        <v/>
      </c>
      <c r="U496" s="18" t="str">
        <f>IF($C496="","",IF(AND(R496="",S496="",T496=""),"",固定信息!$B$1))</f>
        <v/>
      </c>
      <c r="V496" s="18" t="str">
        <f t="array" ref="V496">IF(C496="","","【服务】"&amp;IF(_xlfn.XLOOKUP(A496&amp;B496&amp;C496,盘货信息!$A:$A&amp;盘货信息!$B:$B&amp;盘货信息!$C:$C,盘货信息!$V:$V)="","",_xlfn.XLOOKUP(A496&amp;B496&amp;C496,盘货信息!$A:$A&amp;盘货信息!$B:$B&amp;盘货信息!$C:$C,盘货信息!$V:$V)&amp;"免息,")&amp;IF(_xlfn.XLOOKUP(A496&amp;B496&amp;C496,盘货信息!$A:$A&amp;盘货信息!$B:$B&amp;盘货信息!$C:$C,盘货信息!$W:$W)="","",_xlfn.XLOOKUP(A496&amp;B496&amp;C496,盘货信息!$A:$A&amp;盘货信息!$B:$B&amp;盘货信息!$C:$C,盘货信息!$W:$W)&amp;"，")&amp;"送货入户，退换免运费")</f>
        <v/>
      </c>
    </row>
    <row r="497" customHeight="1" spans="1:22">
      <c r="A497" s="17" t="str">
        <f>IF(盘货信息!A497="","",盘货信息!A497)</f>
        <v/>
      </c>
      <c r="B497" s="20" t="str">
        <f>IF(盘货信息!B497="","",盘货信息!B497)</f>
        <v/>
      </c>
      <c r="C497" s="18" t="str">
        <f>IF(盘货信息!C497="","",盘货信息!C497)</f>
        <v/>
      </c>
      <c r="D497" s="18" t="str">
        <f ca="1" t="shared" si="7"/>
        <v/>
      </c>
      <c r="E497" s="18" t="str">
        <f>IF(C497="","",固定信息!$B$2)</f>
        <v/>
      </c>
      <c r="F497" s="18" t="str">
        <f t="array" ref="F497">IF(C497="","","【"&amp;C497&amp;"】"&amp;_xlfn.XLOOKUP(A497&amp;B497&amp;C497,盘货信息!$A:$A&amp;盘货信息!$B:$B&amp;盘货信息!$C:$C,盘货信息!$D:$D))</f>
        <v/>
      </c>
      <c r="G497" s="18" t="str">
        <f>IF(C497="","","【"&amp;"活动时间："&amp;固定信息!$B$3&amp;"】")</f>
        <v/>
      </c>
      <c r="H497" s="18" t="str">
        <f>IF($C497="","",固定信息!$B$1)</f>
        <v/>
      </c>
      <c r="I497" s="18"/>
      <c r="J497" s="18" t="str">
        <f t="array" ref="J497">_xlfn.XLOOKUP(A497&amp;B497&amp;C497,价格信息!$A:$A&amp;价格信息!$B:$B&amp;价格信息!$C:$C,价格信息!$D:$D)</f>
        <v/>
      </c>
      <c r="K497" s="31" t="str">
        <f t="array" ref="K497">IF(_xlfn.XLOOKUP(A497&amp;B497&amp;C497,价格信息!$A:$A&amp;价格信息!$B:$B&amp;价格信息!$C:$C,价格信息!$I:$I)="","","【优惠券链接】"&amp;固定信息!$B$6)</f>
        <v/>
      </c>
      <c r="L497" s="18" t="str">
        <f>IF($C497="","",固定信息!$B$1)</f>
        <v/>
      </c>
      <c r="M497" s="18" t="str">
        <f t="array" ref="M497">IF(_xlfn.XLOOKUP(A497&amp;B497&amp;C497,盘货信息!$A:$A&amp;盘货信息!$B:$B&amp;盘货信息!$C:$C,盘货信息!$O:$O)="","","【优惠券】领"&amp;INDEX(_wpsfn.REGEXP(_xlfn.XLOOKUP(A497&amp;B497&amp;C497,盘货信息!$A:$A&amp;盘货信息!$B:$B&amp;盘货信息!$C:$C,盘货信息!$O:$O),"\d+"),1,1)&amp;"元优惠券下单更优惠，优惠卷："&amp;_xlfn.XLOOKUP(A497&amp;B497&amp;C497,盘货信息!$A:$A&amp;盘货信息!$B:$B&amp;盘货信息!$C:$C,盘货信息!$P:$P))</f>
        <v/>
      </c>
      <c r="N497" s="18" t="str">
        <f t="array" ref="N497">IF(AND(ISNUMBER(_xlfn.XLOOKUP(A497&amp;B497&amp;C497,盘货信息!$A:$A&amp;盘货信息!$B:$B&amp;盘货信息!$C:$C,盘货信息!$I:$I)),_xlfn.XLOOKUP(A497&amp;B497&amp;C497,盘货信息!$A:$A&amp;盘货信息!$B:$B&amp;盘货信息!$C:$C,盘货信息!$I:$I)&gt;1),"【88VIP】立减"&amp;_xlfn.XLOOKUP(A497&amp;B497&amp;C497,盘货信息!$A:$A&amp;盘货信息!$B:$B&amp;盘货信息!$C:$C,盘货信息!$I:$I)&amp;"元","")</f>
        <v/>
      </c>
      <c r="O497" s="18" t="str">
        <f t="array" ref="O497">IF(_xlfn.XLOOKUP(A497&amp;B497&amp;C497,盘货信息!$A:$A&amp;盘货信息!$B:$B&amp;盘货信息!$C:$C,盘货信息!$K:$K)="","",IF(AND(_xlfn.XLOOKUP(A497&amp;B497&amp;C497,盘货信息!$A:$A&amp;盘货信息!$B:$B&amp;盘货信息!$C:$C,盘货信息!$G:$G)="不参加",_xlfn.XLOOKUP(A497&amp;B497&amp;C497,盘货信息!$A:$A&amp;盘货信息!$B:$B&amp;盘货信息!$C:$C,盘货信息!$H:$H)=""),"【以旧换新】"&amp;_xlfn.XLOOKUP(A497&amp;B497&amp;C497,盘货信息!$A:$A&amp;盘货信息!$B:$B&amp;盘货信息!$C:$C,盘货信息!$K:$K)&amp;"元以旧换新补贴（可无旧机换新）",""))</f>
        <v/>
      </c>
      <c r="P497" s="18" t="str">
        <f t="array" ref="P497">_xlfn.XLOOKUP(A497&amp;B497&amp;C497,赠品!$A:$A&amp;赠品!$B:$B&amp;赠品!$C:$C,赠品!$D:$D)</f>
        <v/>
      </c>
      <c r="Q497" s="18" t="str">
        <f>IF($C497="","",IF(AND(M497="",N497="",P497=""),"",固定信息!$B$1))</f>
        <v/>
      </c>
      <c r="R497" s="18" t="str">
        <f t="array" ref="R497">IF(ISNUMBER(SEARCH("是",_xlfn.XLOOKUP(A497&amp;B497&amp;C497,盘货信息!$A:$A&amp;盘货信息!$B:$B&amp;盘货信息!$C:$C,盘货信息!$U:$U))),"【折扣】指定型号满2类享96折，满3类享94折","")</f>
        <v/>
      </c>
      <c r="S497" s="18" t="str">
        <f t="array" ref="S497">IF(_xlfn.XLOOKUP(A497&amp;B497&amp;C497,盘货信息!$A:$A&amp;盘货信息!$B:$B&amp;盘货信息!$C:$C,盘货信息!$Q:$Q)&lt;1,"","【红包】活动时间购机送"&amp;_xlfn.TEXTJOIN("",,IF(ISNUMBER(--MID(_xlfn.XLOOKUP(A497&amp;B497&amp;C497,盘货信息!$A:$A&amp;盘货信息!$B:$B&amp;盘货信息!$C:$C,盘货信息!$Q:$Q),_xlfn.SEQUENCE(LEN(_xlfn.XLOOKUP(A497&amp;B497&amp;C497,盘货信息!$A:$A&amp;盘货信息!$B:$B&amp;盘货信息!$C:$C,盘货信息!$Q:$Q))),1)),MID(_xlfn.XLOOKUP(A497&amp;B497&amp;C497,盘货信息!$A:$A&amp;盘货信息!$B:$B&amp;盘货信息!$C:$C,盘货信息!$Q:$Q),_xlfn.SEQUENCE(LEN(_xlfn.XLOOKUP(A497&amp;B497&amp;C497,盘货信息!$A:$A&amp;盘货信息!$B:$B&amp;盘货信息!$C:$C,盘货信息!$Q:$Q))),1),""))&amp;"元")</f>
        <v/>
      </c>
      <c r="T497" s="18" t="str">
        <f t="array" ref="T497">IF(ISNUMBER(SEARCH("是",_xlfn.XLOOKUP(A497&amp;B497&amp;C497,盘货信息!$A:$A&amp;盘货信息!$B:$B&amp;盘货信息!$C:$C,盘货信息!$T:$T))),"【瓜分】"&amp;固定信息!$B$7,"")</f>
        <v/>
      </c>
      <c r="U497" s="18" t="str">
        <f>IF($C497="","",IF(AND(R497="",S497="",T497=""),"",固定信息!$B$1))</f>
        <v/>
      </c>
      <c r="V497" s="18" t="str">
        <f t="array" ref="V497">IF(C497="","","【服务】"&amp;IF(_xlfn.XLOOKUP(A497&amp;B497&amp;C497,盘货信息!$A:$A&amp;盘货信息!$B:$B&amp;盘货信息!$C:$C,盘货信息!$V:$V)="","",_xlfn.XLOOKUP(A497&amp;B497&amp;C497,盘货信息!$A:$A&amp;盘货信息!$B:$B&amp;盘货信息!$C:$C,盘货信息!$V:$V)&amp;"免息,")&amp;IF(_xlfn.XLOOKUP(A497&amp;B497&amp;C497,盘货信息!$A:$A&amp;盘货信息!$B:$B&amp;盘货信息!$C:$C,盘货信息!$W:$W)="","",_xlfn.XLOOKUP(A497&amp;B497&amp;C497,盘货信息!$A:$A&amp;盘货信息!$B:$B&amp;盘货信息!$C:$C,盘货信息!$W:$W)&amp;"，")&amp;"送货入户，退换免运费")</f>
        <v/>
      </c>
    </row>
    <row r="498" customHeight="1" spans="1:22">
      <c r="A498" s="17" t="str">
        <f>IF(盘货信息!A498="","",盘货信息!A498)</f>
        <v/>
      </c>
      <c r="B498" s="20" t="str">
        <f>IF(盘货信息!B498="","",盘货信息!B498)</f>
        <v/>
      </c>
      <c r="C498" s="18" t="str">
        <f>IF(盘货信息!C498="","",盘货信息!C498)</f>
        <v/>
      </c>
      <c r="D498" s="18" t="str">
        <f ca="1" t="shared" si="7"/>
        <v/>
      </c>
      <c r="E498" s="18" t="str">
        <f>IF(C498="","",固定信息!$B$2)</f>
        <v/>
      </c>
      <c r="F498" s="18" t="str">
        <f t="array" ref="F498">IF(C498="","","【"&amp;C498&amp;"】"&amp;_xlfn.XLOOKUP(A498&amp;B498&amp;C498,盘货信息!$A:$A&amp;盘货信息!$B:$B&amp;盘货信息!$C:$C,盘货信息!$D:$D))</f>
        <v/>
      </c>
      <c r="G498" s="18" t="str">
        <f>IF(C498="","","【"&amp;"活动时间："&amp;固定信息!$B$3&amp;"】")</f>
        <v/>
      </c>
      <c r="H498" s="18" t="str">
        <f>IF($C498="","",固定信息!$B$1)</f>
        <v/>
      </c>
      <c r="I498" s="18"/>
      <c r="J498" s="18" t="str">
        <f t="array" ref="J498">_xlfn.XLOOKUP(A498&amp;B498&amp;C498,价格信息!$A:$A&amp;价格信息!$B:$B&amp;价格信息!$C:$C,价格信息!$D:$D)</f>
        <v/>
      </c>
      <c r="K498" s="31" t="str">
        <f t="array" ref="K498">IF(_xlfn.XLOOKUP(A498&amp;B498&amp;C498,价格信息!$A:$A&amp;价格信息!$B:$B&amp;价格信息!$C:$C,价格信息!$I:$I)="","","【优惠券链接】"&amp;固定信息!$B$6)</f>
        <v/>
      </c>
      <c r="L498" s="18" t="str">
        <f>IF($C498="","",固定信息!$B$1)</f>
        <v/>
      </c>
      <c r="M498" s="18" t="str">
        <f t="array" ref="M498">IF(_xlfn.XLOOKUP(A498&amp;B498&amp;C498,盘货信息!$A:$A&amp;盘货信息!$B:$B&amp;盘货信息!$C:$C,盘货信息!$O:$O)="","","【优惠券】领"&amp;INDEX(_wpsfn.REGEXP(_xlfn.XLOOKUP(A498&amp;B498&amp;C498,盘货信息!$A:$A&amp;盘货信息!$B:$B&amp;盘货信息!$C:$C,盘货信息!$O:$O),"\d+"),1,1)&amp;"元优惠券下单更优惠，优惠卷："&amp;_xlfn.XLOOKUP(A498&amp;B498&amp;C498,盘货信息!$A:$A&amp;盘货信息!$B:$B&amp;盘货信息!$C:$C,盘货信息!$P:$P))</f>
        <v/>
      </c>
      <c r="N498" s="18" t="str">
        <f t="array" ref="N498">IF(AND(ISNUMBER(_xlfn.XLOOKUP(A498&amp;B498&amp;C498,盘货信息!$A:$A&amp;盘货信息!$B:$B&amp;盘货信息!$C:$C,盘货信息!$I:$I)),_xlfn.XLOOKUP(A498&amp;B498&amp;C498,盘货信息!$A:$A&amp;盘货信息!$B:$B&amp;盘货信息!$C:$C,盘货信息!$I:$I)&gt;1),"【88VIP】立减"&amp;_xlfn.XLOOKUP(A498&amp;B498&amp;C498,盘货信息!$A:$A&amp;盘货信息!$B:$B&amp;盘货信息!$C:$C,盘货信息!$I:$I)&amp;"元","")</f>
        <v/>
      </c>
      <c r="O498" s="18" t="str">
        <f t="array" ref="O498">IF(_xlfn.XLOOKUP(A498&amp;B498&amp;C498,盘货信息!$A:$A&amp;盘货信息!$B:$B&amp;盘货信息!$C:$C,盘货信息!$K:$K)="","",IF(AND(_xlfn.XLOOKUP(A498&amp;B498&amp;C498,盘货信息!$A:$A&amp;盘货信息!$B:$B&amp;盘货信息!$C:$C,盘货信息!$G:$G)="不参加",_xlfn.XLOOKUP(A498&amp;B498&amp;C498,盘货信息!$A:$A&amp;盘货信息!$B:$B&amp;盘货信息!$C:$C,盘货信息!$H:$H)=""),"【以旧换新】"&amp;_xlfn.XLOOKUP(A498&amp;B498&amp;C498,盘货信息!$A:$A&amp;盘货信息!$B:$B&amp;盘货信息!$C:$C,盘货信息!$K:$K)&amp;"元以旧换新补贴（可无旧机换新）",""))</f>
        <v/>
      </c>
      <c r="P498" s="18" t="str">
        <f t="array" ref="P498">_xlfn.XLOOKUP(A498&amp;B498&amp;C498,赠品!$A:$A&amp;赠品!$B:$B&amp;赠品!$C:$C,赠品!$D:$D)</f>
        <v/>
      </c>
      <c r="Q498" s="18" t="str">
        <f>IF($C498="","",IF(AND(M498="",N498="",P498=""),"",固定信息!$B$1))</f>
        <v/>
      </c>
      <c r="R498" s="18" t="str">
        <f t="array" ref="R498">IF(ISNUMBER(SEARCH("是",_xlfn.XLOOKUP(A498&amp;B498&amp;C498,盘货信息!$A:$A&amp;盘货信息!$B:$B&amp;盘货信息!$C:$C,盘货信息!$U:$U))),"【折扣】指定型号满2类享96折，满3类享94折","")</f>
        <v/>
      </c>
      <c r="S498" s="18" t="str">
        <f t="array" ref="S498">IF(_xlfn.XLOOKUP(A498&amp;B498&amp;C498,盘货信息!$A:$A&amp;盘货信息!$B:$B&amp;盘货信息!$C:$C,盘货信息!$Q:$Q)&lt;1,"","【红包】活动时间购机送"&amp;_xlfn.TEXTJOIN("",,IF(ISNUMBER(--MID(_xlfn.XLOOKUP(A498&amp;B498&amp;C498,盘货信息!$A:$A&amp;盘货信息!$B:$B&amp;盘货信息!$C:$C,盘货信息!$Q:$Q),_xlfn.SEQUENCE(LEN(_xlfn.XLOOKUP(A498&amp;B498&amp;C498,盘货信息!$A:$A&amp;盘货信息!$B:$B&amp;盘货信息!$C:$C,盘货信息!$Q:$Q))),1)),MID(_xlfn.XLOOKUP(A498&amp;B498&amp;C498,盘货信息!$A:$A&amp;盘货信息!$B:$B&amp;盘货信息!$C:$C,盘货信息!$Q:$Q),_xlfn.SEQUENCE(LEN(_xlfn.XLOOKUP(A498&amp;B498&amp;C498,盘货信息!$A:$A&amp;盘货信息!$B:$B&amp;盘货信息!$C:$C,盘货信息!$Q:$Q))),1),""))&amp;"元")</f>
        <v/>
      </c>
      <c r="T498" s="18" t="str">
        <f t="array" ref="T498">IF(ISNUMBER(SEARCH("是",_xlfn.XLOOKUP(A498&amp;B498&amp;C498,盘货信息!$A:$A&amp;盘货信息!$B:$B&amp;盘货信息!$C:$C,盘货信息!$T:$T))),"【瓜分】"&amp;固定信息!$B$7,"")</f>
        <v/>
      </c>
      <c r="U498" s="18" t="str">
        <f>IF($C498="","",IF(AND(R498="",S498="",T498=""),"",固定信息!$B$1))</f>
        <v/>
      </c>
      <c r="V498" s="18" t="str">
        <f t="array" ref="V498">IF(C498="","","【服务】"&amp;IF(_xlfn.XLOOKUP(A498&amp;B498&amp;C498,盘货信息!$A:$A&amp;盘货信息!$B:$B&amp;盘货信息!$C:$C,盘货信息!$V:$V)="","",_xlfn.XLOOKUP(A498&amp;B498&amp;C498,盘货信息!$A:$A&amp;盘货信息!$B:$B&amp;盘货信息!$C:$C,盘货信息!$V:$V)&amp;"免息,")&amp;IF(_xlfn.XLOOKUP(A498&amp;B498&amp;C498,盘货信息!$A:$A&amp;盘货信息!$B:$B&amp;盘货信息!$C:$C,盘货信息!$W:$W)="","",_xlfn.XLOOKUP(A498&amp;B498&amp;C498,盘货信息!$A:$A&amp;盘货信息!$B:$B&amp;盘货信息!$C:$C,盘货信息!$W:$W)&amp;"，")&amp;"送货入户，退换免运费")</f>
        <v/>
      </c>
    </row>
    <row r="499" customHeight="1" spans="1:22">
      <c r="A499" s="17" t="str">
        <f>IF(盘货信息!A499="","",盘货信息!A499)</f>
        <v/>
      </c>
      <c r="B499" s="20" t="str">
        <f>IF(盘货信息!B499="","",盘货信息!B499)</f>
        <v/>
      </c>
      <c r="C499" s="18" t="str">
        <f>IF(盘货信息!C499="","",盘货信息!C499)</f>
        <v/>
      </c>
      <c r="D499" s="18" t="str">
        <f ca="1" t="shared" si="7"/>
        <v/>
      </c>
      <c r="E499" s="18" t="str">
        <f>IF(C499="","",固定信息!$B$2)</f>
        <v/>
      </c>
      <c r="F499" s="18" t="str">
        <f t="array" ref="F499">IF(C499="","","【"&amp;C499&amp;"】"&amp;_xlfn.XLOOKUP(A499&amp;B499&amp;C499,盘货信息!$A:$A&amp;盘货信息!$B:$B&amp;盘货信息!$C:$C,盘货信息!$D:$D))</f>
        <v/>
      </c>
      <c r="G499" s="18" t="str">
        <f>IF(C499="","","【"&amp;"活动时间："&amp;固定信息!$B$3&amp;"】")</f>
        <v/>
      </c>
      <c r="H499" s="18" t="str">
        <f>IF($C499="","",固定信息!$B$1)</f>
        <v/>
      </c>
      <c r="I499" s="18"/>
      <c r="J499" s="18" t="str">
        <f t="array" ref="J499">_xlfn.XLOOKUP(A499&amp;B499&amp;C499,价格信息!$A:$A&amp;价格信息!$B:$B&amp;价格信息!$C:$C,价格信息!$D:$D)</f>
        <v/>
      </c>
      <c r="K499" s="31" t="str">
        <f t="array" ref="K499">IF(_xlfn.XLOOKUP(A499&amp;B499&amp;C499,价格信息!$A:$A&amp;价格信息!$B:$B&amp;价格信息!$C:$C,价格信息!$I:$I)="","","【优惠券链接】"&amp;固定信息!$B$6)</f>
        <v/>
      </c>
      <c r="L499" s="18" t="str">
        <f>IF($C499="","",固定信息!$B$1)</f>
        <v/>
      </c>
      <c r="M499" s="18" t="str">
        <f t="array" ref="M499">IF(_xlfn.XLOOKUP(A499&amp;B499&amp;C499,盘货信息!$A:$A&amp;盘货信息!$B:$B&amp;盘货信息!$C:$C,盘货信息!$O:$O)="","","【优惠券】领"&amp;INDEX(_wpsfn.REGEXP(_xlfn.XLOOKUP(A499&amp;B499&amp;C499,盘货信息!$A:$A&amp;盘货信息!$B:$B&amp;盘货信息!$C:$C,盘货信息!$O:$O),"\d+"),1,1)&amp;"元优惠券下单更优惠，优惠卷："&amp;_xlfn.XLOOKUP(A499&amp;B499&amp;C499,盘货信息!$A:$A&amp;盘货信息!$B:$B&amp;盘货信息!$C:$C,盘货信息!$P:$P))</f>
        <v/>
      </c>
      <c r="N499" s="18" t="str">
        <f t="array" ref="N499">IF(AND(ISNUMBER(_xlfn.XLOOKUP(A499&amp;B499&amp;C499,盘货信息!$A:$A&amp;盘货信息!$B:$B&amp;盘货信息!$C:$C,盘货信息!$I:$I)),_xlfn.XLOOKUP(A499&amp;B499&amp;C499,盘货信息!$A:$A&amp;盘货信息!$B:$B&amp;盘货信息!$C:$C,盘货信息!$I:$I)&gt;1),"【88VIP】立减"&amp;_xlfn.XLOOKUP(A499&amp;B499&amp;C499,盘货信息!$A:$A&amp;盘货信息!$B:$B&amp;盘货信息!$C:$C,盘货信息!$I:$I)&amp;"元","")</f>
        <v/>
      </c>
      <c r="O499" s="18" t="str">
        <f t="array" ref="O499">IF(_xlfn.XLOOKUP(A499&amp;B499&amp;C499,盘货信息!$A:$A&amp;盘货信息!$B:$B&amp;盘货信息!$C:$C,盘货信息!$K:$K)="","",IF(AND(_xlfn.XLOOKUP(A499&amp;B499&amp;C499,盘货信息!$A:$A&amp;盘货信息!$B:$B&amp;盘货信息!$C:$C,盘货信息!$G:$G)="不参加",_xlfn.XLOOKUP(A499&amp;B499&amp;C499,盘货信息!$A:$A&amp;盘货信息!$B:$B&amp;盘货信息!$C:$C,盘货信息!$H:$H)=""),"【以旧换新】"&amp;_xlfn.XLOOKUP(A499&amp;B499&amp;C499,盘货信息!$A:$A&amp;盘货信息!$B:$B&amp;盘货信息!$C:$C,盘货信息!$K:$K)&amp;"元以旧换新补贴（可无旧机换新）",""))</f>
        <v/>
      </c>
      <c r="P499" s="18" t="str">
        <f t="array" ref="P499">_xlfn.XLOOKUP(A499&amp;B499&amp;C499,赠品!$A:$A&amp;赠品!$B:$B&amp;赠品!$C:$C,赠品!$D:$D)</f>
        <v/>
      </c>
      <c r="Q499" s="18" t="str">
        <f>IF($C499="","",IF(AND(M499="",N499="",P499=""),"",固定信息!$B$1))</f>
        <v/>
      </c>
      <c r="R499" s="18" t="str">
        <f t="array" ref="R499">IF(ISNUMBER(SEARCH("是",_xlfn.XLOOKUP(A499&amp;B499&amp;C499,盘货信息!$A:$A&amp;盘货信息!$B:$B&amp;盘货信息!$C:$C,盘货信息!$U:$U))),"【折扣】指定型号满2类享96折，满3类享94折","")</f>
        <v/>
      </c>
      <c r="S499" s="18" t="str">
        <f t="array" ref="S499">IF(_xlfn.XLOOKUP(A499&amp;B499&amp;C499,盘货信息!$A:$A&amp;盘货信息!$B:$B&amp;盘货信息!$C:$C,盘货信息!$Q:$Q)&lt;1,"","【红包】活动时间购机送"&amp;_xlfn.TEXTJOIN("",,IF(ISNUMBER(--MID(_xlfn.XLOOKUP(A499&amp;B499&amp;C499,盘货信息!$A:$A&amp;盘货信息!$B:$B&amp;盘货信息!$C:$C,盘货信息!$Q:$Q),_xlfn.SEQUENCE(LEN(_xlfn.XLOOKUP(A499&amp;B499&amp;C499,盘货信息!$A:$A&amp;盘货信息!$B:$B&amp;盘货信息!$C:$C,盘货信息!$Q:$Q))),1)),MID(_xlfn.XLOOKUP(A499&amp;B499&amp;C499,盘货信息!$A:$A&amp;盘货信息!$B:$B&amp;盘货信息!$C:$C,盘货信息!$Q:$Q),_xlfn.SEQUENCE(LEN(_xlfn.XLOOKUP(A499&amp;B499&amp;C499,盘货信息!$A:$A&amp;盘货信息!$B:$B&amp;盘货信息!$C:$C,盘货信息!$Q:$Q))),1),""))&amp;"元")</f>
        <v/>
      </c>
      <c r="T499" s="18" t="str">
        <f t="array" ref="T499">IF(ISNUMBER(SEARCH("是",_xlfn.XLOOKUP(A499&amp;B499&amp;C499,盘货信息!$A:$A&amp;盘货信息!$B:$B&amp;盘货信息!$C:$C,盘货信息!$T:$T))),"【瓜分】"&amp;固定信息!$B$7,"")</f>
        <v/>
      </c>
      <c r="U499" s="18" t="str">
        <f>IF($C499="","",IF(AND(R499="",S499="",T499=""),"",固定信息!$B$1))</f>
        <v/>
      </c>
      <c r="V499" s="18" t="str">
        <f t="array" ref="V499">IF(C499="","","【服务】"&amp;IF(_xlfn.XLOOKUP(A499&amp;B499&amp;C499,盘货信息!$A:$A&amp;盘货信息!$B:$B&amp;盘货信息!$C:$C,盘货信息!$V:$V)="","",_xlfn.XLOOKUP(A499&amp;B499&amp;C499,盘货信息!$A:$A&amp;盘货信息!$B:$B&amp;盘货信息!$C:$C,盘货信息!$V:$V)&amp;"免息,")&amp;IF(_xlfn.XLOOKUP(A499&amp;B499&amp;C499,盘货信息!$A:$A&amp;盘货信息!$B:$B&amp;盘货信息!$C:$C,盘货信息!$W:$W)="","",_xlfn.XLOOKUP(A499&amp;B499&amp;C499,盘货信息!$A:$A&amp;盘货信息!$B:$B&amp;盘货信息!$C:$C,盘货信息!$W:$W)&amp;"，")&amp;"送货入户，退换免运费")</f>
        <v/>
      </c>
    </row>
    <row r="500" customHeight="1" spans="1:22">
      <c r="A500" s="17" t="str">
        <f>IF(盘货信息!A500="","",盘货信息!A500)</f>
        <v/>
      </c>
      <c r="B500" s="20" t="str">
        <f>IF(盘货信息!B500="","",盘货信息!B500)</f>
        <v/>
      </c>
      <c r="C500" s="18" t="str">
        <f>IF(盘货信息!C500="","",盘货信息!C500)</f>
        <v/>
      </c>
      <c r="D500" s="18" t="str">
        <f ca="1" t="shared" si="7"/>
        <v/>
      </c>
      <c r="E500" s="18" t="str">
        <f>IF(C500="","",固定信息!$B$2)</f>
        <v/>
      </c>
      <c r="F500" s="18" t="str">
        <f t="array" ref="F500">IF(C500="","","【"&amp;C500&amp;"】"&amp;_xlfn.XLOOKUP(A500&amp;B500&amp;C500,盘货信息!$A:$A&amp;盘货信息!$B:$B&amp;盘货信息!$C:$C,盘货信息!$D:$D))</f>
        <v/>
      </c>
      <c r="G500" s="18" t="str">
        <f>IF(C500="","","【"&amp;"活动时间："&amp;固定信息!$B$3&amp;"】")</f>
        <v/>
      </c>
      <c r="H500" s="18" t="str">
        <f>IF($C500="","",固定信息!$B$1)</f>
        <v/>
      </c>
      <c r="I500" s="18"/>
      <c r="J500" s="18" t="str">
        <f t="array" ref="J500">_xlfn.XLOOKUP(A500&amp;B500&amp;C500,价格信息!$A:$A&amp;价格信息!$B:$B&amp;价格信息!$C:$C,价格信息!$D:$D)</f>
        <v/>
      </c>
      <c r="K500" s="31" t="str">
        <f t="array" ref="K500">IF(_xlfn.XLOOKUP(A500&amp;B500&amp;C500,价格信息!$A:$A&amp;价格信息!$B:$B&amp;价格信息!$C:$C,价格信息!$I:$I)="","","【优惠券链接】"&amp;固定信息!$B$6)</f>
        <v/>
      </c>
      <c r="L500" s="18" t="str">
        <f>IF($C500="","",固定信息!$B$1)</f>
        <v/>
      </c>
      <c r="M500" s="18" t="str">
        <f t="array" ref="M500">IF(_xlfn.XLOOKUP(A500&amp;B500&amp;C500,盘货信息!$A:$A&amp;盘货信息!$B:$B&amp;盘货信息!$C:$C,盘货信息!$O:$O)="","","【优惠券】领"&amp;INDEX(_wpsfn.REGEXP(_xlfn.XLOOKUP(A500&amp;B500&amp;C500,盘货信息!$A:$A&amp;盘货信息!$B:$B&amp;盘货信息!$C:$C,盘货信息!$O:$O),"\d+"),1,1)&amp;"元优惠券下单更优惠，优惠卷："&amp;_xlfn.XLOOKUP(A500&amp;B500&amp;C500,盘货信息!$A:$A&amp;盘货信息!$B:$B&amp;盘货信息!$C:$C,盘货信息!$P:$P))</f>
        <v/>
      </c>
      <c r="N500" s="18" t="str">
        <f t="array" ref="N500">IF(AND(ISNUMBER(_xlfn.XLOOKUP(A500&amp;B500&amp;C500,盘货信息!$A:$A&amp;盘货信息!$B:$B&amp;盘货信息!$C:$C,盘货信息!$I:$I)),_xlfn.XLOOKUP(A500&amp;B500&amp;C500,盘货信息!$A:$A&amp;盘货信息!$B:$B&amp;盘货信息!$C:$C,盘货信息!$I:$I)&gt;1),"【88VIP】立减"&amp;_xlfn.XLOOKUP(A500&amp;B500&amp;C500,盘货信息!$A:$A&amp;盘货信息!$B:$B&amp;盘货信息!$C:$C,盘货信息!$I:$I)&amp;"元","")</f>
        <v/>
      </c>
      <c r="O500" s="18" t="str">
        <f t="array" ref="O500">IF(_xlfn.XLOOKUP(A500&amp;B500&amp;C500,盘货信息!$A:$A&amp;盘货信息!$B:$B&amp;盘货信息!$C:$C,盘货信息!$K:$K)="","",IF(AND(_xlfn.XLOOKUP(A500&amp;B500&amp;C500,盘货信息!$A:$A&amp;盘货信息!$B:$B&amp;盘货信息!$C:$C,盘货信息!$G:$G)="不参加",_xlfn.XLOOKUP(A500&amp;B500&amp;C500,盘货信息!$A:$A&amp;盘货信息!$B:$B&amp;盘货信息!$C:$C,盘货信息!$H:$H)=""),"【以旧换新】"&amp;_xlfn.XLOOKUP(A500&amp;B500&amp;C500,盘货信息!$A:$A&amp;盘货信息!$B:$B&amp;盘货信息!$C:$C,盘货信息!$K:$K)&amp;"元以旧换新补贴（可无旧机换新）",""))</f>
        <v/>
      </c>
      <c r="P500" s="18" t="str">
        <f t="array" ref="P500">_xlfn.XLOOKUP(A500&amp;B500&amp;C500,赠品!$A:$A&amp;赠品!$B:$B&amp;赠品!$C:$C,赠品!$D:$D)</f>
        <v/>
      </c>
      <c r="Q500" s="18" t="str">
        <f>IF($C500="","",IF(AND(M500="",N500="",P500=""),"",固定信息!$B$1))</f>
        <v/>
      </c>
      <c r="R500" s="18" t="str">
        <f t="array" ref="R500">IF(ISNUMBER(SEARCH("是",_xlfn.XLOOKUP(A500&amp;B500&amp;C500,盘货信息!$A:$A&amp;盘货信息!$B:$B&amp;盘货信息!$C:$C,盘货信息!$U:$U))),"【折扣】指定型号满2类享96折，满3类享94折","")</f>
        <v/>
      </c>
      <c r="S500" s="18" t="str">
        <f t="array" ref="S500">IF(_xlfn.XLOOKUP(A500&amp;B500&amp;C500,盘货信息!$A:$A&amp;盘货信息!$B:$B&amp;盘货信息!$C:$C,盘货信息!$Q:$Q)&lt;1,"","【红包】活动时间购机送"&amp;_xlfn.TEXTJOIN("",,IF(ISNUMBER(--MID(_xlfn.XLOOKUP(A500&amp;B500&amp;C500,盘货信息!$A:$A&amp;盘货信息!$B:$B&amp;盘货信息!$C:$C,盘货信息!$Q:$Q),_xlfn.SEQUENCE(LEN(_xlfn.XLOOKUP(A500&amp;B500&amp;C500,盘货信息!$A:$A&amp;盘货信息!$B:$B&amp;盘货信息!$C:$C,盘货信息!$Q:$Q))),1)),MID(_xlfn.XLOOKUP(A500&amp;B500&amp;C500,盘货信息!$A:$A&amp;盘货信息!$B:$B&amp;盘货信息!$C:$C,盘货信息!$Q:$Q),_xlfn.SEQUENCE(LEN(_xlfn.XLOOKUP(A500&amp;B500&amp;C500,盘货信息!$A:$A&amp;盘货信息!$B:$B&amp;盘货信息!$C:$C,盘货信息!$Q:$Q))),1),""))&amp;"元")</f>
        <v/>
      </c>
      <c r="T500" s="18" t="str">
        <f t="array" ref="T500">IF(ISNUMBER(SEARCH("是",_xlfn.XLOOKUP(A500&amp;B500&amp;C500,盘货信息!$A:$A&amp;盘货信息!$B:$B&amp;盘货信息!$C:$C,盘货信息!$T:$T))),"【瓜分】"&amp;固定信息!$B$7,"")</f>
        <v/>
      </c>
      <c r="U500" s="18" t="str">
        <f>IF($C500="","",IF(AND(R500="",S500="",T500=""),"",固定信息!$B$1))</f>
        <v/>
      </c>
      <c r="V500" s="18" t="str">
        <f t="array" ref="V500">IF(C500="","","【服务】"&amp;IF(_xlfn.XLOOKUP(A500&amp;B500&amp;C500,盘货信息!$A:$A&amp;盘货信息!$B:$B&amp;盘货信息!$C:$C,盘货信息!$V:$V)="","",_xlfn.XLOOKUP(A500&amp;B500&amp;C500,盘货信息!$A:$A&amp;盘货信息!$B:$B&amp;盘货信息!$C:$C,盘货信息!$V:$V)&amp;"免息,")&amp;IF(_xlfn.XLOOKUP(A500&amp;B500&amp;C500,盘货信息!$A:$A&amp;盘货信息!$B:$B&amp;盘货信息!$C:$C,盘货信息!$W:$W)="","",_xlfn.XLOOKUP(A500&amp;B500&amp;C500,盘货信息!$A:$A&amp;盘货信息!$B:$B&amp;盘货信息!$C:$C,盘货信息!$W:$W)&amp;"，")&amp;"送货入户，退换免运费")</f>
        <v/>
      </c>
    </row>
    <row r="501" customHeight="1" spans="1:22">
      <c r="A501" s="17" t="str">
        <f>IF(盘货信息!A501="","",盘货信息!A501)</f>
        <v/>
      </c>
      <c r="B501" s="20" t="str">
        <f>IF(盘货信息!B501="","",盘货信息!B501)</f>
        <v/>
      </c>
      <c r="C501" s="18" t="str">
        <f>IF(盘货信息!C501="","",盘货信息!C501)</f>
        <v/>
      </c>
      <c r="D501" s="18" t="str">
        <f ca="1" t="shared" si="7"/>
        <v/>
      </c>
      <c r="E501" s="18" t="str">
        <f>IF(C501="","",固定信息!$B$2)</f>
        <v/>
      </c>
      <c r="F501" s="18" t="str">
        <f t="array" ref="F501">IF(C501="","","【"&amp;C501&amp;"】"&amp;_xlfn.XLOOKUP(A501&amp;B501&amp;C501,盘货信息!$A:$A&amp;盘货信息!$B:$B&amp;盘货信息!$C:$C,盘货信息!$D:$D))</f>
        <v/>
      </c>
      <c r="G501" s="18" t="str">
        <f>IF(C501="","","【"&amp;"活动时间："&amp;固定信息!$B$3&amp;"】")</f>
        <v/>
      </c>
      <c r="H501" s="18" t="str">
        <f>IF($C501="","",固定信息!$B$1)</f>
        <v/>
      </c>
      <c r="I501" s="18"/>
      <c r="J501" s="18" t="str">
        <f t="array" ref="J501">_xlfn.XLOOKUP(A501&amp;B501&amp;C501,价格信息!$A:$A&amp;价格信息!$B:$B&amp;价格信息!$C:$C,价格信息!$D:$D)</f>
        <v/>
      </c>
      <c r="K501" s="31" t="str">
        <f t="array" ref="K501">IF(_xlfn.XLOOKUP(A501&amp;B501&amp;C501,价格信息!$A:$A&amp;价格信息!$B:$B&amp;价格信息!$C:$C,价格信息!$I:$I)="","","【优惠券链接】"&amp;固定信息!$B$6)</f>
        <v/>
      </c>
      <c r="L501" s="18" t="str">
        <f>IF($C501="","",固定信息!$B$1)</f>
        <v/>
      </c>
      <c r="M501" s="18" t="str">
        <f t="array" ref="M501">IF(_xlfn.XLOOKUP(A501&amp;B501&amp;C501,盘货信息!$A:$A&amp;盘货信息!$B:$B&amp;盘货信息!$C:$C,盘货信息!$O:$O)="","","【优惠券】领"&amp;INDEX(_wpsfn.REGEXP(_xlfn.XLOOKUP(A501&amp;B501&amp;C501,盘货信息!$A:$A&amp;盘货信息!$B:$B&amp;盘货信息!$C:$C,盘货信息!$O:$O),"\d+"),1,1)&amp;"元优惠券下单更优惠，优惠卷："&amp;_xlfn.XLOOKUP(A501&amp;B501&amp;C501,盘货信息!$A:$A&amp;盘货信息!$B:$B&amp;盘货信息!$C:$C,盘货信息!$P:$P))</f>
        <v/>
      </c>
      <c r="N501" s="18" t="str">
        <f t="array" ref="N501">IF(AND(ISNUMBER(_xlfn.XLOOKUP(A501&amp;B501&amp;C501,盘货信息!$A:$A&amp;盘货信息!$B:$B&amp;盘货信息!$C:$C,盘货信息!$I:$I)),_xlfn.XLOOKUP(A501&amp;B501&amp;C501,盘货信息!$A:$A&amp;盘货信息!$B:$B&amp;盘货信息!$C:$C,盘货信息!$I:$I)&gt;1),"【88VIP】立减"&amp;_xlfn.XLOOKUP(A501&amp;B501&amp;C501,盘货信息!$A:$A&amp;盘货信息!$B:$B&amp;盘货信息!$C:$C,盘货信息!$I:$I)&amp;"元","")</f>
        <v/>
      </c>
      <c r="O501" s="18" t="str">
        <f t="array" ref="O501">IF(_xlfn.XLOOKUP(A501&amp;B501&amp;C501,盘货信息!$A:$A&amp;盘货信息!$B:$B&amp;盘货信息!$C:$C,盘货信息!$K:$K)="","",IF(AND(_xlfn.XLOOKUP(A501&amp;B501&amp;C501,盘货信息!$A:$A&amp;盘货信息!$B:$B&amp;盘货信息!$C:$C,盘货信息!$G:$G)="不参加",_xlfn.XLOOKUP(A501&amp;B501&amp;C501,盘货信息!$A:$A&amp;盘货信息!$B:$B&amp;盘货信息!$C:$C,盘货信息!$H:$H)=""),"【以旧换新】"&amp;_xlfn.XLOOKUP(A501&amp;B501&amp;C501,盘货信息!$A:$A&amp;盘货信息!$B:$B&amp;盘货信息!$C:$C,盘货信息!$K:$K)&amp;"元以旧换新补贴（可无旧机换新）",""))</f>
        <v/>
      </c>
      <c r="P501" s="18" t="str">
        <f t="array" ref="P501">_xlfn.XLOOKUP(A501&amp;B501&amp;C501,赠品!$A:$A&amp;赠品!$B:$B&amp;赠品!$C:$C,赠品!$D:$D)</f>
        <v/>
      </c>
      <c r="Q501" s="18" t="str">
        <f>IF($C501="","",IF(AND(M501="",N501="",P501=""),"",固定信息!$B$1))</f>
        <v/>
      </c>
      <c r="R501" s="18" t="str">
        <f t="array" ref="R501">IF(ISNUMBER(SEARCH("是",_xlfn.XLOOKUP(A501&amp;B501&amp;C501,盘货信息!$A:$A&amp;盘货信息!$B:$B&amp;盘货信息!$C:$C,盘货信息!$U:$U))),"【折扣】指定型号满2类享96折，满3类享94折","")</f>
        <v/>
      </c>
      <c r="S501" s="18" t="str">
        <f t="array" ref="S501">IF(_xlfn.XLOOKUP(A501&amp;B501&amp;C501,盘货信息!$A:$A&amp;盘货信息!$B:$B&amp;盘货信息!$C:$C,盘货信息!$Q:$Q)&lt;1,"","【红包】活动时间购机送"&amp;_xlfn.TEXTJOIN("",,IF(ISNUMBER(--MID(_xlfn.XLOOKUP(A501&amp;B501&amp;C501,盘货信息!$A:$A&amp;盘货信息!$B:$B&amp;盘货信息!$C:$C,盘货信息!$Q:$Q),_xlfn.SEQUENCE(LEN(_xlfn.XLOOKUP(A501&amp;B501&amp;C501,盘货信息!$A:$A&amp;盘货信息!$B:$B&amp;盘货信息!$C:$C,盘货信息!$Q:$Q))),1)),MID(_xlfn.XLOOKUP(A501&amp;B501&amp;C501,盘货信息!$A:$A&amp;盘货信息!$B:$B&amp;盘货信息!$C:$C,盘货信息!$Q:$Q),_xlfn.SEQUENCE(LEN(_xlfn.XLOOKUP(A501&amp;B501&amp;C501,盘货信息!$A:$A&amp;盘货信息!$B:$B&amp;盘货信息!$C:$C,盘货信息!$Q:$Q))),1),""))&amp;"元")</f>
        <v/>
      </c>
      <c r="T501" s="18" t="str">
        <f t="array" ref="T501">IF(ISNUMBER(SEARCH("是",_xlfn.XLOOKUP(A501&amp;B501&amp;C501,盘货信息!$A:$A&amp;盘货信息!$B:$B&amp;盘货信息!$C:$C,盘货信息!$T:$T))),"【瓜分】"&amp;固定信息!$B$7,"")</f>
        <v/>
      </c>
      <c r="U501" s="18" t="str">
        <f>IF($C501="","",IF(AND(R501="",S501="",T501=""),"",固定信息!$B$1))</f>
        <v/>
      </c>
      <c r="V501" s="18" t="str">
        <f t="array" ref="V501">IF(C501="","","【服务】"&amp;IF(_xlfn.XLOOKUP(A501&amp;B501&amp;C501,盘货信息!$A:$A&amp;盘货信息!$B:$B&amp;盘货信息!$C:$C,盘货信息!$V:$V)="","",_xlfn.XLOOKUP(A501&amp;B501&amp;C501,盘货信息!$A:$A&amp;盘货信息!$B:$B&amp;盘货信息!$C:$C,盘货信息!$V:$V)&amp;"免息,")&amp;IF(_xlfn.XLOOKUP(A501&amp;B501&amp;C501,盘货信息!$A:$A&amp;盘货信息!$B:$B&amp;盘货信息!$C:$C,盘货信息!$W:$W)="","",_xlfn.XLOOKUP(A501&amp;B501&amp;C501,盘货信息!$A:$A&amp;盘货信息!$B:$B&amp;盘货信息!$C:$C,盘货信息!$W:$W)&amp;"，")&amp;"送货入户，退换免运费")</f>
        <v/>
      </c>
    </row>
  </sheetData>
  <autoFilter xmlns:etc="http://www.wps.cn/officeDocument/2017/etCustomData" ref="A1:V50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50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8.88888888888889" defaultRowHeight="15" customHeight="1"/>
  <cols>
    <col min="1" max="1" width="23.1111111111111" style="12" customWidth="1"/>
    <col min="2" max="2" width="23.6296296296296" style="12" customWidth="1"/>
    <col min="3" max="5" width="34.0740740740741" style="13" customWidth="1"/>
    <col min="6" max="13" width="17.8888888888889" style="13" customWidth="1"/>
  </cols>
  <sheetData>
    <row r="1" customHeight="1" spans="1:13">
      <c r="A1" s="14" t="str">
        <f>IF(盘货信息!A1="","",盘货信息!A1)</f>
        <v>ID</v>
      </c>
      <c r="B1" s="14" t="str">
        <f>IF(盘货信息!B1="","",盘货信息!B1)</f>
        <v>SKUID</v>
      </c>
      <c r="C1" s="15" t="str">
        <f>IF(盘货信息!C1="","",盘货信息!C1)</f>
        <v>型号</v>
      </c>
      <c r="D1" s="15" t="s">
        <v>38</v>
      </c>
      <c r="E1" s="15" t="s">
        <v>44</v>
      </c>
      <c r="F1" s="15" t="s">
        <v>4</v>
      </c>
      <c r="G1" s="15" t="s">
        <v>40</v>
      </c>
      <c r="H1" s="15" t="s">
        <v>9</v>
      </c>
      <c r="I1" s="15" t="s">
        <v>17</v>
      </c>
      <c r="J1" s="15" t="s">
        <v>10</v>
      </c>
      <c r="K1" s="15" t="s">
        <v>11</v>
      </c>
      <c r="L1" s="15" t="s">
        <v>12</v>
      </c>
      <c r="M1" s="15" t="s">
        <v>6</v>
      </c>
    </row>
    <row r="2" customHeight="1" spans="1:13">
      <c r="A2" s="17" t="str">
        <f>IF(盘货信息!A2="","",盘货信息!A2)</f>
        <v/>
      </c>
      <c r="B2" s="17" t="str">
        <f>IF(盘货信息!B2="","",盘货信息!B2)</f>
        <v/>
      </c>
      <c r="C2" s="18" t="str">
        <f>IF(盘货信息!C2="","",盘货信息!C2)</f>
        <v/>
      </c>
      <c r="D2" s="18" t="str">
        <f t="shared" ref="D2:D65" si="0">IF(C2="","",E2&amp;"="&amp;F2&amp;IF(G2="","","-"&amp;G2)&amp;IF(H2="","","-"&amp;H2)&amp;IF(I2="","","-"&amp;I2)&amp;IF(J2="","","-"&amp;J2)&amp;IF(K2="","","-"&amp;K2)&amp;IF(L2="","","-"&amp;L2)&amp;IF(M2="","","-"&amp;M2))</f>
        <v/>
      </c>
      <c r="E2" s="18" t="str">
        <f t="array" ref="E2">IF(C2="","",IF(_xlfn.XLOOKUP(A2&amp;B2&amp;C2,盘货信息!$A:$A&amp;盘货信息!$B:$B&amp;盘货信息!$C:$C,盘货信息!$N:$N)="","【立减到手价"&amp;_xlfn.XLOOKUP(A2&amp;B2&amp;C2,盘货信息!$A:$A&amp;盘货信息!$B:$B&amp;盘货信息!$C:$C,盘货信息!$F:$F)&amp;"元】","【焕新补贴预估价"&amp;_xlfn.XLOOKUP(A2&amp;B2&amp;C2,盘货信息!$A:$A&amp;盘货信息!$B:$B&amp;盘货信息!$C:$C,盘货信息!$N:$N)&amp;"元】"))</f>
        <v/>
      </c>
      <c r="F2" s="18" t="str">
        <f t="array" ref="F2">IF(C2="","",_xlfn.XLOOKUP(A2&amp;B2&amp;C2,盘货信息!$A:$A&amp;盘货信息!$B:$B&amp;盘货信息!$C:$C,盘货信息!$E:$E)&amp;"元到手价")</f>
        <v/>
      </c>
      <c r="G2" s="18" t="str">
        <f t="array" ref="G2">IF(C2="","",IF(_xlfn.XLOOKUP(A2&amp;B2&amp;C2,盘货信息!$A:$A&amp;盘货信息!$B:$B&amp;盘货信息!$C:$C,盘货信息!$I:$I)="","","88VIP95折"))</f>
        <v/>
      </c>
      <c r="H2" s="18" t="str">
        <f t="array" ref="H2">IF(C2="","",IF(_xlfn.XLOOKUP(A2&amp;B2&amp;C2,盘货信息!$A:$A&amp;盘货信息!$B:$B&amp;盘货信息!$C:$C,盘货信息!$J:$J)="","",_xlfn.XLOOKUP(A2&amp;B2&amp;C2,盘货信息!$A:$A&amp;盘货信息!$B:$B&amp;盘货信息!$C:$C,盘货信息!$J:$J)&amp;"元优惠卷"))</f>
        <v/>
      </c>
      <c r="I2" s="18" t="str">
        <f t="array" ref="I2">IF(C2="","",IF(_xlfn.XLOOKUP(A2&amp;B2&amp;C2,盘货信息!$A:$A&amp;盘货信息!$B:$B&amp;盘货信息!$C:$C,盘货信息!$R:$R)="","",_xlfn.XLOOKUP(A2&amp;B2&amp;C2,盘货信息!$A:$A&amp;盘货信息!$B:$B&amp;盘货信息!$C:$C,盘货信息!$R:$R)&amp;"元优惠卷"))</f>
        <v/>
      </c>
      <c r="J2" s="18" t="str">
        <f t="array" ref="J2">IF(C2="","",IF(_xlfn.XLOOKUP(A2&amp;B2&amp;C2,盘货信息!$A:$A&amp;盘货信息!$B:$B&amp;盘货信息!$C:$C,盘货信息!$K:$K)="","",IF(OR(_xlfn.XLOOKUP(A2&amp;B2&amp;C2,盘货信息!$A:$A&amp;盘货信息!$B:$B&amp;盘货信息!$C:$C,盘货信息!$G:$G)="参加",_xlfn.XLOOKUP(A2&amp;B2&amp;C2,盘货信息!$A:$A&amp;盘货信息!$B:$B&amp;盘货信息!$C:$C,盘货信息!$H:$H)="1（纯自补）"),_xlfn.XLOOKUP(A2&amp;B2&amp;C2,盘货信息!$A:$A&amp;盘货信息!$B:$B&amp;盘货信息!$C:$C,盘货信息!$K:$K)&amp;"元以旧换新（可无旧机换新）","")))</f>
        <v/>
      </c>
      <c r="K2" s="18" t="str">
        <f t="array" ref="K2">IF(C2="","",IF(_xlfn.XLOOKUP(A2&amp;B2&amp;C2,盘货信息!$A:$A&amp;盘货信息!$B:$B&amp;盘货信息!$C:$C,盘货信息!$L:$L)="","",_xlfn.XLOOKUP(A2&amp;B2&amp;C2,盘货信息!$A:$A&amp;盘货信息!$B:$B&amp;盘货信息!$C:$C,盘货信息!$L:$L)&amp;"元限时补贴"))</f>
        <v/>
      </c>
      <c r="L2" s="18" t="str">
        <f t="array" ref="L2">IF(C2="","",IF(_xlfn.XLOOKUP(A2&amp;B2&amp;C2,盘货信息!$A:$A&amp;盘货信息!$B:$B&amp;盘货信息!$C:$C,盘货信息!$M:$M)="","",_xlfn.XLOOKUP(A2&amp;B2&amp;C2,盘货信息!$A:$A&amp;盘货信息!$B:$B&amp;盘货信息!$C:$C,盘货信息!$M:$M)&amp;"元消费券"))</f>
        <v/>
      </c>
      <c r="M2" s="18" t="str">
        <f t="array" ref="M2">IF(C2="","",IF(_xlfn.XLOOKUP(A2&amp;B2&amp;C2,盘货信息!$A:$A&amp;盘货信息!$B:$B&amp;盘货信息!$C:$C,盘货信息!$G:$G)="不参加","","焕新补贴优惠【全民可用，不限地址】"))</f>
        <v/>
      </c>
    </row>
    <row r="3" customHeight="1" spans="1:13">
      <c r="A3" s="17" t="str">
        <f>IF(盘货信息!A3="","",盘货信息!A3)</f>
        <v/>
      </c>
      <c r="B3" s="17" t="str">
        <f>IF(盘货信息!B3="","",盘货信息!B3)</f>
        <v/>
      </c>
      <c r="C3" s="18" t="str">
        <f>IF(盘货信息!C3="","",盘货信息!C3)</f>
        <v/>
      </c>
      <c r="D3" s="18" t="str">
        <f t="shared" si="0"/>
        <v/>
      </c>
      <c r="E3" s="18" t="str">
        <f t="array" ref="E3">IF(C3="","",IF(_xlfn.XLOOKUP(A3&amp;B3&amp;C3,盘货信息!$A:$A&amp;盘货信息!$B:$B&amp;盘货信息!$C:$C,盘货信息!$N:$N)="","【立减到手价"&amp;_xlfn.XLOOKUP(A3&amp;B3&amp;C3,盘货信息!$A:$A&amp;盘货信息!$B:$B&amp;盘货信息!$C:$C,盘货信息!$F:$F)&amp;"元】","【焕新补贴预估价"&amp;_xlfn.XLOOKUP(A3&amp;B3&amp;C3,盘货信息!$A:$A&amp;盘货信息!$B:$B&amp;盘货信息!$C:$C,盘货信息!$N:$N)&amp;"元】"))</f>
        <v/>
      </c>
      <c r="F3" s="18" t="str">
        <f t="array" ref="F3">IF(C3="","",_xlfn.XLOOKUP(A3&amp;B3&amp;C3,盘货信息!$A:$A&amp;盘货信息!$B:$B&amp;盘货信息!$C:$C,盘货信息!$E:$E)&amp;"元到手价")</f>
        <v/>
      </c>
      <c r="G3" s="18" t="str">
        <f t="array" ref="G3">IF(C3="","",IF(_xlfn.XLOOKUP(A3&amp;B3&amp;C3,盘货信息!$A:$A&amp;盘货信息!$B:$B&amp;盘货信息!$C:$C,盘货信息!$I:$I)="","","88VIP95折"))</f>
        <v/>
      </c>
      <c r="H3" s="18" t="str">
        <f t="array" ref="H3">IF(C3="","",IF(_xlfn.XLOOKUP(A3&amp;B3&amp;C3,盘货信息!$A:$A&amp;盘货信息!$B:$B&amp;盘货信息!$C:$C,盘货信息!$J:$J)="","",_xlfn.XLOOKUP(A3&amp;B3&amp;C3,盘货信息!$A:$A&amp;盘货信息!$B:$B&amp;盘货信息!$C:$C,盘货信息!$J:$J)&amp;"元优惠卷"))</f>
        <v/>
      </c>
      <c r="I3" s="18" t="str">
        <f t="array" ref="I3">IF(C3="","",IF(_xlfn.XLOOKUP(A3&amp;B3&amp;C3,盘货信息!$A:$A&amp;盘货信息!$B:$B&amp;盘货信息!$C:$C,盘货信息!$R:$R)="","",_xlfn.XLOOKUP(A3&amp;B3&amp;C3,盘货信息!$A:$A&amp;盘货信息!$B:$B&amp;盘货信息!$C:$C,盘货信息!$R:$R)&amp;"元优惠卷"))</f>
        <v/>
      </c>
      <c r="J3" s="18" t="str">
        <f t="array" ref="J3">IF(C3="","",IF(_xlfn.XLOOKUP(A3&amp;B3&amp;C3,盘货信息!$A:$A&amp;盘货信息!$B:$B&amp;盘货信息!$C:$C,盘货信息!$K:$K)="","",IF(OR(_xlfn.XLOOKUP(A3&amp;B3&amp;C3,盘货信息!$A:$A&amp;盘货信息!$B:$B&amp;盘货信息!$C:$C,盘货信息!$G:$G)="参加",_xlfn.XLOOKUP(A3&amp;B3&amp;C3,盘货信息!$A:$A&amp;盘货信息!$B:$B&amp;盘货信息!$C:$C,盘货信息!$H:$H)="1（纯自补）"),_xlfn.XLOOKUP(A3&amp;B3&amp;C3,盘货信息!$A:$A&amp;盘货信息!$B:$B&amp;盘货信息!$C:$C,盘货信息!$K:$K)&amp;"元以旧换新（可无旧机换新）","")))</f>
        <v/>
      </c>
      <c r="K3" s="18" t="str">
        <f t="array" ref="K3">IF(C3="","",IF(_xlfn.XLOOKUP(A3&amp;B3&amp;C3,盘货信息!$A:$A&amp;盘货信息!$B:$B&amp;盘货信息!$C:$C,盘货信息!$L:$L)="","",_xlfn.XLOOKUP(A3&amp;B3&amp;C3,盘货信息!$A:$A&amp;盘货信息!$B:$B&amp;盘货信息!$C:$C,盘货信息!$L:$L)&amp;"元限时补贴"))</f>
        <v/>
      </c>
      <c r="L3" s="18" t="str">
        <f t="array" ref="L3">IF(C3="","",IF(_xlfn.XLOOKUP(A3&amp;B3&amp;C3,盘货信息!$A:$A&amp;盘货信息!$B:$B&amp;盘货信息!$C:$C,盘货信息!$M:$M)="","",_xlfn.XLOOKUP(A3&amp;B3&amp;C3,盘货信息!$A:$A&amp;盘货信息!$B:$B&amp;盘货信息!$C:$C,盘货信息!$M:$M)&amp;"元消费券"))</f>
        <v/>
      </c>
      <c r="M3" s="18" t="str">
        <f t="array" ref="M3">IF(C3="","",IF(_xlfn.XLOOKUP(A3&amp;B3&amp;C3,盘货信息!$A:$A&amp;盘货信息!$B:$B&amp;盘货信息!$C:$C,盘货信息!$G:$G)="不参加","","焕新补贴优惠【全民可用，不限地址】"))</f>
        <v/>
      </c>
    </row>
    <row r="4" customHeight="1" spans="1:13">
      <c r="A4" s="17" t="str">
        <f>IF(盘货信息!A4="","",盘货信息!A4)</f>
        <v/>
      </c>
      <c r="B4" s="17" t="str">
        <f>IF(盘货信息!B4="","",盘货信息!B4)</f>
        <v/>
      </c>
      <c r="C4" s="18" t="str">
        <f>IF(盘货信息!C4="","",盘货信息!C4)</f>
        <v/>
      </c>
      <c r="D4" s="18" t="str">
        <f t="shared" si="0"/>
        <v/>
      </c>
      <c r="E4" s="18" t="str">
        <f t="array" ref="E4">IF(C4="","",IF(_xlfn.XLOOKUP(A4&amp;B4&amp;C4,盘货信息!$A:$A&amp;盘货信息!$B:$B&amp;盘货信息!$C:$C,盘货信息!$N:$N)="","【立减到手价"&amp;_xlfn.XLOOKUP(A4&amp;B4&amp;C4,盘货信息!$A:$A&amp;盘货信息!$B:$B&amp;盘货信息!$C:$C,盘货信息!$F:$F)&amp;"元】","【焕新补贴预估价"&amp;_xlfn.XLOOKUP(A4&amp;B4&amp;C4,盘货信息!$A:$A&amp;盘货信息!$B:$B&amp;盘货信息!$C:$C,盘货信息!$N:$N)&amp;"元】"))</f>
        <v/>
      </c>
      <c r="F4" s="18" t="str">
        <f t="array" ref="F4">IF(C4="","",_xlfn.XLOOKUP(A4&amp;B4&amp;C4,盘货信息!$A:$A&amp;盘货信息!$B:$B&amp;盘货信息!$C:$C,盘货信息!$E:$E)&amp;"元到手价")</f>
        <v/>
      </c>
      <c r="G4" s="18" t="str">
        <f t="array" ref="G4">IF(C4="","",IF(_xlfn.XLOOKUP(A4&amp;B4&amp;C4,盘货信息!$A:$A&amp;盘货信息!$B:$B&amp;盘货信息!$C:$C,盘货信息!$I:$I)="","","88VIP95折"))</f>
        <v/>
      </c>
      <c r="H4" s="18" t="str">
        <f t="array" ref="H4">IF(C4="","",IF(_xlfn.XLOOKUP(A4&amp;B4&amp;C4,盘货信息!$A:$A&amp;盘货信息!$B:$B&amp;盘货信息!$C:$C,盘货信息!$J:$J)="","",_xlfn.XLOOKUP(A4&amp;B4&amp;C4,盘货信息!$A:$A&amp;盘货信息!$B:$B&amp;盘货信息!$C:$C,盘货信息!$J:$J)&amp;"元优惠卷"))</f>
        <v/>
      </c>
      <c r="I4" s="18" t="str">
        <f t="array" ref="I4">IF(C4="","",IF(_xlfn.XLOOKUP(A4&amp;B4&amp;C4,盘货信息!$A:$A&amp;盘货信息!$B:$B&amp;盘货信息!$C:$C,盘货信息!$R:$R)="","",_xlfn.XLOOKUP(A4&amp;B4&amp;C4,盘货信息!$A:$A&amp;盘货信息!$B:$B&amp;盘货信息!$C:$C,盘货信息!$R:$R)&amp;"元优惠卷"))</f>
        <v/>
      </c>
      <c r="J4" s="18" t="str">
        <f t="array" ref="J4">IF(C4="","",IF(_xlfn.XLOOKUP(A4&amp;B4&amp;C4,盘货信息!$A:$A&amp;盘货信息!$B:$B&amp;盘货信息!$C:$C,盘货信息!$K:$K)="","",IF(OR(_xlfn.XLOOKUP(A4&amp;B4&amp;C4,盘货信息!$A:$A&amp;盘货信息!$B:$B&amp;盘货信息!$C:$C,盘货信息!$G:$G)="参加",_xlfn.XLOOKUP(A4&amp;B4&amp;C4,盘货信息!$A:$A&amp;盘货信息!$B:$B&amp;盘货信息!$C:$C,盘货信息!$H:$H)="1（纯自补）"),_xlfn.XLOOKUP(A4&amp;B4&amp;C4,盘货信息!$A:$A&amp;盘货信息!$B:$B&amp;盘货信息!$C:$C,盘货信息!$K:$K)&amp;"元以旧换新（可无旧机换新）","")))</f>
        <v/>
      </c>
      <c r="K4" s="18" t="str">
        <f t="array" ref="K4">IF(C4="","",IF(_xlfn.XLOOKUP(A4&amp;B4&amp;C4,盘货信息!$A:$A&amp;盘货信息!$B:$B&amp;盘货信息!$C:$C,盘货信息!$L:$L)="","",_xlfn.XLOOKUP(A4&amp;B4&amp;C4,盘货信息!$A:$A&amp;盘货信息!$B:$B&amp;盘货信息!$C:$C,盘货信息!$L:$L)&amp;"元限时补贴"))</f>
        <v/>
      </c>
      <c r="L4" s="18" t="str">
        <f t="array" ref="L4">IF(C4="","",IF(_xlfn.XLOOKUP(A4&amp;B4&amp;C4,盘货信息!$A:$A&amp;盘货信息!$B:$B&amp;盘货信息!$C:$C,盘货信息!$M:$M)="","",_xlfn.XLOOKUP(A4&amp;B4&amp;C4,盘货信息!$A:$A&amp;盘货信息!$B:$B&amp;盘货信息!$C:$C,盘货信息!$M:$M)&amp;"元消费券"))</f>
        <v/>
      </c>
      <c r="M4" s="18" t="str">
        <f t="array" ref="M4">IF(C4="","",IF(_xlfn.XLOOKUP(A4&amp;B4&amp;C4,盘货信息!$A:$A&amp;盘货信息!$B:$B&amp;盘货信息!$C:$C,盘货信息!$G:$G)="不参加","","焕新补贴优惠【全民可用，不限地址】"))</f>
        <v/>
      </c>
    </row>
    <row r="5" customHeight="1" spans="1:13">
      <c r="A5" s="17" t="str">
        <f>IF(盘货信息!A5="","",盘货信息!A5)</f>
        <v/>
      </c>
      <c r="B5" s="17" t="str">
        <f>IF(盘货信息!B5="","",盘货信息!B5)</f>
        <v/>
      </c>
      <c r="C5" s="18" t="str">
        <f>IF(盘货信息!C5="","",盘货信息!C5)</f>
        <v/>
      </c>
      <c r="D5" s="18" t="str">
        <f t="shared" si="0"/>
        <v/>
      </c>
      <c r="E5" s="18" t="str">
        <f t="array" ref="E5">IF(C5="","",IF(_xlfn.XLOOKUP(A5&amp;B5&amp;C5,盘货信息!$A:$A&amp;盘货信息!$B:$B&amp;盘货信息!$C:$C,盘货信息!$N:$N)="","【立减到手价"&amp;_xlfn.XLOOKUP(A5&amp;B5&amp;C5,盘货信息!$A:$A&amp;盘货信息!$B:$B&amp;盘货信息!$C:$C,盘货信息!$F:$F)&amp;"元】","【焕新补贴预估价"&amp;_xlfn.XLOOKUP(A5&amp;B5&amp;C5,盘货信息!$A:$A&amp;盘货信息!$B:$B&amp;盘货信息!$C:$C,盘货信息!$N:$N)&amp;"元】"))</f>
        <v/>
      </c>
      <c r="F5" s="18" t="str">
        <f t="array" ref="F5">IF(C5="","",_xlfn.XLOOKUP(A5&amp;B5&amp;C5,盘货信息!$A:$A&amp;盘货信息!$B:$B&amp;盘货信息!$C:$C,盘货信息!$E:$E)&amp;"元到手价")</f>
        <v/>
      </c>
      <c r="G5" s="18" t="str">
        <f t="array" ref="G5">IF(C5="","",IF(_xlfn.XLOOKUP(A5&amp;B5&amp;C5,盘货信息!$A:$A&amp;盘货信息!$B:$B&amp;盘货信息!$C:$C,盘货信息!$I:$I)="","","88VIP95折"))</f>
        <v/>
      </c>
      <c r="H5" s="18" t="str">
        <f t="array" ref="H5">IF(C5="","",IF(_xlfn.XLOOKUP(A5&amp;B5&amp;C5,盘货信息!$A:$A&amp;盘货信息!$B:$B&amp;盘货信息!$C:$C,盘货信息!$J:$J)="","",_xlfn.XLOOKUP(A5&amp;B5&amp;C5,盘货信息!$A:$A&amp;盘货信息!$B:$B&amp;盘货信息!$C:$C,盘货信息!$J:$J)&amp;"元优惠卷"))</f>
        <v/>
      </c>
      <c r="I5" s="18" t="str">
        <f t="array" ref="I5">IF(C5="","",IF(_xlfn.XLOOKUP(A5&amp;B5&amp;C5,盘货信息!$A:$A&amp;盘货信息!$B:$B&amp;盘货信息!$C:$C,盘货信息!$R:$R)="","",_xlfn.XLOOKUP(A5&amp;B5&amp;C5,盘货信息!$A:$A&amp;盘货信息!$B:$B&amp;盘货信息!$C:$C,盘货信息!$R:$R)&amp;"元优惠卷"))</f>
        <v/>
      </c>
      <c r="J5" s="18" t="str">
        <f t="array" ref="J5">IF(C5="","",IF(_xlfn.XLOOKUP(A5&amp;B5&amp;C5,盘货信息!$A:$A&amp;盘货信息!$B:$B&amp;盘货信息!$C:$C,盘货信息!$K:$K)="","",IF(OR(_xlfn.XLOOKUP(A5&amp;B5&amp;C5,盘货信息!$A:$A&amp;盘货信息!$B:$B&amp;盘货信息!$C:$C,盘货信息!$G:$G)="参加",_xlfn.XLOOKUP(A5&amp;B5&amp;C5,盘货信息!$A:$A&amp;盘货信息!$B:$B&amp;盘货信息!$C:$C,盘货信息!$H:$H)="1（纯自补）"),_xlfn.XLOOKUP(A5&amp;B5&amp;C5,盘货信息!$A:$A&amp;盘货信息!$B:$B&amp;盘货信息!$C:$C,盘货信息!$K:$K)&amp;"元以旧换新（可无旧机换新）","")))</f>
        <v/>
      </c>
      <c r="K5" s="18" t="str">
        <f t="array" ref="K5">IF(C5="","",IF(_xlfn.XLOOKUP(A5&amp;B5&amp;C5,盘货信息!$A:$A&amp;盘货信息!$B:$B&amp;盘货信息!$C:$C,盘货信息!$L:$L)="","",_xlfn.XLOOKUP(A5&amp;B5&amp;C5,盘货信息!$A:$A&amp;盘货信息!$B:$B&amp;盘货信息!$C:$C,盘货信息!$L:$L)&amp;"元限时补贴"))</f>
        <v/>
      </c>
      <c r="L5" s="18" t="str">
        <f t="array" ref="L5">IF(C5="","",IF(_xlfn.XLOOKUP(A5&amp;B5&amp;C5,盘货信息!$A:$A&amp;盘货信息!$B:$B&amp;盘货信息!$C:$C,盘货信息!$M:$M)="","",_xlfn.XLOOKUP(A5&amp;B5&amp;C5,盘货信息!$A:$A&amp;盘货信息!$B:$B&amp;盘货信息!$C:$C,盘货信息!$M:$M)&amp;"元消费券"))</f>
        <v/>
      </c>
      <c r="M5" s="18" t="str">
        <f t="array" ref="M5">IF(C5="","",IF(_xlfn.XLOOKUP(A5&amp;B5&amp;C5,盘货信息!$A:$A&amp;盘货信息!$B:$B&amp;盘货信息!$C:$C,盘货信息!$G:$G)="不参加","","焕新补贴优惠【全民可用，不限地址】"))</f>
        <v/>
      </c>
    </row>
    <row r="6" customHeight="1" spans="1:13">
      <c r="A6" s="17" t="str">
        <f>IF(盘货信息!A6="","",盘货信息!A6)</f>
        <v/>
      </c>
      <c r="B6" s="17" t="str">
        <f>IF(盘货信息!B6="","",盘货信息!B6)</f>
        <v/>
      </c>
      <c r="C6" s="18" t="str">
        <f>IF(盘货信息!C6="","",盘货信息!C6)</f>
        <v/>
      </c>
      <c r="D6" s="18" t="str">
        <f t="shared" si="0"/>
        <v/>
      </c>
      <c r="E6" s="18" t="str">
        <f t="array" ref="E6">IF(C6="","",IF(_xlfn.XLOOKUP(A6&amp;B6&amp;C6,盘货信息!$A:$A&amp;盘货信息!$B:$B&amp;盘货信息!$C:$C,盘货信息!$N:$N)="","【立减到手价"&amp;_xlfn.XLOOKUP(A6&amp;B6&amp;C6,盘货信息!$A:$A&amp;盘货信息!$B:$B&amp;盘货信息!$C:$C,盘货信息!$F:$F)&amp;"元】","【焕新补贴预估价"&amp;_xlfn.XLOOKUP(A6&amp;B6&amp;C6,盘货信息!$A:$A&amp;盘货信息!$B:$B&amp;盘货信息!$C:$C,盘货信息!$N:$N)&amp;"元】"))</f>
        <v/>
      </c>
      <c r="F6" s="18" t="str">
        <f t="array" ref="F6">IF(C6="","",_xlfn.XLOOKUP(A6&amp;B6&amp;C6,盘货信息!$A:$A&amp;盘货信息!$B:$B&amp;盘货信息!$C:$C,盘货信息!$E:$E)&amp;"元到手价")</f>
        <v/>
      </c>
      <c r="G6" s="18" t="str">
        <f t="array" ref="G6">IF(C6="","",IF(_xlfn.XLOOKUP(A6&amp;B6&amp;C6,盘货信息!$A:$A&amp;盘货信息!$B:$B&amp;盘货信息!$C:$C,盘货信息!$I:$I)="","","88VIP95折"))</f>
        <v/>
      </c>
      <c r="H6" s="18" t="str">
        <f t="array" ref="H6">IF(C6="","",IF(_xlfn.XLOOKUP(A6&amp;B6&amp;C6,盘货信息!$A:$A&amp;盘货信息!$B:$B&amp;盘货信息!$C:$C,盘货信息!$J:$J)="","",_xlfn.XLOOKUP(A6&amp;B6&amp;C6,盘货信息!$A:$A&amp;盘货信息!$B:$B&amp;盘货信息!$C:$C,盘货信息!$J:$J)&amp;"元优惠卷"))</f>
        <v/>
      </c>
      <c r="I6" s="18" t="str">
        <f t="array" ref="I6">IF(C6="","",IF(_xlfn.XLOOKUP(A6&amp;B6&amp;C6,盘货信息!$A:$A&amp;盘货信息!$B:$B&amp;盘货信息!$C:$C,盘货信息!$R:$R)="","",_xlfn.XLOOKUP(A6&amp;B6&amp;C6,盘货信息!$A:$A&amp;盘货信息!$B:$B&amp;盘货信息!$C:$C,盘货信息!$R:$R)&amp;"元优惠卷"))</f>
        <v/>
      </c>
      <c r="J6" s="18" t="str">
        <f t="array" ref="J6">IF(C6="","",IF(_xlfn.XLOOKUP(A6&amp;B6&amp;C6,盘货信息!$A:$A&amp;盘货信息!$B:$B&amp;盘货信息!$C:$C,盘货信息!$K:$K)="","",IF(OR(_xlfn.XLOOKUP(A6&amp;B6&amp;C6,盘货信息!$A:$A&amp;盘货信息!$B:$B&amp;盘货信息!$C:$C,盘货信息!$G:$G)="参加",_xlfn.XLOOKUP(A6&amp;B6&amp;C6,盘货信息!$A:$A&amp;盘货信息!$B:$B&amp;盘货信息!$C:$C,盘货信息!$H:$H)="1（纯自补）"),_xlfn.XLOOKUP(A6&amp;B6&amp;C6,盘货信息!$A:$A&amp;盘货信息!$B:$B&amp;盘货信息!$C:$C,盘货信息!$K:$K)&amp;"元以旧换新（可无旧机换新）","")))</f>
        <v/>
      </c>
      <c r="K6" s="18" t="str">
        <f t="array" ref="K6">IF(C6="","",IF(_xlfn.XLOOKUP(A6&amp;B6&amp;C6,盘货信息!$A:$A&amp;盘货信息!$B:$B&amp;盘货信息!$C:$C,盘货信息!$L:$L)="","",_xlfn.XLOOKUP(A6&amp;B6&amp;C6,盘货信息!$A:$A&amp;盘货信息!$B:$B&amp;盘货信息!$C:$C,盘货信息!$L:$L)&amp;"元限时补贴"))</f>
        <v/>
      </c>
      <c r="L6" s="18" t="str">
        <f t="array" ref="L6">IF(C6="","",IF(_xlfn.XLOOKUP(A6&amp;B6&amp;C6,盘货信息!$A:$A&amp;盘货信息!$B:$B&amp;盘货信息!$C:$C,盘货信息!$M:$M)="","",_xlfn.XLOOKUP(A6&amp;B6&amp;C6,盘货信息!$A:$A&amp;盘货信息!$B:$B&amp;盘货信息!$C:$C,盘货信息!$M:$M)&amp;"元消费券"))</f>
        <v/>
      </c>
      <c r="M6" s="18" t="str">
        <f t="array" ref="M6">IF(C6="","",IF(_xlfn.XLOOKUP(A6&amp;B6&amp;C6,盘货信息!$A:$A&amp;盘货信息!$B:$B&amp;盘货信息!$C:$C,盘货信息!$G:$G)="不参加","","焕新补贴优惠【全民可用，不限地址】"))</f>
        <v/>
      </c>
    </row>
    <row r="7" customHeight="1" spans="1:13">
      <c r="A7" s="17" t="str">
        <f>IF(盘货信息!A7="","",盘货信息!A7)</f>
        <v/>
      </c>
      <c r="B7" s="17" t="str">
        <f>IF(盘货信息!B7="","",盘货信息!B7)</f>
        <v/>
      </c>
      <c r="C7" s="18" t="str">
        <f>IF(盘货信息!C7="","",盘货信息!C7)</f>
        <v/>
      </c>
      <c r="D7" s="18" t="str">
        <f t="shared" si="0"/>
        <v/>
      </c>
      <c r="E7" s="18" t="str">
        <f t="array" ref="E7">IF(C7="","",IF(_xlfn.XLOOKUP(A7&amp;B7&amp;C7,盘货信息!$A:$A&amp;盘货信息!$B:$B&amp;盘货信息!$C:$C,盘货信息!$N:$N)="","【立减到手价"&amp;_xlfn.XLOOKUP(A7&amp;B7&amp;C7,盘货信息!$A:$A&amp;盘货信息!$B:$B&amp;盘货信息!$C:$C,盘货信息!$F:$F)&amp;"元】","【焕新补贴预估价"&amp;_xlfn.XLOOKUP(A7&amp;B7&amp;C7,盘货信息!$A:$A&amp;盘货信息!$B:$B&amp;盘货信息!$C:$C,盘货信息!$N:$N)&amp;"元】"))</f>
        <v/>
      </c>
      <c r="F7" s="18" t="str">
        <f t="array" ref="F7">IF(C7="","",_xlfn.XLOOKUP(A7&amp;B7&amp;C7,盘货信息!$A:$A&amp;盘货信息!$B:$B&amp;盘货信息!$C:$C,盘货信息!$E:$E)&amp;"元到手价")</f>
        <v/>
      </c>
      <c r="G7" s="18" t="str">
        <f t="array" ref="G7">IF(C7="","",IF(_xlfn.XLOOKUP(A7&amp;B7&amp;C7,盘货信息!$A:$A&amp;盘货信息!$B:$B&amp;盘货信息!$C:$C,盘货信息!$I:$I)="","","88VIP95折"))</f>
        <v/>
      </c>
      <c r="H7" s="18" t="str">
        <f t="array" ref="H7">IF(C7="","",IF(_xlfn.XLOOKUP(A7&amp;B7&amp;C7,盘货信息!$A:$A&amp;盘货信息!$B:$B&amp;盘货信息!$C:$C,盘货信息!$J:$J)="","",_xlfn.XLOOKUP(A7&amp;B7&amp;C7,盘货信息!$A:$A&amp;盘货信息!$B:$B&amp;盘货信息!$C:$C,盘货信息!$J:$J)&amp;"元优惠卷"))</f>
        <v/>
      </c>
      <c r="I7" s="18" t="str">
        <f t="array" ref="I7">IF(C7="","",IF(_xlfn.XLOOKUP(A7&amp;B7&amp;C7,盘货信息!$A:$A&amp;盘货信息!$B:$B&amp;盘货信息!$C:$C,盘货信息!$R:$R)="","",_xlfn.XLOOKUP(A7&amp;B7&amp;C7,盘货信息!$A:$A&amp;盘货信息!$B:$B&amp;盘货信息!$C:$C,盘货信息!$R:$R)&amp;"元优惠卷"))</f>
        <v/>
      </c>
      <c r="J7" s="18" t="str">
        <f t="array" ref="J7">IF(C7="","",IF(_xlfn.XLOOKUP(A7&amp;B7&amp;C7,盘货信息!$A:$A&amp;盘货信息!$B:$B&amp;盘货信息!$C:$C,盘货信息!$K:$K)="","",IF(OR(_xlfn.XLOOKUP(A7&amp;B7&amp;C7,盘货信息!$A:$A&amp;盘货信息!$B:$B&amp;盘货信息!$C:$C,盘货信息!$G:$G)="参加",_xlfn.XLOOKUP(A7&amp;B7&amp;C7,盘货信息!$A:$A&amp;盘货信息!$B:$B&amp;盘货信息!$C:$C,盘货信息!$H:$H)="1（纯自补）"),_xlfn.XLOOKUP(A7&amp;B7&amp;C7,盘货信息!$A:$A&amp;盘货信息!$B:$B&amp;盘货信息!$C:$C,盘货信息!$K:$K)&amp;"元以旧换新（可无旧机换新）","")))</f>
        <v/>
      </c>
      <c r="K7" s="18" t="str">
        <f t="array" ref="K7">IF(C7="","",IF(_xlfn.XLOOKUP(A7&amp;B7&amp;C7,盘货信息!$A:$A&amp;盘货信息!$B:$B&amp;盘货信息!$C:$C,盘货信息!$L:$L)="","",_xlfn.XLOOKUP(A7&amp;B7&amp;C7,盘货信息!$A:$A&amp;盘货信息!$B:$B&amp;盘货信息!$C:$C,盘货信息!$L:$L)&amp;"元限时补贴"))</f>
        <v/>
      </c>
      <c r="L7" s="18" t="str">
        <f t="array" ref="L7">IF(C7="","",IF(_xlfn.XLOOKUP(A7&amp;B7&amp;C7,盘货信息!$A:$A&amp;盘货信息!$B:$B&amp;盘货信息!$C:$C,盘货信息!$M:$M)="","",_xlfn.XLOOKUP(A7&amp;B7&amp;C7,盘货信息!$A:$A&amp;盘货信息!$B:$B&amp;盘货信息!$C:$C,盘货信息!$M:$M)&amp;"元消费券"))</f>
        <v/>
      </c>
      <c r="M7" s="18" t="str">
        <f t="array" ref="M7">IF(C7="","",IF(_xlfn.XLOOKUP(A7&amp;B7&amp;C7,盘货信息!$A:$A&amp;盘货信息!$B:$B&amp;盘货信息!$C:$C,盘货信息!$G:$G)="不参加","","焕新补贴优惠【全民可用，不限地址】"))</f>
        <v/>
      </c>
    </row>
    <row r="8" customHeight="1" spans="1:13">
      <c r="A8" s="17" t="str">
        <f>IF(盘货信息!A8="","",盘货信息!A8)</f>
        <v/>
      </c>
      <c r="B8" s="17" t="str">
        <f>IF(盘货信息!B8="","",盘货信息!B8)</f>
        <v/>
      </c>
      <c r="C8" s="18" t="str">
        <f>IF(盘货信息!C8="","",盘货信息!C8)</f>
        <v/>
      </c>
      <c r="D8" s="18" t="str">
        <f t="shared" si="0"/>
        <v/>
      </c>
      <c r="E8" s="18" t="str">
        <f t="array" ref="E8">IF(C8="","",IF(_xlfn.XLOOKUP(A8&amp;B8&amp;C8,盘货信息!$A:$A&amp;盘货信息!$B:$B&amp;盘货信息!$C:$C,盘货信息!$N:$N)="","【立减到手价"&amp;_xlfn.XLOOKUP(A8&amp;B8&amp;C8,盘货信息!$A:$A&amp;盘货信息!$B:$B&amp;盘货信息!$C:$C,盘货信息!$F:$F)&amp;"元】","【焕新补贴预估价"&amp;_xlfn.XLOOKUP(A8&amp;B8&amp;C8,盘货信息!$A:$A&amp;盘货信息!$B:$B&amp;盘货信息!$C:$C,盘货信息!$N:$N)&amp;"元】"))</f>
        <v/>
      </c>
      <c r="F8" s="18" t="str">
        <f t="array" ref="F8">IF(C8="","",_xlfn.XLOOKUP(A8&amp;B8&amp;C8,盘货信息!$A:$A&amp;盘货信息!$B:$B&amp;盘货信息!$C:$C,盘货信息!$E:$E)&amp;"元到手价")</f>
        <v/>
      </c>
      <c r="G8" s="18" t="str">
        <f t="array" ref="G8">IF(C8="","",IF(_xlfn.XLOOKUP(A8&amp;B8&amp;C8,盘货信息!$A:$A&amp;盘货信息!$B:$B&amp;盘货信息!$C:$C,盘货信息!$I:$I)="","","88VIP95折"))</f>
        <v/>
      </c>
      <c r="H8" s="18" t="str">
        <f t="array" ref="H8">IF(C8="","",IF(_xlfn.XLOOKUP(A8&amp;B8&amp;C8,盘货信息!$A:$A&amp;盘货信息!$B:$B&amp;盘货信息!$C:$C,盘货信息!$J:$J)="","",_xlfn.XLOOKUP(A8&amp;B8&amp;C8,盘货信息!$A:$A&amp;盘货信息!$B:$B&amp;盘货信息!$C:$C,盘货信息!$J:$J)&amp;"元优惠卷"))</f>
        <v/>
      </c>
      <c r="I8" s="18" t="str">
        <f t="array" ref="I8">IF(C8="","",IF(_xlfn.XLOOKUP(A8&amp;B8&amp;C8,盘货信息!$A:$A&amp;盘货信息!$B:$B&amp;盘货信息!$C:$C,盘货信息!$R:$R)="","",_xlfn.XLOOKUP(A8&amp;B8&amp;C8,盘货信息!$A:$A&amp;盘货信息!$B:$B&amp;盘货信息!$C:$C,盘货信息!$R:$R)&amp;"元优惠卷"))</f>
        <v/>
      </c>
      <c r="J8" s="18" t="str">
        <f t="array" ref="J8">IF(C8="","",IF(_xlfn.XLOOKUP(A8&amp;B8&amp;C8,盘货信息!$A:$A&amp;盘货信息!$B:$B&amp;盘货信息!$C:$C,盘货信息!$K:$K)="","",IF(OR(_xlfn.XLOOKUP(A8&amp;B8&amp;C8,盘货信息!$A:$A&amp;盘货信息!$B:$B&amp;盘货信息!$C:$C,盘货信息!$G:$G)="参加",_xlfn.XLOOKUP(A8&amp;B8&amp;C8,盘货信息!$A:$A&amp;盘货信息!$B:$B&amp;盘货信息!$C:$C,盘货信息!$H:$H)="1（纯自补）"),_xlfn.XLOOKUP(A8&amp;B8&amp;C8,盘货信息!$A:$A&amp;盘货信息!$B:$B&amp;盘货信息!$C:$C,盘货信息!$K:$K)&amp;"元以旧换新（可无旧机换新）","")))</f>
        <v/>
      </c>
      <c r="K8" s="18" t="str">
        <f t="array" ref="K8">IF(C8="","",IF(_xlfn.XLOOKUP(A8&amp;B8&amp;C8,盘货信息!$A:$A&amp;盘货信息!$B:$B&amp;盘货信息!$C:$C,盘货信息!$L:$L)="","",_xlfn.XLOOKUP(A8&amp;B8&amp;C8,盘货信息!$A:$A&amp;盘货信息!$B:$B&amp;盘货信息!$C:$C,盘货信息!$L:$L)&amp;"元限时补贴"))</f>
        <v/>
      </c>
      <c r="L8" s="18" t="str">
        <f t="array" ref="L8">IF(C8="","",IF(_xlfn.XLOOKUP(A8&amp;B8&amp;C8,盘货信息!$A:$A&amp;盘货信息!$B:$B&amp;盘货信息!$C:$C,盘货信息!$M:$M)="","",_xlfn.XLOOKUP(A8&amp;B8&amp;C8,盘货信息!$A:$A&amp;盘货信息!$B:$B&amp;盘货信息!$C:$C,盘货信息!$M:$M)&amp;"元消费券"))</f>
        <v/>
      </c>
      <c r="M8" s="18" t="str">
        <f t="array" ref="M8">IF(C8="","",IF(_xlfn.XLOOKUP(A8&amp;B8&amp;C8,盘货信息!$A:$A&amp;盘货信息!$B:$B&amp;盘货信息!$C:$C,盘货信息!$G:$G)="不参加","","焕新补贴优惠【全民可用，不限地址】"))</f>
        <v/>
      </c>
    </row>
    <row r="9" customHeight="1" spans="1:13">
      <c r="A9" s="17" t="str">
        <f>IF(盘货信息!A9="","",盘货信息!A9)</f>
        <v/>
      </c>
      <c r="B9" s="17" t="str">
        <f>IF(盘货信息!B9="","",盘货信息!B9)</f>
        <v/>
      </c>
      <c r="C9" s="18" t="str">
        <f>IF(盘货信息!C9="","",盘货信息!C9)</f>
        <v/>
      </c>
      <c r="D9" s="18" t="str">
        <f t="shared" si="0"/>
        <v/>
      </c>
      <c r="E9" s="18" t="str">
        <f t="array" ref="E9">IF(C9="","",IF(_xlfn.XLOOKUP(A9&amp;B9&amp;C9,盘货信息!$A:$A&amp;盘货信息!$B:$B&amp;盘货信息!$C:$C,盘货信息!$N:$N)="","【立减到手价"&amp;_xlfn.XLOOKUP(A9&amp;B9&amp;C9,盘货信息!$A:$A&amp;盘货信息!$B:$B&amp;盘货信息!$C:$C,盘货信息!$F:$F)&amp;"元】","【焕新补贴预估价"&amp;_xlfn.XLOOKUP(A9&amp;B9&amp;C9,盘货信息!$A:$A&amp;盘货信息!$B:$B&amp;盘货信息!$C:$C,盘货信息!$N:$N)&amp;"元】"))</f>
        <v/>
      </c>
      <c r="F9" s="18" t="str">
        <f t="array" ref="F9">IF(C9="","",_xlfn.XLOOKUP(A9&amp;B9&amp;C9,盘货信息!$A:$A&amp;盘货信息!$B:$B&amp;盘货信息!$C:$C,盘货信息!$E:$E)&amp;"元到手价")</f>
        <v/>
      </c>
      <c r="G9" s="18" t="str">
        <f t="array" ref="G9">IF(C9="","",IF(_xlfn.XLOOKUP(A9&amp;B9&amp;C9,盘货信息!$A:$A&amp;盘货信息!$B:$B&amp;盘货信息!$C:$C,盘货信息!$I:$I)="","","88VIP95折"))</f>
        <v/>
      </c>
      <c r="H9" s="18" t="str">
        <f t="array" ref="H9">IF(C9="","",IF(_xlfn.XLOOKUP(A9&amp;B9&amp;C9,盘货信息!$A:$A&amp;盘货信息!$B:$B&amp;盘货信息!$C:$C,盘货信息!$J:$J)="","",_xlfn.XLOOKUP(A9&amp;B9&amp;C9,盘货信息!$A:$A&amp;盘货信息!$B:$B&amp;盘货信息!$C:$C,盘货信息!$J:$J)&amp;"元优惠卷"))</f>
        <v/>
      </c>
      <c r="I9" s="18" t="str">
        <f t="array" ref="I9">IF(C9="","",IF(_xlfn.XLOOKUP(A9&amp;B9&amp;C9,盘货信息!$A:$A&amp;盘货信息!$B:$B&amp;盘货信息!$C:$C,盘货信息!$R:$R)="","",_xlfn.XLOOKUP(A9&amp;B9&amp;C9,盘货信息!$A:$A&amp;盘货信息!$B:$B&amp;盘货信息!$C:$C,盘货信息!$R:$R)&amp;"元优惠卷"))</f>
        <v/>
      </c>
      <c r="J9" s="18" t="str">
        <f t="array" ref="J9">IF(C9="","",IF(_xlfn.XLOOKUP(A9&amp;B9&amp;C9,盘货信息!$A:$A&amp;盘货信息!$B:$B&amp;盘货信息!$C:$C,盘货信息!$K:$K)="","",IF(OR(_xlfn.XLOOKUP(A9&amp;B9&amp;C9,盘货信息!$A:$A&amp;盘货信息!$B:$B&amp;盘货信息!$C:$C,盘货信息!$G:$G)="参加",_xlfn.XLOOKUP(A9&amp;B9&amp;C9,盘货信息!$A:$A&amp;盘货信息!$B:$B&amp;盘货信息!$C:$C,盘货信息!$H:$H)="1（纯自补）"),_xlfn.XLOOKUP(A9&amp;B9&amp;C9,盘货信息!$A:$A&amp;盘货信息!$B:$B&amp;盘货信息!$C:$C,盘货信息!$K:$K)&amp;"元以旧换新（可无旧机换新）","")))</f>
        <v/>
      </c>
      <c r="K9" s="18" t="str">
        <f t="array" ref="K9">IF(C9="","",IF(_xlfn.XLOOKUP(A9&amp;B9&amp;C9,盘货信息!$A:$A&amp;盘货信息!$B:$B&amp;盘货信息!$C:$C,盘货信息!$L:$L)="","",_xlfn.XLOOKUP(A9&amp;B9&amp;C9,盘货信息!$A:$A&amp;盘货信息!$B:$B&amp;盘货信息!$C:$C,盘货信息!$L:$L)&amp;"元限时补贴"))</f>
        <v/>
      </c>
      <c r="L9" s="18" t="str">
        <f t="array" ref="L9">IF(C9="","",IF(_xlfn.XLOOKUP(A9&amp;B9&amp;C9,盘货信息!$A:$A&amp;盘货信息!$B:$B&amp;盘货信息!$C:$C,盘货信息!$M:$M)="","",_xlfn.XLOOKUP(A9&amp;B9&amp;C9,盘货信息!$A:$A&amp;盘货信息!$B:$B&amp;盘货信息!$C:$C,盘货信息!$M:$M)&amp;"元消费券"))</f>
        <v/>
      </c>
      <c r="M9" s="18" t="str">
        <f t="array" ref="M9">IF(C9="","",IF(_xlfn.XLOOKUP(A9&amp;B9&amp;C9,盘货信息!$A:$A&amp;盘货信息!$B:$B&amp;盘货信息!$C:$C,盘货信息!$G:$G)="不参加","","焕新补贴优惠【全民可用，不限地址】"))</f>
        <v/>
      </c>
    </row>
    <row r="10" customHeight="1" spans="1:13">
      <c r="A10" s="17" t="str">
        <f>IF(盘货信息!A10="","",盘货信息!A10)</f>
        <v/>
      </c>
      <c r="B10" s="17" t="str">
        <f>IF(盘货信息!B10="","",盘货信息!B10)</f>
        <v/>
      </c>
      <c r="C10" s="18" t="str">
        <f>IF(盘货信息!C10="","",盘货信息!C10)</f>
        <v/>
      </c>
      <c r="D10" s="18" t="str">
        <f t="shared" si="0"/>
        <v/>
      </c>
      <c r="E10" s="18" t="str">
        <f t="array" ref="E10">IF(C10="","",IF(_xlfn.XLOOKUP(A10&amp;B10&amp;C10,盘货信息!$A:$A&amp;盘货信息!$B:$B&amp;盘货信息!$C:$C,盘货信息!$N:$N)="","【立减到手价"&amp;_xlfn.XLOOKUP(A10&amp;B10&amp;C10,盘货信息!$A:$A&amp;盘货信息!$B:$B&amp;盘货信息!$C:$C,盘货信息!$F:$F)&amp;"元】","【焕新补贴预估价"&amp;_xlfn.XLOOKUP(A10&amp;B10&amp;C10,盘货信息!$A:$A&amp;盘货信息!$B:$B&amp;盘货信息!$C:$C,盘货信息!$N:$N)&amp;"元】"))</f>
        <v/>
      </c>
      <c r="F10" s="18" t="str">
        <f t="array" ref="F10">IF(C10="","",_xlfn.XLOOKUP(A10&amp;B10&amp;C10,盘货信息!$A:$A&amp;盘货信息!$B:$B&amp;盘货信息!$C:$C,盘货信息!$E:$E)&amp;"元到手价")</f>
        <v/>
      </c>
      <c r="G10" s="18" t="str">
        <f t="array" ref="G10">IF(C10="","",IF(_xlfn.XLOOKUP(A10&amp;B10&amp;C10,盘货信息!$A:$A&amp;盘货信息!$B:$B&amp;盘货信息!$C:$C,盘货信息!$I:$I)="","","88VIP95折"))</f>
        <v/>
      </c>
      <c r="H10" s="18" t="str">
        <f t="array" ref="H10">IF(C10="","",IF(_xlfn.XLOOKUP(A10&amp;B10&amp;C10,盘货信息!$A:$A&amp;盘货信息!$B:$B&amp;盘货信息!$C:$C,盘货信息!$J:$J)="","",_xlfn.XLOOKUP(A10&amp;B10&amp;C10,盘货信息!$A:$A&amp;盘货信息!$B:$B&amp;盘货信息!$C:$C,盘货信息!$J:$J)&amp;"元优惠卷"))</f>
        <v/>
      </c>
      <c r="I10" s="18" t="str">
        <f t="array" ref="I10">IF(C10="","",IF(_xlfn.XLOOKUP(A10&amp;B10&amp;C10,盘货信息!$A:$A&amp;盘货信息!$B:$B&amp;盘货信息!$C:$C,盘货信息!$R:$R)="","",_xlfn.XLOOKUP(A10&amp;B10&amp;C10,盘货信息!$A:$A&amp;盘货信息!$B:$B&amp;盘货信息!$C:$C,盘货信息!$R:$R)&amp;"元优惠卷"))</f>
        <v/>
      </c>
      <c r="J10" s="18" t="str">
        <f t="array" ref="J10">IF(C10="","",IF(_xlfn.XLOOKUP(A10&amp;B10&amp;C10,盘货信息!$A:$A&amp;盘货信息!$B:$B&amp;盘货信息!$C:$C,盘货信息!$K:$K)="","",IF(OR(_xlfn.XLOOKUP(A10&amp;B10&amp;C10,盘货信息!$A:$A&amp;盘货信息!$B:$B&amp;盘货信息!$C:$C,盘货信息!$G:$G)="参加",_xlfn.XLOOKUP(A10&amp;B10&amp;C10,盘货信息!$A:$A&amp;盘货信息!$B:$B&amp;盘货信息!$C:$C,盘货信息!$H:$H)="1（纯自补）"),_xlfn.XLOOKUP(A10&amp;B10&amp;C10,盘货信息!$A:$A&amp;盘货信息!$B:$B&amp;盘货信息!$C:$C,盘货信息!$K:$K)&amp;"元以旧换新（可无旧机换新）","")))</f>
        <v/>
      </c>
      <c r="K10" s="18" t="str">
        <f t="array" ref="K10">IF(C10="","",IF(_xlfn.XLOOKUP(A10&amp;B10&amp;C10,盘货信息!$A:$A&amp;盘货信息!$B:$B&amp;盘货信息!$C:$C,盘货信息!$L:$L)="","",_xlfn.XLOOKUP(A10&amp;B10&amp;C10,盘货信息!$A:$A&amp;盘货信息!$B:$B&amp;盘货信息!$C:$C,盘货信息!$L:$L)&amp;"元限时补贴"))</f>
        <v/>
      </c>
      <c r="L10" s="18" t="str">
        <f t="array" ref="L10">IF(C10="","",IF(_xlfn.XLOOKUP(A10&amp;B10&amp;C10,盘货信息!$A:$A&amp;盘货信息!$B:$B&amp;盘货信息!$C:$C,盘货信息!$M:$M)="","",_xlfn.XLOOKUP(A10&amp;B10&amp;C10,盘货信息!$A:$A&amp;盘货信息!$B:$B&amp;盘货信息!$C:$C,盘货信息!$M:$M)&amp;"元消费券"))</f>
        <v/>
      </c>
      <c r="M10" s="18" t="str">
        <f t="array" ref="M10">IF(C10="","",IF(_xlfn.XLOOKUP(A10&amp;B10&amp;C10,盘货信息!$A:$A&amp;盘货信息!$B:$B&amp;盘货信息!$C:$C,盘货信息!$G:$G)="不参加","","焕新补贴优惠【全民可用，不限地址】"))</f>
        <v/>
      </c>
    </row>
    <row r="11" customHeight="1" spans="1:13">
      <c r="A11" s="17" t="str">
        <f>IF(盘货信息!A11="","",盘货信息!A11)</f>
        <v/>
      </c>
      <c r="B11" s="17" t="str">
        <f>IF(盘货信息!B11="","",盘货信息!B11)</f>
        <v/>
      </c>
      <c r="C11" s="18" t="str">
        <f>IF(盘货信息!C11="","",盘货信息!C11)</f>
        <v/>
      </c>
      <c r="D11" s="18" t="str">
        <f t="shared" si="0"/>
        <v/>
      </c>
      <c r="E11" s="18" t="str">
        <f t="array" ref="E11">IF(C11="","",IF(_xlfn.XLOOKUP(A11&amp;B11&amp;C11,盘货信息!$A:$A&amp;盘货信息!$B:$B&amp;盘货信息!$C:$C,盘货信息!$N:$N)="","【立减到手价"&amp;_xlfn.XLOOKUP(A11&amp;B11&amp;C11,盘货信息!$A:$A&amp;盘货信息!$B:$B&amp;盘货信息!$C:$C,盘货信息!$F:$F)&amp;"元】","【焕新补贴预估价"&amp;_xlfn.XLOOKUP(A11&amp;B11&amp;C11,盘货信息!$A:$A&amp;盘货信息!$B:$B&amp;盘货信息!$C:$C,盘货信息!$N:$N)&amp;"元】"))</f>
        <v/>
      </c>
      <c r="F11" s="18" t="str">
        <f t="array" ref="F11">IF(C11="","",_xlfn.XLOOKUP(A11&amp;B11&amp;C11,盘货信息!$A:$A&amp;盘货信息!$B:$B&amp;盘货信息!$C:$C,盘货信息!$E:$E)&amp;"元到手价")</f>
        <v/>
      </c>
      <c r="G11" s="18" t="str">
        <f t="array" ref="G11">IF(C11="","",IF(_xlfn.XLOOKUP(A11&amp;B11&amp;C11,盘货信息!$A:$A&amp;盘货信息!$B:$B&amp;盘货信息!$C:$C,盘货信息!$I:$I)="","","88VIP95折"))</f>
        <v/>
      </c>
      <c r="H11" s="18" t="str">
        <f t="array" ref="H11">IF(C11="","",IF(_xlfn.XLOOKUP(A11&amp;B11&amp;C11,盘货信息!$A:$A&amp;盘货信息!$B:$B&amp;盘货信息!$C:$C,盘货信息!$J:$J)="","",_xlfn.XLOOKUP(A11&amp;B11&amp;C11,盘货信息!$A:$A&amp;盘货信息!$B:$B&amp;盘货信息!$C:$C,盘货信息!$J:$J)&amp;"元优惠卷"))</f>
        <v/>
      </c>
      <c r="I11" s="18" t="str">
        <f t="array" ref="I11">IF(C11="","",IF(_xlfn.XLOOKUP(A11&amp;B11&amp;C11,盘货信息!$A:$A&amp;盘货信息!$B:$B&amp;盘货信息!$C:$C,盘货信息!$R:$R)="","",_xlfn.XLOOKUP(A11&amp;B11&amp;C11,盘货信息!$A:$A&amp;盘货信息!$B:$B&amp;盘货信息!$C:$C,盘货信息!$R:$R)&amp;"元优惠卷"))</f>
        <v/>
      </c>
      <c r="J11" s="18" t="str">
        <f t="array" ref="J11">IF(C11="","",IF(_xlfn.XLOOKUP(A11&amp;B11&amp;C11,盘货信息!$A:$A&amp;盘货信息!$B:$B&amp;盘货信息!$C:$C,盘货信息!$K:$K)="","",IF(OR(_xlfn.XLOOKUP(A11&amp;B11&amp;C11,盘货信息!$A:$A&amp;盘货信息!$B:$B&amp;盘货信息!$C:$C,盘货信息!$G:$G)="参加",_xlfn.XLOOKUP(A11&amp;B11&amp;C11,盘货信息!$A:$A&amp;盘货信息!$B:$B&amp;盘货信息!$C:$C,盘货信息!$H:$H)="1（纯自补）"),_xlfn.XLOOKUP(A11&amp;B11&amp;C11,盘货信息!$A:$A&amp;盘货信息!$B:$B&amp;盘货信息!$C:$C,盘货信息!$K:$K)&amp;"元以旧换新（可无旧机换新）","")))</f>
        <v/>
      </c>
      <c r="K11" s="18" t="str">
        <f t="array" ref="K11">IF(C11="","",IF(_xlfn.XLOOKUP(A11&amp;B11&amp;C11,盘货信息!$A:$A&amp;盘货信息!$B:$B&amp;盘货信息!$C:$C,盘货信息!$L:$L)="","",_xlfn.XLOOKUP(A11&amp;B11&amp;C11,盘货信息!$A:$A&amp;盘货信息!$B:$B&amp;盘货信息!$C:$C,盘货信息!$L:$L)&amp;"元限时补贴"))</f>
        <v/>
      </c>
      <c r="L11" s="18" t="str">
        <f t="array" ref="L11">IF(C11="","",IF(_xlfn.XLOOKUP(A11&amp;B11&amp;C11,盘货信息!$A:$A&amp;盘货信息!$B:$B&amp;盘货信息!$C:$C,盘货信息!$M:$M)="","",_xlfn.XLOOKUP(A11&amp;B11&amp;C11,盘货信息!$A:$A&amp;盘货信息!$B:$B&amp;盘货信息!$C:$C,盘货信息!$M:$M)&amp;"元消费券"))</f>
        <v/>
      </c>
      <c r="M11" s="18" t="str">
        <f t="array" ref="M11">IF(C11="","",IF(_xlfn.XLOOKUP(A11&amp;B11&amp;C11,盘货信息!$A:$A&amp;盘货信息!$B:$B&amp;盘货信息!$C:$C,盘货信息!$G:$G)="不参加","","焕新补贴优惠【全民可用，不限地址】"))</f>
        <v/>
      </c>
    </row>
    <row r="12" customHeight="1" spans="1:13">
      <c r="A12" s="17" t="str">
        <f>IF(盘货信息!A12="","",盘货信息!A12)</f>
        <v/>
      </c>
      <c r="B12" s="17" t="str">
        <f>IF(盘货信息!B12="","",盘货信息!B12)</f>
        <v/>
      </c>
      <c r="C12" s="18" t="str">
        <f>IF(盘货信息!C12="","",盘货信息!C12)</f>
        <v/>
      </c>
      <c r="D12" s="18" t="str">
        <f t="shared" si="0"/>
        <v/>
      </c>
      <c r="E12" s="18" t="str">
        <f t="array" ref="E12">IF(C12="","",IF(_xlfn.XLOOKUP(A12&amp;B12&amp;C12,盘货信息!$A:$A&amp;盘货信息!$B:$B&amp;盘货信息!$C:$C,盘货信息!$N:$N)="","【立减到手价"&amp;_xlfn.XLOOKUP(A12&amp;B12&amp;C12,盘货信息!$A:$A&amp;盘货信息!$B:$B&amp;盘货信息!$C:$C,盘货信息!$F:$F)&amp;"元】","【焕新补贴预估价"&amp;_xlfn.XLOOKUP(A12&amp;B12&amp;C12,盘货信息!$A:$A&amp;盘货信息!$B:$B&amp;盘货信息!$C:$C,盘货信息!$N:$N)&amp;"元】"))</f>
        <v/>
      </c>
      <c r="F12" s="18" t="str">
        <f t="array" ref="F12">IF(C12="","",_xlfn.XLOOKUP(A12&amp;B12&amp;C12,盘货信息!$A:$A&amp;盘货信息!$B:$B&amp;盘货信息!$C:$C,盘货信息!$E:$E)&amp;"元到手价")</f>
        <v/>
      </c>
      <c r="G12" s="18" t="str">
        <f t="array" ref="G12">IF(C12="","",IF(_xlfn.XLOOKUP(A12&amp;B12&amp;C12,盘货信息!$A:$A&amp;盘货信息!$B:$B&amp;盘货信息!$C:$C,盘货信息!$I:$I)="","","88VIP95折"))</f>
        <v/>
      </c>
      <c r="H12" s="18" t="str">
        <f t="array" ref="H12">IF(C12="","",IF(_xlfn.XLOOKUP(A12&amp;B12&amp;C12,盘货信息!$A:$A&amp;盘货信息!$B:$B&amp;盘货信息!$C:$C,盘货信息!$J:$J)="","",_xlfn.XLOOKUP(A12&amp;B12&amp;C12,盘货信息!$A:$A&amp;盘货信息!$B:$B&amp;盘货信息!$C:$C,盘货信息!$J:$J)&amp;"元优惠卷"))</f>
        <v/>
      </c>
      <c r="I12" s="18" t="str">
        <f t="array" ref="I12">IF(C12="","",IF(_xlfn.XLOOKUP(A12&amp;B12&amp;C12,盘货信息!$A:$A&amp;盘货信息!$B:$B&amp;盘货信息!$C:$C,盘货信息!$R:$R)="","",_xlfn.XLOOKUP(A12&amp;B12&amp;C12,盘货信息!$A:$A&amp;盘货信息!$B:$B&amp;盘货信息!$C:$C,盘货信息!$R:$R)&amp;"元优惠卷"))</f>
        <v/>
      </c>
      <c r="J12" s="18" t="str">
        <f t="array" ref="J12">IF(C12="","",IF(_xlfn.XLOOKUP(A12&amp;B12&amp;C12,盘货信息!$A:$A&amp;盘货信息!$B:$B&amp;盘货信息!$C:$C,盘货信息!$K:$K)="","",IF(OR(_xlfn.XLOOKUP(A12&amp;B12&amp;C12,盘货信息!$A:$A&amp;盘货信息!$B:$B&amp;盘货信息!$C:$C,盘货信息!$G:$G)="参加",_xlfn.XLOOKUP(A12&amp;B12&amp;C12,盘货信息!$A:$A&amp;盘货信息!$B:$B&amp;盘货信息!$C:$C,盘货信息!$H:$H)="1（纯自补）"),_xlfn.XLOOKUP(A12&amp;B12&amp;C12,盘货信息!$A:$A&amp;盘货信息!$B:$B&amp;盘货信息!$C:$C,盘货信息!$K:$K)&amp;"元以旧换新（可无旧机换新）","")))</f>
        <v/>
      </c>
      <c r="K12" s="18" t="str">
        <f t="array" ref="K12">IF(C12="","",IF(_xlfn.XLOOKUP(A12&amp;B12&amp;C12,盘货信息!$A:$A&amp;盘货信息!$B:$B&amp;盘货信息!$C:$C,盘货信息!$L:$L)="","",_xlfn.XLOOKUP(A12&amp;B12&amp;C12,盘货信息!$A:$A&amp;盘货信息!$B:$B&amp;盘货信息!$C:$C,盘货信息!$L:$L)&amp;"元限时补贴"))</f>
        <v/>
      </c>
      <c r="L12" s="18" t="str">
        <f t="array" ref="L12">IF(C12="","",IF(_xlfn.XLOOKUP(A12&amp;B12&amp;C12,盘货信息!$A:$A&amp;盘货信息!$B:$B&amp;盘货信息!$C:$C,盘货信息!$M:$M)="","",_xlfn.XLOOKUP(A12&amp;B12&amp;C12,盘货信息!$A:$A&amp;盘货信息!$B:$B&amp;盘货信息!$C:$C,盘货信息!$M:$M)&amp;"元消费券"))</f>
        <v/>
      </c>
      <c r="M12" s="18" t="str">
        <f t="array" ref="M12">IF(C12="","",IF(_xlfn.XLOOKUP(A12&amp;B12&amp;C12,盘货信息!$A:$A&amp;盘货信息!$B:$B&amp;盘货信息!$C:$C,盘货信息!$G:$G)="不参加","","焕新补贴优惠【全民可用，不限地址】"))</f>
        <v/>
      </c>
    </row>
    <row r="13" customHeight="1" spans="1:13">
      <c r="A13" s="17" t="str">
        <f>IF(盘货信息!A13="","",盘货信息!A13)</f>
        <v/>
      </c>
      <c r="B13" s="17" t="str">
        <f>IF(盘货信息!B13="","",盘货信息!B13)</f>
        <v/>
      </c>
      <c r="C13" s="18" t="str">
        <f>IF(盘货信息!C13="","",盘货信息!C13)</f>
        <v/>
      </c>
      <c r="D13" s="18" t="str">
        <f t="shared" si="0"/>
        <v/>
      </c>
      <c r="E13" s="18" t="str">
        <f t="array" ref="E13">IF(C13="","",IF(_xlfn.XLOOKUP(A13&amp;B13&amp;C13,盘货信息!$A:$A&amp;盘货信息!$B:$B&amp;盘货信息!$C:$C,盘货信息!$N:$N)="","【立减到手价"&amp;_xlfn.XLOOKUP(A13&amp;B13&amp;C13,盘货信息!$A:$A&amp;盘货信息!$B:$B&amp;盘货信息!$C:$C,盘货信息!$F:$F)&amp;"元】","【焕新补贴预估价"&amp;_xlfn.XLOOKUP(A13&amp;B13&amp;C13,盘货信息!$A:$A&amp;盘货信息!$B:$B&amp;盘货信息!$C:$C,盘货信息!$N:$N)&amp;"元】"))</f>
        <v/>
      </c>
      <c r="F13" s="18" t="str">
        <f t="array" ref="F13">IF(C13="","",_xlfn.XLOOKUP(A13&amp;B13&amp;C13,盘货信息!$A:$A&amp;盘货信息!$B:$B&amp;盘货信息!$C:$C,盘货信息!$E:$E)&amp;"元到手价")</f>
        <v/>
      </c>
      <c r="G13" s="18" t="str">
        <f t="array" ref="G13">IF(C13="","",IF(_xlfn.XLOOKUP(A13&amp;B13&amp;C13,盘货信息!$A:$A&amp;盘货信息!$B:$B&amp;盘货信息!$C:$C,盘货信息!$I:$I)="","","88VIP95折"))</f>
        <v/>
      </c>
      <c r="H13" s="18" t="str">
        <f t="array" ref="H13">IF(C13="","",IF(_xlfn.XLOOKUP(A13&amp;B13&amp;C13,盘货信息!$A:$A&amp;盘货信息!$B:$B&amp;盘货信息!$C:$C,盘货信息!$J:$J)="","",_xlfn.XLOOKUP(A13&amp;B13&amp;C13,盘货信息!$A:$A&amp;盘货信息!$B:$B&amp;盘货信息!$C:$C,盘货信息!$J:$J)&amp;"元优惠卷"))</f>
        <v/>
      </c>
      <c r="I13" s="18" t="str">
        <f t="array" ref="I13">IF(C13="","",IF(_xlfn.XLOOKUP(A13&amp;B13&amp;C13,盘货信息!$A:$A&amp;盘货信息!$B:$B&amp;盘货信息!$C:$C,盘货信息!$R:$R)="","",_xlfn.XLOOKUP(A13&amp;B13&amp;C13,盘货信息!$A:$A&amp;盘货信息!$B:$B&amp;盘货信息!$C:$C,盘货信息!$R:$R)&amp;"元优惠卷"))</f>
        <v/>
      </c>
      <c r="J13" s="18" t="str">
        <f t="array" ref="J13">IF(C13="","",IF(_xlfn.XLOOKUP(A13&amp;B13&amp;C13,盘货信息!$A:$A&amp;盘货信息!$B:$B&amp;盘货信息!$C:$C,盘货信息!$K:$K)="","",IF(OR(_xlfn.XLOOKUP(A13&amp;B13&amp;C13,盘货信息!$A:$A&amp;盘货信息!$B:$B&amp;盘货信息!$C:$C,盘货信息!$G:$G)="参加",_xlfn.XLOOKUP(A13&amp;B13&amp;C13,盘货信息!$A:$A&amp;盘货信息!$B:$B&amp;盘货信息!$C:$C,盘货信息!$H:$H)="1（纯自补）"),_xlfn.XLOOKUP(A13&amp;B13&amp;C13,盘货信息!$A:$A&amp;盘货信息!$B:$B&amp;盘货信息!$C:$C,盘货信息!$K:$K)&amp;"元以旧换新（可无旧机换新）","")))</f>
        <v/>
      </c>
      <c r="K13" s="18" t="str">
        <f t="array" ref="K13">IF(C13="","",IF(_xlfn.XLOOKUP(A13&amp;B13&amp;C13,盘货信息!$A:$A&amp;盘货信息!$B:$B&amp;盘货信息!$C:$C,盘货信息!$L:$L)="","",_xlfn.XLOOKUP(A13&amp;B13&amp;C13,盘货信息!$A:$A&amp;盘货信息!$B:$B&amp;盘货信息!$C:$C,盘货信息!$L:$L)&amp;"元限时补贴"))</f>
        <v/>
      </c>
      <c r="L13" s="18" t="str">
        <f t="array" ref="L13">IF(C13="","",IF(_xlfn.XLOOKUP(A13&amp;B13&amp;C13,盘货信息!$A:$A&amp;盘货信息!$B:$B&amp;盘货信息!$C:$C,盘货信息!$M:$M)="","",_xlfn.XLOOKUP(A13&amp;B13&amp;C13,盘货信息!$A:$A&amp;盘货信息!$B:$B&amp;盘货信息!$C:$C,盘货信息!$M:$M)&amp;"元消费券"))</f>
        <v/>
      </c>
      <c r="M13" s="18" t="str">
        <f t="array" ref="M13">IF(C13="","",IF(_xlfn.XLOOKUP(A13&amp;B13&amp;C13,盘货信息!$A:$A&amp;盘货信息!$B:$B&amp;盘货信息!$C:$C,盘货信息!$G:$G)="不参加","","焕新补贴优惠【全民可用，不限地址】"))</f>
        <v/>
      </c>
    </row>
    <row r="14" customHeight="1" spans="1:13">
      <c r="A14" s="17" t="str">
        <f>IF(盘货信息!A14="","",盘货信息!A14)</f>
        <v/>
      </c>
      <c r="B14" s="17" t="str">
        <f>IF(盘货信息!B14="","",盘货信息!B14)</f>
        <v/>
      </c>
      <c r="C14" s="18" t="str">
        <f>IF(盘货信息!C14="","",盘货信息!C14)</f>
        <v/>
      </c>
      <c r="D14" s="18" t="str">
        <f t="shared" si="0"/>
        <v/>
      </c>
      <c r="E14" s="18" t="str">
        <f t="array" ref="E14">IF(C14="","",IF(_xlfn.XLOOKUP(A14&amp;B14&amp;C14,盘货信息!$A:$A&amp;盘货信息!$B:$B&amp;盘货信息!$C:$C,盘货信息!$N:$N)="","【立减到手价"&amp;_xlfn.XLOOKUP(A14&amp;B14&amp;C14,盘货信息!$A:$A&amp;盘货信息!$B:$B&amp;盘货信息!$C:$C,盘货信息!$F:$F)&amp;"元】","【焕新补贴预估价"&amp;_xlfn.XLOOKUP(A14&amp;B14&amp;C14,盘货信息!$A:$A&amp;盘货信息!$B:$B&amp;盘货信息!$C:$C,盘货信息!$N:$N)&amp;"元】"))</f>
        <v/>
      </c>
      <c r="F14" s="18" t="str">
        <f t="array" ref="F14">IF(C14="","",_xlfn.XLOOKUP(A14&amp;B14&amp;C14,盘货信息!$A:$A&amp;盘货信息!$B:$B&amp;盘货信息!$C:$C,盘货信息!$E:$E)&amp;"元到手价")</f>
        <v/>
      </c>
      <c r="G14" s="18" t="str">
        <f t="array" ref="G14">IF(C14="","",IF(_xlfn.XLOOKUP(A14&amp;B14&amp;C14,盘货信息!$A:$A&amp;盘货信息!$B:$B&amp;盘货信息!$C:$C,盘货信息!$I:$I)="","","88VIP95折"))</f>
        <v/>
      </c>
      <c r="H14" s="18" t="str">
        <f t="array" ref="H14">IF(C14="","",IF(_xlfn.XLOOKUP(A14&amp;B14&amp;C14,盘货信息!$A:$A&amp;盘货信息!$B:$B&amp;盘货信息!$C:$C,盘货信息!$J:$J)="","",_xlfn.XLOOKUP(A14&amp;B14&amp;C14,盘货信息!$A:$A&amp;盘货信息!$B:$B&amp;盘货信息!$C:$C,盘货信息!$J:$J)&amp;"元优惠卷"))</f>
        <v/>
      </c>
      <c r="I14" s="18" t="str">
        <f t="array" ref="I14">IF(C14="","",IF(_xlfn.XLOOKUP(A14&amp;B14&amp;C14,盘货信息!$A:$A&amp;盘货信息!$B:$B&amp;盘货信息!$C:$C,盘货信息!$R:$R)="","",_xlfn.XLOOKUP(A14&amp;B14&amp;C14,盘货信息!$A:$A&amp;盘货信息!$B:$B&amp;盘货信息!$C:$C,盘货信息!$R:$R)&amp;"元优惠卷"))</f>
        <v/>
      </c>
      <c r="J14" s="18" t="str">
        <f t="array" ref="J14">IF(C14="","",IF(_xlfn.XLOOKUP(A14&amp;B14&amp;C14,盘货信息!$A:$A&amp;盘货信息!$B:$B&amp;盘货信息!$C:$C,盘货信息!$K:$K)="","",IF(OR(_xlfn.XLOOKUP(A14&amp;B14&amp;C14,盘货信息!$A:$A&amp;盘货信息!$B:$B&amp;盘货信息!$C:$C,盘货信息!$G:$G)="参加",_xlfn.XLOOKUP(A14&amp;B14&amp;C14,盘货信息!$A:$A&amp;盘货信息!$B:$B&amp;盘货信息!$C:$C,盘货信息!$H:$H)="1（纯自补）"),_xlfn.XLOOKUP(A14&amp;B14&amp;C14,盘货信息!$A:$A&amp;盘货信息!$B:$B&amp;盘货信息!$C:$C,盘货信息!$K:$K)&amp;"元以旧换新（可无旧机换新）","")))</f>
        <v/>
      </c>
      <c r="K14" s="18" t="str">
        <f t="array" ref="K14">IF(C14="","",IF(_xlfn.XLOOKUP(A14&amp;B14&amp;C14,盘货信息!$A:$A&amp;盘货信息!$B:$B&amp;盘货信息!$C:$C,盘货信息!$L:$L)="","",_xlfn.XLOOKUP(A14&amp;B14&amp;C14,盘货信息!$A:$A&amp;盘货信息!$B:$B&amp;盘货信息!$C:$C,盘货信息!$L:$L)&amp;"元限时补贴"))</f>
        <v/>
      </c>
      <c r="L14" s="18" t="str">
        <f t="array" ref="L14">IF(C14="","",IF(_xlfn.XLOOKUP(A14&amp;B14&amp;C14,盘货信息!$A:$A&amp;盘货信息!$B:$B&amp;盘货信息!$C:$C,盘货信息!$M:$M)="","",_xlfn.XLOOKUP(A14&amp;B14&amp;C14,盘货信息!$A:$A&amp;盘货信息!$B:$B&amp;盘货信息!$C:$C,盘货信息!$M:$M)&amp;"元消费券"))</f>
        <v/>
      </c>
      <c r="M14" s="18" t="str">
        <f t="array" ref="M14">IF(C14="","",IF(_xlfn.XLOOKUP(A14&amp;B14&amp;C14,盘货信息!$A:$A&amp;盘货信息!$B:$B&amp;盘货信息!$C:$C,盘货信息!$G:$G)="不参加","","焕新补贴优惠【全民可用，不限地址】"))</f>
        <v/>
      </c>
    </row>
    <row r="15" customHeight="1" spans="1:13">
      <c r="A15" s="17" t="str">
        <f>IF(盘货信息!A15="","",盘货信息!A15)</f>
        <v/>
      </c>
      <c r="B15" s="17" t="str">
        <f>IF(盘货信息!B15="","",盘货信息!B15)</f>
        <v/>
      </c>
      <c r="C15" s="18" t="str">
        <f>IF(盘货信息!C15="","",盘货信息!C15)</f>
        <v/>
      </c>
      <c r="D15" s="18" t="str">
        <f t="shared" si="0"/>
        <v/>
      </c>
      <c r="E15" s="18" t="str">
        <f t="array" ref="E15">IF(C15="","",IF(_xlfn.XLOOKUP(A15&amp;B15&amp;C15,盘货信息!$A:$A&amp;盘货信息!$B:$B&amp;盘货信息!$C:$C,盘货信息!$N:$N)="","【立减到手价"&amp;_xlfn.XLOOKUP(A15&amp;B15&amp;C15,盘货信息!$A:$A&amp;盘货信息!$B:$B&amp;盘货信息!$C:$C,盘货信息!$F:$F)&amp;"元】","【焕新补贴预估价"&amp;_xlfn.XLOOKUP(A15&amp;B15&amp;C15,盘货信息!$A:$A&amp;盘货信息!$B:$B&amp;盘货信息!$C:$C,盘货信息!$N:$N)&amp;"元】"))</f>
        <v/>
      </c>
      <c r="F15" s="18" t="str">
        <f t="array" ref="F15">IF(C15="","",_xlfn.XLOOKUP(A15&amp;B15&amp;C15,盘货信息!$A:$A&amp;盘货信息!$B:$B&amp;盘货信息!$C:$C,盘货信息!$E:$E)&amp;"元到手价")</f>
        <v/>
      </c>
      <c r="G15" s="18" t="str">
        <f t="array" ref="G15">IF(C15="","",IF(_xlfn.XLOOKUP(A15&amp;B15&amp;C15,盘货信息!$A:$A&amp;盘货信息!$B:$B&amp;盘货信息!$C:$C,盘货信息!$I:$I)="","","88VIP95折"))</f>
        <v/>
      </c>
      <c r="H15" s="18" t="str">
        <f t="array" ref="H15">IF(C15="","",IF(_xlfn.XLOOKUP(A15&amp;B15&amp;C15,盘货信息!$A:$A&amp;盘货信息!$B:$B&amp;盘货信息!$C:$C,盘货信息!$J:$J)="","",_xlfn.XLOOKUP(A15&amp;B15&amp;C15,盘货信息!$A:$A&amp;盘货信息!$B:$B&amp;盘货信息!$C:$C,盘货信息!$J:$J)&amp;"元优惠卷"))</f>
        <v/>
      </c>
      <c r="I15" s="18" t="str">
        <f t="array" ref="I15">IF(C15="","",IF(_xlfn.XLOOKUP(A15&amp;B15&amp;C15,盘货信息!$A:$A&amp;盘货信息!$B:$B&amp;盘货信息!$C:$C,盘货信息!$R:$R)="","",_xlfn.XLOOKUP(A15&amp;B15&amp;C15,盘货信息!$A:$A&amp;盘货信息!$B:$B&amp;盘货信息!$C:$C,盘货信息!$R:$R)&amp;"元优惠卷"))</f>
        <v/>
      </c>
      <c r="J15" s="18" t="str">
        <f t="array" ref="J15">IF(C15="","",IF(_xlfn.XLOOKUP(A15&amp;B15&amp;C15,盘货信息!$A:$A&amp;盘货信息!$B:$B&amp;盘货信息!$C:$C,盘货信息!$K:$K)="","",IF(OR(_xlfn.XLOOKUP(A15&amp;B15&amp;C15,盘货信息!$A:$A&amp;盘货信息!$B:$B&amp;盘货信息!$C:$C,盘货信息!$G:$G)="参加",_xlfn.XLOOKUP(A15&amp;B15&amp;C15,盘货信息!$A:$A&amp;盘货信息!$B:$B&amp;盘货信息!$C:$C,盘货信息!$H:$H)="1（纯自补）"),_xlfn.XLOOKUP(A15&amp;B15&amp;C15,盘货信息!$A:$A&amp;盘货信息!$B:$B&amp;盘货信息!$C:$C,盘货信息!$K:$K)&amp;"元以旧换新（可无旧机换新）","")))</f>
        <v/>
      </c>
      <c r="K15" s="18" t="str">
        <f t="array" ref="K15">IF(C15="","",IF(_xlfn.XLOOKUP(A15&amp;B15&amp;C15,盘货信息!$A:$A&amp;盘货信息!$B:$B&amp;盘货信息!$C:$C,盘货信息!$L:$L)="","",_xlfn.XLOOKUP(A15&amp;B15&amp;C15,盘货信息!$A:$A&amp;盘货信息!$B:$B&amp;盘货信息!$C:$C,盘货信息!$L:$L)&amp;"元限时补贴"))</f>
        <v/>
      </c>
      <c r="L15" s="18" t="str">
        <f t="array" ref="L15">IF(C15="","",IF(_xlfn.XLOOKUP(A15&amp;B15&amp;C15,盘货信息!$A:$A&amp;盘货信息!$B:$B&amp;盘货信息!$C:$C,盘货信息!$M:$M)="","",_xlfn.XLOOKUP(A15&amp;B15&amp;C15,盘货信息!$A:$A&amp;盘货信息!$B:$B&amp;盘货信息!$C:$C,盘货信息!$M:$M)&amp;"元消费券"))</f>
        <v/>
      </c>
      <c r="M15" s="18" t="str">
        <f t="array" ref="M15">IF(C15="","",IF(_xlfn.XLOOKUP(A15&amp;B15&amp;C15,盘货信息!$A:$A&amp;盘货信息!$B:$B&amp;盘货信息!$C:$C,盘货信息!$G:$G)="不参加","","焕新补贴优惠【全民可用，不限地址】"))</f>
        <v/>
      </c>
    </row>
    <row r="16" customHeight="1" spans="1:13">
      <c r="A16" s="17" t="str">
        <f>IF(盘货信息!A16="","",盘货信息!A16)</f>
        <v/>
      </c>
      <c r="B16" s="17" t="str">
        <f>IF(盘货信息!B16="","",盘货信息!B16)</f>
        <v/>
      </c>
      <c r="C16" s="18" t="str">
        <f>IF(盘货信息!C16="","",盘货信息!C16)</f>
        <v/>
      </c>
      <c r="D16" s="18" t="str">
        <f t="shared" si="0"/>
        <v/>
      </c>
      <c r="E16" s="18" t="str">
        <f t="array" ref="E16">IF(C16="","",IF(_xlfn.XLOOKUP(A16&amp;B16&amp;C16,盘货信息!$A:$A&amp;盘货信息!$B:$B&amp;盘货信息!$C:$C,盘货信息!$N:$N)="","【立减到手价"&amp;_xlfn.XLOOKUP(A16&amp;B16&amp;C16,盘货信息!$A:$A&amp;盘货信息!$B:$B&amp;盘货信息!$C:$C,盘货信息!$F:$F)&amp;"元】","【焕新补贴预估价"&amp;_xlfn.XLOOKUP(A16&amp;B16&amp;C16,盘货信息!$A:$A&amp;盘货信息!$B:$B&amp;盘货信息!$C:$C,盘货信息!$N:$N)&amp;"元】"))</f>
        <v/>
      </c>
      <c r="F16" s="18" t="str">
        <f t="array" ref="F16">IF(C16="","",_xlfn.XLOOKUP(A16&amp;B16&amp;C16,盘货信息!$A:$A&amp;盘货信息!$B:$B&amp;盘货信息!$C:$C,盘货信息!$E:$E)&amp;"元到手价")</f>
        <v/>
      </c>
      <c r="G16" s="18" t="str">
        <f t="array" ref="G16">IF(C16="","",IF(_xlfn.XLOOKUP(A16&amp;B16&amp;C16,盘货信息!$A:$A&amp;盘货信息!$B:$B&amp;盘货信息!$C:$C,盘货信息!$I:$I)="","","88VIP95折"))</f>
        <v/>
      </c>
      <c r="H16" s="18" t="str">
        <f t="array" ref="H16">IF(C16="","",IF(_xlfn.XLOOKUP(A16&amp;B16&amp;C16,盘货信息!$A:$A&amp;盘货信息!$B:$B&amp;盘货信息!$C:$C,盘货信息!$J:$J)="","",_xlfn.XLOOKUP(A16&amp;B16&amp;C16,盘货信息!$A:$A&amp;盘货信息!$B:$B&amp;盘货信息!$C:$C,盘货信息!$J:$J)&amp;"元优惠卷"))</f>
        <v/>
      </c>
      <c r="I16" s="18" t="str">
        <f t="array" ref="I16">IF(C16="","",IF(_xlfn.XLOOKUP(A16&amp;B16&amp;C16,盘货信息!$A:$A&amp;盘货信息!$B:$B&amp;盘货信息!$C:$C,盘货信息!$R:$R)="","",_xlfn.XLOOKUP(A16&amp;B16&amp;C16,盘货信息!$A:$A&amp;盘货信息!$B:$B&amp;盘货信息!$C:$C,盘货信息!$R:$R)&amp;"元优惠卷"))</f>
        <v/>
      </c>
      <c r="J16" s="18" t="str">
        <f t="array" ref="J16">IF(C16="","",IF(_xlfn.XLOOKUP(A16&amp;B16&amp;C16,盘货信息!$A:$A&amp;盘货信息!$B:$B&amp;盘货信息!$C:$C,盘货信息!$K:$K)="","",IF(OR(_xlfn.XLOOKUP(A16&amp;B16&amp;C16,盘货信息!$A:$A&amp;盘货信息!$B:$B&amp;盘货信息!$C:$C,盘货信息!$G:$G)="参加",_xlfn.XLOOKUP(A16&amp;B16&amp;C16,盘货信息!$A:$A&amp;盘货信息!$B:$B&amp;盘货信息!$C:$C,盘货信息!$H:$H)="1（纯自补）"),_xlfn.XLOOKUP(A16&amp;B16&amp;C16,盘货信息!$A:$A&amp;盘货信息!$B:$B&amp;盘货信息!$C:$C,盘货信息!$K:$K)&amp;"元以旧换新（可无旧机换新）","")))</f>
        <v/>
      </c>
      <c r="K16" s="18" t="str">
        <f t="array" ref="K16">IF(C16="","",IF(_xlfn.XLOOKUP(A16&amp;B16&amp;C16,盘货信息!$A:$A&amp;盘货信息!$B:$B&amp;盘货信息!$C:$C,盘货信息!$L:$L)="","",_xlfn.XLOOKUP(A16&amp;B16&amp;C16,盘货信息!$A:$A&amp;盘货信息!$B:$B&amp;盘货信息!$C:$C,盘货信息!$L:$L)&amp;"元限时补贴"))</f>
        <v/>
      </c>
      <c r="L16" s="18" t="str">
        <f t="array" ref="L16">IF(C16="","",IF(_xlfn.XLOOKUP(A16&amp;B16&amp;C16,盘货信息!$A:$A&amp;盘货信息!$B:$B&amp;盘货信息!$C:$C,盘货信息!$M:$M)="","",_xlfn.XLOOKUP(A16&amp;B16&amp;C16,盘货信息!$A:$A&amp;盘货信息!$B:$B&amp;盘货信息!$C:$C,盘货信息!$M:$M)&amp;"元消费券"))</f>
        <v/>
      </c>
      <c r="M16" s="18" t="str">
        <f t="array" ref="M16">IF(C16="","",IF(_xlfn.XLOOKUP(A16&amp;B16&amp;C16,盘货信息!$A:$A&amp;盘货信息!$B:$B&amp;盘货信息!$C:$C,盘货信息!$G:$G)="不参加","","焕新补贴优惠【全民可用，不限地址】"))</f>
        <v/>
      </c>
    </row>
    <row r="17" customHeight="1" spans="1:13">
      <c r="A17" s="17" t="str">
        <f>IF(盘货信息!A17="","",盘货信息!A17)</f>
        <v/>
      </c>
      <c r="B17" s="17" t="str">
        <f>IF(盘货信息!B17="","",盘货信息!B17)</f>
        <v/>
      </c>
      <c r="C17" s="18" t="str">
        <f>IF(盘货信息!C17="","",盘货信息!C17)</f>
        <v/>
      </c>
      <c r="D17" s="18" t="str">
        <f t="shared" si="0"/>
        <v/>
      </c>
      <c r="E17" s="18" t="str">
        <f t="array" ref="E17">IF(C17="","",IF(_xlfn.XLOOKUP(A17&amp;B17&amp;C17,盘货信息!$A:$A&amp;盘货信息!$B:$B&amp;盘货信息!$C:$C,盘货信息!$N:$N)="","【立减到手价"&amp;_xlfn.XLOOKUP(A17&amp;B17&amp;C17,盘货信息!$A:$A&amp;盘货信息!$B:$B&amp;盘货信息!$C:$C,盘货信息!$F:$F)&amp;"元】","【焕新补贴预估价"&amp;_xlfn.XLOOKUP(A17&amp;B17&amp;C17,盘货信息!$A:$A&amp;盘货信息!$B:$B&amp;盘货信息!$C:$C,盘货信息!$N:$N)&amp;"元】"))</f>
        <v/>
      </c>
      <c r="F17" s="18" t="str">
        <f t="array" ref="F17">IF(C17="","",_xlfn.XLOOKUP(A17&amp;B17&amp;C17,盘货信息!$A:$A&amp;盘货信息!$B:$B&amp;盘货信息!$C:$C,盘货信息!$E:$E)&amp;"元到手价")</f>
        <v/>
      </c>
      <c r="G17" s="18" t="str">
        <f t="array" ref="G17">IF(C17="","",IF(_xlfn.XLOOKUP(A17&amp;B17&amp;C17,盘货信息!$A:$A&amp;盘货信息!$B:$B&amp;盘货信息!$C:$C,盘货信息!$I:$I)="","","88VIP95折"))</f>
        <v/>
      </c>
      <c r="H17" s="18" t="str">
        <f t="array" ref="H17">IF(C17="","",IF(_xlfn.XLOOKUP(A17&amp;B17&amp;C17,盘货信息!$A:$A&amp;盘货信息!$B:$B&amp;盘货信息!$C:$C,盘货信息!$J:$J)="","",_xlfn.XLOOKUP(A17&amp;B17&amp;C17,盘货信息!$A:$A&amp;盘货信息!$B:$B&amp;盘货信息!$C:$C,盘货信息!$J:$J)&amp;"元优惠卷"))</f>
        <v/>
      </c>
      <c r="I17" s="18" t="str">
        <f t="array" ref="I17">IF(C17="","",IF(_xlfn.XLOOKUP(A17&amp;B17&amp;C17,盘货信息!$A:$A&amp;盘货信息!$B:$B&amp;盘货信息!$C:$C,盘货信息!$R:$R)="","",_xlfn.XLOOKUP(A17&amp;B17&amp;C17,盘货信息!$A:$A&amp;盘货信息!$B:$B&amp;盘货信息!$C:$C,盘货信息!$R:$R)&amp;"元优惠卷"))</f>
        <v/>
      </c>
      <c r="J17" s="18" t="str">
        <f t="array" ref="J17">IF(C17="","",IF(_xlfn.XLOOKUP(A17&amp;B17&amp;C17,盘货信息!$A:$A&amp;盘货信息!$B:$B&amp;盘货信息!$C:$C,盘货信息!$K:$K)="","",IF(OR(_xlfn.XLOOKUP(A17&amp;B17&amp;C17,盘货信息!$A:$A&amp;盘货信息!$B:$B&amp;盘货信息!$C:$C,盘货信息!$G:$G)="参加",_xlfn.XLOOKUP(A17&amp;B17&amp;C17,盘货信息!$A:$A&amp;盘货信息!$B:$B&amp;盘货信息!$C:$C,盘货信息!$H:$H)="1（纯自补）"),_xlfn.XLOOKUP(A17&amp;B17&amp;C17,盘货信息!$A:$A&amp;盘货信息!$B:$B&amp;盘货信息!$C:$C,盘货信息!$K:$K)&amp;"元以旧换新（可无旧机换新）","")))</f>
        <v/>
      </c>
      <c r="K17" s="18" t="str">
        <f t="array" ref="K17">IF(C17="","",IF(_xlfn.XLOOKUP(A17&amp;B17&amp;C17,盘货信息!$A:$A&amp;盘货信息!$B:$B&amp;盘货信息!$C:$C,盘货信息!$L:$L)="","",_xlfn.XLOOKUP(A17&amp;B17&amp;C17,盘货信息!$A:$A&amp;盘货信息!$B:$B&amp;盘货信息!$C:$C,盘货信息!$L:$L)&amp;"元限时补贴"))</f>
        <v/>
      </c>
      <c r="L17" s="18" t="str">
        <f t="array" ref="L17">IF(C17="","",IF(_xlfn.XLOOKUP(A17&amp;B17&amp;C17,盘货信息!$A:$A&amp;盘货信息!$B:$B&amp;盘货信息!$C:$C,盘货信息!$M:$M)="","",_xlfn.XLOOKUP(A17&amp;B17&amp;C17,盘货信息!$A:$A&amp;盘货信息!$B:$B&amp;盘货信息!$C:$C,盘货信息!$M:$M)&amp;"元消费券"))</f>
        <v/>
      </c>
      <c r="M17" s="18" t="str">
        <f t="array" ref="M17">IF(C17="","",IF(_xlfn.XLOOKUP(A17&amp;B17&amp;C17,盘货信息!$A:$A&amp;盘货信息!$B:$B&amp;盘货信息!$C:$C,盘货信息!$G:$G)="不参加","","焕新补贴优惠【全民可用，不限地址】"))</f>
        <v/>
      </c>
    </row>
    <row r="18" customHeight="1" spans="1:13">
      <c r="A18" s="17" t="str">
        <f>IF(盘货信息!A18="","",盘货信息!A18)</f>
        <v/>
      </c>
      <c r="B18" s="17" t="str">
        <f>IF(盘货信息!B18="","",盘货信息!B18)</f>
        <v/>
      </c>
      <c r="C18" s="18" t="str">
        <f>IF(盘货信息!C18="","",盘货信息!C18)</f>
        <v/>
      </c>
      <c r="D18" s="18" t="str">
        <f t="shared" si="0"/>
        <v/>
      </c>
      <c r="E18" s="18" t="str">
        <f t="array" ref="E18">IF(C18="","",IF(_xlfn.XLOOKUP(A18&amp;B18&amp;C18,盘货信息!$A:$A&amp;盘货信息!$B:$B&amp;盘货信息!$C:$C,盘货信息!$N:$N)="","【立减到手价"&amp;_xlfn.XLOOKUP(A18&amp;B18&amp;C18,盘货信息!$A:$A&amp;盘货信息!$B:$B&amp;盘货信息!$C:$C,盘货信息!$F:$F)&amp;"元】","【焕新补贴预估价"&amp;_xlfn.XLOOKUP(A18&amp;B18&amp;C18,盘货信息!$A:$A&amp;盘货信息!$B:$B&amp;盘货信息!$C:$C,盘货信息!$N:$N)&amp;"元】"))</f>
        <v/>
      </c>
      <c r="F18" s="18" t="str">
        <f t="array" ref="F18">IF(C18="","",_xlfn.XLOOKUP(A18&amp;B18&amp;C18,盘货信息!$A:$A&amp;盘货信息!$B:$B&amp;盘货信息!$C:$C,盘货信息!$E:$E)&amp;"元到手价")</f>
        <v/>
      </c>
      <c r="G18" s="18" t="str">
        <f t="array" ref="G18">IF(C18="","",IF(_xlfn.XLOOKUP(A18&amp;B18&amp;C18,盘货信息!$A:$A&amp;盘货信息!$B:$B&amp;盘货信息!$C:$C,盘货信息!$I:$I)="","","88VIP95折"))</f>
        <v/>
      </c>
      <c r="H18" s="18" t="str">
        <f t="array" ref="H18">IF(C18="","",IF(_xlfn.XLOOKUP(A18&amp;B18&amp;C18,盘货信息!$A:$A&amp;盘货信息!$B:$B&amp;盘货信息!$C:$C,盘货信息!$J:$J)="","",_xlfn.XLOOKUP(A18&amp;B18&amp;C18,盘货信息!$A:$A&amp;盘货信息!$B:$B&amp;盘货信息!$C:$C,盘货信息!$J:$J)&amp;"元优惠卷"))</f>
        <v/>
      </c>
      <c r="I18" s="18" t="str">
        <f t="array" ref="I18">IF(C18="","",IF(_xlfn.XLOOKUP(A18&amp;B18&amp;C18,盘货信息!$A:$A&amp;盘货信息!$B:$B&amp;盘货信息!$C:$C,盘货信息!$R:$R)="","",_xlfn.XLOOKUP(A18&amp;B18&amp;C18,盘货信息!$A:$A&amp;盘货信息!$B:$B&amp;盘货信息!$C:$C,盘货信息!$R:$R)&amp;"元优惠卷"))</f>
        <v/>
      </c>
      <c r="J18" s="18" t="str">
        <f t="array" ref="J18">IF(C18="","",IF(_xlfn.XLOOKUP(A18&amp;B18&amp;C18,盘货信息!$A:$A&amp;盘货信息!$B:$B&amp;盘货信息!$C:$C,盘货信息!$K:$K)="","",IF(OR(_xlfn.XLOOKUP(A18&amp;B18&amp;C18,盘货信息!$A:$A&amp;盘货信息!$B:$B&amp;盘货信息!$C:$C,盘货信息!$G:$G)="参加",_xlfn.XLOOKUP(A18&amp;B18&amp;C18,盘货信息!$A:$A&amp;盘货信息!$B:$B&amp;盘货信息!$C:$C,盘货信息!$H:$H)="1（纯自补）"),_xlfn.XLOOKUP(A18&amp;B18&amp;C18,盘货信息!$A:$A&amp;盘货信息!$B:$B&amp;盘货信息!$C:$C,盘货信息!$K:$K)&amp;"元以旧换新（可无旧机换新）","")))</f>
        <v/>
      </c>
      <c r="K18" s="18" t="str">
        <f t="array" ref="K18">IF(C18="","",IF(_xlfn.XLOOKUP(A18&amp;B18&amp;C18,盘货信息!$A:$A&amp;盘货信息!$B:$B&amp;盘货信息!$C:$C,盘货信息!$L:$L)="","",_xlfn.XLOOKUP(A18&amp;B18&amp;C18,盘货信息!$A:$A&amp;盘货信息!$B:$B&amp;盘货信息!$C:$C,盘货信息!$L:$L)&amp;"元限时补贴"))</f>
        <v/>
      </c>
      <c r="L18" s="18" t="str">
        <f t="array" ref="L18">IF(C18="","",IF(_xlfn.XLOOKUP(A18&amp;B18&amp;C18,盘货信息!$A:$A&amp;盘货信息!$B:$B&amp;盘货信息!$C:$C,盘货信息!$M:$M)="","",_xlfn.XLOOKUP(A18&amp;B18&amp;C18,盘货信息!$A:$A&amp;盘货信息!$B:$B&amp;盘货信息!$C:$C,盘货信息!$M:$M)&amp;"元消费券"))</f>
        <v/>
      </c>
      <c r="M18" s="18" t="str">
        <f t="array" ref="M18">IF(C18="","",IF(_xlfn.XLOOKUP(A18&amp;B18&amp;C18,盘货信息!$A:$A&amp;盘货信息!$B:$B&amp;盘货信息!$C:$C,盘货信息!$G:$G)="不参加","","焕新补贴优惠【全民可用，不限地址】"))</f>
        <v/>
      </c>
    </row>
    <row r="19" customHeight="1" spans="1:13">
      <c r="A19" s="17" t="str">
        <f>IF(盘货信息!A19="","",盘货信息!A19)</f>
        <v/>
      </c>
      <c r="B19" s="17" t="str">
        <f>IF(盘货信息!B19="","",盘货信息!B19)</f>
        <v/>
      </c>
      <c r="C19" s="18" t="str">
        <f>IF(盘货信息!C19="","",盘货信息!C19)</f>
        <v/>
      </c>
      <c r="D19" s="18" t="str">
        <f t="shared" si="0"/>
        <v/>
      </c>
      <c r="E19" s="18" t="str">
        <f t="array" ref="E19">IF(C19="","",IF(_xlfn.XLOOKUP(A19&amp;B19&amp;C19,盘货信息!$A:$A&amp;盘货信息!$B:$B&amp;盘货信息!$C:$C,盘货信息!$N:$N)="","【立减到手价"&amp;_xlfn.XLOOKUP(A19&amp;B19&amp;C19,盘货信息!$A:$A&amp;盘货信息!$B:$B&amp;盘货信息!$C:$C,盘货信息!$F:$F)&amp;"元】","【焕新补贴预估价"&amp;_xlfn.XLOOKUP(A19&amp;B19&amp;C19,盘货信息!$A:$A&amp;盘货信息!$B:$B&amp;盘货信息!$C:$C,盘货信息!$N:$N)&amp;"元】"))</f>
        <v/>
      </c>
      <c r="F19" s="18" t="str">
        <f t="array" ref="F19">IF(C19="","",_xlfn.XLOOKUP(A19&amp;B19&amp;C19,盘货信息!$A:$A&amp;盘货信息!$B:$B&amp;盘货信息!$C:$C,盘货信息!$E:$E)&amp;"元到手价")</f>
        <v/>
      </c>
      <c r="G19" s="18" t="str">
        <f t="array" ref="G19">IF(C19="","",IF(_xlfn.XLOOKUP(A19&amp;B19&amp;C19,盘货信息!$A:$A&amp;盘货信息!$B:$B&amp;盘货信息!$C:$C,盘货信息!$I:$I)="","","88VIP95折"))</f>
        <v/>
      </c>
      <c r="H19" s="18" t="str">
        <f t="array" ref="H19">IF(C19="","",IF(_xlfn.XLOOKUP(A19&amp;B19&amp;C19,盘货信息!$A:$A&amp;盘货信息!$B:$B&amp;盘货信息!$C:$C,盘货信息!$J:$J)="","",_xlfn.XLOOKUP(A19&amp;B19&amp;C19,盘货信息!$A:$A&amp;盘货信息!$B:$B&amp;盘货信息!$C:$C,盘货信息!$J:$J)&amp;"元优惠卷"))</f>
        <v/>
      </c>
      <c r="I19" s="18" t="str">
        <f t="array" ref="I19">IF(C19="","",IF(_xlfn.XLOOKUP(A19&amp;B19&amp;C19,盘货信息!$A:$A&amp;盘货信息!$B:$B&amp;盘货信息!$C:$C,盘货信息!$R:$R)="","",_xlfn.XLOOKUP(A19&amp;B19&amp;C19,盘货信息!$A:$A&amp;盘货信息!$B:$B&amp;盘货信息!$C:$C,盘货信息!$R:$R)&amp;"元优惠卷"))</f>
        <v/>
      </c>
      <c r="J19" s="18" t="str">
        <f t="array" ref="J19">IF(C19="","",IF(_xlfn.XLOOKUP(A19&amp;B19&amp;C19,盘货信息!$A:$A&amp;盘货信息!$B:$B&amp;盘货信息!$C:$C,盘货信息!$K:$K)="","",IF(OR(_xlfn.XLOOKUP(A19&amp;B19&amp;C19,盘货信息!$A:$A&amp;盘货信息!$B:$B&amp;盘货信息!$C:$C,盘货信息!$G:$G)="参加",_xlfn.XLOOKUP(A19&amp;B19&amp;C19,盘货信息!$A:$A&amp;盘货信息!$B:$B&amp;盘货信息!$C:$C,盘货信息!$H:$H)="1（纯自补）"),_xlfn.XLOOKUP(A19&amp;B19&amp;C19,盘货信息!$A:$A&amp;盘货信息!$B:$B&amp;盘货信息!$C:$C,盘货信息!$K:$K)&amp;"元以旧换新（可无旧机换新）","")))</f>
        <v/>
      </c>
      <c r="K19" s="18" t="str">
        <f t="array" ref="K19">IF(C19="","",IF(_xlfn.XLOOKUP(A19&amp;B19&amp;C19,盘货信息!$A:$A&amp;盘货信息!$B:$B&amp;盘货信息!$C:$C,盘货信息!$L:$L)="","",_xlfn.XLOOKUP(A19&amp;B19&amp;C19,盘货信息!$A:$A&amp;盘货信息!$B:$B&amp;盘货信息!$C:$C,盘货信息!$L:$L)&amp;"元限时补贴"))</f>
        <v/>
      </c>
      <c r="L19" s="18" t="str">
        <f t="array" ref="L19">IF(C19="","",IF(_xlfn.XLOOKUP(A19&amp;B19&amp;C19,盘货信息!$A:$A&amp;盘货信息!$B:$B&amp;盘货信息!$C:$C,盘货信息!$M:$M)="","",_xlfn.XLOOKUP(A19&amp;B19&amp;C19,盘货信息!$A:$A&amp;盘货信息!$B:$B&amp;盘货信息!$C:$C,盘货信息!$M:$M)&amp;"元消费券"))</f>
        <v/>
      </c>
      <c r="M19" s="18" t="str">
        <f t="array" ref="M19">IF(C19="","",IF(_xlfn.XLOOKUP(A19&amp;B19&amp;C19,盘货信息!$A:$A&amp;盘货信息!$B:$B&amp;盘货信息!$C:$C,盘货信息!$G:$G)="不参加","","焕新补贴优惠【全民可用，不限地址】"))</f>
        <v/>
      </c>
    </row>
    <row r="20" customHeight="1" spans="1:13">
      <c r="A20" s="17" t="str">
        <f>IF(盘货信息!A20="","",盘货信息!A20)</f>
        <v/>
      </c>
      <c r="B20" s="17" t="str">
        <f>IF(盘货信息!B20="","",盘货信息!B20)</f>
        <v/>
      </c>
      <c r="C20" s="18" t="str">
        <f>IF(盘货信息!C20="","",盘货信息!C20)</f>
        <v/>
      </c>
      <c r="D20" s="18" t="str">
        <f t="shared" si="0"/>
        <v/>
      </c>
      <c r="E20" s="18" t="str">
        <f t="array" ref="E20">IF(C20="","",IF(_xlfn.XLOOKUP(A20&amp;B20&amp;C20,盘货信息!$A:$A&amp;盘货信息!$B:$B&amp;盘货信息!$C:$C,盘货信息!$N:$N)="","【立减到手价"&amp;_xlfn.XLOOKUP(A20&amp;B20&amp;C20,盘货信息!$A:$A&amp;盘货信息!$B:$B&amp;盘货信息!$C:$C,盘货信息!$F:$F)&amp;"元】","【焕新补贴预估价"&amp;_xlfn.XLOOKUP(A20&amp;B20&amp;C20,盘货信息!$A:$A&amp;盘货信息!$B:$B&amp;盘货信息!$C:$C,盘货信息!$N:$N)&amp;"元】"))</f>
        <v/>
      </c>
      <c r="F20" s="18" t="str">
        <f t="array" ref="F20">IF(C20="","",_xlfn.XLOOKUP(A20&amp;B20&amp;C20,盘货信息!$A:$A&amp;盘货信息!$B:$B&amp;盘货信息!$C:$C,盘货信息!$E:$E)&amp;"元到手价")</f>
        <v/>
      </c>
      <c r="G20" s="18" t="str">
        <f t="array" ref="G20">IF(C20="","",IF(_xlfn.XLOOKUP(A20&amp;B20&amp;C20,盘货信息!$A:$A&amp;盘货信息!$B:$B&amp;盘货信息!$C:$C,盘货信息!$I:$I)="","","88VIP95折"))</f>
        <v/>
      </c>
      <c r="H20" s="18" t="str">
        <f t="array" ref="H20">IF(C20="","",IF(_xlfn.XLOOKUP(A20&amp;B20&amp;C20,盘货信息!$A:$A&amp;盘货信息!$B:$B&amp;盘货信息!$C:$C,盘货信息!$J:$J)="","",_xlfn.XLOOKUP(A20&amp;B20&amp;C20,盘货信息!$A:$A&amp;盘货信息!$B:$B&amp;盘货信息!$C:$C,盘货信息!$J:$J)&amp;"元优惠卷"))</f>
        <v/>
      </c>
      <c r="I20" s="18" t="str">
        <f t="array" ref="I20">IF(C20="","",IF(_xlfn.XLOOKUP(A20&amp;B20&amp;C20,盘货信息!$A:$A&amp;盘货信息!$B:$B&amp;盘货信息!$C:$C,盘货信息!$R:$R)="","",_xlfn.XLOOKUP(A20&amp;B20&amp;C20,盘货信息!$A:$A&amp;盘货信息!$B:$B&amp;盘货信息!$C:$C,盘货信息!$R:$R)&amp;"元优惠卷"))</f>
        <v/>
      </c>
      <c r="J20" s="18" t="str">
        <f t="array" ref="J20">IF(C20="","",IF(_xlfn.XLOOKUP(A20&amp;B20&amp;C20,盘货信息!$A:$A&amp;盘货信息!$B:$B&amp;盘货信息!$C:$C,盘货信息!$K:$K)="","",IF(OR(_xlfn.XLOOKUP(A20&amp;B20&amp;C20,盘货信息!$A:$A&amp;盘货信息!$B:$B&amp;盘货信息!$C:$C,盘货信息!$G:$G)="参加",_xlfn.XLOOKUP(A20&amp;B20&amp;C20,盘货信息!$A:$A&amp;盘货信息!$B:$B&amp;盘货信息!$C:$C,盘货信息!$H:$H)="1（纯自补）"),_xlfn.XLOOKUP(A20&amp;B20&amp;C20,盘货信息!$A:$A&amp;盘货信息!$B:$B&amp;盘货信息!$C:$C,盘货信息!$K:$K)&amp;"元以旧换新（可无旧机换新）","")))</f>
        <v/>
      </c>
      <c r="K20" s="18" t="str">
        <f t="array" ref="K20">IF(C20="","",IF(_xlfn.XLOOKUP(A20&amp;B20&amp;C20,盘货信息!$A:$A&amp;盘货信息!$B:$B&amp;盘货信息!$C:$C,盘货信息!$L:$L)="","",_xlfn.XLOOKUP(A20&amp;B20&amp;C20,盘货信息!$A:$A&amp;盘货信息!$B:$B&amp;盘货信息!$C:$C,盘货信息!$L:$L)&amp;"元限时补贴"))</f>
        <v/>
      </c>
      <c r="L20" s="18" t="str">
        <f t="array" ref="L20">IF(C20="","",IF(_xlfn.XLOOKUP(A20&amp;B20&amp;C20,盘货信息!$A:$A&amp;盘货信息!$B:$B&amp;盘货信息!$C:$C,盘货信息!$M:$M)="","",_xlfn.XLOOKUP(A20&amp;B20&amp;C20,盘货信息!$A:$A&amp;盘货信息!$B:$B&amp;盘货信息!$C:$C,盘货信息!$M:$M)&amp;"元消费券"))</f>
        <v/>
      </c>
      <c r="M20" s="18" t="str">
        <f t="array" ref="M20">IF(C20="","",IF(_xlfn.XLOOKUP(A20&amp;B20&amp;C20,盘货信息!$A:$A&amp;盘货信息!$B:$B&amp;盘货信息!$C:$C,盘货信息!$G:$G)="不参加","","焕新补贴优惠【全民可用，不限地址】"))</f>
        <v/>
      </c>
    </row>
    <row r="21" customHeight="1" spans="1:13">
      <c r="A21" s="17" t="str">
        <f>IF(盘货信息!A21="","",盘货信息!A21)</f>
        <v/>
      </c>
      <c r="B21" s="17" t="str">
        <f>IF(盘货信息!B21="","",盘货信息!B21)</f>
        <v/>
      </c>
      <c r="C21" s="18" t="str">
        <f>IF(盘货信息!C21="","",盘货信息!C21)</f>
        <v/>
      </c>
      <c r="D21" s="18" t="str">
        <f t="shared" si="0"/>
        <v/>
      </c>
      <c r="E21" s="18" t="str">
        <f t="array" ref="E21">IF(C21="","",IF(_xlfn.XLOOKUP(A21&amp;B21&amp;C21,盘货信息!$A:$A&amp;盘货信息!$B:$B&amp;盘货信息!$C:$C,盘货信息!$N:$N)="","【立减到手价"&amp;_xlfn.XLOOKUP(A21&amp;B21&amp;C21,盘货信息!$A:$A&amp;盘货信息!$B:$B&amp;盘货信息!$C:$C,盘货信息!$F:$F)&amp;"元】","【焕新补贴预估价"&amp;_xlfn.XLOOKUP(A21&amp;B21&amp;C21,盘货信息!$A:$A&amp;盘货信息!$B:$B&amp;盘货信息!$C:$C,盘货信息!$N:$N)&amp;"元】"))</f>
        <v/>
      </c>
      <c r="F21" s="18" t="str">
        <f t="array" ref="F21">IF(C21="","",_xlfn.XLOOKUP(A21&amp;B21&amp;C21,盘货信息!$A:$A&amp;盘货信息!$B:$B&amp;盘货信息!$C:$C,盘货信息!$E:$E)&amp;"元到手价")</f>
        <v/>
      </c>
      <c r="G21" s="18" t="str">
        <f t="array" ref="G21">IF(C21="","",IF(_xlfn.XLOOKUP(A21&amp;B21&amp;C21,盘货信息!$A:$A&amp;盘货信息!$B:$B&amp;盘货信息!$C:$C,盘货信息!$I:$I)="","","88VIP95折"))</f>
        <v/>
      </c>
      <c r="H21" s="18" t="str">
        <f t="array" ref="H21">IF(C21="","",IF(_xlfn.XLOOKUP(A21&amp;B21&amp;C21,盘货信息!$A:$A&amp;盘货信息!$B:$B&amp;盘货信息!$C:$C,盘货信息!$J:$J)="","",_xlfn.XLOOKUP(A21&amp;B21&amp;C21,盘货信息!$A:$A&amp;盘货信息!$B:$B&amp;盘货信息!$C:$C,盘货信息!$J:$J)&amp;"元优惠卷"))</f>
        <v/>
      </c>
      <c r="I21" s="18" t="str">
        <f t="array" ref="I21">IF(C21="","",IF(_xlfn.XLOOKUP(A21&amp;B21&amp;C21,盘货信息!$A:$A&amp;盘货信息!$B:$B&amp;盘货信息!$C:$C,盘货信息!$R:$R)="","",_xlfn.XLOOKUP(A21&amp;B21&amp;C21,盘货信息!$A:$A&amp;盘货信息!$B:$B&amp;盘货信息!$C:$C,盘货信息!$R:$R)&amp;"元优惠卷"))</f>
        <v/>
      </c>
      <c r="J21" s="18" t="str">
        <f t="array" ref="J21">IF(C21="","",IF(_xlfn.XLOOKUP(A21&amp;B21&amp;C21,盘货信息!$A:$A&amp;盘货信息!$B:$B&amp;盘货信息!$C:$C,盘货信息!$K:$K)="","",IF(OR(_xlfn.XLOOKUP(A21&amp;B21&amp;C21,盘货信息!$A:$A&amp;盘货信息!$B:$B&amp;盘货信息!$C:$C,盘货信息!$G:$G)="参加",_xlfn.XLOOKUP(A21&amp;B21&amp;C21,盘货信息!$A:$A&amp;盘货信息!$B:$B&amp;盘货信息!$C:$C,盘货信息!$H:$H)="1（纯自补）"),_xlfn.XLOOKUP(A21&amp;B21&amp;C21,盘货信息!$A:$A&amp;盘货信息!$B:$B&amp;盘货信息!$C:$C,盘货信息!$K:$K)&amp;"元以旧换新（可无旧机换新）","")))</f>
        <v/>
      </c>
      <c r="K21" s="18" t="str">
        <f t="array" ref="K21">IF(C21="","",IF(_xlfn.XLOOKUP(A21&amp;B21&amp;C21,盘货信息!$A:$A&amp;盘货信息!$B:$B&amp;盘货信息!$C:$C,盘货信息!$L:$L)="","",_xlfn.XLOOKUP(A21&amp;B21&amp;C21,盘货信息!$A:$A&amp;盘货信息!$B:$B&amp;盘货信息!$C:$C,盘货信息!$L:$L)&amp;"元限时补贴"))</f>
        <v/>
      </c>
      <c r="L21" s="18" t="str">
        <f t="array" ref="L21">IF(C21="","",IF(_xlfn.XLOOKUP(A21&amp;B21&amp;C21,盘货信息!$A:$A&amp;盘货信息!$B:$B&amp;盘货信息!$C:$C,盘货信息!$M:$M)="","",_xlfn.XLOOKUP(A21&amp;B21&amp;C21,盘货信息!$A:$A&amp;盘货信息!$B:$B&amp;盘货信息!$C:$C,盘货信息!$M:$M)&amp;"元消费券"))</f>
        <v/>
      </c>
      <c r="M21" s="18" t="str">
        <f t="array" ref="M21">IF(C21="","",IF(_xlfn.XLOOKUP(A21&amp;B21&amp;C21,盘货信息!$A:$A&amp;盘货信息!$B:$B&amp;盘货信息!$C:$C,盘货信息!$G:$G)="不参加","","焕新补贴优惠【全民可用，不限地址】"))</f>
        <v/>
      </c>
    </row>
    <row r="22" customHeight="1" spans="1:13">
      <c r="A22" s="17" t="str">
        <f>IF(盘货信息!A22="","",盘货信息!A22)</f>
        <v/>
      </c>
      <c r="B22" s="17" t="str">
        <f>IF(盘货信息!B22="","",盘货信息!B22)</f>
        <v/>
      </c>
      <c r="C22" s="18" t="str">
        <f>IF(盘货信息!C22="","",盘货信息!C22)</f>
        <v/>
      </c>
      <c r="D22" s="18" t="str">
        <f t="shared" si="0"/>
        <v/>
      </c>
      <c r="E22" s="18" t="str">
        <f t="array" ref="E22">IF(C22="","",IF(_xlfn.XLOOKUP(A22&amp;B22&amp;C22,盘货信息!$A:$A&amp;盘货信息!$B:$B&amp;盘货信息!$C:$C,盘货信息!$N:$N)="","【立减到手价"&amp;_xlfn.XLOOKUP(A22&amp;B22&amp;C22,盘货信息!$A:$A&amp;盘货信息!$B:$B&amp;盘货信息!$C:$C,盘货信息!$F:$F)&amp;"元】","【焕新补贴预估价"&amp;_xlfn.XLOOKUP(A22&amp;B22&amp;C22,盘货信息!$A:$A&amp;盘货信息!$B:$B&amp;盘货信息!$C:$C,盘货信息!$N:$N)&amp;"元】"))</f>
        <v/>
      </c>
      <c r="F22" s="18" t="str">
        <f t="array" ref="F22">IF(C22="","",_xlfn.XLOOKUP(A22&amp;B22&amp;C22,盘货信息!$A:$A&amp;盘货信息!$B:$B&amp;盘货信息!$C:$C,盘货信息!$E:$E)&amp;"元到手价")</f>
        <v/>
      </c>
      <c r="G22" s="18" t="str">
        <f t="array" ref="G22">IF(C22="","",IF(_xlfn.XLOOKUP(A22&amp;B22&amp;C22,盘货信息!$A:$A&amp;盘货信息!$B:$B&amp;盘货信息!$C:$C,盘货信息!$I:$I)="","","88VIP95折"))</f>
        <v/>
      </c>
      <c r="H22" s="18" t="str">
        <f t="array" ref="H22">IF(C22="","",IF(_xlfn.XLOOKUP(A22&amp;B22&amp;C22,盘货信息!$A:$A&amp;盘货信息!$B:$B&amp;盘货信息!$C:$C,盘货信息!$J:$J)="","",_xlfn.XLOOKUP(A22&amp;B22&amp;C22,盘货信息!$A:$A&amp;盘货信息!$B:$B&amp;盘货信息!$C:$C,盘货信息!$J:$J)&amp;"元优惠卷"))</f>
        <v/>
      </c>
      <c r="I22" s="18" t="str">
        <f t="array" ref="I22">IF(C22="","",IF(_xlfn.XLOOKUP(A22&amp;B22&amp;C22,盘货信息!$A:$A&amp;盘货信息!$B:$B&amp;盘货信息!$C:$C,盘货信息!$R:$R)="","",_xlfn.XLOOKUP(A22&amp;B22&amp;C22,盘货信息!$A:$A&amp;盘货信息!$B:$B&amp;盘货信息!$C:$C,盘货信息!$R:$R)&amp;"元优惠卷"))</f>
        <v/>
      </c>
      <c r="J22" s="18" t="str">
        <f t="array" ref="J22">IF(C22="","",IF(_xlfn.XLOOKUP(A22&amp;B22&amp;C22,盘货信息!$A:$A&amp;盘货信息!$B:$B&amp;盘货信息!$C:$C,盘货信息!$K:$K)="","",IF(OR(_xlfn.XLOOKUP(A22&amp;B22&amp;C22,盘货信息!$A:$A&amp;盘货信息!$B:$B&amp;盘货信息!$C:$C,盘货信息!$G:$G)="参加",_xlfn.XLOOKUP(A22&amp;B22&amp;C22,盘货信息!$A:$A&amp;盘货信息!$B:$B&amp;盘货信息!$C:$C,盘货信息!$H:$H)="1（纯自补）"),_xlfn.XLOOKUP(A22&amp;B22&amp;C22,盘货信息!$A:$A&amp;盘货信息!$B:$B&amp;盘货信息!$C:$C,盘货信息!$K:$K)&amp;"元以旧换新（可无旧机换新）","")))</f>
        <v/>
      </c>
      <c r="K22" s="18" t="str">
        <f t="array" ref="K22">IF(C22="","",IF(_xlfn.XLOOKUP(A22&amp;B22&amp;C22,盘货信息!$A:$A&amp;盘货信息!$B:$B&amp;盘货信息!$C:$C,盘货信息!$L:$L)="","",_xlfn.XLOOKUP(A22&amp;B22&amp;C22,盘货信息!$A:$A&amp;盘货信息!$B:$B&amp;盘货信息!$C:$C,盘货信息!$L:$L)&amp;"元限时补贴"))</f>
        <v/>
      </c>
      <c r="L22" s="18" t="str">
        <f t="array" ref="L22">IF(C22="","",IF(_xlfn.XLOOKUP(A22&amp;B22&amp;C22,盘货信息!$A:$A&amp;盘货信息!$B:$B&amp;盘货信息!$C:$C,盘货信息!$M:$M)="","",_xlfn.XLOOKUP(A22&amp;B22&amp;C22,盘货信息!$A:$A&amp;盘货信息!$B:$B&amp;盘货信息!$C:$C,盘货信息!$M:$M)&amp;"元消费券"))</f>
        <v/>
      </c>
      <c r="M22" s="18" t="str">
        <f t="array" ref="M22">IF(C22="","",IF(_xlfn.XLOOKUP(A22&amp;B22&amp;C22,盘货信息!$A:$A&amp;盘货信息!$B:$B&amp;盘货信息!$C:$C,盘货信息!$G:$G)="不参加","","焕新补贴优惠【全民可用，不限地址】"))</f>
        <v/>
      </c>
    </row>
    <row r="23" customHeight="1" spans="1:13">
      <c r="A23" s="17" t="str">
        <f>IF(盘货信息!A23="","",盘货信息!A23)</f>
        <v/>
      </c>
      <c r="B23" s="17" t="str">
        <f>IF(盘货信息!B23="","",盘货信息!B23)</f>
        <v/>
      </c>
      <c r="C23" s="18" t="str">
        <f>IF(盘货信息!C23="","",盘货信息!C23)</f>
        <v/>
      </c>
      <c r="D23" s="18" t="str">
        <f t="shared" si="0"/>
        <v/>
      </c>
      <c r="E23" s="18" t="str">
        <f t="array" ref="E23">IF(C23="","",IF(_xlfn.XLOOKUP(A23&amp;B23&amp;C23,盘货信息!$A:$A&amp;盘货信息!$B:$B&amp;盘货信息!$C:$C,盘货信息!$N:$N)="","【立减到手价"&amp;_xlfn.XLOOKUP(A23&amp;B23&amp;C23,盘货信息!$A:$A&amp;盘货信息!$B:$B&amp;盘货信息!$C:$C,盘货信息!$F:$F)&amp;"元】","【焕新补贴预估价"&amp;_xlfn.XLOOKUP(A23&amp;B23&amp;C23,盘货信息!$A:$A&amp;盘货信息!$B:$B&amp;盘货信息!$C:$C,盘货信息!$N:$N)&amp;"元】"))</f>
        <v/>
      </c>
      <c r="F23" s="18" t="str">
        <f t="array" ref="F23">IF(C23="","",_xlfn.XLOOKUP(A23&amp;B23&amp;C23,盘货信息!$A:$A&amp;盘货信息!$B:$B&amp;盘货信息!$C:$C,盘货信息!$E:$E)&amp;"元到手价")</f>
        <v/>
      </c>
      <c r="G23" s="18" t="str">
        <f t="array" ref="G23">IF(C23="","",IF(_xlfn.XLOOKUP(A23&amp;B23&amp;C23,盘货信息!$A:$A&amp;盘货信息!$B:$B&amp;盘货信息!$C:$C,盘货信息!$I:$I)="","","88VIP95折"))</f>
        <v/>
      </c>
      <c r="H23" s="18" t="str">
        <f t="array" ref="H23">IF(C23="","",IF(_xlfn.XLOOKUP(A23&amp;B23&amp;C23,盘货信息!$A:$A&amp;盘货信息!$B:$B&amp;盘货信息!$C:$C,盘货信息!$J:$J)="","",_xlfn.XLOOKUP(A23&amp;B23&amp;C23,盘货信息!$A:$A&amp;盘货信息!$B:$B&amp;盘货信息!$C:$C,盘货信息!$J:$J)&amp;"元优惠卷"))</f>
        <v/>
      </c>
      <c r="I23" s="18" t="str">
        <f t="array" ref="I23">IF(C23="","",IF(_xlfn.XLOOKUP(A23&amp;B23&amp;C23,盘货信息!$A:$A&amp;盘货信息!$B:$B&amp;盘货信息!$C:$C,盘货信息!$R:$R)="","",_xlfn.XLOOKUP(A23&amp;B23&amp;C23,盘货信息!$A:$A&amp;盘货信息!$B:$B&amp;盘货信息!$C:$C,盘货信息!$R:$R)&amp;"元优惠卷"))</f>
        <v/>
      </c>
      <c r="J23" s="18" t="str">
        <f t="array" ref="J23">IF(C23="","",IF(_xlfn.XLOOKUP(A23&amp;B23&amp;C23,盘货信息!$A:$A&amp;盘货信息!$B:$B&amp;盘货信息!$C:$C,盘货信息!$K:$K)="","",IF(OR(_xlfn.XLOOKUP(A23&amp;B23&amp;C23,盘货信息!$A:$A&amp;盘货信息!$B:$B&amp;盘货信息!$C:$C,盘货信息!$G:$G)="参加",_xlfn.XLOOKUP(A23&amp;B23&amp;C23,盘货信息!$A:$A&amp;盘货信息!$B:$B&amp;盘货信息!$C:$C,盘货信息!$H:$H)="1（纯自补）"),_xlfn.XLOOKUP(A23&amp;B23&amp;C23,盘货信息!$A:$A&amp;盘货信息!$B:$B&amp;盘货信息!$C:$C,盘货信息!$K:$K)&amp;"元以旧换新（可无旧机换新）","")))</f>
        <v/>
      </c>
      <c r="K23" s="18" t="str">
        <f t="array" ref="K23">IF(C23="","",IF(_xlfn.XLOOKUP(A23&amp;B23&amp;C23,盘货信息!$A:$A&amp;盘货信息!$B:$B&amp;盘货信息!$C:$C,盘货信息!$L:$L)="","",_xlfn.XLOOKUP(A23&amp;B23&amp;C23,盘货信息!$A:$A&amp;盘货信息!$B:$B&amp;盘货信息!$C:$C,盘货信息!$L:$L)&amp;"元限时补贴"))</f>
        <v/>
      </c>
      <c r="L23" s="18" t="str">
        <f t="array" ref="L23">IF(C23="","",IF(_xlfn.XLOOKUP(A23&amp;B23&amp;C23,盘货信息!$A:$A&amp;盘货信息!$B:$B&amp;盘货信息!$C:$C,盘货信息!$M:$M)="","",_xlfn.XLOOKUP(A23&amp;B23&amp;C23,盘货信息!$A:$A&amp;盘货信息!$B:$B&amp;盘货信息!$C:$C,盘货信息!$M:$M)&amp;"元消费券"))</f>
        <v/>
      </c>
      <c r="M23" s="18" t="str">
        <f t="array" ref="M23">IF(C23="","",IF(_xlfn.XLOOKUP(A23&amp;B23&amp;C23,盘货信息!$A:$A&amp;盘货信息!$B:$B&amp;盘货信息!$C:$C,盘货信息!$G:$G)="不参加","","焕新补贴优惠【全民可用，不限地址】"))</f>
        <v/>
      </c>
    </row>
    <row r="24" customHeight="1" spans="1:13">
      <c r="A24" s="17" t="str">
        <f>IF(盘货信息!A24="","",盘货信息!A24)</f>
        <v/>
      </c>
      <c r="B24" s="17" t="str">
        <f>IF(盘货信息!B24="","",盘货信息!B24)</f>
        <v/>
      </c>
      <c r="C24" s="18" t="str">
        <f>IF(盘货信息!C24="","",盘货信息!C24)</f>
        <v/>
      </c>
      <c r="D24" s="18" t="str">
        <f t="shared" si="0"/>
        <v/>
      </c>
      <c r="E24" s="18" t="str">
        <f t="array" ref="E24">IF(C24="","",IF(_xlfn.XLOOKUP(A24&amp;B24&amp;C24,盘货信息!$A:$A&amp;盘货信息!$B:$B&amp;盘货信息!$C:$C,盘货信息!$N:$N)="","【立减到手价"&amp;_xlfn.XLOOKUP(A24&amp;B24&amp;C24,盘货信息!$A:$A&amp;盘货信息!$B:$B&amp;盘货信息!$C:$C,盘货信息!$F:$F)&amp;"元】","【焕新补贴预估价"&amp;_xlfn.XLOOKUP(A24&amp;B24&amp;C24,盘货信息!$A:$A&amp;盘货信息!$B:$B&amp;盘货信息!$C:$C,盘货信息!$N:$N)&amp;"元】"))</f>
        <v/>
      </c>
      <c r="F24" s="18" t="str">
        <f t="array" ref="F24">IF(C24="","",_xlfn.XLOOKUP(A24&amp;B24&amp;C24,盘货信息!$A:$A&amp;盘货信息!$B:$B&amp;盘货信息!$C:$C,盘货信息!$E:$E)&amp;"元到手价")</f>
        <v/>
      </c>
      <c r="G24" s="18" t="str">
        <f t="array" ref="G24">IF(C24="","",IF(_xlfn.XLOOKUP(A24&amp;B24&amp;C24,盘货信息!$A:$A&amp;盘货信息!$B:$B&amp;盘货信息!$C:$C,盘货信息!$I:$I)="","","88VIP95折"))</f>
        <v/>
      </c>
      <c r="H24" s="18" t="str">
        <f t="array" ref="H24">IF(C24="","",IF(_xlfn.XLOOKUP(A24&amp;B24&amp;C24,盘货信息!$A:$A&amp;盘货信息!$B:$B&amp;盘货信息!$C:$C,盘货信息!$J:$J)="","",_xlfn.XLOOKUP(A24&amp;B24&amp;C24,盘货信息!$A:$A&amp;盘货信息!$B:$B&amp;盘货信息!$C:$C,盘货信息!$J:$J)&amp;"元优惠卷"))</f>
        <v/>
      </c>
      <c r="I24" s="18" t="str">
        <f t="array" ref="I24">IF(C24="","",IF(_xlfn.XLOOKUP(A24&amp;B24&amp;C24,盘货信息!$A:$A&amp;盘货信息!$B:$B&amp;盘货信息!$C:$C,盘货信息!$R:$R)="","",_xlfn.XLOOKUP(A24&amp;B24&amp;C24,盘货信息!$A:$A&amp;盘货信息!$B:$B&amp;盘货信息!$C:$C,盘货信息!$R:$R)&amp;"元优惠卷"))</f>
        <v/>
      </c>
      <c r="J24" s="18" t="str">
        <f t="array" ref="J24">IF(C24="","",IF(_xlfn.XLOOKUP(A24&amp;B24&amp;C24,盘货信息!$A:$A&amp;盘货信息!$B:$B&amp;盘货信息!$C:$C,盘货信息!$K:$K)="","",IF(OR(_xlfn.XLOOKUP(A24&amp;B24&amp;C24,盘货信息!$A:$A&amp;盘货信息!$B:$B&amp;盘货信息!$C:$C,盘货信息!$G:$G)="参加",_xlfn.XLOOKUP(A24&amp;B24&amp;C24,盘货信息!$A:$A&amp;盘货信息!$B:$B&amp;盘货信息!$C:$C,盘货信息!$H:$H)="1（纯自补）"),_xlfn.XLOOKUP(A24&amp;B24&amp;C24,盘货信息!$A:$A&amp;盘货信息!$B:$B&amp;盘货信息!$C:$C,盘货信息!$K:$K)&amp;"元以旧换新（可无旧机换新）","")))</f>
        <v/>
      </c>
      <c r="K24" s="18" t="str">
        <f t="array" ref="K24">IF(C24="","",IF(_xlfn.XLOOKUP(A24&amp;B24&amp;C24,盘货信息!$A:$A&amp;盘货信息!$B:$B&amp;盘货信息!$C:$C,盘货信息!$L:$L)="","",_xlfn.XLOOKUP(A24&amp;B24&amp;C24,盘货信息!$A:$A&amp;盘货信息!$B:$B&amp;盘货信息!$C:$C,盘货信息!$L:$L)&amp;"元限时补贴"))</f>
        <v/>
      </c>
      <c r="L24" s="18" t="str">
        <f t="array" ref="L24">IF(C24="","",IF(_xlfn.XLOOKUP(A24&amp;B24&amp;C24,盘货信息!$A:$A&amp;盘货信息!$B:$B&amp;盘货信息!$C:$C,盘货信息!$M:$M)="","",_xlfn.XLOOKUP(A24&amp;B24&amp;C24,盘货信息!$A:$A&amp;盘货信息!$B:$B&amp;盘货信息!$C:$C,盘货信息!$M:$M)&amp;"元消费券"))</f>
        <v/>
      </c>
      <c r="M24" s="18" t="str">
        <f t="array" ref="M24">IF(C24="","",IF(_xlfn.XLOOKUP(A24&amp;B24&amp;C24,盘货信息!$A:$A&amp;盘货信息!$B:$B&amp;盘货信息!$C:$C,盘货信息!$G:$G)="不参加","","焕新补贴优惠【全民可用，不限地址】"))</f>
        <v/>
      </c>
    </row>
    <row r="25" customHeight="1" spans="1:13">
      <c r="A25" s="17" t="str">
        <f>IF(盘货信息!A25="","",盘货信息!A25)</f>
        <v/>
      </c>
      <c r="B25" s="17" t="str">
        <f>IF(盘货信息!B25="","",盘货信息!B25)</f>
        <v/>
      </c>
      <c r="C25" s="18" t="str">
        <f>IF(盘货信息!C25="","",盘货信息!C25)</f>
        <v/>
      </c>
      <c r="D25" s="18" t="str">
        <f t="shared" si="0"/>
        <v/>
      </c>
      <c r="E25" s="18" t="str">
        <f t="array" ref="E25">IF(C25="","",IF(_xlfn.XLOOKUP(A25&amp;B25&amp;C25,盘货信息!$A:$A&amp;盘货信息!$B:$B&amp;盘货信息!$C:$C,盘货信息!$N:$N)="","【立减到手价"&amp;_xlfn.XLOOKUP(A25&amp;B25&amp;C25,盘货信息!$A:$A&amp;盘货信息!$B:$B&amp;盘货信息!$C:$C,盘货信息!$F:$F)&amp;"元】","【焕新补贴预估价"&amp;_xlfn.XLOOKUP(A25&amp;B25&amp;C25,盘货信息!$A:$A&amp;盘货信息!$B:$B&amp;盘货信息!$C:$C,盘货信息!$N:$N)&amp;"元】"))</f>
        <v/>
      </c>
      <c r="F25" s="18" t="str">
        <f t="array" ref="F25">IF(C25="","",_xlfn.XLOOKUP(A25&amp;B25&amp;C25,盘货信息!$A:$A&amp;盘货信息!$B:$B&amp;盘货信息!$C:$C,盘货信息!$E:$E)&amp;"元到手价")</f>
        <v/>
      </c>
      <c r="G25" s="18" t="str">
        <f t="array" ref="G25">IF(C25="","",IF(_xlfn.XLOOKUP(A25&amp;B25&amp;C25,盘货信息!$A:$A&amp;盘货信息!$B:$B&amp;盘货信息!$C:$C,盘货信息!$I:$I)="","","88VIP95折"))</f>
        <v/>
      </c>
      <c r="H25" s="18" t="str">
        <f t="array" ref="H25">IF(C25="","",IF(_xlfn.XLOOKUP(A25&amp;B25&amp;C25,盘货信息!$A:$A&amp;盘货信息!$B:$B&amp;盘货信息!$C:$C,盘货信息!$J:$J)="","",_xlfn.XLOOKUP(A25&amp;B25&amp;C25,盘货信息!$A:$A&amp;盘货信息!$B:$B&amp;盘货信息!$C:$C,盘货信息!$J:$J)&amp;"元优惠卷"))</f>
        <v/>
      </c>
      <c r="I25" s="18" t="str">
        <f t="array" ref="I25">IF(C25="","",IF(_xlfn.XLOOKUP(A25&amp;B25&amp;C25,盘货信息!$A:$A&amp;盘货信息!$B:$B&amp;盘货信息!$C:$C,盘货信息!$R:$R)="","",_xlfn.XLOOKUP(A25&amp;B25&amp;C25,盘货信息!$A:$A&amp;盘货信息!$B:$B&amp;盘货信息!$C:$C,盘货信息!$R:$R)&amp;"元优惠卷"))</f>
        <v/>
      </c>
      <c r="J25" s="18" t="str">
        <f t="array" ref="J25">IF(C25="","",IF(_xlfn.XLOOKUP(A25&amp;B25&amp;C25,盘货信息!$A:$A&amp;盘货信息!$B:$B&amp;盘货信息!$C:$C,盘货信息!$K:$K)="","",IF(OR(_xlfn.XLOOKUP(A25&amp;B25&amp;C25,盘货信息!$A:$A&amp;盘货信息!$B:$B&amp;盘货信息!$C:$C,盘货信息!$G:$G)="参加",_xlfn.XLOOKUP(A25&amp;B25&amp;C25,盘货信息!$A:$A&amp;盘货信息!$B:$B&amp;盘货信息!$C:$C,盘货信息!$H:$H)="1（纯自补）"),_xlfn.XLOOKUP(A25&amp;B25&amp;C25,盘货信息!$A:$A&amp;盘货信息!$B:$B&amp;盘货信息!$C:$C,盘货信息!$K:$K)&amp;"元以旧换新（可无旧机换新）","")))</f>
        <v/>
      </c>
      <c r="K25" s="18" t="str">
        <f t="array" ref="K25">IF(C25="","",IF(_xlfn.XLOOKUP(A25&amp;B25&amp;C25,盘货信息!$A:$A&amp;盘货信息!$B:$B&amp;盘货信息!$C:$C,盘货信息!$L:$L)="","",_xlfn.XLOOKUP(A25&amp;B25&amp;C25,盘货信息!$A:$A&amp;盘货信息!$B:$B&amp;盘货信息!$C:$C,盘货信息!$L:$L)&amp;"元限时补贴"))</f>
        <v/>
      </c>
      <c r="L25" s="18" t="str">
        <f t="array" ref="L25">IF(C25="","",IF(_xlfn.XLOOKUP(A25&amp;B25&amp;C25,盘货信息!$A:$A&amp;盘货信息!$B:$B&amp;盘货信息!$C:$C,盘货信息!$M:$M)="","",_xlfn.XLOOKUP(A25&amp;B25&amp;C25,盘货信息!$A:$A&amp;盘货信息!$B:$B&amp;盘货信息!$C:$C,盘货信息!$M:$M)&amp;"元消费券"))</f>
        <v/>
      </c>
      <c r="M25" s="18" t="str">
        <f t="array" ref="M25">IF(C25="","",IF(_xlfn.XLOOKUP(A25&amp;B25&amp;C25,盘货信息!$A:$A&amp;盘货信息!$B:$B&amp;盘货信息!$C:$C,盘货信息!$G:$G)="不参加","","焕新补贴优惠【全民可用，不限地址】"))</f>
        <v/>
      </c>
    </row>
    <row r="26" customHeight="1" spans="1:13">
      <c r="A26" s="17" t="str">
        <f>IF(盘货信息!A26="","",盘货信息!A26)</f>
        <v/>
      </c>
      <c r="B26" s="17" t="str">
        <f>IF(盘货信息!B26="","",盘货信息!B26)</f>
        <v/>
      </c>
      <c r="C26" s="18" t="str">
        <f>IF(盘货信息!C26="","",盘货信息!C26)</f>
        <v/>
      </c>
      <c r="D26" s="18" t="str">
        <f t="shared" si="0"/>
        <v/>
      </c>
      <c r="E26" s="18" t="str">
        <f t="array" ref="E26">IF(C26="","",IF(_xlfn.XLOOKUP(A26&amp;B26&amp;C26,盘货信息!$A:$A&amp;盘货信息!$B:$B&amp;盘货信息!$C:$C,盘货信息!$N:$N)="","【立减到手价"&amp;_xlfn.XLOOKUP(A26&amp;B26&amp;C26,盘货信息!$A:$A&amp;盘货信息!$B:$B&amp;盘货信息!$C:$C,盘货信息!$F:$F)&amp;"元】","【焕新补贴预估价"&amp;_xlfn.XLOOKUP(A26&amp;B26&amp;C26,盘货信息!$A:$A&amp;盘货信息!$B:$B&amp;盘货信息!$C:$C,盘货信息!$N:$N)&amp;"元】"))</f>
        <v/>
      </c>
      <c r="F26" s="18" t="str">
        <f t="array" ref="F26">IF(C26="","",_xlfn.XLOOKUP(A26&amp;B26&amp;C26,盘货信息!$A:$A&amp;盘货信息!$B:$B&amp;盘货信息!$C:$C,盘货信息!$E:$E)&amp;"元到手价")</f>
        <v/>
      </c>
      <c r="G26" s="18" t="str">
        <f t="array" ref="G26">IF(C26="","",IF(_xlfn.XLOOKUP(A26&amp;B26&amp;C26,盘货信息!$A:$A&amp;盘货信息!$B:$B&amp;盘货信息!$C:$C,盘货信息!$I:$I)="","","88VIP95折"))</f>
        <v/>
      </c>
      <c r="H26" s="18" t="str">
        <f t="array" ref="H26">IF(C26="","",IF(_xlfn.XLOOKUP(A26&amp;B26&amp;C26,盘货信息!$A:$A&amp;盘货信息!$B:$B&amp;盘货信息!$C:$C,盘货信息!$J:$J)="","",_xlfn.XLOOKUP(A26&amp;B26&amp;C26,盘货信息!$A:$A&amp;盘货信息!$B:$B&amp;盘货信息!$C:$C,盘货信息!$J:$J)&amp;"元优惠卷"))</f>
        <v/>
      </c>
      <c r="I26" s="18" t="str">
        <f t="array" ref="I26">IF(C26="","",IF(_xlfn.XLOOKUP(A26&amp;B26&amp;C26,盘货信息!$A:$A&amp;盘货信息!$B:$B&amp;盘货信息!$C:$C,盘货信息!$R:$R)="","",_xlfn.XLOOKUP(A26&amp;B26&amp;C26,盘货信息!$A:$A&amp;盘货信息!$B:$B&amp;盘货信息!$C:$C,盘货信息!$R:$R)&amp;"元优惠卷"))</f>
        <v/>
      </c>
      <c r="J26" s="18" t="str">
        <f t="array" ref="J26">IF(C26="","",IF(_xlfn.XLOOKUP(A26&amp;B26&amp;C26,盘货信息!$A:$A&amp;盘货信息!$B:$B&amp;盘货信息!$C:$C,盘货信息!$K:$K)="","",IF(OR(_xlfn.XLOOKUP(A26&amp;B26&amp;C26,盘货信息!$A:$A&amp;盘货信息!$B:$B&amp;盘货信息!$C:$C,盘货信息!$G:$G)="参加",_xlfn.XLOOKUP(A26&amp;B26&amp;C26,盘货信息!$A:$A&amp;盘货信息!$B:$B&amp;盘货信息!$C:$C,盘货信息!$H:$H)="1（纯自补）"),_xlfn.XLOOKUP(A26&amp;B26&amp;C26,盘货信息!$A:$A&amp;盘货信息!$B:$B&amp;盘货信息!$C:$C,盘货信息!$K:$K)&amp;"元以旧换新（可无旧机换新）","")))</f>
        <v/>
      </c>
      <c r="K26" s="18" t="str">
        <f t="array" ref="K26">IF(C26="","",IF(_xlfn.XLOOKUP(A26&amp;B26&amp;C26,盘货信息!$A:$A&amp;盘货信息!$B:$B&amp;盘货信息!$C:$C,盘货信息!$L:$L)="","",_xlfn.XLOOKUP(A26&amp;B26&amp;C26,盘货信息!$A:$A&amp;盘货信息!$B:$B&amp;盘货信息!$C:$C,盘货信息!$L:$L)&amp;"元限时补贴"))</f>
        <v/>
      </c>
      <c r="L26" s="18" t="str">
        <f t="array" ref="L26">IF(C26="","",IF(_xlfn.XLOOKUP(A26&amp;B26&amp;C26,盘货信息!$A:$A&amp;盘货信息!$B:$B&amp;盘货信息!$C:$C,盘货信息!$M:$M)="","",_xlfn.XLOOKUP(A26&amp;B26&amp;C26,盘货信息!$A:$A&amp;盘货信息!$B:$B&amp;盘货信息!$C:$C,盘货信息!$M:$M)&amp;"元消费券"))</f>
        <v/>
      </c>
      <c r="M26" s="18" t="str">
        <f t="array" ref="M26">IF(C26="","",IF(_xlfn.XLOOKUP(A26&amp;B26&amp;C26,盘货信息!$A:$A&amp;盘货信息!$B:$B&amp;盘货信息!$C:$C,盘货信息!$G:$G)="不参加","","焕新补贴优惠【全民可用，不限地址】"))</f>
        <v/>
      </c>
    </row>
    <row r="27" customHeight="1" spans="1:13">
      <c r="A27" s="17" t="str">
        <f>IF(盘货信息!A27="","",盘货信息!A27)</f>
        <v/>
      </c>
      <c r="B27" s="17" t="str">
        <f>IF(盘货信息!B27="","",盘货信息!B27)</f>
        <v/>
      </c>
      <c r="C27" s="18" t="str">
        <f>IF(盘货信息!C27="","",盘货信息!C27)</f>
        <v/>
      </c>
      <c r="D27" s="18" t="str">
        <f t="shared" si="0"/>
        <v/>
      </c>
      <c r="E27" s="18" t="str">
        <f t="array" ref="E27">IF(C27="","",IF(_xlfn.XLOOKUP(A27&amp;B27&amp;C27,盘货信息!$A:$A&amp;盘货信息!$B:$B&amp;盘货信息!$C:$C,盘货信息!$N:$N)="","【立减到手价"&amp;_xlfn.XLOOKUP(A27&amp;B27&amp;C27,盘货信息!$A:$A&amp;盘货信息!$B:$B&amp;盘货信息!$C:$C,盘货信息!$F:$F)&amp;"元】","【焕新补贴预估价"&amp;_xlfn.XLOOKUP(A27&amp;B27&amp;C27,盘货信息!$A:$A&amp;盘货信息!$B:$B&amp;盘货信息!$C:$C,盘货信息!$N:$N)&amp;"元】"))</f>
        <v/>
      </c>
      <c r="F27" s="18" t="str">
        <f t="array" ref="F27">IF(C27="","",_xlfn.XLOOKUP(A27&amp;B27&amp;C27,盘货信息!$A:$A&amp;盘货信息!$B:$B&amp;盘货信息!$C:$C,盘货信息!$E:$E)&amp;"元到手价")</f>
        <v/>
      </c>
      <c r="G27" s="18" t="str">
        <f t="array" ref="G27">IF(C27="","",IF(_xlfn.XLOOKUP(A27&amp;B27&amp;C27,盘货信息!$A:$A&amp;盘货信息!$B:$B&amp;盘货信息!$C:$C,盘货信息!$I:$I)="","","88VIP95折"))</f>
        <v/>
      </c>
      <c r="H27" s="18" t="str">
        <f t="array" ref="H27">IF(C27="","",IF(_xlfn.XLOOKUP(A27&amp;B27&amp;C27,盘货信息!$A:$A&amp;盘货信息!$B:$B&amp;盘货信息!$C:$C,盘货信息!$J:$J)="","",_xlfn.XLOOKUP(A27&amp;B27&amp;C27,盘货信息!$A:$A&amp;盘货信息!$B:$B&amp;盘货信息!$C:$C,盘货信息!$J:$J)&amp;"元优惠卷"))</f>
        <v/>
      </c>
      <c r="I27" s="18" t="str">
        <f t="array" ref="I27">IF(C27="","",IF(_xlfn.XLOOKUP(A27&amp;B27&amp;C27,盘货信息!$A:$A&amp;盘货信息!$B:$B&amp;盘货信息!$C:$C,盘货信息!$R:$R)="","",_xlfn.XLOOKUP(A27&amp;B27&amp;C27,盘货信息!$A:$A&amp;盘货信息!$B:$B&amp;盘货信息!$C:$C,盘货信息!$R:$R)&amp;"元优惠卷"))</f>
        <v/>
      </c>
      <c r="J27" s="18" t="str">
        <f t="array" ref="J27">IF(C27="","",IF(_xlfn.XLOOKUP(A27&amp;B27&amp;C27,盘货信息!$A:$A&amp;盘货信息!$B:$B&amp;盘货信息!$C:$C,盘货信息!$K:$K)="","",IF(OR(_xlfn.XLOOKUP(A27&amp;B27&amp;C27,盘货信息!$A:$A&amp;盘货信息!$B:$B&amp;盘货信息!$C:$C,盘货信息!$G:$G)="参加",_xlfn.XLOOKUP(A27&amp;B27&amp;C27,盘货信息!$A:$A&amp;盘货信息!$B:$B&amp;盘货信息!$C:$C,盘货信息!$H:$H)="1（纯自补）"),_xlfn.XLOOKUP(A27&amp;B27&amp;C27,盘货信息!$A:$A&amp;盘货信息!$B:$B&amp;盘货信息!$C:$C,盘货信息!$K:$K)&amp;"元以旧换新（可无旧机换新）","")))</f>
        <v/>
      </c>
      <c r="K27" s="18" t="str">
        <f t="array" ref="K27">IF(C27="","",IF(_xlfn.XLOOKUP(A27&amp;B27&amp;C27,盘货信息!$A:$A&amp;盘货信息!$B:$B&amp;盘货信息!$C:$C,盘货信息!$L:$L)="","",_xlfn.XLOOKUP(A27&amp;B27&amp;C27,盘货信息!$A:$A&amp;盘货信息!$B:$B&amp;盘货信息!$C:$C,盘货信息!$L:$L)&amp;"元限时补贴"))</f>
        <v/>
      </c>
      <c r="L27" s="18" t="str">
        <f t="array" ref="L27">IF(C27="","",IF(_xlfn.XLOOKUP(A27&amp;B27&amp;C27,盘货信息!$A:$A&amp;盘货信息!$B:$B&amp;盘货信息!$C:$C,盘货信息!$M:$M)="","",_xlfn.XLOOKUP(A27&amp;B27&amp;C27,盘货信息!$A:$A&amp;盘货信息!$B:$B&amp;盘货信息!$C:$C,盘货信息!$M:$M)&amp;"元消费券"))</f>
        <v/>
      </c>
      <c r="M27" s="18" t="str">
        <f t="array" ref="M27">IF(C27="","",IF(_xlfn.XLOOKUP(A27&amp;B27&amp;C27,盘货信息!$A:$A&amp;盘货信息!$B:$B&amp;盘货信息!$C:$C,盘货信息!$G:$G)="不参加","","焕新补贴优惠【全民可用，不限地址】"))</f>
        <v/>
      </c>
    </row>
    <row r="28" customHeight="1" spans="1:13">
      <c r="A28" s="17" t="str">
        <f>IF(盘货信息!A28="","",盘货信息!A28)</f>
        <v/>
      </c>
      <c r="B28" s="17" t="str">
        <f>IF(盘货信息!B28="","",盘货信息!B28)</f>
        <v/>
      </c>
      <c r="C28" s="18" t="str">
        <f>IF(盘货信息!C28="","",盘货信息!C28)</f>
        <v/>
      </c>
      <c r="D28" s="18" t="str">
        <f t="shared" si="0"/>
        <v/>
      </c>
      <c r="E28" s="18" t="str">
        <f t="array" ref="E28">IF(C28="","",IF(_xlfn.XLOOKUP(A28&amp;B28&amp;C28,盘货信息!$A:$A&amp;盘货信息!$B:$B&amp;盘货信息!$C:$C,盘货信息!$N:$N)="","【立减到手价"&amp;_xlfn.XLOOKUP(A28&amp;B28&amp;C28,盘货信息!$A:$A&amp;盘货信息!$B:$B&amp;盘货信息!$C:$C,盘货信息!$F:$F)&amp;"元】","【焕新补贴预估价"&amp;_xlfn.XLOOKUP(A28&amp;B28&amp;C28,盘货信息!$A:$A&amp;盘货信息!$B:$B&amp;盘货信息!$C:$C,盘货信息!$N:$N)&amp;"元】"))</f>
        <v/>
      </c>
      <c r="F28" s="18" t="str">
        <f t="array" ref="F28">IF(C28="","",_xlfn.XLOOKUP(A28&amp;B28&amp;C28,盘货信息!$A:$A&amp;盘货信息!$B:$B&amp;盘货信息!$C:$C,盘货信息!$E:$E)&amp;"元到手价")</f>
        <v/>
      </c>
      <c r="G28" s="18" t="str">
        <f t="array" ref="G28">IF(C28="","",IF(_xlfn.XLOOKUP(A28&amp;B28&amp;C28,盘货信息!$A:$A&amp;盘货信息!$B:$B&amp;盘货信息!$C:$C,盘货信息!$I:$I)="","","88VIP95折"))</f>
        <v/>
      </c>
      <c r="H28" s="18" t="str">
        <f t="array" ref="H28">IF(C28="","",IF(_xlfn.XLOOKUP(A28&amp;B28&amp;C28,盘货信息!$A:$A&amp;盘货信息!$B:$B&amp;盘货信息!$C:$C,盘货信息!$J:$J)="","",_xlfn.XLOOKUP(A28&amp;B28&amp;C28,盘货信息!$A:$A&amp;盘货信息!$B:$B&amp;盘货信息!$C:$C,盘货信息!$J:$J)&amp;"元优惠卷"))</f>
        <v/>
      </c>
      <c r="I28" s="18" t="str">
        <f t="array" ref="I28">IF(C28="","",IF(_xlfn.XLOOKUP(A28&amp;B28&amp;C28,盘货信息!$A:$A&amp;盘货信息!$B:$B&amp;盘货信息!$C:$C,盘货信息!$R:$R)="","",_xlfn.XLOOKUP(A28&amp;B28&amp;C28,盘货信息!$A:$A&amp;盘货信息!$B:$B&amp;盘货信息!$C:$C,盘货信息!$R:$R)&amp;"元优惠卷"))</f>
        <v/>
      </c>
      <c r="J28" s="18" t="str">
        <f t="array" ref="J28">IF(C28="","",IF(_xlfn.XLOOKUP(A28&amp;B28&amp;C28,盘货信息!$A:$A&amp;盘货信息!$B:$B&amp;盘货信息!$C:$C,盘货信息!$K:$K)="","",IF(OR(_xlfn.XLOOKUP(A28&amp;B28&amp;C28,盘货信息!$A:$A&amp;盘货信息!$B:$B&amp;盘货信息!$C:$C,盘货信息!$G:$G)="参加",_xlfn.XLOOKUP(A28&amp;B28&amp;C28,盘货信息!$A:$A&amp;盘货信息!$B:$B&amp;盘货信息!$C:$C,盘货信息!$H:$H)="1（纯自补）"),_xlfn.XLOOKUP(A28&amp;B28&amp;C28,盘货信息!$A:$A&amp;盘货信息!$B:$B&amp;盘货信息!$C:$C,盘货信息!$K:$K)&amp;"元以旧换新（可无旧机换新）","")))</f>
        <v/>
      </c>
      <c r="K28" s="18" t="str">
        <f t="array" ref="K28">IF(C28="","",IF(_xlfn.XLOOKUP(A28&amp;B28&amp;C28,盘货信息!$A:$A&amp;盘货信息!$B:$B&amp;盘货信息!$C:$C,盘货信息!$L:$L)="","",_xlfn.XLOOKUP(A28&amp;B28&amp;C28,盘货信息!$A:$A&amp;盘货信息!$B:$B&amp;盘货信息!$C:$C,盘货信息!$L:$L)&amp;"元限时补贴"))</f>
        <v/>
      </c>
      <c r="L28" s="18" t="str">
        <f t="array" ref="L28">IF(C28="","",IF(_xlfn.XLOOKUP(A28&amp;B28&amp;C28,盘货信息!$A:$A&amp;盘货信息!$B:$B&amp;盘货信息!$C:$C,盘货信息!$M:$M)="","",_xlfn.XLOOKUP(A28&amp;B28&amp;C28,盘货信息!$A:$A&amp;盘货信息!$B:$B&amp;盘货信息!$C:$C,盘货信息!$M:$M)&amp;"元消费券"))</f>
        <v/>
      </c>
      <c r="M28" s="18" t="str">
        <f t="array" ref="M28">IF(C28="","",IF(_xlfn.XLOOKUP(A28&amp;B28&amp;C28,盘货信息!$A:$A&amp;盘货信息!$B:$B&amp;盘货信息!$C:$C,盘货信息!$G:$G)="不参加","","焕新补贴优惠【全民可用，不限地址】"))</f>
        <v/>
      </c>
    </row>
    <row r="29" customHeight="1" spans="1:13">
      <c r="A29" s="17" t="str">
        <f>IF(盘货信息!A29="","",盘货信息!A29)</f>
        <v/>
      </c>
      <c r="B29" s="17" t="str">
        <f>IF(盘货信息!B29="","",盘货信息!B29)</f>
        <v/>
      </c>
      <c r="C29" s="18" t="str">
        <f>IF(盘货信息!C29="","",盘货信息!C29)</f>
        <v/>
      </c>
      <c r="D29" s="18" t="str">
        <f t="shared" si="0"/>
        <v/>
      </c>
      <c r="E29" s="18" t="str">
        <f t="array" ref="E29">IF(C29="","",IF(_xlfn.XLOOKUP(A29&amp;B29&amp;C29,盘货信息!$A:$A&amp;盘货信息!$B:$B&amp;盘货信息!$C:$C,盘货信息!$N:$N)="","【立减到手价"&amp;_xlfn.XLOOKUP(A29&amp;B29&amp;C29,盘货信息!$A:$A&amp;盘货信息!$B:$B&amp;盘货信息!$C:$C,盘货信息!$F:$F)&amp;"元】","【焕新补贴预估价"&amp;_xlfn.XLOOKUP(A29&amp;B29&amp;C29,盘货信息!$A:$A&amp;盘货信息!$B:$B&amp;盘货信息!$C:$C,盘货信息!$N:$N)&amp;"元】"))</f>
        <v/>
      </c>
      <c r="F29" s="18" t="str">
        <f t="array" ref="F29">IF(C29="","",_xlfn.XLOOKUP(A29&amp;B29&amp;C29,盘货信息!$A:$A&amp;盘货信息!$B:$B&amp;盘货信息!$C:$C,盘货信息!$E:$E)&amp;"元到手价")</f>
        <v/>
      </c>
      <c r="G29" s="18" t="str">
        <f t="array" ref="G29">IF(C29="","",IF(_xlfn.XLOOKUP(A29&amp;B29&amp;C29,盘货信息!$A:$A&amp;盘货信息!$B:$B&amp;盘货信息!$C:$C,盘货信息!$I:$I)="","","88VIP95折"))</f>
        <v/>
      </c>
      <c r="H29" s="18" t="str">
        <f t="array" ref="H29">IF(C29="","",IF(_xlfn.XLOOKUP(A29&amp;B29&amp;C29,盘货信息!$A:$A&amp;盘货信息!$B:$B&amp;盘货信息!$C:$C,盘货信息!$J:$J)="","",_xlfn.XLOOKUP(A29&amp;B29&amp;C29,盘货信息!$A:$A&amp;盘货信息!$B:$B&amp;盘货信息!$C:$C,盘货信息!$J:$J)&amp;"元优惠卷"))</f>
        <v/>
      </c>
      <c r="I29" s="18" t="str">
        <f t="array" ref="I29">IF(C29="","",IF(_xlfn.XLOOKUP(A29&amp;B29&amp;C29,盘货信息!$A:$A&amp;盘货信息!$B:$B&amp;盘货信息!$C:$C,盘货信息!$R:$R)="","",_xlfn.XLOOKUP(A29&amp;B29&amp;C29,盘货信息!$A:$A&amp;盘货信息!$B:$B&amp;盘货信息!$C:$C,盘货信息!$R:$R)&amp;"元优惠卷"))</f>
        <v/>
      </c>
      <c r="J29" s="18" t="str">
        <f t="array" ref="J29">IF(C29="","",IF(_xlfn.XLOOKUP(A29&amp;B29&amp;C29,盘货信息!$A:$A&amp;盘货信息!$B:$B&amp;盘货信息!$C:$C,盘货信息!$K:$K)="","",IF(OR(_xlfn.XLOOKUP(A29&amp;B29&amp;C29,盘货信息!$A:$A&amp;盘货信息!$B:$B&amp;盘货信息!$C:$C,盘货信息!$G:$G)="参加",_xlfn.XLOOKUP(A29&amp;B29&amp;C29,盘货信息!$A:$A&amp;盘货信息!$B:$B&amp;盘货信息!$C:$C,盘货信息!$H:$H)="1（纯自补）"),_xlfn.XLOOKUP(A29&amp;B29&amp;C29,盘货信息!$A:$A&amp;盘货信息!$B:$B&amp;盘货信息!$C:$C,盘货信息!$K:$K)&amp;"元以旧换新（可无旧机换新）","")))</f>
        <v/>
      </c>
      <c r="K29" s="18" t="str">
        <f t="array" ref="K29">IF(C29="","",IF(_xlfn.XLOOKUP(A29&amp;B29&amp;C29,盘货信息!$A:$A&amp;盘货信息!$B:$B&amp;盘货信息!$C:$C,盘货信息!$L:$L)="","",_xlfn.XLOOKUP(A29&amp;B29&amp;C29,盘货信息!$A:$A&amp;盘货信息!$B:$B&amp;盘货信息!$C:$C,盘货信息!$L:$L)&amp;"元限时补贴"))</f>
        <v/>
      </c>
      <c r="L29" s="18" t="str">
        <f t="array" ref="L29">IF(C29="","",IF(_xlfn.XLOOKUP(A29&amp;B29&amp;C29,盘货信息!$A:$A&amp;盘货信息!$B:$B&amp;盘货信息!$C:$C,盘货信息!$M:$M)="","",_xlfn.XLOOKUP(A29&amp;B29&amp;C29,盘货信息!$A:$A&amp;盘货信息!$B:$B&amp;盘货信息!$C:$C,盘货信息!$M:$M)&amp;"元消费券"))</f>
        <v/>
      </c>
      <c r="M29" s="18" t="str">
        <f t="array" ref="M29">IF(C29="","",IF(_xlfn.XLOOKUP(A29&amp;B29&amp;C29,盘货信息!$A:$A&amp;盘货信息!$B:$B&amp;盘货信息!$C:$C,盘货信息!$G:$G)="不参加","","焕新补贴优惠【全民可用，不限地址】"))</f>
        <v/>
      </c>
    </row>
    <row r="30" customHeight="1" spans="1:13">
      <c r="A30" s="17" t="str">
        <f>IF(盘货信息!A30="","",盘货信息!A30)</f>
        <v/>
      </c>
      <c r="B30" s="17" t="str">
        <f>IF(盘货信息!B30="","",盘货信息!B30)</f>
        <v/>
      </c>
      <c r="C30" s="18" t="str">
        <f>IF(盘货信息!C30="","",盘货信息!C30)</f>
        <v/>
      </c>
      <c r="D30" s="18" t="str">
        <f t="shared" si="0"/>
        <v/>
      </c>
      <c r="E30" s="18" t="str">
        <f t="array" ref="E30">IF(C30="","",IF(_xlfn.XLOOKUP(A30&amp;B30&amp;C30,盘货信息!$A:$A&amp;盘货信息!$B:$B&amp;盘货信息!$C:$C,盘货信息!$N:$N)="","【立减到手价"&amp;_xlfn.XLOOKUP(A30&amp;B30&amp;C30,盘货信息!$A:$A&amp;盘货信息!$B:$B&amp;盘货信息!$C:$C,盘货信息!$F:$F)&amp;"元】","【焕新补贴预估价"&amp;_xlfn.XLOOKUP(A30&amp;B30&amp;C30,盘货信息!$A:$A&amp;盘货信息!$B:$B&amp;盘货信息!$C:$C,盘货信息!$N:$N)&amp;"元】"))</f>
        <v/>
      </c>
      <c r="F30" s="18" t="str">
        <f t="array" ref="F30">IF(C30="","",_xlfn.XLOOKUP(A30&amp;B30&amp;C30,盘货信息!$A:$A&amp;盘货信息!$B:$B&amp;盘货信息!$C:$C,盘货信息!$E:$E)&amp;"元到手价")</f>
        <v/>
      </c>
      <c r="G30" s="18" t="str">
        <f t="array" ref="G30">IF(C30="","",IF(_xlfn.XLOOKUP(A30&amp;B30&amp;C30,盘货信息!$A:$A&amp;盘货信息!$B:$B&amp;盘货信息!$C:$C,盘货信息!$I:$I)="","","88VIP95折"))</f>
        <v/>
      </c>
      <c r="H30" s="18" t="str">
        <f t="array" ref="H30">IF(C30="","",IF(_xlfn.XLOOKUP(A30&amp;B30&amp;C30,盘货信息!$A:$A&amp;盘货信息!$B:$B&amp;盘货信息!$C:$C,盘货信息!$J:$J)="","",_xlfn.XLOOKUP(A30&amp;B30&amp;C30,盘货信息!$A:$A&amp;盘货信息!$B:$B&amp;盘货信息!$C:$C,盘货信息!$J:$J)&amp;"元优惠卷"))</f>
        <v/>
      </c>
      <c r="I30" s="18" t="str">
        <f t="array" ref="I30">IF(C30="","",IF(_xlfn.XLOOKUP(A30&amp;B30&amp;C30,盘货信息!$A:$A&amp;盘货信息!$B:$B&amp;盘货信息!$C:$C,盘货信息!$R:$R)="","",_xlfn.XLOOKUP(A30&amp;B30&amp;C30,盘货信息!$A:$A&amp;盘货信息!$B:$B&amp;盘货信息!$C:$C,盘货信息!$R:$R)&amp;"元优惠卷"))</f>
        <v/>
      </c>
      <c r="J30" s="18" t="str">
        <f t="array" ref="J30">IF(C30="","",IF(_xlfn.XLOOKUP(A30&amp;B30&amp;C30,盘货信息!$A:$A&amp;盘货信息!$B:$B&amp;盘货信息!$C:$C,盘货信息!$K:$K)="","",IF(OR(_xlfn.XLOOKUP(A30&amp;B30&amp;C30,盘货信息!$A:$A&amp;盘货信息!$B:$B&amp;盘货信息!$C:$C,盘货信息!$G:$G)="参加",_xlfn.XLOOKUP(A30&amp;B30&amp;C30,盘货信息!$A:$A&amp;盘货信息!$B:$B&amp;盘货信息!$C:$C,盘货信息!$H:$H)="1（纯自补）"),_xlfn.XLOOKUP(A30&amp;B30&amp;C30,盘货信息!$A:$A&amp;盘货信息!$B:$B&amp;盘货信息!$C:$C,盘货信息!$K:$K)&amp;"元以旧换新（可无旧机换新）","")))</f>
        <v/>
      </c>
      <c r="K30" s="18" t="str">
        <f t="array" ref="K30">IF(C30="","",IF(_xlfn.XLOOKUP(A30&amp;B30&amp;C30,盘货信息!$A:$A&amp;盘货信息!$B:$B&amp;盘货信息!$C:$C,盘货信息!$L:$L)="","",_xlfn.XLOOKUP(A30&amp;B30&amp;C30,盘货信息!$A:$A&amp;盘货信息!$B:$B&amp;盘货信息!$C:$C,盘货信息!$L:$L)&amp;"元限时补贴"))</f>
        <v/>
      </c>
      <c r="L30" s="18" t="str">
        <f t="array" ref="L30">IF(C30="","",IF(_xlfn.XLOOKUP(A30&amp;B30&amp;C30,盘货信息!$A:$A&amp;盘货信息!$B:$B&amp;盘货信息!$C:$C,盘货信息!$M:$M)="","",_xlfn.XLOOKUP(A30&amp;B30&amp;C30,盘货信息!$A:$A&amp;盘货信息!$B:$B&amp;盘货信息!$C:$C,盘货信息!$M:$M)&amp;"元消费券"))</f>
        <v/>
      </c>
      <c r="M30" s="18" t="str">
        <f t="array" ref="M30">IF(C30="","",IF(_xlfn.XLOOKUP(A30&amp;B30&amp;C30,盘货信息!$A:$A&amp;盘货信息!$B:$B&amp;盘货信息!$C:$C,盘货信息!$G:$G)="不参加","","焕新补贴优惠【全民可用，不限地址】"))</f>
        <v/>
      </c>
    </row>
    <row r="31" customHeight="1" spans="1:13">
      <c r="A31" s="17" t="str">
        <f>IF(盘货信息!A31="","",盘货信息!A31)</f>
        <v/>
      </c>
      <c r="B31" s="17" t="str">
        <f>IF(盘货信息!B31="","",盘货信息!B31)</f>
        <v/>
      </c>
      <c r="C31" s="18" t="str">
        <f>IF(盘货信息!C31="","",盘货信息!C31)</f>
        <v/>
      </c>
      <c r="D31" s="18" t="str">
        <f t="shared" si="0"/>
        <v/>
      </c>
      <c r="E31" s="18" t="str">
        <f t="array" ref="E31">IF(C31="","",IF(_xlfn.XLOOKUP(A31&amp;B31&amp;C31,盘货信息!$A:$A&amp;盘货信息!$B:$B&amp;盘货信息!$C:$C,盘货信息!$N:$N)="","【立减到手价"&amp;_xlfn.XLOOKUP(A31&amp;B31&amp;C31,盘货信息!$A:$A&amp;盘货信息!$B:$B&amp;盘货信息!$C:$C,盘货信息!$F:$F)&amp;"元】","【焕新补贴预估价"&amp;_xlfn.XLOOKUP(A31&amp;B31&amp;C31,盘货信息!$A:$A&amp;盘货信息!$B:$B&amp;盘货信息!$C:$C,盘货信息!$N:$N)&amp;"元】"))</f>
        <v/>
      </c>
      <c r="F31" s="18" t="str">
        <f t="array" ref="F31">IF(C31="","",_xlfn.XLOOKUP(A31&amp;B31&amp;C31,盘货信息!$A:$A&amp;盘货信息!$B:$B&amp;盘货信息!$C:$C,盘货信息!$E:$E)&amp;"元到手价")</f>
        <v/>
      </c>
      <c r="G31" s="18" t="str">
        <f t="array" ref="G31">IF(C31="","",IF(_xlfn.XLOOKUP(A31&amp;B31&amp;C31,盘货信息!$A:$A&amp;盘货信息!$B:$B&amp;盘货信息!$C:$C,盘货信息!$I:$I)="","","88VIP95折"))</f>
        <v/>
      </c>
      <c r="H31" s="18" t="str">
        <f t="array" ref="H31">IF(C31="","",IF(_xlfn.XLOOKUP(A31&amp;B31&amp;C31,盘货信息!$A:$A&amp;盘货信息!$B:$B&amp;盘货信息!$C:$C,盘货信息!$J:$J)="","",_xlfn.XLOOKUP(A31&amp;B31&amp;C31,盘货信息!$A:$A&amp;盘货信息!$B:$B&amp;盘货信息!$C:$C,盘货信息!$J:$J)&amp;"元优惠卷"))</f>
        <v/>
      </c>
      <c r="I31" s="18" t="str">
        <f t="array" ref="I31">IF(C31="","",IF(_xlfn.XLOOKUP(A31&amp;B31&amp;C31,盘货信息!$A:$A&amp;盘货信息!$B:$B&amp;盘货信息!$C:$C,盘货信息!$R:$R)="","",_xlfn.XLOOKUP(A31&amp;B31&amp;C31,盘货信息!$A:$A&amp;盘货信息!$B:$B&amp;盘货信息!$C:$C,盘货信息!$R:$R)&amp;"元优惠卷"))</f>
        <v/>
      </c>
      <c r="J31" s="18" t="str">
        <f t="array" ref="J31">IF(C31="","",IF(_xlfn.XLOOKUP(A31&amp;B31&amp;C31,盘货信息!$A:$A&amp;盘货信息!$B:$B&amp;盘货信息!$C:$C,盘货信息!$K:$K)="","",IF(OR(_xlfn.XLOOKUP(A31&amp;B31&amp;C31,盘货信息!$A:$A&amp;盘货信息!$B:$B&amp;盘货信息!$C:$C,盘货信息!$G:$G)="参加",_xlfn.XLOOKUP(A31&amp;B31&amp;C31,盘货信息!$A:$A&amp;盘货信息!$B:$B&amp;盘货信息!$C:$C,盘货信息!$H:$H)="1（纯自补）"),_xlfn.XLOOKUP(A31&amp;B31&amp;C31,盘货信息!$A:$A&amp;盘货信息!$B:$B&amp;盘货信息!$C:$C,盘货信息!$K:$K)&amp;"元以旧换新（可无旧机换新）","")))</f>
        <v/>
      </c>
      <c r="K31" s="18" t="str">
        <f t="array" ref="K31">IF(C31="","",IF(_xlfn.XLOOKUP(A31&amp;B31&amp;C31,盘货信息!$A:$A&amp;盘货信息!$B:$B&amp;盘货信息!$C:$C,盘货信息!$L:$L)="","",_xlfn.XLOOKUP(A31&amp;B31&amp;C31,盘货信息!$A:$A&amp;盘货信息!$B:$B&amp;盘货信息!$C:$C,盘货信息!$L:$L)&amp;"元限时补贴"))</f>
        <v/>
      </c>
      <c r="L31" s="18" t="str">
        <f t="array" ref="L31">IF(C31="","",IF(_xlfn.XLOOKUP(A31&amp;B31&amp;C31,盘货信息!$A:$A&amp;盘货信息!$B:$B&amp;盘货信息!$C:$C,盘货信息!$M:$M)="","",_xlfn.XLOOKUP(A31&amp;B31&amp;C31,盘货信息!$A:$A&amp;盘货信息!$B:$B&amp;盘货信息!$C:$C,盘货信息!$M:$M)&amp;"元消费券"))</f>
        <v/>
      </c>
      <c r="M31" s="18" t="str">
        <f t="array" ref="M31">IF(C31="","",IF(_xlfn.XLOOKUP(A31&amp;B31&amp;C31,盘货信息!$A:$A&amp;盘货信息!$B:$B&amp;盘货信息!$C:$C,盘货信息!$G:$G)="不参加","","焕新补贴优惠【全民可用，不限地址】"))</f>
        <v/>
      </c>
    </row>
    <row r="32" customHeight="1" spans="1:13">
      <c r="A32" s="17" t="str">
        <f>IF(盘货信息!A32="","",盘货信息!A32)</f>
        <v/>
      </c>
      <c r="B32" s="17" t="str">
        <f>IF(盘货信息!B32="","",盘货信息!B32)</f>
        <v/>
      </c>
      <c r="C32" s="18" t="str">
        <f>IF(盘货信息!C32="","",盘货信息!C32)</f>
        <v/>
      </c>
      <c r="D32" s="18" t="str">
        <f t="shared" si="0"/>
        <v/>
      </c>
      <c r="E32" s="18" t="str">
        <f t="array" ref="E32">IF(C32="","",IF(_xlfn.XLOOKUP(A32&amp;B32&amp;C32,盘货信息!$A:$A&amp;盘货信息!$B:$B&amp;盘货信息!$C:$C,盘货信息!$N:$N)="","【立减到手价"&amp;_xlfn.XLOOKUP(A32&amp;B32&amp;C32,盘货信息!$A:$A&amp;盘货信息!$B:$B&amp;盘货信息!$C:$C,盘货信息!$F:$F)&amp;"元】","【焕新补贴预估价"&amp;_xlfn.XLOOKUP(A32&amp;B32&amp;C32,盘货信息!$A:$A&amp;盘货信息!$B:$B&amp;盘货信息!$C:$C,盘货信息!$N:$N)&amp;"元】"))</f>
        <v/>
      </c>
      <c r="F32" s="18" t="str">
        <f t="array" ref="F32">IF(C32="","",_xlfn.XLOOKUP(A32&amp;B32&amp;C32,盘货信息!$A:$A&amp;盘货信息!$B:$B&amp;盘货信息!$C:$C,盘货信息!$E:$E)&amp;"元到手价")</f>
        <v/>
      </c>
      <c r="G32" s="18" t="str">
        <f t="array" ref="G32">IF(C32="","",IF(_xlfn.XLOOKUP(A32&amp;B32&amp;C32,盘货信息!$A:$A&amp;盘货信息!$B:$B&amp;盘货信息!$C:$C,盘货信息!$I:$I)="","","88VIP95折"))</f>
        <v/>
      </c>
      <c r="H32" s="18" t="str">
        <f t="array" ref="H32">IF(C32="","",IF(_xlfn.XLOOKUP(A32&amp;B32&amp;C32,盘货信息!$A:$A&amp;盘货信息!$B:$B&amp;盘货信息!$C:$C,盘货信息!$J:$J)="","",_xlfn.XLOOKUP(A32&amp;B32&amp;C32,盘货信息!$A:$A&amp;盘货信息!$B:$B&amp;盘货信息!$C:$C,盘货信息!$J:$J)&amp;"元优惠卷"))</f>
        <v/>
      </c>
      <c r="I32" s="18" t="str">
        <f t="array" ref="I32">IF(C32="","",IF(_xlfn.XLOOKUP(A32&amp;B32&amp;C32,盘货信息!$A:$A&amp;盘货信息!$B:$B&amp;盘货信息!$C:$C,盘货信息!$R:$R)="","",_xlfn.XLOOKUP(A32&amp;B32&amp;C32,盘货信息!$A:$A&amp;盘货信息!$B:$B&amp;盘货信息!$C:$C,盘货信息!$R:$R)&amp;"元优惠卷"))</f>
        <v/>
      </c>
      <c r="J32" s="18" t="str">
        <f t="array" ref="J32">IF(C32="","",IF(_xlfn.XLOOKUP(A32&amp;B32&amp;C32,盘货信息!$A:$A&amp;盘货信息!$B:$B&amp;盘货信息!$C:$C,盘货信息!$K:$K)="","",IF(OR(_xlfn.XLOOKUP(A32&amp;B32&amp;C32,盘货信息!$A:$A&amp;盘货信息!$B:$B&amp;盘货信息!$C:$C,盘货信息!$G:$G)="参加",_xlfn.XLOOKUP(A32&amp;B32&amp;C32,盘货信息!$A:$A&amp;盘货信息!$B:$B&amp;盘货信息!$C:$C,盘货信息!$H:$H)="1（纯自补）"),_xlfn.XLOOKUP(A32&amp;B32&amp;C32,盘货信息!$A:$A&amp;盘货信息!$B:$B&amp;盘货信息!$C:$C,盘货信息!$K:$K)&amp;"元以旧换新（可无旧机换新）","")))</f>
        <v/>
      </c>
      <c r="K32" s="18" t="str">
        <f t="array" ref="K32">IF(C32="","",IF(_xlfn.XLOOKUP(A32&amp;B32&amp;C32,盘货信息!$A:$A&amp;盘货信息!$B:$B&amp;盘货信息!$C:$C,盘货信息!$L:$L)="","",_xlfn.XLOOKUP(A32&amp;B32&amp;C32,盘货信息!$A:$A&amp;盘货信息!$B:$B&amp;盘货信息!$C:$C,盘货信息!$L:$L)&amp;"元限时补贴"))</f>
        <v/>
      </c>
      <c r="L32" s="18" t="str">
        <f t="array" ref="L32">IF(C32="","",IF(_xlfn.XLOOKUP(A32&amp;B32&amp;C32,盘货信息!$A:$A&amp;盘货信息!$B:$B&amp;盘货信息!$C:$C,盘货信息!$M:$M)="","",_xlfn.XLOOKUP(A32&amp;B32&amp;C32,盘货信息!$A:$A&amp;盘货信息!$B:$B&amp;盘货信息!$C:$C,盘货信息!$M:$M)&amp;"元消费券"))</f>
        <v/>
      </c>
      <c r="M32" s="18" t="str">
        <f t="array" ref="M32">IF(C32="","",IF(_xlfn.XLOOKUP(A32&amp;B32&amp;C32,盘货信息!$A:$A&amp;盘货信息!$B:$B&amp;盘货信息!$C:$C,盘货信息!$G:$G)="不参加","","焕新补贴优惠【全民可用，不限地址】"))</f>
        <v/>
      </c>
    </row>
    <row r="33" customHeight="1" spans="1:13">
      <c r="A33" s="17" t="str">
        <f>IF(盘货信息!A33="","",盘货信息!A33)</f>
        <v/>
      </c>
      <c r="B33" s="17" t="str">
        <f>IF(盘货信息!B33="","",盘货信息!B33)</f>
        <v/>
      </c>
      <c r="C33" s="18" t="str">
        <f>IF(盘货信息!C33="","",盘货信息!C33)</f>
        <v/>
      </c>
      <c r="D33" s="18" t="str">
        <f t="shared" si="0"/>
        <v/>
      </c>
      <c r="E33" s="18" t="str">
        <f t="array" ref="E33">IF(C33="","",IF(_xlfn.XLOOKUP(A33&amp;B33&amp;C33,盘货信息!$A:$A&amp;盘货信息!$B:$B&amp;盘货信息!$C:$C,盘货信息!$N:$N)="","【立减到手价"&amp;_xlfn.XLOOKUP(A33&amp;B33&amp;C33,盘货信息!$A:$A&amp;盘货信息!$B:$B&amp;盘货信息!$C:$C,盘货信息!$F:$F)&amp;"元】","【焕新补贴预估价"&amp;_xlfn.XLOOKUP(A33&amp;B33&amp;C33,盘货信息!$A:$A&amp;盘货信息!$B:$B&amp;盘货信息!$C:$C,盘货信息!$N:$N)&amp;"元】"))</f>
        <v/>
      </c>
      <c r="F33" s="18" t="str">
        <f t="array" ref="F33">IF(C33="","",_xlfn.XLOOKUP(A33&amp;B33&amp;C33,盘货信息!$A:$A&amp;盘货信息!$B:$B&amp;盘货信息!$C:$C,盘货信息!$E:$E)&amp;"元到手价")</f>
        <v/>
      </c>
      <c r="G33" s="18" t="str">
        <f t="array" ref="G33">IF(C33="","",IF(_xlfn.XLOOKUP(A33&amp;B33&amp;C33,盘货信息!$A:$A&amp;盘货信息!$B:$B&amp;盘货信息!$C:$C,盘货信息!$I:$I)="","","88VIP95折"))</f>
        <v/>
      </c>
      <c r="H33" s="18" t="str">
        <f t="array" ref="H33">IF(C33="","",IF(_xlfn.XLOOKUP(A33&amp;B33&amp;C33,盘货信息!$A:$A&amp;盘货信息!$B:$B&amp;盘货信息!$C:$C,盘货信息!$J:$J)="","",_xlfn.XLOOKUP(A33&amp;B33&amp;C33,盘货信息!$A:$A&amp;盘货信息!$B:$B&amp;盘货信息!$C:$C,盘货信息!$J:$J)&amp;"元优惠卷"))</f>
        <v/>
      </c>
      <c r="I33" s="18" t="str">
        <f t="array" ref="I33">IF(C33="","",IF(_xlfn.XLOOKUP(A33&amp;B33&amp;C33,盘货信息!$A:$A&amp;盘货信息!$B:$B&amp;盘货信息!$C:$C,盘货信息!$R:$R)="","",_xlfn.XLOOKUP(A33&amp;B33&amp;C33,盘货信息!$A:$A&amp;盘货信息!$B:$B&amp;盘货信息!$C:$C,盘货信息!$R:$R)&amp;"元优惠卷"))</f>
        <v/>
      </c>
      <c r="J33" s="18" t="str">
        <f t="array" ref="J33">IF(C33="","",IF(_xlfn.XLOOKUP(A33&amp;B33&amp;C33,盘货信息!$A:$A&amp;盘货信息!$B:$B&amp;盘货信息!$C:$C,盘货信息!$K:$K)="","",IF(OR(_xlfn.XLOOKUP(A33&amp;B33&amp;C33,盘货信息!$A:$A&amp;盘货信息!$B:$B&amp;盘货信息!$C:$C,盘货信息!$G:$G)="参加",_xlfn.XLOOKUP(A33&amp;B33&amp;C33,盘货信息!$A:$A&amp;盘货信息!$B:$B&amp;盘货信息!$C:$C,盘货信息!$H:$H)="1（纯自补）"),_xlfn.XLOOKUP(A33&amp;B33&amp;C33,盘货信息!$A:$A&amp;盘货信息!$B:$B&amp;盘货信息!$C:$C,盘货信息!$K:$K)&amp;"元以旧换新（可无旧机换新）","")))</f>
        <v/>
      </c>
      <c r="K33" s="18" t="str">
        <f t="array" ref="K33">IF(C33="","",IF(_xlfn.XLOOKUP(A33&amp;B33&amp;C33,盘货信息!$A:$A&amp;盘货信息!$B:$B&amp;盘货信息!$C:$C,盘货信息!$L:$L)="","",_xlfn.XLOOKUP(A33&amp;B33&amp;C33,盘货信息!$A:$A&amp;盘货信息!$B:$B&amp;盘货信息!$C:$C,盘货信息!$L:$L)&amp;"元限时补贴"))</f>
        <v/>
      </c>
      <c r="L33" s="18" t="str">
        <f t="array" ref="L33">IF(C33="","",IF(_xlfn.XLOOKUP(A33&amp;B33&amp;C33,盘货信息!$A:$A&amp;盘货信息!$B:$B&amp;盘货信息!$C:$C,盘货信息!$M:$M)="","",_xlfn.XLOOKUP(A33&amp;B33&amp;C33,盘货信息!$A:$A&amp;盘货信息!$B:$B&amp;盘货信息!$C:$C,盘货信息!$M:$M)&amp;"元消费券"))</f>
        <v/>
      </c>
      <c r="M33" s="18" t="str">
        <f t="array" ref="M33">IF(C33="","",IF(_xlfn.XLOOKUP(A33&amp;B33&amp;C33,盘货信息!$A:$A&amp;盘货信息!$B:$B&amp;盘货信息!$C:$C,盘货信息!$G:$G)="不参加","","焕新补贴优惠【全民可用，不限地址】"))</f>
        <v/>
      </c>
    </row>
    <row r="34" customHeight="1" spans="1:13">
      <c r="A34" s="17" t="str">
        <f>IF(盘货信息!A34="","",盘货信息!A34)</f>
        <v/>
      </c>
      <c r="B34" s="17" t="str">
        <f>IF(盘货信息!B34="","",盘货信息!B34)</f>
        <v/>
      </c>
      <c r="C34" s="18" t="str">
        <f>IF(盘货信息!C34="","",盘货信息!C34)</f>
        <v/>
      </c>
      <c r="D34" s="18" t="str">
        <f t="shared" si="0"/>
        <v/>
      </c>
      <c r="E34" s="18" t="str">
        <f t="array" ref="E34">IF(C34="","",IF(_xlfn.XLOOKUP(A34&amp;B34&amp;C34,盘货信息!$A:$A&amp;盘货信息!$B:$B&amp;盘货信息!$C:$C,盘货信息!$N:$N)="","【立减到手价"&amp;_xlfn.XLOOKUP(A34&amp;B34&amp;C34,盘货信息!$A:$A&amp;盘货信息!$B:$B&amp;盘货信息!$C:$C,盘货信息!$F:$F)&amp;"元】","【焕新补贴预估价"&amp;_xlfn.XLOOKUP(A34&amp;B34&amp;C34,盘货信息!$A:$A&amp;盘货信息!$B:$B&amp;盘货信息!$C:$C,盘货信息!$N:$N)&amp;"元】"))</f>
        <v/>
      </c>
      <c r="F34" s="18" t="str">
        <f t="array" ref="F34">IF(C34="","",_xlfn.XLOOKUP(A34&amp;B34&amp;C34,盘货信息!$A:$A&amp;盘货信息!$B:$B&amp;盘货信息!$C:$C,盘货信息!$E:$E)&amp;"元到手价")</f>
        <v/>
      </c>
      <c r="G34" s="18" t="str">
        <f t="array" ref="G34">IF(C34="","",IF(_xlfn.XLOOKUP(A34&amp;B34&amp;C34,盘货信息!$A:$A&amp;盘货信息!$B:$B&amp;盘货信息!$C:$C,盘货信息!$I:$I)="","","88VIP95折"))</f>
        <v/>
      </c>
      <c r="H34" s="18" t="str">
        <f t="array" ref="H34">IF(C34="","",IF(_xlfn.XLOOKUP(A34&amp;B34&amp;C34,盘货信息!$A:$A&amp;盘货信息!$B:$B&amp;盘货信息!$C:$C,盘货信息!$J:$J)="","",_xlfn.XLOOKUP(A34&amp;B34&amp;C34,盘货信息!$A:$A&amp;盘货信息!$B:$B&amp;盘货信息!$C:$C,盘货信息!$J:$J)&amp;"元优惠卷"))</f>
        <v/>
      </c>
      <c r="I34" s="18" t="str">
        <f t="array" ref="I34">IF(C34="","",IF(_xlfn.XLOOKUP(A34&amp;B34&amp;C34,盘货信息!$A:$A&amp;盘货信息!$B:$B&amp;盘货信息!$C:$C,盘货信息!$R:$R)="","",_xlfn.XLOOKUP(A34&amp;B34&amp;C34,盘货信息!$A:$A&amp;盘货信息!$B:$B&amp;盘货信息!$C:$C,盘货信息!$R:$R)&amp;"元优惠卷"))</f>
        <v/>
      </c>
      <c r="J34" s="18" t="str">
        <f t="array" ref="J34">IF(C34="","",IF(_xlfn.XLOOKUP(A34&amp;B34&amp;C34,盘货信息!$A:$A&amp;盘货信息!$B:$B&amp;盘货信息!$C:$C,盘货信息!$K:$K)="","",IF(OR(_xlfn.XLOOKUP(A34&amp;B34&amp;C34,盘货信息!$A:$A&amp;盘货信息!$B:$B&amp;盘货信息!$C:$C,盘货信息!$G:$G)="参加",_xlfn.XLOOKUP(A34&amp;B34&amp;C34,盘货信息!$A:$A&amp;盘货信息!$B:$B&amp;盘货信息!$C:$C,盘货信息!$H:$H)="1（纯自补）"),_xlfn.XLOOKUP(A34&amp;B34&amp;C34,盘货信息!$A:$A&amp;盘货信息!$B:$B&amp;盘货信息!$C:$C,盘货信息!$K:$K)&amp;"元以旧换新（可无旧机换新）","")))</f>
        <v/>
      </c>
      <c r="K34" s="18" t="str">
        <f t="array" ref="K34">IF(C34="","",IF(_xlfn.XLOOKUP(A34&amp;B34&amp;C34,盘货信息!$A:$A&amp;盘货信息!$B:$B&amp;盘货信息!$C:$C,盘货信息!$L:$L)="","",_xlfn.XLOOKUP(A34&amp;B34&amp;C34,盘货信息!$A:$A&amp;盘货信息!$B:$B&amp;盘货信息!$C:$C,盘货信息!$L:$L)&amp;"元限时补贴"))</f>
        <v/>
      </c>
      <c r="L34" s="18" t="str">
        <f t="array" ref="L34">IF(C34="","",IF(_xlfn.XLOOKUP(A34&amp;B34&amp;C34,盘货信息!$A:$A&amp;盘货信息!$B:$B&amp;盘货信息!$C:$C,盘货信息!$M:$M)="","",_xlfn.XLOOKUP(A34&amp;B34&amp;C34,盘货信息!$A:$A&amp;盘货信息!$B:$B&amp;盘货信息!$C:$C,盘货信息!$M:$M)&amp;"元消费券"))</f>
        <v/>
      </c>
      <c r="M34" s="18" t="str">
        <f t="array" ref="M34">IF(C34="","",IF(_xlfn.XLOOKUP(A34&amp;B34&amp;C34,盘货信息!$A:$A&amp;盘货信息!$B:$B&amp;盘货信息!$C:$C,盘货信息!$G:$G)="不参加","","焕新补贴优惠【全民可用，不限地址】"))</f>
        <v/>
      </c>
    </row>
    <row r="35" customHeight="1" spans="1:13">
      <c r="A35" s="17" t="str">
        <f>IF(盘货信息!A35="","",盘货信息!A35)</f>
        <v/>
      </c>
      <c r="B35" s="17" t="str">
        <f>IF(盘货信息!B35="","",盘货信息!B35)</f>
        <v/>
      </c>
      <c r="C35" s="18" t="str">
        <f>IF(盘货信息!C35="","",盘货信息!C35)</f>
        <v/>
      </c>
      <c r="D35" s="18" t="str">
        <f t="shared" si="0"/>
        <v/>
      </c>
      <c r="E35" s="18" t="str">
        <f t="array" ref="E35">IF(C35="","",IF(_xlfn.XLOOKUP(A35&amp;B35&amp;C35,盘货信息!$A:$A&amp;盘货信息!$B:$B&amp;盘货信息!$C:$C,盘货信息!$N:$N)="","【立减到手价"&amp;_xlfn.XLOOKUP(A35&amp;B35&amp;C35,盘货信息!$A:$A&amp;盘货信息!$B:$B&amp;盘货信息!$C:$C,盘货信息!$F:$F)&amp;"元】","【焕新补贴预估价"&amp;_xlfn.XLOOKUP(A35&amp;B35&amp;C35,盘货信息!$A:$A&amp;盘货信息!$B:$B&amp;盘货信息!$C:$C,盘货信息!$N:$N)&amp;"元】"))</f>
        <v/>
      </c>
      <c r="F35" s="18" t="str">
        <f t="array" ref="F35">IF(C35="","",_xlfn.XLOOKUP(A35&amp;B35&amp;C35,盘货信息!$A:$A&amp;盘货信息!$B:$B&amp;盘货信息!$C:$C,盘货信息!$E:$E)&amp;"元到手价")</f>
        <v/>
      </c>
      <c r="G35" s="18" t="str">
        <f t="array" ref="G35">IF(C35="","",IF(_xlfn.XLOOKUP(A35&amp;B35&amp;C35,盘货信息!$A:$A&amp;盘货信息!$B:$B&amp;盘货信息!$C:$C,盘货信息!$I:$I)="","","88VIP95折"))</f>
        <v/>
      </c>
      <c r="H35" s="18" t="str">
        <f t="array" ref="H35">IF(C35="","",IF(_xlfn.XLOOKUP(A35&amp;B35&amp;C35,盘货信息!$A:$A&amp;盘货信息!$B:$B&amp;盘货信息!$C:$C,盘货信息!$J:$J)="","",_xlfn.XLOOKUP(A35&amp;B35&amp;C35,盘货信息!$A:$A&amp;盘货信息!$B:$B&amp;盘货信息!$C:$C,盘货信息!$J:$J)&amp;"元优惠卷"))</f>
        <v/>
      </c>
      <c r="I35" s="18" t="str">
        <f t="array" ref="I35">IF(C35="","",IF(_xlfn.XLOOKUP(A35&amp;B35&amp;C35,盘货信息!$A:$A&amp;盘货信息!$B:$B&amp;盘货信息!$C:$C,盘货信息!$R:$R)="","",_xlfn.XLOOKUP(A35&amp;B35&amp;C35,盘货信息!$A:$A&amp;盘货信息!$B:$B&amp;盘货信息!$C:$C,盘货信息!$R:$R)&amp;"元优惠卷"))</f>
        <v/>
      </c>
      <c r="J35" s="18" t="str">
        <f t="array" ref="J35">IF(C35="","",IF(_xlfn.XLOOKUP(A35&amp;B35&amp;C35,盘货信息!$A:$A&amp;盘货信息!$B:$B&amp;盘货信息!$C:$C,盘货信息!$K:$K)="","",IF(OR(_xlfn.XLOOKUP(A35&amp;B35&amp;C35,盘货信息!$A:$A&amp;盘货信息!$B:$B&amp;盘货信息!$C:$C,盘货信息!$G:$G)="参加",_xlfn.XLOOKUP(A35&amp;B35&amp;C35,盘货信息!$A:$A&amp;盘货信息!$B:$B&amp;盘货信息!$C:$C,盘货信息!$H:$H)="1（纯自补）"),_xlfn.XLOOKUP(A35&amp;B35&amp;C35,盘货信息!$A:$A&amp;盘货信息!$B:$B&amp;盘货信息!$C:$C,盘货信息!$K:$K)&amp;"元以旧换新（可无旧机换新）","")))</f>
        <v/>
      </c>
      <c r="K35" s="18" t="str">
        <f t="array" ref="K35">IF(C35="","",IF(_xlfn.XLOOKUP(A35&amp;B35&amp;C35,盘货信息!$A:$A&amp;盘货信息!$B:$B&amp;盘货信息!$C:$C,盘货信息!$L:$L)="","",_xlfn.XLOOKUP(A35&amp;B35&amp;C35,盘货信息!$A:$A&amp;盘货信息!$B:$B&amp;盘货信息!$C:$C,盘货信息!$L:$L)&amp;"元限时补贴"))</f>
        <v/>
      </c>
      <c r="L35" s="18" t="str">
        <f t="array" ref="L35">IF(C35="","",IF(_xlfn.XLOOKUP(A35&amp;B35&amp;C35,盘货信息!$A:$A&amp;盘货信息!$B:$B&amp;盘货信息!$C:$C,盘货信息!$M:$M)="","",_xlfn.XLOOKUP(A35&amp;B35&amp;C35,盘货信息!$A:$A&amp;盘货信息!$B:$B&amp;盘货信息!$C:$C,盘货信息!$M:$M)&amp;"元消费券"))</f>
        <v/>
      </c>
      <c r="M35" s="18" t="str">
        <f t="array" ref="M35">IF(C35="","",IF(_xlfn.XLOOKUP(A35&amp;B35&amp;C35,盘货信息!$A:$A&amp;盘货信息!$B:$B&amp;盘货信息!$C:$C,盘货信息!$G:$G)="不参加","","焕新补贴优惠【全民可用，不限地址】"))</f>
        <v/>
      </c>
    </row>
    <row r="36" customHeight="1" spans="1:13">
      <c r="A36" s="17" t="str">
        <f>IF(盘货信息!A36="","",盘货信息!A36)</f>
        <v/>
      </c>
      <c r="B36" s="17" t="str">
        <f>IF(盘货信息!B36="","",盘货信息!B36)</f>
        <v/>
      </c>
      <c r="C36" s="18" t="str">
        <f>IF(盘货信息!C36="","",盘货信息!C36)</f>
        <v/>
      </c>
      <c r="D36" s="18" t="str">
        <f t="shared" si="0"/>
        <v/>
      </c>
      <c r="E36" s="18" t="str">
        <f t="array" ref="E36">IF(C36="","",IF(_xlfn.XLOOKUP(A36&amp;B36&amp;C36,盘货信息!$A:$A&amp;盘货信息!$B:$B&amp;盘货信息!$C:$C,盘货信息!$N:$N)="","【立减到手价"&amp;_xlfn.XLOOKUP(A36&amp;B36&amp;C36,盘货信息!$A:$A&amp;盘货信息!$B:$B&amp;盘货信息!$C:$C,盘货信息!$F:$F)&amp;"元】","【焕新补贴预估价"&amp;_xlfn.XLOOKUP(A36&amp;B36&amp;C36,盘货信息!$A:$A&amp;盘货信息!$B:$B&amp;盘货信息!$C:$C,盘货信息!$N:$N)&amp;"元】"))</f>
        <v/>
      </c>
      <c r="F36" s="18" t="str">
        <f t="array" ref="F36">IF(C36="","",_xlfn.XLOOKUP(A36&amp;B36&amp;C36,盘货信息!$A:$A&amp;盘货信息!$B:$B&amp;盘货信息!$C:$C,盘货信息!$E:$E)&amp;"元到手价")</f>
        <v/>
      </c>
      <c r="G36" s="18" t="str">
        <f t="array" ref="G36">IF(C36="","",IF(_xlfn.XLOOKUP(A36&amp;B36&amp;C36,盘货信息!$A:$A&amp;盘货信息!$B:$B&amp;盘货信息!$C:$C,盘货信息!$I:$I)="","","88VIP95折"))</f>
        <v/>
      </c>
      <c r="H36" s="18" t="str">
        <f t="array" ref="H36">IF(C36="","",IF(_xlfn.XLOOKUP(A36&amp;B36&amp;C36,盘货信息!$A:$A&amp;盘货信息!$B:$B&amp;盘货信息!$C:$C,盘货信息!$J:$J)="","",_xlfn.XLOOKUP(A36&amp;B36&amp;C36,盘货信息!$A:$A&amp;盘货信息!$B:$B&amp;盘货信息!$C:$C,盘货信息!$J:$J)&amp;"元优惠卷"))</f>
        <v/>
      </c>
      <c r="I36" s="18" t="str">
        <f t="array" ref="I36">IF(C36="","",IF(_xlfn.XLOOKUP(A36&amp;B36&amp;C36,盘货信息!$A:$A&amp;盘货信息!$B:$B&amp;盘货信息!$C:$C,盘货信息!$R:$R)="","",_xlfn.XLOOKUP(A36&amp;B36&amp;C36,盘货信息!$A:$A&amp;盘货信息!$B:$B&amp;盘货信息!$C:$C,盘货信息!$R:$R)&amp;"元优惠卷"))</f>
        <v/>
      </c>
      <c r="J36" s="18" t="str">
        <f t="array" ref="J36">IF(C36="","",IF(_xlfn.XLOOKUP(A36&amp;B36&amp;C36,盘货信息!$A:$A&amp;盘货信息!$B:$B&amp;盘货信息!$C:$C,盘货信息!$K:$K)="","",IF(OR(_xlfn.XLOOKUP(A36&amp;B36&amp;C36,盘货信息!$A:$A&amp;盘货信息!$B:$B&amp;盘货信息!$C:$C,盘货信息!$G:$G)="参加",_xlfn.XLOOKUP(A36&amp;B36&amp;C36,盘货信息!$A:$A&amp;盘货信息!$B:$B&amp;盘货信息!$C:$C,盘货信息!$H:$H)="1（纯自补）"),_xlfn.XLOOKUP(A36&amp;B36&amp;C36,盘货信息!$A:$A&amp;盘货信息!$B:$B&amp;盘货信息!$C:$C,盘货信息!$K:$K)&amp;"元以旧换新（可无旧机换新）","")))</f>
        <v/>
      </c>
      <c r="K36" s="18" t="str">
        <f t="array" ref="K36">IF(C36="","",IF(_xlfn.XLOOKUP(A36&amp;B36&amp;C36,盘货信息!$A:$A&amp;盘货信息!$B:$B&amp;盘货信息!$C:$C,盘货信息!$L:$L)="","",_xlfn.XLOOKUP(A36&amp;B36&amp;C36,盘货信息!$A:$A&amp;盘货信息!$B:$B&amp;盘货信息!$C:$C,盘货信息!$L:$L)&amp;"元限时补贴"))</f>
        <v/>
      </c>
      <c r="L36" s="18" t="str">
        <f t="array" ref="L36">IF(C36="","",IF(_xlfn.XLOOKUP(A36&amp;B36&amp;C36,盘货信息!$A:$A&amp;盘货信息!$B:$B&amp;盘货信息!$C:$C,盘货信息!$M:$M)="","",_xlfn.XLOOKUP(A36&amp;B36&amp;C36,盘货信息!$A:$A&amp;盘货信息!$B:$B&amp;盘货信息!$C:$C,盘货信息!$M:$M)&amp;"元消费券"))</f>
        <v/>
      </c>
      <c r="M36" s="18" t="str">
        <f t="array" ref="M36">IF(C36="","",IF(_xlfn.XLOOKUP(A36&amp;B36&amp;C36,盘货信息!$A:$A&amp;盘货信息!$B:$B&amp;盘货信息!$C:$C,盘货信息!$G:$G)="不参加","","焕新补贴优惠【全民可用，不限地址】"))</f>
        <v/>
      </c>
    </row>
    <row r="37" customHeight="1" spans="1:13">
      <c r="A37" s="17" t="str">
        <f>IF(盘货信息!A37="","",盘货信息!A37)</f>
        <v/>
      </c>
      <c r="B37" s="17" t="str">
        <f>IF(盘货信息!B37="","",盘货信息!B37)</f>
        <v/>
      </c>
      <c r="C37" s="18" t="str">
        <f>IF(盘货信息!C37="","",盘货信息!C37)</f>
        <v/>
      </c>
      <c r="D37" s="18" t="str">
        <f t="shared" si="0"/>
        <v/>
      </c>
      <c r="E37" s="18" t="str">
        <f t="array" ref="E37">IF(C37="","",IF(_xlfn.XLOOKUP(A37&amp;B37&amp;C37,盘货信息!$A:$A&amp;盘货信息!$B:$B&amp;盘货信息!$C:$C,盘货信息!$N:$N)="","【立减到手价"&amp;_xlfn.XLOOKUP(A37&amp;B37&amp;C37,盘货信息!$A:$A&amp;盘货信息!$B:$B&amp;盘货信息!$C:$C,盘货信息!$F:$F)&amp;"元】","【焕新补贴预估价"&amp;_xlfn.XLOOKUP(A37&amp;B37&amp;C37,盘货信息!$A:$A&amp;盘货信息!$B:$B&amp;盘货信息!$C:$C,盘货信息!$N:$N)&amp;"元】"))</f>
        <v/>
      </c>
      <c r="F37" s="18" t="str">
        <f t="array" ref="F37">IF(C37="","",_xlfn.XLOOKUP(A37&amp;B37&amp;C37,盘货信息!$A:$A&amp;盘货信息!$B:$B&amp;盘货信息!$C:$C,盘货信息!$E:$E)&amp;"元到手价")</f>
        <v/>
      </c>
      <c r="G37" s="18" t="str">
        <f t="array" ref="G37">IF(C37="","",IF(_xlfn.XLOOKUP(A37&amp;B37&amp;C37,盘货信息!$A:$A&amp;盘货信息!$B:$B&amp;盘货信息!$C:$C,盘货信息!$I:$I)="","","88VIP95折"))</f>
        <v/>
      </c>
      <c r="H37" s="18" t="str">
        <f t="array" ref="H37">IF(C37="","",IF(_xlfn.XLOOKUP(A37&amp;B37&amp;C37,盘货信息!$A:$A&amp;盘货信息!$B:$B&amp;盘货信息!$C:$C,盘货信息!$J:$J)="","",_xlfn.XLOOKUP(A37&amp;B37&amp;C37,盘货信息!$A:$A&amp;盘货信息!$B:$B&amp;盘货信息!$C:$C,盘货信息!$J:$J)&amp;"元优惠卷"))</f>
        <v/>
      </c>
      <c r="I37" s="18" t="str">
        <f t="array" ref="I37">IF(C37="","",IF(_xlfn.XLOOKUP(A37&amp;B37&amp;C37,盘货信息!$A:$A&amp;盘货信息!$B:$B&amp;盘货信息!$C:$C,盘货信息!$R:$R)="","",_xlfn.XLOOKUP(A37&amp;B37&amp;C37,盘货信息!$A:$A&amp;盘货信息!$B:$B&amp;盘货信息!$C:$C,盘货信息!$R:$R)&amp;"元优惠卷"))</f>
        <v/>
      </c>
      <c r="J37" s="18" t="str">
        <f t="array" ref="J37">IF(C37="","",IF(_xlfn.XLOOKUP(A37&amp;B37&amp;C37,盘货信息!$A:$A&amp;盘货信息!$B:$B&amp;盘货信息!$C:$C,盘货信息!$K:$K)="","",IF(OR(_xlfn.XLOOKUP(A37&amp;B37&amp;C37,盘货信息!$A:$A&amp;盘货信息!$B:$B&amp;盘货信息!$C:$C,盘货信息!$G:$G)="参加",_xlfn.XLOOKUP(A37&amp;B37&amp;C37,盘货信息!$A:$A&amp;盘货信息!$B:$B&amp;盘货信息!$C:$C,盘货信息!$H:$H)="1（纯自补）"),_xlfn.XLOOKUP(A37&amp;B37&amp;C37,盘货信息!$A:$A&amp;盘货信息!$B:$B&amp;盘货信息!$C:$C,盘货信息!$K:$K)&amp;"元以旧换新（可无旧机换新）","")))</f>
        <v/>
      </c>
      <c r="K37" s="18" t="str">
        <f t="array" ref="K37">IF(C37="","",IF(_xlfn.XLOOKUP(A37&amp;B37&amp;C37,盘货信息!$A:$A&amp;盘货信息!$B:$B&amp;盘货信息!$C:$C,盘货信息!$L:$L)="","",_xlfn.XLOOKUP(A37&amp;B37&amp;C37,盘货信息!$A:$A&amp;盘货信息!$B:$B&amp;盘货信息!$C:$C,盘货信息!$L:$L)&amp;"元限时补贴"))</f>
        <v/>
      </c>
      <c r="L37" s="18" t="str">
        <f t="array" ref="L37">IF(C37="","",IF(_xlfn.XLOOKUP(A37&amp;B37&amp;C37,盘货信息!$A:$A&amp;盘货信息!$B:$B&amp;盘货信息!$C:$C,盘货信息!$M:$M)="","",_xlfn.XLOOKUP(A37&amp;B37&amp;C37,盘货信息!$A:$A&amp;盘货信息!$B:$B&amp;盘货信息!$C:$C,盘货信息!$M:$M)&amp;"元消费券"))</f>
        <v/>
      </c>
      <c r="M37" s="18" t="str">
        <f t="array" ref="M37">IF(C37="","",IF(_xlfn.XLOOKUP(A37&amp;B37&amp;C37,盘货信息!$A:$A&amp;盘货信息!$B:$B&amp;盘货信息!$C:$C,盘货信息!$G:$G)="不参加","","焕新补贴优惠【全民可用，不限地址】"))</f>
        <v/>
      </c>
    </row>
    <row r="38" customHeight="1" spans="1:13">
      <c r="A38" s="17" t="str">
        <f>IF(盘货信息!A38="","",盘货信息!A38)</f>
        <v/>
      </c>
      <c r="B38" s="17" t="str">
        <f>IF(盘货信息!B38="","",盘货信息!B38)</f>
        <v/>
      </c>
      <c r="C38" s="18" t="str">
        <f>IF(盘货信息!C38="","",盘货信息!C38)</f>
        <v/>
      </c>
      <c r="D38" s="18" t="str">
        <f t="shared" si="0"/>
        <v/>
      </c>
      <c r="E38" s="18" t="str">
        <f t="array" ref="E38">IF(C38="","",IF(_xlfn.XLOOKUP(A38&amp;B38&amp;C38,盘货信息!$A:$A&amp;盘货信息!$B:$B&amp;盘货信息!$C:$C,盘货信息!$N:$N)="","【立减到手价"&amp;_xlfn.XLOOKUP(A38&amp;B38&amp;C38,盘货信息!$A:$A&amp;盘货信息!$B:$B&amp;盘货信息!$C:$C,盘货信息!$F:$F)&amp;"元】","【焕新补贴预估价"&amp;_xlfn.XLOOKUP(A38&amp;B38&amp;C38,盘货信息!$A:$A&amp;盘货信息!$B:$B&amp;盘货信息!$C:$C,盘货信息!$N:$N)&amp;"元】"))</f>
        <v/>
      </c>
      <c r="F38" s="18" t="str">
        <f t="array" ref="F38">IF(C38="","",_xlfn.XLOOKUP(A38&amp;B38&amp;C38,盘货信息!$A:$A&amp;盘货信息!$B:$B&amp;盘货信息!$C:$C,盘货信息!$E:$E)&amp;"元到手价")</f>
        <v/>
      </c>
      <c r="G38" s="18" t="str">
        <f t="array" ref="G38">IF(C38="","",IF(_xlfn.XLOOKUP(A38&amp;B38&amp;C38,盘货信息!$A:$A&amp;盘货信息!$B:$B&amp;盘货信息!$C:$C,盘货信息!$I:$I)="","","88VIP95折"))</f>
        <v/>
      </c>
      <c r="H38" s="18" t="str">
        <f t="array" ref="H38">IF(C38="","",IF(_xlfn.XLOOKUP(A38&amp;B38&amp;C38,盘货信息!$A:$A&amp;盘货信息!$B:$B&amp;盘货信息!$C:$C,盘货信息!$J:$J)="","",_xlfn.XLOOKUP(A38&amp;B38&amp;C38,盘货信息!$A:$A&amp;盘货信息!$B:$B&amp;盘货信息!$C:$C,盘货信息!$J:$J)&amp;"元优惠卷"))</f>
        <v/>
      </c>
      <c r="I38" s="18" t="str">
        <f t="array" ref="I38">IF(C38="","",IF(_xlfn.XLOOKUP(A38&amp;B38&amp;C38,盘货信息!$A:$A&amp;盘货信息!$B:$B&amp;盘货信息!$C:$C,盘货信息!$R:$R)="","",_xlfn.XLOOKUP(A38&amp;B38&amp;C38,盘货信息!$A:$A&amp;盘货信息!$B:$B&amp;盘货信息!$C:$C,盘货信息!$R:$R)&amp;"元优惠卷"))</f>
        <v/>
      </c>
      <c r="J38" s="18" t="str">
        <f t="array" ref="J38">IF(C38="","",IF(_xlfn.XLOOKUP(A38&amp;B38&amp;C38,盘货信息!$A:$A&amp;盘货信息!$B:$B&amp;盘货信息!$C:$C,盘货信息!$K:$K)="","",IF(OR(_xlfn.XLOOKUP(A38&amp;B38&amp;C38,盘货信息!$A:$A&amp;盘货信息!$B:$B&amp;盘货信息!$C:$C,盘货信息!$G:$G)="参加",_xlfn.XLOOKUP(A38&amp;B38&amp;C38,盘货信息!$A:$A&amp;盘货信息!$B:$B&amp;盘货信息!$C:$C,盘货信息!$H:$H)="1（纯自补）"),_xlfn.XLOOKUP(A38&amp;B38&amp;C38,盘货信息!$A:$A&amp;盘货信息!$B:$B&amp;盘货信息!$C:$C,盘货信息!$K:$K)&amp;"元以旧换新（可无旧机换新）","")))</f>
        <v/>
      </c>
      <c r="K38" s="18" t="str">
        <f t="array" ref="K38">IF(C38="","",IF(_xlfn.XLOOKUP(A38&amp;B38&amp;C38,盘货信息!$A:$A&amp;盘货信息!$B:$B&amp;盘货信息!$C:$C,盘货信息!$L:$L)="","",_xlfn.XLOOKUP(A38&amp;B38&amp;C38,盘货信息!$A:$A&amp;盘货信息!$B:$B&amp;盘货信息!$C:$C,盘货信息!$L:$L)&amp;"元限时补贴"))</f>
        <v/>
      </c>
      <c r="L38" s="18" t="str">
        <f t="array" ref="L38">IF(C38="","",IF(_xlfn.XLOOKUP(A38&amp;B38&amp;C38,盘货信息!$A:$A&amp;盘货信息!$B:$B&amp;盘货信息!$C:$C,盘货信息!$M:$M)="","",_xlfn.XLOOKUP(A38&amp;B38&amp;C38,盘货信息!$A:$A&amp;盘货信息!$B:$B&amp;盘货信息!$C:$C,盘货信息!$M:$M)&amp;"元消费券"))</f>
        <v/>
      </c>
      <c r="M38" s="18" t="str">
        <f t="array" ref="M38">IF(C38="","",IF(_xlfn.XLOOKUP(A38&amp;B38&amp;C38,盘货信息!$A:$A&amp;盘货信息!$B:$B&amp;盘货信息!$C:$C,盘货信息!$G:$G)="不参加","","焕新补贴优惠【全民可用，不限地址】"))</f>
        <v/>
      </c>
    </row>
    <row r="39" customHeight="1" spans="1:13">
      <c r="A39" s="17" t="str">
        <f>IF(盘货信息!A39="","",盘货信息!A39)</f>
        <v/>
      </c>
      <c r="B39" s="17" t="str">
        <f>IF(盘货信息!B39="","",盘货信息!B39)</f>
        <v/>
      </c>
      <c r="C39" s="18" t="str">
        <f>IF(盘货信息!C39="","",盘货信息!C39)</f>
        <v/>
      </c>
      <c r="D39" s="18" t="str">
        <f t="shared" si="0"/>
        <v/>
      </c>
      <c r="E39" s="18" t="str">
        <f t="array" ref="E39">IF(C39="","",IF(_xlfn.XLOOKUP(A39&amp;B39&amp;C39,盘货信息!$A:$A&amp;盘货信息!$B:$B&amp;盘货信息!$C:$C,盘货信息!$N:$N)="","【立减到手价"&amp;_xlfn.XLOOKUP(A39&amp;B39&amp;C39,盘货信息!$A:$A&amp;盘货信息!$B:$B&amp;盘货信息!$C:$C,盘货信息!$F:$F)&amp;"元】","【焕新补贴预估价"&amp;_xlfn.XLOOKUP(A39&amp;B39&amp;C39,盘货信息!$A:$A&amp;盘货信息!$B:$B&amp;盘货信息!$C:$C,盘货信息!$N:$N)&amp;"元】"))</f>
        <v/>
      </c>
      <c r="F39" s="18" t="str">
        <f t="array" ref="F39">IF(C39="","",_xlfn.XLOOKUP(A39&amp;B39&amp;C39,盘货信息!$A:$A&amp;盘货信息!$B:$B&amp;盘货信息!$C:$C,盘货信息!$E:$E)&amp;"元到手价")</f>
        <v/>
      </c>
      <c r="G39" s="18" t="str">
        <f t="array" ref="G39">IF(C39="","",IF(_xlfn.XLOOKUP(A39&amp;B39&amp;C39,盘货信息!$A:$A&amp;盘货信息!$B:$B&amp;盘货信息!$C:$C,盘货信息!$I:$I)="","","88VIP95折"))</f>
        <v/>
      </c>
      <c r="H39" s="18" t="str">
        <f t="array" ref="H39">IF(C39="","",IF(_xlfn.XLOOKUP(A39&amp;B39&amp;C39,盘货信息!$A:$A&amp;盘货信息!$B:$B&amp;盘货信息!$C:$C,盘货信息!$J:$J)="","",_xlfn.XLOOKUP(A39&amp;B39&amp;C39,盘货信息!$A:$A&amp;盘货信息!$B:$B&amp;盘货信息!$C:$C,盘货信息!$J:$J)&amp;"元优惠卷"))</f>
        <v/>
      </c>
      <c r="I39" s="18" t="str">
        <f t="array" ref="I39">IF(C39="","",IF(_xlfn.XLOOKUP(A39&amp;B39&amp;C39,盘货信息!$A:$A&amp;盘货信息!$B:$B&amp;盘货信息!$C:$C,盘货信息!$R:$R)="","",_xlfn.XLOOKUP(A39&amp;B39&amp;C39,盘货信息!$A:$A&amp;盘货信息!$B:$B&amp;盘货信息!$C:$C,盘货信息!$R:$R)&amp;"元优惠卷"))</f>
        <v/>
      </c>
      <c r="J39" s="18" t="str">
        <f t="array" ref="J39">IF(C39="","",IF(_xlfn.XLOOKUP(A39&amp;B39&amp;C39,盘货信息!$A:$A&amp;盘货信息!$B:$B&amp;盘货信息!$C:$C,盘货信息!$K:$K)="","",IF(OR(_xlfn.XLOOKUP(A39&amp;B39&amp;C39,盘货信息!$A:$A&amp;盘货信息!$B:$B&amp;盘货信息!$C:$C,盘货信息!$G:$G)="参加",_xlfn.XLOOKUP(A39&amp;B39&amp;C39,盘货信息!$A:$A&amp;盘货信息!$B:$B&amp;盘货信息!$C:$C,盘货信息!$H:$H)="1（纯自补）"),_xlfn.XLOOKUP(A39&amp;B39&amp;C39,盘货信息!$A:$A&amp;盘货信息!$B:$B&amp;盘货信息!$C:$C,盘货信息!$K:$K)&amp;"元以旧换新（可无旧机换新）","")))</f>
        <v/>
      </c>
      <c r="K39" s="18" t="str">
        <f t="array" ref="K39">IF(C39="","",IF(_xlfn.XLOOKUP(A39&amp;B39&amp;C39,盘货信息!$A:$A&amp;盘货信息!$B:$B&amp;盘货信息!$C:$C,盘货信息!$L:$L)="","",_xlfn.XLOOKUP(A39&amp;B39&amp;C39,盘货信息!$A:$A&amp;盘货信息!$B:$B&amp;盘货信息!$C:$C,盘货信息!$L:$L)&amp;"元限时补贴"))</f>
        <v/>
      </c>
      <c r="L39" s="18" t="str">
        <f t="array" ref="L39">IF(C39="","",IF(_xlfn.XLOOKUP(A39&amp;B39&amp;C39,盘货信息!$A:$A&amp;盘货信息!$B:$B&amp;盘货信息!$C:$C,盘货信息!$M:$M)="","",_xlfn.XLOOKUP(A39&amp;B39&amp;C39,盘货信息!$A:$A&amp;盘货信息!$B:$B&amp;盘货信息!$C:$C,盘货信息!$M:$M)&amp;"元消费券"))</f>
        <v/>
      </c>
      <c r="M39" s="18" t="str">
        <f t="array" ref="M39">IF(C39="","",IF(_xlfn.XLOOKUP(A39&amp;B39&amp;C39,盘货信息!$A:$A&amp;盘货信息!$B:$B&amp;盘货信息!$C:$C,盘货信息!$G:$G)="不参加","","焕新补贴优惠【全民可用，不限地址】"))</f>
        <v/>
      </c>
    </row>
    <row r="40" customHeight="1" spans="1:13">
      <c r="A40" s="17" t="str">
        <f>IF(盘货信息!A40="","",盘货信息!A40)</f>
        <v/>
      </c>
      <c r="B40" s="17" t="str">
        <f>IF(盘货信息!B40="","",盘货信息!B40)</f>
        <v/>
      </c>
      <c r="C40" s="18" t="str">
        <f>IF(盘货信息!C40="","",盘货信息!C40)</f>
        <v/>
      </c>
      <c r="D40" s="18" t="str">
        <f t="shared" si="0"/>
        <v/>
      </c>
      <c r="E40" s="18" t="str">
        <f t="array" ref="E40">IF(C40="","",IF(_xlfn.XLOOKUP(A40&amp;B40&amp;C40,盘货信息!$A:$A&amp;盘货信息!$B:$B&amp;盘货信息!$C:$C,盘货信息!$N:$N)="","【立减到手价"&amp;_xlfn.XLOOKUP(A40&amp;B40&amp;C40,盘货信息!$A:$A&amp;盘货信息!$B:$B&amp;盘货信息!$C:$C,盘货信息!$F:$F)&amp;"元】","【焕新补贴预估价"&amp;_xlfn.XLOOKUP(A40&amp;B40&amp;C40,盘货信息!$A:$A&amp;盘货信息!$B:$B&amp;盘货信息!$C:$C,盘货信息!$N:$N)&amp;"元】"))</f>
        <v/>
      </c>
      <c r="F40" s="18" t="str">
        <f t="array" ref="F40">IF(C40="","",_xlfn.XLOOKUP(A40&amp;B40&amp;C40,盘货信息!$A:$A&amp;盘货信息!$B:$B&amp;盘货信息!$C:$C,盘货信息!$E:$E)&amp;"元到手价")</f>
        <v/>
      </c>
      <c r="G40" s="18" t="str">
        <f t="array" ref="G40">IF(C40="","",IF(_xlfn.XLOOKUP(A40&amp;B40&amp;C40,盘货信息!$A:$A&amp;盘货信息!$B:$B&amp;盘货信息!$C:$C,盘货信息!$I:$I)="","","88VIP95折"))</f>
        <v/>
      </c>
      <c r="H40" s="18" t="str">
        <f t="array" ref="H40">IF(C40="","",IF(_xlfn.XLOOKUP(A40&amp;B40&amp;C40,盘货信息!$A:$A&amp;盘货信息!$B:$B&amp;盘货信息!$C:$C,盘货信息!$J:$J)="","",_xlfn.XLOOKUP(A40&amp;B40&amp;C40,盘货信息!$A:$A&amp;盘货信息!$B:$B&amp;盘货信息!$C:$C,盘货信息!$J:$J)&amp;"元优惠卷"))</f>
        <v/>
      </c>
      <c r="I40" s="18" t="str">
        <f t="array" ref="I40">IF(C40="","",IF(_xlfn.XLOOKUP(A40&amp;B40&amp;C40,盘货信息!$A:$A&amp;盘货信息!$B:$B&amp;盘货信息!$C:$C,盘货信息!$R:$R)="","",_xlfn.XLOOKUP(A40&amp;B40&amp;C40,盘货信息!$A:$A&amp;盘货信息!$B:$B&amp;盘货信息!$C:$C,盘货信息!$R:$R)&amp;"元优惠卷"))</f>
        <v/>
      </c>
      <c r="J40" s="18" t="str">
        <f t="array" ref="J40">IF(C40="","",IF(_xlfn.XLOOKUP(A40&amp;B40&amp;C40,盘货信息!$A:$A&amp;盘货信息!$B:$B&amp;盘货信息!$C:$C,盘货信息!$K:$K)="","",IF(OR(_xlfn.XLOOKUP(A40&amp;B40&amp;C40,盘货信息!$A:$A&amp;盘货信息!$B:$B&amp;盘货信息!$C:$C,盘货信息!$G:$G)="参加",_xlfn.XLOOKUP(A40&amp;B40&amp;C40,盘货信息!$A:$A&amp;盘货信息!$B:$B&amp;盘货信息!$C:$C,盘货信息!$H:$H)="1（纯自补）"),_xlfn.XLOOKUP(A40&amp;B40&amp;C40,盘货信息!$A:$A&amp;盘货信息!$B:$B&amp;盘货信息!$C:$C,盘货信息!$K:$K)&amp;"元以旧换新（可无旧机换新）","")))</f>
        <v/>
      </c>
      <c r="K40" s="18" t="str">
        <f t="array" ref="K40">IF(C40="","",IF(_xlfn.XLOOKUP(A40&amp;B40&amp;C40,盘货信息!$A:$A&amp;盘货信息!$B:$B&amp;盘货信息!$C:$C,盘货信息!$L:$L)="","",_xlfn.XLOOKUP(A40&amp;B40&amp;C40,盘货信息!$A:$A&amp;盘货信息!$B:$B&amp;盘货信息!$C:$C,盘货信息!$L:$L)&amp;"元限时补贴"))</f>
        <v/>
      </c>
      <c r="L40" s="18" t="str">
        <f t="array" ref="L40">IF(C40="","",IF(_xlfn.XLOOKUP(A40&amp;B40&amp;C40,盘货信息!$A:$A&amp;盘货信息!$B:$B&amp;盘货信息!$C:$C,盘货信息!$M:$M)="","",_xlfn.XLOOKUP(A40&amp;B40&amp;C40,盘货信息!$A:$A&amp;盘货信息!$B:$B&amp;盘货信息!$C:$C,盘货信息!$M:$M)&amp;"元消费券"))</f>
        <v/>
      </c>
      <c r="M40" s="18" t="str">
        <f t="array" ref="M40">IF(C40="","",IF(_xlfn.XLOOKUP(A40&amp;B40&amp;C40,盘货信息!$A:$A&amp;盘货信息!$B:$B&amp;盘货信息!$C:$C,盘货信息!$G:$G)="不参加","","焕新补贴优惠【全民可用，不限地址】"))</f>
        <v/>
      </c>
    </row>
    <row r="41" customHeight="1" spans="1:13">
      <c r="A41" s="17" t="str">
        <f>IF(盘货信息!A41="","",盘货信息!A41)</f>
        <v/>
      </c>
      <c r="B41" s="17" t="str">
        <f>IF(盘货信息!B41="","",盘货信息!B41)</f>
        <v/>
      </c>
      <c r="C41" s="18" t="str">
        <f>IF(盘货信息!C41="","",盘货信息!C41)</f>
        <v/>
      </c>
      <c r="D41" s="18" t="str">
        <f t="shared" si="0"/>
        <v/>
      </c>
      <c r="E41" s="18" t="str">
        <f t="array" ref="E41">IF(C41="","",IF(_xlfn.XLOOKUP(A41&amp;B41&amp;C41,盘货信息!$A:$A&amp;盘货信息!$B:$B&amp;盘货信息!$C:$C,盘货信息!$N:$N)="","【立减到手价"&amp;_xlfn.XLOOKUP(A41&amp;B41&amp;C41,盘货信息!$A:$A&amp;盘货信息!$B:$B&amp;盘货信息!$C:$C,盘货信息!$F:$F)&amp;"元】","【焕新补贴预估价"&amp;_xlfn.XLOOKUP(A41&amp;B41&amp;C41,盘货信息!$A:$A&amp;盘货信息!$B:$B&amp;盘货信息!$C:$C,盘货信息!$N:$N)&amp;"元】"))</f>
        <v/>
      </c>
      <c r="F41" s="18" t="str">
        <f t="array" ref="F41">IF(C41="","",_xlfn.XLOOKUP(A41&amp;B41&amp;C41,盘货信息!$A:$A&amp;盘货信息!$B:$B&amp;盘货信息!$C:$C,盘货信息!$E:$E)&amp;"元到手价")</f>
        <v/>
      </c>
      <c r="G41" s="18" t="str">
        <f t="array" ref="G41">IF(C41="","",IF(_xlfn.XLOOKUP(A41&amp;B41&amp;C41,盘货信息!$A:$A&amp;盘货信息!$B:$B&amp;盘货信息!$C:$C,盘货信息!$I:$I)="","","88VIP95折"))</f>
        <v/>
      </c>
      <c r="H41" s="18" t="str">
        <f t="array" ref="H41">IF(C41="","",IF(_xlfn.XLOOKUP(A41&amp;B41&amp;C41,盘货信息!$A:$A&amp;盘货信息!$B:$B&amp;盘货信息!$C:$C,盘货信息!$J:$J)="","",_xlfn.XLOOKUP(A41&amp;B41&amp;C41,盘货信息!$A:$A&amp;盘货信息!$B:$B&amp;盘货信息!$C:$C,盘货信息!$J:$J)&amp;"元优惠卷"))</f>
        <v/>
      </c>
      <c r="I41" s="18" t="str">
        <f t="array" ref="I41">IF(C41="","",IF(_xlfn.XLOOKUP(A41&amp;B41&amp;C41,盘货信息!$A:$A&amp;盘货信息!$B:$B&amp;盘货信息!$C:$C,盘货信息!$R:$R)="","",_xlfn.XLOOKUP(A41&amp;B41&amp;C41,盘货信息!$A:$A&amp;盘货信息!$B:$B&amp;盘货信息!$C:$C,盘货信息!$R:$R)&amp;"元优惠卷"))</f>
        <v/>
      </c>
      <c r="J41" s="18" t="str">
        <f t="array" ref="J41">IF(C41="","",IF(_xlfn.XLOOKUP(A41&amp;B41&amp;C41,盘货信息!$A:$A&amp;盘货信息!$B:$B&amp;盘货信息!$C:$C,盘货信息!$K:$K)="","",IF(OR(_xlfn.XLOOKUP(A41&amp;B41&amp;C41,盘货信息!$A:$A&amp;盘货信息!$B:$B&amp;盘货信息!$C:$C,盘货信息!$G:$G)="参加",_xlfn.XLOOKUP(A41&amp;B41&amp;C41,盘货信息!$A:$A&amp;盘货信息!$B:$B&amp;盘货信息!$C:$C,盘货信息!$H:$H)="1（纯自补）"),_xlfn.XLOOKUP(A41&amp;B41&amp;C41,盘货信息!$A:$A&amp;盘货信息!$B:$B&amp;盘货信息!$C:$C,盘货信息!$K:$K)&amp;"元以旧换新（可无旧机换新）","")))</f>
        <v/>
      </c>
      <c r="K41" s="18" t="str">
        <f t="array" ref="K41">IF(C41="","",IF(_xlfn.XLOOKUP(A41&amp;B41&amp;C41,盘货信息!$A:$A&amp;盘货信息!$B:$B&amp;盘货信息!$C:$C,盘货信息!$L:$L)="","",_xlfn.XLOOKUP(A41&amp;B41&amp;C41,盘货信息!$A:$A&amp;盘货信息!$B:$B&amp;盘货信息!$C:$C,盘货信息!$L:$L)&amp;"元限时补贴"))</f>
        <v/>
      </c>
      <c r="L41" s="18" t="str">
        <f t="array" ref="L41">IF(C41="","",IF(_xlfn.XLOOKUP(A41&amp;B41&amp;C41,盘货信息!$A:$A&amp;盘货信息!$B:$B&amp;盘货信息!$C:$C,盘货信息!$M:$M)="","",_xlfn.XLOOKUP(A41&amp;B41&amp;C41,盘货信息!$A:$A&amp;盘货信息!$B:$B&amp;盘货信息!$C:$C,盘货信息!$M:$M)&amp;"元消费券"))</f>
        <v/>
      </c>
      <c r="M41" s="18" t="str">
        <f t="array" ref="M41">IF(C41="","",IF(_xlfn.XLOOKUP(A41&amp;B41&amp;C41,盘货信息!$A:$A&amp;盘货信息!$B:$B&amp;盘货信息!$C:$C,盘货信息!$G:$G)="不参加","","焕新补贴优惠【全民可用，不限地址】"))</f>
        <v/>
      </c>
    </row>
    <row r="42" customHeight="1" spans="1:13">
      <c r="A42" s="17" t="str">
        <f>IF(盘货信息!A42="","",盘货信息!A42)</f>
        <v/>
      </c>
      <c r="B42" s="17" t="str">
        <f>IF(盘货信息!B42="","",盘货信息!B42)</f>
        <v/>
      </c>
      <c r="C42" s="18" t="str">
        <f>IF(盘货信息!C42="","",盘货信息!C42)</f>
        <v/>
      </c>
      <c r="D42" s="18" t="str">
        <f t="shared" si="0"/>
        <v/>
      </c>
      <c r="E42" s="18" t="str">
        <f t="array" ref="E42">IF(C42="","",IF(_xlfn.XLOOKUP(A42&amp;B42&amp;C42,盘货信息!$A:$A&amp;盘货信息!$B:$B&amp;盘货信息!$C:$C,盘货信息!$N:$N)="","【立减到手价"&amp;_xlfn.XLOOKUP(A42&amp;B42&amp;C42,盘货信息!$A:$A&amp;盘货信息!$B:$B&amp;盘货信息!$C:$C,盘货信息!$F:$F)&amp;"元】","【焕新补贴预估价"&amp;_xlfn.XLOOKUP(A42&amp;B42&amp;C42,盘货信息!$A:$A&amp;盘货信息!$B:$B&amp;盘货信息!$C:$C,盘货信息!$N:$N)&amp;"元】"))</f>
        <v/>
      </c>
      <c r="F42" s="18" t="str">
        <f t="array" ref="F42">IF(C42="","",_xlfn.XLOOKUP(A42&amp;B42&amp;C42,盘货信息!$A:$A&amp;盘货信息!$B:$B&amp;盘货信息!$C:$C,盘货信息!$E:$E)&amp;"元到手价")</f>
        <v/>
      </c>
      <c r="G42" s="18" t="str">
        <f t="array" ref="G42">IF(C42="","",IF(_xlfn.XLOOKUP(A42&amp;B42&amp;C42,盘货信息!$A:$A&amp;盘货信息!$B:$B&amp;盘货信息!$C:$C,盘货信息!$I:$I)="","","88VIP95折"))</f>
        <v/>
      </c>
      <c r="H42" s="18" t="str">
        <f t="array" ref="H42">IF(C42="","",IF(_xlfn.XLOOKUP(A42&amp;B42&amp;C42,盘货信息!$A:$A&amp;盘货信息!$B:$B&amp;盘货信息!$C:$C,盘货信息!$J:$J)="","",_xlfn.XLOOKUP(A42&amp;B42&amp;C42,盘货信息!$A:$A&amp;盘货信息!$B:$B&amp;盘货信息!$C:$C,盘货信息!$J:$J)&amp;"元优惠卷"))</f>
        <v/>
      </c>
      <c r="I42" s="18" t="str">
        <f t="array" ref="I42">IF(C42="","",IF(_xlfn.XLOOKUP(A42&amp;B42&amp;C42,盘货信息!$A:$A&amp;盘货信息!$B:$B&amp;盘货信息!$C:$C,盘货信息!$R:$R)="","",_xlfn.XLOOKUP(A42&amp;B42&amp;C42,盘货信息!$A:$A&amp;盘货信息!$B:$B&amp;盘货信息!$C:$C,盘货信息!$R:$R)&amp;"元优惠卷"))</f>
        <v/>
      </c>
      <c r="J42" s="18" t="str">
        <f t="array" ref="J42">IF(C42="","",IF(_xlfn.XLOOKUP(A42&amp;B42&amp;C42,盘货信息!$A:$A&amp;盘货信息!$B:$B&amp;盘货信息!$C:$C,盘货信息!$K:$K)="","",IF(OR(_xlfn.XLOOKUP(A42&amp;B42&amp;C42,盘货信息!$A:$A&amp;盘货信息!$B:$B&amp;盘货信息!$C:$C,盘货信息!$G:$G)="参加",_xlfn.XLOOKUP(A42&amp;B42&amp;C42,盘货信息!$A:$A&amp;盘货信息!$B:$B&amp;盘货信息!$C:$C,盘货信息!$H:$H)="1（纯自补）"),_xlfn.XLOOKUP(A42&amp;B42&amp;C42,盘货信息!$A:$A&amp;盘货信息!$B:$B&amp;盘货信息!$C:$C,盘货信息!$K:$K)&amp;"元以旧换新（可无旧机换新）","")))</f>
        <v/>
      </c>
      <c r="K42" s="18" t="str">
        <f t="array" ref="K42">IF(C42="","",IF(_xlfn.XLOOKUP(A42&amp;B42&amp;C42,盘货信息!$A:$A&amp;盘货信息!$B:$B&amp;盘货信息!$C:$C,盘货信息!$L:$L)="","",_xlfn.XLOOKUP(A42&amp;B42&amp;C42,盘货信息!$A:$A&amp;盘货信息!$B:$B&amp;盘货信息!$C:$C,盘货信息!$L:$L)&amp;"元限时补贴"))</f>
        <v/>
      </c>
      <c r="L42" s="18" t="str">
        <f t="array" ref="L42">IF(C42="","",IF(_xlfn.XLOOKUP(A42&amp;B42&amp;C42,盘货信息!$A:$A&amp;盘货信息!$B:$B&amp;盘货信息!$C:$C,盘货信息!$M:$M)="","",_xlfn.XLOOKUP(A42&amp;B42&amp;C42,盘货信息!$A:$A&amp;盘货信息!$B:$B&amp;盘货信息!$C:$C,盘货信息!$M:$M)&amp;"元消费券"))</f>
        <v/>
      </c>
      <c r="M42" s="18" t="str">
        <f t="array" ref="M42">IF(C42="","",IF(_xlfn.XLOOKUP(A42&amp;B42&amp;C42,盘货信息!$A:$A&amp;盘货信息!$B:$B&amp;盘货信息!$C:$C,盘货信息!$G:$G)="不参加","","焕新补贴优惠【全民可用，不限地址】"))</f>
        <v/>
      </c>
    </row>
    <row r="43" customHeight="1" spans="1:13">
      <c r="A43" s="17" t="str">
        <f>IF(盘货信息!A43="","",盘货信息!A43)</f>
        <v/>
      </c>
      <c r="B43" s="17" t="str">
        <f>IF(盘货信息!B43="","",盘货信息!B43)</f>
        <v/>
      </c>
      <c r="C43" s="18" t="str">
        <f>IF(盘货信息!C43="","",盘货信息!C43)</f>
        <v/>
      </c>
      <c r="D43" s="18" t="str">
        <f t="shared" si="0"/>
        <v/>
      </c>
      <c r="E43" s="18" t="str">
        <f t="array" ref="E43">IF(C43="","",IF(_xlfn.XLOOKUP(A43&amp;B43&amp;C43,盘货信息!$A:$A&amp;盘货信息!$B:$B&amp;盘货信息!$C:$C,盘货信息!$N:$N)="","【立减到手价"&amp;_xlfn.XLOOKUP(A43&amp;B43&amp;C43,盘货信息!$A:$A&amp;盘货信息!$B:$B&amp;盘货信息!$C:$C,盘货信息!$F:$F)&amp;"元】","【焕新补贴预估价"&amp;_xlfn.XLOOKUP(A43&amp;B43&amp;C43,盘货信息!$A:$A&amp;盘货信息!$B:$B&amp;盘货信息!$C:$C,盘货信息!$N:$N)&amp;"元】"))</f>
        <v/>
      </c>
      <c r="F43" s="18" t="str">
        <f t="array" ref="F43">IF(C43="","",_xlfn.XLOOKUP(A43&amp;B43&amp;C43,盘货信息!$A:$A&amp;盘货信息!$B:$B&amp;盘货信息!$C:$C,盘货信息!$E:$E)&amp;"元到手价")</f>
        <v/>
      </c>
      <c r="G43" s="18" t="str">
        <f t="array" ref="G43">IF(C43="","",IF(_xlfn.XLOOKUP(A43&amp;B43&amp;C43,盘货信息!$A:$A&amp;盘货信息!$B:$B&amp;盘货信息!$C:$C,盘货信息!$I:$I)="","","88VIP95折"))</f>
        <v/>
      </c>
      <c r="H43" s="18" t="str">
        <f t="array" ref="H43">IF(C43="","",IF(_xlfn.XLOOKUP(A43&amp;B43&amp;C43,盘货信息!$A:$A&amp;盘货信息!$B:$B&amp;盘货信息!$C:$C,盘货信息!$J:$J)="","",_xlfn.XLOOKUP(A43&amp;B43&amp;C43,盘货信息!$A:$A&amp;盘货信息!$B:$B&amp;盘货信息!$C:$C,盘货信息!$J:$J)&amp;"元优惠卷"))</f>
        <v/>
      </c>
      <c r="I43" s="18" t="str">
        <f t="array" ref="I43">IF(C43="","",IF(_xlfn.XLOOKUP(A43&amp;B43&amp;C43,盘货信息!$A:$A&amp;盘货信息!$B:$B&amp;盘货信息!$C:$C,盘货信息!$R:$R)="","",_xlfn.XLOOKUP(A43&amp;B43&amp;C43,盘货信息!$A:$A&amp;盘货信息!$B:$B&amp;盘货信息!$C:$C,盘货信息!$R:$R)&amp;"元优惠卷"))</f>
        <v/>
      </c>
      <c r="J43" s="18" t="str">
        <f t="array" ref="J43">IF(C43="","",IF(_xlfn.XLOOKUP(A43&amp;B43&amp;C43,盘货信息!$A:$A&amp;盘货信息!$B:$B&amp;盘货信息!$C:$C,盘货信息!$K:$K)="","",IF(OR(_xlfn.XLOOKUP(A43&amp;B43&amp;C43,盘货信息!$A:$A&amp;盘货信息!$B:$B&amp;盘货信息!$C:$C,盘货信息!$G:$G)="参加",_xlfn.XLOOKUP(A43&amp;B43&amp;C43,盘货信息!$A:$A&amp;盘货信息!$B:$B&amp;盘货信息!$C:$C,盘货信息!$H:$H)="1（纯自补）"),_xlfn.XLOOKUP(A43&amp;B43&amp;C43,盘货信息!$A:$A&amp;盘货信息!$B:$B&amp;盘货信息!$C:$C,盘货信息!$K:$K)&amp;"元以旧换新（可无旧机换新）","")))</f>
        <v/>
      </c>
      <c r="K43" s="18" t="str">
        <f t="array" ref="K43">IF(C43="","",IF(_xlfn.XLOOKUP(A43&amp;B43&amp;C43,盘货信息!$A:$A&amp;盘货信息!$B:$B&amp;盘货信息!$C:$C,盘货信息!$L:$L)="","",_xlfn.XLOOKUP(A43&amp;B43&amp;C43,盘货信息!$A:$A&amp;盘货信息!$B:$B&amp;盘货信息!$C:$C,盘货信息!$L:$L)&amp;"元限时补贴"))</f>
        <v/>
      </c>
      <c r="L43" s="18" t="str">
        <f t="array" ref="L43">IF(C43="","",IF(_xlfn.XLOOKUP(A43&amp;B43&amp;C43,盘货信息!$A:$A&amp;盘货信息!$B:$B&amp;盘货信息!$C:$C,盘货信息!$M:$M)="","",_xlfn.XLOOKUP(A43&amp;B43&amp;C43,盘货信息!$A:$A&amp;盘货信息!$B:$B&amp;盘货信息!$C:$C,盘货信息!$M:$M)&amp;"元消费券"))</f>
        <v/>
      </c>
      <c r="M43" s="18" t="str">
        <f t="array" ref="M43">IF(C43="","",IF(_xlfn.XLOOKUP(A43&amp;B43&amp;C43,盘货信息!$A:$A&amp;盘货信息!$B:$B&amp;盘货信息!$C:$C,盘货信息!$G:$G)="不参加","","焕新补贴优惠【全民可用，不限地址】"))</f>
        <v/>
      </c>
    </row>
    <row r="44" customHeight="1" spans="1:13">
      <c r="A44" s="17" t="str">
        <f>IF(盘货信息!A44="","",盘货信息!A44)</f>
        <v/>
      </c>
      <c r="B44" s="17" t="str">
        <f>IF(盘货信息!B44="","",盘货信息!B44)</f>
        <v/>
      </c>
      <c r="C44" s="18" t="str">
        <f>IF(盘货信息!C44="","",盘货信息!C44)</f>
        <v/>
      </c>
      <c r="D44" s="18" t="str">
        <f t="shared" si="0"/>
        <v/>
      </c>
      <c r="E44" s="18" t="str">
        <f t="array" ref="E44">IF(C44="","",IF(_xlfn.XLOOKUP(A44&amp;B44&amp;C44,盘货信息!$A:$A&amp;盘货信息!$B:$B&amp;盘货信息!$C:$C,盘货信息!$N:$N)="","【立减到手价"&amp;_xlfn.XLOOKUP(A44&amp;B44&amp;C44,盘货信息!$A:$A&amp;盘货信息!$B:$B&amp;盘货信息!$C:$C,盘货信息!$F:$F)&amp;"元】","【焕新补贴预估价"&amp;_xlfn.XLOOKUP(A44&amp;B44&amp;C44,盘货信息!$A:$A&amp;盘货信息!$B:$B&amp;盘货信息!$C:$C,盘货信息!$N:$N)&amp;"元】"))</f>
        <v/>
      </c>
      <c r="F44" s="18" t="str">
        <f t="array" ref="F44">IF(C44="","",_xlfn.XLOOKUP(A44&amp;B44&amp;C44,盘货信息!$A:$A&amp;盘货信息!$B:$B&amp;盘货信息!$C:$C,盘货信息!$E:$E)&amp;"元到手价")</f>
        <v/>
      </c>
      <c r="G44" s="18" t="str">
        <f t="array" ref="G44">IF(C44="","",IF(_xlfn.XLOOKUP(A44&amp;B44&amp;C44,盘货信息!$A:$A&amp;盘货信息!$B:$B&amp;盘货信息!$C:$C,盘货信息!$I:$I)="","","88VIP95折"))</f>
        <v/>
      </c>
      <c r="H44" s="18" t="str">
        <f t="array" ref="H44">IF(C44="","",IF(_xlfn.XLOOKUP(A44&amp;B44&amp;C44,盘货信息!$A:$A&amp;盘货信息!$B:$B&amp;盘货信息!$C:$C,盘货信息!$J:$J)="","",_xlfn.XLOOKUP(A44&amp;B44&amp;C44,盘货信息!$A:$A&amp;盘货信息!$B:$B&amp;盘货信息!$C:$C,盘货信息!$J:$J)&amp;"元优惠卷"))</f>
        <v/>
      </c>
      <c r="I44" s="18" t="str">
        <f t="array" ref="I44">IF(C44="","",IF(_xlfn.XLOOKUP(A44&amp;B44&amp;C44,盘货信息!$A:$A&amp;盘货信息!$B:$B&amp;盘货信息!$C:$C,盘货信息!$R:$R)="","",_xlfn.XLOOKUP(A44&amp;B44&amp;C44,盘货信息!$A:$A&amp;盘货信息!$B:$B&amp;盘货信息!$C:$C,盘货信息!$R:$R)&amp;"元优惠卷"))</f>
        <v/>
      </c>
      <c r="J44" s="18" t="str">
        <f t="array" ref="J44">IF(C44="","",IF(_xlfn.XLOOKUP(A44&amp;B44&amp;C44,盘货信息!$A:$A&amp;盘货信息!$B:$B&amp;盘货信息!$C:$C,盘货信息!$K:$K)="","",IF(OR(_xlfn.XLOOKUP(A44&amp;B44&amp;C44,盘货信息!$A:$A&amp;盘货信息!$B:$B&amp;盘货信息!$C:$C,盘货信息!$G:$G)="参加",_xlfn.XLOOKUP(A44&amp;B44&amp;C44,盘货信息!$A:$A&amp;盘货信息!$B:$B&amp;盘货信息!$C:$C,盘货信息!$H:$H)="1（纯自补）"),_xlfn.XLOOKUP(A44&amp;B44&amp;C44,盘货信息!$A:$A&amp;盘货信息!$B:$B&amp;盘货信息!$C:$C,盘货信息!$K:$K)&amp;"元以旧换新（可无旧机换新）","")))</f>
        <v/>
      </c>
      <c r="K44" s="18" t="str">
        <f t="array" ref="K44">IF(C44="","",IF(_xlfn.XLOOKUP(A44&amp;B44&amp;C44,盘货信息!$A:$A&amp;盘货信息!$B:$B&amp;盘货信息!$C:$C,盘货信息!$L:$L)="","",_xlfn.XLOOKUP(A44&amp;B44&amp;C44,盘货信息!$A:$A&amp;盘货信息!$B:$B&amp;盘货信息!$C:$C,盘货信息!$L:$L)&amp;"元限时补贴"))</f>
        <v/>
      </c>
      <c r="L44" s="18" t="str">
        <f t="array" ref="L44">IF(C44="","",IF(_xlfn.XLOOKUP(A44&amp;B44&amp;C44,盘货信息!$A:$A&amp;盘货信息!$B:$B&amp;盘货信息!$C:$C,盘货信息!$M:$M)="","",_xlfn.XLOOKUP(A44&amp;B44&amp;C44,盘货信息!$A:$A&amp;盘货信息!$B:$B&amp;盘货信息!$C:$C,盘货信息!$M:$M)&amp;"元消费券"))</f>
        <v/>
      </c>
      <c r="M44" s="18" t="str">
        <f t="array" ref="M44">IF(C44="","",IF(_xlfn.XLOOKUP(A44&amp;B44&amp;C44,盘货信息!$A:$A&amp;盘货信息!$B:$B&amp;盘货信息!$C:$C,盘货信息!$G:$G)="不参加","","焕新补贴优惠【全民可用，不限地址】"))</f>
        <v/>
      </c>
    </row>
    <row r="45" customHeight="1" spans="1:13">
      <c r="A45" s="17" t="str">
        <f>IF(盘货信息!A45="","",盘货信息!A45)</f>
        <v/>
      </c>
      <c r="B45" s="17" t="str">
        <f>IF(盘货信息!B45="","",盘货信息!B45)</f>
        <v/>
      </c>
      <c r="C45" s="18" t="str">
        <f>IF(盘货信息!C45="","",盘货信息!C45)</f>
        <v/>
      </c>
      <c r="D45" s="18" t="str">
        <f t="shared" si="0"/>
        <v/>
      </c>
      <c r="E45" s="18" t="str">
        <f t="array" ref="E45">IF(C45="","",IF(_xlfn.XLOOKUP(A45&amp;B45&amp;C45,盘货信息!$A:$A&amp;盘货信息!$B:$B&amp;盘货信息!$C:$C,盘货信息!$N:$N)="","【立减到手价"&amp;_xlfn.XLOOKUP(A45&amp;B45&amp;C45,盘货信息!$A:$A&amp;盘货信息!$B:$B&amp;盘货信息!$C:$C,盘货信息!$F:$F)&amp;"元】","【焕新补贴预估价"&amp;_xlfn.XLOOKUP(A45&amp;B45&amp;C45,盘货信息!$A:$A&amp;盘货信息!$B:$B&amp;盘货信息!$C:$C,盘货信息!$N:$N)&amp;"元】"))</f>
        <v/>
      </c>
      <c r="F45" s="18" t="str">
        <f t="array" ref="F45">IF(C45="","",_xlfn.XLOOKUP(A45&amp;B45&amp;C45,盘货信息!$A:$A&amp;盘货信息!$B:$B&amp;盘货信息!$C:$C,盘货信息!$E:$E)&amp;"元到手价")</f>
        <v/>
      </c>
      <c r="G45" s="18" t="str">
        <f t="array" ref="G45">IF(C45="","",IF(_xlfn.XLOOKUP(A45&amp;B45&amp;C45,盘货信息!$A:$A&amp;盘货信息!$B:$B&amp;盘货信息!$C:$C,盘货信息!$I:$I)="","","88VIP95折"))</f>
        <v/>
      </c>
      <c r="H45" s="18" t="str">
        <f t="array" ref="H45">IF(C45="","",IF(_xlfn.XLOOKUP(A45&amp;B45&amp;C45,盘货信息!$A:$A&amp;盘货信息!$B:$B&amp;盘货信息!$C:$C,盘货信息!$J:$J)="","",_xlfn.XLOOKUP(A45&amp;B45&amp;C45,盘货信息!$A:$A&amp;盘货信息!$B:$B&amp;盘货信息!$C:$C,盘货信息!$J:$J)&amp;"元优惠卷"))</f>
        <v/>
      </c>
      <c r="I45" s="18" t="str">
        <f t="array" ref="I45">IF(C45="","",IF(_xlfn.XLOOKUP(A45&amp;B45&amp;C45,盘货信息!$A:$A&amp;盘货信息!$B:$B&amp;盘货信息!$C:$C,盘货信息!$R:$R)="","",_xlfn.XLOOKUP(A45&amp;B45&amp;C45,盘货信息!$A:$A&amp;盘货信息!$B:$B&amp;盘货信息!$C:$C,盘货信息!$R:$R)&amp;"元优惠卷"))</f>
        <v/>
      </c>
      <c r="J45" s="18" t="str">
        <f t="array" ref="J45">IF(C45="","",IF(_xlfn.XLOOKUP(A45&amp;B45&amp;C45,盘货信息!$A:$A&amp;盘货信息!$B:$B&amp;盘货信息!$C:$C,盘货信息!$K:$K)="","",IF(OR(_xlfn.XLOOKUP(A45&amp;B45&amp;C45,盘货信息!$A:$A&amp;盘货信息!$B:$B&amp;盘货信息!$C:$C,盘货信息!$G:$G)="参加",_xlfn.XLOOKUP(A45&amp;B45&amp;C45,盘货信息!$A:$A&amp;盘货信息!$B:$B&amp;盘货信息!$C:$C,盘货信息!$H:$H)="1（纯自补）"),_xlfn.XLOOKUP(A45&amp;B45&amp;C45,盘货信息!$A:$A&amp;盘货信息!$B:$B&amp;盘货信息!$C:$C,盘货信息!$K:$K)&amp;"元以旧换新（可无旧机换新）","")))</f>
        <v/>
      </c>
      <c r="K45" s="18" t="str">
        <f t="array" ref="K45">IF(C45="","",IF(_xlfn.XLOOKUP(A45&amp;B45&amp;C45,盘货信息!$A:$A&amp;盘货信息!$B:$B&amp;盘货信息!$C:$C,盘货信息!$L:$L)="","",_xlfn.XLOOKUP(A45&amp;B45&amp;C45,盘货信息!$A:$A&amp;盘货信息!$B:$B&amp;盘货信息!$C:$C,盘货信息!$L:$L)&amp;"元限时补贴"))</f>
        <v/>
      </c>
      <c r="L45" s="18" t="str">
        <f t="array" ref="L45">IF(C45="","",IF(_xlfn.XLOOKUP(A45&amp;B45&amp;C45,盘货信息!$A:$A&amp;盘货信息!$B:$B&amp;盘货信息!$C:$C,盘货信息!$M:$M)="","",_xlfn.XLOOKUP(A45&amp;B45&amp;C45,盘货信息!$A:$A&amp;盘货信息!$B:$B&amp;盘货信息!$C:$C,盘货信息!$M:$M)&amp;"元消费券"))</f>
        <v/>
      </c>
      <c r="M45" s="18" t="str">
        <f t="array" ref="M45">IF(C45="","",IF(_xlfn.XLOOKUP(A45&amp;B45&amp;C45,盘货信息!$A:$A&amp;盘货信息!$B:$B&amp;盘货信息!$C:$C,盘货信息!$G:$G)="不参加","","焕新补贴优惠【全民可用，不限地址】"))</f>
        <v/>
      </c>
    </row>
    <row r="46" customHeight="1" spans="1:13">
      <c r="A46" s="17" t="str">
        <f>IF(盘货信息!A46="","",盘货信息!A46)</f>
        <v/>
      </c>
      <c r="B46" s="17" t="str">
        <f>IF(盘货信息!B46="","",盘货信息!B46)</f>
        <v/>
      </c>
      <c r="C46" s="18" t="str">
        <f>IF(盘货信息!C46="","",盘货信息!C46)</f>
        <v/>
      </c>
      <c r="D46" s="18" t="str">
        <f t="shared" si="0"/>
        <v/>
      </c>
      <c r="E46" s="18" t="str">
        <f t="array" ref="E46">IF(C46="","",IF(_xlfn.XLOOKUP(A46&amp;B46&amp;C46,盘货信息!$A:$A&amp;盘货信息!$B:$B&amp;盘货信息!$C:$C,盘货信息!$N:$N)="","【立减到手价"&amp;_xlfn.XLOOKUP(A46&amp;B46&amp;C46,盘货信息!$A:$A&amp;盘货信息!$B:$B&amp;盘货信息!$C:$C,盘货信息!$F:$F)&amp;"元】","【焕新补贴预估价"&amp;_xlfn.XLOOKUP(A46&amp;B46&amp;C46,盘货信息!$A:$A&amp;盘货信息!$B:$B&amp;盘货信息!$C:$C,盘货信息!$N:$N)&amp;"元】"))</f>
        <v/>
      </c>
      <c r="F46" s="18" t="str">
        <f t="array" ref="F46">IF(C46="","",_xlfn.XLOOKUP(A46&amp;B46&amp;C46,盘货信息!$A:$A&amp;盘货信息!$B:$B&amp;盘货信息!$C:$C,盘货信息!$E:$E)&amp;"元到手价")</f>
        <v/>
      </c>
      <c r="G46" s="18" t="str">
        <f t="array" ref="G46">IF(C46="","",IF(_xlfn.XLOOKUP(A46&amp;B46&amp;C46,盘货信息!$A:$A&amp;盘货信息!$B:$B&amp;盘货信息!$C:$C,盘货信息!$I:$I)="","","88VIP95折"))</f>
        <v/>
      </c>
      <c r="H46" s="18" t="str">
        <f t="array" ref="H46">IF(C46="","",IF(_xlfn.XLOOKUP(A46&amp;B46&amp;C46,盘货信息!$A:$A&amp;盘货信息!$B:$B&amp;盘货信息!$C:$C,盘货信息!$J:$J)="","",_xlfn.XLOOKUP(A46&amp;B46&amp;C46,盘货信息!$A:$A&amp;盘货信息!$B:$B&amp;盘货信息!$C:$C,盘货信息!$J:$J)&amp;"元优惠卷"))</f>
        <v/>
      </c>
      <c r="I46" s="18" t="str">
        <f t="array" ref="I46">IF(C46="","",IF(_xlfn.XLOOKUP(A46&amp;B46&amp;C46,盘货信息!$A:$A&amp;盘货信息!$B:$B&amp;盘货信息!$C:$C,盘货信息!$R:$R)="","",_xlfn.XLOOKUP(A46&amp;B46&amp;C46,盘货信息!$A:$A&amp;盘货信息!$B:$B&amp;盘货信息!$C:$C,盘货信息!$R:$R)&amp;"元优惠卷"))</f>
        <v/>
      </c>
      <c r="J46" s="18" t="str">
        <f t="array" ref="J46">IF(C46="","",IF(_xlfn.XLOOKUP(A46&amp;B46&amp;C46,盘货信息!$A:$A&amp;盘货信息!$B:$B&amp;盘货信息!$C:$C,盘货信息!$K:$K)="","",IF(OR(_xlfn.XLOOKUP(A46&amp;B46&amp;C46,盘货信息!$A:$A&amp;盘货信息!$B:$B&amp;盘货信息!$C:$C,盘货信息!$G:$G)="参加",_xlfn.XLOOKUP(A46&amp;B46&amp;C46,盘货信息!$A:$A&amp;盘货信息!$B:$B&amp;盘货信息!$C:$C,盘货信息!$H:$H)="1（纯自补）"),_xlfn.XLOOKUP(A46&amp;B46&amp;C46,盘货信息!$A:$A&amp;盘货信息!$B:$B&amp;盘货信息!$C:$C,盘货信息!$K:$K)&amp;"元以旧换新（可无旧机换新）","")))</f>
        <v/>
      </c>
      <c r="K46" s="18" t="str">
        <f t="array" ref="K46">IF(C46="","",IF(_xlfn.XLOOKUP(A46&amp;B46&amp;C46,盘货信息!$A:$A&amp;盘货信息!$B:$B&amp;盘货信息!$C:$C,盘货信息!$L:$L)="","",_xlfn.XLOOKUP(A46&amp;B46&amp;C46,盘货信息!$A:$A&amp;盘货信息!$B:$B&amp;盘货信息!$C:$C,盘货信息!$L:$L)&amp;"元限时补贴"))</f>
        <v/>
      </c>
      <c r="L46" s="18" t="str">
        <f t="array" ref="L46">IF(C46="","",IF(_xlfn.XLOOKUP(A46&amp;B46&amp;C46,盘货信息!$A:$A&amp;盘货信息!$B:$B&amp;盘货信息!$C:$C,盘货信息!$M:$M)="","",_xlfn.XLOOKUP(A46&amp;B46&amp;C46,盘货信息!$A:$A&amp;盘货信息!$B:$B&amp;盘货信息!$C:$C,盘货信息!$M:$M)&amp;"元消费券"))</f>
        <v/>
      </c>
      <c r="M46" s="18" t="str">
        <f t="array" ref="M46">IF(C46="","",IF(_xlfn.XLOOKUP(A46&amp;B46&amp;C46,盘货信息!$A:$A&amp;盘货信息!$B:$B&amp;盘货信息!$C:$C,盘货信息!$G:$G)="不参加","","焕新补贴优惠【全民可用，不限地址】"))</f>
        <v/>
      </c>
    </row>
    <row r="47" customHeight="1" spans="1:13">
      <c r="A47" s="17" t="str">
        <f>IF(盘货信息!A47="","",盘货信息!A47)</f>
        <v/>
      </c>
      <c r="B47" s="17" t="str">
        <f>IF(盘货信息!B47="","",盘货信息!B47)</f>
        <v/>
      </c>
      <c r="C47" s="18" t="str">
        <f>IF(盘货信息!C47="","",盘货信息!C47)</f>
        <v/>
      </c>
      <c r="D47" s="18" t="str">
        <f t="shared" si="0"/>
        <v/>
      </c>
      <c r="E47" s="18" t="str">
        <f t="array" ref="E47">IF(C47="","",IF(_xlfn.XLOOKUP(A47&amp;B47&amp;C47,盘货信息!$A:$A&amp;盘货信息!$B:$B&amp;盘货信息!$C:$C,盘货信息!$N:$N)="","【立减到手价"&amp;_xlfn.XLOOKUP(A47&amp;B47&amp;C47,盘货信息!$A:$A&amp;盘货信息!$B:$B&amp;盘货信息!$C:$C,盘货信息!$F:$F)&amp;"元】","【焕新补贴预估价"&amp;_xlfn.XLOOKUP(A47&amp;B47&amp;C47,盘货信息!$A:$A&amp;盘货信息!$B:$B&amp;盘货信息!$C:$C,盘货信息!$N:$N)&amp;"元】"))</f>
        <v/>
      </c>
      <c r="F47" s="18" t="str">
        <f t="array" ref="F47">IF(C47="","",_xlfn.XLOOKUP(A47&amp;B47&amp;C47,盘货信息!$A:$A&amp;盘货信息!$B:$B&amp;盘货信息!$C:$C,盘货信息!$E:$E)&amp;"元到手价")</f>
        <v/>
      </c>
      <c r="G47" s="18" t="str">
        <f t="array" ref="G47">IF(C47="","",IF(_xlfn.XLOOKUP(A47&amp;B47&amp;C47,盘货信息!$A:$A&amp;盘货信息!$B:$B&amp;盘货信息!$C:$C,盘货信息!$I:$I)="","","88VIP95折"))</f>
        <v/>
      </c>
      <c r="H47" s="18" t="str">
        <f t="array" ref="H47">IF(C47="","",IF(_xlfn.XLOOKUP(A47&amp;B47&amp;C47,盘货信息!$A:$A&amp;盘货信息!$B:$B&amp;盘货信息!$C:$C,盘货信息!$J:$J)="","",_xlfn.XLOOKUP(A47&amp;B47&amp;C47,盘货信息!$A:$A&amp;盘货信息!$B:$B&amp;盘货信息!$C:$C,盘货信息!$J:$J)&amp;"元优惠卷"))</f>
        <v/>
      </c>
      <c r="I47" s="18" t="str">
        <f t="array" ref="I47">IF(C47="","",IF(_xlfn.XLOOKUP(A47&amp;B47&amp;C47,盘货信息!$A:$A&amp;盘货信息!$B:$B&amp;盘货信息!$C:$C,盘货信息!$R:$R)="","",_xlfn.XLOOKUP(A47&amp;B47&amp;C47,盘货信息!$A:$A&amp;盘货信息!$B:$B&amp;盘货信息!$C:$C,盘货信息!$R:$R)&amp;"元优惠卷"))</f>
        <v/>
      </c>
      <c r="J47" s="18" t="str">
        <f t="array" ref="J47">IF(C47="","",IF(_xlfn.XLOOKUP(A47&amp;B47&amp;C47,盘货信息!$A:$A&amp;盘货信息!$B:$B&amp;盘货信息!$C:$C,盘货信息!$K:$K)="","",IF(OR(_xlfn.XLOOKUP(A47&amp;B47&amp;C47,盘货信息!$A:$A&amp;盘货信息!$B:$B&amp;盘货信息!$C:$C,盘货信息!$G:$G)="参加",_xlfn.XLOOKUP(A47&amp;B47&amp;C47,盘货信息!$A:$A&amp;盘货信息!$B:$B&amp;盘货信息!$C:$C,盘货信息!$H:$H)="1（纯自补）"),_xlfn.XLOOKUP(A47&amp;B47&amp;C47,盘货信息!$A:$A&amp;盘货信息!$B:$B&amp;盘货信息!$C:$C,盘货信息!$K:$K)&amp;"元以旧换新（可无旧机换新）","")))</f>
        <v/>
      </c>
      <c r="K47" s="18" t="str">
        <f t="array" ref="K47">IF(C47="","",IF(_xlfn.XLOOKUP(A47&amp;B47&amp;C47,盘货信息!$A:$A&amp;盘货信息!$B:$B&amp;盘货信息!$C:$C,盘货信息!$L:$L)="","",_xlfn.XLOOKUP(A47&amp;B47&amp;C47,盘货信息!$A:$A&amp;盘货信息!$B:$B&amp;盘货信息!$C:$C,盘货信息!$L:$L)&amp;"元限时补贴"))</f>
        <v/>
      </c>
      <c r="L47" s="18" t="str">
        <f t="array" ref="L47">IF(C47="","",IF(_xlfn.XLOOKUP(A47&amp;B47&amp;C47,盘货信息!$A:$A&amp;盘货信息!$B:$B&amp;盘货信息!$C:$C,盘货信息!$M:$M)="","",_xlfn.XLOOKUP(A47&amp;B47&amp;C47,盘货信息!$A:$A&amp;盘货信息!$B:$B&amp;盘货信息!$C:$C,盘货信息!$M:$M)&amp;"元消费券"))</f>
        <v/>
      </c>
      <c r="M47" s="18" t="str">
        <f t="array" ref="M47">IF(C47="","",IF(_xlfn.XLOOKUP(A47&amp;B47&amp;C47,盘货信息!$A:$A&amp;盘货信息!$B:$B&amp;盘货信息!$C:$C,盘货信息!$G:$G)="不参加","","焕新补贴优惠【全民可用，不限地址】"))</f>
        <v/>
      </c>
    </row>
    <row r="48" customHeight="1" spans="1:13">
      <c r="A48" s="17" t="str">
        <f>IF(盘货信息!A48="","",盘货信息!A48)</f>
        <v/>
      </c>
      <c r="B48" s="17" t="str">
        <f>IF(盘货信息!B48="","",盘货信息!B48)</f>
        <v/>
      </c>
      <c r="C48" s="18" t="str">
        <f>IF(盘货信息!C48="","",盘货信息!C48)</f>
        <v/>
      </c>
      <c r="D48" s="18" t="str">
        <f t="shared" si="0"/>
        <v/>
      </c>
      <c r="E48" s="18" t="str">
        <f t="array" ref="E48">IF(C48="","",IF(_xlfn.XLOOKUP(A48&amp;B48&amp;C48,盘货信息!$A:$A&amp;盘货信息!$B:$B&amp;盘货信息!$C:$C,盘货信息!$N:$N)="","【立减到手价"&amp;_xlfn.XLOOKUP(A48&amp;B48&amp;C48,盘货信息!$A:$A&amp;盘货信息!$B:$B&amp;盘货信息!$C:$C,盘货信息!$F:$F)&amp;"元】","【焕新补贴预估价"&amp;_xlfn.XLOOKUP(A48&amp;B48&amp;C48,盘货信息!$A:$A&amp;盘货信息!$B:$B&amp;盘货信息!$C:$C,盘货信息!$N:$N)&amp;"元】"))</f>
        <v/>
      </c>
      <c r="F48" s="18" t="str">
        <f t="array" ref="F48">IF(C48="","",_xlfn.XLOOKUP(A48&amp;B48&amp;C48,盘货信息!$A:$A&amp;盘货信息!$B:$B&amp;盘货信息!$C:$C,盘货信息!$E:$E)&amp;"元到手价")</f>
        <v/>
      </c>
      <c r="G48" s="18" t="str">
        <f t="array" ref="G48">IF(C48="","",IF(_xlfn.XLOOKUP(A48&amp;B48&amp;C48,盘货信息!$A:$A&amp;盘货信息!$B:$B&amp;盘货信息!$C:$C,盘货信息!$I:$I)="","","88VIP95折"))</f>
        <v/>
      </c>
      <c r="H48" s="18" t="str">
        <f t="array" ref="H48">IF(C48="","",IF(_xlfn.XLOOKUP(A48&amp;B48&amp;C48,盘货信息!$A:$A&amp;盘货信息!$B:$B&amp;盘货信息!$C:$C,盘货信息!$J:$J)="","",_xlfn.XLOOKUP(A48&amp;B48&amp;C48,盘货信息!$A:$A&amp;盘货信息!$B:$B&amp;盘货信息!$C:$C,盘货信息!$J:$J)&amp;"元优惠卷"))</f>
        <v/>
      </c>
      <c r="I48" s="18" t="str">
        <f t="array" ref="I48">IF(C48="","",IF(_xlfn.XLOOKUP(A48&amp;B48&amp;C48,盘货信息!$A:$A&amp;盘货信息!$B:$B&amp;盘货信息!$C:$C,盘货信息!$R:$R)="","",_xlfn.XLOOKUP(A48&amp;B48&amp;C48,盘货信息!$A:$A&amp;盘货信息!$B:$B&amp;盘货信息!$C:$C,盘货信息!$R:$R)&amp;"元优惠卷"))</f>
        <v/>
      </c>
      <c r="J48" s="18" t="str">
        <f t="array" ref="J48">IF(C48="","",IF(_xlfn.XLOOKUP(A48&amp;B48&amp;C48,盘货信息!$A:$A&amp;盘货信息!$B:$B&amp;盘货信息!$C:$C,盘货信息!$K:$K)="","",IF(OR(_xlfn.XLOOKUP(A48&amp;B48&amp;C48,盘货信息!$A:$A&amp;盘货信息!$B:$B&amp;盘货信息!$C:$C,盘货信息!$G:$G)="参加",_xlfn.XLOOKUP(A48&amp;B48&amp;C48,盘货信息!$A:$A&amp;盘货信息!$B:$B&amp;盘货信息!$C:$C,盘货信息!$H:$H)="1（纯自补）"),_xlfn.XLOOKUP(A48&amp;B48&amp;C48,盘货信息!$A:$A&amp;盘货信息!$B:$B&amp;盘货信息!$C:$C,盘货信息!$K:$K)&amp;"元以旧换新（可无旧机换新）","")))</f>
        <v/>
      </c>
      <c r="K48" s="18" t="str">
        <f t="array" ref="K48">IF(C48="","",IF(_xlfn.XLOOKUP(A48&amp;B48&amp;C48,盘货信息!$A:$A&amp;盘货信息!$B:$B&amp;盘货信息!$C:$C,盘货信息!$L:$L)="","",_xlfn.XLOOKUP(A48&amp;B48&amp;C48,盘货信息!$A:$A&amp;盘货信息!$B:$B&amp;盘货信息!$C:$C,盘货信息!$L:$L)&amp;"元限时补贴"))</f>
        <v/>
      </c>
      <c r="L48" s="18" t="str">
        <f t="array" ref="L48">IF(C48="","",IF(_xlfn.XLOOKUP(A48&amp;B48&amp;C48,盘货信息!$A:$A&amp;盘货信息!$B:$B&amp;盘货信息!$C:$C,盘货信息!$M:$M)="","",_xlfn.XLOOKUP(A48&amp;B48&amp;C48,盘货信息!$A:$A&amp;盘货信息!$B:$B&amp;盘货信息!$C:$C,盘货信息!$M:$M)&amp;"元消费券"))</f>
        <v/>
      </c>
      <c r="M48" s="18" t="str">
        <f t="array" ref="M48">IF(C48="","",IF(_xlfn.XLOOKUP(A48&amp;B48&amp;C48,盘货信息!$A:$A&amp;盘货信息!$B:$B&amp;盘货信息!$C:$C,盘货信息!$G:$G)="不参加","","焕新补贴优惠【全民可用，不限地址】"))</f>
        <v/>
      </c>
    </row>
    <row r="49" customHeight="1" spans="1:13">
      <c r="A49" s="17" t="str">
        <f>IF(盘货信息!A49="","",盘货信息!A49)</f>
        <v/>
      </c>
      <c r="B49" s="17" t="str">
        <f>IF(盘货信息!B49="","",盘货信息!B49)</f>
        <v/>
      </c>
      <c r="C49" s="18" t="str">
        <f>IF(盘货信息!C49="","",盘货信息!C49)</f>
        <v/>
      </c>
      <c r="D49" s="18" t="str">
        <f t="shared" si="0"/>
        <v/>
      </c>
      <c r="E49" s="18" t="str">
        <f t="array" ref="E49">IF(C49="","",IF(_xlfn.XLOOKUP(A49&amp;B49&amp;C49,盘货信息!$A:$A&amp;盘货信息!$B:$B&amp;盘货信息!$C:$C,盘货信息!$N:$N)="","【立减到手价"&amp;_xlfn.XLOOKUP(A49&amp;B49&amp;C49,盘货信息!$A:$A&amp;盘货信息!$B:$B&amp;盘货信息!$C:$C,盘货信息!$F:$F)&amp;"元】","【焕新补贴预估价"&amp;_xlfn.XLOOKUP(A49&amp;B49&amp;C49,盘货信息!$A:$A&amp;盘货信息!$B:$B&amp;盘货信息!$C:$C,盘货信息!$N:$N)&amp;"元】"))</f>
        <v/>
      </c>
      <c r="F49" s="18" t="str">
        <f t="array" ref="F49">IF(C49="","",_xlfn.XLOOKUP(A49&amp;B49&amp;C49,盘货信息!$A:$A&amp;盘货信息!$B:$B&amp;盘货信息!$C:$C,盘货信息!$E:$E)&amp;"元到手价")</f>
        <v/>
      </c>
      <c r="G49" s="18" t="str">
        <f t="array" ref="G49">IF(C49="","",IF(_xlfn.XLOOKUP(A49&amp;B49&amp;C49,盘货信息!$A:$A&amp;盘货信息!$B:$B&amp;盘货信息!$C:$C,盘货信息!$I:$I)="","","88VIP95折"))</f>
        <v/>
      </c>
      <c r="H49" s="18" t="str">
        <f t="array" ref="H49">IF(C49="","",IF(_xlfn.XLOOKUP(A49&amp;B49&amp;C49,盘货信息!$A:$A&amp;盘货信息!$B:$B&amp;盘货信息!$C:$C,盘货信息!$J:$J)="","",_xlfn.XLOOKUP(A49&amp;B49&amp;C49,盘货信息!$A:$A&amp;盘货信息!$B:$B&amp;盘货信息!$C:$C,盘货信息!$J:$J)&amp;"元优惠卷"))</f>
        <v/>
      </c>
      <c r="I49" s="18" t="str">
        <f t="array" ref="I49">IF(C49="","",IF(_xlfn.XLOOKUP(A49&amp;B49&amp;C49,盘货信息!$A:$A&amp;盘货信息!$B:$B&amp;盘货信息!$C:$C,盘货信息!$R:$R)="","",_xlfn.XLOOKUP(A49&amp;B49&amp;C49,盘货信息!$A:$A&amp;盘货信息!$B:$B&amp;盘货信息!$C:$C,盘货信息!$R:$R)&amp;"元优惠卷"))</f>
        <v/>
      </c>
      <c r="J49" s="18" t="str">
        <f t="array" ref="J49">IF(C49="","",IF(_xlfn.XLOOKUP(A49&amp;B49&amp;C49,盘货信息!$A:$A&amp;盘货信息!$B:$B&amp;盘货信息!$C:$C,盘货信息!$K:$K)="","",IF(OR(_xlfn.XLOOKUP(A49&amp;B49&amp;C49,盘货信息!$A:$A&amp;盘货信息!$B:$B&amp;盘货信息!$C:$C,盘货信息!$G:$G)="参加",_xlfn.XLOOKUP(A49&amp;B49&amp;C49,盘货信息!$A:$A&amp;盘货信息!$B:$B&amp;盘货信息!$C:$C,盘货信息!$H:$H)="1（纯自补）"),_xlfn.XLOOKUP(A49&amp;B49&amp;C49,盘货信息!$A:$A&amp;盘货信息!$B:$B&amp;盘货信息!$C:$C,盘货信息!$K:$K)&amp;"元以旧换新（可无旧机换新）","")))</f>
        <v/>
      </c>
      <c r="K49" s="18" t="str">
        <f t="array" ref="K49">IF(C49="","",IF(_xlfn.XLOOKUP(A49&amp;B49&amp;C49,盘货信息!$A:$A&amp;盘货信息!$B:$B&amp;盘货信息!$C:$C,盘货信息!$L:$L)="","",_xlfn.XLOOKUP(A49&amp;B49&amp;C49,盘货信息!$A:$A&amp;盘货信息!$B:$B&amp;盘货信息!$C:$C,盘货信息!$L:$L)&amp;"元限时补贴"))</f>
        <v/>
      </c>
      <c r="L49" s="18" t="str">
        <f t="array" ref="L49">IF(C49="","",IF(_xlfn.XLOOKUP(A49&amp;B49&amp;C49,盘货信息!$A:$A&amp;盘货信息!$B:$B&amp;盘货信息!$C:$C,盘货信息!$M:$M)="","",_xlfn.XLOOKUP(A49&amp;B49&amp;C49,盘货信息!$A:$A&amp;盘货信息!$B:$B&amp;盘货信息!$C:$C,盘货信息!$M:$M)&amp;"元消费券"))</f>
        <v/>
      </c>
      <c r="M49" s="18" t="str">
        <f t="array" ref="M49">IF(C49="","",IF(_xlfn.XLOOKUP(A49&amp;B49&amp;C49,盘货信息!$A:$A&amp;盘货信息!$B:$B&amp;盘货信息!$C:$C,盘货信息!$G:$G)="不参加","","焕新补贴优惠【全民可用，不限地址】"))</f>
        <v/>
      </c>
    </row>
    <row r="50" customHeight="1" spans="1:13">
      <c r="A50" s="17" t="str">
        <f>IF(盘货信息!A50="","",盘货信息!A50)</f>
        <v/>
      </c>
      <c r="B50" s="17" t="str">
        <f>IF(盘货信息!B50="","",盘货信息!B50)</f>
        <v/>
      </c>
      <c r="C50" s="18" t="str">
        <f>IF(盘货信息!C50="","",盘货信息!C50)</f>
        <v/>
      </c>
      <c r="D50" s="18" t="str">
        <f t="shared" si="0"/>
        <v/>
      </c>
      <c r="E50" s="18" t="str">
        <f t="array" ref="E50">IF(C50="","",IF(_xlfn.XLOOKUP(A50&amp;B50&amp;C50,盘货信息!$A:$A&amp;盘货信息!$B:$B&amp;盘货信息!$C:$C,盘货信息!$N:$N)="","【立减到手价"&amp;_xlfn.XLOOKUP(A50&amp;B50&amp;C50,盘货信息!$A:$A&amp;盘货信息!$B:$B&amp;盘货信息!$C:$C,盘货信息!$F:$F)&amp;"元】","【焕新补贴预估价"&amp;_xlfn.XLOOKUP(A50&amp;B50&amp;C50,盘货信息!$A:$A&amp;盘货信息!$B:$B&amp;盘货信息!$C:$C,盘货信息!$N:$N)&amp;"元】"))</f>
        <v/>
      </c>
      <c r="F50" s="18" t="str">
        <f t="array" ref="F50">IF(C50="","",_xlfn.XLOOKUP(A50&amp;B50&amp;C50,盘货信息!$A:$A&amp;盘货信息!$B:$B&amp;盘货信息!$C:$C,盘货信息!$E:$E)&amp;"元到手价")</f>
        <v/>
      </c>
      <c r="G50" s="18" t="str">
        <f t="array" ref="G50">IF(C50="","",IF(_xlfn.XLOOKUP(A50&amp;B50&amp;C50,盘货信息!$A:$A&amp;盘货信息!$B:$B&amp;盘货信息!$C:$C,盘货信息!$I:$I)="","","88VIP95折"))</f>
        <v/>
      </c>
      <c r="H50" s="18" t="str">
        <f t="array" ref="H50">IF(C50="","",IF(_xlfn.XLOOKUP(A50&amp;B50&amp;C50,盘货信息!$A:$A&amp;盘货信息!$B:$B&amp;盘货信息!$C:$C,盘货信息!$J:$J)="","",_xlfn.XLOOKUP(A50&amp;B50&amp;C50,盘货信息!$A:$A&amp;盘货信息!$B:$B&amp;盘货信息!$C:$C,盘货信息!$J:$J)&amp;"元优惠卷"))</f>
        <v/>
      </c>
      <c r="I50" s="18" t="str">
        <f t="array" ref="I50">IF(C50="","",IF(_xlfn.XLOOKUP(A50&amp;B50&amp;C50,盘货信息!$A:$A&amp;盘货信息!$B:$B&amp;盘货信息!$C:$C,盘货信息!$R:$R)="","",_xlfn.XLOOKUP(A50&amp;B50&amp;C50,盘货信息!$A:$A&amp;盘货信息!$B:$B&amp;盘货信息!$C:$C,盘货信息!$R:$R)&amp;"元优惠卷"))</f>
        <v/>
      </c>
      <c r="J50" s="18" t="str">
        <f t="array" ref="J50">IF(C50="","",IF(_xlfn.XLOOKUP(A50&amp;B50&amp;C50,盘货信息!$A:$A&amp;盘货信息!$B:$B&amp;盘货信息!$C:$C,盘货信息!$K:$K)="","",IF(OR(_xlfn.XLOOKUP(A50&amp;B50&amp;C50,盘货信息!$A:$A&amp;盘货信息!$B:$B&amp;盘货信息!$C:$C,盘货信息!$G:$G)="参加",_xlfn.XLOOKUP(A50&amp;B50&amp;C50,盘货信息!$A:$A&amp;盘货信息!$B:$B&amp;盘货信息!$C:$C,盘货信息!$H:$H)="1（纯自补）"),_xlfn.XLOOKUP(A50&amp;B50&amp;C50,盘货信息!$A:$A&amp;盘货信息!$B:$B&amp;盘货信息!$C:$C,盘货信息!$K:$K)&amp;"元以旧换新（可无旧机换新）","")))</f>
        <v/>
      </c>
      <c r="K50" s="18" t="str">
        <f t="array" ref="K50">IF(C50="","",IF(_xlfn.XLOOKUP(A50&amp;B50&amp;C50,盘货信息!$A:$A&amp;盘货信息!$B:$B&amp;盘货信息!$C:$C,盘货信息!$L:$L)="","",_xlfn.XLOOKUP(A50&amp;B50&amp;C50,盘货信息!$A:$A&amp;盘货信息!$B:$B&amp;盘货信息!$C:$C,盘货信息!$L:$L)&amp;"元限时补贴"))</f>
        <v/>
      </c>
      <c r="L50" s="18" t="str">
        <f t="array" ref="L50">IF(C50="","",IF(_xlfn.XLOOKUP(A50&amp;B50&amp;C50,盘货信息!$A:$A&amp;盘货信息!$B:$B&amp;盘货信息!$C:$C,盘货信息!$M:$M)="","",_xlfn.XLOOKUP(A50&amp;B50&amp;C50,盘货信息!$A:$A&amp;盘货信息!$B:$B&amp;盘货信息!$C:$C,盘货信息!$M:$M)&amp;"元消费券"))</f>
        <v/>
      </c>
      <c r="M50" s="18" t="str">
        <f t="array" ref="M50">IF(C50="","",IF(_xlfn.XLOOKUP(A50&amp;B50&amp;C50,盘货信息!$A:$A&amp;盘货信息!$B:$B&amp;盘货信息!$C:$C,盘货信息!$G:$G)="不参加","","焕新补贴优惠【全民可用，不限地址】"))</f>
        <v/>
      </c>
    </row>
    <row r="51" customHeight="1" spans="1:13">
      <c r="A51" s="17" t="str">
        <f>IF(盘货信息!A51="","",盘货信息!A51)</f>
        <v/>
      </c>
      <c r="B51" s="17" t="str">
        <f>IF(盘货信息!B51="","",盘货信息!B51)</f>
        <v/>
      </c>
      <c r="C51" s="18" t="str">
        <f>IF(盘货信息!C51="","",盘货信息!C51)</f>
        <v/>
      </c>
      <c r="D51" s="18" t="str">
        <f t="shared" si="0"/>
        <v/>
      </c>
      <c r="E51" s="18" t="str">
        <f t="array" ref="E51">IF(C51="","",IF(_xlfn.XLOOKUP(A51&amp;B51&amp;C51,盘货信息!$A:$A&amp;盘货信息!$B:$B&amp;盘货信息!$C:$C,盘货信息!$N:$N)="","【立减到手价"&amp;_xlfn.XLOOKUP(A51&amp;B51&amp;C51,盘货信息!$A:$A&amp;盘货信息!$B:$B&amp;盘货信息!$C:$C,盘货信息!$F:$F)&amp;"元】","【焕新补贴预估价"&amp;_xlfn.XLOOKUP(A51&amp;B51&amp;C51,盘货信息!$A:$A&amp;盘货信息!$B:$B&amp;盘货信息!$C:$C,盘货信息!$N:$N)&amp;"元】"))</f>
        <v/>
      </c>
      <c r="F51" s="18" t="str">
        <f t="array" ref="F51">IF(C51="","",_xlfn.XLOOKUP(A51&amp;B51&amp;C51,盘货信息!$A:$A&amp;盘货信息!$B:$B&amp;盘货信息!$C:$C,盘货信息!$E:$E)&amp;"元到手价")</f>
        <v/>
      </c>
      <c r="G51" s="18" t="str">
        <f t="array" ref="G51">IF(C51="","",IF(_xlfn.XLOOKUP(A51&amp;B51&amp;C51,盘货信息!$A:$A&amp;盘货信息!$B:$B&amp;盘货信息!$C:$C,盘货信息!$I:$I)="","","88VIP95折"))</f>
        <v/>
      </c>
      <c r="H51" s="18" t="str">
        <f t="array" ref="H51">IF(C51="","",IF(_xlfn.XLOOKUP(A51&amp;B51&amp;C51,盘货信息!$A:$A&amp;盘货信息!$B:$B&amp;盘货信息!$C:$C,盘货信息!$J:$J)="","",_xlfn.XLOOKUP(A51&amp;B51&amp;C51,盘货信息!$A:$A&amp;盘货信息!$B:$B&amp;盘货信息!$C:$C,盘货信息!$J:$J)&amp;"元优惠卷"))</f>
        <v/>
      </c>
      <c r="I51" s="18" t="str">
        <f t="array" ref="I51">IF(C51="","",IF(_xlfn.XLOOKUP(A51&amp;B51&amp;C51,盘货信息!$A:$A&amp;盘货信息!$B:$B&amp;盘货信息!$C:$C,盘货信息!$R:$R)="","",_xlfn.XLOOKUP(A51&amp;B51&amp;C51,盘货信息!$A:$A&amp;盘货信息!$B:$B&amp;盘货信息!$C:$C,盘货信息!$R:$R)&amp;"元优惠卷"))</f>
        <v/>
      </c>
      <c r="J51" s="18" t="str">
        <f t="array" ref="J51">IF(C51="","",IF(_xlfn.XLOOKUP(A51&amp;B51&amp;C51,盘货信息!$A:$A&amp;盘货信息!$B:$B&amp;盘货信息!$C:$C,盘货信息!$K:$K)="","",IF(OR(_xlfn.XLOOKUP(A51&amp;B51&amp;C51,盘货信息!$A:$A&amp;盘货信息!$B:$B&amp;盘货信息!$C:$C,盘货信息!$G:$G)="参加",_xlfn.XLOOKUP(A51&amp;B51&amp;C51,盘货信息!$A:$A&amp;盘货信息!$B:$B&amp;盘货信息!$C:$C,盘货信息!$H:$H)="1（纯自补）"),_xlfn.XLOOKUP(A51&amp;B51&amp;C51,盘货信息!$A:$A&amp;盘货信息!$B:$B&amp;盘货信息!$C:$C,盘货信息!$K:$K)&amp;"元以旧换新（可无旧机换新）","")))</f>
        <v/>
      </c>
      <c r="K51" s="18" t="str">
        <f t="array" ref="K51">IF(C51="","",IF(_xlfn.XLOOKUP(A51&amp;B51&amp;C51,盘货信息!$A:$A&amp;盘货信息!$B:$B&amp;盘货信息!$C:$C,盘货信息!$L:$L)="","",_xlfn.XLOOKUP(A51&amp;B51&amp;C51,盘货信息!$A:$A&amp;盘货信息!$B:$B&amp;盘货信息!$C:$C,盘货信息!$L:$L)&amp;"元限时补贴"))</f>
        <v/>
      </c>
      <c r="L51" s="18" t="str">
        <f t="array" ref="L51">IF(C51="","",IF(_xlfn.XLOOKUP(A51&amp;B51&amp;C51,盘货信息!$A:$A&amp;盘货信息!$B:$B&amp;盘货信息!$C:$C,盘货信息!$M:$M)="","",_xlfn.XLOOKUP(A51&amp;B51&amp;C51,盘货信息!$A:$A&amp;盘货信息!$B:$B&amp;盘货信息!$C:$C,盘货信息!$M:$M)&amp;"元消费券"))</f>
        <v/>
      </c>
      <c r="M51" s="18" t="str">
        <f t="array" ref="M51">IF(C51="","",IF(_xlfn.XLOOKUP(A51&amp;B51&amp;C51,盘货信息!$A:$A&amp;盘货信息!$B:$B&amp;盘货信息!$C:$C,盘货信息!$G:$G)="不参加","","焕新补贴优惠【全民可用，不限地址】"))</f>
        <v/>
      </c>
    </row>
    <row r="52" customHeight="1" spans="1:13">
      <c r="A52" s="17" t="str">
        <f>IF(盘货信息!A52="","",盘货信息!A52)</f>
        <v/>
      </c>
      <c r="B52" s="17" t="str">
        <f>IF(盘货信息!B52="","",盘货信息!B52)</f>
        <v/>
      </c>
      <c r="C52" s="18" t="str">
        <f>IF(盘货信息!C52="","",盘货信息!C52)</f>
        <v/>
      </c>
      <c r="D52" s="18" t="str">
        <f t="shared" si="0"/>
        <v/>
      </c>
      <c r="E52" s="18" t="str">
        <f t="array" ref="E52">IF(C52="","",IF(_xlfn.XLOOKUP(A52&amp;B52&amp;C52,盘货信息!$A:$A&amp;盘货信息!$B:$B&amp;盘货信息!$C:$C,盘货信息!$N:$N)="","【立减到手价"&amp;_xlfn.XLOOKUP(A52&amp;B52&amp;C52,盘货信息!$A:$A&amp;盘货信息!$B:$B&amp;盘货信息!$C:$C,盘货信息!$F:$F)&amp;"元】","【焕新补贴预估价"&amp;_xlfn.XLOOKUP(A52&amp;B52&amp;C52,盘货信息!$A:$A&amp;盘货信息!$B:$B&amp;盘货信息!$C:$C,盘货信息!$N:$N)&amp;"元】"))</f>
        <v/>
      </c>
      <c r="F52" s="18" t="str">
        <f t="array" ref="F52">IF(C52="","",_xlfn.XLOOKUP(A52&amp;B52&amp;C52,盘货信息!$A:$A&amp;盘货信息!$B:$B&amp;盘货信息!$C:$C,盘货信息!$E:$E)&amp;"元到手价")</f>
        <v/>
      </c>
      <c r="G52" s="18" t="str">
        <f t="array" ref="G52">IF(C52="","",IF(_xlfn.XLOOKUP(A52&amp;B52&amp;C52,盘货信息!$A:$A&amp;盘货信息!$B:$B&amp;盘货信息!$C:$C,盘货信息!$I:$I)="","","88VIP95折"))</f>
        <v/>
      </c>
      <c r="H52" s="18" t="str">
        <f t="array" ref="H52">IF(C52="","",IF(_xlfn.XLOOKUP(A52&amp;B52&amp;C52,盘货信息!$A:$A&amp;盘货信息!$B:$B&amp;盘货信息!$C:$C,盘货信息!$J:$J)="","",_xlfn.XLOOKUP(A52&amp;B52&amp;C52,盘货信息!$A:$A&amp;盘货信息!$B:$B&amp;盘货信息!$C:$C,盘货信息!$J:$J)&amp;"元优惠卷"))</f>
        <v/>
      </c>
      <c r="I52" s="18" t="str">
        <f t="array" ref="I52">IF(C52="","",IF(_xlfn.XLOOKUP(A52&amp;B52&amp;C52,盘货信息!$A:$A&amp;盘货信息!$B:$B&amp;盘货信息!$C:$C,盘货信息!$R:$R)="","",_xlfn.XLOOKUP(A52&amp;B52&amp;C52,盘货信息!$A:$A&amp;盘货信息!$B:$B&amp;盘货信息!$C:$C,盘货信息!$R:$R)&amp;"元优惠卷"))</f>
        <v/>
      </c>
      <c r="J52" s="18" t="str">
        <f t="array" ref="J52">IF(C52="","",IF(_xlfn.XLOOKUP(A52&amp;B52&amp;C52,盘货信息!$A:$A&amp;盘货信息!$B:$B&amp;盘货信息!$C:$C,盘货信息!$K:$K)="","",IF(OR(_xlfn.XLOOKUP(A52&amp;B52&amp;C52,盘货信息!$A:$A&amp;盘货信息!$B:$B&amp;盘货信息!$C:$C,盘货信息!$G:$G)="参加",_xlfn.XLOOKUP(A52&amp;B52&amp;C52,盘货信息!$A:$A&amp;盘货信息!$B:$B&amp;盘货信息!$C:$C,盘货信息!$H:$H)="1（纯自补）"),_xlfn.XLOOKUP(A52&amp;B52&amp;C52,盘货信息!$A:$A&amp;盘货信息!$B:$B&amp;盘货信息!$C:$C,盘货信息!$K:$K)&amp;"元以旧换新（可无旧机换新）","")))</f>
        <v/>
      </c>
      <c r="K52" s="18" t="str">
        <f t="array" ref="K52">IF(C52="","",IF(_xlfn.XLOOKUP(A52&amp;B52&amp;C52,盘货信息!$A:$A&amp;盘货信息!$B:$B&amp;盘货信息!$C:$C,盘货信息!$L:$L)="","",_xlfn.XLOOKUP(A52&amp;B52&amp;C52,盘货信息!$A:$A&amp;盘货信息!$B:$B&amp;盘货信息!$C:$C,盘货信息!$L:$L)&amp;"元限时补贴"))</f>
        <v/>
      </c>
      <c r="L52" s="18" t="str">
        <f t="array" ref="L52">IF(C52="","",IF(_xlfn.XLOOKUP(A52&amp;B52&amp;C52,盘货信息!$A:$A&amp;盘货信息!$B:$B&amp;盘货信息!$C:$C,盘货信息!$M:$M)="","",_xlfn.XLOOKUP(A52&amp;B52&amp;C52,盘货信息!$A:$A&amp;盘货信息!$B:$B&amp;盘货信息!$C:$C,盘货信息!$M:$M)&amp;"元消费券"))</f>
        <v/>
      </c>
      <c r="M52" s="18" t="str">
        <f t="array" ref="M52">IF(C52="","",IF(_xlfn.XLOOKUP(A52&amp;B52&amp;C52,盘货信息!$A:$A&amp;盘货信息!$B:$B&amp;盘货信息!$C:$C,盘货信息!$G:$G)="不参加","","焕新补贴优惠【全民可用，不限地址】"))</f>
        <v/>
      </c>
    </row>
    <row r="53" customHeight="1" spans="1:13">
      <c r="A53" s="17" t="str">
        <f>IF(盘货信息!A53="","",盘货信息!A53)</f>
        <v/>
      </c>
      <c r="B53" s="17" t="str">
        <f>IF(盘货信息!B53="","",盘货信息!B53)</f>
        <v/>
      </c>
      <c r="C53" s="18" t="str">
        <f>IF(盘货信息!C53="","",盘货信息!C53)</f>
        <v/>
      </c>
      <c r="D53" s="18" t="str">
        <f t="shared" si="0"/>
        <v/>
      </c>
      <c r="E53" s="18" t="str">
        <f t="array" ref="E53">IF(C53="","",IF(_xlfn.XLOOKUP(A53&amp;B53&amp;C53,盘货信息!$A:$A&amp;盘货信息!$B:$B&amp;盘货信息!$C:$C,盘货信息!$N:$N)="","【立减到手价"&amp;_xlfn.XLOOKUP(A53&amp;B53&amp;C53,盘货信息!$A:$A&amp;盘货信息!$B:$B&amp;盘货信息!$C:$C,盘货信息!$F:$F)&amp;"元】","【焕新补贴预估价"&amp;_xlfn.XLOOKUP(A53&amp;B53&amp;C53,盘货信息!$A:$A&amp;盘货信息!$B:$B&amp;盘货信息!$C:$C,盘货信息!$N:$N)&amp;"元】"))</f>
        <v/>
      </c>
      <c r="F53" s="18" t="str">
        <f t="array" ref="F53">IF(C53="","",_xlfn.XLOOKUP(A53&amp;B53&amp;C53,盘货信息!$A:$A&amp;盘货信息!$B:$B&amp;盘货信息!$C:$C,盘货信息!$E:$E)&amp;"元到手价")</f>
        <v/>
      </c>
      <c r="G53" s="18" t="str">
        <f t="array" ref="G53">IF(C53="","",IF(_xlfn.XLOOKUP(A53&amp;B53&amp;C53,盘货信息!$A:$A&amp;盘货信息!$B:$B&amp;盘货信息!$C:$C,盘货信息!$I:$I)="","","88VIP95折"))</f>
        <v/>
      </c>
      <c r="H53" s="18" t="str">
        <f t="array" ref="H53">IF(C53="","",IF(_xlfn.XLOOKUP(A53&amp;B53&amp;C53,盘货信息!$A:$A&amp;盘货信息!$B:$B&amp;盘货信息!$C:$C,盘货信息!$J:$J)="","",_xlfn.XLOOKUP(A53&amp;B53&amp;C53,盘货信息!$A:$A&amp;盘货信息!$B:$B&amp;盘货信息!$C:$C,盘货信息!$J:$J)&amp;"元优惠卷"))</f>
        <v/>
      </c>
      <c r="I53" s="18" t="str">
        <f t="array" ref="I53">IF(C53="","",IF(_xlfn.XLOOKUP(A53&amp;B53&amp;C53,盘货信息!$A:$A&amp;盘货信息!$B:$B&amp;盘货信息!$C:$C,盘货信息!$R:$R)="","",_xlfn.XLOOKUP(A53&amp;B53&amp;C53,盘货信息!$A:$A&amp;盘货信息!$B:$B&amp;盘货信息!$C:$C,盘货信息!$R:$R)&amp;"元优惠卷"))</f>
        <v/>
      </c>
      <c r="J53" s="18" t="str">
        <f t="array" ref="J53">IF(C53="","",IF(_xlfn.XLOOKUP(A53&amp;B53&amp;C53,盘货信息!$A:$A&amp;盘货信息!$B:$B&amp;盘货信息!$C:$C,盘货信息!$K:$K)="","",IF(OR(_xlfn.XLOOKUP(A53&amp;B53&amp;C53,盘货信息!$A:$A&amp;盘货信息!$B:$B&amp;盘货信息!$C:$C,盘货信息!$G:$G)="参加",_xlfn.XLOOKUP(A53&amp;B53&amp;C53,盘货信息!$A:$A&amp;盘货信息!$B:$B&amp;盘货信息!$C:$C,盘货信息!$H:$H)="1（纯自补）"),_xlfn.XLOOKUP(A53&amp;B53&amp;C53,盘货信息!$A:$A&amp;盘货信息!$B:$B&amp;盘货信息!$C:$C,盘货信息!$K:$K)&amp;"元以旧换新（可无旧机换新）","")))</f>
        <v/>
      </c>
      <c r="K53" s="18" t="str">
        <f t="array" ref="K53">IF(C53="","",IF(_xlfn.XLOOKUP(A53&amp;B53&amp;C53,盘货信息!$A:$A&amp;盘货信息!$B:$B&amp;盘货信息!$C:$C,盘货信息!$L:$L)="","",_xlfn.XLOOKUP(A53&amp;B53&amp;C53,盘货信息!$A:$A&amp;盘货信息!$B:$B&amp;盘货信息!$C:$C,盘货信息!$L:$L)&amp;"元限时补贴"))</f>
        <v/>
      </c>
      <c r="L53" s="18" t="str">
        <f t="array" ref="L53">IF(C53="","",IF(_xlfn.XLOOKUP(A53&amp;B53&amp;C53,盘货信息!$A:$A&amp;盘货信息!$B:$B&amp;盘货信息!$C:$C,盘货信息!$M:$M)="","",_xlfn.XLOOKUP(A53&amp;B53&amp;C53,盘货信息!$A:$A&amp;盘货信息!$B:$B&amp;盘货信息!$C:$C,盘货信息!$M:$M)&amp;"元消费券"))</f>
        <v/>
      </c>
      <c r="M53" s="18" t="str">
        <f t="array" ref="M53">IF(C53="","",IF(_xlfn.XLOOKUP(A53&amp;B53&amp;C53,盘货信息!$A:$A&amp;盘货信息!$B:$B&amp;盘货信息!$C:$C,盘货信息!$G:$G)="不参加","","焕新补贴优惠【全民可用，不限地址】"))</f>
        <v/>
      </c>
    </row>
    <row r="54" customHeight="1" spans="1:13">
      <c r="A54" s="17" t="str">
        <f>IF(盘货信息!A54="","",盘货信息!A54)</f>
        <v/>
      </c>
      <c r="B54" s="17" t="str">
        <f>IF(盘货信息!B54="","",盘货信息!B54)</f>
        <v/>
      </c>
      <c r="C54" s="18" t="str">
        <f>IF(盘货信息!C54="","",盘货信息!C54)</f>
        <v/>
      </c>
      <c r="D54" s="18" t="str">
        <f t="shared" si="0"/>
        <v/>
      </c>
      <c r="E54" s="18" t="str">
        <f t="array" ref="E54">IF(C54="","",IF(_xlfn.XLOOKUP(A54&amp;B54&amp;C54,盘货信息!$A:$A&amp;盘货信息!$B:$B&amp;盘货信息!$C:$C,盘货信息!$N:$N)="","【立减到手价"&amp;_xlfn.XLOOKUP(A54&amp;B54&amp;C54,盘货信息!$A:$A&amp;盘货信息!$B:$B&amp;盘货信息!$C:$C,盘货信息!$F:$F)&amp;"元】","【焕新补贴预估价"&amp;_xlfn.XLOOKUP(A54&amp;B54&amp;C54,盘货信息!$A:$A&amp;盘货信息!$B:$B&amp;盘货信息!$C:$C,盘货信息!$N:$N)&amp;"元】"))</f>
        <v/>
      </c>
      <c r="F54" s="18" t="str">
        <f t="array" ref="F54">IF(C54="","",_xlfn.XLOOKUP(A54&amp;B54&amp;C54,盘货信息!$A:$A&amp;盘货信息!$B:$B&amp;盘货信息!$C:$C,盘货信息!$E:$E)&amp;"元到手价")</f>
        <v/>
      </c>
      <c r="G54" s="18" t="str">
        <f t="array" ref="G54">IF(C54="","",IF(_xlfn.XLOOKUP(A54&amp;B54&amp;C54,盘货信息!$A:$A&amp;盘货信息!$B:$B&amp;盘货信息!$C:$C,盘货信息!$I:$I)="","","88VIP95折"))</f>
        <v/>
      </c>
      <c r="H54" s="18" t="str">
        <f t="array" ref="H54">IF(C54="","",IF(_xlfn.XLOOKUP(A54&amp;B54&amp;C54,盘货信息!$A:$A&amp;盘货信息!$B:$B&amp;盘货信息!$C:$C,盘货信息!$J:$J)="","",_xlfn.XLOOKUP(A54&amp;B54&amp;C54,盘货信息!$A:$A&amp;盘货信息!$B:$B&amp;盘货信息!$C:$C,盘货信息!$J:$J)&amp;"元优惠卷"))</f>
        <v/>
      </c>
      <c r="I54" s="18" t="str">
        <f t="array" ref="I54">IF(C54="","",IF(_xlfn.XLOOKUP(A54&amp;B54&amp;C54,盘货信息!$A:$A&amp;盘货信息!$B:$B&amp;盘货信息!$C:$C,盘货信息!$R:$R)="","",_xlfn.XLOOKUP(A54&amp;B54&amp;C54,盘货信息!$A:$A&amp;盘货信息!$B:$B&amp;盘货信息!$C:$C,盘货信息!$R:$R)&amp;"元优惠卷"))</f>
        <v/>
      </c>
      <c r="J54" s="18" t="str">
        <f t="array" ref="J54">IF(C54="","",IF(_xlfn.XLOOKUP(A54&amp;B54&amp;C54,盘货信息!$A:$A&amp;盘货信息!$B:$B&amp;盘货信息!$C:$C,盘货信息!$K:$K)="","",IF(OR(_xlfn.XLOOKUP(A54&amp;B54&amp;C54,盘货信息!$A:$A&amp;盘货信息!$B:$B&amp;盘货信息!$C:$C,盘货信息!$G:$G)="参加",_xlfn.XLOOKUP(A54&amp;B54&amp;C54,盘货信息!$A:$A&amp;盘货信息!$B:$B&amp;盘货信息!$C:$C,盘货信息!$H:$H)="1（纯自补）"),_xlfn.XLOOKUP(A54&amp;B54&amp;C54,盘货信息!$A:$A&amp;盘货信息!$B:$B&amp;盘货信息!$C:$C,盘货信息!$K:$K)&amp;"元以旧换新（可无旧机换新）","")))</f>
        <v/>
      </c>
      <c r="K54" s="18" t="str">
        <f t="array" ref="K54">IF(C54="","",IF(_xlfn.XLOOKUP(A54&amp;B54&amp;C54,盘货信息!$A:$A&amp;盘货信息!$B:$B&amp;盘货信息!$C:$C,盘货信息!$L:$L)="","",_xlfn.XLOOKUP(A54&amp;B54&amp;C54,盘货信息!$A:$A&amp;盘货信息!$B:$B&amp;盘货信息!$C:$C,盘货信息!$L:$L)&amp;"元限时补贴"))</f>
        <v/>
      </c>
      <c r="L54" s="18" t="str">
        <f t="array" ref="L54">IF(C54="","",IF(_xlfn.XLOOKUP(A54&amp;B54&amp;C54,盘货信息!$A:$A&amp;盘货信息!$B:$B&amp;盘货信息!$C:$C,盘货信息!$M:$M)="","",_xlfn.XLOOKUP(A54&amp;B54&amp;C54,盘货信息!$A:$A&amp;盘货信息!$B:$B&amp;盘货信息!$C:$C,盘货信息!$M:$M)&amp;"元消费券"))</f>
        <v/>
      </c>
      <c r="M54" s="18" t="str">
        <f t="array" ref="M54">IF(C54="","",IF(_xlfn.XLOOKUP(A54&amp;B54&amp;C54,盘货信息!$A:$A&amp;盘货信息!$B:$B&amp;盘货信息!$C:$C,盘货信息!$G:$G)="不参加","","焕新补贴优惠【全民可用，不限地址】"))</f>
        <v/>
      </c>
    </row>
    <row r="55" customHeight="1" spans="1:13">
      <c r="A55" s="17" t="str">
        <f>IF(盘货信息!A55="","",盘货信息!A55)</f>
        <v/>
      </c>
      <c r="B55" s="17" t="str">
        <f>IF(盘货信息!B55="","",盘货信息!B55)</f>
        <v/>
      </c>
      <c r="C55" s="18" t="str">
        <f>IF(盘货信息!C55="","",盘货信息!C55)</f>
        <v/>
      </c>
      <c r="D55" s="18" t="str">
        <f t="shared" si="0"/>
        <v/>
      </c>
      <c r="E55" s="18" t="str">
        <f t="array" ref="E55">IF(C55="","",IF(_xlfn.XLOOKUP(A55&amp;B55&amp;C55,盘货信息!$A:$A&amp;盘货信息!$B:$B&amp;盘货信息!$C:$C,盘货信息!$N:$N)="","【立减到手价"&amp;_xlfn.XLOOKUP(A55&amp;B55&amp;C55,盘货信息!$A:$A&amp;盘货信息!$B:$B&amp;盘货信息!$C:$C,盘货信息!$F:$F)&amp;"元】","【焕新补贴预估价"&amp;_xlfn.XLOOKUP(A55&amp;B55&amp;C55,盘货信息!$A:$A&amp;盘货信息!$B:$B&amp;盘货信息!$C:$C,盘货信息!$N:$N)&amp;"元】"))</f>
        <v/>
      </c>
      <c r="F55" s="18" t="str">
        <f t="array" ref="F55">IF(C55="","",_xlfn.XLOOKUP(A55&amp;B55&amp;C55,盘货信息!$A:$A&amp;盘货信息!$B:$B&amp;盘货信息!$C:$C,盘货信息!$E:$E)&amp;"元到手价")</f>
        <v/>
      </c>
      <c r="G55" s="18" t="str">
        <f t="array" ref="G55">IF(C55="","",IF(_xlfn.XLOOKUP(A55&amp;B55&amp;C55,盘货信息!$A:$A&amp;盘货信息!$B:$B&amp;盘货信息!$C:$C,盘货信息!$I:$I)="","","88VIP95折"))</f>
        <v/>
      </c>
      <c r="H55" s="18" t="str">
        <f t="array" ref="H55">IF(C55="","",IF(_xlfn.XLOOKUP(A55&amp;B55&amp;C55,盘货信息!$A:$A&amp;盘货信息!$B:$B&amp;盘货信息!$C:$C,盘货信息!$J:$J)="","",_xlfn.XLOOKUP(A55&amp;B55&amp;C55,盘货信息!$A:$A&amp;盘货信息!$B:$B&amp;盘货信息!$C:$C,盘货信息!$J:$J)&amp;"元优惠卷"))</f>
        <v/>
      </c>
      <c r="I55" s="18" t="str">
        <f t="array" ref="I55">IF(C55="","",IF(_xlfn.XLOOKUP(A55&amp;B55&amp;C55,盘货信息!$A:$A&amp;盘货信息!$B:$B&amp;盘货信息!$C:$C,盘货信息!$R:$R)="","",_xlfn.XLOOKUP(A55&amp;B55&amp;C55,盘货信息!$A:$A&amp;盘货信息!$B:$B&amp;盘货信息!$C:$C,盘货信息!$R:$R)&amp;"元优惠卷"))</f>
        <v/>
      </c>
      <c r="J55" s="18" t="str">
        <f t="array" ref="J55">IF(C55="","",IF(_xlfn.XLOOKUP(A55&amp;B55&amp;C55,盘货信息!$A:$A&amp;盘货信息!$B:$B&amp;盘货信息!$C:$C,盘货信息!$K:$K)="","",IF(OR(_xlfn.XLOOKUP(A55&amp;B55&amp;C55,盘货信息!$A:$A&amp;盘货信息!$B:$B&amp;盘货信息!$C:$C,盘货信息!$G:$G)="参加",_xlfn.XLOOKUP(A55&amp;B55&amp;C55,盘货信息!$A:$A&amp;盘货信息!$B:$B&amp;盘货信息!$C:$C,盘货信息!$H:$H)="1（纯自补）"),_xlfn.XLOOKUP(A55&amp;B55&amp;C55,盘货信息!$A:$A&amp;盘货信息!$B:$B&amp;盘货信息!$C:$C,盘货信息!$K:$K)&amp;"元以旧换新（可无旧机换新）","")))</f>
        <v/>
      </c>
      <c r="K55" s="18" t="str">
        <f t="array" ref="K55">IF(C55="","",IF(_xlfn.XLOOKUP(A55&amp;B55&amp;C55,盘货信息!$A:$A&amp;盘货信息!$B:$B&amp;盘货信息!$C:$C,盘货信息!$L:$L)="","",_xlfn.XLOOKUP(A55&amp;B55&amp;C55,盘货信息!$A:$A&amp;盘货信息!$B:$B&amp;盘货信息!$C:$C,盘货信息!$L:$L)&amp;"元限时补贴"))</f>
        <v/>
      </c>
      <c r="L55" s="18" t="str">
        <f t="array" ref="L55">IF(C55="","",IF(_xlfn.XLOOKUP(A55&amp;B55&amp;C55,盘货信息!$A:$A&amp;盘货信息!$B:$B&amp;盘货信息!$C:$C,盘货信息!$M:$M)="","",_xlfn.XLOOKUP(A55&amp;B55&amp;C55,盘货信息!$A:$A&amp;盘货信息!$B:$B&amp;盘货信息!$C:$C,盘货信息!$M:$M)&amp;"元消费券"))</f>
        <v/>
      </c>
      <c r="M55" s="18" t="str">
        <f t="array" ref="M55">IF(C55="","",IF(_xlfn.XLOOKUP(A55&amp;B55&amp;C55,盘货信息!$A:$A&amp;盘货信息!$B:$B&amp;盘货信息!$C:$C,盘货信息!$G:$G)="不参加","","焕新补贴优惠【全民可用，不限地址】"))</f>
        <v/>
      </c>
    </row>
    <row r="56" customHeight="1" spans="1:13">
      <c r="A56" s="17" t="str">
        <f>IF(盘货信息!A56="","",盘货信息!A56)</f>
        <v/>
      </c>
      <c r="B56" s="17" t="str">
        <f>IF(盘货信息!B56="","",盘货信息!B56)</f>
        <v/>
      </c>
      <c r="C56" s="18" t="str">
        <f>IF(盘货信息!C56="","",盘货信息!C56)</f>
        <v/>
      </c>
      <c r="D56" s="18" t="str">
        <f t="shared" si="0"/>
        <v/>
      </c>
      <c r="E56" s="18" t="str">
        <f t="array" ref="E56">IF(C56="","",IF(_xlfn.XLOOKUP(A56&amp;B56&amp;C56,盘货信息!$A:$A&amp;盘货信息!$B:$B&amp;盘货信息!$C:$C,盘货信息!$N:$N)="","【立减到手价"&amp;_xlfn.XLOOKUP(A56&amp;B56&amp;C56,盘货信息!$A:$A&amp;盘货信息!$B:$B&amp;盘货信息!$C:$C,盘货信息!$F:$F)&amp;"元】","【焕新补贴预估价"&amp;_xlfn.XLOOKUP(A56&amp;B56&amp;C56,盘货信息!$A:$A&amp;盘货信息!$B:$B&amp;盘货信息!$C:$C,盘货信息!$N:$N)&amp;"元】"))</f>
        <v/>
      </c>
      <c r="F56" s="18" t="str">
        <f t="array" ref="F56">IF(C56="","",_xlfn.XLOOKUP(A56&amp;B56&amp;C56,盘货信息!$A:$A&amp;盘货信息!$B:$B&amp;盘货信息!$C:$C,盘货信息!$E:$E)&amp;"元到手价")</f>
        <v/>
      </c>
      <c r="G56" s="18" t="str">
        <f t="array" ref="G56">IF(C56="","",IF(_xlfn.XLOOKUP(A56&amp;B56&amp;C56,盘货信息!$A:$A&amp;盘货信息!$B:$B&amp;盘货信息!$C:$C,盘货信息!$I:$I)="","","88VIP95折"))</f>
        <v/>
      </c>
      <c r="H56" s="18" t="str">
        <f t="array" ref="H56">IF(C56="","",IF(_xlfn.XLOOKUP(A56&amp;B56&amp;C56,盘货信息!$A:$A&amp;盘货信息!$B:$B&amp;盘货信息!$C:$C,盘货信息!$J:$J)="","",_xlfn.XLOOKUP(A56&amp;B56&amp;C56,盘货信息!$A:$A&amp;盘货信息!$B:$B&amp;盘货信息!$C:$C,盘货信息!$J:$J)&amp;"元优惠卷"))</f>
        <v/>
      </c>
      <c r="I56" s="18" t="str">
        <f t="array" ref="I56">IF(C56="","",IF(_xlfn.XLOOKUP(A56&amp;B56&amp;C56,盘货信息!$A:$A&amp;盘货信息!$B:$B&amp;盘货信息!$C:$C,盘货信息!$R:$R)="","",_xlfn.XLOOKUP(A56&amp;B56&amp;C56,盘货信息!$A:$A&amp;盘货信息!$B:$B&amp;盘货信息!$C:$C,盘货信息!$R:$R)&amp;"元优惠卷"))</f>
        <v/>
      </c>
      <c r="J56" s="18" t="str">
        <f t="array" ref="J56">IF(C56="","",IF(_xlfn.XLOOKUP(A56&amp;B56&amp;C56,盘货信息!$A:$A&amp;盘货信息!$B:$B&amp;盘货信息!$C:$C,盘货信息!$K:$K)="","",IF(OR(_xlfn.XLOOKUP(A56&amp;B56&amp;C56,盘货信息!$A:$A&amp;盘货信息!$B:$B&amp;盘货信息!$C:$C,盘货信息!$G:$G)="参加",_xlfn.XLOOKUP(A56&amp;B56&amp;C56,盘货信息!$A:$A&amp;盘货信息!$B:$B&amp;盘货信息!$C:$C,盘货信息!$H:$H)="1（纯自补）"),_xlfn.XLOOKUP(A56&amp;B56&amp;C56,盘货信息!$A:$A&amp;盘货信息!$B:$B&amp;盘货信息!$C:$C,盘货信息!$K:$K)&amp;"元以旧换新（可无旧机换新）","")))</f>
        <v/>
      </c>
      <c r="K56" s="18" t="str">
        <f t="array" ref="K56">IF(C56="","",IF(_xlfn.XLOOKUP(A56&amp;B56&amp;C56,盘货信息!$A:$A&amp;盘货信息!$B:$B&amp;盘货信息!$C:$C,盘货信息!$L:$L)="","",_xlfn.XLOOKUP(A56&amp;B56&amp;C56,盘货信息!$A:$A&amp;盘货信息!$B:$B&amp;盘货信息!$C:$C,盘货信息!$L:$L)&amp;"元限时补贴"))</f>
        <v/>
      </c>
      <c r="L56" s="18" t="str">
        <f t="array" ref="L56">IF(C56="","",IF(_xlfn.XLOOKUP(A56&amp;B56&amp;C56,盘货信息!$A:$A&amp;盘货信息!$B:$B&amp;盘货信息!$C:$C,盘货信息!$M:$M)="","",_xlfn.XLOOKUP(A56&amp;B56&amp;C56,盘货信息!$A:$A&amp;盘货信息!$B:$B&amp;盘货信息!$C:$C,盘货信息!$M:$M)&amp;"元消费券"))</f>
        <v/>
      </c>
      <c r="M56" s="18" t="str">
        <f t="array" ref="M56">IF(C56="","",IF(_xlfn.XLOOKUP(A56&amp;B56&amp;C56,盘货信息!$A:$A&amp;盘货信息!$B:$B&amp;盘货信息!$C:$C,盘货信息!$G:$G)="不参加","","焕新补贴优惠【全民可用，不限地址】"))</f>
        <v/>
      </c>
    </row>
    <row r="57" customHeight="1" spans="1:13">
      <c r="A57" s="17" t="str">
        <f>IF(盘货信息!A57="","",盘货信息!A57)</f>
        <v/>
      </c>
      <c r="B57" s="17" t="str">
        <f>IF(盘货信息!B57="","",盘货信息!B57)</f>
        <v/>
      </c>
      <c r="C57" s="18" t="str">
        <f>IF(盘货信息!C57="","",盘货信息!C57)</f>
        <v/>
      </c>
      <c r="D57" s="18" t="str">
        <f t="shared" si="0"/>
        <v/>
      </c>
      <c r="E57" s="18" t="str">
        <f t="array" ref="E57">IF(C57="","",IF(_xlfn.XLOOKUP(A57&amp;B57&amp;C57,盘货信息!$A:$A&amp;盘货信息!$B:$B&amp;盘货信息!$C:$C,盘货信息!$N:$N)="","【立减到手价"&amp;_xlfn.XLOOKUP(A57&amp;B57&amp;C57,盘货信息!$A:$A&amp;盘货信息!$B:$B&amp;盘货信息!$C:$C,盘货信息!$F:$F)&amp;"元】","【焕新补贴预估价"&amp;_xlfn.XLOOKUP(A57&amp;B57&amp;C57,盘货信息!$A:$A&amp;盘货信息!$B:$B&amp;盘货信息!$C:$C,盘货信息!$N:$N)&amp;"元】"))</f>
        <v/>
      </c>
      <c r="F57" s="18" t="str">
        <f t="array" ref="F57">IF(C57="","",_xlfn.XLOOKUP(A57&amp;B57&amp;C57,盘货信息!$A:$A&amp;盘货信息!$B:$B&amp;盘货信息!$C:$C,盘货信息!$E:$E)&amp;"元到手价")</f>
        <v/>
      </c>
      <c r="G57" s="18" t="str">
        <f t="array" ref="G57">IF(C57="","",IF(_xlfn.XLOOKUP(A57&amp;B57&amp;C57,盘货信息!$A:$A&amp;盘货信息!$B:$B&amp;盘货信息!$C:$C,盘货信息!$I:$I)="","","88VIP95折"))</f>
        <v/>
      </c>
      <c r="H57" s="18" t="str">
        <f t="array" ref="H57">IF(C57="","",IF(_xlfn.XLOOKUP(A57&amp;B57&amp;C57,盘货信息!$A:$A&amp;盘货信息!$B:$B&amp;盘货信息!$C:$C,盘货信息!$J:$J)="","",_xlfn.XLOOKUP(A57&amp;B57&amp;C57,盘货信息!$A:$A&amp;盘货信息!$B:$B&amp;盘货信息!$C:$C,盘货信息!$J:$J)&amp;"元优惠卷"))</f>
        <v/>
      </c>
      <c r="I57" s="18" t="str">
        <f t="array" ref="I57">IF(C57="","",IF(_xlfn.XLOOKUP(A57&amp;B57&amp;C57,盘货信息!$A:$A&amp;盘货信息!$B:$B&amp;盘货信息!$C:$C,盘货信息!$R:$R)="","",_xlfn.XLOOKUP(A57&amp;B57&amp;C57,盘货信息!$A:$A&amp;盘货信息!$B:$B&amp;盘货信息!$C:$C,盘货信息!$R:$R)&amp;"元优惠卷"))</f>
        <v/>
      </c>
      <c r="J57" s="18" t="str">
        <f t="array" ref="J57">IF(C57="","",IF(_xlfn.XLOOKUP(A57&amp;B57&amp;C57,盘货信息!$A:$A&amp;盘货信息!$B:$B&amp;盘货信息!$C:$C,盘货信息!$K:$K)="","",IF(OR(_xlfn.XLOOKUP(A57&amp;B57&amp;C57,盘货信息!$A:$A&amp;盘货信息!$B:$B&amp;盘货信息!$C:$C,盘货信息!$G:$G)="参加",_xlfn.XLOOKUP(A57&amp;B57&amp;C57,盘货信息!$A:$A&amp;盘货信息!$B:$B&amp;盘货信息!$C:$C,盘货信息!$H:$H)="1（纯自补）"),_xlfn.XLOOKUP(A57&amp;B57&amp;C57,盘货信息!$A:$A&amp;盘货信息!$B:$B&amp;盘货信息!$C:$C,盘货信息!$K:$K)&amp;"元以旧换新（可无旧机换新）","")))</f>
        <v/>
      </c>
      <c r="K57" s="18" t="str">
        <f t="array" ref="K57">IF(C57="","",IF(_xlfn.XLOOKUP(A57&amp;B57&amp;C57,盘货信息!$A:$A&amp;盘货信息!$B:$B&amp;盘货信息!$C:$C,盘货信息!$L:$L)="","",_xlfn.XLOOKUP(A57&amp;B57&amp;C57,盘货信息!$A:$A&amp;盘货信息!$B:$B&amp;盘货信息!$C:$C,盘货信息!$L:$L)&amp;"元限时补贴"))</f>
        <v/>
      </c>
      <c r="L57" s="18" t="str">
        <f t="array" ref="L57">IF(C57="","",IF(_xlfn.XLOOKUP(A57&amp;B57&amp;C57,盘货信息!$A:$A&amp;盘货信息!$B:$B&amp;盘货信息!$C:$C,盘货信息!$M:$M)="","",_xlfn.XLOOKUP(A57&amp;B57&amp;C57,盘货信息!$A:$A&amp;盘货信息!$B:$B&amp;盘货信息!$C:$C,盘货信息!$M:$M)&amp;"元消费券"))</f>
        <v/>
      </c>
      <c r="M57" s="18" t="str">
        <f t="array" ref="M57">IF(C57="","",IF(_xlfn.XLOOKUP(A57&amp;B57&amp;C57,盘货信息!$A:$A&amp;盘货信息!$B:$B&amp;盘货信息!$C:$C,盘货信息!$G:$G)="不参加","","焕新补贴优惠【全民可用，不限地址】"))</f>
        <v/>
      </c>
    </row>
    <row r="58" customHeight="1" spans="1:13">
      <c r="A58" s="17" t="str">
        <f>IF(盘货信息!A58="","",盘货信息!A58)</f>
        <v/>
      </c>
      <c r="B58" s="17" t="str">
        <f>IF(盘货信息!B58="","",盘货信息!B58)</f>
        <v/>
      </c>
      <c r="C58" s="18" t="str">
        <f>IF(盘货信息!C58="","",盘货信息!C58)</f>
        <v/>
      </c>
      <c r="D58" s="18" t="str">
        <f t="shared" si="0"/>
        <v/>
      </c>
      <c r="E58" s="18" t="str">
        <f t="array" ref="E58">IF(C58="","",IF(_xlfn.XLOOKUP(A58&amp;B58&amp;C58,盘货信息!$A:$A&amp;盘货信息!$B:$B&amp;盘货信息!$C:$C,盘货信息!$N:$N)="","【立减到手价"&amp;_xlfn.XLOOKUP(A58&amp;B58&amp;C58,盘货信息!$A:$A&amp;盘货信息!$B:$B&amp;盘货信息!$C:$C,盘货信息!$F:$F)&amp;"元】","【焕新补贴预估价"&amp;_xlfn.XLOOKUP(A58&amp;B58&amp;C58,盘货信息!$A:$A&amp;盘货信息!$B:$B&amp;盘货信息!$C:$C,盘货信息!$N:$N)&amp;"元】"))</f>
        <v/>
      </c>
      <c r="F58" s="18" t="str">
        <f t="array" ref="F58">IF(C58="","",_xlfn.XLOOKUP(A58&amp;B58&amp;C58,盘货信息!$A:$A&amp;盘货信息!$B:$B&amp;盘货信息!$C:$C,盘货信息!$E:$E)&amp;"元到手价")</f>
        <v/>
      </c>
      <c r="G58" s="18" t="str">
        <f t="array" ref="G58">IF(C58="","",IF(_xlfn.XLOOKUP(A58&amp;B58&amp;C58,盘货信息!$A:$A&amp;盘货信息!$B:$B&amp;盘货信息!$C:$C,盘货信息!$I:$I)="","","88VIP95折"))</f>
        <v/>
      </c>
      <c r="H58" s="18" t="str">
        <f t="array" ref="H58">IF(C58="","",IF(_xlfn.XLOOKUP(A58&amp;B58&amp;C58,盘货信息!$A:$A&amp;盘货信息!$B:$B&amp;盘货信息!$C:$C,盘货信息!$J:$J)="","",_xlfn.XLOOKUP(A58&amp;B58&amp;C58,盘货信息!$A:$A&amp;盘货信息!$B:$B&amp;盘货信息!$C:$C,盘货信息!$J:$J)&amp;"元优惠卷"))</f>
        <v/>
      </c>
      <c r="I58" s="18" t="str">
        <f t="array" ref="I58">IF(C58="","",IF(_xlfn.XLOOKUP(A58&amp;B58&amp;C58,盘货信息!$A:$A&amp;盘货信息!$B:$B&amp;盘货信息!$C:$C,盘货信息!$R:$R)="","",_xlfn.XLOOKUP(A58&amp;B58&amp;C58,盘货信息!$A:$A&amp;盘货信息!$B:$B&amp;盘货信息!$C:$C,盘货信息!$R:$R)&amp;"元优惠卷"))</f>
        <v/>
      </c>
      <c r="J58" s="18" t="str">
        <f t="array" ref="J58">IF(C58="","",IF(_xlfn.XLOOKUP(A58&amp;B58&amp;C58,盘货信息!$A:$A&amp;盘货信息!$B:$B&amp;盘货信息!$C:$C,盘货信息!$K:$K)="","",IF(OR(_xlfn.XLOOKUP(A58&amp;B58&amp;C58,盘货信息!$A:$A&amp;盘货信息!$B:$B&amp;盘货信息!$C:$C,盘货信息!$G:$G)="参加",_xlfn.XLOOKUP(A58&amp;B58&amp;C58,盘货信息!$A:$A&amp;盘货信息!$B:$B&amp;盘货信息!$C:$C,盘货信息!$H:$H)="1（纯自补）"),_xlfn.XLOOKUP(A58&amp;B58&amp;C58,盘货信息!$A:$A&amp;盘货信息!$B:$B&amp;盘货信息!$C:$C,盘货信息!$K:$K)&amp;"元以旧换新（可无旧机换新）","")))</f>
        <v/>
      </c>
      <c r="K58" s="18" t="str">
        <f t="array" ref="K58">IF(C58="","",IF(_xlfn.XLOOKUP(A58&amp;B58&amp;C58,盘货信息!$A:$A&amp;盘货信息!$B:$B&amp;盘货信息!$C:$C,盘货信息!$L:$L)="","",_xlfn.XLOOKUP(A58&amp;B58&amp;C58,盘货信息!$A:$A&amp;盘货信息!$B:$B&amp;盘货信息!$C:$C,盘货信息!$L:$L)&amp;"元限时补贴"))</f>
        <v/>
      </c>
      <c r="L58" s="18" t="str">
        <f t="array" ref="L58">IF(C58="","",IF(_xlfn.XLOOKUP(A58&amp;B58&amp;C58,盘货信息!$A:$A&amp;盘货信息!$B:$B&amp;盘货信息!$C:$C,盘货信息!$M:$M)="","",_xlfn.XLOOKUP(A58&amp;B58&amp;C58,盘货信息!$A:$A&amp;盘货信息!$B:$B&amp;盘货信息!$C:$C,盘货信息!$M:$M)&amp;"元消费券"))</f>
        <v/>
      </c>
      <c r="M58" s="18" t="str">
        <f t="array" ref="M58">IF(C58="","",IF(_xlfn.XLOOKUP(A58&amp;B58&amp;C58,盘货信息!$A:$A&amp;盘货信息!$B:$B&amp;盘货信息!$C:$C,盘货信息!$G:$G)="不参加","","焕新补贴优惠【全民可用，不限地址】"))</f>
        <v/>
      </c>
    </row>
    <row r="59" customHeight="1" spans="1:13">
      <c r="A59" s="17" t="str">
        <f>IF(盘货信息!A59="","",盘货信息!A59)</f>
        <v/>
      </c>
      <c r="B59" s="17" t="str">
        <f>IF(盘货信息!B59="","",盘货信息!B59)</f>
        <v/>
      </c>
      <c r="C59" s="18" t="str">
        <f>IF(盘货信息!C59="","",盘货信息!C59)</f>
        <v/>
      </c>
      <c r="D59" s="18" t="str">
        <f t="shared" si="0"/>
        <v/>
      </c>
      <c r="E59" s="18" t="str">
        <f t="array" ref="E59">IF(C59="","",IF(_xlfn.XLOOKUP(A59&amp;B59&amp;C59,盘货信息!$A:$A&amp;盘货信息!$B:$B&amp;盘货信息!$C:$C,盘货信息!$N:$N)="","【立减到手价"&amp;_xlfn.XLOOKUP(A59&amp;B59&amp;C59,盘货信息!$A:$A&amp;盘货信息!$B:$B&amp;盘货信息!$C:$C,盘货信息!$F:$F)&amp;"元】","【焕新补贴预估价"&amp;_xlfn.XLOOKUP(A59&amp;B59&amp;C59,盘货信息!$A:$A&amp;盘货信息!$B:$B&amp;盘货信息!$C:$C,盘货信息!$N:$N)&amp;"元】"))</f>
        <v/>
      </c>
      <c r="F59" s="18" t="str">
        <f t="array" ref="F59">IF(C59="","",_xlfn.XLOOKUP(A59&amp;B59&amp;C59,盘货信息!$A:$A&amp;盘货信息!$B:$B&amp;盘货信息!$C:$C,盘货信息!$E:$E)&amp;"元到手价")</f>
        <v/>
      </c>
      <c r="G59" s="18" t="str">
        <f t="array" ref="G59">IF(C59="","",IF(_xlfn.XLOOKUP(A59&amp;B59&amp;C59,盘货信息!$A:$A&amp;盘货信息!$B:$B&amp;盘货信息!$C:$C,盘货信息!$I:$I)="","","88VIP95折"))</f>
        <v/>
      </c>
      <c r="H59" s="18" t="str">
        <f t="array" ref="H59">IF(C59="","",IF(_xlfn.XLOOKUP(A59&amp;B59&amp;C59,盘货信息!$A:$A&amp;盘货信息!$B:$B&amp;盘货信息!$C:$C,盘货信息!$J:$J)="","",_xlfn.XLOOKUP(A59&amp;B59&amp;C59,盘货信息!$A:$A&amp;盘货信息!$B:$B&amp;盘货信息!$C:$C,盘货信息!$J:$J)&amp;"元优惠卷"))</f>
        <v/>
      </c>
      <c r="I59" s="18" t="str">
        <f t="array" ref="I59">IF(C59="","",IF(_xlfn.XLOOKUP(A59&amp;B59&amp;C59,盘货信息!$A:$A&amp;盘货信息!$B:$B&amp;盘货信息!$C:$C,盘货信息!$R:$R)="","",_xlfn.XLOOKUP(A59&amp;B59&amp;C59,盘货信息!$A:$A&amp;盘货信息!$B:$B&amp;盘货信息!$C:$C,盘货信息!$R:$R)&amp;"元优惠卷"))</f>
        <v/>
      </c>
      <c r="J59" s="18" t="str">
        <f t="array" ref="J59">IF(C59="","",IF(_xlfn.XLOOKUP(A59&amp;B59&amp;C59,盘货信息!$A:$A&amp;盘货信息!$B:$B&amp;盘货信息!$C:$C,盘货信息!$K:$K)="","",IF(OR(_xlfn.XLOOKUP(A59&amp;B59&amp;C59,盘货信息!$A:$A&amp;盘货信息!$B:$B&amp;盘货信息!$C:$C,盘货信息!$G:$G)="参加",_xlfn.XLOOKUP(A59&amp;B59&amp;C59,盘货信息!$A:$A&amp;盘货信息!$B:$B&amp;盘货信息!$C:$C,盘货信息!$H:$H)="1（纯自补）"),_xlfn.XLOOKUP(A59&amp;B59&amp;C59,盘货信息!$A:$A&amp;盘货信息!$B:$B&amp;盘货信息!$C:$C,盘货信息!$K:$K)&amp;"元以旧换新（可无旧机换新）","")))</f>
        <v/>
      </c>
      <c r="K59" s="18" t="str">
        <f t="array" ref="K59">IF(C59="","",IF(_xlfn.XLOOKUP(A59&amp;B59&amp;C59,盘货信息!$A:$A&amp;盘货信息!$B:$B&amp;盘货信息!$C:$C,盘货信息!$L:$L)="","",_xlfn.XLOOKUP(A59&amp;B59&amp;C59,盘货信息!$A:$A&amp;盘货信息!$B:$B&amp;盘货信息!$C:$C,盘货信息!$L:$L)&amp;"元限时补贴"))</f>
        <v/>
      </c>
      <c r="L59" s="18" t="str">
        <f t="array" ref="L59">IF(C59="","",IF(_xlfn.XLOOKUP(A59&amp;B59&amp;C59,盘货信息!$A:$A&amp;盘货信息!$B:$B&amp;盘货信息!$C:$C,盘货信息!$M:$M)="","",_xlfn.XLOOKUP(A59&amp;B59&amp;C59,盘货信息!$A:$A&amp;盘货信息!$B:$B&amp;盘货信息!$C:$C,盘货信息!$M:$M)&amp;"元消费券"))</f>
        <v/>
      </c>
      <c r="M59" s="18" t="str">
        <f t="array" ref="M59">IF(C59="","",IF(_xlfn.XLOOKUP(A59&amp;B59&amp;C59,盘货信息!$A:$A&amp;盘货信息!$B:$B&amp;盘货信息!$C:$C,盘货信息!$G:$G)="不参加","","焕新补贴优惠【全民可用，不限地址】"))</f>
        <v/>
      </c>
    </row>
    <row r="60" customHeight="1" spans="1:13">
      <c r="A60" s="17" t="str">
        <f>IF(盘货信息!A60="","",盘货信息!A60)</f>
        <v/>
      </c>
      <c r="B60" s="17" t="str">
        <f>IF(盘货信息!B60="","",盘货信息!B60)</f>
        <v/>
      </c>
      <c r="C60" s="18" t="str">
        <f>IF(盘货信息!C60="","",盘货信息!C60)</f>
        <v/>
      </c>
      <c r="D60" s="18" t="str">
        <f t="shared" si="0"/>
        <v/>
      </c>
      <c r="E60" s="18" t="str">
        <f t="array" ref="E60">IF(C60="","",IF(_xlfn.XLOOKUP(A60&amp;B60&amp;C60,盘货信息!$A:$A&amp;盘货信息!$B:$B&amp;盘货信息!$C:$C,盘货信息!$N:$N)="","【立减到手价"&amp;_xlfn.XLOOKUP(A60&amp;B60&amp;C60,盘货信息!$A:$A&amp;盘货信息!$B:$B&amp;盘货信息!$C:$C,盘货信息!$F:$F)&amp;"元】","【焕新补贴预估价"&amp;_xlfn.XLOOKUP(A60&amp;B60&amp;C60,盘货信息!$A:$A&amp;盘货信息!$B:$B&amp;盘货信息!$C:$C,盘货信息!$N:$N)&amp;"元】"))</f>
        <v/>
      </c>
      <c r="F60" s="18" t="str">
        <f t="array" ref="F60">IF(C60="","",_xlfn.XLOOKUP(A60&amp;B60&amp;C60,盘货信息!$A:$A&amp;盘货信息!$B:$B&amp;盘货信息!$C:$C,盘货信息!$E:$E)&amp;"元到手价")</f>
        <v/>
      </c>
      <c r="G60" s="18" t="str">
        <f t="array" ref="G60">IF(C60="","",IF(_xlfn.XLOOKUP(A60&amp;B60&amp;C60,盘货信息!$A:$A&amp;盘货信息!$B:$B&amp;盘货信息!$C:$C,盘货信息!$I:$I)="","","88VIP95折"))</f>
        <v/>
      </c>
      <c r="H60" s="18" t="str">
        <f t="array" ref="H60">IF(C60="","",IF(_xlfn.XLOOKUP(A60&amp;B60&amp;C60,盘货信息!$A:$A&amp;盘货信息!$B:$B&amp;盘货信息!$C:$C,盘货信息!$J:$J)="","",_xlfn.XLOOKUP(A60&amp;B60&amp;C60,盘货信息!$A:$A&amp;盘货信息!$B:$B&amp;盘货信息!$C:$C,盘货信息!$J:$J)&amp;"元优惠卷"))</f>
        <v/>
      </c>
      <c r="I60" s="18" t="str">
        <f t="array" ref="I60">IF(C60="","",IF(_xlfn.XLOOKUP(A60&amp;B60&amp;C60,盘货信息!$A:$A&amp;盘货信息!$B:$B&amp;盘货信息!$C:$C,盘货信息!$R:$R)="","",_xlfn.XLOOKUP(A60&amp;B60&amp;C60,盘货信息!$A:$A&amp;盘货信息!$B:$B&amp;盘货信息!$C:$C,盘货信息!$R:$R)&amp;"元优惠卷"))</f>
        <v/>
      </c>
      <c r="J60" s="18" t="str">
        <f t="array" ref="J60">IF(C60="","",IF(_xlfn.XLOOKUP(A60&amp;B60&amp;C60,盘货信息!$A:$A&amp;盘货信息!$B:$B&amp;盘货信息!$C:$C,盘货信息!$K:$K)="","",IF(OR(_xlfn.XLOOKUP(A60&amp;B60&amp;C60,盘货信息!$A:$A&amp;盘货信息!$B:$B&amp;盘货信息!$C:$C,盘货信息!$G:$G)="参加",_xlfn.XLOOKUP(A60&amp;B60&amp;C60,盘货信息!$A:$A&amp;盘货信息!$B:$B&amp;盘货信息!$C:$C,盘货信息!$H:$H)="1（纯自补）"),_xlfn.XLOOKUP(A60&amp;B60&amp;C60,盘货信息!$A:$A&amp;盘货信息!$B:$B&amp;盘货信息!$C:$C,盘货信息!$K:$K)&amp;"元以旧换新（可无旧机换新）","")))</f>
        <v/>
      </c>
      <c r="K60" s="18" t="str">
        <f t="array" ref="K60">IF(C60="","",IF(_xlfn.XLOOKUP(A60&amp;B60&amp;C60,盘货信息!$A:$A&amp;盘货信息!$B:$B&amp;盘货信息!$C:$C,盘货信息!$L:$L)="","",_xlfn.XLOOKUP(A60&amp;B60&amp;C60,盘货信息!$A:$A&amp;盘货信息!$B:$B&amp;盘货信息!$C:$C,盘货信息!$L:$L)&amp;"元限时补贴"))</f>
        <v/>
      </c>
      <c r="L60" s="18" t="str">
        <f t="array" ref="L60">IF(C60="","",IF(_xlfn.XLOOKUP(A60&amp;B60&amp;C60,盘货信息!$A:$A&amp;盘货信息!$B:$B&amp;盘货信息!$C:$C,盘货信息!$M:$M)="","",_xlfn.XLOOKUP(A60&amp;B60&amp;C60,盘货信息!$A:$A&amp;盘货信息!$B:$B&amp;盘货信息!$C:$C,盘货信息!$M:$M)&amp;"元消费券"))</f>
        <v/>
      </c>
      <c r="M60" s="18" t="str">
        <f t="array" ref="M60">IF(C60="","",IF(_xlfn.XLOOKUP(A60&amp;B60&amp;C60,盘货信息!$A:$A&amp;盘货信息!$B:$B&amp;盘货信息!$C:$C,盘货信息!$G:$G)="不参加","","焕新补贴优惠【全民可用，不限地址】"))</f>
        <v/>
      </c>
    </row>
    <row r="61" customHeight="1" spans="1:13">
      <c r="A61" s="17" t="str">
        <f>IF(盘货信息!A61="","",盘货信息!A61)</f>
        <v/>
      </c>
      <c r="B61" s="17" t="str">
        <f>IF(盘货信息!B61="","",盘货信息!B61)</f>
        <v/>
      </c>
      <c r="C61" s="18" t="str">
        <f>IF(盘货信息!C61="","",盘货信息!C61)</f>
        <v/>
      </c>
      <c r="D61" s="18" t="str">
        <f t="shared" si="0"/>
        <v/>
      </c>
      <c r="E61" s="18" t="str">
        <f t="array" ref="E61">IF(C61="","",IF(_xlfn.XLOOKUP(A61&amp;B61&amp;C61,盘货信息!$A:$A&amp;盘货信息!$B:$B&amp;盘货信息!$C:$C,盘货信息!$N:$N)="","【立减到手价"&amp;_xlfn.XLOOKUP(A61&amp;B61&amp;C61,盘货信息!$A:$A&amp;盘货信息!$B:$B&amp;盘货信息!$C:$C,盘货信息!$F:$F)&amp;"元】","【焕新补贴预估价"&amp;_xlfn.XLOOKUP(A61&amp;B61&amp;C61,盘货信息!$A:$A&amp;盘货信息!$B:$B&amp;盘货信息!$C:$C,盘货信息!$N:$N)&amp;"元】"))</f>
        <v/>
      </c>
      <c r="F61" s="18" t="str">
        <f t="array" ref="F61">IF(C61="","",_xlfn.XLOOKUP(A61&amp;B61&amp;C61,盘货信息!$A:$A&amp;盘货信息!$B:$B&amp;盘货信息!$C:$C,盘货信息!$E:$E)&amp;"元到手价")</f>
        <v/>
      </c>
      <c r="G61" s="18" t="str">
        <f t="array" ref="G61">IF(C61="","",IF(_xlfn.XLOOKUP(A61&amp;B61&amp;C61,盘货信息!$A:$A&amp;盘货信息!$B:$B&amp;盘货信息!$C:$C,盘货信息!$I:$I)="","","88VIP95折"))</f>
        <v/>
      </c>
      <c r="H61" s="18" t="str">
        <f t="array" ref="H61">IF(C61="","",IF(_xlfn.XLOOKUP(A61&amp;B61&amp;C61,盘货信息!$A:$A&amp;盘货信息!$B:$B&amp;盘货信息!$C:$C,盘货信息!$J:$J)="","",_xlfn.XLOOKUP(A61&amp;B61&amp;C61,盘货信息!$A:$A&amp;盘货信息!$B:$B&amp;盘货信息!$C:$C,盘货信息!$J:$J)&amp;"元优惠卷"))</f>
        <v/>
      </c>
      <c r="I61" s="18" t="str">
        <f t="array" ref="I61">IF(C61="","",IF(_xlfn.XLOOKUP(A61&amp;B61&amp;C61,盘货信息!$A:$A&amp;盘货信息!$B:$B&amp;盘货信息!$C:$C,盘货信息!$R:$R)="","",_xlfn.XLOOKUP(A61&amp;B61&amp;C61,盘货信息!$A:$A&amp;盘货信息!$B:$B&amp;盘货信息!$C:$C,盘货信息!$R:$R)&amp;"元优惠卷"))</f>
        <v/>
      </c>
      <c r="J61" s="18" t="str">
        <f t="array" ref="J61">IF(C61="","",IF(_xlfn.XLOOKUP(A61&amp;B61&amp;C61,盘货信息!$A:$A&amp;盘货信息!$B:$B&amp;盘货信息!$C:$C,盘货信息!$K:$K)="","",IF(OR(_xlfn.XLOOKUP(A61&amp;B61&amp;C61,盘货信息!$A:$A&amp;盘货信息!$B:$B&amp;盘货信息!$C:$C,盘货信息!$G:$G)="参加",_xlfn.XLOOKUP(A61&amp;B61&amp;C61,盘货信息!$A:$A&amp;盘货信息!$B:$B&amp;盘货信息!$C:$C,盘货信息!$H:$H)="1（纯自补）"),_xlfn.XLOOKUP(A61&amp;B61&amp;C61,盘货信息!$A:$A&amp;盘货信息!$B:$B&amp;盘货信息!$C:$C,盘货信息!$K:$K)&amp;"元以旧换新（可无旧机换新）","")))</f>
        <v/>
      </c>
      <c r="K61" s="18" t="str">
        <f t="array" ref="K61">IF(C61="","",IF(_xlfn.XLOOKUP(A61&amp;B61&amp;C61,盘货信息!$A:$A&amp;盘货信息!$B:$B&amp;盘货信息!$C:$C,盘货信息!$L:$L)="","",_xlfn.XLOOKUP(A61&amp;B61&amp;C61,盘货信息!$A:$A&amp;盘货信息!$B:$B&amp;盘货信息!$C:$C,盘货信息!$L:$L)&amp;"元限时补贴"))</f>
        <v/>
      </c>
      <c r="L61" s="18" t="str">
        <f t="array" ref="L61">IF(C61="","",IF(_xlfn.XLOOKUP(A61&amp;B61&amp;C61,盘货信息!$A:$A&amp;盘货信息!$B:$B&amp;盘货信息!$C:$C,盘货信息!$M:$M)="","",_xlfn.XLOOKUP(A61&amp;B61&amp;C61,盘货信息!$A:$A&amp;盘货信息!$B:$B&amp;盘货信息!$C:$C,盘货信息!$M:$M)&amp;"元消费券"))</f>
        <v/>
      </c>
      <c r="M61" s="18" t="str">
        <f t="array" ref="M61">IF(C61="","",IF(_xlfn.XLOOKUP(A61&amp;B61&amp;C61,盘货信息!$A:$A&amp;盘货信息!$B:$B&amp;盘货信息!$C:$C,盘货信息!$G:$G)="不参加","","焕新补贴优惠【全民可用，不限地址】"))</f>
        <v/>
      </c>
    </row>
    <row r="62" customHeight="1" spans="1:13">
      <c r="A62" s="17" t="str">
        <f>IF(盘货信息!A62="","",盘货信息!A62)</f>
        <v/>
      </c>
      <c r="B62" s="17" t="str">
        <f>IF(盘货信息!B62="","",盘货信息!B62)</f>
        <v/>
      </c>
      <c r="C62" s="18" t="str">
        <f>IF(盘货信息!C62="","",盘货信息!C62)</f>
        <v/>
      </c>
      <c r="D62" s="18" t="str">
        <f t="shared" si="0"/>
        <v/>
      </c>
      <c r="E62" s="18" t="str">
        <f t="array" ref="E62">IF(C62="","",IF(_xlfn.XLOOKUP(A62&amp;B62&amp;C62,盘货信息!$A:$A&amp;盘货信息!$B:$B&amp;盘货信息!$C:$C,盘货信息!$N:$N)="","【立减到手价"&amp;_xlfn.XLOOKUP(A62&amp;B62&amp;C62,盘货信息!$A:$A&amp;盘货信息!$B:$B&amp;盘货信息!$C:$C,盘货信息!$F:$F)&amp;"元】","【焕新补贴预估价"&amp;_xlfn.XLOOKUP(A62&amp;B62&amp;C62,盘货信息!$A:$A&amp;盘货信息!$B:$B&amp;盘货信息!$C:$C,盘货信息!$N:$N)&amp;"元】"))</f>
        <v/>
      </c>
      <c r="F62" s="18" t="str">
        <f t="array" ref="F62">IF(C62="","",_xlfn.XLOOKUP(A62&amp;B62&amp;C62,盘货信息!$A:$A&amp;盘货信息!$B:$B&amp;盘货信息!$C:$C,盘货信息!$E:$E)&amp;"元到手价")</f>
        <v/>
      </c>
      <c r="G62" s="18" t="str">
        <f t="array" ref="G62">IF(C62="","",IF(_xlfn.XLOOKUP(A62&amp;B62&amp;C62,盘货信息!$A:$A&amp;盘货信息!$B:$B&amp;盘货信息!$C:$C,盘货信息!$I:$I)="","","88VIP95折"))</f>
        <v/>
      </c>
      <c r="H62" s="18" t="str">
        <f t="array" ref="H62">IF(C62="","",IF(_xlfn.XLOOKUP(A62&amp;B62&amp;C62,盘货信息!$A:$A&amp;盘货信息!$B:$B&amp;盘货信息!$C:$C,盘货信息!$J:$J)="","",_xlfn.XLOOKUP(A62&amp;B62&amp;C62,盘货信息!$A:$A&amp;盘货信息!$B:$B&amp;盘货信息!$C:$C,盘货信息!$J:$J)&amp;"元优惠卷"))</f>
        <v/>
      </c>
      <c r="I62" s="18" t="str">
        <f t="array" ref="I62">IF(C62="","",IF(_xlfn.XLOOKUP(A62&amp;B62&amp;C62,盘货信息!$A:$A&amp;盘货信息!$B:$B&amp;盘货信息!$C:$C,盘货信息!$R:$R)="","",_xlfn.XLOOKUP(A62&amp;B62&amp;C62,盘货信息!$A:$A&amp;盘货信息!$B:$B&amp;盘货信息!$C:$C,盘货信息!$R:$R)&amp;"元优惠卷"))</f>
        <v/>
      </c>
      <c r="J62" s="18" t="str">
        <f t="array" ref="J62">IF(C62="","",IF(_xlfn.XLOOKUP(A62&amp;B62&amp;C62,盘货信息!$A:$A&amp;盘货信息!$B:$B&amp;盘货信息!$C:$C,盘货信息!$K:$K)="","",IF(OR(_xlfn.XLOOKUP(A62&amp;B62&amp;C62,盘货信息!$A:$A&amp;盘货信息!$B:$B&amp;盘货信息!$C:$C,盘货信息!$G:$G)="参加",_xlfn.XLOOKUP(A62&amp;B62&amp;C62,盘货信息!$A:$A&amp;盘货信息!$B:$B&amp;盘货信息!$C:$C,盘货信息!$H:$H)="1（纯自补）"),_xlfn.XLOOKUP(A62&amp;B62&amp;C62,盘货信息!$A:$A&amp;盘货信息!$B:$B&amp;盘货信息!$C:$C,盘货信息!$K:$K)&amp;"元以旧换新（可无旧机换新）","")))</f>
        <v/>
      </c>
      <c r="K62" s="18" t="str">
        <f t="array" ref="K62">IF(C62="","",IF(_xlfn.XLOOKUP(A62&amp;B62&amp;C62,盘货信息!$A:$A&amp;盘货信息!$B:$B&amp;盘货信息!$C:$C,盘货信息!$L:$L)="","",_xlfn.XLOOKUP(A62&amp;B62&amp;C62,盘货信息!$A:$A&amp;盘货信息!$B:$B&amp;盘货信息!$C:$C,盘货信息!$L:$L)&amp;"元限时补贴"))</f>
        <v/>
      </c>
      <c r="L62" s="18" t="str">
        <f t="array" ref="L62">IF(C62="","",IF(_xlfn.XLOOKUP(A62&amp;B62&amp;C62,盘货信息!$A:$A&amp;盘货信息!$B:$B&amp;盘货信息!$C:$C,盘货信息!$M:$M)="","",_xlfn.XLOOKUP(A62&amp;B62&amp;C62,盘货信息!$A:$A&amp;盘货信息!$B:$B&amp;盘货信息!$C:$C,盘货信息!$M:$M)&amp;"元消费券"))</f>
        <v/>
      </c>
      <c r="M62" s="18" t="str">
        <f t="array" ref="M62">IF(C62="","",IF(_xlfn.XLOOKUP(A62&amp;B62&amp;C62,盘货信息!$A:$A&amp;盘货信息!$B:$B&amp;盘货信息!$C:$C,盘货信息!$G:$G)="不参加","","焕新补贴优惠【全民可用，不限地址】"))</f>
        <v/>
      </c>
    </row>
    <row r="63" customHeight="1" spans="1:13">
      <c r="A63" s="17" t="str">
        <f>IF(盘货信息!A63="","",盘货信息!A63)</f>
        <v/>
      </c>
      <c r="B63" s="17" t="str">
        <f>IF(盘货信息!B63="","",盘货信息!B63)</f>
        <v/>
      </c>
      <c r="C63" s="18" t="str">
        <f>IF(盘货信息!C63="","",盘货信息!C63)</f>
        <v/>
      </c>
      <c r="D63" s="18" t="str">
        <f t="shared" si="0"/>
        <v/>
      </c>
      <c r="E63" s="18" t="str">
        <f t="array" ref="E63">IF(C63="","",IF(_xlfn.XLOOKUP(A63&amp;B63&amp;C63,盘货信息!$A:$A&amp;盘货信息!$B:$B&amp;盘货信息!$C:$C,盘货信息!$N:$N)="","【立减到手价"&amp;_xlfn.XLOOKUP(A63&amp;B63&amp;C63,盘货信息!$A:$A&amp;盘货信息!$B:$B&amp;盘货信息!$C:$C,盘货信息!$F:$F)&amp;"元】","【焕新补贴预估价"&amp;_xlfn.XLOOKUP(A63&amp;B63&amp;C63,盘货信息!$A:$A&amp;盘货信息!$B:$B&amp;盘货信息!$C:$C,盘货信息!$N:$N)&amp;"元】"))</f>
        <v/>
      </c>
      <c r="F63" s="18" t="str">
        <f t="array" ref="F63">IF(C63="","",_xlfn.XLOOKUP(A63&amp;B63&amp;C63,盘货信息!$A:$A&amp;盘货信息!$B:$B&amp;盘货信息!$C:$C,盘货信息!$E:$E)&amp;"元到手价")</f>
        <v/>
      </c>
      <c r="G63" s="18" t="str">
        <f t="array" ref="G63">IF(C63="","",IF(_xlfn.XLOOKUP(A63&amp;B63&amp;C63,盘货信息!$A:$A&amp;盘货信息!$B:$B&amp;盘货信息!$C:$C,盘货信息!$I:$I)="","","88VIP95折"))</f>
        <v/>
      </c>
      <c r="H63" s="18" t="str">
        <f t="array" ref="H63">IF(C63="","",IF(_xlfn.XLOOKUP(A63&amp;B63&amp;C63,盘货信息!$A:$A&amp;盘货信息!$B:$B&amp;盘货信息!$C:$C,盘货信息!$J:$J)="","",_xlfn.XLOOKUP(A63&amp;B63&amp;C63,盘货信息!$A:$A&amp;盘货信息!$B:$B&amp;盘货信息!$C:$C,盘货信息!$J:$J)&amp;"元优惠卷"))</f>
        <v/>
      </c>
      <c r="I63" s="18" t="str">
        <f t="array" ref="I63">IF(C63="","",IF(_xlfn.XLOOKUP(A63&amp;B63&amp;C63,盘货信息!$A:$A&amp;盘货信息!$B:$B&amp;盘货信息!$C:$C,盘货信息!$R:$R)="","",_xlfn.XLOOKUP(A63&amp;B63&amp;C63,盘货信息!$A:$A&amp;盘货信息!$B:$B&amp;盘货信息!$C:$C,盘货信息!$R:$R)&amp;"元优惠卷"))</f>
        <v/>
      </c>
      <c r="J63" s="18" t="str">
        <f t="array" ref="J63">IF(C63="","",IF(_xlfn.XLOOKUP(A63&amp;B63&amp;C63,盘货信息!$A:$A&amp;盘货信息!$B:$B&amp;盘货信息!$C:$C,盘货信息!$K:$K)="","",IF(OR(_xlfn.XLOOKUP(A63&amp;B63&amp;C63,盘货信息!$A:$A&amp;盘货信息!$B:$B&amp;盘货信息!$C:$C,盘货信息!$G:$G)="参加",_xlfn.XLOOKUP(A63&amp;B63&amp;C63,盘货信息!$A:$A&amp;盘货信息!$B:$B&amp;盘货信息!$C:$C,盘货信息!$H:$H)="1（纯自补）"),_xlfn.XLOOKUP(A63&amp;B63&amp;C63,盘货信息!$A:$A&amp;盘货信息!$B:$B&amp;盘货信息!$C:$C,盘货信息!$K:$K)&amp;"元以旧换新（可无旧机换新）","")))</f>
        <v/>
      </c>
      <c r="K63" s="18" t="str">
        <f t="array" ref="K63">IF(C63="","",IF(_xlfn.XLOOKUP(A63&amp;B63&amp;C63,盘货信息!$A:$A&amp;盘货信息!$B:$B&amp;盘货信息!$C:$C,盘货信息!$L:$L)="","",_xlfn.XLOOKUP(A63&amp;B63&amp;C63,盘货信息!$A:$A&amp;盘货信息!$B:$B&amp;盘货信息!$C:$C,盘货信息!$L:$L)&amp;"元限时补贴"))</f>
        <v/>
      </c>
      <c r="L63" s="18" t="str">
        <f t="array" ref="L63">IF(C63="","",IF(_xlfn.XLOOKUP(A63&amp;B63&amp;C63,盘货信息!$A:$A&amp;盘货信息!$B:$B&amp;盘货信息!$C:$C,盘货信息!$M:$M)="","",_xlfn.XLOOKUP(A63&amp;B63&amp;C63,盘货信息!$A:$A&amp;盘货信息!$B:$B&amp;盘货信息!$C:$C,盘货信息!$M:$M)&amp;"元消费券"))</f>
        <v/>
      </c>
      <c r="M63" s="18" t="str">
        <f t="array" ref="M63">IF(C63="","",IF(_xlfn.XLOOKUP(A63&amp;B63&amp;C63,盘货信息!$A:$A&amp;盘货信息!$B:$B&amp;盘货信息!$C:$C,盘货信息!$G:$G)="不参加","","焕新补贴优惠【全民可用，不限地址】"))</f>
        <v/>
      </c>
    </row>
    <row r="64" customHeight="1" spans="1:13">
      <c r="A64" s="17" t="str">
        <f>IF(盘货信息!A64="","",盘货信息!A64)</f>
        <v/>
      </c>
      <c r="B64" s="17" t="str">
        <f>IF(盘货信息!B64="","",盘货信息!B64)</f>
        <v/>
      </c>
      <c r="C64" s="18" t="str">
        <f>IF(盘货信息!C64="","",盘货信息!C64)</f>
        <v/>
      </c>
      <c r="D64" s="18" t="str">
        <f t="shared" si="0"/>
        <v/>
      </c>
      <c r="E64" s="18" t="str">
        <f t="array" ref="E64">IF(C64="","",IF(_xlfn.XLOOKUP(A64&amp;B64&amp;C64,盘货信息!$A:$A&amp;盘货信息!$B:$B&amp;盘货信息!$C:$C,盘货信息!$N:$N)="","【立减到手价"&amp;_xlfn.XLOOKUP(A64&amp;B64&amp;C64,盘货信息!$A:$A&amp;盘货信息!$B:$B&amp;盘货信息!$C:$C,盘货信息!$F:$F)&amp;"元】","【焕新补贴预估价"&amp;_xlfn.XLOOKUP(A64&amp;B64&amp;C64,盘货信息!$A:$A&amp;盘货信息!$B:$B&amp;盘货信息!$C:$C,盘货信息!$N:$N)&amp;"元】"))</f>
        <v/>
      </c>
      <c r="F64" s="18" t="str">
        <f t="array" ref="F64">IF(C64="","",_xlfn.XLOOKUP(A64&amp;B64&amp;C64,盘货信息!$A:$A&amp;盘货信息!$B:$B&amp;盘货信息!$C:$C,盘货信息!$E:$E)&amp;"元到手价")</f>
        <v/>
      </c>
      <c r="G64" s="18" t="str">
        <f t="array" ref="G64">IF(C64="","",IF(_xlfn.XLOOKUP(A64&amp;B64&amp;C64,盘货信息!$A:$A&amp;盘货信息!$B:$B&amp;盘货信息!$C:$C,盘货信息!$I:$I)="","","88VIP95折"))</f>
        <v/>
      </c>
      <c r="H64" s="18" t="str">
        <f t="array" ref="H64">IF(C64="","",IF(_xlfn.XLOOKUP(A64&amp;B64&amp;C64,盘货信息!$A:$A&amp;盘货信息!$B:$B&amp;盘货信息!$C:$C,盘货信息!$J:$J)="","",_xlfn.XLOOKUP(A64&amp;B64&amp;C64,盘货信息!$A:$A&amp;盘货信息!$B:$B&amp;盘货信息!$C:$C,盘货信息!$J:$J)&amp;"元优惠卷"))</f>
        <v/>
      </c>
      <c r="I64" s="18" t="str">
        <f t="array" ref="I64">IF(C64="","",IF(_xlfn.XLOOKUP(A64&amp;B64&amp;C64,盘货信息!$A:$A&amp;盘货信息!$B:$B&amp;盘货信息!$C:$C,盘货信息!$R:$R)="","",_xlfn.XLOOKUP(A64&amp;B64&amp;C64,盘货信息!$A:$A&amp;盘货信息!$B:$B&amp;盘货信息!$C:$C,盘货信息!$R:$R)&amp;"元优惠卷"))</f>
        <v/>
      </c>
      <c r="J64" s="18" t="str">
        <f t="array" ref="J64">IF(C64="","",IF(_xlfn.XLOOKUP(A64&amp;B64&amp;C64,盘货信息!$A:$A&amp;盘货信息!$B:$B&amp;盘货信息!$C:$C,盘货信息!$K:$K)="","",IF(OR(_xlfn.XLOOKUP(A64&amp;B64&amp;C64,盘货信息!$A:$A&amp;盘货信息!$B:$B&amp;盘货信息!$C:$C,盘货信息!$G:$G)="参加",_xlfn.XLOOKUP(A64&amp;B64&amp;C64,盘货信息!$A:$A&amp;盘货信息!$B:$B&amp;盘货信息!$C:$C,盘货信息!$H:$H)="1（纯自补）"),_xlfn.XLOOKUP(A64&amp;B64&amp;C64,盘货信息!$A:$A&amp;盘货信息!$B:$B&amp;盘货信息!$C:$C,盘货信息!$K:$K)&amp;"元以旧换新（可无旧机换新）","")))</f>
        <v/>
      </c>
      <c r="K64" s="18" t="str">
        <f t="array" ref="K64">IF(C64="","",IF(_xlfn.XLOOKUP(A64&amp;B64&amp;C64,盘货信息!$A:$A&amp;盘货信息!$B:$B&amp;盘货信息!$C:$C,盘货信息!$L:$L)="","",_xlfn.XLOOKUP(A64&amp;B64&amp;C64,盘货信息!$A:$A&amp;盘货信息!$B:$B&amp;盘货信息!$C:$C,盘货信息!$L:$L)&amp;"元限时补贴"))</f>
        <v/>
      </c>
      <c r="L64" s="18" t="str">
        <f t="array" ref="L64">IF(C64="","",IF(_xlfn.XLOOKUP(A64&amp;B64&amp;C64,盘货信息!$A:$A&amp;盘货信息!$B:$B&amp;盘货信息!$C:$C,盘货信息!$M:$M)="","",_xlfn.XLOOKUP(A64&amp;B64&amp;C64,盘货信息!$A:$A&amp;盘货信息!$B:$B&amp;盘货信息!$C:$C,盘货信息!$M:$M)&amp;"元消费券"))</f>
        <v/>
      </c>
      <c r="M64" s="18" t="str">
        <f t="array" ref="M64">IF(C64="","",IF(_xlfn.XLOOKUP(A64&amp;B64&amp;C64,盘货信息!$A:$A&amp;盘货信息!$B:$B&amp;盘货信息!$C:$C,盘货信息!$G:$G)="不参加","","焕新补贴优惠【全民可用，不限地址】"))</f>
        <v/>
      </c>
    </row>
    <row r="65" customHeight="1" spans="1:13">
      <c r="A65" s="17" t="str">
        <f>IF(盘货信息!A65="","",盘货信息!A65)</f>
        <v/>
      </c>
      <c r="B65" s="17" t="str">
        <f>IF(盘货信息!B65="","",盘货信息!B65)</f>
        <v/>
      </c>
      <c r="C65" s="18" t="str">
        <f>IF(盘货信息!C65="","",盘货信息!C65)</f>
        <v/>
      </c>
      <c r="D65" s="18" t="str">
        <f t="shared" si="0"/>
        <v/>
      </c>
      <c r="E65" s="18" t="str">
        <f t="array" ref="E65">IF(C65="","",IF(_xlfn.XLOOKUP(A65&amp;B65&amp;C65,盘货信息!$A:$A&amp;盘货信息!$B:$B&amp;盘货信息!$C:$C,盘货信息!$N:$N)="","【立减到手价"&amp;_xlfn.XLOOKUP(A65&amp;B65&amp;C65,盘货信息!$A:$A&amp;盘货信息!$B:$B&amp;盘货信息!$C:$C,盘货信息!$F:$F)&amp;"元】","【焕新补贴预估价"&amp;_xlfn.XLOOKUP(A65&amp;B65&amp;C65,盘货信息!$A:$A&amp;盘货信息!$B:$B&amp;盘货信息!$C:$C,盘货信息!$N:$N)&amp;"元】"))</f>
        <v/>
      </c>
      <c r="F65" s="18" t="str">
        <f t="array" ref="F65">IF(C65="","",_xlfn.XLOOKUP(A65&amp;B65&amp;C65,盘货信息!$A:$A&amp;盘货信息!$B:$B&amp;盘货信息!$C:$C,盘货信息!$E:$E)&amp;"元到手价")</f>
        <v/>
      </c>
      <c r="G65" s="18" t="str">
        <f t="array" ref="G65">IF(C65="","",IF(_xlfn.XLOOKUP(A65&amp;B65&amp;C65,盘货信息!$A:$A&amp;盘货信息!$B:$B&amp;盘货信息!$C:$C,盘货信息!$I:$I)="","","88VIP95折"))</f>
        <v/>
      </c>
      <c r="H65" s="18" t="str">
        <f t="array" ref="H65">IF(C65="","",IF(_xlfn.XLOOKUP(A65&amp;B65&amp;C65,盘货信息!$A:$A&amp;盘货信息!$B:$B&amp;盘货信息!$C:$C,盘货信息!$J:$J)="","",_xlfn.XLOOKUP(A65&amp;B65&amp;C65,盘货信息!$A:$A&amp;盘货信息!$B:$B&amp;盘货信息!$C:$C,盘货信息!$J:$J)&amp;"元优惠卷"))</f>
        <v/>
      </c>
      <c r="I65" s="18" t="str">
        <f t="array" ref="I65">IF(C65="","",IF(_xlfn.XLOOKUP(A65&amp;B65&amp;C65,盘货信息!$A:$A&amp;盘货信息!$B:$B&amp;盘货信息!$C:$C,盘货信息!$R:$R)="","",_xlfn.XLOOKUP(A65&amp;B65&amp;C65,盘货信息!$A:$A&amp;盘货信息!$B:$B&amp;盘货信息!$C:$C,盘货信息!$R:$R)&amp;"元优惠卷"))</f>
        <v/>
      </c>
      <c r="J65" s="18" t="str">
        <f t="array" ref="J65">IF(C65="","",IF(_xlfn.XLOOKUP(A65&amp;B65&amp;C65,盘货信息!$A:$A&amp;盘货信息!$B:$B&amp;盘货信息!$C:$C,盘货信息!$K:$K)="","",IF(OR(_xlfn.XLOOKUP(A65&amp;B65&amp;C65,盘货信息!$A:$A&amp;盘货信息!$B:$B&amp;盘货信息!$C:$C,盘货信息!$G:$G)="参加",_xlfn.XLOOKUP(A65&amp;B65&amp;C65,盘货信息!$A:$A&amp;盘货信息!$B:$B&amp;盘货信息!$C:$C,盘货信息!$H:$H)="1（纯自补）"),_xlfn.XLOOKUP(A65&amp;B65&amp;C65,盘货信息!$A:$A&amp;盘货信息!$B:$B&amp;盘货信息!$C:$C,盘货信息!$K:$K)&amp;"元以旧换新（可无旧机换新）","")))</f>
        <v/>
      </c>
      <c r="K65" s="18" t="str">
        <f t="array" ref="K65">IF(C65="","",IF(_xlfn.XLOOKUP(A65&amp;B65&amp;C65,盘货信息!$A:$A&amp;盘货信息!$B:$B&amp;盘货信息!$C:$C,盘货信息!$L:$L)="","",_xlfn.XLOOKUP(A65&amp;B65&amp;C65,盘货信息!$A:$A&amp;盘货信息!$B:$B&amp;盘货信息!$C:$C,盘货信息!$L:$L)&amp;"元限时补贴"))</f>
        <v/>
      </c>
      <c r="L65" s="18" t="str">
        <f t="array" ref="L65">IF(C65="","",IF(_xlfn.XLOOKUP(A65&amp;B65&amp;C65,盘货信息!$A:$A&amp;盘货信息!$B:$B&amp;盘货信息!$C:$C,盘货信息!$M:$M)="","",_xlfn.XLOOKUP(A65&amp;B65&amp;C65,盘货信息!$A:$A&amp;盘货信息!$B:$B&amp;盘货信息!$C:$C,盘货信息!$M:$M)&amp;"元消费券"))</f>
        <v/>
      </c>
      <c r="M65" s="18" t="str">
        <f t="array" ref="M65">IF(C65="","",IF(_xlfn.XLOOKUP(A65&amp;B65&amp;C65,盘货信息!$A:$A&amp;盘货信息!$B:$B&amp;盘货信息!$C:$C,盘货信息!$G:$G)="不参加","","焕新补贴优惠【全民可用，不限地址】"))</f>
        <v/>
      </c>
    </row>
    <row r="66" customHeight="1" spans="1:13">
      <c r="A66" s="17" t="str">
        <f>IF(盘货信息!A66="","",盘货信息!A66)</f>
        <v/>
      </c>
      <c r="B66" s="17" t="str">
        <f>IF(盘货信息!B66="","",盘货信息!B66)</f>
        <v/>
      </c>
      <c r="C66" s="18" t="str">
        <f>IF(盘货信息!C66="","",盘货信息!C66)</f>
        <v/>
      </c>
      <c r="D66" s="18" t="str">
        <f t="shared" ref="D66:D129" si="1">IF(C66="","",E66&amp;"="&amp;F66&amp;IF(G66="","","-"&amp;G66)&amp;IF(H66="","","-"&amp;H66)&amp;IF(I66="","","-"&amp;I66)&amp;IF(J66="","","-"&amp;J66)&amp;IF(K66="","","-"&amp;K66)&amp;IF(L66="","","-"&amp;L66)&amp;IF(M66="","","-"&amp;M66))</f>
        <v/>
      </c>
      <c r="E66" s="18" t="str">
        <f t="array" ref="E66">IF(C66="","",IF(_xlfn.XLOOKUP(A66&amp;B66&amp;C66,盘货信息!$A:$A&amp;盘货信息!$B:$B&amp;盘货信息!$C:$C,盘货信息!$N:$N)="","【立减到手价"&amp;_xlfn.XLOOKUP(A66&amp;B66&amp;C66,盘货信息!$A:$A&amp;盘货信息!$B:$B&amp;盘货信息!$C:$C,盘货信息!$F:$F)&amp;"元】","【焕新补贴预估价"&amp;_xlfn.XLOOKUP(A66&amp;B66&amp;C66,盘货信息!$A:$A&amp;盘货信息!$B:$B&amp;盘货信息!$C:$C,盘货信息!$N:$N)&amp;"元】"))</f>
        <v/>
      </c>
      <c r="F66" s="18" t="str">
        <f t="array" ref="F66">IF(C66="","",_xlfn.XLOOKUP(A66&amp;B66&amp;C66,盘货信息!$A:$A&amp;盘货信息!$B:$B&amp;盘货信息!$C:$C,盘货信息!$E:$E)&amp;"元到手价")</f>
        <v/>
      </c>
      <c r="G66" s="18" t="str">
        <f t="array" ref="G66">IF(C66="","",IF(_xlfn.XLOOKUP(A66&amp;B66&amp;C66,盘货信息!$A:$A&amp;盘货信息!$B:$B&amp;盘货信息!$C:$C,盘货信息!$I:$I)="","","88VIP95折"))</f>
        <v/>
      </c>
      <c r="H66" s="18" t="str">
        <f t="array" ref="H66">IF(C66="","",IF(_xlfn.XLOOKUP(A66&amp;B66&amp;C66,盘货信息!$A:$A&amp;盘货信息!$B:$B&amp;盘货信息!$C:$C,盘货信息!$J:$J)="","",_xlfn.XLOOKUP(A66&amp;B66&amp;C66,盘货信息!$A:$A&amp;盘货信息!$B:$B&amp;盘货信息!$C:$C,盘货信息!$J:$J)&amp;"元优惠卷"))</f>
        <v/>
      </c>
      <c r="I66" s="18" t="str">
        <f t="array" ref="I66">IF(C66="","",IF(_xlfn.XLOOKUP(A66&amp;B66&amp;C66,盘货信息!$A:$A&amp;盘货信息!$B:$B&amp;盘货信息!$C:$C,盘货信息!$R:$R)="","",_xlfn.XLOOKUP(A66&amp;B66&amp;C66,盘货信息!$A:$A&amp;盘货信息!$B:$B&amp;盘货信息!$C:$C,盘货信息!$R:$R)&amp;"元优惠卷"))</f>
        <v/>
      </c>
      <c r="J66" s="18" t="str">
        <f t="array" ref="J66">IF(C66="","",IF(_xlfn.XLOOKUP(A66&amp;B66&amp;C66,盘货信息!$A:$A&amp;盘货信息!$B:$B&amp;盘货信息!$C:$C,盘货信息!$K:$K)="","",IF(OR(_xlfn.XLOOKUP(A66&amp;B66&amp;C66,盘货信息!$A:$A&amp;盘货信息!$B:$B&amp;盘货信息!$C:$C,盘货信息!$G:$G)="参加",_xlfn.XLOOKUP(A66&amp;B66&amp;C66,盘货信息!$A:$A&amp;盘货信息!$B:$B&amp;盘货信息!$C:$C,盘货信息!$H:$H)="1（纯自补）"),_xlfn.XLOOKUP(A66&amp;B66&amp;C66,盘货信息!$A:$A&amp;盘货信息!$B:$B&amp;盘货信息!$C:$C,盘货信息!$K:$K)&amp;"元以旧换新（可无旧机换新）","")))</f>
        <v/>
      </c>
      <c r="K66" s="18" t="str">
        <f t="array" ref="K66">IF(C66="","",IF(_xlfn.XLOOKUP(A66&amp;B66&amp;C66,盘货信息!$A:$A&amp;盘货信息!$B:$B&amp;盘货信息!$C:$C,盘货信息!$L:$L)="","",_xlfn.XLOOKUP(A66&amp;B66&amp;C66,盘货信息!$A:$A&amp;盘货信息!$B:$B&amp;盘货信息!$C:$C,盘货信息!$L:$L)&amp;"元限时补贴"))</f>
        <v/>
      </c>
      <c r="L66" s="18" t="str">
        <f t="array" ref="L66">IF(C66="","",IF(_xlfn.XLOOKUP(A66&amp;B66&amp;C66,盘货信息!$A:$A&amp;盘货信息!$B:$B&amp;盘货信息!$C:$C,盘货信息!$M:$M)="","",_xlfn.XLOOKUP(A66&amp;B66&amp;C66,盘货信息!$A:$A&amp;盘货信息!$B:$B&amp;盘货信息!$C:$C,盘货信息!$M:$M)&amp;"元消费券"))</f>
        <v/>
      </c>
      <c r="M66" s="18" t="str">
        <f t="array" ref="M66">IF(C66="","",IF(_xlfn.XLOOKUP(A66&amp;B66&amp;C66,盘货信息!$A:$A&amp;盘货信息!$B:$B&amp;盘货信息!$C:$C,盘货信息!$G:$G)="不参加","","焕新补贴优惠【全民可用，不限地址】"))</f>
        <v/>
      </c>
    </row>
    <row r="67" customHeight="1" spans="1:13">
      <c r="A67" s="17" t="str">
        <f>IF(盘货信息!A67="","",盘货信息!A67)</f>
        <v/>
      </c>
      <c r="B67" s="17" t="str">
        <f>IF(盘货信息!B67="","",盘货信息!B67)</f>
        <v/>
      </c>
      <c r="C67" s="18" t="str">
        <f>IF(盘货信息!C67="","",盘货信息!C67)</f>
        <v/>
      </c>
      <c r="D67" s="18" t="str">
        <f t="shared" si="1"/>
        <v/>
      </c>
      <c r="E67" s="18" t="str">
        <f t="array" ref="E67">IF(C67="","",IF(_xlfn.XLOOKUP(A67&amp;B67&amp;C67,盘货信息!$A:$A&amp;盘货信息!$B:$B&amp;盘货信息!$C:$C,盘货信息!$N:$N)="","【立减到手价"&amp;_xlfn.XLOOKUP(A67&amp;B67&amp;C67,盘货信息!$A:$A&amp;盘货信息!$B:$B&amp;盘货信息!$C:$C,盘货信息!$F:$F)&amp;"元】","【焕新补贴预估价"&amp;_xlfn.XLOOKUP(A67&amp;B67&amp;C67,盘货信息!$A:$A&amp;盘货信息!$B:$B&amp;盘货信息!$C:$C,盘货信息!$N:$N)&amp;"元】"))</f>
        <v/>
      </c>
      <c r="F67" s="18" t="str">
        <f t="array" ref="F67">IF(C67="","",_xlfn.XLOOKUP(A67&amp;B67&amp;C67,盘货信息!$A:$A&amp;盘货信息!$B:$B&amp;盘货信息!$C:$C,盘货信息!$E:$E)&amp;"元到手价")</f>
        <v/>
      </c>
      <c r="G67" s="18" t="str">
        <f t="array" ref="G67">IF(C67="","",IF(_xlfn.XLOOKUP(A67&amp;B67&amp;C67,盘货信息!$A:$A&amp;盘货信息!$B:$B&amp;盘货信息!$C:$C,盘货信息!$I:$I)="","","88VIP95折"))</f>
        <v/>
      </c>
      <c r="H67" s="18" t="str">
        <f t="array" ref="H67">IF(C67="","",IF(_xlfn.XLOOKUP(A67&amp;B67&amp;C67,盘货信息!$A:$A&amp;盘货信息!$B:$B&amp;盘货信息!$C:$C,盘货信息!$J:$J)="","",_xlfn.XLOOKUP(A67&amp;B67&amp;C67,盘货信息!$A:$A&amp;盘货信息!$B:$B&amp;盘货信息!$C:$C,盘货信息!$J:$J)&amp;"元优惠卷"))</f>
        <v/>
      </c>
      <c r="I67" s="18" t="str">
        <f t="array" ref="I67">IF(C67="","",IF(_xlfn.XLOOKUP(A67&amp;B67&amp;C67,盘货信息!$A:$A&amp;盘货信息!$B:$B&amp;盘货信息!$C:$C,盘货信息!$R:$R)="","",_xlfn.XLOOKUP(A67&amp;B67&amp;C67,盘货信息!$A:$A&amp;盘货信息!$B:$B&amp;盘货信息!$C:$C,盘货信息!$R:$R)&amp;"元优惠卷"))</f>
        <v/>
      </c>
      <c r="J67" s="18" t="str">
        <f t="array" ref="J67">IF(C67="","",IF(_xlfn.XLOOKUP(A67&amp;B67&amp;C67,盘货信息!$A:$A&amp;盘货信息!$B:$B&amp;盘货信息!$C:$C,盘货信息!$K:$K)="","",IF(OR(_xlfn.XLOOKUP(A67&amp;B67&amp;C67,盘货信息!$A:$A&amp;盘货信息!$B:$B&amp;盘货信息!$C:$C,盘货信息!$G:$G)="参加",_xlfn.XLOOKUP(A67&amp;B67&amp;C67,盘货信息!$A:$A&amp;盘货信息!$B:$B&amp;盘货信息!$C:$C,盘货信息!$H:$H)="1（纯自补）"),_xlfn.XLOOKUP(A67&amp;B67&amp;C67,盘货信息!$A:$A&amp;盘货信息!$B:$B&amp;盘货信息!$C:$C,盘货信息!$K:$K)&amp;"元以旧换新（可无旧机换新）","")))</f>
        <v/>
      </c>
      <c r="K67" s="18" t="str">
        <f t="array" ref="K67">IF(C67="","",IF(_xlfn.XLOOKUP(A67&amp;B67&amp;C67,盘货信息!$A:$A&amp;盘货信息!$B:$B&amp;盘货信息!$C:$C,盘货信息!$L:$L)="","",_xlfn.XLOOKUP(A67&amp;B67&amp;C67,盘货信息!$A:$A&amp;盘货信息!$B:$B&amp;盘货信息!$C:$C,盘货信息!$L:$L)&amp;"元限时补贴"))</f>
        <v/>
      </c>
      <c r="L67" s="18" t="str">
        <f t="array" ref="L67">IF(C67="","",IF(_xlfn.XLOOKUP(A67&amp;B67&amp;C67,盘货信息!$A:$A&amp;盘货信息!$B:$B&amp;盘货信息!$C:$C,盘货信息!$M:$M)="","",_xlfn.XLOOKUP(A67&amp;B67&amp;C67,盘货信息!$A:$A&amp;盘货信息!$B:$B&amp;盘货信息!$C:$C,盘货信息!$M:$M)&amp;"元消费券"))</f>
        <v/>
      </c>
      <c r="M67" s="18" t="str">
        <f t="array" ref="M67">IF(C67="","",IF(_xlfn.XLOOKUP(A67&amp;B67&amp;C67,盘货信息!$A:$A&amp;盘货信息!$B:$B&amp;盘货信息!$C:$C,盘货信息!$G:$G)="不参加","","焕新补贴优惠【全民可用，不限地址】"))</f>
        <v/>
      </c>
    </row>
    <row r="68" customHeight="1" spans="1:13">
      <c r="A68" s="17" t="str">
        <f>IF(盘货信息!A68="","",盘货信息!A68)</f>
        <v/>
      </c>
      <c r="B68" s="17" t="str">
        <f>IF(盘货信息!B68="","",盘货信息!B68)</f>
        <v/>
      </c>
      <c r="C68" s="18" t="str">
        <f>IF(盘货信息!C68="","",盘货信息!C68)</f>
        <v/>
      </c>
      <c r="D68" s="18" t="str">
        <f t="shared" si="1"/>
        <v/>
      </c>
      <c r="E68" s="18" t="str">
        <f t="array" ref="E68">IF(C68="","",IF(_xlfn.XLOOKUP(A68&amp;B68&amp;C68,盘货信息!$A:$A&amp;盘货信息!$B:$B&amp;盘货信息!$C:$C,盘货信息!$N:$N)="","【立减到手价"&amp;_xlfn.XLOOKUP(A68&amp;B68&amp;C68,盘货信息!$A:$A&amp;盘货信息!$B:$B&amp;盘货信息!$C:$C,盘货信息!$F:$F)&amp;"元】","【焕新补贴预估价"&amp;_xlfn.XLOOKUP(A68&amp;B68&amp;C68,盘货信息!$A:$A&amp;盘货信息!$B:$B&amp;盘货信息!$C:$C,盘货信息!$N:$N)&amp;"元】"))</f>
        <v/>
      </c>
      <c r="F68" s="18" t="str">
        <f t="array" ref="F68">IF(C68="","",_xlfn.XLOOKUP(A68&amp;B68&amp;C68,盘货信息!$A:$A&amp;盘货信息!$B:$B&amp;盘货信息!$C:$C,盘货信息!$E:$E)&amp;"元到手价")</f>
        <v/>
      </c>
      <c r="G68" s="18" t="str">
        <f t="array" ref="G68">IF(C68="","",IF(_xlfn.XLOOKUP(A68&amp;B68&amp;C68,盘货信息!$A:$A&amp;盘货信息!$B:$B&amp;盘货信息!$C:$C,盘货信息!$I:$I)="","","88VIP95折"))</f>
        <v/>
      </c>
      <c r="H68" s="18" t="str">
        <f t="array" ref="H68">IF(C68="","",IF(_xlfn.XLOOKUP(A68&amp;B68&amp;C68,盘货信息!$A:$A&amp;盘货信息!$B:$B&amp;盘货信息!$C:$C,盘货信息!$J:$J)="","",_xlfn.XLOOKUP(A68&amp;B68&amp;C68,盘货信息!$A:$A&amp;盘货信息!$B:$B&amp;盘货信息!$C:$C,盘货信息!$J:$J)&amp;"元优惠卷"))</f>
        <v/>
      </c>
      <c r="I68" s="18" t="str">
        <f t="array" ref="I68">IF(C68="","",IF(_xlfn.XLOOKUP(A68&amp;B68&amp;C68,盘货信息!$A:$A&amp;盘货信息!$B:$B&amp;盘货信息!$C:$C,盘货信息!$R:$R)="","",_xlfn.XLOOKUP(A68&amp;B68&amp;C68,盘货信息!$A:$A&amp;盘货信息!$B:$B&amp;盘货信息!$C:$C,盘货信息!$R:$R)&amp;"元优惠卷"))</f>
        <v/>
      </c>
      <c r="J68" s="18" t="str">
        <f t="array" ref="J68">IF(C68="","",IF(_xlfn.XLOOKUP(A68&amp;B68&amp;C68,盘货信息!$A:$A&amp;盘货信息!$B:$B&amp;盘货信息!$C:$C,盘货信息!$K:$K)="","",IF(OR(_xlfn.XLOOKUP(A68&amp;B68&amp;C68,盘货信息!$A:$A&amp;盘货信息!$B:$B&amp;盘货信息!$C:$C,盘货信息!$G:$G)="参加",_xlfn.XLOOKUP(A68&amp;B68&amp;C68,盘货信息!$A:$A&amp;盘货信息!$B:$B&amp;盘货信息!$C:$C,盘货信息!$H:$H)="1（纯自补）"),_xlfn.XLOOKUP(A68&amp;B68&amp;C68,盘货信息!$A:$A&amp;盘货信息!$B:$B&amp;盘货信息!$C:$C,盘货信息!$K:$K)&amp;"元以旧换新（可无旧机换新）","")))</f>
        <v/>
      </c>
      <c r="K68" s="18" t="str">
        <f t="array" ref="K68">IF(C68="","",IF(_xlfn.XLOOKUP(A68&amp;B68&amp;C68,盘货信息!$A:$A&amp;盘货信息!$B:$B&amp;盘货信息!$C:$C,盘货信息!$L:$L)="","",_xlfn.XLOOKUP(A68&amp;B68&amp;C68,盘货信息!$A:$A&amp;盘货信息!$B:$B&amp;盘货信息!$C:$C,盘货信息!$L:$L)&amp;"元限时补贴"))</f>
        <v/>
      </c>
      <c r="L68" s="18" t="str">
        <f t="array" ref="L68">IF(C68="","",IF(_xlfn.XLOOKUP(A68&amp;B68&amp;C68,盘货信息!$A:$A&amp;盘货信息!$B:$B&amp;盘货信息!$C:$C,盘货信息!$M:$M)="","",_xlfn.XLOOKUP(A68&amp;B68&amp;C68,盘货信息!$A:$A&amp;盘货信息!$B:$B&amp;盘货信息!$C:$C,盘货信息!$M:$M)&amp;"元消费券"))</f>
        <v/>
      </c>
      <c r="M68" s="18" t="str">
        <f t="array" ref="M68">IF(C68="","",IF(_xlfn.XLOOKUP(A68&amp;B68&amp;C68,盘货信息!$A:$A&amp;盘货信息!$B:$B&amp;盘货信息!$C:$C,盘货信息!$G:$G)="不参加","","焕新补贴优惠【全民可用，不限地址】"))</f>
        <v/>
      </c>
    </row>
    <row r="69" customHeight="1" spans="1:13">
      <c r="A69" s="17" t="str">
        <f>IF(盘货信息!A69="","",盘货信息!A69)</f>
        <v/>
      </c>
      <c r="B69" s="17" t="str">
        <f>IF(盘货信息!B69="","",盘货信息!B69)</f>
        <v/>
      </c>
      <c r="C69" s="18" t="str">
        <f>IF(盘货信息!C69="","",盘货信息!C69)</f>
        <v/>
      </c>
      <c r="D69" s="18" t="str">
        <f t="shared" si="1"/>
        <v/>
      </c>
      <c r="E69" s="18" t="str">
        <f t="array" ref="E69">IF(C69="","",IF(_xlfn.XLOOKUP(A69&amp;B69&amp;C69,盘货信息!$A:$A&amp;盘货信息!$B:$B&amp;盘货信息!$C:$C,盘货信息!$N:$N)="","【立减到手价"&amp;_xlfn.XLOOKUP(A69&amp;B69&amp;C69,盘货信息!$A:$A&amp;盘货信息!$B:$B&amp;盘货信息!$C:$C,盘货信息!$F:$F)&amp;"元】","【焕新补贴预估价"&amp;_xlfn.XLOOKUP(A69&amp;B69&amp;C69,盘货信息!$A:$A&amp;盘货信息!$B:$B&amp;盘货信息!$C:$C,盘货信息!$N:$N)&amp;"元】"))</f>
        <v/>
      </c>
      <c r="F69" s="18" t="str">
        <f t="array" ref="F69">IF(C69="","",_xlfn.XLOOKUP(A69&amp;B69&amp;C69,盘货信息!$A:$A&amp;盘货信息!$B:$B&amp;盘货信息!$C:$C,盘货信息!$E:$E)&amp;"元到手价")</f>
        <v/>
      </c>
      <c r="G69" s="18" t="str">
        <f t="array" ref="G69">IF(C69="","",IF(_xlfn.XLOOKUP(A69&amp;B69&amp;C69,盘货信息!$A:$A&amp;盘货信息!$B:$B&amp;盘货信息!$C:$C,盘货信息!$I:$I)="","","88VIP95折"))</f>
        <v/>
      </c>
      <c r="H69" s="18" t="str">
        <f t="array" ref="H69">IF(C69="","",IF(_xlfn.XLOOKUP(A69&amp;B69&amp;C69,盘货信息!$A:$A&amp;盘货信息!$B:$B&amp;盘货信息!$C:$C,盘货信息!$J:$J)="","",_xlfn.XLOOKUP(A69&amp;B69&amp;C69,盘货信息!$A:$A&amp;盘货信息!$B:$B&amp;盘货信息!$C:$C,盘货信息!$J:$J)&amp;"元优惠卷"))</f>
        <v/>
      </c>
      <c r="I69" s="18" t="str">
        <f t="array" ref="I69">IF(C69="","",IF(_xlfn.XLOOKUP(A69&amp;B69&amp;C69,盘货信息!$A:$A&amp;盘货信息!$B:$B&amp;盘货信息!$C:$C,盘货信息!$R:$R)="","",_xlfn.XLOOKUP(A69&amp;B69&amp;C69,盘货信息!$A:$A&amp;盘货信息!$B:$B&amp;盘货信息!$C:$C,盘货信息!$R:$R)&amp;"元优惠卷"))</f>
        <v/>
      </c>
      <c r="J69" s="18" t="str">
        <f t="array" ref="J69">IF(C69="","",IF(_xlfn.XLOOKUP(A69&amp;B69&amp;C69,盘货信息!$A:$A&amp;盘货信息!$B:$B&amp;盘货信息!$C:$C,盘货信息!$K:$K)="","",IF(OR(_xlfn.XLOOKUP(A69&amp;B69&amp;C69,盘货信息!$A:$A&amp;盘货信息!$B:$B&amp;盘货信息!$C:$C,盘货信息!$G:$G)="参加",_xlfn.XLOOKUP(A69&amp;B69&amp;C69,盘货信息!$A:$A&amp;盘货信息!$B:$B&amp;盘货信息!$C:$C,盘货信息!$H:$H)="1（纯自补）"),_xlfn.XLOOKUP(A69&amp;B69&amp;C69,盘货信息!$A:$A&amp;盘货信息!$B:$B&amp;盘货信息!$C:$C,盘货信息!$K:$K)&amp;"元以旧换新（可无旧机换新）","")))</f>
        <v/>
      </c>
      <c r="K69" s="18" t="str">
        <f t="array" ref="K69">IF(C69="","",IF(_xlfn.XLOOKUP(A69&amp;B69&amp;C69,盘货信息!$A:$A&amp;盘货信息!$B:$B&amp;盘货信息!$C:$C,盘货信息!$L:$L)="","",_xlfn.XLOOKUP(A69&amp;B69&amp;C69,盘货信息!$A:$A&amp;盘货信息!$B:$B&amp;盘货信息!$C:$C,盘货信息!$L:$L)&amp;"元限时补贴"))</f>
        <v/>
      </c>
      <c r="L69" s="18" t="str">
        <f t="array" ref="L69">IF(C69="","",IF(_xlfn.XLOOKUP(A69&amp;B69&amp;C69,盘货信息!$A:$A&amp;盘货信息!$B:$B&amp;盘货信息!$C:$C,盘货信息!$M:$M)="","",_xlfn.XLOOKUP(A69&amp;B69&amp;C69,盘货信息!$A:$A&amp;盘货信息!$B:$B&amp;盘货信息!$C:$C,盘货信息!$M:$M)&amp;"元消费券"))</f>
        <v/>
      </c>
      <c r="M69" s="18" t="str">
        <f t="array" ref="M69">IF(C69="","",IF(_xlfn.XLOOKUP(A69&amp;B69&amp;C69,盘货信息!$A:$A&amp;盘货信息!$B:$B&amp;盘货信息!$C:$C,盘货信息!$G:$G)="不参加","","焕新补贴优惠【全民可用，不限地址】"))</f>
        <v/>
      </c>
    </row>
    <row r="70" customHeight="1" spans="1:13">
      <c r="A70" s="17" t="str">
        <f>IF(盘货信息!A70="","",盘货信息!A70)</f>
        <v/>
      </c>
      <c r="B70" s="17" t="str">
        <f>IF(盘货信息!B70="","",盘货信息!B70)</f>
        <v/>
      </c>
      <c r="C70" s="18" t="str">
        <f>IF(盘货信息!C70="","",盘货信息!C70)</f>
        <v/>
      </c>
      <c r="D70" s="18" t="str">
        <f t="shared" si="1"/>
        <v/>
      </c>
      <c r="E70" s="18" t="str">
        <f t="array" ref="E70">IF(C70="","",IF(_xlfn.XLOOKUP(A70&amp;B70&amp;C70,盘货信息!$A:$A&amp;盘货信息!$B:$B&amp;盘货信息!$C:$C,盘货信息!$N:$N)="","【立减到手价"&amp;_xlfn.XLOOKUP(A70&amp;B70&amp;C70,盘货信息!$A:$A&amp;盘货信息!$B:$B&amp;盘货信息!$C:$C,盘货信息!$F:$F)&amp;"元】","【焕新补贴预估价"&amp;_xlfn.XLOOKUP(A70&amp;B70&amp;C70,盘货信息!$A:$A&amp;盘货信息!$B:$B&amp;盘货信息!$C:$C,盘货信息!$N:$N)&amp;"元】"))</f>
        <v/>
      </c>
      <c r="F70" s="18" t="str">
        <f t="array" ref="F70">IF(C70="","",_xlfn.XLOOKUP(A70&amp;B70&amp;C70,盘货信息!$A:$A&amp;盘货信息!$B:$B&amp;盘货信息!$C:$C,盘货信息!$E:$E)&amp;"元到手价")</f>
        <v/>
      </c>
      <c r="G70" s="18" t="str">
        <f t="array" ref="G70">IF(C70="","",IF(_xlfn.XLOOKUP(A70&amp;B70&amp;C70,盘货信息!$A:$A&amp;盘货信息!$B:$B&amp;盘货信息!$C:$C,盘货信息!$I:$I)="","","88VIP95折"))</f>
        <v/>
      </c>
      <c r="H70" s="18" t="str">
        <f t="array" ref="H70">IF(C70="","",IF(_xlfn.XLOOKUP(A70&amp;B70&amp;C70,盘货信息!$A:$A&amp;盘货信息!$B:$B&amp;盘货信息!$C:$C,盘货信息!$J:$J)="","",_xlfn.XLOOKUP(A70&amp;B70&amp;C70,盘货信息!$A:$A&amp;盘货信息!$B:$B&amp;盘货信息!$C:$C,盘货信息!$J:$J)&amp;"元优惠卷"))</f>
        <v/>
      </c>
      <c r="I70" s="18" t="str">
        <f t="array" ref="I70">IF(C70="","",IF(_xlfn.XLOOKUP(A70&amp;B70&amp;C70,盘货信息!$A:$A&amp;盘货信息!$B:$B&amp;盘货信息!$C:$C,盘货信息!$R:$R)="","",_xlfn.XLOOKUP(A70&amp;B70&amp;C70,盘货信息!$A:$A&amp;盘货信息!$B:$B&amp;盘货信息!$C:$C,盘货信息!$R:$R)&amp;"元优惠卷"))</f>
        <v/>
      </c>
      <c r="J70" s="18" t="str">
        <f t="array" ref="J70">IF(C70="","",IF(_xlfn.XLOOKUP(A70&amp;B70&amp;C70,盘货信息!$A:$A&amp;盘货信息!$B:$B&amp;盘货信息!$C:$C,盘货信息!$K:$K)="","",IF(OR(_xlfn.XLOOKUP(A70&amp;B70&amp;C70,盘货信息!$A:$A&amp;盘货信息!$B:$B&amp;盘货信息!$C:$C,盘货信息!$G:$G)="参加",_xlfn.XLOOKUP(A70&amp;B70&amp;C70,盘货信息!$A:$A&amp;盘货信息!$B:$B&amp;盘货信息!$C:$C,盘货信息!$H:$H)="1（纯自补）"),_xlfn.XLOOKUP(A70&amp;B70&amp;C70,盘货信息!$A:$A&amp;盘货信息!$B:$B&amp;盘货信息!$C:$C,盘货信息!$K:$K)&amp;"元以旧换新（可无旧机换新）","")))</f>
        <v/>
      </c>
      <c r="K70" s="18" t="str">
        <f t="array" ref="K70">IF(C70="","",IF(_xlfn.XLOOKUP(A70&amp;B70&amp;C70,盘货信息!$A:$A&amp;盘货信息!$B:$B&amp;盘货信息!$C:$C,盘货信息!$L:$L)="","",_xlfn.XLOOKUP(A70&amp;B70&amp;C70,盘货信息!$A:$A&amp;盘货信息!$B:$B&amp;盘货信息!$C:$C,盘货信息!$L:$L)&amp;"元限时补贴"))</f>
        <v/>
      </c>
      <c r="L70" s="18" t="str">
        <f t="array" ref="L70">IF(C70="","",IF(_xlfn.XLOOKUP(A70&amp;B70&amp;C70,盘货信息!$A:$A&amp;盘货信息!$B:$B&amp;盘货信息!$C:$C,盘货信息!$M:$M)="","",_xlfn.XLOOKUP(A70&amp;B70&amp;C70,盘货信息!$A:$A&amp;盘货信息!$B:$B&amp;盘货信息!$C:$C,盘货信息!$M:$M)&amp;"元消费券"))</f>
        <v/>
      </c>
      <c r="M70" s="18" t="str">
        <f t="array" ref="M70">IF(C70="","",IF(_xlfn.XLOOKUP(A70&amp;B70&amp;C70,盘货信息!$A:$A&amp;盘货信息!$B:$B&amp;盘货信息!$C:$C,盘货信息!$G:$G)="不参加","","焕新补贴优惠【全民可用，不限地址】"))</f>
        <v/>
      </c>
    </row>
    <row r="71" customHeight="1" spans="1:13">
      <c r="A71" s="17" t="str">
        <f>IF(盘货信息!A71="","",盘货信息!A71)</f>
        <v/>
      </c>
      <c r="B71" s="17" t="str">
        <f>IF(盘货信息!B71="","",盘货信息!B71)</f>
        <v/>
      </c>
      <c r="C71" s="18" t="str">
        <f>IF(盘货信息!C71="","",盘货信息!C71)</f>
        <v/>
      </c>
      <c r="D71" s="18" t="str">
        <f t="shared" si="1"/>
        <v/>
      </c>
      <c r="E71" s="18" t="str">
        <f t="array" ref="E71">IF(C71="","",IF(_xlfn.XLOOKUP(A71&amp;B71&amp;C71,盘货信息!$A:$A&amp;盘货信息!$B:$B&amp;盘货信息!$C:$C,盘货信息!$N:$N)="","【立减到手价"&amp;_xlfn.XLOOKUP(A71&amp;B71&amp;C71,盘货信息!$A:$A&amp;盘货信息!$B:$B&amp;盘货信息!$C:$C,盘货信息!$F:$F)&amp;"元】","【焕新补贴预估价"&amp;_xlfn.XLOOKUP(A71&amp;B71&amp;C71,盘货信息!$A:$A&amp;盘货信息!$B:$B&amp;盘货信息!$C:$C,盘货信息!$N:$N)&amp;"元】"))</f>
        <v/>
      </c>
      <c r="F71" s="18" t="str">
        <f t="array" ref="F71">IF(C71="","",_xlfn.XLOOKUP(A71&amp;B71&amp;C71,盘货信息!$A:$A&amp;盘货信息!$B:$B&amp;盘货信息!$C:$C,盘货信息!$E:$E)&amp;"元到手价")</f>
        <v/>
      </c>
      <c r="G71" s="18" t="str">
        <f t="array" ref="G71">IF(C71="","",IF(_xlfn.XLOOKUP(A71&amp;B71&amp;C71,盘货信息!$A:$A&amp;盘货信息!$B:$B&amp;盘货信息!$C:$C,盘货信息!$I:$I)="","","88VIP95折"))</f>
        <v/>
      </c>
      <c r="H71" s="18" t="str">
        <f t="array" ref="H71">IF(C71="","",IF(_xlfn.XLOOKUP(A71&amp;B71&amp;C71,盘货信息!$A:$A&amp;盘货信息!$B:$B&amp;盘货信息!$C:$C,盘货信息!$J:$J)="","",_xlfn.XLOOKUP(A71&amp;B71&amp;C71,盘货信息!$A:$A&amp;盘货信息!$B:$B&amp;盘货信息!$C:$C,盘货信息!$J:$J)&amp;"元优惠卷"))</f>
        <v/>
      </c>
      <c r="I71" s="18" t="str">
        <f t="array" ref="I71">IF(C71="","",IF(_xlfn.XLOOKUP(A71&amp;B71&amp;C71,盘货信息!$A:$A&amp;盘货信息!$B:$B&amp;盘货信息!$C:$C,盘货信息!$R:$R)="","",_xlfn.XLOOKUP(A71&amp;B71&amp;C71,盘货信息!$A:$A&amp;盘货信息!$B:$B&amp;盘货信息!$C:$C,盘货信息!$R:$R)&amp;"元优惠卷"))</f>
        <v/>
      </c>
      <c r="J71" s="18" t="str">
        <f t="array" ref="J71">IF(C71="","",IF(_xlfn.XLOOKUP(A71&amp;B71&amp;C71,盘货信息!$A:$A&amp;盘货信息!$B:$B&amp;盘货信息!$C:$C,盘货信息!$K:$K)="","",IF(OR(_xlfn.XLOOKUP(A71&amp;B71&amp;C71,盘货信息!$A:$A&amp;盘货信息!$B:$B&amp;盘货信息!$C:$C,盘货信息!$G:$G)="参加",_xlfn.XLOOKUP(A71&amp;B71&amp;C71,盘货信息!$A:$A&amp;盘货信息!$B:$B&amp;盘货信息!$C:$C,盘货信息!$H:$H)="1（纯自补）"),_xlfn.XLOOKUP(A71&amp;B71&amp;C71,盘货信息!$A:$A&amp;盘货信息!$B:$B&amp;盘货信息!$C:$C,盘货信息!$K:$K)&amp;"元以旧换新（可无旧机换新）","")))</f>
        <v/>
      </c>
      <c r="K71" s="18" t="str">
        <f t="array" ref="K71">IF(C71="","",IF(_xlfn.XLOOKUP(A71&amp;B71&amp;C71,盘货信息!$A:$A&amp;盘货信息!$B:$B&amp;盘货信息!$C:$C,盘货信息!$L:$L)="","",_xlfn.XLOOKUP(A71&amp;B71&amp;C71,盘货信息!$A:$A&amp;盘货信息!$B:$B&amp;盘货信息!$C:$C,盘货信息!$L:$L)&amp;"元限时补贴"))</f>
        <v/>
      </c>
      <c r="L71" s="18" t="str">
        <f t="array" ref="L71">IF(C71="","",IF(_xlfn.XLOOKUP(A71&amp;B71&amp;C71,盘货信息!$A:$A&amp;盘货信息!$B:$B&amp;盘货信息!$C:$C,盘货信息!$M:$M)="","",_xlfn.XLOOKUP(A71&amp;B71&amp;C71,盘货信息!$A:$A&amp;盘货信息!$B:$B&amp;盘货信息!$C:$C,盘货信息!$M:$M)&amp;"元消费券"))</f>
        <v/>
      </c>
      <c r="M71" s="18" t="str">
        <f t="array" ref="M71">IF(C71="","",IF(_xlfn.XLOOKUP(A71&amp;B71&amp;C71,盘货信息!$A:$A&amp;盘货信息!$B:$B&amp;盘货信息!$C:$C,盘货信息!$G:$G)="不参加","","焕新补贴优惠【全民可用，不限地址】"))</f>
        <v/>
      </c>
    </row>
    <row r="72" customHeight="1" spans="1:13">
      <c r="A72" s="17" t="str">
        <f>IF(盘货信息!A72="","",盘货信息!A72)</f>
        <v/>
      </c>
      <c r="B72" s="17" t="str">
        <f>IF(盘货信息!B72="","",盘货信息!B72)</f>
        <v/>
      </c>
      <c r="C72" s="18" t="str">
        <f>IF(盘货信息!C72="","",盘货信息!C72)</f>
        <v/>
      </c>
      <c r="D72" s="18" t="str">
        <f t="shared" si="1"/>
        <v/>
      </c>
      <c r="E72" s="18" t="str">
        <f t="array" ref="E72">IF(C72="","",IF(_xlfn.XLOOKUP(A72&amp;B72&amp;C72,盘货信息!$A:$A&amp;盘货信息!$B:$B&amp;盘货信息!$C:$C,盘货信息!$N:$N)="","【立减到手价"&amp;_xlfn.XLOOKUP(A72&amp;B72&amp;C72,盘货信息!$A:$A&amp;盘货信息!$B:$B&amp;盘货信息!$C:$C,盘货信息!$F:$F)&amp;"元】","【焕新补贴预估价"&amp;_xlfn.XLOOKUP(A72&amp;B72&amp;C72,盘货信息!$A:$A&amp;盘货信息!$B:$B&amp;盘货信息!$C:$C,盘货信息!$N:$N)&amp;"元】"))</f>
        <v/>
      </c>
      <c r="F72" s="18" t="str">
        <f t="array" ref="F72">IF(C72="","",_xlfn.XLOOKUP(A72&amp;B72&amp;C72,盘货信息!$A:$A&amp;盘货信息!$B:$B&amp;盘货信息!$C:$C,盘货信息!$E:$E)&amp;"元到手价")</f>
        <v/>
      </c>
      <c r="G72" s="18" t="str">
        <f t="array" ref="G72">IF(C72="","",IF(_xlfn.XLOOKUP(A72&amp;B72&amp;C72,盘货信息!$A:$A&amp;盘货信息!$B:$B&amp;盘货信息!$C:$C,盘货信息!$I:$I)="","","88VIP95折"))</f>
        <v/>
      </c>
      <c r="H72" s="18" t="str">
        <f t="array" ref="H72">IF(C72="","",IF(_xlfn.XLOOKUP(A72&amp;B72&amp;C72,盘货信息!$A:$A&amp;盘货信息!$B:$B&amp;盘货信息!$C:$C,盘货信息!$J:$J)="","",_xlfn.XLOOKUP(A72&amp;B72&amp;C72,盘货信息!$A:$A&amp;盘货信息!$B:$B&amp;盘货信息!$C:$C,盘货信息!$J:$J)&amp;"元优惠卷"))</f>
        <v/>
      </c>
      <c r="I72" s="18" t="str">
        <f t="array" ref="I72">IF(C72="","",IF(_xlfn.XLOOKUP(A72&amp;B72&amp;C72,盘货信息!$A:$A&amp;盘货信息!$B:$B&amp;盘货信息!$C:$C,盘货信息!$R:$R)="","",_xlfn.XLOOKUP(A72&amp;B72&amp;C72,盘货信息!$A:$A&amp;盘货信息!$B:$B&amp;盘货信息!$C:$C,盘货信息!$R:$R)&amp;"元优惠卷"))</f>
        <v/>
      </c>
      <c r="J72" s="18" t="str">
        <f t="array" ref="J72">IF(C72="","",IF(_xlfn.XLOOKUP(A72&amp;B72&amp;C72,盘货信息!$A:$A&amp;盘货信息!$B:$B&amp;盘货信息!$C:$C,盘货信息!$K:$K)="","",IF(OR(_xlfn.XLOOKUP(A72&amp;B72&amp;C72,盘货信息!$A:$A&amp;盘货信息!$B:$B&amp;盘货信息!$C:$C,盘货信息!$G:$G)="参加",_xlfn.XLOOKUP(A72&amp;B72&amp;C72,盘货信息!$A:$A&amp;盘货信息!$B:$B&amp;盘货信息!$C:$C,盘货信息!$H:$H)="1（纯自补）"),_xlfn.XLOOKUP(A72&amp;B72&amp;C72,盘货信息!$A:$A&amp;盘货信息!$B:$B&amp;盘货信息!$C:$C,盘货信息!$K:$K)&amp;"元以旧换新（可无旧机换新）","")))</f>
        <v/>
      </c>
      <c r="K72" s="18" t="str">
        <f t="array" ref="K72">IF(C72="","",IF(_xlfn.XLOOKUP(A72&amp;B72&amp;C72,盘货信息!$A:$A&amp;盘货信息!$B:$B&amp;盘货信息!$C:$C,盘货信息!$L:$L)="","",_xlfn.XLOOKUP(A72&amp;B72&amp;C72,盘货信息!$A:$A&amp;盘货信息!$B:$B&amp;盘货信息!$C:$C,盘货信息!$L:$L)&amp;"元限时补贴"))</f>
        <v/>
      </c>
      <c r="L72" s="18" t="str">
        <f t="array" ref="L72">IF(C72="","",IF(_xlfn.XLOOKUP(A72&amp;B72&amp;C72,盘货信息!$A:$A&amp;盘货信息!$B:$B&amp;盘货信息!$C:$C,盘货信息!$M:$M)="","",_xlfn.XLOOKUP(A72&amp;B72&amp;C72,盘货信息!$A:$A&amp;盘货信息!$B:$B&amp;盘货信息!$C:$C,盘货信息!$M:$M)&amp;"元消费券"))</f>
        <v/>
      </c>
      <c r="M72" s="18" t="str">
        <f t="array" ref="M72">IF(C72="","",IF(_xlfn.XLOOKUP(A72&amp;B72&amp;C72,盘货信息!$A:$A&amp;盘货信息!$B:$B&amp;盘货信息!$C:$C,盘货信息!$G:$G)="不参加","","焕新补贴优惠【全民可用，不限地址】"))</f>
        <v/>
      </c>
    </row>
    <row r="73" customHeight="1" spans="1:13">
      <c r="A73" s="17" t="str">
        <f>IF(盘货信息!A73="","",盘货信息!A73)</f>
        <v/>
      </c>
      <c r="B73" s="17" t="str">
        <f>IF(盘货信息!B73="","",盘货信息!B73)</f>
        <v/>
      </c>
      <c r="C73" s="18" t="str">
        <f>IF(盘货信息!C73="","",盘货信息!C73)</f>
        <v/>
      </c>
      <c r="D73" s="18" t="str">
        <f t="shared" si="1"/>
        <v/>
      </c>
      <c r="E73" s="18" t="str">
        <f t="array" ref="E73">IF(C73="","",IF(_xlfn.XLOOKUP(A73&amp;B73&amp;C73,盘货信息!$A:$A&amp;盘货信息!$B:$B&amp;盘货信息!$C:$C,盘货信息!$N:$N)="","【立减到手价"&amp;_xlfn.XLOOKUP(A73&amp;B73&amp;C73,盘货信息!$A:$A&amp;盘货信息!$B:$B&amp;盘货信息!$C:$C,盘货信息!$F:$F)&amp;"元】","【焕新补贴预估价"&amp;_xlfn.XLOOKUP(A73&amp;B73&amp;C73,盘货信息!$A:$A&amp;盘货信息!$B:$B&amp;盘货信息!$C:$C,盘货信息!$N:$N)&amp;"元】"))</f>
        <v/>
      </c>
      <c r="F73" s="18" t="str">
        <f t="array" ref="F73">IF(C73="","",_xlfn.XLOOKUP(A73&amp;B73&amp;C73,盘货信息!$A:$A&amp;盘货信息!$B:$B&amp;盘货信息!$C:$C,盘货信息!$E:$E)&amp;"元到手价")</f>
        <v/>
      </c>
      <c r="G73" s="18" t="str">
        <f t="array" ref="G73">IF(C73="","",IF(_xlfn.XLOOKUP(A73&amp;B73&amp;C73,盘货信息!$A:$A&amp;盘货信息!$B:$B&amp;盘货信息!$C:$C,盘货信息!$I:$I)="","","88VIP95折"))</f>
        <v/>
      </c>
      <c r="H73" s="18" t="str">
        <f t="array" ref="H73">IF(C73="","",IF(_xlfn.XLOOKUP(A73&amp;B73&amp;C73,盘货信息!$A:$A&amp;盘货信息!$B:$B&amp;盘货信息!$C:$C,盘货信息!$J:$J)="","",_xlfn.XLOOKUP(A73&amp;B73&amp;C73,盘货信息!$A:$A&amp;盘货信息!$B:$B&amp;盘货信息!$C:$C,盘货信息!$J:$J)&amp;"元优惠卷"))</f>
        <v/>
      </c>
      <c r="I73" s="18" t="str">
        <f t="array" ref="I73">IF(C73="","",IF(_xlfn.XLOOKUP(A73&amp;B73&amp;C73,盘货信息!$A:$A&amp;盘货信息!$B:$B&amp;盘货信息!$C:$C,盘货信息!$R:$R)="","",_xlfn.XLOOKUP(A73&amp;B73&amp;C73,盘货信息!$A:$A&amp;盘货信息!$B:$B&amp;盘货信息!$C:$C,盘货信息!$R:$R)&amp;"元优惠卷"))</f>
        <v/>
      </c>
      <c r="J73" s="18" t="str">
        <f t="array" ref="J73">IF(C73="","",IF(_xlfn.XLOOKUP(A73&amp;B73&amp;C73,盘货信息!$A:$A&amp;盘货信息!$B:$B&amp;盘货信息!$C:$C,盘货信息!$K:$K)="","",IF(OR(_xlfn.XLOOKUP(A73&amp;B73&amp;C73,盘货信息!$A:$A&amp;盘货信息!$B:$B&amp;盘货信息!$C:$C,盘货信息!$G:$G)="参加",_xlfn.XLOOKUP(A73&amp;B73&amp;C73,盘货信息!$A:$A&amp;盘货信息!$B:$B&amp;盘货信息!$C:$C,盘货信息!$H:$H)="1（纯自补）"),_xlfn.XLOOKUP(A73&amp;B73&amp;C73,盘货信息!$A:$A&amp;盘货信息!$B:$B&amp;盘货信息!$C:$C,盘货信息!$K:$K)&amp;"元以旧换新（可无旧机换新）","")))</f>
        <v/>
      </c>
      <c r="K73" s="18" t="str">
        <f t="array" ref="K73">IF(C73="","",IF(_xlfn.XLOOKUP(A73&amp;B73&amp;C73,盘货信息!$A:$A&amp;盘货信息!$B:$B&amp;盘货信息!$C:$C,盘货信息!$L:$L)="","",_xlfn.XLOOKUP(A73&amp;B73&amp;C73,盘货信息!$A:$A&amp;盘货信息!$B:$B&amp;盘货信息!$C:$C,盘货信息!$L:$L)&amp;"元限时补贴"))</f>
        <v/>
      </c>
      <c r="L73" s="18" t="str">
        <f t="array" ref="L73">IF(C73="","",IF(_xlfn.XLOOKUP(A73&amp;B73&amp;C73,盘货信息!$A:$A&amp;盘货信息!$B:$B&amp;盘货信息!$C:$C,盘货信息!$M:$M)="","",_xlfn.XLOOKUP(A73&amp;B73&amp;C73,盘货信息!$A:$A&amp;盘货信息!$B:$B&amp;盘货信息!$C:$C,盘货信息!$M:$M)&amp;"元消费券"))</f>
        <v/>
      </c>
      <c r="M73" s="18" t="str">
        <f t="array" ref="M73">IF(C73="","",IF(_xlfn.XLOOKUP(A73&amp;B73&amp;C73,盘货信息!$A:$A&amp;盘货信息!$B:$B&amp;盘货信息!$C:$C,盘货信息!$G:$G)="不参加","","焕新补贴优惠【全民可用，不限地址】"))</f>
        <v/>
      </c>
    </row>
    <row r="74" customHeight="1" spans="1:13">
      <c r="A74" s="17" t="str">
        <f>IF(盘货信息!A74="","",盘货信息!A74)</f>
        <v/>
      </c>
      <c r="B74" s="17" t="str">
        <f>IF(盘货信息!B74="","",盘货信息!B74)</f>
        <v/>
      </c>
      <c r="C74" s="18" t="str">
        <f>IF(盘货信息!C74="","",盘货信息!C74)</f>
        <v/>
      </c>
      <c r="D74" s="18" t="str">
        <f t="shared" si="1"/>
        <v/>
      </c>
      <c r="E74" s="18" t="str">
        <f t="array" ref="E74">IF(C74="","",IF(_xlfn.XLOOKUP(A74&amp;B74&amp;C74,盘货信息!$A:$A&amp;盘货信息!$B:$B&amp;盘货信息!$C:$C,盘货信息!$N:$N)="","【立减到手价"&amp;_xlfn.XLOOKUP(A74&amp;B74&amp;C74,盘货信息!$A:$A&amp;盘货信息!$B:$B&amp;盘货信息!$C:$C,盘货信息!$F:$F)&amp;"元】","【焕新补贴预估价"&amp;_xlfn.XLOOKUP(A74&amp;B74&amp;C74,盘货信息!$A:$A&amp;盘货信息!$B:$B&amp;盘货信息!$C:$C,盘货信息!$N:$N)&amp;"元】"))</f>
        <v/>
      </c>
      <c r="F74" s="18" t="str">
        <f t="array" ref="F74">IF(C74="","",_xlfn.XLOOKUP(A74&amp;B74&amp;C74,盘货信息!$A:$A&amp;盘货信息!$B:$B&amp;盘货信息!$C:$C,盘货信息!$E:$E)&amp;"元到手价")</f>
        <v/>
      </c>
      <c r="G74" s="18" t="str">
        <f t="array" ref="G74">IF(C74="","",IF(_xlfn.XLOOKUP(A74&amp;B74&amp;C74,盘货信息!$A:$A&amp;盘货信息!$B:$B&amp;盘货信息!$C:$C,盘货信息!$I:$I)="","","88VIP95折"))</f>
        <v/>
      </c>
      <c r="H74" s="18" t="str">
        <f t="array" ref="H74">IF(C74="","",IF(_xlfn.XLOOKUP(A74&amp;B74&amp;C74,盘货信息!$A:$A&amp;盘货信息!$B:$B&amp;盘货信息!$C:$C,盘货信息!$J:$J)="","",_xlfn.XLOOKUP(A74&amp;B74&amp;C74,盘货信息!$A:$A&amp;盘货信息!$B:$B&amp;盘货信息!$C:$C,盘货信息!$J:$J)&amp;"元优惠卷"))</f>
        <v/>
      </c>
      <c r="I74" s="18" t="str">
        <f t="array" ref="I74">IF(C74="","",IF(_xlfn.XLOOKUP(A74&amp;B74&amp;C74,盘货信息!$A:$A&amp;盘货信息!$B:$B&amp;盘货信息!$C:$C,盘货信息!$R:$R)="","",_xlfn.XLOOKUP(A74&amp;B74&amp;C74,盘货信息!$A:$A&amp;盘货信息!$B:$B&amp;盘货信息!$C:$C,盘货信息!$R:$R)&amp;"元优惠卷"))</f>
        <v/>
      </c>
      <c r="J74" s="18" t="str">
        <f t="array" ref="J74">IF(C74="","",IF(_xlfn.XLOOKUP(A74&amp;B74&amp;C74,盘货信息!$A:$A&amp;盘货信息!$B:$B&amp;盘货信息!$C:$C,盘货信息!$K:$K)="","",IF(OR(_xlfn.XLOOKUP(A74&amp;B74&amp;C74,盘货信息!$A:$A&amp;盘货信息!$B:$B&amp;盘货信息!$C:$C,盘货信息!$G:$G)="参加",_xlfn.XLOOKUP(A74&amp;B74&amp;C74,盘货信息!$A:$A&amp;盘货信息!$B:$B&amp;盘货信息!$C:$C,盘货信息!$H:$H)="1（纯自补）"),_xlfn.XLOOKUP(A74&amp;B74&amp;C74,盘货信息!$A:$A&amp;盘货信息!$B:$B&amp;盘货信息!$C:$C,盘货信息!$K:$K)&amp;"元以旧换新（可无旧机换新）","")))</f>
        <v/>
      </c>
      <c r="K74" s="18" t="str">
        <f t="array" ref="K74">IF(C74="","",IF(_xlfn.XLOOKUP(A74&amp;B74&amp;C74,盘货信息!$A:$A&amp;盘货信息!$B:$B&amp;盘货信息!$C:$C,盘货信息!$L:$L)="","",_xlfn.XLOOKUP(A74&amp;B74&amp;C74,盘货信息!$A:$A&amp;盘货信息!$B:$B&amp;盘货信息!$C:$C,盘货信息!$L:$L)&amp;"元限时补贴"))</f>
        <v/>
      </c>
      <c r="L74" s="18" t="str">
        <f t="array" ref="L74">IF(C74="","",IF(_xlfn.XLOOKUP(A74&amp;B74&amp;C74,盘货信息!$A:$A&amp;盘货信息!$B:$B&amp;盘货信息!$C:$C,盘货信息!$M:$M)="","",_xlfn.XLOOKUP(A74&amp;B74&amp;C74,盘货信息!$A:$A&amp;盘货信息!$B:$B&amp;盘货信息!$C:$C,盘货信息!$M:$M)&amp;"元消费券"))</f>
        <v/>
      </c>
      <c r="M74" s="18" t="str">
        <f t="array" ref="M74">IF(C74="","",IF(_xlfn.XLOOKUP(A74&amp;B74&amp;C74,盘货信息!$A:$A&amp;盘货信息!$B:$B&amp;盘货信息!$C:$C,盘货信息!$G:$G)="不参加","","焕新补贴优惠【全民可用，不限地址】"))</f>
        <v/>
      </c>
    </row>
    <row r="75" customHeight="1" spans="1:13">
      <c r="A75" s="17" t="str">
        <f>IF(盘货信息!A75="","",盘货信息!A75)</f>
        <v/>
      </c>
      <c r="B75" s="17" t="str">
        <f>IF(盘货信息!B75="","",盘货信息!B75)</f>
        <v/>
      </c>
      <c r="C75" s="18" t="str">
        <f>IF(盘货信息!C75="","",盘货信息!C75)</f>
        <v/>
      </c>
      <c r="D75" s="18" t="str">
        <f t="shared" si="1"/>
        <v/>
      </c>
      <c r="E75" s="18" t="str">
        <f t="array" ref="E75">IF(C75="","",IF(_xlfn.XLOOKUP(A75&amp;B75&amp;C75,盘货信息!$A:$A&amp;盘货信息!$B:$B&amp;盘货信息!$C:$C,盘货信息!$N:$N)="","【立减到手价"&amp;_xlfn.XLOOKUP(A75&amp;B75&amp;C75,盘货信息!$A:$A&amp;盘货信息!$B:$B&amp;盘货信息!$C:$C,盘货信息!$F:$F)&amp;"元】","【焕新补贴预估价"&amp;_xlfn.XLOOKUP(A75&amp;B75&amp;C75,盘货信息!$A:$A&amp;盘货信息!$B:$B&amp;盘货信息!$C:$C,盘货信息!$N:$N)&amp;"元】"))</f>
        <v/>
      </c>
      <c r="F75" s="18" t="str">
        <f t="array" ref="F75">IF(C75="","",_xlfn.XLOOKUP(A75&amp;B75&amp;C75,盘货信息!$A:$A&amp;盘货信息!$B:$B&amp;盘货信息!$C:$C,盘货信息!$E:$E)&amp;"元到手价")</f>
        <v/>
      </c>
      <c r="G75" s="18" t="str">
        <f t="array" ref="G75">IF(C75="","",IF(_xlfn.XLOOKUP(A75&amp;B75&amp;C75,盘货信息!$A:$A&amp;盘货信息!$B:$B&amp;盘货信息!$C:$C,盘货信息!$I:$I)="","","88VIP95折"))</f>
        <v/>
      </c>
      <c r="H75" s="18" t="str">
        <f t="array" ref="H75">IF(C75="","",IF(_xlfn.XLOOKUP(A75&amp;B75&amp;C75,盘货信息!$A:$A&amp;盘货信息!$B:$B&amp;盘货信息!$C:$C,盘货信息!$J:$J)="","",_xlfn.XLOOKUP(A75&amp;B75&amp;C75,盘货信息!$A:$A&amp;盘货信息!$B:$B&amp;盘货信息!$C:$C,盘货信息!$J:$J)&amp;"元优惠卷"))</f>
        <v/>
      </c>
      <c r="I75" s="18" t="str">
        <f t="array" ref="I75">IF(C75="","",IF(_xlfn.XLOOKUP(A75&amp;B75&amp;C75,盘货信息!$A:$A&amp;盘货信息!$B:$B&amp;盘货信息!$C:$C,盘货信息!$R:$R)="","",_xlfn.XLOOKUP(A75&amp;B75&amp;C75,盘货信息!$A:$A&amp;盘货信息!$B:$B&amp;盘货信息!$C:$C,盘货信息!$R:$R)&amp;"元优惠卷"))</f>
        <v/>
      </c>
      <c r="J75" s="18" t="str">
        <f t="array" ref="J75">IF(C75="","",IF(_xlfn.XLOOKUP(A75&amp;B75&amp;C75,盘货信息!$A:$A&amp;盘货信息!$B:$B&amp;盘货信息!$C:$C,盘货信息!$K:$K)="","",IF(OR(_xlfn.XLOOKUP(A75&amp;B75&amp;C75,盘货信息!$A:$A&amp;盘货信息!$B:$B&amp;盘货信息!$C:$C,盘货信息!$G:$G)="参加",_xlfn.XLOOKUP(A75&amp;B75&amp;C75,盘货信息!$A:$A&amp;盘货信息!$B:$B&amp;盘货信息!$C:$C,盘货信息!$H:$H)="1（纯自补）"),_xlfn.XLOOKUP(A75&amp;B75&amp;C75,盘货信息!$A:$A&amp;盘货信息!$B:$B&amp;盘货信息!$C:$C,盘货信息!$K:$K)&amp;"元以旧换新（可无旧机换新）","")))</f>
        <v/>
      </c>
      <c r="K75" s="18" t="str">
        <f t="array" ref="K75">IF(C75="","",IF(_xlfn.XLOOKUP(A75&amp;B75&amp;C75,盘货信息!$A:$A&amp;盘货信息!$B:$B&amp;盘货信息!$C:$C,盘货信息!$L:$L)="","",_xlfn.XLOOKUP(A75&amp;B75&amp;C75,盘货信息!$A:$A&amp;盘货信息!$B:$B&amp;盘货信息!$C:$C,盘货信息!$L:$L)&amp;"元限时补贴"))</f>
        <v/>
      </c>
      <c r="L75" s="18" t="str">
        <f t="array" ref="L75">IF(C75="","",IF(_xlfn.XLOOKUP(A75&amp;B75&amp;C75,盘货信息!$A:$A&amp;盘货信息!$B:$B&amp;盘货信息!$C:$C,盘货信息!$M:$M)="","",_xlfn.XLOOKUP(A75&amp;B75&amp;C75,盘货信息!$A:$A&amp;盘货信息!$B:$B&amp;盘货信息!$C:$C,盘货信息!$M:$M)&amp;"元消费券"))</f>
        <v/>
      </c>
      <c r="M75" s="18" t="str">
        <f t="array" ref="M75">IF(C75="","",IF(_xlfn.XLOOKUP(A75&amp;B75&amp;C75,盘货信息!$A:$A&amp;盘货信息!$B:$B&amp;盘货信息!$C:$C,盘货信息!$G:$G)="不参加","","焕新补贴优惠【全民可用，不限地址】"))</f>
        <v/>
      </c>
    </row>
    <row r="76" customHeight="1" spans="1:13">
      <c r="A76" s="17" t="str">
        <f>IF(盘货信息!A76="","",盘货信息!A76)</f>
        <v/>
      </c>
      <c r="B76" s="17" t="str">
        <f>IF(盘货信息!B76="","",盘货信息!B76)</f>
        <v/>
      </c>
      <c r="C76" s="18" t="str">
        <f>IF(盘货信息!C76="","",盘货信息!C76)</f>
        <v/>
      </c>
      <c r="D76" s="18" t="str">
        <f t="shared" si="1"/>
        <v/>
      </c>
      <c r="E76" s="18" t="str">
        <f t="array" ref="E76">IF(C76="","",IF(_xlfn.XLOOKUP(A76&amp;B76&amp;C76,盘货信息!$A:$A&amp;盘货信息!$B:$B&amp;盘货信息!$C:$C,盘货信息!$N:$N)="","【立减到手价"&amp;_xlfn.XLOOKUP(A76&amp;B76&amp;C76,盘货信息!$A:$A&amp;盘货信息!$B:$B&amp;盘货信息!$C:$C,盘货信息!$F:$F)&amp;"元】","【焕新补贴预估价"&amp;_xlfn.XLOOKUP(A76&amp;B76&amp;C76,盘货信息!$A:$A&amp;盘货信息!$B:$B&amp;盘货信息!$C:$C,盘货信息!$N:$N)&amp;"元】"))</f>
        <v/>
      </c>
      <c r="F76" s="18" t="str">
        <f t="array" ref="F76">IF(C76="","",_xlfn.XLOOKUP(A76&amp;B76&amp;C76,盘货信息!$A:$A&amp;盘货信息!$B:$B&amp;盘货信息!$C:$C,盘货信息!$E:$E)&amp;"元到手价")</f>
        <v/>
      </c>
      <c r="G76" s="18" t="str">
        <f t="array" ref="G76">IF(C76="","",IF(_xlfn.XLOOKUP(A76&amp;B76&amp;C76,盘货信息!$A:$A&amp;盘货信息!$B:$B&amp;盘货信息!$C:$C,盘货信息!$I:$I)="","","88VIP95折"))</f>
        <v/>
      </c>
      <c r="H76" s="18" t="str">
        <f t="array" ref="H76">IF(C76="","",IF(_xlfn.XLOOKUP(A76&amp;B76&amp;C76,盘货信息!$A:$A&amp;盘货信息!$B:$B&amp;盘货信息!$C:$C,盘货信息!$J:$J)="","",_xlfn.XLOOKUP(A76&amp;B76&amp;C76,盘货信息!$A:$A&amp;盘货信息!$B:$B&amp;盘货信息!$C:$C,盘货信息!$J:$J)&amp;"元优惠卷"))</f>
        <v/>
      </c>
      <c r="I76" s="18" t="str">
        <f t="array" ref="I76">IF(C76="","",IF(_xlfn.XLOOKUP(A76&amp;B76&amp;C76,盘货信息!$A:$A&amp;盘货信息!$B:$B&amp;盘货信息!$C:$C,盘货信息!$R:$R)="","",_xlfn.XLOOKUP(A76&amp;B76&amp;C76,盘货信息!$A:$A&amp;盘货信息!$B:$B&amp;盘货信息!$C:$C,盘货信息!$R:$R)&amp;"元优惠卷"))</f>
        <v/>
      </c>
      <c r="J76" s="18" t="str">
        <f t="array" ref="J76">IF(C76="","",IF(_xlfn.XLOOKUP(A76&amp;B76&amp;C76,盘货信息!$A:$A&amp;盘货信息!$B:$B&amp;盘货信息!$C:$C,盘货信息!$K:$K)="","",IF(OR(_xlfn.XLOOKUP(A76&amp;B76&amp;C76,盘货信息!$A:$A&amp;盘货信息!$B:$B&amp;盘货信息!$C:$C,盘货信息!$G:$G)="参加",_xlfn.XLOOKUP(A76&amp;B76&amp;C76,盘货信息!$A:$A&amp;盘货信息!$B:$B&amp;盘货信息!$C:$C,盘货信息!$H:$H)="1（纯自补）"),_xlfn.XLOOKUP(A76&amp;B76&amp;C76,盘货信息!$A:$A&amp;盘货信息!$B:$B&amp;盘货信息!$C:$C,盘货信息!$K:$K)&amp;"元以旧换新（可无旧机换新）","")))</f>
        <v/>
      </c>
      <c r="K76" s="18" t="str">
        <f t="array" ref="K76">IF(C76="","",IF(_xlfn.XLOOKUP(A76&amp;B76&amp;C76,盘货信息!$A:$A&amp;盘货信息!$B:$B&amp;盘货信息!$C:$C,盘货信息!$L:$L)="","",_xlfn.XLOOKUP(A76&amp;B76&amp;C76,盘货信息!$A:$A&amp;盘货信息!$B:$B&amp;盘货信息!$C:$C,盘货信息!$L:$L)&amp;"元限时补贴"))</f>
        <v/>
      </c>
      <c r="L76" s="18" t="str">
        <f t="array" ref="L76">IF(C76="","",IF(_xlfn.XLOOKUP(A76&amp;B76&amp;C76,盘货信息!$A:$A&amp;盘货信息!$B:$B&amp;盘货信息!$C:$C,盘货信息!$M:$M)="","",_xlfn.XLOOKUP(A76&amp;B76&amp;C76,盘货信息!$A:$A&amp;盘货信息!$B:$B&amp;盘货信息!$C:$C,盘货信息!$M:$M)&amp;"元消费券"))</f>
        <v/>
      </c>
      <c r="M76" s="18" t="str">
        <f t="array" ref="M76">IF(C76="","",IF(_xlfn.XLOOKUP(A76&amp;B76&amp;C76,盘货信息!$A:$A&amp;盘货信息!$B:$B&amp;盘货信息!$C:$C,盘货信息!$G:$G)="不参加","","焕新补贴优惠【全民可用，不限地址】"))</f>
        <v/>
      </c>
    </row>
    <row r="77" customHeight="1" spans="1:13">
      <c r="A77" s="17" t="str">
        <f>IF(盘货信息!A77="","",盘货信息!A77)</f>
        <v/>
      </c>
      <c r="B77" s="17" t="str">
        <f>IF(盘货信息!B77="","",盘货信息!B77)</f>
        <v/>
      </c>
      <c r="C77" s="18" t="str">
        <f>IF(盘货信息!C77="","",盘货信息!C77)</f>
        <v/>
      </c>
      <c r="D77" s="18" t="str">
        <f t="shared" si="1"/>
        <v/>
      </c>
      <c r="E77" s="18" t="str">
        <f t="array" ref="E77">IF(C77="","",IF(_xlfn.XLOOKUP(A77&amp;B77&amp;C77,盘货信息!$A:$A&amp;盘货信息!$B:$B&amp;盘货信息!$C:$C,盘货信息!$N:$N)="","【立减到手价"&amp;_xlfn.XLOOKUP(A77&amp;B77&amp;C77,盘货信息!$A:$A&amp;盘货信息!$B:$B&amp;盘货信息!$C:$C,盘货信息!$F:$F)&amp;"元】","【焕新补贴预估价"&amp;_xlfn.XLOOKUP(A77&amp;B77&amp;C77,盘货信息!$A:$A&amp;盘货信息!$B:$B&amp;盘货信息!$C:$C,盘货信息!$N:$N)&amp;"元】"))</f>
        <v/>
      </c>
      <c r="F77" s="18" t="str">
        <f t="array" ref="F77">IF(C77="","",_xlfn.XLOOKUP(A77&amp;B77&amp;C77,盘货信息!$A:$A&amp;盘货信息!$B:$B&amp;盘货信息!$C:$C,盘货信息!$E:$E)&amp;"元到手价")</f>
        <v/>
      </c>
      <c r="G77" s="18" t="str">
        <f t="array" ref="G77">IF(C77="","",IF(_xlfn.XLOOKUP(A77&amp;B77&amp;C77,盘货信息!$A:$A&amp;盘货信息!$B:$B&amp;盘货信息!$C:$C,盘货信息!$I:$I)="","","88VIP95折"))</f>
        <v/>
      </c>
      <c r="H77" s="18" t="str">
        <f t="array" ref="H77">IF(C77="","",IF(_xlfn.XLOOKUP(A77&amp;B77&amp;C77,盘货信息!$A:$A&amp;盘货信息!$B:$B&amp;盘货信息!$C:$C,盘货信息!$J:$J)="","",_xlfn.XLOOKUP(A77&amp;B77&amp;C77,盘货信息!$A:$A&amp;盘货信息!$B:$B&amp;盘货信息!$C:$C,盘货信息!$J:$J)&amp;"元优惠卷"))</f>
        <v/>
      </c>
      <c r="I77" s="18" t="str">
        <f t="array" ref="I77">IF(C77="","",IF(_xlfn.XLOOKUP(A77&amp;B77&amp;C77,盘货信息!$A:$A&amp;盘货信息!$B:$B&amp;盘货信息!$C:$C,盘货信息!$R:$R)="","",_xlfn.XLOOKUP(A77&amp;B77&amp;C77,盘货信息!$A:$A&amp;盘货信息!$B:$B&amp;盘货信息!$C:$C,盘货信息!$R:$R)&amp;"元优惠卷"))</f>
        <v/>
      </c>
      <c r="J77" s="18" t="str">
        <f t="array" ref="J77">IF(C77="","",IF(_xlfn.XLOOKUP(A77&amp;B77&amp;C77,盘货信息!$A:$A&amp;盘货信息!$B:$B&amp;盘货信息!$C:$C,盘货信息!$K:$K)="","",IF(OR(_xlfn.XLOOKUP(A77&amp;B77&amp;C77,盘货信息!$A:$A&amp;盘货信息!$B:$B&amp;盘货信息!$C:$C,盘货信息!$G:$G)="参加",_xlfn.XLOOKUP(A77&amp;B77&amp;C77,盘货信息!$A:$A&amp;盘货信息!$B:$B&amp;盘货信息!$C:$C,盘货信息!$H:$H)="1（纯自补）"),_xlfn.XLOOKUP(A77&amp;B77&amp;C77,盘货信息!$A:$A&amp;盘货信息!$B:$B&amp;盘货信息!$C:$C,盘货信息!$K:$K)&amp;"元以旧换新（可无旧机换新）","")))</f>
        <v/>
      </c>
      <c r="K77" s="18" t="str">
        <f t="array" ref="K77">IF(C77="","",IF(_xlfn.XLOOKUP(A77&amp;B77&amp;C77,盘货信息!$A:$A&amp;盘货信息!$B:$B&amp;盘货信息!$C:$C,盘货信息!$L:$L)="","",_xlfn.XLOOKUP(A77&amp;B77&amp;C77,盘货信息!$A:$A&amp;盘货信息!$B:$B&amp;盘货信息!$C:$C,盘货信息!$L:$L)&amp;"元限时补贴"))</f>
        <v/>
      </c>
      <c r="L77" s="18" t="str">
        <f t="array" ref="L77">IF(C77="","",IF(_xlfn.XLOOKUP(A77&amp;B77&amp;C77,盘货信息!$A:$A&amp;盘货信息!$B:$B&amp;盘货信息!$C:$C,盘货信息!$M:$M)="","",_xlfn.XLOOKUP(A77&amp;B77&amp;C77,盘货信息!$A:$A&amp;盘货信息!$B:$B&amp;盘货信息!$C:$C,盘货信息!$M:$M)&amp;"元消费券"))</f>
        <v/>
      </c>
      <c r="M77" s="18" t="str">
        <f t="array" ref="M77">IF(C77="","",IF(_xlfn.XLOOKUP(A77&amp;B77&amp;C77,盘货信息!$A:$A&amp;盘货信息!$B:$B&amp;盘货信息!$C:$C,盘货信息!$G:$G)="不参加","","焕新补贴优惠【全民可用，不限地址】"))</f>
        <v/>
      </c>
    </row>
    <row r="78" customHeight="1" spans="1:13">
      <c r="A78" s="17" t="str">
        <f>IF(盘货信息!A78="","",盘货信息!A78)</f>
        <v/>
      </c>
      <c r="B78" s="17" t="str">
        <f>IF(盘货信息!B78="","",盘货信息!B78)</f>
        <v/>
      </c>
      <c r="C78" s="18" t="str">
        <f>IF(盘货信息!C78="","",盘货信息!C78)</f>
        <v/>
      </c>
      <c r="D78" s="18" t="str">
        <f t="shared" si="1"/>
        <v/>
      </c>
      <c r="E78" s="18" t="str">
        <f t="array" ref="E78">IF(C78="","",IF(_xlfn.XLOOKUP(A78&amp;B78&amp;C78,盘货信息!$A:$A&amp;盘货信息!$B:$B&amp;盘货信息!$C:$C,盘货信息!$N:$N)="","【立减到手价"&amp;_xlfn.XLOOKUP(A78&amp;B78&amp;C78,盘货信息!$A:$A&amp;盘货信息!$B:$B&amp;盘货信息!$C:$C,盘货信息!$F:$F)&amp;"元】","【焕新补贴预估价"&amp;_xlfn.XLOOKUP(A78&amp;B78&amp;C78,盘货信息!$A:$A&amp;盘货信息!$B:$B&amp;盘货信息!$C:$C,盘货信息!$N:$N)&amp;"元】"))</f>
        <v/>
      </c>
      <c r="F78" s="18" t="str">
        <f t="array" ref="F78">IF(C78="","",_xlfn.XLOOKUP(A78&amp;B78&amp;C78,盘货信息!$A:$A&amp;盘货信息!$B:$B&amp;盘货信息!$C:$C,盘货信息!$E:$E)&amp;"元到手价")</f>
        <v/>
      </c>
      <c r="G78" s="18" t="str">
        <f t="array" ref="G78">IF(C78="","",IF(_xlfn.XLOOKUP(A78&amp;B78&amp;C78,盘货信息!$A:$A&amp;盘货信息!$B:$B&amp;盘货信息!$C:$C,盘货信息!$I:$I)="","","88VIP95折"))</f>
        <v/>
      </c>
      <c r="H78" s="18" t="str">
        <f t="array" ref="H78">IF(C78="","",IF(_xlfn.XLOOKUP(A78&amp;B78&amp;C78,盘货信息!$A:$A&amp;盘货信息!$B:$B&amp;盘货信息!$C:$C,盘货信息!$J:$J)="","",_xlfn.XLOOKUP(A78&amp;B78&amp;C78,盘货信息!$A:$A&amp;盘货信息!$B:$B&amp;盘货信息!$C:$C,盘货信息!$J:$J)&amp;"元优惠卷"))</f>
        <v/>
      </c>
      <c r="I78" s="18" t="str">
        <f t="array" ref="I78">IF(C78="","",IF(_xlfn.XLOOKUP(A78&amp;B78&amp;C78,盘货信息!$A:$A&amp;盘货信息!$B:$B&amp;盘货信息!$C:$C,盘货信息!$R:$R)="","",_xlfn.XLOOKUP(A78&amp;B78&amp;C78,盘货信息!$A:$A&amp;盘货信息!$B:$B&amp;盘货信息!$C:$C,盘货信息!$R:$R)&amp;"元优惠卷"))</f>
        <v/>
      </c>
      <c r="J78" s="18" t="str">
        <f t="array" ref="J78">IF(C78="","",IF(_xlfn.XLOOKUP(A78&amp;B78&amp;C78,盘货信息!$A:$A&amp;盘货信息!$B:$B&amp;盘货信息!$C:$C,盘货信息!$K:$K)="","",IF(OR(_xlfn.XLOOKUP(A78&amp;B78&amp;C78,盘货信息!$A:$A&amp;盘货信息!$B:$B&amp;盘货信息!$C:$C,盘货信息!$G:$G)="参加",_xlfn.XLOOKUP(A78&amp;B78&amp;C78,盘货信息!$A:$A&amp;盘货信息!$B:$B&amp;盘货信息!$C:$C,盘货信息!$H:$H)="1（纯自补）"),_xlfn.XLOOKUP(A78&amp;B78&amp;C78,盘货信息!$A:$A&amp;盘货信息!$B:$B&amp;盘货信息!$C:$C,盘货信息!$K:$K)&amp;"元以旧换新（可无旧机换新）","")))</f>
        <v/>
      </c>
      <c r="K78" s="18" t="str">
        <f t="array" ref="K78">IF(C78="","",IF(_xlfn.XLOOKUP(A78&amp;B78&amp;C78,盘货信息!$A:$A&amp;盘货信息!$B:$B&amp;盘货信息!$C:$C,盘货信息!$L:$L)="","",_xlfn.XLOOKUP(A78&amp;B78&amp;C78,盘货信息!$A:$A&amp;盘货信息!$B:$B&amp;盘货信息!$C:$C,盘货信息!$L:$L)&amp;"元限时补贴"))</f>
        <v/>
      </c>
      <c r="L78" s="18" t="str">
        <f t="array" ref="L78">IF(C78="","",IF(_xlfn.XLOOKUP(A78&amp;B78&amp;C78,盘货信息!$A:$A&amp;盘货信息!$B:$B&amp;盘货信息!$C:$C,盘货信息!$M:$M)="","",_xlfn.XLOOKUP(A78&amp;B78&amp;C78,盘货信息!$A:$A&amp;盘货信息!$B:$B&amp;盘货信息!$C:$C,盘货信息!$M:$M)&amp;"元消费券"))</f>
        <v/>
      </c>
      <c r="M78" s="18" t="str">
        <f t="array" ref="M78">IF(C78="","",IF(_xlfn.XLOOKUP(A78&amp;B78&amp;C78,盘货信息!$A:$A&amp;盘货信息!$B:$B&amp;盘货信息!$C:$C,盘货信息!$G:$G)="不参加","","焕新补贴优惠【全民可用，不限地址】"))</f>
        <v/>
      </c>
    </row>
    <row r="79" customHeight="1" spans="1:13">
      <c r="A79" s="19" t="str">
        <f>IF(盘货信息!A79="","",盘货信息!A79)</f>
        <v/>
      </c>
      <c r="B79" s="19" t="str">
        <f>IF(盘货信息!B79="","",盘货信息!B79)</f>
        <v/>
      </c>
      <c r="C79" s="18" t="str">
        <f>IF(盘货信息!C79="","",盘货信息!C79)</f>
        <v/>
      </c>
      <c r="D79" s="18" t="str">
        <f t="shared" si="1"/>
        <v/>
      </c>
      <c r="E79" s="18" t="str">
        <f t="array" ref="E79">IF(C79="","",IF(_xlfn.XLOOKUP(A79&amp;B79&amp;C79,盘货信息!$A:$A&amp;盘货信息!$B:$B&amp;盘货信息!$C:$C,盘货信息!$N:$N)="","【立减到手价"&amp;_xlfn.XLOOKUP(A79&amp;B79&amp;C79,盘货信息!$A:$A&amp;盘货信息!$B:$B&amp;盘货信息!$C:$C,盘货信息!$F:$F)&amp;"元】","【焕新补贴预估价"&amp;_xlfn.XLOOKUP(A79&amp;B79&amp;C79,盘货信息!$A:$A&amp;盘货信息!$B:$B&amp;盘货信息!$C:$C,盘货信息!$N:$N)&amp;"元】"))</f>
        <v/>
      </c>
      <c r="F79" s="18" t="str">
        <f t="array" ref="F79">IF(C79="","",_xlfn.XLOOKUP(A79&amp;B79&amp;C79,盘货信息!$A:$A&amp;盘货信息!$B:$B&amp;盘货信息!$C:$C,盘货信息!$E:$E)&amp;"元到手价")</f>
        <v/>
      </c>
      <c r="G79" s="18" t="str">
        <f t="array" ref="G79">IF(C79="","",IF(_xlfn.XLOOKUP(A79&amp;B79&amp;C79,盘货信息!$A:$A&amp;盘货信息!$B:$B&amp;盘货信息!$C:$C,盘货信息!$I:$I)="","","88VIP95折"))</f>
        <v/>
      </c>
      <c r="H79" s="18" t="str">
        <f t="array" ref="H79">IF(C79="","",IF(_xlfn.XLOOKUP(A79&amp;B79&amp;C79,盘货信息!$A:$A&amp;盘货信息!$B:$B&amp;盘货信息!$C:$C,盘货信息!$J:$J)="","",_xlfn.XLOOKUP(A79&amp;B79&amp;C79,盘货信息!$A:$A&amp;盘货信息!$B:$B&amp;盘货信息!$C:$C,盘货信息!$J:$J)&amp;"元优惠卷"))</f>
        <v/>
      </c>
      <c r="I79" s="18" t="str">
        <f t="array" ref="I79">IF(C79="","",IF(_xlfn.XLOOKUP(A79&amp;B79&amp;C79,盘货信息!$A:$A&amp;盘货信息!$B:$B&amp;盘货信息!$C:$C,盘货信息!$R:$R)="","",_xlfn.XLOOKUP(A79&amp;B79&amp;C79,盘货信息!$A:$A&amp;盘货信息!$B:$B&amp;盘货信息!$C:$C,盘货信息!$R:$R)&amp;"元优惠卷"))</f>
        <v/>
      </c>
      <c r="J79" s="18" t="str">
        <f t="array" ref="J79">IF(C79="","",IF(_xlfn.XLOOKUP(A79&amp;B79&amp;C79,盘货信息!$A:$A&amp;盘货信息!$B:$B&amp;盘货信息!$C:$C,盘货信息!$K:$K)="","",IF(OR(_xlfn.XLOOKUP(A79&amp;B79&amp;C79,盘货信息!$A:$A&amp;盘货信息!$B:$B&amp;盘货信息!$C:$C,盘货信息!$G:$G)="参加",_xlfn.XLOOKUP(A79&amp;B79&amp;C79,盘货信息!$A:$A&amp;盘货信息!$B:$B&amp;盘货信息!$C:$C,盘货信息!$H:$H)="1（纯自补）"),_xlfn.XLOOKUP(A79&amp;B79&amp;C79,盘货信息!$A:$A&amp;盘货信息!$B:$B&amp;盘货信息!$C:$C,盘货信息!$K:$K)&amp;"元以旧换新（可无旧机换新）","")))</f>
        <v/>
      </c>
      <c r="K79" s="18" t="str">
        <f t="array" ref="K79">IF(C79="","",IF(_xlfn.XLOOKUP(A79&amp;B79&amp;C79,盘货信息!$A:$A&amp;盘货信息!$B:$B&amp;盘货信息!$C:$C,盘货信息!$L:$L)="","",_xlfn.XLOOKUP(A79&amp;B79&amp;C79,盘货信息!$A:$A&amp;盘货信息!$B:$B&amp;盘货信息!$C:$C,盘货信息!$L:$L)&amp;"元限时补贴"))</f>
        <v/>
      </c>
      <c r="L79" s="18" t="str">
        <f t="array" ref="L79">IF(C79="","",IF(_xlfn.XLOOKUP(A79&amp;B79&amp;C79,盘货信息!$A:$A&amp;盘货信息!$B:$B&amp;盘货信息!$C:$C,盘货信息!$M:$M)="","",_xlfn.XLOOKUP(A79&amp;B79&amp;C79,盘货信息!$A:$A&amp;盘货信息!$B:$B&amp;盘货信息!$C:$C,盘货信息!$M:$M)&amp;"元消费券"))</f>
        <v/>
      </c>
      <c r="M79" s="18" t="str">
        <f t="array" ref="M79">IF(C79="","",IF(_xlfn.XLOOKUP(A79&amp;B79&amp;C79,盘货信息!$A:$A&amp;盘货信息!$B:$B&amp;盘货信息!$C:$C,盘货信息!$G:$G)="不参加","","焕新补贴优惠【全民可用，不限地址】"))</f>
        <v/>
      </c>
    </row>
    <row r="80" customHeight="1" spans="1:13">
      <c r="A80" s="17" t="str">
        <f>IF(盘货信息!A80="","",盘货信息!A80)</f>
        <v/>
      </c>
      <c r="B80" s="17" t="str">
        <f>IF(盘货信息!B80="","",盘货信息!B80)</f>
        <v/>
      </c>
      <c r="C80" s="18" t="str">
        <f>IF(盘货信息!C80="","",盘货信息!C80)</f>
        <v/>
      </c>
      <c r="D80" s="18" t="str">
        <f t="shared" si="1"/>
        <v/>
      </c>
      <c r="E80" s="18" t="str">
        <f t="array" ref="E80">IF(C80="","",IF(_xlfn.XLOOKUP(A80&amp;B80&amp;C80,盘货信息!$A:$A&amp;盘货信息!$B:$B&amp;盘货信息!$C:$C,盘货信息!$N:$N)="","【立减到手价"&amp;_xlfn.XLOOKUP(A80&amp;B80&amp;C80,盘货信息!$A:$A&amp;盘货信息!$B:$B&amp;盘货信息!$C:$C,盘货信息!$F:$F)&amp;"元】","【焕新补贴预估价"&amp;_xlfn.XLOOKUP(A80&amp;B80&amp;C80,盘货信息!$A:$A&amp;盘货信息!$B:$B&amp;盘货信息!$C:$C,盘货信息!$N:$N)&amp;"元】"))</f>
        <v/>
      </c>
      <c r="F80" s="18" t="str">
        <f t="array" ref="F80">IF(C80="","",_xlfn.XLOOKUP(A80&amp;B80&amp;C80,盘货信息!$A:$A&amp;盘货信息!$B:$B&amp;盘货信息!$C:$C,盘货信息!$E:$E)&amp;"元到手价")</f>
        <v/>
      </c>
      <c r="G80" s="18" t="str">
        <f t="array" ref="G80">IF(C80="","",IF(_xlfn.XLOOKUP(A80&amp;B80&amp;C80,盘货信息!$A:$A&amp;盘货信息!$B:$B&amp;盘货信息!$C:$C,盘货信息!$I:$I)="","","88VIP95折"))</f>
        <v/>
      </c>
      <c r="H80" s="18" t="str">
        <f t="array" ref="H80">IF(C80="","",IF(_xlfn.XLOOKUP(A80&amp;B80&amp;C80,盘货信息!$A:$A&amp;盘货信息!$B:$B&amp;盘货信息!$C:$C,盘货信息!$J:$J)="","",_xlfn.XLOOKUP(A80&amp;B80&amp;C80,盘货信息!$A:$A&amp;盘货信息!$B:$B&amp;盘货信息!$C:$C,盘货信息!$J:$J)&amp;"元优惠卷"))</f>
        <v/>
      </c>
      <c r="I80" s="18" t="str">
        <f t="array" ref="I80">IF(C80="","",IF(_xlfn.XLOOKUP(A80&amp;B80&amp;C80,盘货信息!$A:$A&amp;盘货信息!$B:$B&amp;盘货信息!$C:$C,盘货信息!$R:$R)="","",_xlfn.XLOOKUP(A80&amp;B80&amp;C80,盘货信息!$A:$A&amp;盘货信息!$B:$B&amp;盘货信息!$C:$C,盘货信息!$R:$R)&amp;"元优惠卷"))</f>
        <v/>
      </c>
      <c r="J80" s="18" t="str">
        <f t="array" ref="J80">IF(C80="","",IF(_xlfn.XLOOKUP(A80&amp;B80&amp;C80,盘货信息!$A:$A&amp;盘货信息!$B:$B&amp;盘货信息!$C:$C,盘货信息!$K:$K)="","",IF(OR(_xlfn.XLOOKUP(A80&amp;B80&amp;C80,盘货信息!$A:$A&amp;盘货信息!$B:$B&amp;盘货信息!$C:$C,盘货信息!$G:$G)="参加",_xlfn.XLOOKUP(A80&amp;B80&amp;C80,盘货信息!$A:$A&amp;盘货信息!$B:$B&amp;盘货信息!$C:$C,盘货信息!$H:$H)="1（纯自补）"),_xlfn.XLOOKUP(A80&amp;B80&amp;C80,盘货信息!$A:$A&amp;盘货信息!$B:$B&amp;盘货信息!$C:$C,盘货信息!$K:$K)&amp;"元以旧换新（可无旧机换新）","")))</f>
        <v/>
      </c>
      <c r="K80" s="18" t="str">
        <f t="array" ref="K80">IF(C80="","",IF(_xlfn.XLOOKUP(A80&amp;B80&amp;C80,盘货信息!$A:$A&amp;盘货信息!$B:$B&amp;盘货信息!$C:$C,盘货信息!$L:$L)="","",_xlfn.XLOOKUP(A80&amp;B80&amp;C80,盘货信息!$A:$A&amp;盘货信息!$B:$B&amp;盘货信息!$C:$C,盘货信息!$L:$L)&amp;"元限时补贴"))</f>
        <v/>
      </c>
      <c r="L80" s="18" t="str">
        <f t="array" ref="L80">IF(C80="","",IF(_xlfn.XLOOKUP(A80&amp;B80&amp;C80,盘货信息!$A:$A&amp;盘货信息!$B:$B&amp;盘货信息!$C:$C,盘货信息!$M:$M)="","",_xlfn.XLOOKUP(A80&amp;B80&amp;C80,盘货信息!$A:$A&amp;盘货信息!$B:$B&amp;盘货信息!$C:$C,盘货信息!$M:$M)&amp;"元消费券"))</f>
        <v/>
      </c>
      <c r="M80" s="18" t="str">
        <f t="array" ref="M80">IF(C80="","",IF(_xlfn.XLOOKUP(A80&amp;B80&amp;C80,盘货信息!$A:$A&amp;盘货信息!$B:$B&amp;盘货信息!$C:$C,盘货信息!$G:$G)="不参加","","焕新补贴优惠【全民可用，不限地址】"))</f>
        <v/>
      </c>
    </row>
    <row r="81" customHeight="1" spans="1:13">
      <c r="A81" s="17" t="str">
        <f>IF(盘货信息!A81="","",盘货信息!A81)</f>
        <v/>
      </c>
      <c r="B81" s="17" t="str">
        <f>IF(盘货信息!B81="","",盘货信息!B81)</f>
        <v/>
      </c>
      <c r="C81" s="18" t="str">
        <f>IF(盘货信息!C81="","",盘货信息!C81)</f>
        <v/>
      </c>
      <c r="D81" s="18" t="str">
        <f t="shared" si="1"/>
        <v/>
      </c>
      <c r="E81" s="18" t="str">
        <f t="array" ref="E81">IF(C81="","",IF(_xlfn.XLOOKUP(A81&amp;B81&amp;C81,盘货信息!$A:$A&amp;盘货信息!$B:$B&amp;盘货信息!$C:$C,盘货信息!$N:$N)="","【立减到手价"&amp;_xlfn.XLOOKUP(A81&amp;B81&amp;C81,盘货信息!$A:$A&amp;盘货信息!$B:$B&amp;盘货信息!$C:$C,盘货信息!$F:$F)&amp;"元】","【焕新补贴预估价"&amp;_xlfn.XLOOKUP(A81&amp;B81&amp;C81,盘货信息!$A:$A&amp;盘货信息!$B:$B&amp;盘货信息!$C:$C,盘货信息!$N:$N)&amp;"元】"))</f>
        <v/>
      </c>
      <c r="F81" s="18" t="str">
        <f t="array" ref="F81">IF(C81="","",_xlfn.XLOOKUP(A81&amp;B81&amp;C81,盘货信息!$A:$A&amp;盘货信息!$B:$B&amp;盘货信息!$C:$C,盘货信息!$E:$E)&amp;"元到手价")</f>
        <v/>
      </c>
      <c r="G81" s="18" t="str">
        <f t="array" ref="G81">IF(C81="","",IF(_xlfn.XLOOKUP(A81&amp;B81&amp;C81,盘货信息!$A:$A&amp;盘货信息!$B:$B&amp;盘货信息!$C:$C,盘货信息!$I:$I)="","","88VIP95折"))</f>
        <v/>
      </c>
      <c r="H81" s="18" t="str">
        <f t="array" ref="H81">IF(C81="","",IF(_xlfn.XLOOKUP(A81&amp;B81&amp;C81,盘货信息!$A:$A&amp;盘货信息!$B:$B&amp;盘货信息!$C:$C,盘货信息!$J:$J)="","",_xlfn.XLOOKUP(A81&amp;B81&amp;C81,盘货信息!$A:$A&amp;盘货信息!$B:$B&amp;盘货信息!$C:$C,盘货信息!$J:$J)&amp;"元优惠卷"))</f>
        <v/>
      </c>
      <c r="I81" s="18" t="str">
        <f t="array" ref="I81">IF(C81="","",IF(_xlfn.XLOOKUP(A81&amp;B81&amp;C81,盘货信息!$A:$A&amp;盘货信息!$B:$B&amp;盘货信息!$C:$C,盘货信息!$R:$R)="","",_xlfn.XLOOKUP(A81&amp;B81&amp;C81,盘货信息!$A:$A&amp;盘货信息!$B:$B&amp;盘货信息!$C:$C,盘货信息!$R:$R)&amp;"元优惠卷"))</f>
        <v/>
      </c>
      <c r="J81" s="18" t="str">
        <f t="array" ref="J81">IF(C81="","",IF(_xlfn.XLOOKUP(A81&amp;B81&amp;C81,盘货信息!$A:$A&amp;盘货信息!$B:$B&amp;盘货信息!$C:$C,盘货信息!$K:$K)="","",IF(OR(_xlfn.XLOOKUP(A81&amp;B81&amp;C81,盘货信息!$A:$A&amp;盘货信息!$B:$B&amp;盘货信息!$C:$C,盘货信息!$G:$G)="参加",_xlfn.XLOOKUP(A81&amp;B81&amp;C81,盘货信息!$A:$A&amp;盘货信息!$B:$B&amp;盘货信息!$C:$C,盘货信息!$H:$H)="1（纯自补）"),_xlfn.XLOOKUP(A81&amp;B81&amp;C81,盘货信息!$A:$A&amp;盘货信息!$B:$B&amp;盘货信息!$C:$C,盘货信息!$K:$K)&amp;"元以旧换新（可无旧机换新）","")))</f>
        <v/>
      </c>
      <c r="K81" s="18" t="str">
        <f t="array" ref="K81">IF(C81="","",IF(_xlfn.XLOOKUP(A81&amp;B81&amp;C81,盘货信息!$A:$A&amp;盘货信息!$B:$B&amp;盘货信息!$C:$C,盘货信息!$L:$L)="","",_xlfn.XLOOKUP(A81&amp;B81&amp;C81,盘货信息!$A:$A&amp;盘货信息!$B:$B&amp;盘货信息!$C:$C,盘货信息!$L:$L)&amp;"元限时补贴"))</f>
        <v/>
      </c>
      <c r="L81" s="18" t="str">
        <f t="array" ref="L81">IF(C81="","",IF(_xlfn.XLOOKUP(A81&amp;B81&amp;C81,盘货信息!$A:$A&amp;盘货信息!$B:$B&amp;盘货信息!$C:$C,盘货信息!$M:$M)="","",_xlfn.XLOOKUP(A81&amp;B81&amp;C81,盘货信息!$A:$A&amp;盘货信息!$B:$B&amp;盘货信息!$C:$C,盘货信息!$M:$M)&amp;"元消费券"))</f>
        <v/>
      </c>
      <c r="M81" s="18" t="str">
        <f t="array" ref="M81">IF(C81="","",IF(_xlfn.XLOOKUP(A81&amp;B81&amp;C81,盘货信息!$A:$A&amp;盘货信息!$B:$B&amp;盘货信息!$C:$C,盘货信息!$G:$G)="不参加","","焕新补贴优惠【全民可用，不限地址】"))</f>
        <v/>
      </c>
    </row>
    <row r="82" customHeight="1" spans="1:13">
      <c r="A82" s="17" t="str">
        <f>IF(盘货信息!A82="","",盘货信息!A82)</f>
        <v/>
      </c>
      <c r="B82" s="17" t="str">
        <f>IF(盘货信息!B82="","",盘货信息!B82)</f>
        <v/>
      </c>
      <c r="C82" s="18" t="str">
        <f>IF(盘货信息!C82="","",盘货信息!C82)</f>
        <v/>
      </c>
      <c r="D82" s="18" t="str">
        <f t="shared" si="1"/>
        <v/>
      </c>
      <c r="E82" s="18" t="str">
        <f t="array" ref="E82">IF(C82="","",IF(_xlfn.XLOOKUP(A82&amp;B82&amp;C82,盘货信息!$A:$A&amp;盘货信息!$B:$B&amp;盘货信息!$C:$C,盘货信息!$N:$N)="","【立减到手价"&amp;_xlfn.XLOOKUP(A82&amp;B82&amp;C82,盘货信息!$A:$A&amp;盘货信息!$B:$B&amp;盘货信息!$C:$C,盘货信息!$F:$F)&amp;"元】","【焕新补贴预估价"&amp;_xlfn.XLOOKUP(A82&amp;B82&amp;C82,盘货信息!$A:$A&amp;盘货信息!$B:$B&amp;盘货信息!$C:$C,盘货信息!$N:$N)&amp;"元】"))</f>
        <v/>
      </c>
      <c r="F82" s="18" t="str">
        <f t="array" ref="F82">IF(C82="","",_xlfn.XLOOKUP(A82&amp;B82&amp;C82,盘货信息!$A:$A&amp;盘货信息!$B:$B&amp;盘货信息!$C:$C,盘货信息!$E:$E)&amp;"元到手价")</f>
        <v/>
      </c>
      <c r="G82" s="18" t="str">
        <f t="array" ref="G82">IF(C82="","",IF(_xlfn.XLOOKUP(A82&amp;B82&amp;C82,盘货信息!$A:$A&amp;盘货信息!$B:$B&amp;盘货信息!$C:$C,盘货信息!$I:$I)="","","88VIP95折"))</f>
        <v/>
      </c>
      <c r="H82" s="18" t="str">
        <f t="array" ref="H82">IF(C82="","",IF(_xlfn.XLOOKUP(A82&amp;B82&amp;C82,盘货信息!$A:$A&amp;盘货信息!$B:$B&amp;盘货信息!$C:$C,盘货信息!$J:$J)="","",_xlfn.XLOOKUP(A82&amp;B82&amp;C82,盘货信息!$A:$A&amp;盘货信息!$B:$B&amp;盘货信息!$C:$C,盘货信息!$J:$J)&amp;"元优惠卷"))</f>
        <v/>
      </c>
      <c r="I82" s="18" t="str">
        <f t="array" ref="I82">IF(C82="","",IF(_xlfn.XLOOKUP(A82&amp;B82&amp;C82,盘货信息!$A:$A&amp;盘货信息!$B:$B&amp;盘货信息!$C:$C,盘货信息!$R:$R)="","",_xlfn.XLOOKUP(A82&amp;B82&amp;C82,盘货信息!$A:$A&amp;盘货信息!$B:$B&amp;盘货信息!$C:$C,盘货信息!$R:$R)&amp;"元优惠卷"))</f>
        <v/>
      </c>
      <c r="J82" s="18" t="str">
        <f t="array" ref="J82">IF(C82="","",IF(_xlfn.XLOOKUP(A82&amp;B82&amp;C82,盘货信息!$A:$A&amp;盘货信息!$B:$B&amp;盘货信息!$C:$C,盘货信息!$K:$K)="","",IF(OR(_xlfn.XLOOKUP(A82&amp;B82&amp;C82,盘货信息!$A:$A&amp;盘货信息!$B:$B&amp;盘货信息!$C:$C,盘货信息!$G:$G)="参加",_xlfn.XLOOKUP(A82&amp;B82&amp;C82,盘货信息!$A:$A&amp;盘货信息!$B:$B&amp;盘货信息!$C:$C,盘货信息!$H:$H)="1（纯自补）"),_xlfn.XLOOKUP(A82&amp;B82&amp;C82,盘货信息!$A:$A&amp;盘货信息!$B:$B&amp;盘货信息!$C:$C,盘货信息!$K:$K)&amp;"元以旧换新（可无旧机换新）","")))</f>
        <v/>
      </c>
      <c r="K82" s="18" t="str">
        <f t="array" ref="K82">IF(C82="","",IF(_xlfn.XLOOKUP(A82&amp;B82&amp;C82,盘货信息!$A:$A&amp;盘货信息!$B:$B&amp;盘货信息!$C:$C,盘货信息!$L:$L)="","",_xlfn.XLOOKUP(A82&amp;B82&amp;C82,盘货信息!$A:$A&amp;盘货信息!$B:$B&amp;盘货信息!$C:$C,盘货信息!$L:$L)&amp;"元限时补贴"))</f>
        <v/>
      </c>
      <c r="L82" s="18" t="str">
        <f t="array" ref="L82">IF(C82="","",IF(_xlfn.XLOOKUP(A82&amp;B82&amp;C82,盘货信息!$A:$A&amp;盘货信息!$B:$B&amp;盘货信息!$C:$C,盘货信息!$M:$M)="","",_xlfn.XLOOKUP(A82&amp;B82&amp;C82,盘货信息!$A:$A&amp;盘货信息!$B:$B&amp;盘货信息!$C:$C,盘货信息!$M:$M)&amp;"元消费券"))</f>
        <v/>
      </c>
      <c r="M82" s="18" t="str">
        <f t="array" ref="M82">IF(C82="","",IF(_xlfn.XLOOKUP(A82&amp;B82&amp;C82,盘货信息!$A:$A&amp;盘货信息!$B:$B&amp;盘货信息!$C:$C,盘货信息!$G:$G)="不参加","","焕新补贴优惠【全民可用，不限地址】"))</f>
        <v/>
      </c>
    </row>
    <row r="83" customHeight="1" spans="1:13">
      <c r="A83" s="17" t="str">
        <f>IF(盘货信息!A83="","",盘货信息!A83)</f>
        <v/>
      </c>
      <c r="B83" s="17" t="str">
        <f>IF(盘货信息!B83="","",盘货信息!B83)</f>
        <v/>
      </c>
      <c r="C83" s="18" t="str">
        <f>IF(盘货信息!C83="","",盘货信息!C83)</f>
        <v/>
      </c>
      <c r="D83" s="18" t="str">
        <f t="shared" si="1"/>
        <v/>
      </c>
      <c r="E83" s="18" t="str">
        <f t="array" ref="E83">IF(C83="","",IF(_xlfn.XLOOKUP(A83&amp;B83&amp;C83,盘货信息!$A:$A&amp;盘货信息!$B:$B&amp;盘货信息!$C:$C,盘货信息!$N:$N)="","【立减到手价"&amp;_xlfn.XLOOKUP(A83&amp;B83&amp;C83,盘货信息!$A:$A&amp;盘货信息!$B:$B&amp;盘货信息!$C:$C,盘货信息!$F:$F)&amp;"元】","【焕新补贴预估价"&amp;_xlfn.XLOOKUP(A83&amp;B83&amp;C83,盘货信息!$A:$A&amp;盘货信息!$B:$B&amp;盘货信息!$C:$C,盘货信息!$N:$N)&amp;"元】"))</f>
        <v/>
      </c>
      <c r="F83" s="18" t="str">
        <f t="array" ref="F83">IF(C83="","",_xlfn.XLOOKUP(A83&amp;B83&amp;C83,盘货信息!$A:$A&amp;盘货信息!$B:$B&amp;盘货信息!$C:$C,盘货信息!$E:$E)&amp;"元到手价")</f>
        <v/>
      </c>
      <c r="G83" s="18" t="str">
        <f t="array" ref="G83">IF(C83="","",IF(_xlfn.XLOOKUP(A83&amp;B83&amp;C83,盘货信息!$A:$A&amp;盘货信息!$B:$B&amp;盘货信息!$C:$C,盘货信息!$I:$I)="","","88VIP95折"))</f>
        <v/>
      </c>
      <c r="H83" s="18" t="str">
        <f t="array" ref="H83">IF(C83="","",IF(_xlfn.XLOOKUP(A83&amp;B83&amp;C83,盘货信息!$A:$A&amp;盘货信息!$B:$B&amp;盘货信息!$C:$C,盘货信息!$J:$J)="","",_xlfn.XLOOKUP(A83&amp;B83&amp;C83,盘货信息!$A:$A&amp;盘货信息!$B:$B&amp;盘货信息!$C:$C,盘货信息!$J:$J)&amp;"元优惠卷"))</f>
        <v/>
      </c>
      <c r="I83" s="18" t="str">
        <f t="array" ref="I83">IF(C83="","",IF(_xlfn.XLOOKUP(A83&amp;B83&amp;C83,盘货信息!$A:$A&amp;盘货信息!$B:$B&amp;盘货信息!$C:$C,盘货信息!$R:$R)="","",_xlfn.XLOOKUP(A83&amp;B83&amp;C83,盘货信息!$A:$A&amp;盘货信息!$B:$B&amp;盘货信息!$C:$C,盘货信息!$R:$R)&amp;"元优惠卷"))</f>
        <v/>
      </c>
      <c r="J83" s="18" t="str">
        <f t="array" ref="J83">IF(C83="","",IF(_xlfn.XLOOKUP(A83&amp;B83&amp;C83,盘货信息!$A:$A&amp;盘货信息!$B:$B&amp;盘货信息!$C:$C,盘货信息!$K:$K)="","",IF(OR(_xlfn.XLOOKUP(A83&amp;B83&amp;C83,盘货信息!$A:$A&amp;盘货信息!$B:$B&amp;盘货信息!$C:$C,盘货信息!$G:$G)="参加",_xlfn.XLOOKUP(A83&amp;B83&amp;C83,盘货信息!$A:$A&amp;盘货信息!$B:$B&amp;盘货信息!$C:$C,盘货信息!$H:$H)="1（纯自补）"),_xlfn.XLOOKUP(A83&amp;B83&amp;C83,盘货信息!$A:$A&amp;盘货信息!$B:$B&amp;盘货信息!$C:$C,盘货信息!$K:$K)&amp;"元以旧换新（可无旧机换新）","")))</f>
        <v/>
      </c>
      <c r="K83" s="18" t="str">
        <f t="array" ref="K83">IF(C83="","",IF(_xlfn.XLOOKUP(A83&amp;B83&amp;C83,盘货信息!$A:$A&amp;盘货信息!$B:$B&amp;盘货信息!$C:$C,盘货信息!$L:$L)="","",_xlfn.XLOOKUP(A83&amp;B83&amp;C83,盘货信息!$A:$A&amp;盘货信息!$B:$B&amp;盘货信息!$C:$C,盘货信息!$L:$L)&amp;"元限时补贴"))</f>
        <v/>
      </c>
      <c r="L83" s="18" t="str">
        <f t="array" ref="L83">IF(C83="","",IF(_xlfn.XLOOKUP(A83&amp;B83&amp;C83,盘货信息!$A:$A&amp;盘货信息!$B:$B&amp;盘货信息!$C:$C,盘货信息!$M:$M)="","",_xlfn.XLOOKUP(A83&amp;B83&amp;C83,盘货信息!$A:$A&amp;盘货信息!$B:$B&amp;盘货信息!$C:$C,盘货信息!$M:$M)&amp;"元消费券"))</f>
        <v/>
      </c>
      <c r="M83" s="18" t="str">
        <f t="array" ref="M83">IF(C83="","",IF(_xlfn.XLOOKUP(A83&amp;B83&amp;C83,盘货信息!$A:$A&amp;盘货信息!$B:$B&amp;盘货信息!$C:$C,盘货信息!$G:$G)="不参加","","焕新补贴优惠【全民可用，不限地址】"))</f>
        <v/>
      </c>
    </row>
    <row r="84" customHeight="1" spans="1:13">
      <c r="A84" s="17" t="str">
        <f>IF(盘货信息!A84="","",盘货信息!A84)</f>
        <v/>
      </c>
      <c r="B84" s="17" t="str">
        <f>IF(盘货信息!B84="","",盘货信息!B84)</f>
        <v/>
      </c>
      <c r="C84" s="18" t="str">
        <f>IF(盘货信息!C84="","",盘货信息!C84)</f>
        <v/>
      </c>
      <c r="D84" s="18" t="str">
        <f t="shared" si="1"/>
        <v/>
      </c>
      <c r="E84" s="18" t="str">
        <f t="array" ref="E84">IF(C84="","",IF(_xlfn.XLOOKUP(A84&amp;B84&amp;C84,盘货信息!$A:$A&amp;盘货信息!$B:$B&amp;盘货信息!$C:$C,盘货信息!$N:$N)="","【立减到手价"&amp;_xlfn.XLOOKUP(A84&amp;B84&amp;C84,盘货信息!$A:$A&amp;盘货信息!$B:$B&amp;盘货信息!$C:$C,盘货信息!$F:$F)&amp;"元】","【焕新补贴预估价"&amp;_xlfn.XLOOKUP(A84&amp;B84&amp;C84,盘货信息!$A:$A&amp;盘货信息!$B:$B&amp;盘货信息!$C:$C,盘货信息!$N:$N)&amp;"元】"))</f>
        <v/>
      </c>
      <c r="F84" s="18" t="str">
        <f t="array" ref="F84">IF(C84="","",_xlfn.XLOOKUP(A84&amp;B84&amp;C84,盘货信息!$A:$A&amp;盘货信息!$B:$B&amp;盘货信息!$C:$C,盘货信息!$E:$E)&amp;"元到手价")</f>
        <v/>
      </c>
      <c r="G84" s="18" t="str">
        <f t="array" ref="G84">IF(C84="","",IF(_xlfn.XLOOKUP(A84&amp;B84&amp;C84,盘货信息!$A:$A&amp;盘货信息!$B:$B&amp;盘货信息!$C:$C,盘货信息!$I:$I)="","","88VIP95折"))</f>
        <v/>
      </c>
      <c r="H84" s="18" t="str">
        <f t="array" ref="H84">IF(C84="","",IF(_xlfn.XLOOKUP(A84&amp;B84&amp;C84,盘货信息!$A:$A&amp;盘货信息!$B:$B&amp;盘货信息!$C:$C,盘货信息!$J:$J)="","",_xlfn.XLOOKUP(A84&amp;B84&amp;C84,盘货信息!$A:$A&amp;盘货信息!$B:$B&amp;盘货信息!$C:$C,盘货信息!$J:$J)&amp;"元优惠卷"))</f>
        <v/>
      </c>
      <c r="I84" s="18" t="str">
        <f t="array" ref="I84">IF(C84="","",IF(_xlfn.XLOOKUP(A84&amp;B84&amp;C84,盘货信息!$A:$A&amp;盘货信息!$B:$B&amp;盘货信息!$C:$C,盘货信息!$R:$R)="","",_xlfn.XLOOKUP(A84&amp;B84&amp;C84,盘货信息!$A:$A&amp;盘货信息!$B:$B&amp;盘货信息!$C:$C,盘货信息!$R:$R)&amp;"元优惠卷"))</f>
        <v/>
      </c>
      <c r="J84" s="18" t="str">
        <f t="array" ref="J84">IF(C84="","",IF(_xlfn.XLOOKUP(A84&amp;B84&amp;C84,盘货信息!$A:$A&amp;盘货信息!$B:$B&amp;盘货信息!$C:$C,盘货信息!$K:$K)="","",IF(OR(_xlfn.XLOOKUP(A84&amp;B84&amp;C84,盘货信息!$A:$A&amp;盘货信息!$B:$B&amp;盘货信息!$C:$C,盘货信息!$G:$G)="参加",_xlfn.XLOOKUP(A84&amp;B84&amp;C84,盘货信息!$A:$A&amp;盘货信息!$B:$B&amp;盘货信息!$C:$C,盘货信息!$H:$H)="1（纯自补）"),_xlfn.XLOOKUP(A84&amp;B84&amp;C84,盘货信息!$A:$A&amp;盘货信息!$B:$B&amp;盘货信息!$C:$C,盘货信息!$K:$K)&amp;"元以旧换新（可无旧机换新）","")))</f>
        <v/>
      </c>
      <c r="K84" s="18" t="str">
        <f t="array" ref="K84">IF(C84="","",IF(_xlfn.XLOOKUP(A84&amp;B84&amp;C84,盘货信息!$A:$A&amp;盘货信息!$B:$B&amp;盘货信息!$C:$C,盘货信息!$L:$L)="","",_xlfn.XLOOKUP(A84&amp;B84&amp;C84,盘货信息!$A:$A&amp;盘货信息!$B:$B&amp;盘货信息!$C:$C,盘货信息!$L:$L)&amp;"元限时补贴"))</f>
        <v/>
      </c>
      <c r="L84" s="18" t="str">
        <f t="array" ref="L84">IF(C84="","",IF(_xlfn.XLOOKUP(A84&amp;B84&amp;C84,盘货信息!$A:$A&amp;盘货信息!$B:$B&amp;盘货信息!$C:$C,盘货信息!$M:$M)="","",_xlfn.XLOOKUP(A84&amp;B84&amp;C84,盘货信息!$A:$A&amp;盘货信息!$B:$B&amp;盘货信息!$C:$C,盘货信息!$M:$M)&amp;"元消费券"))</f>
        <v/>
      </c>
      <c r="M84" s="18" t="str">
        <f t="array" ref="M84">IF(C84="","",IF(_xlfn.XLOOKUP(A84&amp;B84&amp;C84,盘货信息!$A:$A&amp;盘货信息!$B:$B&amp;盘货信息!$C:$C,盘货信息!$G:$G)="不参加","","焕新补贴优惠【全民可用，不限地址】"))</f>
        <v/>
      </c>
    </row>
    <row r="85" customHeight="1" spans="1:13">
      <c r="A85" s="17" t="str">
        <f>IF(盘货信息!A85="","",盘货信息!A85)</f>
        <v/>
      </c>
      <c r="B85" s="17" t="str">
        <f>IF(盘货信息!B85="","",盘货信息!B85)</f>
        <v/>
      </c>
      <c r="C85" s="18" t="str">
        <f>IF(盘货信息!C85="","",盘货信息!C85)</f>
        <v/>
      </c>
      <c r="D85" s="18" t="str">
        <f t="shared" si="1"/>
        <v/>
      </c>
      <c r="E85" s="18" t="str">
        <f t="array" ref="E85">IF(C85="","",IF(_xlfn.XLOOKUP(A85&amp;B85&amp;C85,盘货信息!$A:$A&amp;盘货信息!$B:$B&amp;盘货信息!$C:$C,盘货信息!$N:$N)="","【立减到手价"&amp;_xlfn.XLOOKUP(A85&amp;B85&amp;C85,盘货信息!$A:$A&amp;盘货信息!$B:$B&amp;盘货信息!$C:$C,盘货信息!$F:$F)&amp;"元】","【焕新补贴预估价"&amp;_xlfn.XLOOKUP(A85&amp;B85&amp;C85,盘货信息!$A:$A&amp;盘货信息!$B:$B&amp;盘货信息!$C:$C,盘货信息!$N:$N)&amp;"元】"))</f>
        <v/>
      </c>
      <c r="F85" s="18" t="str">
        <f t="array" ref="F85">IF(C85="","",_xlfn.XLOOKUP(A85&amp;B85&amp;C85,盘货信息!$A:$A&amp;盘货信息!$B:$B&amp;盘货信息!$C:$C,盘货信息!$E:$E)&amp;"元到手价")</f>
        <v/>
      </c>
      <c r="G85" s="18" t="str">
        <f t="array" ref="G85">IF(C85="","",IF(_xlfn.XLOOKUP(A85&amp;B85&amp;C85,盘货信息!$A:$A&amp;盘货信息!$B:$B&amp;盘货信息!$C:$C,盘货信息!$I:$I)="","","88VIP95折"))</f>
        <v/>
      </c>
      <c r="H85" s="18" t="str">
        <f t="array" ref="H85">IF(C85="","",IF(_xlfn.XLOOKUP(A85&amp;B85&amp;C85,盘货信息!$A:$A&amp;盘货信息!$B:$B&amp;盘货信息!$C:$C,盘货信息!$J:$J)="","",_xlfn.XLOOKUP(A85&amp;B85&amp;C85,盘货信息!$A:$A&amp;盘货信息!$B:$B&amp;盘货信息!$C:$C,盘货信息!$J:$J)&amp;"元优惠卷"))</f>
        <v/>
      </c>
      <c r="I85" s="18" t="str">
        <f t="array" ref="I85">IF(C85="","",IF(_xlfn.XLOOKUP(A85&amp;B85&amp;C85,盘货信息!$A:$A&amp;盘货信息!$B:$B&amp;盘货信息!$C:$C,盘货信息!$R:$R)="","",_xlfn.XLOOKUP(A85&amp;B85&amp;C85,盘货信息!$A:$A&amp;盘货信息!$B:$B&amp;盘货信息!$C:$C,盘货信息!$R:$R)&amp;"元优惠卷"))</f>
        <v/>
      </c>
      <c r="J85" s="18" t="str">
        <f t="array" ref="J85">IF(C85="","",IF(_xlfn.XLOOKUP(A85&amp;B85&amp;C85,盘货信息!$A:$A&amp;盘货信息!$B:$B&amp;盘货信息!$C:$C,盘货信息!$K:$K)="","",IF(OR(_xlfn.XLOOKUP(A85&amp;B85&amp;C85,盘货信息!$A:$A&amp;盘货信息!$B:$B&amp;盘货信息!$C:$C,盘货信息!$G:$G)="参加",_xlfn.XLOOKUP(A85&amp;B85&amp;C85,盘货信息!$A:$A&amp;盘货信息!$B:$B&amp;盘货信息!$C:$C,盘货信息!$H:$H)="1（纯自补）"),_xlfn.XLOOKUP(A85&amp;B85&amp;C85,盘货信息!$A:$A&amp;盘货信息!$B:$B&amp;盘货信息!$C:$C,盘货信息!$K:$K)&amp;"元以旧换新（可无旧机换新）","")))</f>
        <v/>
      </c>
      <c r="K85" s="18" t="str">
        <f t="array" ref="K85">IF(C85="","",IF(_xlfn.XLOOKUP(A85&amp;B85&amp;C85,盘货信息!$A:$A&amp;盘货信息!$B:$B&amp;盘货信息!$C:$C,盘货信息!$L:$L)="","",_xlfn.XLOOKUP(A85&amp;B85&amp;C85,盘货信息!$A:$A&amp;盘货信息!$B:$B&amp;盘货信息!$C:$C,盘货信息!$L:$L)&amp;"元限时补贴"))</f>
        <v/>
      </c>
      <c r="L85" s="18" t="str">
        <f t="array" ref="L85">IF(C85="","",IF(_xlfn.XLOOKUP(A85&amp;B85&amp;C85,盘货信息!$A:$A&amp;盘货信息!$B:$B&amp;盘货信息!$C:$C,盘货信息!$M:$M)="","",_xlfn.XLOOKUP(A85&amp;B85&amp;C85,盘货信息!$A:$A&amp;盘货信息!$B:$B&amp;盘货信息!$C:$C,盘货信息!$M:$M)&amp;"元消费券"))</f>
        <v/>
      </c>
      <c r="M85" s="18" t="str">
        <f t="array" ref="M85">IF(C85="","",IF(_xlfn.XLOOKUP(A85&amp;B85&amp;C85,盘货信息!$A:$A&amp;盘货信息!$B:$B&amp;盘货信息!$C:$C,盘货信息!$G:$G)="不参加","","焕新补贴优惠【全民可用，不限地址】"))</f>
        <v/>
      </c>
    </row>
    <row r="86" customHeight="1" spans="1:13">
      <c r="A86" s="17" t="str">
        <f>IF(盘货信息!A86="","",盘货信息!A86)</f>
        <v/>
      </c>
      <c r="B86" s="17" t="str">
        <f>IF(盘货信息!B86="","",盘货信息!B86)</f>
        <v/>
      </c>
      <c r="C86" s="18" t="str">
        <f>IF(盘货信息!C86="","",盘货信息!C86)</f>
        <v/>
      </c>
      <c r="D86" s="18" t="str">
        <f t="shared" si="1"/>
        <v/>
      </c>
      <c r="E86" s="18" t="str">
        <f t="array" ref="E86">IF(C86="","",IF(_xlfn.XLOOKUP(A86&amp;B86&amp;C86,盘货信息!$A:$A&amp;盘货信息!$B:$B&amp;盘货信息!$C:$C,盘货信息!$N:$N)="","【立减到手价"&amp;_xlfn.XLOOKUP(A86&amp;B86&amp;C86,盘货信息!$A:$A&amp;盘货信息!$B:$B&amp;盘货信息!$C:$C,盘货信息!$F:$F)&amp;"元】","【焕新补贴预估价"&amp;_xlfn.XLOOKUP(A86&amp;B86&amp;C86,盘货信息!$A:$A&amp;盘货信息!$B:$B&amp;盘货信息!$C:$C,盘货信息!$N:$N)&amp;"元】"))</f>
        <v/>
      </c>
      <c r="F86" s="18" t="str">
        <f t="array" ref="F86">IF(C86="","",_xlfn.XLOOKUP(A86&amp;B86&amp;C86,盘货信息!$A:$A&amp;盘货信息!$B:$B&amp;盘货信息!$C:$C,盘货信息!$E:$E)&amp;"元到手价")</f>
        <v/>
      </c>
      <c r="G86" s="18" t="str">
        <f t="array" ref="G86">IF(C86="","",IF(_xlfn.XLOOKUP(A86&amp;B86&amp;C86,盘货信息!$A:$A&amp;盘货信息!$B:$B&amp;盘货信息!$C:$C,盘货信息!$I:$I)="","","88VIP95折"))</f>
        <v/>
      </c>
      <c r="H86" s="18" t="str">
        <f t="array" ref="H86">IF(C86="","",IF(_xlfn.XLOOKUP(A86&amp;B86&amp;C86,盘货信息!$A:$A&amp;盘货信息!$B:$B&amp;盘货信息!$C:$C,盘货信息!$J:$J)="","",_xlfn.XLOOKUP(A86&amp;B86&amp;C86,盘货信息!$A:$A&amp;盘货信息!$B:$B&amp;盘货信息!$C:$C,盘货信息!$J:$J)&amp;"元优惠卷"))</f>
        <v/>
      </c>
      <c r="I86" s="18" t="str">
        <f t="array" ref="I86">IF(C86="","",IF(_xlfn.XLOOKUP(A86&amp;B86&amp;C86,盘货信息!$A:$A&amp;盘货信息!$B:$B&amp;盘货信息!$C:$C,盘货信息!$R:$R)="","",_xlfn.XLOOKUP(A86&amp;B86&amp;C86,盘货信息!$A:$A&amp;盘货信息!$B:$B&amp;盘货信息!$C:$C,盘货信息!$R:$R)&amp;"元优惠卷"))</f>
        <v/>
      </c>
      <c r="J86" s="18" t="str">
        <f t="array" ref="J86">IF(C86="","",IF(_xlfn.XLOOKUP(A86&amp;B86&amp;C86,盘货信息!$A:$A&amp;盘货信息!$B:$B&amp;盘货信息!$C:$C,盘货信息!$K:$K)="","",IF(OR(_xlfn.XLOOKUP(A86&amp;B86&amp;C86,盘货信息!$A:$A&amp;盘货信息!$B:$B&amp;盘货信息!$C:$C,盘货信息!$G:$G)="参加",_xlfn.XLOOKUP(A86&amp;B86&amp;C86,盘货信息!$A:$A&amp;盘货信息!$B:$B&amp;盘货信息!$C:$C,盘货信息!$H:$H)="1（纯自补）"),_xlfn.XLOOKUP(A86&amp;B86&amp;C86,盘货信息!$A:$A&amp;盘货信息!$B:$B&amp;盘货信息!$C:$C,盘货信息!$K:$K)&amp;"元以旧换新（可无旧机换新）","")))</f>
        <v/>
      </c>
      <c r="K86" s="18" t="str">
        <f t="array" ref="K86">IF(C86="","",IF(_xlfn.XLOOKUP(A86&amp;B86&amp;C86,盘货信息!$A:$A&amp;盘货信息!$B:$B&amp;盘货信息!$C:$C,盘货信息!$L:$L)="","",_xlfn.XLOOKUP(A86&amp;B86&amp;C86,盘货信息!$A:$A&amp;盘货信息!$B:$B&amp;盘货信息!$C:$C,盘货信息!$L:$L)&amp;"元限时补贴"))</f>
        <v/>
      </c>
      <c r="L86" s="18" t="str">
        <f t="array" ref="L86">IF(C86="","",IF(_xlfn.XLOOKUP(A86&amp;B86&amp;C86,盘货信息!$A:$A&amp;盘货信息!$B:$B&amp;盘货信息!$C:$C,盘货信息!$M:$M)="","",_xlfn.XLOOKUP(A86&amp;B86&amp;C86,盘货信息!$A:$A&amp;盘货信息!$B:$B&amp;盘货信息!$C:$C,盘货信息!$M:$M)&amp;"元消费券"))</f>
        <v/>
      </c>
      <c r="M86" s="18" t="str">
        <f t="array" ref="M86">IF(C86="","",IF(_xlfn.XLOOKUP(A86&amp;B86&amp;C86,盘货信息!$A:$A&amp;盘货信息!$B:$B&amp;盘货信息!$C:$C,盘货信息!$G:$G)="不参加","","焕新补贴优惠【全民可用，不限地址】"))</f>
        <v/>
      </c>
    </row>
    <row r="87" customHeight="1" spans="1:13">
      <c r="A87" s="17" t="str">
        <f>IF(盘货信息!A87="","",盘货信息!A87)</f>
        <v/>
      </c>
      <c r="B87" s="17" t="str">
        <f>IF(盘货信息!B87="","",盘货信息!B87)</f>
        <v/>
      </c>
      <c r="C87" s="18" t="str">
        <f>IF(盘货信息!C87="","",盘货信息!C87)</f>
        <v/>
      </c>
      <c r="D87" s="18" t="str">
        <f t="shared" si="1"/>
        <v/>
      </c>
      <c r="E87" s="18" t="str">
        <f t="array" ref="E87">IF(C87="","",IF(_xlfn.XLOOKUP(A87&amp;B87&amp;C87,盘货信息!$A:$A&amp;盘货信息!$B:$B&amp;盘货信息!$C:$C,盘货信息!$N:$N)="","【立减到手价"&amp;_xlfn.XLOOKUP(A87&amp;B87&amp;C87,盘货信息!$A:$A&amp;盘货信息!$B:$B&amp;盘货信息!$C:$C,盘货信息!$F:$F)&amp;"元】","【焕新补贴预估价"&amp;_xlfn.XLOOKUP(A87&amp;B87&amp;C87,盘货信息!$A:$A&amp;盘货信息!$B:$B&amp;盘货信息!$C:$C,盘货信息!$N:$N)&amp;"元】"))</f>
        <v/>
      </c>
      <c r="F87" s="18" t="str">
        <f t="array" ref="F87">IF(C87="","",_xlfn.XLOOKUP(A87&amp;B87&amp;C87,盘货信息!$A:$A&amp;盘货信息!$B:$B&amp;盘货信息!$C:$C,盘货信息!$E:$E)&amp;"元到手价")</f>
        <v/>
      </c>
      <c r="G87" s="18" t="str">
        <f t="array" ref="G87">IF(C87="","",IF(_xlfn.XLOOKUP(A87&amp;B87&amp;C87,盘货信息!$A:$A&amp;盘货信息!$B:$B&amp;盘货信息!$C:$C,盘货信息!$I:$I)="","","88VIP95折"))</f>
        <v/>
      </c>
      <c r="H87" s="18" t="str">
        <f t="array" ref="H87">IF(C87="","",IF(_xlfn.XLOOKUP(A87&amp;B87&amp;C87,盘货信息!$A:$A&amp;盘货信息!$B:$B&amp;盘货信息!$C:$C,盘货信息!$J:$J)="","",_xlfn.XLOOKUP(A87&amp;B87&amp;C87,盘货信息!$A:$A&amp;盘货信息!$B:$B&amp;盘货信息!$C:$C,盘货信息!$J:$J)&amp;"元优惠卷"))</f>
        <v/>
      </c>
      <c r="I87" s="18" t="str">
        <f t="array" ref="I87">IF(C87="","",IF(_xlfn.XLOOKUP(A87&amp;B87&amp;C87,盘货信息!$A:$A&amp;盘货信息!$B:$B&amp;盘货信息!$C:$C,盘货信息!$R:$R)="","",_xlfn.XLOOKUP(A87&amp;B87&amp;C87,盘货信息!$A:$A&amp;盘货信息!$B:$B&amp;盘货信息!$C:$C,盘货信息!$R:$R)&amp;"元优惠卷"))</f>
        <v/>
      </c>
      <c r="J87" s="18" t="str">
        <f t="array" ref="J87">IF(C87="","",IF(_xlfn.XLOOKUP(A87&amp;B87&amp;C87,盘货信息!$A:$A&amp;盘货信息!$B:$B&amp;盘货信息!$C:$C,盘货信息!$K:$K)="","",IF(OR(_xlfn.XLOOKUP(A87&amp;B87&amp;C87,盘货信息!$A:$A&amp;盘货信息!$B:$B&amp;盘货信息!$C:$C,盘货信息!$G:$G)="参加",_xlfn.XLOOKUP(A87&amp;B87&amp;C87,盘货信息!$A:$A&amp;盘货信息!$B:$B&amp;盘货信息!$C:$C,盘货信息!$H:$H)="1（纯自补）"),_xlfn.XLOOKUP(A87&amp;B87&amp;C87,盘货信息!$A:$A&amp;盘货信息!$B:$B&amp;盘货信息!$C:$C,盘货信息!$K:$K)&amp;"元以旧换新（可无旧机换新）","")))</f>
        <v/>
      </c>
      <c r="K87" s="18" t="str">
        <f t="array" ref="K87">IF(C87="","",IF(_xlfn.XLOOKUP(A87&amp;B87&amp;C87,盘货信息!$A:$A&amp;盘货信息!$B:$B&amp;盘货信息!$C:$C,盘货信息!$L:$L)="","",_xlfn.XLOOKUP(A87&amp;B87&amp;C87,盘货信息!$A:$A&amp;盘货信息!$B:$B&amp;盘货信息!$C:$C,盘货信息!$L:$L)&amp;"元限时补贴"))</f>
        <v/>
      </c>
      <c r="L87" s="18" t="str">
        <f t="array" ref="L87">IF(C87="","",IF(_xlfn.XLOOKUP(A87&amp;B87&amp;C87,盘货信息!$A:$A&amp;盘货信息!$B:$B&amp;盘货信息!$C:$C,盘货信息!$M:$M)="","",_xlfn.XLOOKUP(A87&amp;B87&amp;C87,盘货信息!$A:$A&amp;盘货信息!$B:$B&amp;盘货信息!$C:$C,盘货信息!$M:$M)&amp;"元消费券"))</f>
        <v/>
      </c>
      <c r="M87" s="18" t="str">
        <f t="array" ref="M87">IF(C87="","",IF(_xlfn.XLOOKUP(A87&amp;B87&amp;C87,盘货信息!$A:$A&amp;盘货信息!$B:$B&amp;盘货信息!$C:$C,盘货信息!$G:$G)="不参加","","焕新补贴优惠【全民可用，不限地址】"))</f>
        <v/>
      </c>
    </row>
    <row r="88" customHeight="1" spans="1:13">
      <c r="A88" s="17" t="str">
        <f>IF(盘货信息!A88="","",盘货信息!A88)</f>
        <v/>
      </c>
      <c r="B88" s="17" t="str">
        <f>IF(盘货信息!B88="","",盘货信息!B88)</f>
        <v/>
      </c>
      <c r="C88" s="18" t="str">
        <f>IF(盘货信息!C88="","",盘货信息!C88)</f>
        <v/>
      </c>
      <c r="D88" s="18" t="str">
        <f t="shared" si="1"/>
        <v/>
      </c>
      <c r="E88" s="18" t="str">
        <f t="array" ref="E88">IF(C88="","",IF(_xlfn.XLOOKUP(A88&amp;B88&amp;C88,盘货信息!$A:$A&amp;盘货信息!$B:$B&amp;盘货信息!$C:$C,盘货信息!$N:$N)="","【立减到手价"&amp;_xlfn.XLOOKUP(A88&amp;B88&amp;C88,盘货信息!$A:$A&amp;盘货信息!$B:$B&amp;盘货信息!$C:$C,盘货信息!$F:$F)&amp;"元】","【焕新补贴预估价"&amp;_xlfn.XLOOKUP(A88&amp;B88&amp;C88,盘货信息!$A:$A&amp;盘货信息!$B:$B&amp;盘货信息!$C:$C,盘货信息!$N:$N)&amp;"元】"))</f>
        <v/>
      </c>
      <c r="F88" s="18" t="str">
        <f t="array" ref="F88">IF(C88="","",_xlfn.XLOOKUP(A88&amp;B88&amp;C88,盘货信息!$A:$A&amp;盘货信息!$B:$B&amp;盘货信息!$C:$C,盘货信息!$E:$E)&amp;"元到手价")</f>
        <v/>
      </c>
      <c r="G88" s="18" t="str">
        <f t="array" ref="G88">IF(C88="","",IF(_xlfn.XLOOKUP(A88&amp;B88&amp;C88,盘货信息!$A:$A&amp;盘货信息!$B:$B&amp;盘货信息!$C:$C,盘货信息!$I:$I)="","","88VIP95折"))</f>
        <v/>
      </c>
      <c r="H88" s="18" t="str">
        <f t="array" ref="H88">IF(C88="","",IF(_xlfn.XLOOKUP(A88&amp;B88&amp;C88,盘货信息!$A:$A&amp;盘货信息!$B:$B&amp;盘货信息!$C:$C,盘货信息!$J:$J)="","",_xlfn.XLOOKUP(A88&amp;B88&amp;C88,盘货信息!$A:$A&amp;盘货信息!$B:$B&amp;盘货信息!$C:$C,盘货信息!$J:$J)&amp;"元优惠卷"))</f>
        <v/>
      </c>
      <c r="I88" s="18" t="str">
        <f t="array" ref="I88">IF(C88="","",IF(_xlfn.XLOOKUP(A88&amp;B88&amp;C88,盘货信息!$A:$A&amp;盘货信息!$B:$B&amp;盘货信息!$C:$C,盘货信息!$R:$R)="","",_xlfn.XLOOKUP(A88&amp;B88&amp;C88,盘货信息!$A:$A&amp;盘货信息!$B:$B&amp;盘货信息!$C:$C,盘货信息!$R:$R)&amp;"元优惠卷"))</f>
        <v/>
      </c>
      <c r="J88" s="18" t="str">
        <f t="array" ref="J88">IF(C88="","",IF(_xlfn.XLOOKUP(A88&amp;B88&amp;C88,盘货信息!$A:$A&amp;盘货信息!$B:$B&amp;盘货信息!$C:$C,盘货信息!$K:$K)="","",IF(OR(_xlfn.XLOOKUP(A88&amp;B88&amp;C88,盘货信息!$A:$A&amp;盘货信息!$B:$B&amp;盘货信息!$C:$C,盘货信息!$G:$G)="参加",_xlfn.XLOOKUP(A88&amp;B88&amp;C88,盘货信息!$A:$A&amp;盘货信息!$B:$B&amp;盘货信息!$C:$C,盘货信息!$H:$H)="1（纯自补）"),_xlfn.XLOOKUP(A88&amp;B88&amp;C88,盘货信息!$A:$A&amp;盘货信息!$B:$B&amp;盘货信息!$C:$C,盘货信息!$K:$K)&amp;"元以旧换新（可无旧机换新）","")))</f>
        <v/>
      </c>
      <c r="K88" s="18" t="str">
        <f t="array" ref="K88">IF(C88="","",IF(_xlfn.XLOOKUP(A88&amp;B88&amp;C88,盘货信息!$A:$A&amp;盘货信息!$B:$B&amp;盘货信息!$C:$C,盘货信息!$L:$L)="","",_xlfn.XLOOKUP(A88&amp;B88&amp;C88,盘货信息!$A:$A&amp;盘货信息!$B:$B&amp;盘货信息!$C:$C,盘货信息!$L:$L)&amp;"元限时补贴"))</f>
        <v/>
      </c>
      <c r="L88" s="18" t="str">
        <f t="array" ref="L88">IF(C88="","",IF(_xlfn.XLOOKUP(A88&amp;B88&amp;C88,盘货信息!$A:$A&amp;盘货信息!$B:$B&amp;盘货信息!$C:$C,盘货信息!$M:$M)="","",_xlfn.XLOOKUP(A88&amp;B88&amp;C88,盘货信息!$A:$A&amp;盘货信息!$B:$B&amp;盘货信息!$C:$C,盘货信息!$M:$M)&amp;"元消费券"))</f>
        <v/>
      </c>
      <c r="M88" s="18" t="str">
        <f t="array" ref="M88">IF(C88="","",IF(_xlfn.XLOOKUP(A88&amp;B88&amp;C88,盘货信息!$A:$A&amp;盘货信息!$B:$B&amp;盘货信息!$C:$C,盘货信息!$G:$G)="不参加","","焕新补贴优惠【全民可用，不限地址】"))</f>
        <v/>
      </c>
    </row>
    <row r="89" customHeight="1" spans="1:13">
      <c r="A89" s="17" t="str">
        <f>IF(盘货信息!A89="","",盘货信息!A89)</f>
        <v/>
      </c>
      <c r="B89" s="17" t="str">
        <f>IF(盘货信息!B89="","",盘货信息!B89)</f>
        <v/>
      </c>
      <c r="C89" s="18" t="str">
        <f>IF(盘货信息!C89="","",盘货信息!C89)</f>
        <v/>
      </c>
      <c r="D89" s="18" t="str">
        <f t="shared" si="1"/>
        <v/>
      </c>
      <c r="E89" s="18" t="str">
        <f t="array" ref="E89">IF(C89="","",IF(_xlfn.XLOOKUP(A89&amp;B89&amp;C89,盘货信息!$A:$A&amp;盘货信息!$B:$B&amp;盘货信息!$C:$C,盘货信息!$N:$N)="","【立减到手价"&amp;_xlfn.XLOOKUP(A89&amp;B89&amp;C89,盘货信息!$A:$A&amp;盘货信息!$B:$B&amp;盘货信息!$C:$C,盘货信息!$F:$F)&amp;"元】","【焕新补贴预估价"&amp;_xlfn.XLOOKUP(A89&amp;B89&amp;C89,盘货信息!$A:$A&amp;盘货信息!$B:$B&amp;盘货信息!$C:$C,盘货信息!$N:$N)&amp;"元】"))</f>
        <v/>
      </c>
      <c r="F89" s="18" t="str">
        <f t="array" ref="F89">IF(C89="","",_xlfn.XLOOKUP(A89&amp;B89&amp;C89,盘货信息!$A:$A&amp;盘货信息!$B:$B&amp;盘货信息!$C:$C,盘货信息!$E:$E)&amp;"元到手价")</f>
        <v/>
      </c>
      <c r="G89" s="18" t="str">
        <f t="array" ref="G89">IF(C89="","",IF(_xlfn.XLOOKUP(A89&amp;B89&amp;C89,盘货信息!$A:$A&amp;盘货信息!$B:$B&amp;盘货信息!$C:$C,盘货信息!$I:$I)="","","88VIP95折"))</f>
        <v/>
      </c>
      <c r="H89" s="18" t="str">
        <f t="array" ref="H89">IF(C89="","",IF(_xlfn.XLOOKUP(A89&amp;B89&amp;C89,盘货信息!$A:$A&amp;盘货信息!$B:$B&amp;盘货信息!$C:$C,盘货信息!$J:$J)="","",_xlfn.XLOOKUP(A89&amp;B89&amp;C89,盘货信息!$A:$A&amp;盘货信息!$B:$B&amp;盘货信息!$C:$C,盘货信息!$J:$J)&amp;"元优惠卷"))</f>
        <v/>
      </c>
      <c r="I89" s="18" t="str">
        <f t="array" ref="I89">IF(C89="","",IF(_xlfn.XLOOKUP(A89&amp;B89&amp;C89,盘货信息!$A:$A&amp;盘货信息!$B:$B&amp;盘货信息!$C:$C,盘货信息!$R:$R)="","",_xlfn.XLOOKUP(A89&amp;B89&amp;C89,盘货信息!$A:$A&amp;盘货信息!$B:$B&amp;盘货信息!$C:$C,盘货信息!$R:$R)&amp;"元优惠卷"))</f>
        <v/>
      </c>
      <c r="J89" s="18" t="str">
        <f t="array" ref="J89">IF(C89="","",IF(_xlfn.XLOOKUP(A89&amp;B89&amp;C89,盘货信息!$A:$A&amp;盘货信息!$B:$B&amp;盘货信息!$C:$C,盘货信息!$K:$K)="","",IF(OR(_xlfn.XLOOKUP(A89&amp;B89&amp;C89,盘货信息!$A:$A&amp;盘货信息!$B:$B&amp;盘货信息!$C:$C,盘货信息!$G:$G)="参加",_xlfn.XLOOKUP(A89&amp;B89&amp;C89,盘货信息!$A:$A&amp;盘货信息!$B:$B&amp;盘货信息!$C:$C,盘货信息!$H:$H)="1（纯自补）"),_xlfn.XLOOKUP(A89&amp;B89&amp;C89,盘货信息!$A:$A&amp;盘货信息!$B:$B&amp;盘货信息!$C:$C,盘货信息!$K:$K)&amp;"元以旧换新（可无旧机换新）","")))</f>
        <v/>
      </c>
      <c r="K89" s="18" t="str">
        <f t="array" ref="K89">IF(C89="","",IF(_xlfn.XLOOKUP(A89&amp;B89&amp;C89,盘货信息!$A:$A&amp;盘货信息!$B:$B&amp;盘货信息!$C:$C,盘货信息!$L:$L)="","",_xlfn.XLOOKUP(A89&amp;B89&amp;C89,盘货信息!$A:$A&amp;盘货信息!$B:$B&amp;盘货信息!$C:$C,盘货信息!$L:$L)&amp;"元限时补贴"))</f>
        <v/>
      </c>
      <c r="L89" s="18" t="str">
        <f t="array" ref="L89">IF(C89="","",IF(_xlfn.XLOOKUP(A89&amp;B89&amp;C89,盘货信息!$A:$A&amp;盘货信息!$B:$B&amp;盘货信息!$C:$C,盘货信息!$M:$M)="","",_xlfn.XLOOKUP(A89&amp;B89&amp;C89,盘货信息!$A:$A&amp;盘货信息!$B:$B&amp;盘货信息!$C:$C,盘货信息!$M:$M)&amp;"元消费券"))</f>
        <v/>
      </c>
      <c r="M89" s="18" t="str">
        <f t="array" ref="M89">IF(C89="","",IF(_xlfn.XLOOKUP(A89&amp;B89&amp;C89,盘货信息!$A:$A&amp;盘货信息!$B:$B&amp;盘货信息!$C:$C,盘货信息!$G:$G)="不参加","","焕新补贴优惠【全民可用，不限地址】"))</f>
        <v/>
      </c>
    </row>
    <row r="90" customHeight="1" spans="1:13">
      <c r="A90" s="17" t="str">
        <f>IF(盘货信息!A90="","",盘货信息!A90)</f>
        <v/>
      </c>
      <c r="B90" s="17" t="str">
        <f>IF(盘货信息!B90="","",盘货信息!B90)</f>
        <v/>
      </c>
      <c r="C90" s="18" t="str">
        <f>IF(盘货信息!C90="","",盘货信息!C90)</f>
        <v/>
      </c>
      <c r="D90" s="18" t="str">
        <f t="shared" si="1"/>
        <v/>
      </c>
      <c r="E90" s="18" t="str">
        <f t="array" ref="E90">IF(C90="","",IF(_xlfn.XLOOKUP(A90&amp;B90&amp;C90,盘货信息!$A:$A&amp;盘货信息!$B:$B&amp;盘货信息!$C:$C,盘货信息!$N:$N)="","【立减到手价"&amp;_xlfn.XLOOKUP(A90&amp;B90&amp;C90,盘货信息!$A:$A&amp;盘货信息!$B:$B&amp;盘货信息!$C:$C,盘货信息!$F:$F)&amp;"元】","【焕新补贴预估价"&amp;_xlfn.XLOOKUP(A90&amp;B90&amp;C90,盘货信息!$A:$A&amp;盘货信息!$B:$B&amp;盘货信息!$C:$C,盘货信息!$N:$N)&amp;"元】"))</f>
        <v/>
      </c>
      <c r="F90" s="18" t="str">
        <f t="array" ref="F90">IF(C90="","",_xlfn.XLOOKUP(A90&amp;B90&amp;C90,盘货信息!$A:$A&amp;盘货信息!$B:$B&amp;盘货信息!$C:$C,盘货信息!$E:$E)&amp;"元到手价")</f>
        <v/>
      </c>
      <c r="G90" s="18" t="str">
        <f t="array" ref="G90">IF(C90="","",IF(_xlfn.XLOOKUP(A90&amp;B90&amp;C90,盘货信息!$A:$A&amp;盘货信息!$B:$B&amp;盘货信息!$C:$C,盘货信息!$I:$I)="","","88VIP95折"))</f>
        <v/>
      </c>
      <c r="H90" s="18" t="str">
        <f t="array" ref="H90">IF(C90="","",IF(_xlfn.XLOOKUP(A90&amp;B90&amp;C90,盘货信息!$A:$A&amp;盘货信息!$B:$B&amp;盘货信息!$C:$C,盘货信息!$J:$J)="","",_xlfn.XLOOKUP(A90&amp;B90&amp;C90,盘货信息!$A:$A&amp;盘货信息!$B:$B&amp;盘货信息!$C:$C,盘货信息!$J:$J)&amp;"元优惠卷"))</f>
        <v/>
      </c>
      <c r="I90" s="18" t="str">
        <f t="array" ref="I90">IF(C90="","",IF(_xlfn.XLOOKUP(A90&amp;B90&amp;C90,盘货信息!$A:$A&amp;盘货信息!$B:$B&amp;盘货信息!$C:$C,盘货信息!$R:$R)="","",_xlfn.XLOOKUP(A90&amp;B90&amp;C90,盘货信息!$A:$A&amp;盘货信息!$B:$B&amp;盘货信息!$C:$C,盘货信息!$R:$R)&amp;"元优惠卷"))</f>
        <v/>
      </c>
      <c r="J90" s="18" t="str">
        <f t="array" ref="J90">IF(C90="","",IF(_xlfn.XLOOKUP(A90&amp;B90&amp;C90,盘货信息!$A:$A&amp;盘货信息!$B:$B&amp;盘货信息!$C:$C,盘货信息!$K:$K)="","",IF(OR(_xlfn.XLOOKUP(A90&amp;B90&amp;C90,盘货信息!$A:$A&amp;盘货信息!$B:$B&amp;盘货信息!$C:$C,盘货信息!$G:$G)="参加",_xlfn.XLOOKUP(A90&amp;B90&amp;C90,盘货信息!$A:$A&amp;盘货信息!$B:$B&amp;盘货信息!$C:$C,盘货信息!$H:$H)="1（纯自补）"),_xlfn.XLOOKUP(A90&amp;B90&amp;C90,盘货信息!$A:$A&amp;盘货信息!$B:$B&amp;盘货信息!$C:$C,盘货信息!$K:$K)&amp;"元以旧换新（可无旧机换新）","")))</f>
        <v/>
      </c>
      <c r="K90" s="18" t="str">
        <f t="array" ref="K90">IF(C90="","",IF(_xlfn.XLOOKUP(A90&amp;B90&amp;C90,盘货信息!$A:$A&amp;盘货信息!$B:$B&amp;盘货信息!$C:$C,盘货信息!$L:$L)="","",_xlfn.XLOOKUP(A90&amp;B90&amp;C90,盘货信息!$A:$A&amp;盘货信息!$B:$B&amp;盘货信息!$C:$C,盘货信息!$L:$L)&amp;"元限时补贴"))</f>
        <v/>
      </c>
      <c r="L90" s="18" t="str">
        <f t="array" ref="L90">IF(C90="","",IF(_xlfn.XLOOKUP(A90&amp;B90&amp;C90,盘货信息!$A:$A&amp;盘货信息!$B:$B&amp;盘货信息!$C:$C,盘货信息!$M:$M)="","",_xlfn.XLOOKUP(A90&amp;B90&amp;C90,盘货信息!$A:$A&amp;盘货信息!$B:$B&amp;盘货信息!$C:$C,盘货信息!$M:$M)&amp;"元消费券"))</f>
        <v/>
      </c>
      <c r="M90" s="18" t="str">
        <f t="array" ref="M90">IF(C90="","",IF(_xlfn.XLOOKUP(A90&amp;B90&amp;C90,盘货信息!$A:$A&amp;盘货信息!$B:$B&amp;盘货信息!$C:$C,盘货信息!$G:$G)="不参加","","焕新补贴优惠【全民可用，不限地址】"))</f>
        <v/>
      </c>
    </row>
    <row r="91" customHeight="1" spans="1:13">
      <c r="A91" s="17" t="str">
        <f>IF(盘货信息!A91="","",盘货信息!A91)</f>
        <v/>
      </c>
      <c r="B91" s="17" t="str">
        <f>IF(盘货信息!B91="","",盘货信息!B91)</f>
        <v/>
      </c>
      <c r="C91" s="18" t="str">
        <f>IF(盘货信息!C91="","",盘货信息!C91)</f>
        <v/>
      </c>
      <c r="D91" s="18" t="str">
        <f t="shared" si="1"/>
        <v/>
      </c>
      <c r="E91" s="18" t="str">
        <f t="array" ref="E91">IF(C91="","",IF(_xlfn.XLOOKUP(A91&amp;B91&amp;C91,盘货信息!$A:$A&amp;盘货信息!$B:$B&amp;盘货信息!$C:$C,盘货信息!$N:$N)="","【立减到手价"&amp;_xlfn.XLOOKUP(A91&amp;B91&amp;C91,盘货信息!$A:$A&amp;盘货信息!$B:$B&amp;盘货信息!$C:$C,盘货信息!$F:$F)&amp;"元】","【焕新补贴预估价"&amp;_xlfn.XLOOKUP(A91&amp;B91&amp;C91,盘货信息!$A:$A&amp;盘货信息!$B:$B&amp;盘货信息!$C:$C,盘货信息!$N:$N)&amp;"元】"))</f>
        <v/>
      </c>
      <c r="F91" s="18" t="str">
        <f t="array" ref="F91">IF(C91="","",_xlfn.XLOOKUP(A91&amp;B91&amp;C91,盘货信息!$A:$A&amp;盘货信息!$B:$B&amp;盘货信息!$C:$C,盘货信息!$E:$E)&amp;"元到手价")</f>
        <v/>
      </c>
      <c r="G91" s="18" t="str">
        <f t="array" ref="G91">IF(C91="","",IF(_xlfn.XLOOKUP(A91&amp;B91&amp;C91,盘货信息!$A:$A&amp;盘货信息!$B:$B&amp;盘货信息!$C:$C,盘货信息!$I:$I)="","","88VIP95折"))</f>
        <v/>
      </c>
      <c r="H91" s="18" t="str">
        <f t="array" ref="H91">IF(C91="","",IF(_xlfn.XLOOKUP(A91&amp;B91&amp;C91,盘货信息!$A:$A&amp;盘货信息!$B:$B&amp;盘货信息!$C:$C,盘货信息!$J:$J)="","",_xlfn.XLOOKUP(A91&amp;B91&amp;C91,盘货信息!$A:$A&amp;盘货信息!$B:$B&amp;盘货信息!$C:$C,盘货信息!$J:$J)&amp;"元优惠卷"))</f>
        <v/>
      </c>
      <c r="I91" s="18" t="str">
        <f t="array" ref="I91">IF(C91="","",IF(_xlfn.XLOOKUP(A91&amp;B91&amp;C91,盘货信息!$A:$A&amp;盘货信息!$B:$B&amp;盘货信息!$C:$C,盘货信息!$R:$R)="","",_xlfn.XLOOKUP(A91&amp;B91&amp;C91,盘货信息!$A:$A&amp;盘货信息!$B:$B&amp;盘货信息!$C:$C,盘货信息!$R:$R)&amp;"元优惠卷"))</f>
        <v/>
      </c>
      <c r="J91" s="18" t="str">
        <f t="array" ref="J91">IF(C91="","",IF(_xlfn.XLOOKUP(A91&amp;B91&amp;C91,盘货信息!$A:$A&amp;盘货信息!$B:$B&amp;盘货信息!$C:$C,盘货信息!$K:$K)="","",IF(OR(_xlfn.XLOOKUP(A91&amp;B91&amp;C91,盘货信息!$A:$A&amp;盘货信息!$B:$B&amp;盘货信息!$C:$C,盘货信息!$G:$G)="参加",_xlfn.XLOOKUP(A91&amp;B91&amp;C91,盘货信息!$A:$A&amp;盘货信息!$B:$B&amp;盘货信息!$C:$C,盘货信息!$H:$H)="1（纯自补）"),_xlfn.XLOOKUP(A91&amp;B91&amp;C91,盘货信息!$A:$A&amp;盘货信息!$B:$B&amp;盘货信息!$C:$C,盘货信息!$K:$K)&amp;"元以旧换新（可无旧机换新）","")))</f>
        <v/>
      </c>
      <c r="K91" s="18" t="str">
        <f t="array" ref="K91">IF(C91="","",IF(_xlfn.XLOOKUP(A91&amp;B91&amp;C91,盘货信息!$A:$A&amp;盘货信息!$B:$B&amp;盘货信息!$C:$C,盘货信息!$L:$L)="","",_xlfn.XLOOKUP(A91&amp;B91&amp;C91,盘货信息!$A:$A&amp;盘货信息!$B:$B&amp;盘货信息!$C:$C,盘货信息!$L:$L)&amp;"元限时补贴"))</f>
        <v/>
      </c>
      <c r="L91" s="18" t="str">
        <f t="array" ref="L91">IF(C91="","",IF(_xlfn.XLOOKUP(A91&amp;B91&amp;C91,盘货信息!$A:$A&amp;盘货信息!$B:$B&amp;盘货信息!$C:$C,盘货信息!$M:$M)="","",_xlfn.XLOOKUP(A91&amp;B91&amp;C91,盘货信息!$A:$A&amp;盘货信息!$B:$B&amp;盘货信息!$C:$C,盘货信息!$M:$M)&amp;"元消费券"))</f>
        <v/>
      </c>
      <c r="M91" s="18" t="str">
        <f t="array" ref="M91">IF(C91="","",IF(_xlfn.XLOOKUP(A91&amp;B91&amp;C91,盘货信息!$A:$A&amp;盘货信息!$B:$B&amp;盘货信息!$C:$C,盘货信息!$G:$G)="不参加","","焕新补贴优惠【全民可用，不限地址】"))</f>
        <v/>
      </c>
    </row>
    <row r="92" customHeight="1" spans="1:13">
      <c r="A92" s="17" t="str">
        <f>IF(盘货信息!A92="","",盘货信息!A92)</f>
        <v/>
      </c>
      <c r="B92" s="17" t="str">
        <f>IF(盘货信息!B92="","",盘货信息!B92)</f>
        <v/>
      </c>
      <c r="C92" s="18" t="str">
        <f>IF(盘货信息!C92="","",盘货信息!C92)</f>
        <v/>
      </c>
      <c r="D92" s="18" t="str">
        <f t="shared" si="1"/>
        <v/>
      </c>
      <c r="E92" s="18" t="str">
        <f t="array" ref="E92">IF(C92="","",IF(_xlfn.XLOOKUP(A92&amp;B92&amp;C92,盘货信息!$A:$A&amp;盘货信息!$B:$B&amp;盘货信息!$C:$C,盘货信息!$N:$N)="","【立减到手价"&amp;_xlfn.XLOOKUP(A92&amp;B92&amp;C92,盘货信息!$A:$A&amp;盘货信息!$B:$B&amp;盘货信息!$C:$C,盘货信息!$F:$F)&amp;"元】","【焕新补贴预估价"&amp;_xlfn.XLOOKUP(A92&amp;B92&amp;C92,盘货信息!$A:$A&amp;盘货信息!$B:$B&amp;盘货信息!$C:$C,盘货信息!$N:$N)&amp;"元】"))</f>
        <v/>
      </c>
      <c r="F92" s="18" t="str">
        <f t="array" ref="F92">IF(C92="","",_xlfn.XLOOKUP(A92&amp;B92&amp;C92,盘货信息!$A:$A&amp;盘货信息!$B:$B&amp;盘货信息!$C:$C,盘货信息!$E:$E)&amp;"元到手价")</f>
        <v/>
      </c>
      <c r="G92" s="18" t="str">
        <f t="array" ref="G92">IF(C92="","",IF(_xlfn.XLOOKUP(A92&amp;B92&amp;C92,盘货信息!$A:$A&amp;盘货信息!$B:$B&amp;盘货信息!$C:$C,盘货信息!$I:$I)="","","88VIP95折"))</f>
        <v/>
      </c>
      <c r="H92" s="18" t="str">
        <f t="array" ref="H92">IF(C92="","",IF(_xlfn.XLOOKUP(A92&amp;B92&amp;C92,盘货信息!$A:$A&amp;盘货信息!$B:$B&amp;盘货信息!$C:$C,盘货信息!$J:$J)="","",_xlfn.XLOOKUP(A92&amp;B92&amp;C92,盘货信息!$A:$A&amp;盘货信息!$B:$B&amp;盘货信息!$C:$C,盘货信息!$J:$J)&amp;"元优惠卷"))</f>
        <v/>
      </c>
      <c r="I92" s="18" t="str">
        <f t="array" ref="I92">IF(C92="","",IF(_xlfn.XLOOKUP(A92&amp;B92&amp;C92,盘货信息!$A:$A&amp;盘货信息!$B:$B&amp;盘货信息!$C:$C,盘货信息!$R:$R)="","",_xlfn.XLOOKUP(A92&amp;B92&amp;C92,盘货信息!$A:$A&amp;盘货信息!$B:$B&amp;盘货信息!$C:$C,盘货信息!$R:$R)&amp;"元优惠卷"))</f>
        <v/>
      </c>
      <c r="J92" s="18" t="str">
        <f t="array" ref="J92">IF(C92="","",IF(_xlfn.XLOOKUP(A92&amp;B92&amp;C92,盘货信息!$A:$A&amp;盘货信息!$B:$B&amp;盘货信息!$C:$C,盘货信息!$K:$K)="","",IF(OR(_xlfn.XLOOKUP(A92&amp;B92&amp;C92,盘货信息!$A:$A&amp;盘货信息!$B:$B&amp;盘货信息!$C:$C,盘货信息!$G:$G)="参加",_xlfn.XLOOKUP(A92&amp;B92&amp;C92,盘货信息!$A:$A&amp;盘货信息!$B:$B&amp;盘货信息!$C:$C,盘货信息!$H:$H)="1（纯自补）"),_xlfn.XLOOKUP(A92&amp;B92&amp;C92,盘货信息!$A:$A&amp;盘货信息!$B:$B&amp;盘货信息!$C:$C,盘货信息!$K:$K)&amp;"元以旧换新（可无旧机换新）","")))</f>
        <v/>
      </c>
      <c r="K92" s="18" t="str">
        <f t="array" ref="K92">IF(C92="","",IF(_xlfn.XLOOKUP(A92&amp;B92&amp;C92,盘货信息!$A:$A&amp;盘货信息!$B:$B&amp;盘货信息!$C:$C,盘货信息!$L:$L)="","",_xlfn.XLOOKUP(A92&amp;B92&amp;C92,盘货信息!$A:$A&amp;盘货信息!$B:$B&amp;盘货信息!$C:$C,盘货信息!$L:$L)&amp;"元限时补贴"))</f>
        <v/>
      </c>
      <c r="L92" s="18" t="str">
        <f t="array" ref="L92">IF(C92="","",IF(_xlfn.XLOOKUP(A92&amp;B92&amp;C92,盘货信息!$A:$A&amp;盘货信息!$B:$B&amp;盘货信息!$C:$C,盘货信息!$M:$M)="","",_xlfn.XLOOKUP(A92&amp;B92&amp;C92,盘货信息!$A:$A&amp;盘货信息!$B:$B&amp;盘货信息!$C:$C,盘货信息!$M:$M)&amp;"元消费券"))</f>
        <v/>
      </c>
      <c r="M92" s="18" t="str">
        <f t="array" ref="M92">IF(C92="","",IF(_xlfn.XLOOKUP(A92&amp;B92&amp;C92,盘货信息!$A:$A&amp;盘货信息!$B:$B&amp;盘货信息!$C:$C,盘货信息!$G:$G)="不参加","","焕新补贴优惠【全民可用，不限地址】"))</f>
        <v/>
      </c>
    </row>
    <row r="93" customHeight="1" spans="1:13">
      <c r="A93" s="17" t="str">
        <f>IF(盘货信息!A93="","",盘货信息!A93)</f>
        <v/>
      </c>
      <c r="B93" s="17" t="str">
        <f>IF(盘货信息!B93="","",盘货信息!B93)</f>
        <v/>
      </c>
      <c r="C93" s="18" t="str">
        <f>IF(盘货信息!C93="","",盘货信息!C93)</f>
        <v/>
      </c>
      <c r="D93" s="18" t="str">
        <f t="shared" si="1"/>
        <v/>
      </c>
      <c r="E93" s="18" t="str">
        <f t="array" ref="E93">IF(C93="","",IF(_xlfn.XLOOKUP(A93&amp;B93&amp;C93,盘货信息!$A:$A&amp;盘货信息!$B:$B&amp;盘货信息!$C:$C,盘货信息!$N:$N)="","【立减到手价"&amp;_xlfn.XLOOKUP(A93&amp;B93&amp;C93,盘货信息!$A:$A&amp;盘货信息!$B:$B&amp;盘货信息!$C:$C,盘货信息!$F:$F)&amp;"元】","【焕新补贴预估价"&amp;_xlfn.XLOOKUP(A93&amp;B93&amp;C93,盘货信息!$A:$A&amp;盘货信息!$B:$B&amp;盘货信息!$C:$C,盘货信息!$N:$N)&amp;"元】"))</f>
        <v/>
      </c>
      <c r="F93" s="18" t="str">
        <f t="array" ref="F93">IF(C93="","",_xlfn.XLOOKUP(A93&amp;B93&amp;C93,盘货信息!$A:$A&amp;盘货信息!$B:$B&amp;盘货信息!$C:$C,盘货信息!$E:$E)&amp;"元到手价")</f>
        <v/>
      </c>
      <c r="G93" s="18" t="str">
        <f t="array" ref="G93">IF(C93="","",IF(_xlfn.XLOOKUP(A93&amp;B93&amp;C93,盘货信息!$A:$A&amp;盘货信息!$B:$B&amp;盘货信息!$C:$C,盘货信息!$I:$I)="","","88VIP95折"))</f>
        <v/>
      </c>
      <c r="H93" s="18" t="str">
        <f t="array" ref="H93">IF(C93="","",IF(_xlfn.XLOOKUP(A93&amp;B93&amp;C93,盘货信息!$A:$A&amp;盘货信息!$B:$B&amp;盘货信息!$C:$C,盘货信息!$J:$J)="","",_xlfn.XLOOKUP(A93&amp;B93&amp;C93,盘货信息!$A:$A&amp;盘货信息!$B:$B&amp;盘货信息!$C:$C,盘货信息!$J:$J)&amp;"元优惠卷"))</f>
        <v/>
      </c>
      <c r="I93" s="18" t="str">
        <f t="array" ref="I93">IF(C93="","",IF(_xlfn.XLOOKUP(A93&amp;B93&amp;C93,盘货信息!$A:$A&amp;盘货信息!$B:$B&amp;盘货信息!$C:$C,盘货信息!$R:$R)="","",_xlfn.XLOOKUP(A93&amp;B93&amp;C93,盘货信息!$A:$A&amp;盘货信息!$B:$B&amp;盘货信息!$C:$C,盘货信息!$R:$R)&amp;"元优惠卷"))</f>
        <v/>
      </c>
      <c r="J93" s="18" t="str">
        <f t="array" ref="J93">IF(C93="","",IF(_xlfn.XLOOKUP(A93&amp;B93&amp;C93,盘货信息!$A:$A&amp;盘货信息!$B:$B&amp;盘货信息!$C:$C,盘货信息!$K:$K)="","",IF(OR(_xlfn.XLOOKUP(A93&amp;B93&amp;C93,盘货信息!$A:$A&amp;盘货信息!$B:$B&amp;盘货信息!$C:$C,盘货信息!$G:$G)="参加",_xlfn.XLOOKUP(A93&amp;B93&amp;C93,盘货信息!$A:$A&amp;盘货信息!$B:$B&amp;盘货信息!$C:$C,盘货信息!$H:$H)="1（纯自补）"),_xlfn.XLOOKUP(A93&amp;B93&amp;C93,盘货信息!$A:$A&amp;盘货信息!$B:$B&amp;盘货信息!$C:$C,盘货信息!$K:$K)&amp;"元以旧换新（可无旧机换新）","")))</f>
        <v/>
      </c>
      <c r="K93" s="18" t="str">
        <f t="array" ref="K93">IF(C93="","",IF(_xlfn.XLOOKUP(A93&amp;B93&amp;C93,盘货信息!$A:$A&amp;盘货信息!$B:$B&amp;盘货信息!$C:$C,盘货信息!$L:$L)="","",_xlfn.XLOOKUP(A93&amp;B93&amp;C93,盘货信息!$A:$A&amp;盘货信息!$B:$B&amp;盘货信息!$C:$C,盘货信息!$L:$L)&amp;"元限时补贴"))</f>
        <v/>
      </c>
      <c r="L93" s="18" t="str">
        <f t="array" ref="L93">IF(C93="","",IF(_xlfn.XLOOKUP(A93&amp;B93&amp;C93,盘货信息!$A:$A&amp;盘货信息!$B:$B&amp;盘货信息!$C:$C,盘货信息!$M:$M)="","",_xlfn.XLOOKUP(A93&amp;B93&amp;C93,盘货信息!$A:$A&amp;盘货信息!$B:$B&amp;盘货信息!$C:$C,盘货信息!$M:$M)&amp;"元消费券"))</f>
        <v/>
      </c>
      <c r="M93" s="18" t="str">
        <f t="array" ref="M93">IF(C93="","",IF(_xlfn.XLOOKUP(A93&amp;B93&amp;C93,盘货信息!$A:$A&amp;盘货信息!$B:$B&amp;盘货信息!$C:$C,盘货信息!$G:$G)="不参加","","焕新补贴优惠【全民可用，不限地址】"))</f>
        <v/>
      </c>
    </row>
    <row r="94" customHeight="1" spans="1:13">
      <c r="A94" s="17" t="str">
        <f>IF(盘货信息!A94="","",盘货信息!A94)</f>
        <v/>
      </c>
      <c r="B94" s="17" t="str">
        <f>IF(盘货信息!B94="","",盘货信息!B94)</f>
        <v/>
      </c>
      <c r="C94" s="20" t="str">
        <f>IF(盘货信息!C94="","",盘货信息!C94)</f>
        <v/>
      </c>
      <c r="D94" s="18" t="str">
        <f t="shared" si="1"/>
        <v/>
      </c>
      <c r="E94" s="18" t="str">
        <f t="array" ref="E94">IF(C94="","",IF(_xlfn.XLOOKUP(A94&amp;B94&amp;C94,盘货信息!$A:$A&amp;盘货信息!$B:$B&amp;盘货信息!$C:$C,盘货信息!$N:$N)="","【立减到手价"&amp;_xlfn.XLOOKUP(A94&amp;B94&amp;C94,盘货信息!$A:$A&amp;盘货信息!$B:$B&amp;盘货信息!$C:$C,盘货信息!$F:$F)&amp;"元】","【焕新补贴预估价"&amp;_xlfn.XLOOKUP(A94&amp;B94&amp;C94,盘货信息!$A:$A&amp;盘货信息!$B:$B&amp;盘货信息!$C:$C,盘货信息!$N:$N)&amp;"元】"))</f>
        <v/>
      </c>
      <c r="F94" s="18" t="str">
        <f t="array" ref="F94">IF(C94="","",_xlfn.XLOOKUP(A94&amp;B94&amp;C94,盘货信息!$A:$A&amp;盘货信息!$B:$B&amp;盘货信息!$C:$C,盘货信息!$E:$E)&amp;"元到手价")</f>
        <v/>
      </c>
      <c r="G94" s="18" t="str">
        <f t="array" ref="G94">IF(C94="","",IF(_xlfn.XLOOKUP(A94&amp;B94&amp;C94,盘货信息!$A:$A&amp;盘货信息!$B:$B&amp;盘货信息!$C:$C,盘货信息!$I:$I)="","","88VIP95折"))</f>
        <v/>
      </c>
      <c r="H94" s="18" t="str">
        <f t="array" ref="H94">IF(C94="","",IF(_xlfn.XLOOKUP(A94&amp;B94&amp;C94,盘货信息!$A:$A&amp;盘货信息!$B:$B&amp;盘货信息!$C:$C,盘货信息!$J:$J)="","",_xlfn.XLOOKUP(A94&amp;B94&amp;C94,盘货信息!$A:$A&amp;盘货信息!$B:$B&amp;盘货信息!$C:$C,盘货信息!$J:$J)&amp;"元优惠卷"))</f>
        <v/>
      </c>
      <c r="I94" s="18" t="str">
        <f t="array" ref="I94">IF(C94="","",IF(_xlfn.XLOOKUP(A94&amp;B94&amp;C94,盘货信息!$A:$A&amp;盘货信息!$B:$B&amp;盘货信息!$C:$C,盘货信息!$R:$R)="","",_xlfn.XLOOKUP(A94&amp;B94&amp;C94,盘货信息!$A:$A&amp;盘货信息!$B:$B&amp;盘货信息!$C:$C,盘货信息!$R:$R)&amp;"元优惠卷"))</f>
        <v/>
      </c>
      <c r="J94" s="18" t="str">
        <f t="array" ref="J94">IF(C94="","",IF(_xlfn.XLOOKUP(A94&amp;B94&amp;C94,盘货信息!$A:$A&amp;盘货信息!$B:$B&amp;盘货信息!$C:$C,盘货信息!$K:$K)="","",IF(OR(_xlfn.XLOOKUP(A94&amp;B94&amp;C94,盘货信息!$A:$A&amp;盘货信息!$B:$B&amp;盘货信息!$C:$C,盘货信息!$G:$G)="参加",_xlfn.XLOOKUP(A94&amp;B94&amp;C94,盘货信息!$A:$A&amp;盘货信息!$B:$B&amp;盘货信息!$C:$C,盘货信息!$H:$H)="1（纯自补）"),_xlfn.XLOOKUP(A94&amp;B94&amp;C94,盘货信息!$A:$A&amp;盘货信息!$B:$B&amp;盘货信息!$C:$C,盘货信息!$K:$K)&amp;"元以旧换新（可无旧机换新）","")))</f>
        <v/>
      </c>
      <c r="K94" s="18" t="str">
        <f t="array" ref="K94">IF(C94="","",IF(_xlfn.XLOOKUP(A94&amp;B94&amp;C94,盘货信息!$A:$A&amp;盘货信息!$B:$B&amp;盘货信息!$C:$C,盘货信息!$L:$L)="","",_xlfn.XLOOKUP(A94&amp;B94&amp;C94,盘货信息!$A:$A&amp;盘货信息!$B:$B&amp;盘货信息!$C:$C,盘货信息!$L:$L)&amp;"元限时补贴"))</f>
        <v/>
      </c>
      <c r="L94" s="18" t="str">
        <f t="array" ref="L94">IF(C94="","",IF(_xlfn.XLOOKUP(A94&amp;B94&amp;C94,盘货信息!$A:$A&amp;盘货信息!$B:$B&amp;盘货信息!$C:$C,盘货信息!$M:$M)="","",_xlfn.XLOOKUP(A94&amp;B94&amp;C94,盘货信息!$A:$A&amp;盘货信息!$B:$B&amp;盘货信息!$C:$C,盘货信息!$M:$M)&amp;"元消费券"))</f>
        <v/>
      </c>
      <c r="M94" s="18" t="str">
        <f t="array" ref="M94">IF(C94="","",IF(_xlfn.XLOOKUP(A94&amp;B94&amp;C94,盘货信息!$A:$A&amp;盘货信息!$B:$B&amp;盘货信息!$C:$C,盘货信息!$G:$G)="不参加","","焕新补贴优惠【全民可用，不限地址】"))</f>
        <v/>
      </c>
    </row>
    <row r="95" customHeight="1" spans="1:13">
      <c r="A95" s="17" t="str">
        <f>IF(盘货信息!A95="","",盘货信息!A95)</f>
        <v/>
      </c>
      <c r="B95" s="17" t="str">
        <f>IF(盘货信息!B95="","",盘货信息!B95)</f>
        <v/>
      </c>
      <c r="C95" s="18" t="str">
        <f>IF(盘货信息!C95="","",盘货信息!C95)</f>
        <v/>
      </c>
      <c r="D95" s="18" t="str">
        <f t="shared" si="1"/>
        <v/>
      </c>
      <c r="E95" s="18" t="str">
        <f t="array" ref="E95">IF(C95="","",IF(_xlfn.XLOOKUP(A95&amp;B95&amp;C95,盘货信息!$A:$A&amp;盘货信息!$B:$B&amp;盘货信息!$C:$C,盘货信息!$N:$N)="","【立减到手价"&amp;_xlfn.XLOOKUP(A95&amp;B95&amp;C95,盘货信息!$A:$A&amp;盘货信息!$B:$B&amp;盘货信息!$C:$C,盘货信息!$F:$F)&amp;"元】","【焕新补贴预估价"&amp;_xlfn.XLOOKUP(A95&amp;B95&amp;C95,盘货信息!$A:$A&amp;盘货信息!$B:$B&amp;盘货信息!$C:$C,盘货信息!$N:$N)&amp;"元】"))</f>
        <v/>
      </c>
      <c r="F95" s="18" t="str">
        <f t="array" ref="F95">IF(C95="","",_xlfn.XLOOKUP(A95&amp;B95&amp;C95,盘货信息!$A:$A&amp;盘货信息!$B:$B&amp;盘货信息!$C:$C,盘货信息!$E:$E)&amp;"元到手价")</f>
        <v/>
      </c>
      <c r="G95" s="18" t="str">
        <f t="array" ref="G95">IF(C95="","",IF(_xlfn.XLOOKUP(A95&amp;B95&amp;C95,盘货信息!$A:$A&amp;盘货信息!$B:$B&amp;盘货信息!$C:$C,盘货信息!$I:$I)="","","88VIP95折"))</f>
        <v/>
      </c>
      <c r="H95" s="18" t="str">
        <f t="array" ref="H95">IF(C95="","",IF(_xlfn.XLOOKUP(A95&amp;B95&amp;C95,盘货信息!$A:$A&amp;盘货信息!$B:$B&amp;盘货信息!$C:$C,盘货信息!$J:$J)="","",_xlfn.XLOOKUP(A95&amp;B95&amp;C95,盘货信息!$A:$A&amp;盘货信息!$B:$B&amp;盘货信息!$C:$C,盘货信息!$J:$J)&amp;"元优惠卷"))</f>
        <v/>
      </c>
      <c r="I95" s="18" t="str">
        <f t="array" ref="I95">IF(C95="","",IF(_xlfn.XLOOKUP(A95&amp;B95&amp;C95,盘货信息!$A:$A&amp;盘货信息!$B:$B&amp;盘货信息!$C:$C,盘货信息!$R:$R)="","",_xlfn.XLOOKUP(A95&amp;B95&amp;C95,盘货信息!$A:$A&amp;盘货信息!$B:$B&amp;盘货信息!$C:$C,盘货信息!$R:$R)&amp;"元优惠卷"))</f>
        <v/>
      </c>
      <c r="J95" s="18" t="str">
        <f t="array" ref="J95">IF(C95="","",IF(_xlfn.XLOOKUP(A95&amp;B95&amp;C95,盘货信息!$A:$A&amp;盘货信息!$B:$B&amp;盘货信息!$C:$C,盘货信息!$K:$K)="","",IF(OR(_xlfn.XLOOKUP(A95&amp;B95&amp;C95,盘货信息!$A:$A&amp;盘货信息!$B:$B&amp;盘货信息!$C:$C,盘货信息!$G:$G)="参加",_xlfn.XLOOKUP(A95&amp;B95&amp;C95,盘货信息!$A:$A&amp;盘货信息!$B:$B&amp;盘货信息!$C:$C,盘货信息!$H:$H)="1（纯自补）"),_xlfn.XLOOKUP(A95&amp;B95&amp;C95,盘货信息!$A:$A&amp;盘货信息!$B:$B&amp;盘货信息!$C:$C,盘货信息!$K:$K)&amp;"元以旧换新（可无旧机换新）","")))</f>
        <v/>
      </c>
      <c r="K95" s="18" t="str">
        <f t="array" ref="K95">IF(C95="","",IF(_xlfn.XLOOKUP(A95&amp;B95&amp;C95,盘货信息!$A:$A&amp;盘货信息!$B:$B&amp;盘货信息!$C:$C,盘货信息!$L:$L)="","",_xlfn.XLOOKUP(A95&amp;B95&amp;C95,盘货信息!$A:$A&amp;盘货信息!$B:$B&amp;盘货信息!$C:$C,盘货信息!$L:$L)&amp;"元限时补贴"))</f>
        <v/>
      </c>
      <c r="L95" s="18" t="str">
        <f t="array" ref="L95">IF(C95="","",IF(_xlfn.XLOOKUP(A95&amp;B95&amp;C95,盘货信息!$A:$A&amp;盘货信息!$B:$B&amp;盘货信息!$C:$C,盘货信息!$M:$M)="","",_xlfn.XLOOKUP(A95&amp;B95&amp;C95,盘货信息!$A:$A&amp;盘货信息!$B:$B&amp;盘货信息!$C:$C,盘货信息!$M:$M)&amp;"元消费券"))</f>
        <v/>
      </c>
      <c r="M95" s="18" t="str">
        <f t="array" ref="M95">IF(C95="","",IF(_xlfn.XLOOKUP(A95&amp;B95&amp;C95,盘货信息!$A:$A&amp;盘货信息!$B:$B&amp;盘货信息!$C:$C,盘货信息!$G:$G)="不参加","","焕新补贴优惠【全民可用，不限地址】"))</f>
        <v/>
      </c>
    </row>
    <row r="96" customHeight="1" spans="1:13">
      <c r="A96" s="17" t="str">
        <f>IF(盘货信息!A96="","",盘货信息!A96)</f>
        <v/>
      </c>
      <c r="B96" s="17" t="str">
        <f>IF(盘货信息!B96="","",盘货信息!B96)</f>
        <v/>
      </c>
      <c r="C96" s="18" t="str">
        <f>IF(盘货信息!C96="","",盘货信息!C96)</f>
        <v/>
      </c>
      <c r="D96" s="18" t="str">
        <f t="shared" si="1"/>
        <v/>
      </c>
      <c r="E96" s="18" t="str">
        <f t="array" ref="E96">IF(C96="","",IF(_xlfn.XLOOKUP(A96&amp;B96&amp;C96,盘货信息!$A:$A&amp;盘货信息!$B:$B&amp;盘货信息!$C:$C,盘货信息!$N:$N)="","【立减到手价"&amp;_xlfn.XLOOKUP(A96&amp;B96&amp;C96,盘货信息!$A:$A&amp;盘货信息!$B:$B&amp;盘货信息!$C:$C,盘货信息!$F:$F)&amp;"元】","【焕新补贴预估价"&amp;_xlfn.XLOOKUP(A96&amp;B96&amp;C96,盘货信息!$A:$A&amp;盘货信息!$B:$B&amp;盘货信息!$C:$C,盘货信息!$N:$N)&amp;"元】"))</f>
        <v/>
      </c>
      <c r="F96" s="18" t="str">
        <f t="array" ref="F96">IF(C96="","",_xlfn.XLOOKUP(A96&amp;B96&amp;C96,盘货信息!$A:$A&amp;盘货信息!$B:$B&amp;盘货信息!$C:$C,盘货信息!$E:$E)&amp;"元到手价")</f>
        <v/>
      </c>
      <c r="G96" s="18" t="str">
        <f t="array" ref="G96">IF(C96="","",IF(_xlfn.XLOOKUP(A96&amp;B96&amp;C96,盘货信息!$A:$A&amp;盘货信息!$B:$B&amp;盘货信息!$C:$C,盘货信息!$I:$I)="","","88VIP95折"))</f>
        <v/>
      </c>
      <c r="H96" s="18" t="str">
        <f t="array" ref="H96">IF(C96="","",IF(_xlfn.XLOOKUP(A96&amp;B96&amp;C96,盘货信息!$A:$A&amp;盘货信息!$B:$B&amp;盘货信息!$C:$C,盘货信息!$J:$J)="","",_xlfn.XLOOKUP(A96&amp;B96&amp;C96,盘货信息!$A:$A&amp;盘货信息!$B:$B&amp;盘货信息!$C:$C,盘货信息!$J:$J)&amp;"元优惠卷"))</f>
        <v/>
      </c>
      <c r="I96" s="18" t="str">
        <f t="array" ref="I96">IF(C96="","",IF(_xlfn.XLOOKUP(A96&amp;B96&amp;C96,盘货信息!$A:$A&amp;盘货信息!$B:$B&amp;盘货信息!$C:$C,盘货信息!$R:$R)="","",_xlfn.XLOOKUP(A96&amp;B96&amp;C96,盘货信息!$A:$A&amp;盘货信息!$B:$B&amp;盘货信息!$C:$C,盘货信息!$R:$R)&amp;"元优惠卷"))</f>
        <v/>
      </c>
      <c r="J96" s="18" t="str">
        <f t="array" ref="J96">IF(C96="","",IF(_xlfn.XLOOKUP(A96&amp;B96&amp;C96,盘货信息!$A:$A&amp;盘货信息!$B:$B&amp;盘货信息!$C:$C,盘货信息!$K:$K)="","",IF(OR(_xlfn.XLOOKUP(A96&amp;B96&amp;C96,盘货信息!$A:$A&amp;盘货信息!$B:$B&amp;盘货信息!$C:$C,盘货信息!$G:$G)="参加",_xlfn.XLOOKUP(A96&amp;B96&amp;C96,盘货信息!$A:$A&amp;盘货信息!$B:$B&amp;盘货信息!$C:$C,盘货信息!$H:$H)="1（纯自补）"),_xlfn.XLOOKUP(A96&amp;B96&amp;C96,盘货信息!$A:$A&amp;盘货信息!$B:$B&amp;盘货信息!$C:$C,盘货信息!$K:$K)&amp;"元以旧换新（可无旧机换新）","")))</f>
        <v/>
      </c>
      <c r="K96" s="18" t="str">
        <f t="array" ref="K96">IF(C96="","",IF(_xlfn.XLOOKUP(A96&amp;B96&amp;C96,盘货信息!$A:$A&amp;盘货信息!$B:$B&amp;盘货信息!$C:$C,盘货信息!$L:$L)="","",_xlfn.XLOOKUP(A96&amp;B96&amp;C96,盘货信息!$A:$A&amp;盘货信息!$B:$B&amp;盘货信息!$C:$C,盘货信息!$L:$L)&amp;"元限时补贴"))</f>
        <v/>
      </c>
      <c r="L96" s="18" t="str">
        <f t="array" ref="L96">IF(C96="","",IF(_xlfn.XLOOKUP(A96&amp;B96&amp;C96,盘货信息!$A:$A&amp;盘货信息!$B:$B&amp;盘货信息!$C:$C,盘货信息!$M:$M)="","",_xlfn.XLOOKUP(A96&amp;B96&amp;C96,盘货信息!$A:$A&amp;盘货信息!$B:$B&amp;盘货信息!$C:$C,盘货信息!$M:$M)&amp;"元消费券"))</f>
        <v/>
      </c>
      <c r="M96" s="18" t="str">
        <f t="array" ref="M96">IF(C96="","",IF(_xlfn.XLOOKUP(A96&amp;B96&amp;C96,盘货信息!$A:$A&amp;盘货信息!$B:$B&amp;盘货信息!$C:$C,盘货信息!$G:$G)="不参加","","焕新补贴优惠【全民可用，不限地址】"))</f>
        <v/>
      </c>
    </row>
    <row r="97" customHeight="1" spans="1:13">
      <c r="A97" s="17" t="str">
        <f>IF(盘货信息!A97="","",盘货信息!A97)</f>
        <v/>
      </c>
      <c r="B97" s="17" t="str">
        <f>IF(盘货信息!B97="","",盘货信息!B97)</f>
        <v/>
      </c>
      <c r="C97" s="18" t="str">
        <f>IF(盘货信息!C97="","",盘货信息!C97)</f>
        <v/>
      </c>
      <c r="D97" s="18" t="str">
        <f t="shared" si="1"/>
        <v/>
      </c>
      <c r="E97" s="18" t="str">
        <f t="array" ref="E97">IF(C97="","",IF(_xlfn.XLOOKUP(A97&amp;B97&amp;C97,盘货信息!$A:$A&amp;盘货信息!$B:$B&amp;盘货信息!$C:$C,盘货信息!$N:$N)="","【立减到手价"&amp;_xlfn.XLOOKUP(A97&amp;B97&amp;C97,盘货信息!$A:$A&amp;盘货信息!$B:$B&amp;盘货信息!$C:$C,盘货信息!$F:$F)&amp;"元】","【焕新补贴预估价"&amp;_xlfn.XLOOKUP(A97&amp;B97&amp;C97,盘货信息!$A:$A&amp;盘货信息!$B:$B&amp;盘货信息!$C:$C,盘货信息!$N:$N)&amp;"元】"))</f>
        <v/>
      </c>
      <c r="F97" s="18" t="str">
        <f t="array" ref="F97">IF(C97="","",_xlfn.XLOOKUP(A97&amp;B97&amp;C97,盘货信息!$A:$A&amp;盘货信息!$B:$B&amp;盘货信息!$C:$C,盘货信息!$E:$E)&amp;"元到手价")</f>
        <v/>
      </c>
      <c r="G97" s="18" t="str">
        <f t="array" ref="G97">IF(C97="","",IF(_xlfn.XLOOKUP(A97&amp;B97&amp;C97,盘货信息!$A:$A&amp;盘货信息!$B:$B&amp;盘货信息!$C:$C,盘货信息!$I:$I)="","","88VIP95折"))</f>
        <v/>
      </c>
      <c r="H97" s="18" t="str">
        <f t="array" ref="H97">IF(C97="","",IF(_xlfn.XLOOKUP(A97&amp;B97&amp;C97,盘货信息!$A:$A&amp;盘货信息!$B:$B&amp;盘货信息!$C:$C,盘货信息!$J:$J)="","",_xlfn.XLOOKUP(A97&amp;B97&amp;C97,盘货信息!$A:$A&amp;盘货信息!$B:$B&amp;盘货信息!$C:$C,盘货信息!$J:$J)&amp;"元优惠卷"))</f>
        <v/>
      </c>
      <c r="I97" s="18" t="str">
        <f t="array" ref="I97">IF(C97="","",IF(_xlfn.XLOOKUP(A97&amp;B97&amp;C97,盘货信息!$A:$A&amp;盘货信息!$B:$B&amp;盘货信息!$C:$C,盘货信息!$R:$R)="","",_xlfn.XLOOKUP(A97&amp;B97&amp;C97,盘货信息!$A:$A&amp;盘货信息!$B:$B&amp;盘货信息!$C:$C,盘货信息!$R:$R)&amp;"元优惠卷"))</f>
        <v/>
      </c>
      <c r="J97" s="18" t="str">
        <f t="array" ref="J97">IF(C97="","",IF(_xlfn.XLOOKUP(A97&amp;B97&amp;C97,盘货信息!$A:$A&amp;盘货信息!$B:$B&amp;盘货信息!$C:$C,盘货信息!$K:$K)="","",IF(OR(_xlfn.XLOOKUP(A97&amp;B97&amp;C97,盘货信息!$A:$A&amp;盘货信息!$B:$B&amp;盘货信息!$C:$C,盘货信息!$G:$G)="参加",_xlfn.XLOOKUP(A97&amp;B97&amp;C97,盘货信息!$A:$A&amp;盘货信息!$B:$B&amp;盘货信息!$C:$C,盘货信息!$H:$H)="1（纯自补）"),_xlfn.XLOOKUP(A97&amp;B97&amp;C97,盘货信息!$A:$A&amp;盘货信息!$B:$B&amp;盘货信息!$C:$C,盘货信息!$K:$K)&amp;"元以旧换新（可无旧机换新）","")))</f>
        <v/>
      </c>
      <c r="K97" s="18" t="str">
        <f t="array" ref="K97">IF(C97="","",IF(_xlfn.XLOOKUP(A97&amp;B97&amp;C97,盘货信息!$A:$A&amp;盘货信息!$B:$B&amp;盘货信息!$C:$C,盘货信息!$L:$L)="","",_xlfn.XLOOKUP(A97&amp;B97&amp;C97,盘货信息!$A:$A&amp;盘货信息!$B:$B&amp;盘货信息!$C:$C,盘货信息!$L:$L)&amp;"元限时补贴"))</f>
        <v/>
      </c>
      <c r="L97" s="18" t="str">
        <f t="array" ref="L97">IF(C97="","",IF(_xlfn.XLOOKUP(A97&amp;B97&amp;C97,盘货信息!$A:$A&amp;盘货信息!$B:$B&amp;盘货信息!$C:$C,盘货信息!$M:$M)="","",_xlfn.XLOOKUP(A97&amp;B97&amp;C97,盘货信息!$A:$A&amp;盘货信息!$B:$B&amp;盘货信息!$C:$C,盘货信息!$M:$M)&amp;"元消费券"))</f>
        <v/>
      </c>
      <c r="M97" s="18" t="str">
        <f t="array" ref="M97">IF(C97="","",IF(_xlfn.XLOOKUP(A97&amp;B97&amp;C97,盘货信息!$A:$A&amp;盘货信息!$B:$B&amp;盘货信息!$C:$C,盘货信息!$G:$G)="不参加","","焕新补贴优惠【全民可用，不限地址】"))</f>
        <v/>
      </c>
    </row>
    <row r="98" customHeight="1" spans="1:13">
      <c r="A98" s="17" t="str">
        <f>IF(盘货信息!A98="","",盘货信息!A98)</f>
        <v/>
      </c>
      <c r="B98" s="17" t="str">
        <f>IF(盘货信息!B98="","",盘货信息!B98)</f>
        <v/>
      </c>
      <c r="C98" s="18" t="str">
        <f>IF(盘货信息!C98="","",盘货信息!C98)</f>
        <v/>
      </c>
      <c r="D98" s="18" t="str">
        <f t="shared" si="1"/>
        <v/>
      </c>
      <c r="E98" s="18" t="str">
        <f t="array" ref="E98">IF(C98="","",IF(_xlfn.XLOOKUP(A98&amp;B98&amp;C98,盘货信息!$A:$A&amp;盘货信息!$B:$B&amp;盘货信息!$C:$C,盘货信息!$N:$N)="","【立减到手价"&amp;_xlfn.XLOOKUP(A98&amp;B98&amp;C98,盘货信息!$A:$A&amp;盘货信息!$B:$B&amp;盘货信息!$C:$C,盘货信息!$F:$F)&amp;"元】","【焕新补贴预估价"&amp;_xlfn.XLOOKUP(A98&amp;B98&amp;C98,盘货信息!$A:$A&amp;盘货信息!$B:$B&amp;盘货信息!$C:$C,盘货信息!$N:$N)&amp;"元】"))</f>
        <v/>
      </c>
      <c r="F98" s="18" t="str">
        <f t="array" ref="F98">IF(C98="","",_xlfn.XLOOKUP(A98&amp;B98&amp;C98,盘货信息!$A:$A&amp;盘货信息!$B:$B&amp;盘货信息!$C:$C,盘货信息!$E:$E)&amp;"元到手价")</f>
        <v/>
      </c>
      <c r="G98" s="18" t="str">
        <f t="array" ref="G98">IF(C98="","",IF(_xlfn.XLOOKUP(A98&amp;B98&amp;C98,盘货信息!$A:$A&amp;盘货信息!$B:$B&amp;盘货信息!$C:$C,盘货信息!$I:$I)="","","88VIP95折"))</f>
        <v/>
      </c>
      <c r="H98" s="18" t="str">
        <f t="array" ref="H98">IF(C98="","",IF(_xlfn.XLOOKUP(A98&amp;B98&amp;C98,盘货信息!$A:$A&amp;盘货信息!$B:$B&amp;盘货信息!$C:$C,盘货信息!$J:$J)="","",_xlfn.XLOOKUP(A98&amp;B98&amp;C98,盘货信息!$A:$A&amp;盘货信息!$B:$B&amp;盘货信息!$C:$C,盘货信息!$J:$J)&amp;"元优惠卷"))</f>
        <v/>
      </c>
      <c r="I98" s="18" t="str">
        <f t="array" ref="I98">IF(C98="","",IF(_xlfn.XLOOKUP(A98&amp;B98&amp;C98,盘货信息!$A:$A&amp;盘货信息!$B:$B&amp;盘货信息!$C:$C,盘货信息!$R:$R)="","",_xlfn.XLOOKUP(A98&amp;B98&amp;C98,盘货信息!$A:$A&amp;盘货信息!$B:$B&amp;盘货信息!$C:$C,盘货信息!$R:$R)&amp;"元优惠卷"))</f>
        <v/>
      </c>
      <c r="J98" s="18" t="str">
        <f t="array" ref="J98">IF(C98="","",IF(_xlfn.XLOOKUP(A98&amp;B98&amp;C98,盘货信息!$A:$A&amp;盘货信息!$B:$B&amp;盘货信息!$C:$C,盘货信息!$K:$K)="","",IF(OR(_xlfn.XLOOKUP(A98&amp;B98&amp;C98,盘货信息!$A:$A&amp;盘货信息!$B:$B&amp;盘货信息!$C:$C,盘货信息!$G:$G)="参加",_xlfn.XLOOKUP(A98&amp;B98&amp;C98,盘货信息!$A:$A&amp;盘货信息!$B:$B&amp;盘货信息!$C:$C,盘货信息!$H:$H)="1（纯自补）"),_xlfn.XLOOKUP(A98&amp;B98&amp;C98,盘货信息!$A:$A&amp;盘货信息!$B:$B&amp;盘货信息!$C:$C,盘货信息!$K:$K)&amp;"元以旧换新（可无旧机换新）","")))</f>
        <v/>
      </c>
      <c r="K98" s="18" t="str">
        <f t="array" ref="K98">IF(C98="","",IF(_xlfn.XLOOKUP(A98&amp;B98&amp;C98,盘货信息!$A:$A&amp;盘货信息!$B:$B&amp;盘货信息!$C:$C,盘货信息!$L:$L)="","",_xlfn.XLOOKUP(A98&amp;B98&amp;C98,盘货信息!$A:$A&amp;盘货信息!$B:$B&amp;盘货信息!$C:$C,盘货信息!$L:$L)&amp;"元限时补贴"))</f>
        <v/>
      </c>
      <c r="L98" s="18" t="str">
        <f t="array" ref="L98">IF(C98="","",IF(_xlfn.XLOOKUP(A98&amp;B98&amp;C98,盘货信息!$A:$A&amp;盘货信息!$B:$B&amp;盘货信息!$C:$C,盘货信息!$M:$M)="","",_xlfn.XLOOKUP(A98&amp;B98&amp;C98,盘货信息!$A:$A&amp;盘货信息!$B:$B&amp;盘货信息!$C:$C,盘货信息!$M:$M)&amp;"元消费券"))</f>
        <v/>
      </c>
      <c r="M98" s="18" t="str">
        <f t="array" ref="M98">IF(C98="","",IF(_xlfn.XLOOKUP(A98&amp;B98&amp;C98,盘货信息!$A:$A&amp;盘货信息!$B:$B&amp;盘货信息!$C:$C,盘货信息!$G:$G)="不参加","","焕新补贴优惠【全民可用，不限地址】"))</f>
        <v/>
      </c>
    </row>
    <row r="99" customHeight="1" spans="1:13">
      <c r="A99" s="17" t="str">
        <f>IF(盘货信息!A99="","",盘货信息!A99)</f>
        <v/>
      </c>
      <c r="B99" s="17" t="str">
        <f>IF(盘货信息!B99="","",盘货信息!B99)</f>
        <v/>
      </c>
      <c r="C99" s="18" t="str">
        <f>IF(盘货信息!C99="","",盘货信息!C99)</f>
        <v/>
      </c>
      <c r="D99" s="18" t="str">
        <f t="shared" si="1"/>
        <v/>
      </c>
      <c r="E99" s="18" t="str">
        <f t="array" ref="E99">IF(C99="","",IF(_xlfn.XLOOKUP(A99&amp;B99&amp;C99,盘货信息!$A:$A&amp;盘货信息!$B:$B&amp;盘货信息!$C:$C,盘货信息!$N:$N)="","【立减到手价"&amp;_xlfn.XLOOKUP(A99&amp;B99&amp;C99,盘货信息!$A:$A&amp;盘货信息!$B:$B&amp;盘货信息!$C:$C,盘货信息!$F:$F)&amp;"元】","【焕新补贴预估价"&amp;_xlfn.XLOOKUP(A99&amp;B99&amp;C99,盘货信息!$A:$A&amp;盘货信息!$B:$B&amp;盘货信息!$C:$C,盘货信息!$N:$N)&amp;"元】"))</f>
        <v/>
      </c>
      <c r="F99" s="18" t="str">
        <f t="array" ref="F99">IF(C99="","",_xlfn.XLOOKUP(A99&amp;B99&amp;C99,盘货信息!$A:$A&amp;盘货信息!$B:$B&amp;盘货信息!$C:$C,盘货信息!$E:$E)&amp;"元到手价")</f>
        <v/>
      </c>
      <c r="G99" s="18" t="str">
        <f t="array" ref="G99">IF(C99="","",IF(_xlfn.XLOOKUP(A99&amp;B99&amp;C99,盘货信息!$A:$A&amp;盘货信息!$B:$B&amp;盘货信息!$C:$C,盘货信息!$I:$I)="","","88VIP95折"))</f>
        <v/>
      </c>
      <c r="H99" s="18" t="str">
        <f t="array" ref="H99">IF(C99="","",IF(_xlfn.XLOOKUP(A99&amp;B99&amp;C99,盘货信息!$A:$A&amp;盘货信息!$B:$B&amp;盘货信息!$C:$C,盘货信息!$J:$J)="","",_xlfn.XLOOKUP(A99&amp;B99&amp;C99,盘货信息!$A:$A&amp;盘货信息!$B:$B&amp;盘货信息!$C:$C,盘货信息!$J:$J)&amp;"元优惠卷"))</f>
        <v/>
      </c>
      <c r="I99" s="18" t="str">
        <f t="array" ref="I99">IF(C99="","",IF(_xlfn.XLOOKUP(A99&amp;B99&amp;C99,盘货信息!$A:$A&amp;盘货信息!$B:$B&amp;盘货信息!$C:$C,盘货信息!$R:$R)="","",_xlfn.XLOOKUP(A99&amp;B99&amp;C99,盘货信息!$A:$A&amp;盘货信息!$B:$B&amp;盘货信息!$C:$C,盘货信息!$R:$R)&amp;"元优惠卷"))</f>
        <v/>
      </c>
      <c r="J99" s="18" t="str">
        <f t="array" ref="J99">IF(C99="","",IF(_xlfn.XLOOKUP(A99&amp;B99&amp;C99,盘货信息!$A:$A&amp;盘货信息!$B:$B&amp;盘货信息!$C:$C,盘货信息!$K:$K)="","",IF(OR(_xlfn.XLOOKUP(A99&amp;B99&amp;C99,盘货信息!$A:$A&amp;盘货信息!$B:$B&amp;盘货信息!$C:$C,盘货信息!$G:$G)="参加",_xlfn.XLOOKUP(A99&amp;B99&amp;C99,盘货信息!$A:$A&amp;盘货信息!$B:$B&amp;盘货信息!$C:$C,盘货信息!$H:$H)="1（纯自补）"),_xlfn.XLOOKUP(A99&amp;B99&amp;C99,盘货信息!$A:$A&amp;盘货信息!$B:$B&amp;盘货信息!$C:$C,盘货信息!$K:$K)&amp;"元以旧换新（可无旧机换新）","")))</f>
        <v/>
      </c>
      <c r="K99" s="18" t="str">
        <f t="array" ref="K99">IF(C99="","",IF(_xlfn.XLOOKUP(A99&amp;B99&amp;C99,盘货信息!$A:$A&amp;盘货信息!$B:$B&amp;盘货信息!$C:$C,盘货信息!$L:$L)="","",_xlfn.XLOOKUP(A99&amp;B99&amp;C99,盘货信息!$A:$A&amp;盘货信息!$B:$B&amp;盘货信息!$C:$C,盘货信息!$L:$L)&amp;"元限时补贴"))</f>
        <v/>
      </c>
      <c r="L99" s="18" t="str">
        <f t="array" ref="L99">IF(C99="","",IF(_xlfn.XLOOKUP(A99&amp;B99&amp;C99,盘货信息!$A:$A&amp;盘货信息!$B:$B&amp;盘货信息!$C:$C,盘货信息!$M:$M)="","",_xlfn.XLOOKUP(A99&amp;B99&amp;C99,盘货信息!$A:$A&amp;盘货信息!$B:$B&amp;盘货信息!$C:$C,盘货信息!$M:$M)&amp;"元消费券"))</f>
        <v/>
      </c>
      <c r="M99" s="18" t="str">
        <f t="array" ref="M99">IF(C99="","",IF(_xlfn.XLOOKUP(A99&amp;B99&amp;C99,盘货信息!$A:$A&amp;盘货信息!$B:$B&amp;盘货信息!$C:$C,盘货信息!$G:$G)="不参加","","焕新补贴优惠【全民可用，不限地址】"))</f>
        <v/>
      </c>
    </row>
    <row r="100" customHeight="1" spans="1:13">
      <c r="A100" s="17" t="str">
        <f>IF(盘货信息!A100="","",盘货信息!A100)</f>
        <v/>
      </c>
      <c r="B100" s="17" t="str">
        <f>IF(盘货信息!B100="","",盘货信息!B100)</f>
        <v/>
      </c>
      <c r="C100" s="18" t="str">
        <f>IF(盘货信息!C100="","",盘货信息!C100)</f>
        <v/>
      </c>
      <c r="D100" s="18" t="str">
        <f t="shared" si="1"/>
        <v/>
      </c>
      <c r="E100" s="18" t="str">
        <f t="array" ref="E100">IF(C100="","",IF(_xlfn.XLOOKUP(A100&amp;B100&amp;C100,盘货信息!$A:$A&amp;盘货信息!$B:$B&amp;盘货信息!$C:$C,盘货信息!$N:$N)="","【立减到手价"&amp;_xlfn.XLOOKUP(A100&amp;B100&amp;C100,盘货信息!$A:$A&amp;盘货信息!$B:$B&amp;盘货信息!$C:$C,盘货信息!$F:$F)&amp;"元】","【焕新补贴预估价"&amp;_xlfn.XLOOKUP(A100&amp;B100&amp;C100,盘货信息!$A:$A&amp;盘货信息!$B:$B&amp;盘货信息!$C:$C,盘货信息!$N:$N)&amp;"元】"))</f>
        <v/>
      </c>
      <c r="F100" s="18" t="str">
        <f t="array" ref="F100">IF(C100="","",_xlfn.XLOOKUP(A100&amp;B100&amp;C100,盘货信息!$A:$A&amp;盘货信息!$B:$B&amp;盘货信息!$C:$C,盘货信息!$E:$E)&amp;"元到手价")</f>
        <v/>
      </c>
      <c r="G100" s="18" t="str">
        <f t="array" ref="G100">IF(C100="","",IF(_xlfn.XLOOKUP(A100&amp;B100&amp;C100,盘货信息!$A:$A&amp;盘货信息!$B:$B&amp;盘货信息!$C:$C,盘货信息!$I:$I)="","","88VIP95折"))</f>
        <v/>
      </c>
      <c r="H100" s="18" t="str">
        <f t="array" ref="H100">IF(C100="","",IF(_xlfn.XLOOKUP(A100&amp;B100&amp;C100,盘货信息!$A:$A&amp;盘货信息!$B:$B&amp;盘货信息!$C:$C,盘货信息!$J:$J)="","",_xlfn.XLOOKUP(A100&amp;B100&amp;C100,盘货信息!$A:$A&amp;盘货信息!$B:$B&amp;盘货信息!$C:$C,盘货信息!$J:$J)&amp;"元优惠卷"))</f>
        <v/>
      </c>
      <c r="I100" s="18" t="str">
        <f t="array" ref="I100">IF(C100="","",IF(_xlfn.XLOOKUP(A100&amp;B100&amp;C100,盘货信息!$A:$A&amp;盘货信息!$B:$B&amp;盘货信息!$C:$C,盘货信息!$R:$R)="","",_xlfn.XLOOKUP(A100&amp;B100&amp;C100,盘货信息!$A:$A&amp;盘货信息!$B:$B&amp;盘货信息!$C:$C,盘货信息!$R:$R)&amp;"元优惠卷"))</f>
        <v/>
      </c>
      <c r="J100" s="18" t="str">
        <f t="array" ref="J100">IF(C100="","",IF(_xlfn.XLOOKUP(A100&amp;B100&amp;C100,盘货信息!$A:$A&amp;盘货信息!$B:$B&amp;盘货信息!$C:$C,盘货信息!$K:$K)="","",IF(OR(_xlfn.XLOOKUP(A100&amp;B100&amp;C100,盘货信息!$A:$A&amp;盘货信息!$B:$B&amp;盘货信息!$C:$C,盘货信息!$G:$G)="参加",_xlfn.XLOOKUP(A100&amp;B100&amp;C100,盘货信息!$A:$A&amp;盘货信息!$B:$B&amp;盘货信息!$C:$C,盘货信息!$H:$H)="1（纯自补）"),_xlfn.XLOOKUP(A100&amp;B100&amp;C100,盘货信息!$A:$A&amp;盘货信息!$B:$B&amp;盘货信息!$C:$C,盘货信息!$K:$K)&amp;"元以旧换新（可无旧机换新）","")))</f>
        <v/>
      </c>
      <c r="K100" s="18" t="str">
        <f t="array" ref="K100">IF(C100="","",IF(_xlfn.XLOOKUP(A100&amp;B100&amp;C100,盘货信息!$A:$A&amp;盘货信息!$B:$B&amp;盘货信息!$C:$C,盘货信息!$L:$L)="","",_xlfn.XLOOKUP(A100&amp;B100&amp;C100,盘货信息!$A:$A&amp;盘货信息!$B:$B&amp;盘货信息!$C:$C,盘货信息!$L:$L)&amp;"元限时补贴"))</f>
        <v/>
      </c>
      <c r="L100" s="18" t="str">
        <f t="array" ref="L100">IF(C100="","",IF(_xlfn.XLOOKUP(A100&amp;B100&amp;C100,盘货信息!$A:$A&amp;盘货信息!$B:$B&amp;盘货信息!$C:$C,盘货信息!$M:$M)="","",_xlfn.XLOOKUP(A100&amp;B100&amp;C100,盘货信息!$A:$A&amp;盘货信息!$B:$B&amp;盘货信息!$C:$C,盘货信息!$M:$M)&amp;"元消费券"))</f>
        <v/>
      </c>
      <c r="M100" s="18" t="str">
        <f t="array" ref="M100">IF(C100="","",IF(_xlfn.XLOOKUP(A100&amp;B100&amp;C100,盘货信息!$A:$A&amp;盘货信息!$B:$B&amp;盘货信息!$C:$C,盘货信息!$G:$G)="不参加","","焕新补贴优惠【全民可用，不限地址】"))</f>
        <v/>
      </c>
    </row>
    <row r="101" customHeight="1" spans="1:13">
      <c r="A101" s="17" t="str">
        <f>IF(盘货信息!A101="","",盘货信息!A101)</f>
        <v/>
      </c>
      <c r="B101" s="17" t="str">
        <f>IF(盘货信息!B101="","",盘货信息!B101)</f>
        <v/>
      </c>
      <c r="C101" s="18" t="str">
        <f>IF(盘货信息!C101="","",盘货信息!C101)</f>
        <v/>
      </c>
      <c r="D101" s="18" t="str">
        <f t="shared" si="1"/>
        <v/>
      </c>
      <c r="E101" s="18" t="str">
        <f t="array" ref="E101">IF(C101="","",IF(_xlfn.XLOOKUP(A101&amp;B101&amp;C101,盘货信息!$A:$A&amp;盘货信息!$B:$B&amp;盘货信息!$C:$C,盘货信息!$N:$N)="","【立减到手价"&amp;_xlfn.XLOOKUP(A101&amp;B101&amp;C101,盘货信息!$A:$A&amp;盘货信息!$B:$B&amp;盘货信息!$C:$C,盘货信息!$F:$F)&amp;"元】","【焕新补贴预估价"&amp;_xlfn.XLOOKUP(A101&amp;B101&amp;C101,盘货信息!$A:$A&amp;盘货信息!$B:$B&amp;盘货信息!$C:$C,盘货信息!$N:$N)&amp;"元】"))</f>
        <v/>
      </c>
      <c r="F101" s="18" t="str">
        <f t="array" ref="F101">IF(C101="","",_xlfn.XLOOKUP(A101&amp;B101&amp;C101,盘货信息!$A:$A&amp;盘货信息!$B:$B&amp;盘货信息!$C:$C,盘货信息!$E:$E)&amp;"元到手价")</f>
        <v/>
      </c>
      <c r="G101" s="18" t="str">
        <f t="array" ref="G101">IF(C101="","",IF(_xlfn.XLOOKUP(A101&amp;B101&amp;C101,盘货信息!$A:$A&amp;盘货信息!$B:$B&amp;盘货信息!$C:$C,盘货信息!$I:$I)="","","88VIP95折"))</f>
        <v/>
      </c>
      <c r="H101" s="18" t="str">
        <f t="array" ref="H101">IF(C101="","",IF(_xlfn.XLOOKUP(A101&amp;B101&amp;C101,盘货信息!$A:$A&amp;盘货信息!$B:$B&amp;盘货信息!$C:$C,盘货信息!$J:$J)="","",_xlfn.XLOOKUP(A101&amp;B101&amp;C101,盘货信息!$A:$A&amp;盘货信息!$B:$B&amp;盘货信息!$C:$C,盘货信息!$J:$J)&amp;"元优惠卷"))</f>
        <v/>
      </c>
      <c r="I101" s="18" t="str">
        <f t="array" ref="I101">IF(C101="","",IF(_xlfn.XLOOKUP(A101&amp;B101&amp;C101,盘货信息!$A:$A&amp;盘货信息!$B:$B&amp;盘货信息!$C:$C,盘货信息!$R:$R)="","",_xlfn.XLOOKUP(A101&amp;B101&amp;C101,盘货信息!$A:$A&amp;盘货信息!$B:$B&amp;盘货信息!$C:$C,盘货信息!$R:$R)&amp;"元优惠卷"))</f>
        <v/>
      </c>
      <c r="J101" s="18" t="str">
        <f t="array" ref="J101">IF(C101="","",IF(_xlfn.XLOOKUP(A101&amp;B101&amp;C101,盘货信息!$A:$A&amp;盘货信息!$B:$B&amp;盘货信息!$C:$C,盘货信息!$K:$K)="","",IF(OR(_xlfn.XLOOKUP(A101&amp;B101&amp;C101,盘货信息!$A:$A&amp;盘货信息!$B:$B&amp;盘货信息!$C:$C,盘货信息!$G:$G)="参加",_xlfn.XLOOKUP(A101&amp;B101&amp;C101,盘货信息!$A:$A&amp;盘货信息!$B:$B&amp;盘货信息!$C:$C,盘货信息!$H:$H)="1（纯自补）"),_xlfn.XLOOKUP(A101&amp;B101&amp;C101,盘货信息!$A:$A&amp;盘货信息!$B:$B&amp;盘货信息!$C:$C,盘货信息!$K:$K)&amp;"元以旧换新（可无旧机换新）","")))</f>
        <v/>
      </c>
      <c r="K101" s="18" t="str">
        <f t="array" ref="K101">IF(C101="","",IF(_xlfn.XLOOKUP(A101&amp;B101&amp;C101,盘货信息!$A:$A&amp;盘货信息!$B:$B&amp;盘货信息!$C:$C,盘货信息!$L:$L)="","",_xlfn.XLOOKUP(A101&amp;B101&amp;C101,盘货信息!$A:$A&amp;盘货信息!$B:$B&amp;盘货信息!$C:$C,盘货信息!$L:$L)&amp;"元限时补贴"))</f>
        <v/>
      </c>
      <c r="L101" s="18" t="str">
        <f t="array" ref="L101">IF(C101="","",IF(_xlfn.XLOOKUP(A101&amp;B101&amp;C101,盘货信息!$A:$A&amp;盘货信息!$B:$B&amp;盘货信息!$C:$C,盘货信息!$M:$M)="","",_xlfn.XLOOKUP(A101&amp;B101&amp;C101,盘货信息!$A:$A&amp;盘货信息!$B:$B&amp;盘货信息!$C:$C,盘货信息!$M:$M)&amp;"元消费券"))</f>
        <v/>
      </c>
      <c r="M101" s="18" t="str">
        <f t="array" ref="M101">IF(C101="","",IF(_xlfn.XLOOKUP(A101&amp;B101&amp;C101,盘货信息!$A:$A&amp;盘货信息!$B:$B&amp;盘货信息!$C:$C,盘货信息!$G:$G)="不参加","","焕新补贴优惠【全民可用，不限地址】"))</f>
        <v/>
      </c>
    </row>
    <row r="102" customHeight="1" spans="1:13">
      <c r="A102" s="17" t="str">
        <f>IF(盘货信息!A102="","",盘货信息!A102)</f>
        <v/>
      </c>
      <c r="B102" s="17" t="str">
        <f>IF(盘货信息!B102="","",盘货信息!B102)</f>
        <v/>
      </c>
      <c r="C102" s="18" t="str">
        <f>IF(盘货信息!C102="","",盘货信息!C102)</f>
        <v/>
      </c>
      <c r="D102" s="18" t="str">
        <f t="shared" si="1"/>
        <v/>
      </c>
      <c r="E102" s="18" t="str">
        <f t="array" ref="E102">IF(C102="","",IF(_xlfn.XLOOKUP(A102&amp;B102&amp;C102,盘货信息!$A:$A&amp;盘货信息!$B:$B&amp;盘货信息!$C:$C,盘货信息!$N:$N)="","【立减到手价"&amp;_xlfn.XLOOKUP(A102&amp;B102&amp;C102,盘货信息!$A:$A&amp;盘货信息!$B:$B&amp;盘货信息!$C:$C,盘货信息!$F:$F)&amp;"元】","【焕新补贴预估价"&amp;_xlfn.XLOOKUP(A102&amp;B102&amp;C102,盘货信息!$A:$A&amp;盘货信息!$B:$B&amp;盘货信息!$C:$C,盘货信息!$N:$N)&amp;"元】"))</f>
        <v/>
      </c>
      <c r="F102" s="18" t="str">
        <f t="array" ref="F102">IF(C102="","",_xlfn.XLOOKUP(A102&amp;B102&amp;C102,盘货信息!$A:$A&amp;盘货信息!$B:$B&amp;盘货信息!$C:$C,盘货信息!$E:$E)&amp;"元到手价")</f>
        <v/>
      </c>
      <c r="G102" s="18" t="str">
        <f t="array" ref="G102">IF(C102="","",IF(_xlfn.XLOOKUP(A102&amp;B102&amp;C102,盘货信息!$A:$A&amp;盘货信息!$B:$B&amp;盘货信息!$C:$C,盘货信息!$I:$I)="","","88VIP95折"))</f>
        <v/>
      </c>
      <c r="H102" s="18" t="str">
        <f t="array" ref="H102">IF(C102="","",IF(_xlfn.XLOOKUP(A102&amp;B102&amp;C102,盘货信息!$A:$A&amp;盘货信息!$B:$B&amp;盘货信息!$C:$C,盘货信息!$J:$J)="","",_xlfn.XLOOKUP(A102&amp;B102&amp;C102,盘货信息!$A:$A&amp;盘货信息!$B:$B&amp;盘货信息!$C:$C,盘货信息!$J:$J)&amp;"元优惠卷"))</f>
        <v/>
      </c>
      <c r="I102" s="18" t="str">
        <f t="array" ref="I102">IF(C102="","",IF(_xlfn.XLOOKUP(A102&amp;B102&amp;C102,盘货信息!$A:$A&amp;盘货信息!$B:$B&amp;盘货信息!$C:$C,盘货信息!$R:$R)="","",_xlfn.XLOOKUP(A102&amp;B102&amp;C102,盘货信息!$A:$A&amp;盘货信息!$B:$B&amp;盘货信息!$C:$C,盘货信息!$R:$R)&amp;"元优惠卷"))</f>
        <v/>
      </c>
      <c r="J102" s="18" t="str">
        <f t="array" ref="J102">IF(C102="","",IF(_xlfn.XLOOKUP(A102&amp;B102&amp;C102,盘货信息!$A:$A&amp;盘货信息!$B:$B&amp;盘货信息!$C:$C,盘货信息!$K:$K)="","",IF(OR(_xlfn.XLOOKUP(A102&amp;B102&amp;C102,盘货信息!$A:$A&amp;盘货信息!$B:$B&amp;盘货信息!$C:$C,盘货信息!$G:$G)="参加",_xlfn.XLOOKUP(A102&amp;B102&amp;C102,盘货信息!$A:$A&amp;盘货信息!$B:$B&amp;盘货信息!$C:$C,盘货信息!$H:$H)="1（纯自补）"),_xlfn.XLOOKUP(A102&amp;B102&amp;C102,盘货信息!$A:$A&amp;盘货信息!$B:$B&amp;盘货信息!$C:$C,盘货信息!$K:$K)&amp;"元以旧换新（可无旧机换新）","")))</f>
        <v/>
      </c>
      <c r="K102" s="18" t="str">
        <f t="array" ref="K102">IF(C102="","",IF(_xlfn.XLOOKUP(A102&amp;B102&amp;C102,盘货信息!$A:$A&amp;盘货信息!$B:$B&amp;盘货信息!$C:$C,盘货信息!$L:$L)="","",_xlfn.XLOOKUP(A102&amp;B102&amp;C102,盘货信息!$A:$A&amp;盘货信息!$B:$B&amp;盘货信息!$C:$C,盘货信息!$L:$L)&amp;"元限时补贴"))</f>
        <v/>
      </c>
      <c r="L102" s="18" t="str">
        <f t="array" ref="L102">IF(C102="","",IF(_xlfn.XLOOKUP(A102&amp;B102&amp;C102,盘货信息!$A:$A&amp;盘货信息!$B:$B&amp;盘货信息!$C:$C,盘货信息!$M:$M)="","",_xlfn.XLOOKUP(A102&amp;B102&amp;C102,盘货信息!$A:$A&amp;盘货信息!$B:$B&amp;盘货信息!$C:$C,盘货信息!$M:$M)&amp;"元消费券"))</f>
        <v/>
      </c>
      <c r="M102" s="18" t="str">
        <f t="array" ref="M102">IF(C102="","",IF(_xlfn.XLOOKUP(A102&amp;B102&amp;C102,盘货信息!$A:$A&amp;盘货信息!$B:$B&amp;盘货信息!$C:$C,盘货信息!$G:$G)="不参加","","焕新补贴优惠【全民可用，不限地址】"))</f>
        <v/>
      </c>
    </row>
    <row r="103" customHeight="1" spans="1:13">
      <c r="A103" s="17" t="str">
        <f>IF(盘货信息!A103="","",盘货信息!A103)</f>
        <v/>
      </c>
      <c r="B103" s="17" t="str">
        <f>IF(盘货信息!B103="","",盘货信息!B103)</f>
        <v/>
      </c>
      <c r="C103" s="18" t="str">
        <f>IF(盘货信息!C103="","",盘货信息!C103)</f>
        <v/>
      </c>
      <c r="D103" s="18" t="str">
        <f t="shared" si="1"/>
        <v/>
      </c>
      <c r="E103" s="18" t="str">
        <f t="array" ref="E103">IF(C103="","",IF(_xlfn.XLOOKUP(A103&amp;B103&amp;C103,盘货信息!$A:$A&amp;盘货信息!$B:$B&amp;盘货信息!$C:$C,盘货信息!$N:$N)="","【立减到手价"&amp;_xlfn.XLOOKUP(A103&amp;B103&amp;C103,盘货信息!$A:$A&amp;盘货信息!$B:$B&amp;盘货信息!$C:$C,盘货信息!$F:$F)&amp;"元】","【焕新补贴预估价"&amp;_xlfn.XLOOKUP(A103&amp;B103&amp;C103,盘货信息!$A:$A&amp;盘货信息!$B:$B&amp;盘货信息!$C:$C,盘货信息!$N:$N)&amp;"元】"))</f>
        <v/>
      </c>
      <c r="F103" s="18" t="str">
        <f t="array" ref="F103">IF(C103="","",_xlfn.XLOOKUP(A103&amp;B103&amp;C103,盘货信息!$A:$A&amp;盘货信息!$B:$B&amp;盘货信息!$C:$C,盘货信息!$E:$E)&amp;"元到手价")</f>
        <v/>
      </c>
      <c r="G103" s="18" t="str">
        <f t="array" ref="G103">IF(C103="","",IF(_xlfn.XLOOKUP(A103&amp;B103&amp;C103,盘货信息!$A:$A&amp;盘货信息!$B:$B&amp;盘货信息!$C:$C,盘货信息!$I:$I)="","","88VIP95折"))</f>
        <v/>
      </c>
      <c r="H103" s="18" t="str">
        <f t="array" ref="H103">IF(C103="","",IF(_xlfn.XLOOKUP(A103&amp;B103&amp;C103,盘货信息!$A:$A&amp;盘货信息!$B:$B&amp;盘货信息!$C:$C,盘货信息!$J:$J)="","",_xlfn.XLOOKUP(A103&amp;B103&amp;C103,盘货信息!$A:$A&amp;盘货信息!$B:$B&amp;盘货信息!$C:$C,盘货信息!$J:$J)&amp;"元优惠卷"))</f>
        <v/>
      </c>
      <c r="I103" s="18" t="str">
        <f t="array" ref="I103">IF(C103="","",IF(_xlfn.XLOOKUP(A103&amp;B103&amp;C103,盘货信息!$A:$A&amp;盘货信息!$B:$B&amp;盘货信息!$C:$C,盘货信息!$R:$R)="","",_xlfn.XLOOKUP(A103&amp;B103&amp;C103,盘货信息!$A:$A&amp;盘货信息!$B:$B&amp;盘货信息!$C:$C,盘货信息!$R:$R)&amp;"元优惠卷"))</f>
        <v/>
      </c>
      <c r="J103" s="18" t="str">
        <f t="array" ref="J103">IF(C103="","",IF(_xlfn.XLOOKUP(A103&amp;B103&amp;C103,盘货信息!$A:$A&amp;盘货信息!$B:$B&amp;盘货信息!$C:$C,盘货信息!$K:$K)="","",IF(OR(_xlfn.XLOOKUP(A103&amp;B103&amp;C103,盘货信息!$A:$A&amp;盘货信息!$B:$B&amp;盘货信息!$C:$C,盘货信息!$G:$G)="参加",_xlfn.XLOOKUP(A103&amp;B103&amp;C103,盘货信息!$A:$A&amp;盘货信息!$B:$B&amp;盘货信息!$C:$C,盘货信息!$H:$H)="1（纯自补）"),_xlfn.XLOOKUP(A103&amp;B103&amp;C103,盘货信息!$A:$A&amp;盘货信息!$B:$B&amp;盘货信息!$C:$C,盘货信息!$K:$K)&amp;"元以旧换新（可无旧机换新）","")))</f>
        <v/>
      </c>
      <c r="K103" s="18" t="str">
        <f t="array" ref="K103">IF(C103="","",IF(_xlfn.XLOOKUP(A103&amp;B103&amp;C103,盘货信息!$A:$A&amp;盘货信息!$B:$B&amp;盘货信息!$C:$C,盘货信息!$L:$L)="","",_xlfn.XLOOKUP(A103&amp;B103&amp;C103,盘货信息!$A:$A&amp;盘货信息!$B:$B&amp;盘货信息!$C:$C,盘货信息!$L:$L)&amp;"元限时补贴"))</f>
        <v/>
      </c>
      <c r="L103" s="18" t="str">
        <f t="array" ref="L103">IF(C103="","",IF(_xlfn.XLOOKUP(A103&amp;B103&amp;C103,盘货信息!$A:$A&amp;盘货信息!$B:$B&amp;盘货信息!$C:$C,盘货信息!$M:$M)="","",_xlfn.XLOOKUP(A103&amp;B103&amp;C103,盘货信息!$A:$A&amp;盘货信息!$B:$B&amp;盘货信息!$C:$C,盘货信息!$M:$M)&amp;"元消费券"))</f>
        <v/>
      </c>
      <c r="M103" s="18" t="str">
        <f t="array" ref="M103">IF(C103="","",IF(_xlfn.XLOOKUP(A103&amp;B103&amp;C103,盘货信息!$A:$A&amp;盘货信息!$B:$B&amp;盘货信息!$C:$C,盘货信息!$G:$G)="不参加","","焕新补贴优惠【全民可用，不限地址】"))</f>
        <v/>
      </c>
    </row>
    <row r="104" customHeight="1" spans="1:13">
      <c r="A104" s="17" t="str">
        <f>IF(盘货信息!A104="","",盘货信息!A104)</f>
        <v/>
      </c>
      <c r="B104" s="17" t="str">
        <f>IF(盘货信息!B104="","",盘货信息!B104)</f>
        <v/>
      </c>
      <c r="C104" s="18" t="str">
        <f>IF(盘货信息!C104="","",盘货信息!C104)</f>
        <v/>
      </c>
      <c r="D104" s="18" t="str">
        <f t="shared" si="1"/>
        <v/>
      </c>
      <c r="E104" s="18" t="str">
        <f t="array" ref="E104">IF(C104="","",IF(_xlfn.XLOOKUP(A104&amp;B104&amp;C104,盘货信息!$A:$A&amp;盘货信息!$B:$B&amp;盘货信息!$C:$C,盘货信息!$N:$N)="","【立减到手价"&amp;_xlfn.XLOOKUP(A104&amp;B104&amp;C104,盘货信息!$A:$A&amp;盘货信息!$B:$B&amp;盘货信息!$C:$C,盘货信息!$F:$F)&amp;"元】","【焕新补贴预估价"&amp;_xlfn.XLOOKUP(A104&amp;B104&amp;C104,盘货信息!$A:$A&amp;盘货信息!$B:$B&amp;盘货信息!$C:$C,盘货信息!$N:$N)&amp;"元】"))</f>
        <v/>
      </c>
      <c r="F104" s="18" t="str">
        <f t="array" ref="F104">IF(C104="","",_xlfn.XLOOKUP(A104&amp;B104&amp;C104,盘货信息!$A:$A&amp;盘货信息!$B:$B&amp;盘货信息!$C:$C,盘货信息!$E:$E)&amp;"元到手价")</f>
        <v/>
      </c>
      <c r="G104" s="18" t="str">
        <f t="array" ref="G104">IF(C104="","",IF(_xlfn.XLOOKUP(A104&amp;B104&amp;C104,盘货信息!$A:$A&amp;盘货信息!$B:$B&amp;盘货信息!$C:$C,盘货信息!$I:$I)="","","88VIP95折"))</f>
        <v/>
      </c>
      <c r="H104" s="18" t="str">
        <f t="array" ref="H104">IF(C104="","",IF(_xlfn.XLOOKUP(A104&amp;B104&amp;C104,盘货信息!$A:$A&amp;盘货信息!$B:$B&amp;盘货信息!$C:$C,盘货信息!$J:$J)="","",_xlfn.XLOOKUP(A104&amp;B104&amp;C104,盘货信息!$A:$A&amp;盘货信息!$B:$B&amp;盘货信息!$C:$C,盘货信息!$J:$J)&amp;"元优惠卷"))</f>
        <v/>
      </c>
      <c r="I104" s="18" t="str">
        <f t="array" ref="I104">IF(C104="","",IF(_xlfn.XLOOKUP(A104&amp;B104&amp;C104,盘货信息!$A:$A&amp;盘货信息!$B:$B&amp;盘货信息!$C:$C,盘货信息!$R:$R)="","",_xlfn.XLOOKUP(A104&amp;B104&amp;C104,盘货信息!$A:$A&amp;盘货信息!$B:$B&amp;盘货信息!$C:$C,盘货信息!$R:$R)&amp;"元优惠卷"))</f>
        <v/>
      </c>
      <c r="J104" s="18" t="str">
        <f t="array" ref="J104">IF(C104="","",IF(_xlfn.XLOOKUP(A104&amp;B104&amp;C104,盘货信息!$A:$A&amp;盘货信息!$B:$B&amp;盘货信息!$C:$C,盘货信息!$K:$K)="","",IF(OR(_xlfn.XLOOKUP(A104&amp;B104&amp;C104,盘货信息!$A:$A&amp;盘货信息!$B:$B&amp;盘货信息!$C:$C,盘货信息!$G:$G)="参加",_xlfn.XLOOKUP(A104&amp;B104&amp;C104,盘货信息!$A:$A&amp;盘货信息!$B:$B&amp;盘货信息!$C:$C,盘货信息!$H:$H)="1（纯自补）"),_xlfn.XLOOKUP(A104&amp;B104&amp;C104,盘货信息!$A:$A&amp;盘货信息!$B:$B&amp;盘货信息!$C:$C,盘货信息!$K:$K)&amp;"元以旧换新（可无旧机换新）","")))</f>
        <v/>
      </c>
      <c r="K104" s="18" t="str">
        <f t="array" ref="K104">IF(C104="","",IF(_xlfn.XLOOKUP(A104&amp;B104&amp;C104,盘货信息!$A:$A&amp;盘货信息!$B:$B&amp;盘货信息!$C:$C,盘货信息!$L:$L)="","",_xlfn.XLOOKUP(A104&amp;B104&amp;C104,盘货信息!$A:$A&amp;盘货信息!$B:$B&amp;盘货信息!$C:$C,盘货信息!$L:$L)&amp;"元限时补贴"))</f>
        <v/>
      </c>
      <c r="L104" s="18" t="str">
        <f t="array" ref="L104">IF(C104="","",IF(_xlfn.XLOOKUP(A104&amp;B104&amp;C104,盘货信息!$A:$A&amp;盘货信息!$B:$B&amp;盘货信息!$C:$C,盘货信息!$M:$M)="","",_xlfn.XLOOKUP(A104&amp;B104&amp;C104,盘货信息!$A:$A&amp;盘货信息!$B:$B&amp;盘货信息!$C:$C,盘货信息!$M:$M)&amp;"元消费券"))</f>
        <v/>
      </c>
      <c r="M104" s="18" t="str">
        <f t="array" ref="M104">IF(C104="","",IF(_xlfn.XLOOKUP(A104&amp;B104&amp;C104,盘货信息!$A:$A&amp;盘货信息!$B:$B&amp;盘货信息!$C:$C,盘货信息!$G:$G)="不参加","","焕新补贴优惠【全民可用，不限地址】"))</f>
        <v/>
      </c>
    </row>
    <row r="105" customHeight="1" spans="1:13">
      <c r="A105" s="17" t="str">
        <f>IF(盘货信息!A105="","",盘货信息!A105)</f>
        <v/>
      </c>
      <c r="B105" s="17" t="str">
        <f>IF(盘货信息!B105="","",盘货信息!B105)</f>
        <v/>
      </c>
      <c r="C105" s="18" t="str">
        <f>IF(盘货信息!C105="","",盘货信息!C105)</f>
        <v/>
      </c>
      <c r="D105" s="18" t="str">
        <f t="shared" si="1"/>
        <v/>
      </c>
      <c r="E105" s="18" t="str">
        <f t="array" ref="E105">IF(C105="","",IF(_xlfn.XLOOKUP(A105&amp;B105&amp;C105,盘货信息!$A:$A&amp;盘货信息!$B:$B&amp;盘货信息!$C:$C,盘货信息!$N:$N)="","【立减到手价"&amp;_xlfn.XLOOKUP(A105&amp;B105&amp;C105,盘货信息!$A:$A&amp;盘货信息!$B:$B&amp;盘货信息!$C:$C,盘货信息!$F:$F)&amp;"元】","【焕新补贴预估价"&amp;_xlfn.XLOOKUP(A105&amp;B105&amp;C105,盘货信息!$A:$A&amp;盘货信息!$B:$B&amp;盘货信息!$C:$C,盘货信息!$N:$N)&amp;"元】"))</f>
        <v/>
      </c>
      <c r="F105" s="18" t="str">
        <f t="array" ref="F105">IF(C105="","",_xlfn.XLOOKUP(A105&amp;B105&amp;C105,盘货信息!$A:$A&amp;盘货信息!$B:$B&amp;盘货信息!$C:$C,盘货信息!$E:$E)&amp;"元到手价")</f>
        <v/>
      </c>
      <c r="G105" s="18" t="str">
        <f t="array" ref="G105">IF(C105="","",IF(_xlfn.XLOOKUP(A105&amp;B105&amp;C105,盘货信息!$A:$A&amp;盘货信息!$B:$B&amp;盘货信息!$C:$C,盘货信息!$I:$I)="","","88VIP95折"))</f>
        <v/>
      </c>
      <c r="H105" s="18" t="str">
        <f t="array" ref="H105">IF(C105="","",IF(_xlfn.XLOOKUP(A105&amp;B105&amp;C105,盘货信息!$A:$A&amp;盘货信息!$B:$B&amp;盘货信息!$C:$C,盘货信息!$J:$J)="","",_xlfn.XLOOKUP(A105&amp;B105&amp;C105,盘货信息!$A:$A&amp;盘货信息!$B:$B&amp;盘货信息!$C:$C,盘货信息!$J:$J)&amp;"元优惠卷"))</f>
        <v/>
      </c>
      <c r="I105" s="18" t="str">
        <f t="array" ref="I105">IF(C105="","",IF(_xlfn.XLOOKUP(A105&amp;B105&amp;C105,盘货信息!$A:$A&amp;盘货信息!$B:$B&amp;盘货信息!$C:$C,盘货信息!$R:$R)="","",_xlfn.XLOOKUP(A105&amp;B105&amp;C105,盘货信息!$A:$A&amp;盘货信息!$B:$B&amp;盘货信息!$C:$C,盘货信息!$R:$R)&amp;"元优惠卷"))</f>
        <v/>
      </c>
      <c r="J105" s="18" t="str">
        <f t="array" ref="J105">IF(C105="","",IF(_xlfn.XLOOKUP(A105&amp;B105&amp;C105,盘货信息!$A:$A&amp;盘货信息!$B:$B&amp;盘货信息!$C:$C,盘货信息!$K:$K)="","",IF(OR(_xlfn.XLOOKUP(A105&amp;B105&amp;C105,盘货信息!$A:$A&amp;盘货信息!$B:$B&amp;盘货信息!$C:$C,盘货信息!$G:$G)="参加",_xlfn.XLOOKUP(A105&amp;B105&amp;C105,盘货信息!$A:$A&amp;盘货信息!$B:$B&amp;盘货信息!$C:$C,盘货信息!$H:$H)="1（纯自补）"),_xlfn.XLOOKUP(A105&amp;B105&amp;C105,盘货信息!$A:$A&amp;盘货信息!$B:$B&amp;盘货信息!$C:$C,盘货信息!$K:$K)&amp;"元以旧换新（可无旧机换新）","")))</f>
        <v/>
      </c>
      <c r="K105" s="18" t="str">
        <f t="array" ref="K105">IF(C105="","",IF(_xlfn.XLOOKUP(A105&amp;B105&amp;C105,盘货信息!$A:$A&amp;盘货信息!$B:$B&amp;盘货信息!$C:$C,盘货信息!$L:$L)="","",_xlfn.XLOOKUP(A105&amp;B105&amp;C105,盘货信息!$A:$A&amp;盘货信息!$B:$B&amp;盘货信息!$C:$C,盘货信息!$L:$L)&amp;"元限时补贴"))</f>
        <v/>
      </c>
      <c r="L105" s="18" t="str">
        <f t="array" ref="L105">IF(C105="","",IF(_xlfn.XLOOKUP(A105&amp;B105&amp;C105,盘货信息!$A:$A&amp;盘货信息!$B:$B&amp;盘货信息!$C:$C,盘货信息!$M:$M)="","",_xlfn.XLOOKUP(A105&amp;B105&amp;C105,盘货信息!$A:$A&amp;盘货信息!$B:$B&amp;盘货信息!$C:$C,盘货信息!$M:$M)&amp;"元消费券"))</f>
        <v/>
      </c>
      <c r="M105" s="18" t="str">
        <f t="array" ref="M105">IF(C105="","",IF(_xlfn.XLOOKUP(A105&amp;B105&amp;C105,盘货信息!$A:$A&amp;盘货信息!$B:$B&amp;盘货信息!$C:$C,盘货信息!$G:$G)="不参加","","焕新补贴优惠【全民可用，不限地址】"))</f>
        <v/>
      </c>
    </row>
    <row r="106" customHeight="1" spans="1:13">
      <c r="A106" s="17" t="str">
        <f>IF(盘货信息!A106="","",盘货信息!A106)</f>
        <v/>
      </c>
      <c r="B106" s="17" t="str">
        <f>IF(盘货信息!B106="","",盘货信息!B106)</f>
        <v/>
      </c>
      <c r="C106" s="20" t="str">
        <f>IF(盘货信息!C106="","",盘货信息!C106)</f>
        <v/>
      </c>
      <c r="D106" s="18" t="str">
        <f t="shared" si="1"/>
        <v/>
      </c>
      <c r="E106" s="18" t="str">
        <f t="array" ref="E106">IF(C106="","",IF(_xlfn.XLOOKUP(A106&amp;B106&amp;C106,盘货信息!$A:$A&amp;盘货信息!$B:$B&amp;盘货信息!$C:$C,盘货信息!$N:$N)="","【立减到手价"&amp;_xlfn.XLOOKUP(A106&amp;B106&amp;C106,盘货信息!$A:$A&amp;盘货信息!$B:$B&amp;盘货信息!$C:$C,盘货信息!$F:$F)&amp;"元】","【焕新补贴预估价"&amp;_xlfn.XLOOKUP(A106&amp;B106&amp;C106,盘货信息!$A:$A&amp;盘货信息!$B:$B&amp;盘货信息!$C:$C,盘货信息!$N:$N)&amp;"元】"))</f>
        <v/>
      </c>
      <c r="F106" s="18" t="str">
        <f t="array" ref="F106">IF(C106="","",_xlfn.XLOOKUP(A106&amp;B106&amp;C106,盘货信息!$A:$A&amp;盘货信息!$B:$B&amp;盘货信息!$C:$C,盘货信息!$E:$E)&amp;"元到手价")</f>
        <v/>
      </c>
      <c r="G106" s="18" t="str">
        <f t="array" ref="G106">IF(C106="","",IF(_xlfn.XLOOKUP(A106&amp;B106&amp;C106,盘货信息!$A:$A&amp;盘货信息!$B:$B&amp;盘货信息!$C:$C,盘货信息!$I:$I)="","","88VIP95折"))</f>
        <v/>
      </c>
      <c r="H106" s="18" t="str">
        <f t="array" ref="H106">IF(C106="","",IF(_xlfn.XLOOKUP(A106&amp;B106&amp;C106,盘货信息!$A:$A&amp;盘货信息!$B:$B&amp;盘货信息!$C:$C,盘货信息!$J:$J)="","",_xlfn.XLOOKUP(A106&amp;B106&amp;C106,盘货信息!$A:$A&amp;盘货信息!$B:$B&amp;盘货信息!$C:$C,盘货信息!$J:$J)&amp;"元优惠卷"))</f>
        <v/>
      </c>
      <c r="I106" s="18" t="str">
        <f t="array" ref="I106">IF(C106="","",IF(_xlfn.XLOOKUP(A106&amp;B106&amp;C106,盘货信息!$A:$A&amp;盘货信息!$B:$B&amp;盘货信息!$C:$C,盘货信息!$R:$R)="","",_xlfn.XLOOKUP(A106&amp;B106&amp;C106,盘货信息!$A:$A&amp;盘货信息!$B:$B&amp;盘货信息!$C:$C,盘货信息!$R:$R)&amp;"元优惠卷"))</f>
        <v/>
      </c>
      <c r="J106" s="18" t="str">
        <f t="array" ref="J106">IF(C106="","",IF(_xlfn.XLOOKUP(A106&amp;B106&amp;C106,盘货信息!$A:$A&amp;盘货信息!$B:$B&amp;盘货信息!$C:$C,盘货信息!$K:$K)="","",IF(OR(_xlfn.XLOOKUP(A106&amp;B106&amp;C106,盘货信息!$A:$A&amp;盘货信息!$B:$B&amp;盘货信息!$C:$C,盘货信息!$G:$G)="参加",_xlfn.XLOOKUP(A106&amp;B106&amp;C106,盘货信息!$A:$A&amp;盘货信息!$B:$B&amp;盘货信息!$C:$C,盘货信息!$H:$H)="1（纯自补）"),_xlfn.XLOOKUP(A106&amp;B106&amp;C106,盘货信息!$A:$A&amp;盘货信息!$B:$B&amp;盘货信息!$C:$C,盘货信息!$K:$K)&amp;"元以旧换新（可无旧机换新）","")))</f>
        <v/>
      </c>
      <c r="K106" s="18" t="str">
        <f t="array" ref="K106">IF(C106="","",IF(_xlfn.XLOOKUP(A106&amp;B106&amp;C106,盘货信息!$A:$A&amp;盘货信息!$B:$B&amp;盘货信息!$C:$C,盘货信息!$L:$L)="","",_xlfn.XLOOKUP(A106&amp;B106&amp;C106,盘货信息!$A:$A&amp;盘货信息!$B:$B&amp;盘货信息!$C:$C,盘货信息!$L:$L)&amp;"元限时补贴"))</f>
        <v/>
      </c>
      <c r="L106" s="18" t="str">
        <f t="array" ref="L106">IF(C106="","",IF(_xlfn.XLOOKUP(A106&amp;B106&amp;C106,盘货信息!$A:$A&amp;盘货信息!$B:$B&amp;盘货信息!$C:$C,盘货信息!$M:$M)="","",_xlfn.XLOOKUP(A106&amp;B106&amp;C106,盘货信息!$A:$A&amp;盘货信息!$B:$B&amp;盘货信息!$C:$C,盘货信息!$M:$M)&amp;"元消费券"))</f>
        <v/>
      </c>
      <c r="M106" s="18" t="str">
        <f t="array" ref="M106">IF(C106="","",IF(_xlfn.XLOOKUP(A106&amp;B106&amp;C106,盘货信息!$A:$A&amp;盘货信息!$B:$B&amp;盘货信息!$C:$C,盘货信息!$G:$G)="不参加","","焕新补贴优惠【全民可用，不限地址】"))</f>
        <v/>
      </c>
    </row>
    <row r="107" customHeight="1" spans="1:13">
      <c r="A107" s="17" t="str">
        <f>IF(盘货信息!A107="","",盘货信息!A107)</f>
        <v/>
      </c>
      <c r="B107" s="17" t="str">
        <f>IF(盘货信息!B107="","",盘货信息!B107)</f>
        <v/>
      </c>
      <c r="C107" s="20" t="str">
        <f>IF(盘货信息!C107="","",盘货信息!C107)</f>
        <v/>
      </c>
      <c r="D107" s="18" t="str">
        <f t="shared" si="1"/>
        <v/>
      </c>
      <c r="E107" s="18" t="str">
        <f t="array" ref="E107">IF(C107="","",IF(_xlfn.XLOOKUP(A107&amp;B107&amp;C107,盘货信息!$A:$A&amp;盘货信息!$B:$B&amp;盘货信息!$C:$C,盘货信息!$N:$N)="","【立减到手价"&amp;_xlfn.XLOOKUP(A107&amp;B107&amp;C107,盘货信息!$A:$A&amp;盘货信息!$B:$B&amp;盘货信息!$C:$C,盘货信息!$F:$F)&amp;"元】","【焕新补贴预估价"&amp;_xlfn.XLOOKUP(A107&amp;B107&amp;C107,盘货信息!$A:$A&amp;盘货信息!$B:$B&amp;盘货信息!$C:$C,盘货信息!$N:$N)&amp;"元】"))</f>
        <v/>
      </c>
      <c r="F107" s="18" t="str">
        <f t="array" ref="F107">IF(C107="","",_xlfn.XLOOKUP(A107&amp;B107&amp;C107,盘货信息!$A:$A&amp;盘货信息!$B:$B&amp;盘货信息!$C:$C,盘货信息!$E:$E)&amp;"元到手价")</f>
        <v/>
      </c>
      <c r="G107" s="18" t="str">
        <f t="array" ref="G107">IF(C107="","",IF(_xlfn.XLOOKUP(A107&amp;B107&amp;C107,盘货信息!$A:$A&amp;盘货信息!$B:$B&amp;盘货信息!$C:$C,盘货信息!$I:$I)="","","88VIP95折"))</f>
        <v/>
      </c>
      <c r="H107" s="18" t="str">
        <f t="array" ref="H107">IF(C107="","",IF(_xlfn.XLOOKUP(A107&amp;B107&amp;C107,盘货信息!$A:$A&amp;盘货信息!$B:$B&amp;盘货信息!$C:$C,盘货信息!$J:$J)="","",_xlfn.XLOOKUP(A107&amp;B107&amp;C107,盘货信息!$A:$A&amp;盘货信息!$B:$B&amp;盘货信息!$C:$C,盘货信息!$J:$J)&amp;"元优惠卷"))</f>
        <v/>
      </c>
      <c r="I107" s="18" t="str">
        <f t="array" ref="I107">IF(C107="","",IF(_xlfn.XLOOKUP(A107&amp;B107&amp;C107,盘货信息!$A:$A&amp;盘货信息!$B:$B&amp;盘货信息!$C:$C,盘货信息!$R:$R)="","",_xlfn.XLOOKUP(A107&amp;B107&amp;C107,盘货信息!$A:$A&amp;盘货信息!$B:$B&amp;盘货信息!$C:$C,盘货信息!$R:$R)&amp;"元优惠卷"))</f>
        <v/>
      </c>
      <c r="J107" s="18" t="str">
        <f t="array" ref="J107">IF(C107="","",IF(_xlfn.XLOOKUP(A107&amp;B107&amp;C107,盘货信息!$A:$A&amp;盘货信息!$B:$B&amp;盘货信息!$C:$C,盘货信息!$K:$K)="","",IF(OR(_xlfn.XLOOKUP(A107&amp;B107&amp;C107,盘货信息!$A:$A&amp;盘货信息!$B:$B&amp;盘货信息!$C:$C,盘货信息!$G:$G)="参加",_xlfn.XLOOKUP(A107&amp;B107&amp;C107,盘货信息!$A:$A&amp;盘货信息!$B:$B&amp;盘货信息!$C:$C,盘货信息!$H:$H)="1（纯自补）"),_xlfn.XLOOKUP(A107&amp;B107&amp;C107,盘货信息!$A:$A&amp;盘货信息!$B:$B&amp;盘货信息!$C:$C,盘货信息!$K:$K)&amp;"元以旧换新（可无旧机换新）","")))</f>
        <v/>
      </c>
      <c r="K107" s="18" t="str">
        <f t="array" ref="K107">IF(C107="","",IF(_xlfn.XLOOKUP(A107&amp;B107&amp;C107,盘货信息!$A:$A&amp;盘货信息!$B:$B&amp;盘货信息!$C:$C,盘货信息!$L:$L)="","",_xlfn.XLOOKUP(A107&amp;B107&amp;C107,盘货信息!$A:$A&amp;盘货信息!$B:$B&amp;盘货信息!$C:$C,盘货信息!$L:$L)&amp;"元限时补贴"))</f>
        <v/>
      </c>
      <c r="L107" s="18" t="str">
        <f t="array" ref="L107">IF(C107="","",IF(_xlfn.XLOOKUP(A107&amp;B107&amp;C107,盘货信息!$A:$A&amp;盘货信息!$B:$B&amp;盘货信息!$C:$C,盘货信息!$M:$M)="","",_xlfn.XLOOKUP(A107&amp;B107&amp;C107,盘货信息!$A:$A&amp;盘货信息!$B:$B&amp;盘货信息!$C:$C,盘货信息!$M:$M)&amp;"元消费券"))</f>
        <v/>
      </c>
      <c r="M107" s="18" t="str">
        <f t="array" ref="M107">IF(C107="","",IF(_xlfn.XLOOKUP(A107&amp;B107&amp;C107,盘货信息!$A:$A&amp;盘货信息!$B:$B&amp;盘货信息!$C:$C,盘货信息!$G:$G)="不参加","","焕新补贴优惠【全民可用，不限地址】"))</f>
        <v/>
      </c>
    </row>
    <row r="108" customHeight="1" spans="1:13">
      <c r="A108" s="17" t="str">
        <f>IF(盘货信息!A108="","",盘货信息!A108)</f>
        <v/>
      </c>
      <c r="B108" s="17" t="str">
        <f>IF(盘货信息!B108="","",盘货信息!B108)</f>
        <v/>
      </c>
      <c r="C108" s="18" t="str">
        <f>IF(盘货信息!C108="","",盘货信息!C108)</f>
        <v/>
      </c>
      <c r="D108" s="18" t="str">
        <f t="shared" si="1"/>
        <v/>
      </c>
      <c r="E108" s="18" t="str">
        <f t="array" ref="E108">IF(C108="","",IF(_xlfn.XLOOKUP(A108&amp;B108&amp;C108,盘货信息!$A:$A&amp;盘货信息!$B:$B&amp;盘货信息!$C:$C,盘货信息!$N:$N)="","【立减到手价"&amp;_xlfn.XLOOKUP(A108&amp;B108&amp;C108,盘货信息!$A:$A&amp;盘货信息!$B:$B&amp;盘货信息!$C:$C,盘货信息!$F:$F)&amp;"元】","【焕新补贴预估价"&amp;_xlfn.XLOOKUP(A108&amp;B108&amp;C108,盘货信息!$A:$A&amp;盘货信息!$B:$B&amp;盘货信息!$C:$C,盘货信息!$N:$N)&amp;"元】"))</f>
        <v/>
      </c>
      <c r="F108" s="18" t="str">
        <f t="array" ref="F108">IF(C108="","",_xlfn.XLOOKUP(A108&amp;B108&amp;C108,盘货信息!$A:$A&amp;盘货信息!$B:$B&amp;盘货信息!$C:$C,盘货信息!$E:$E)&amp;"元到手价")</f>
        <v/>
      </c>
      <c r="G108" s="18" t="str">
        <f t="array" ref="G108">IF(C108="","",IF(_xlfn.XLOOKUP(A108&amp;B108&amp;C108,盘货信息!$A:$A&amp;盘货信息!$B:$B&amp;盘货信息!$C:$C,盘货信息!$I:$I)="","","88VIP95折"))</f>
        <v/>
      </c>
      <c r="H108" s="18" t="str">
        <f t="array" ref="H108">IF(C108="","",IF(_xlfn.XLOOKUP(A108&amp;B108&amp;C108,盘货信息!$A:$A&amp;盘货信息!$B:$B&amp;盘货信息!$C:$C,盘货信息!$J:$J)="","",_xlfn.XLOOKUP(A108&amp;B108&amp;C108,盘货信息!$A:$A&amp;盘货信息!$B:$B&amp;盘货信息!$C:$C,盘货信息!$J:$J)&amp;"元优惠卷"))</f>
        <v/>
      </c>
      <c r="I108" s="18" t="str">
        <f t="array" ref="I108">IF(C108="","",IF(_xlfn.XLOOKUP(A108&amp;B108&amp;C108,盘货信息!$A:$A&amp;盘货信息!$B:$B&amp;盘货信息!$C:$C,盘货信息!$R:$R)="","",_xlfn.XLOOKUP(A108&amp;B108&amp;C108,盘货信息!$A:$A&amp;盘货信息!$B:$B&amp;盘货信息!$C:$C,盘货信息!$R:$R)&amp;"元优惠卷"))</f>
        <v/>
      </c>
      <c r="J108" s="18" t="str">
        <f t="array" ref="J108">IF(C108="","",IF(_xlfn.XLOOKUP(A108&amp;B108&amp;C108,盘货信息!$A:$A&amp;盘货信息!$B:$B&amp;盘货信息!$C:$C,盘货信息!$K:$K)="","",IF(OR(_xlfn.XLOOKUP(A108&amp;B108&amp;C108,盘货信息!$A:$A&amp;盘货信息!$B:$B&amp;盘货信息!$C:$C,盘货信息!$G:$G)="参加",_xlfn.XLOOKUP(A108&amp;B108&amp;C108,盘货信息!$A:$A&amp;盘货信息!$B:$B&amp;盘货信息!$C:$C,盘货信息!$H:$H)="1（纯自补）"),_xlfn.XLOOKUP(A108&amp;B108&amp;C108,盘货信息!$A:$A&amp;盘货信息!$B:$B&amp;盘货信息!$C:$C,盘货信息!$K:$K)&amp;"元以旧换新（可无旧机换新）","")))</f>
        <v/>
      </c>
      <c r="K108" s="18" t="str">
        <f t="array" ref="K108">IF(C108="","",IF(_xlfn.XLOOKUP(A108&amp;B108&amp;C108,盘货信息!$A:$A&amp;盘货信息!$B:$B&amp;盘货信息!$C:$C,盘货信息!$L:$L)="","",_xlfn.XLOOKUP(A108&amp;B108&amp;C108,盘货信息!$A:$A&amp;盘货信息!$B:$B&amp;盘货信息!$C:$C,盘货信息!$L:$L)&amp;"元限时补贴"))</f>
        <v/>
      </c>
      <c r="L108" s="18" t="str">
        <f t="array" ref="L108">IF(C108="","",IF(_xlfn.XLOOKUP(A108&amp;B108&amp;C108,盘货信息!$A:$A&amp;盘货信息!$B:$B&amp;盘货信息!$C:$C,盘货信息!$M:$M)="","",_xlfn.XLOOKUP(A108&amp;B108&amp;C108,盘货信息!$A:$A&amp;盘货信息!$B:$B&amp;盘货信息!$C:$C,盘货信息!$M:$M)&amp;"元消费券"))</f>
        <v/>
      </c>
      <c r="M108" s="18" t="str">
        <f t="array" ref="M108">IF(C108="","",IF(_xlfn.XLOOKUP(A108&amp;B108&amp;C108,盘货信息!$A:$A&amp;盘货信息!$B:$B&amp;盘货信息!$C:$C,盘货信息!$G:$G)="不参加","","焕新补贴优惠【全民可用，不限地址】"))</f>
        <v/>
      </c>
    </row>
    <row r="109" customHeight="1" spans="1:13">
      <c r="A109" s="17" t="str">
        <f>IF(盘货信息!A109="","",盘货信息!A109)</f>
        <v/>
      </c>
      <c r="B109" s="17" t="str">
        <f>IF(盘货信息!B109="","",盘货信息!B109)</f>
        <v/>
      </c>
      <c r="C109" s="20" t="str">
        <f>IF(盘货信息!C109="","",盘货信息!C109)</f>
        <v/>
      </c>
      <c r="D109" s="18" t="str">
        <f t="shared" si="1"/>
        <v/>
      </c>
      <c r="E109" s="18" t="str">
        <f t="array" ref="E109">IF(C109="","",IF(_xlfn.XLOOKUP(A109&amp;B109&amp;C109,盘货信息!$A:$A&amp;盘货信息!$B:$B&amp;盘货信息!$C:$C,盘货信息!$N:$N)="","【立减到手价"&amp;_xlfn.XLOOKUP(A109&amp;B109&amp;C109,盘货信息!$A:$A&amp;盘货信息!$B:$B&amp;盘货信息!$C:$C,盘货信息!$F:$F)&amp;"元】","【焕新补贴预估价"&amp;_xlfn.XLOOKUP(A109&amp;B109&amp;C109,盘货信息!$A:$A&amp;盘货信息!$B:$B&amp;盘货信息!$C:$C,盘货信息!$N:$N)&amp;"元】"))</f>
        <v/>
      </c>
      <c r="F109" s="18" t="str">
        <f t="array" ref="F109">IF(C109="","",_xlfn.XLOOKUP(A109&amp;B109&amp;C109,盘货信息!$A:$A&amp;盘货信息!$B:$B&amp;盘货信息!$C:$C,盘货信息!$E:$E)&amp;"元到手价")</f>
        <v/>
      </c>
      <c r="G109" s="18" t="str">
        <f t="array" ref="G109">IF(C109="","",IF(_xlfn.XLOOKUP(A109&amp;B109&amp;C109,盘货信息!$A:$A&amp;盘货信息!$B:$B&amp;盘货信息!$C:$C,盘货信息!$I:$I)="","","88VIP95折"))</f>
        <v/>
      </c>
      <c r="H109" s="18" t="str">
        <f t="array" ref="H109">IF(C109="","",IF(_xlfn.XLOOKUP(A109&amp;B109&amp;C109,盘货信息!$A:$A&amp;盘货信息!$B:$B&amp;盘货信息!$C:$C,盘货信息!$J:$J)="","",_xlfn.XLOOKUP(A109&amp;B109&amp;C109,盘货信息!$A:$A&amp;盘货信息!$B:$B&amp;盘货信息!$C:$C,盘货信息!$J:$J)&amp;"元优惠卷"))</f>
        <v/>
      </c>
      <c r="I109" s="18" t="str">
        <f t="array" ref="I109">IF(C109="","",IF(_xlfn.XLOOKUP(A109&amp;B109&amp;C109,盘货信息!$A:$A&amp;盘货信息!$B:$B&amp;盘货信息!$C:$C,盘货信息!$R:$R)="","",_xlfn.XLOOKUP(A109&amp;B109&amp;C109,盘货信息!$A:$A&amp;盘货信息!$B:$B&amp;盘货信息!$C:$C,盘货信息!$R:$R)&amp;"元优惠卷"))</f>
        <v/>
      </c>
      <c r="J109" s="18" t="str">
        <f t="array" ref="J109">IF(C109="","",IF(_xlfn.XLOOKUP(A109&amp;B109&amp;C109,盘货信息!$A:$A&amp;盘货信息!$B:$B&amp;盘货信息!$C:$C,盘货信息!$K:$K)="","",IF(OR(_xlfn.XLOOKUP(A109&amp;B109&amp;C109,盘货信息!$A:$A&amp;盘货信息!$B:$B&amp;盘货信息!$C:$C,盘货信息!$G:$G)="参加",_xlfn.XLOOKUP(A109&amp;B109&amp;C109,盘货信息!$A:$A&amp;盘货信息!$B:$B&amp;盘货信息!$C:$C,盘货信息!$H:$H)="1（纯自补）"),_xlfn.XLOOKUP(A109&amp;B109&amp;C109,盘货信息!$A:$A&amp;盘货信息!$B:$B&amp;盘货信息!$C:$C,盘货信息!$K:$K)&amp;"元以旧换新（可无旧机换新）","")))</f>
        <v/>
      </c>
      <c r="K109" s="18" t="str">
        <f t="array" ref="K109">IF(C109="","",IF(_xlfn.XLOOKUP(A109&amp;B109&amp;C109,盘货信息!$A:$A&amp;盘货信息!$B:$B&amp;盘货信息!$C:$C,盘货信息!$L:$L)="","",_xlfn.XLOOKUP(A109&amp;B109&amp;C109,盘货信息!$A:$A&amp;盘货信息!$B:$B&amp;盘货信息!$C:$C,盘货信息!$L:$L)&amp;"元限时补贴"))</f>
        <v/>
      </c>
      <c r="L109" s="18" t="str">
        <f t="array" ref="L109">IF(C109="","",IF(_xlfn.XLOOKUP(A109&amp;B109&amp;C109,盘货信息!$A:$A&amp;盘货信息!$B:$B&amp;盘货信息!$C:$C,盘货信息!$M:$M)="","",_xlfn.XLOOKUP(A109&amp;B109&amp;C109,盘货信息!$A:$A&amp;盘货信息!$B:$B&amp;盘货信息!$C:$C,盘货信息!$M:$M)&amp;"元消费券"))</f>
        <v/>
      </c>
      <c r="M109" s="18" t="str">
        <f t="array" ref="M109">IF(C109="","",IF(_xlfn.XLOOKUP(A109&amp;B109&amp;C109,盘货信息!$A:$A&amp;盘货信息!$B:$B&amp;盘货信息!$C:$C,盘货信息!$G:$G)="不参加","","焕新补贴优惠【全民可用，不限地址】"))</f>
        <v/>
      </c>
    </row>
    <row r="110" customHeight="1" spans="1:13">
      <c r="A110" s="17" t="str">
        <f>IF(盘货信息!A110="","",盘货信息!A110)</f>
        <v/>
      </c>
      <c r="B110" s="17" t="str">
        <f>IF(盘货信息!B110="","",盘货信息!B110)</f>
        <v/>
      </c>
      <c r="C110" s="20" t="str">
        <f>IF(盘货信息!C110="","",盘货信息!C110)</f>
        <v/>
      </c>
      <c r="D110" s="18" t="str">
        <f t="shared" si="1"/>
        <v/>
      </c>
      <c r="E110" s="18" t="str">
        <f t="array" ref="E110">IF(C110="","",IF(_xlfn.XLOOKUP(A110&amp;B110&amp;C110,盘货信息!$A:$A&amp;盘货信息!$B:$B&amp;盘货信息!$C:$C,盘货信息!$N:$N)="","【立减到手价"&amp;_xlfn.XLOOKUP(A110&amp;B110&amp;C110,盘货信息!$A:$A&amp;盘货信息!$B:$B&amp;盘货信息!$C:$C,盘货信息!$F:$F)&amp;"元】","【焕新补贴预估价"&amp;_xlfn.XLOOKUP(A110&amp;B110&amp;C110,盘货信息!$A:$A&amp;盘货信息!$B:$B&amp;盘货信息!$C:$C,盘货信息!$N:$N)&amp;"元】"))</f>
        <v/>
      </c>
      <c r="F110" s="18" t="str">
        <f t="array" ref="F110">IF(C110="","",_xlfn.XLOOKUP(A110&amp;B110&amp;C110,盘货信息!$A:$A&amp;盘货信息!$B:$B&amp;盘货信息!$C:$C,盘货信息!$E:$E)&amp;"元到手价")</f>
        <v/>
      </c>
      <c r="G110" s="18" t="str">
        <f t="array" ref="G110">IF(C110="","",IF(_xlfn.XLOOKUP(A110&amp;B110&amp;C110,盘货信息!$A:$A&amp;盘货信息!$B:$B&amp;盘货信息!$C:$C,盘货信息!$I:$I)="","","88VIP95折"))</f>
        <v/>
      </c>
      <c r="H110" s="18" t="str">
        <f t="array" ref="H110">IF(C110="","",IF(_xlfn.XLOOKUP(A110&amp;B110&amp;C110,盘货信息!$A:$A&amp;盘货信息!$B:$B&amp;盘货信息!$C:$C,盘货信息!$J:$J)="","",_xlfn.XLOOKUP(A110&amp;B110&amp;C110,盘货信息!$A:$A&amp;盘货信息!$B:$B&amp;盘货信息!$C:$C,盘货信息!$J:$J)&amp;"元优惠卷"))</f>
        <v/>
      </c>
      <c r="I110" s="18" t="str">
        <f t="array" ref="I110">IF(C110="","",IF(_xlfn.XLOOKUP(A110&amp;B110&amp;C110,盘货信息!$A:$A&amp;盘货信息!$B:$B&amp;盘货信息!$C:$C,盘货信息!$R:$R)="","",_xlfn.XLOOKUP(A110&amp;B110&amp;C110,盘货信息!$A:$A&amp;盘货信息!$B:$B&amp;盘货信息!$C:$C,盘货信息!$R:$R)&amp;"元优惠卷"))</f>
        <v/>
      </c>
      <c r="J110" s="18" t="str">
        <f t="array" ref="J110">IF(C110="","",IF(_xlfn.XLOOKUP(A110&amp;B110&amp;C110,盘货信息!$A:$A&amp;盘货信息!$B:$B&amp;盘货信息!$C:$C,盘货信息!$K:$K)="","",IF(OR(_xlfn.XLOOKUP(A110&amp;B110&amp;C110,盘货信息!$A:$A&amp;盘货信息!$B:$B&amp;盘货信息!$C:$C,盘货信息!$G:$G)="参加",_xlfn.XLOOKUP(A110&amp;B110&amp;C110,盘货信息!$A:$A&amp;盘货信息!$B:$B&amp;盘货信息!$C:$C,盘货信息!$H:$H)="1（纯自补）"),_xlfn.XLOOKUP(A110&amp;B110&amp;C110,盘货信息!$A:$A&amp;盘货信息!$B:$B&amp;盘货信息!$C:$C,盘货信息!$K:$K)&amp;"元以旧换新（可无旧机换新）","")))</f>
        <v/>
      </c>
      <c r="K110" s="18" t="str">
        <f t="array" ref="K110">IF(C110="","",IF(_xlfn.XLOOKUP(A110&amp;B110&amp;C110,盘货信息!$A:$A&amp;盘货信息!$B:$B&amp;盘货信息!$C:$C,盘货信息!$L:$L)="","",_xlfn.XLOOKUP(A110&amp;B110&amp;C110,盘货信息!$A:$A&amp;盘货信息!$B:$B&amp;盘货信息!$C:$C,盘货信息!$L:$L)&amp;"元限时补贴"))</f>
        <v/>
      </c>
      <c r="L110" s="18" t="str">
        <f t="array" ref="L110">IF(C110="","",IF(_xlfn.XLOOKUP(A110&amp;B110&amp;C110,盘货信息!$A:$A&amp;盘货信息!$B:$B&amp;盘货信息!$C:$C,盘货信息!$M:$M)="","",_xlfn.XLOOKUP(A110&amp;B110&amp;C110,盘货信息!$A:$A&amp;盘货信息!$B:$B&amp;盘货信息!$C:$C,盘货信息!$M:$M)&amp;"元消费券"))</f>
        <v/>
      </c>
      <c r="M110" s="18" t="str">
        <f t="array" ref="M110">IF(C110="","",IF(_xlfn.XLOOKUP(A110&amp;B110&amp;C110,盘货信息!$A:$A&amp;盘货信息!$B:$B&amp;盘货信息!$C:$C,盘货信息!$G:$G)="不参加","","焕新补贴优惠【全民可用，不限地址】"))</f>
        <v/>
      </c>
    </row>
    <row r="111" customHeight="1" spans="1:13">
      <c r="A111" s="17" t="str">
        <f>IF(盘货信息!A111="","",盘货信息!A111)</f>
        <v/>
      </c>
      <c r="B111" s="17" t="str">
        <f>IF(盘货信息!B111="","",盘货信息!B111)</f>
        <v/>
      </c>
      <c r="C111" s="18" t="str">
        <f>IF(盘货信息!C111="","",盘货信息!C111)</f>
        <v/>
      </c>
      <c r="D111" s="18" t="str">
        <f t="shared" si="1"/>
        <v/>
      </c>
      <c r="E111" s="18" t="str">
        <f t="array" ref="E111">IF(C111="","",IF(_xlfn.XLOOKUP(A111&amp;B111&amp;C111,盘货信息!$A:$A&amp;盘货信息!$B:$B&amp;盘货信息!$C:$C,盘货信息!$N:$N)="","【立减到手价"&amp;_xlfn.XLOOKUP(A111&amp;B111&amp;C111,盘货信息!$A:$A&amp;盘货信息!$B:$B&amp;盘货信息!$C:$C,盘货信息!$F:$F)&amp;"元】","【焕新补贴预估价"&amp;_xlfn.XLOOKUP(A111&amp;B111&amp;C111,盘货信息!$A:$A&amp;盘货信息!$B:$B&amp;盘货信息!$C:$C,盘货信息!$N:$N)&amp;"元】"))</f>
        <v/>
      </c>
      <c r="F111" s="18" t="str">
        <f t="array" ref="F111">IF(C111="","",_xlfn.XLOOKUP(A111&amp;B111&amp;C111,盘货信息!$A:$A&amp;盘货信息!$B:$B&amp;盘货信息!$C:$C,盘货信息!$E:$E)&amp;"元到手价")</f>
        <v/>
      </c>
      <c r="G111" s="18" t="str">
        <f t="array" ref="G111">IF(C111="","",IF(_xlfn.XLOOKUP(A111&amp;B111&amp;C111,盘货信息!$A:$A&amp;盘货信息!$B:$B&amp;盘货信息!$C:$C,盘货信息!$I:$I)="","","88VIP95折"))</f>
        <v/>
      </c>
      <c r="H111" s="18" t="str">
        <f t="array" ref="H111">IF(C111="","",IF(_xlfn.XLOOKUP(A111&amp;B111&amp;C111,盘货信息!$A:$A&amp;盘货信息!$B:$B&amp;盘货信息!$C:$C,盘货信息!$J:$J)="","",_xlfn.XLOOKUP(A111&amp;B111&amp;C111,盘货信息!$A:$A&amp;盘货信息!$B:$B&amp;盘货信息!$C:$C,盘货信息!$J:$J)&amp;"元优惠卷"))</f>
        <v/>
      </c>
      <c r="I111" s="18" t="str">
        <f t="array" ref="I111">IF(C111="","",IF(_xlfn.XLOOKUP(A111&amp;B111&amp;C111,盘货信息!$A:$A&amp;盘货信息!$B:$B&amp;盘货信息!$C:$C,盘货信息!$R:$R)="","",_xlfn.XLOOKUP(A111&amp;B111&amp;C111,盘货信息!$A:$A&amp;盘货信息!$B:$B&amp;盘货信息!$C:$C,盘货信息!$R:$R)&amp;"元优惠卷"))</f>
        <v/>
      </c>
      <c r="J111" s="18" t="str">
        <f t="array" ref="J111">IF(C111="","",IF(_xlfn.XLOOKUP(A111&amp;B111&amp;C111,盘货信息!$A:$A&amp;盘货信息!$B:$B&amp;盘货信息!$C:$C,盘货信息!$K:$K)="","",IF(OR(_xlfn.XLOOKUP(A111&amp;B111&amp;C111,盘货信息!$A:$A&amp;盘货信息!$B:$B&amp;盘货信息!$C:$C,盘货信息!$G:$G)="参加",_xlfn.XLOOKUP(A111&amp;B111&amp;C111,盘货信息!$A:$A&amp;盘货信息!$B:$B&amp;盘货信息!$C:$C,盘货信息!$H:$H)="1（纯自补）"),_xlfn.XLOOKUP(A111&amp;B111&amp;C111,盘货信息!$A:$A&amp;盘货信息!$B:$B&amp;盘货信息!$C:$C,盘货信息!$K:$K)&amp;"元以旧换新（可无旧机换新）","")))</f>
        <v/>
      </c>
      <c r="K111" s="18" t="str">
        <f t="array" ref="K111">IF(C111="","",IF(_xlfn.XLOOKUP(A111&amp;B111&amp;C111,盘货信息!$A:$A&amp;盘货信息!$B:$B&amp;盘货信息!$C:$C,盘货信息!$L:$L)="","",_xlfn.XLOOKUP(A111&amp;B111&amp;C111,盘货信息!$A:$A&amp;盘货信息!$B:$B&amp;盘货信息!$C:$C,盘货信息!$L:$L)&amp;"元限时补贴"))</f>
        <v/>
      </c>
      <c r="L111" s="18" t="str">
        <f t="array" ref="L111">IF(C111="","",IF(_xlfn.XLOOKUP(A111&amp;B111&amp;C111,盘货信息!$A:$A&amp;盘货信息!$B:$B&amp;盘货信息!$C:$C,盘货信息!$M:$M)="","",_xlfn.XLOOKUP(A111&amp;B111&amp;C111,盘货信息!$A:$A&amp;盘货信息!$B:$B&amp;盘货信息!$C:$C,盘货信息!$M:$M)&amp;"元消费券"))</f>
        <v/>
      </c>
      <c r="M111" s="18" t="str">
        <f t="array" ref="M111">IF(C111="","",IF(_xlfn.XLOOKUP(A111&amp;B111&amp;C111,盘货信息!$A:$A&amp;盘货信息!$B:$B&amp;盘货信息!$C:$C,盘货信息!$G:$G)="不参加","","焕新补贴优惠【全民可用，不限地址】"))</f>
        <v/>
      </c>
    </row>
    <row r="112" customHeight="1" spans="1:13">
      <c r="A112" s="17" t="str">
        <f>IF(盘货信息!A112="","",盘货信息!A112)</f>
        <v/>
      </c>
      <c r="B112" s="17" t="str">
        <f>IF(盘货信息!B112="","",盘货信息!B112)</f>
        <v/>
      </c>
      <c r="C112" s="18" t="str">
        <f>IF(盘货信息!C112="","",盘货信息!C112)</f>
        <v/>
      </c>
      <c r="D112" s="18" t="str">
        <f t="shared" si="1"/>
        <v/>
      </c>
      <c r="E112" s="18" t="str">
        <f t="array" ref="E112">IF(C112="","",IF(_xlfn.XLOOKUP(A112&amp;B112&amp;C112,盘货信息!$A:$A&amp;盘货信息!$B:$B&amp;盘货信息!$C:$C,盘货信息!$N:$N)="","【立减到手价"&amp;_xlfn.XLOOKUP(A112&amp;B112&amp;C112,盘货信息!$A:$A&amp;盘货信息!$B:$B&amp;盘货信息!$C:$C,盘货信息!$F:$F)&amp;"元】","【焕新补贴预估价"&amp;_xlfn.XLOOKUP(A112&amp;B112&amp;C112,盘货信息!$A:$A&amp;盘货信息!$B:$B&amp;盘货信息!$C:$C,盘货信息!$N:$N)&amp;"元】"))</f>
        <v/>
      </c>
      <c r="F112" s="18" t="str">
        <f t="array" ref="F112">IF(C112="","",_xlfn.XLOOKUP(A112&amp;B112&amp;C112,盘货信息!$A:$A&amp;盘货信息!$B:$B&amp;盘货信息!$C:$C,盘货信息!$E:$E)&amp;"元到手价")</f>
        <v/>
      </c>
      <c r="G112" s="18" t="str">
        <f t="array" ref="G112">IF(C112="","",IF(_xlfn.XLOOKUP(A112&amp;B112&amp;C112,盘货信息!$A:$A&amp;盘货信息!$B:$B&amp;盘货信息!$C:$C,盘货信息!$I:$I)="","","88VIP95折"))</f>
        <v/>
      </c>
      <c r="H112" s="18" t="str">
        <f t="array" ref="H112">IF(C112="","",IF(_xlfn.XLOOKUP(A112&amp;B112&amp;C112,盘货信息!$A:$A&amp;盘货信息!$B:$B&amp;盘货信息!$C:$C,盘货信息!$J:$J)="","",_xlfn.XLOOKUP(A112&amp;B112&amp;C112,盘货信息!$A:$A&amp;盘货信息!$B:$B&amp;盘货信息!$C:$C,盘货信息!$J:$J)&amp;"元优惠卷"))</f>
        <v/>
      </c>
      <c r="I112" s="18" t="str">
        <f t="array" ref="I112">IF(C112="","",IF(_xlfn.XLOOKUP(A112&amp;B112&amp;C112,盘货信息!$A:$A&amp;盘货信息!$B:$B&amp;盘货信息!$C:$C,盘货信息!$R:$R)="","",_xlfn.XLOOKUP(A112&amp;B112&amp;C112,盘货信息!$A:$A&amp;盘货信息!$B:$B&amp;盘货信息!$C:$C,盘货信息!$R:$R)&amp;"元优惠卷"))</f>
        <v/>
      </c>
      <c r="J112" s="18" t="str">
        <f t="array" ref="J112">IF(C112="","",IF(_xlfn.XLOOKUP(A112&amp;B112&amp;C112,盘货信息!$A:$A&amp;盘货信息!$B:$B&amp;盘货信息!$C:$C,盘货信息!$K:$K)="","",IF(OR(_xlfn.XLOOKUP(A112&amp;B112&amp;C112,盘货信息!$A:$A&amp;盘货信息!$B:$B&amp;盘货信息!$C:$C,盘货信息!$G:$G)="参加",_xlfn.XLOOKUP(A112&amp;B112&amp;C112,盘货信息!$A:$A&amp;盘货信息!$B:$B&amp;盘货信息!$C:$C,盘货信息!$H:$H)="1（纯自补）"),_xlfn.XLOOKUP(A112&amp;B112&amp;C112,盘货信息!$A:$A&amp;盘货信息!$B:$B&amp;盘货信息!$C:$C,盘货信息!$K:$K)&amp;"元以旧换新（可无旧机换新）","")))</f>
        <v/>
      </c>
      <c r="K112" s="18" t="str">
        <f t="array" ref="K112">IF(C112="","",IF(_xlfn.XLOOKUP(A112&amp;B112&amp;C112,盘货信息!$A:$A&amp;盘货信息!$B:$B&amp;盘货信息!$C:$C,盘货信息!$L:$L)="","",_xlfn.XLOOKUP(A112&amp;B112&amp;C112,盘货信息!$A:$A&amp;盘货信息!$B:$B&amp;盘货信息!$C:$C,盘货信息!$L:$L)&amp;"元限时补贴"))</f>
        <v/>
      </c>
      <c r="L112" s="18" t="str">
        <f t="array" ref="L112">IF(C112="","",IF(_xlfn.XLOOKUP(A112&amp;B112&amp;C112,盘货信息!$A:$A&amp;盘货信息!$B:$B&amp;盘货信息!$C:$C,盘货信息!$M:$M)="","",_xlfn.XLOOKUP(A112&amp;B112&amp;C112,盘货信息!$A:$A&amp;盘货信息!$B:$B&amp;盘货信息!$C:$C,盘货信息!$M:$M)&amp;"元消费券"))</f>
        <v/>
      </c>
      <c r="M112" s="18" t="str">
        <f t="array" ref="M112">IF(C112="","",IF(_xlfn.XLOOKUP(A112&amp;B112&amp;C112,盘货信息!$A:$A&amp;盘货信息!$B:$B&amp;盘货信息!$C:$C,盘货信息!$G:$G)="不参加","","焕新补贴优惠【全民可用，不限地址】"))</f>
        <v/>
      </c>
    </row>
    <row r="113" customHeight="1" spans="1:13">
      <c r="A113" s="17" t="str">
        <f>IF(盘货信息!A113="","",盘货信息!A113)</f>
        <v/>
      </c>
      <c r="B113" s="17" t="str">
        <f>IF(盘货信息!B113="","",盘货信息!B113)</f>
        <v/>
      </c>
      <c r="C113" s="18" t="str">
        <f>IF(盘货信息!C113="","",盘货信息!C113)</f>
        <v/>
      </c>
      <c r="D113" s="18" t="str">
        <f t="shared" si="1"/>
        <v/>
      </c>
      <c r="E113" s="18" t="str">
        <f t="array" ref="E113">IF(C113="","",IF(_xlfn.XLOOKUP(A113&amp;B113&amp;C113,盘货信息!$A:$A&amp;盘货信息!$B:$B&amp;盘货信息!$C:$C,盘货信息!$N:$N)="","【立减到手价"&amp;_xlfn.XLOOKUP(A113&amp;B113&amp;C113,盘货信息!$A:$A&amp;盘货信息!$B:$B&amp;盘货信息!$C:$C,盘货信息!$F:$F)&amp;"元】","【焕新补贴预估价"&amp;_xlfn.XLOOKUP(A113&amp;B113&amp;C113,盘货信息!$A:$A&amp;盘货信息!$B:$B&amp;盘货信息!$C:$C,盘货信息!$N:$N)&amp;"元】"))</f>
        <v/>
      </c>
      <c r="F113" s="18" t="str">
        <f t="array" ref="F113">IF(C113="","",_xlfn.XLOOKUP(A113&amp;B113&amp;C113,盘货信息!$A:$A&amp;盘货信息!$B:$B&amp;盘货信息!$C:$C,盘货信息!$E:$E)&amp;"元到手价")</f>
        <v/>
      </c>
      <c r="G113" s="18" t="str">
        <f t="array" ref="G113">IF(C113="","",IF(_xlfn.XLOOKUP(A113&amp;B113&amp;C113,盘货信息!$A:$A&amp;盘货信息!$B:$B&amp;盘货信息!$C:$C,盘货信息!$I:$I)="","","88VIP95折"))</f>
        <v/>
      </c>
      <c r="H113" s="18" t="str">
        <f t="array" ref="H113">IF(C113="","",IF(_xlfn.XLOOKUP(A113&amp;B113&amp;C113,盘货信息!$A:$A&amp;盘货信息!$B:$B&amp;盘货信息!$C:$C,盘货信息!$J:$J)="","",_xlfn.XLOOKUP(A113&amp;B113&amp;C113,盘货信息!$A:$A&amp;盘货信息!$B:$B&amp;盘货信息!$C:$C,盘货信息!$J:$J)&amp;"元优惠卷"))</f>
        <v/>
      </c>
      <c r="I113" s="18" t="str">
        <f t="array" ref="I113">IF(C113="","",IF(_xlfn.XLOOKUP(A113&amp;B113&amp;C113,盘货信息!$A:$A&amp;盘货信息!$B:$B&amp;盘货信息!$C:$C,盘货信息!$R:$R)="","",_xlfn.XLOOKUP(A113&amp;B113&amp;C113,盘货信息!$A:$A&amp;盘货信息!$B:$B&amp;盘货信息!$C:$C,盘货信息!$R:$R)&amp;"元优惠卷"))</f>
        <v/>
      </c>
      <c r="J113" s="18" t="str">
        <f t="array" ref="J113">IF(C113="","",IF(_xlfn.XLOOKUP(A113&amp;B113&amp;C113,盘货信息!$A:$A&amp;盘货信息!$B:$B&amp;盘货信息!$C:$C,盘货信息!$K:$K)="","",IF(OR(_xlfn.XLOOKUP(A113&amp;B113&amp;C113,盘货信息!$A:$A&amp;盘货信息!$B:$B&amp;盘货信息!$C:$C,盘货信息!$G:$G)="参加",_xlfn.XLOOKUP(A113&amp;B113&amp;C113,盘货信息!$A:$A&amp;盘货信息!$B:$B&amp;盘货信息!$C:$C,盘货信息!$H:$H)="1（纯自补）"),_xlfn.XLOOKUP(A113&amp;B113&amp;C113,盘货信息!$A:$A&amp;盘货信息!$B:$B&amp;盘货信息!$C:$C,盘货信息!$K:$K)&amp;"元以旧换新（可无旧机换新）","")))</f>
        <v/>
      </c>
      <c r="K113" s="18" t="str">
        <f t="array" ref="K113">IF(C113="","",IF(_xlfn.XLOOKUP(A113&amp;B113&amp;C113,盘货信息!$A:$A&amp;盘货信息!$B:$B&amp;盘货信息!$C:$C,盘货信息!$L:$L)="","",_xlfn.XLOOKUP(A113&amp;B113&amp;C113,盘货信息!$A:$A&amp;盘货信息!$B:$B&amp;盘货信息!$C:$C,盘货信息!$L:$L)&amp;"元限时补贴"))</f>
        <v/>
      </c>
      <c r="L113" s="18" t="str">
        <f t="array" ref="L113">IF(C113="","",IF(_xlfn.XLOOKUP(A113&amp;B113&amp;C113,盘货信息!$A:$A&amp;盘货信息!$B:$B&amp;盘货信息!$C:$C,盘货信息!$M:$M)="","",_xlfn.XLOOKUP(A113&amp;B113&amp;C113,盘货信息!$A:$A&amp;盘货信息!$B:$B&amp;盘货信息!$C:$C,盘货信息!$M:$M)&amp;"元消费券"))</f>
        <v/>
      </c>
      <c r="M113" s="18" t="str">
        <f t="array" ref="M113">IF(C113="","",IF(_xlfn.XLOOKUP(A113&amp;B113&amp;C113,盘货信息!$A:$A&amp;盘货信息!$B:$B&amp;盘货信息!$C:$C,盘货信息!$G:$G)="不参加","","焕新补贴优惠【全民可用，不限地址】"))</f>
        <v/>
      </c>
    </row>
    <row r="114" customHeight="1" spans="1:13">
      <c r="A114" s="17" t="str">
        <f>IF(盘货信息!A114="","",盘货信息!A114)</f>
        <v/>
      </c>
      <c r="B114" s="17" t="str">
        <f>IF(盘货信息!B114="","",盘货信息!B114)</f>
        <v/>
      </c>
      <c r="C114" s="20" t="str">
        <f>IF(盘货信息!C114="","",盘货信息!C114)</f>
        <v/>
      </c>
      <c r="D114" s="18" t="str">
        <f t="shared" si="1"/>
        <v/>
      </c>
      <c r="E114" s="18" t="str">
        <f t="array" ref="E114">IF(C114="","",IF(_xlfn.XLOOKUP(A114&amp;B114&amp;C114,盘货信息!$A:$A&amp;盘货信息!$B:$B&amp;盘货信息!$C:$C,盘货信息!$N:$N)="","【立减到手价"&amp;_xlfn.XLOOKUP(A114&amp;B114&amp;C114,盘货信息!$A:$A&amp;盘货信息!$B:$B&amp;盘货信息!$C:$C,盘货信息!$F:$F)&amp;"元】","【焕新补贴预估价"&amp;_xlfn.XLOOKUP(A114&amp;B114&amp;C114,盘货信息!$A:$A&amp;盘货信息!$B:$B&amp;盘货信息!$C:$C,盘货信息!$N:$N)&amp;"元】"))</f>
        <v/>
      </c>
      <c r="F114" s="18" t="str">
        <f t="array" ref="F114">IF(C114="","",_xlfn.XLOOKUP(A114&amp;B114&amp;C114,盘货信息!$A:$A&amp;盘货信息!$B:$B&amp;盘货信息!$C:$C,盘货信息!$E:$E)&amp;"元到手价")</f>
        <v/>
      </c>
      <c r="G114" s="18" t="str">
        <f t="array" ref="G114">IF(C114="","",IF(_xlfn.XLOOKUP(A114&amp;B114&amp;C114,盘货信息!$A:$A&amp;盘货信息!$B:$B&amp;盘货信息!$C:$C,盘货信息!$I:$I)="","","88VIP95折"))</f>
        <v/>
      </c>
      <c r="H114" s="18" t="str">
        <f t="array" ref="H114">IF(C114="","",IF(_xlfn.XLOOKUP(A114&amp;B114&amp;C114,盘货信息!$A:$A&amp;盘货信息!$B:$B&amp;盘货信息!$C:$C,盘货信息!$J:$J)="","",_xlfn.XLOOKUP(A114&amp;B114&amp;C114,盘货信息!$A:$A&amp;盘货信息!$B:$B&amp;盘货信息!$C:$C,盘货信息!$J:$J)&amp;"元优惠卷"))</f>
        <v/>
      </c>
      <c r="I114" s="18" t="str">
        <f t="array" ref="I114">IF(C114="","",IF(_xlfn.XLOOKUP(A114&amp;B114&amp;C114,盘货信息!$A:$A&amp;盘货信息!$B:$B&amp;盘货信息!$C:$C,盘货信息!$R:$R)="","",_xlfn.XLOOKUP(A114&amp;B114&amp;C114,盘货信息!$A:$A&amp;盘货信息!$B:$B&amp;盘货信息!$C:$C,盘货信息!$R:$R)&amp;"元优惠卷"))</f>
        <v/>
      </c>
      <c r="J114" s="18" t="str">
        <f t="array" ref="J114">IF(C114="","",IF(_xlfn.XLOOKUP(A114&amp;B114&amp;C114,盘货信息!$A:$A&amp;盘货信息!$B:$B&amp;盘货信息!$C:$C,盘货信息!$K:$K)="","",IF(OR(_xlfn.XLOOKUP(A114&amp;B114&amp;C114,盘货信息!$A:$A&amp;盘货信息!$B:$B&amp;盘货信息!$C:$C,盘货信息!$G:$G)="参加",_xlfn.XLOOKUP(A114&amp;B114&amp;C114,盘货信息!$A:$A&amp;盘货信息!$B:$B&amp;盘货信息!$C:$C,盘货信息!$H:$H)="1（纯自补）"),_xlfn.XLOOKUP(A114&amp;B114&amp;C114,盘货信息!$A:$A&amp;盘货信息!$B:$B&amp;盘货信息!$C:$C,盘货信息!$K:$K)&amp;"元以旧换新（可无旧机换新）","")))</f>
        <v/>
      </c>
      <c r="K114" s="18" t="str">
        <f t="array" ref="K114">IF(C114="","",IF(_xlfn.XLOOKUP(A114&amp;B114&amp;C114,盘货信息!$A:$A&amp;盘货信息!$B:$B&amp;盘货信息!$C:$C,盘货信息!$L:$L)="","",_xlfn.XLOOKUP(A114&amp;B114&amp;C114,盘货信息!$A:$A&amp;盘货信息!$B:$B&amp;盘货信息!$C:$C,盘货信息!$L:$L)&amp;"元限时补贴"))</f>
        <v/>
      </c>
      <c r="L114" s="18" t="str">
        <f t="array" ref="L114">IF(C114="","",IF(_xlfn.XLOOKUP(A114&amp;B114&amp;C114,盘货信息!$A:$A&amp;盘货信息!$B:$B&amp;盘货信息!$C:$C,盘货信息!$M:$M)="","",_xlfn.XLOOKUP(A114&amp;B114&amp;C114,盘货信息!$A:$A&amp;盘货信息!$B:$B&amp;盘货信息!$C:$C,盘货信息!$M:$M)&amp;"元消费券"))</f>
        <v/>
      </c>
      <c r="M114" s="18" t="str">
        <f t="array" ref="M114">IF(C114="","",IF(_xlfn.XLOOKUP(A114&amp;B114&amp;C114,盘货信息!$A:$A&amp;盘货信息!$B:$B&amp;盘货信息!$C:$C,盘货信息!$G:$G)="不参加","","焕新补贴优惠【全民可用，不限地址】"))</f>
        <v/>
      </c>
    </row>
    <row r="115" customHeight="1" spans="1:13">
      <c r="A115" s="17" t="str">
        <f>IF(盘货信息!A115="","",盘货信息!A115)</f>
        <v/>
      </c>
      <c r="B115" s="17" t="str">
        <f>IF(盘货信息!B115="","",盘货信息!B115)</f>
        <v/>
      </c>
      <c r="C115" s="20" t="str">
        <f>IF(盘货信息!C115="","",盘货信息!C115)</f>
        <v/>
      </c>
      <c r="D115" s="18" t="str">
        <f t="shared" si="1"/>
        <v/>
      </c>
      <c r="E115" s="18" t="str">
        <f t="array" ref="E115">IF(C115="","",IF(_xlfn.XLOOKUP(A115&amp;B115&amp;C115,盘货信息!$A:$A&amp;盘货信息!$B:$B&amp;盘货信息!$C:$C,盘货信息!$N:$N)="","【立减到手价"&amp;_xlfn.XLOOKUP(A115&amp;B115&amp;C115,盘货信息!$A:$A&amp;盘货信息!$B:$B&amp;盘货信息!$C:$C,盘货信息!$F:$F)&amp;"元】","【焕新补贴预估价"&amp;_xlfn.XLOOKUP(A115&amp;B115&amp;C115,盘货信息!$A:$A&amp;盘货信息!$B:$B&amp;盘货信息!$C:$C,盘货信息!$N:$N)&amp;"元】"))</f>
        <v/>
      </c>
      <c r="F115" s="18" t="str">
        <f t="array" ref="F115">IF(C115="","",_xlfn.XLOOKUP(A115&amp;B115&amp;C115,盘货信息!$A:$A&amp;盘货信息!$B:$B&amp;盘货信息!$C:$C,盘货信息!$E:$E)&amp;"元到手价")</f>
        <v/>
      </c>
      <c r="G115" s="18" t="str">
        <f t="array" ref="G115">IF(C115="","",IF(_xlfn.XLOOKUP(A115&amp;B115&amp;C115,盘货信息!$A:$A&amp;盘货信息!$B:$B&amp;盘货信息!$C:$C,盘货信息!$I:$I)="","","88VIP95折"))</f>
        <v/>
      </c>
      <c r="H115" s="18" t="str">
        <f t="array" ref="H115">IF(C115="","",IF(_xlfn.XLOOKUP(A115&amp;B115&amp;C115,盘货信息!$A:$A&amp;盘货信息!$B:$B&amp;盘货信息!$C:$C,盘货信息!$J:$J)="","",_xlfn.XLOOKUP(A115&amp;B115&amp;C115,盘货信息!$A:$A&amp;盘货信息!$B:$B&amp;盘货信息!$C:$C,盘货信息!$J:$J)&amp;"元优惠卷"))</f>
        <v/>
      </c>
      <c r="I115" s="18" t="str">
        <f t="array" ref="I115">IF(C115="","",IF(_xlfn.XLOOKUP(A115&amp;B115&amp;C115,盘货信息!$A:$A&amp;盘货信息!$B:$B&amp;盘货信息!$C:$C,盘货信息!$R:$R)="","",_xlfn.XLOOKUP(A115&amp;B115&amp;C115,盘货信息!$A:$A&amp;盘货信息!$B:$B&amp;盘货信息!$C:$C,盘货信息!$R:$R)&amp;"元优惠卷"))</f>
        <v/>
      </c>
      <c r="J115" s="18" t="str">
        <f t="array" ref="J115">IF(C115="","",IF(_xlfn.XLOOKUP(A115&amp;B115&amp;C115,盘货信息!$A:$A&amp;盘货信息!$B:$B&amp;盘货信息!$C:$C,盘货信息!$K:$K)="","",IF(OR(_xlfn.XLOOKUP(A115&amp;B115&amp;C115,盘货信息!$A:$A&amp;盘货信息!$B:$B&amp;盘货信息!$C:$C,盘货信息!$G:$G)="参加",_xlfn.XLOOKUP(A115&amp;B115&amp;C115,盘货信息!$A:$A&amp;盘货信息!$B:$B&amp;盘货信息!$C:$C,盘货信息!$H:$H)="1（纯自补）"),_xlfn.XLOOKUP(A115&amp;B115&amp;C115,盘货信息!$A:$A&amp;盘货信息!$B:$B&amp;盘货信息!$C:$C,盘货信息!$K:$K)&amp;"元以旧换新（可无旧机换新）","")))</f>
        <v/>
      </c>
      <c r="K115" s="18" t="str">
        <f t="array" ref="K115">IF(C115="","",IF(_xlfn.XLOOKUP(A115&amp;B115&amp;C115,盘货信息!$A:$A&amp;盘货信息!$B:$B&amp;盘货信息!$C:$C,盘货信息!$L:$L)="","",_xlfn.XLOOKUP(A115&amp;B115&amp;C115,盘货信息!$A:$A&amp;盘货信息!$B:$B&amp;盘货信息!$C:$C,盘货信息!$L:$L)&amp;"元限时补贴"))</f>
        <v/>
      </c>
      <c r="L115" s="18" t="str">
        <f t="array" ref="L115">IF(C115="","",IF(_xlfn.XLOOKUP(A115&amp;B115&amp;C115,盘货信息!$A:$A&amp;盘货信息!$B:$B&amp;盘货信息!$C:$C,盘货信息!$M:$M)="","",_xlfn.XLOOKUP(A115&amp;B115&amp;C115,盘货信息!$A:$A&amp;盘货信息!$B:$B&amp;盘货信息!$C:$C,盘货信息!$M:$M)&amp;"元消费券"))</f>
        <v/>
      </c>
      <c r="M115" s="18" t="str">
        <f t="array" ref="M115">IF(C115="","",IF(_xlfn.XLOOKUP(A115&amp;B115&amp;C115,盘货信息!$A:$A&amp;盘货信息!$B:$B&amp;盘货信息!$C:$C,盘货信息!$G:$G)="不参加","","焕新补贴优惠【全民可用，不限地址】"))</f>
        <v/>
      </c>
    </row>
    <row r="116" customHeight="1" spans="1:13">
      <c r="A116" s="17" t="str">
        <f>IF(盘货信息!A116="","",盘货信息!A116)</f>
        <v/>
      </c>
      <c r="B116" s="17" t="str">
        <f>IF(盘货信息!B116="","",盘货信息!B116)</f>
        <v/>
      </c>
      <c r="C116" s="20" t="str">
        <f>IF(盘货信息!C116="","",盘货信息!C116)</f>
        <v/>
      </c>
      <c r="D116" s="18" t="str">
        <f t="shared" si="1"/>
        <v/>
      </c>
      <c r="E116" s="18" t="str">
        <f t="array" ref="E116">IF(C116="","",IF(_xlfn.XLOOKUP(A116&amp;B116&amp;C116,盘货信息!$A:$A&amp;盘货信息!$B:$B&amp;盘货信息!$C:$C,盘货信息!$N:$N)="","【立减到手价"&amp;_xlfn.XLOOKUP(A116&amp;B116&amp;C116,盘货信息!$A:$A&amp;盘货信息!$B:$B&amp;盘货信息!$C:$C,盘货信息!$F:$F)&amp;"元】","【焕新补贴预估价"&amp;_xlfn.XLOOKUP(A116&amp;B116&amp;C116,盘货信息!$A:$A&amp;盘货信息!$B:$B&amp;盘货信息!$C:$C,盘货信息!$N:$N)&amp;"元】"))</f>
        <v/>
      </c>
      <c r="F116" s="18" t="str">
        <f t="array" ref="F116">IF(C116="","",_xlfn.XLOOKUP(A116&amp;B116&amp;C116,盘货信息!$A:$A&amp;盘货信息!$B:$B&amp;盘货信息!$C:$C,盘货信息!$E:$E)&amp;"元到手价")</f>
        <v/>
      </c>
      <c r="G116" s="18" t="str">
        <f t="array" ref="G116">IF(C116="","",IF(_xlfn.XLOOKUP(A116&amp;B116&amp;C116,盘货信息!$A:$A&amp;盘货信息!$B:$B&amp;盘货信息!$C:$C,盘货信息!$I:$I)="","","88VIP95折"))</f>
        <v/>
      </c>
      <c r="H116" s="18" t="str">
        <f t="array" ref="H116">IF(C116="","",IF(_xlfn.XLOOKUP(A116&amp;B116&amp;C116,盘货信息!$A:$A&amp;盘货信息!$B:$B&amp;盘货信息!$C:$C,盘货信息!$J:$J)="","",_xlfn.XLOOKUP(A116&amp;B116&amp;C116,盘货信息!$A:$A&amp;盘货信息!$B:$B&amp;盘货信息!$C:$C,盘货信息!$J:$J)&amp;"元优惠卷"))</f>
        <v/>
      </c>
      <c r="I116" s="18" t="str">
        <f t="array" ref="I116">IF(C116="","",IF(_xlfn.XLOOKUP(A116&amp;B116&amp;C116,盘货信息!$A:$A&amp;盘货信息!$B:$B&amp;盘货信息!$C:$C,盘货信息!$R:$R)="","",_xlfn.XLOOKUP(A116&amp;B116&amp;C116,盘货信息!$A:$A&amp;盘货信息!$B:$B&amp;盘货信息!$C:$C,盘货信息!$R:$R)&amp;"元优惠卷"))</f>
        <v/>
      </c>
      <c r="J116" s="18" t="str">
        <f t="array" ref="J116">IF(C116="","",IF(_xlfn.XLOOKUP(A116&amp;B116&amp;C116,盘货信息!$A:$A&amp;盘货信息!$B:$B&amp;盘货信息!$C:$C,盘货信息!$K:$K)="","",IF(OR(_xlfn.XLOOKUP(A116&amp;B116&amp;C116,盘货信息!$A:$A&amp;盘货信息!$B:$B&amp;盘货信息!$C:$C,盘货信息!$G:$G)="参加",_xlfn.XLOOKUP(A116&amp;B116&amp;C116,盘货信息!$A:$A&amp;盘货信息!$B:$B&amp;盘货信息!$C:$C,盘货信息!$H:$H)="1（纯自补）"),_xlfn.XLOOKUP(A116&amp;B116&amp;C116,盘货信息!$A:$A&amp;盘货信息!$B:$B&amp;盘货信息!$C:$C,盘货信息!$K:$K)&amp;"元以旧换新（可无旧机换新）","")))</f>
        <v/>
      </c>
      <c r="K116" s="18" t="str">
        <f t="array" ref="K116">IF(C116="","",IF(_xlfn.XLOOKUP(A116&amp;B116&amp;C116,盘货信息!$A:$A&amp;盘货信息!$B:$B&amp;盘货信息!$C:$C,盘货信息!$L:$L)="","",_xlfn.XLOOKUP(A116&amp;B116&amp;C116,盘货信息!$A:$A&amp;盘货信息!$B:$B&amp;盘货信息!$C:$C,盘货信息!$L:$L)&amp;"元限时补贴"))</f>
        <v/>
      </c>
      <c r="L116" s="18" t="str">
        <f t="array" ref="L116">IF(C116="","",IF(_xlfn.XLOOKUP(A116&amp;B116&amp;C116,盘货信息!$A:$A&amp;盘货信息!$B:$B&amp;盘货信息!$C:$C,盘货信息!$M:$M)="","",_xlfn.XLOOKUP(A116&amp;B116&amp;C116,盘货信息!$A:$A&amp;盘货信息!$B:$B&amp;盘货信息!$C:$C,盘货信息!$M:$M)&amp;"元消费券"))</f>
        <v/>
      </c>
      <c r="M116" s="18" t="str">
        <f t="array" ref="M116">IF(C116="","",IF(_xlfn.XLOOKUP(A116&amp;B116&amp;C116,盘货信息!$A:$A&amp;盘货信息!$B:$B&amp;盘货信息!$C:$C,盘货信息!$G:$G)="不参加","","焕新补贴优惠【全民可用，不限地址】"))</f>
        <v/>
      </c>
    </row>
    <row r="117" customHeight="1" spans="1:13">
      <c r="A117" s="17" t="str">
        <f>IF(盘货信息!A117="","",盘货信息!A117)</f>
        <v/>
      </c>
      <c r="B117" s="17" t="str">
        <f>IF(盘货信息!B117="","",盘货信息!B117)</f>
        <v/>
      </c>
      <c r="C117" s="21" t="str">
        <f>IF(盘货信息!C117="","",盘货信息!C117)</f>
        <v/>
      </c>
      <c r="D117" s="18" t="str">
        <f t="shared" si="1"/>
        <v/>
      </c>
      <c r="E117" s="18" t="str">
        <f t="array" ref="E117">IF(C117="","",IF(_xlfn.XLOOKUP(A117&amp;B117&amp;C117,盘货信息!$A:$A&amp;盘货信息!$B:$B&amp;盘货信息!$C:$C,盘货信息!$N:$N)="","【立减到手价"&amp;_xlfn.XLOOKUP(A117&amp;B117&amp;C117,盘货信息!$A:$A&amp;盘货信息!$B:$B&amp;盘货信息!$C:$C,盘货信息!$F:$F)&amp;"元】","【焕新补贴预估价"&amp;_xlfn.XLOOKUP(A117&amp;B117&amp;C117,盘货信息!$A:$A&amp;盘货信息!$B:$B&amp;盘货信息!$C:$C,盘货信息!$N:$N)&amp;"元】"))</f>
        <v/>
      </c>
      <c r="F117" s="18" t="str">
        <f t="array" ref="F117">IF(C117="","",_xlfn.XLOOKUP(A117&amp;B117&amp;C117,盘货信息!$A:$A&amp;盘货信息!$B:$B&amp;盘货信息!$C:$C,盘货信息!$E:$E)&amp;"元到手价")</f>
        <v/>
      </c>
      <c r="G117" s="18" t="str">
        <f t="array" ref="G117">IF(C117="","",IF(_xlfn.XLOOKUP(A117&amp;B117&amp;C117,盘货信息!$A:$A&amp;盘货信息!$B:$B&amp;盘货信息!$C:$C,盘货信息!$I:$I)="","","88VIP95折"))</f>
        <v/>
      </c>
      <c r="H117" s="18" t="str">
        <f t="array" ref="H117">IF(C117="","",IF(_xlfn.XLOOKUP(A117&amp;B117&amp;C117,盘货信息!$A:$A&amp;盘货信息!$B:$B&amp;盘货信息!$C:$C,盘货信息!$J:$J)="","",_xlfn.XLOOKUP(A117&amp;B117&amp;C117,盘货信息!$A:$A&amp;盘货信息!$B:$B&amp;盘货信息!$C:$C,盘货信息!$J:$J)&amp;"元优惠卷"))</f>
        <v/>
      </c>
      <c r="I117" s="18" t="str">
        <f t="array" ref="I117">IF(C117="","",IF(_xlfn.XLOOKUP(A117&amp;B117&amp;C117,盘货信息!$A:$A&amp;盘货信息!$B:$B&amp;盘货信息!$C:$C,盘货信息!$R:$R)="","",_xlfn.XLOOKUP(A117&amp;B117&amp;C117,盘货信息!$A:$A&amp;盘货信息!$B:$B&amp;盘货信息!$C:$C,盘货信息!$R:$R)&amp;"元优惠卷"))</f>
        <v/>
      </c>
      <c r="J117" s="18" t="str">
        <f t="array" ref="J117">IF(C117="","",IF(_xlfn.XLOOKUP(A117&amp;B117&amp;C117,盘货信息!$A:$A&amp;盘货信息!$B:$B&amp;盘货信息!$C:$C,盘货信息!$K:$K)="","",IF(OR(_xlfn.XLOOKUP(A117&amp;B117&amp;C117,盘货信息!$A:$A&amp;盘货信息!$B:$B&amp;盘货信息!$C:$C,盘货信息!$G:$G)="参加",_xlfn.XLOOKUP(A117&amp;B117&amp;C117,盘货信息!$A:$A&amp;盘货信息!$B:$B&amp;盘货信息!$C:$C,盘货信息!$H:$H)="1（纯自补）"),_xlfn.XLOOKUP(A117&amp;B117&amp;C117,盘货信息!$A:$A&amp;盘货信息!$B:$B&amp;盘货信息!$C:$C,盘货信息!$K:$K)&amp;"元以旧换新（可无旧机换新）","")))</f>
        <v/>
      </c>
      <c r="K117" s="18" t="str">
        <f t="array" ref="K117">IF(C117="","",IF(_xlfn.XLOOKUP(A117&amp;B117&amp;C117,盘货信息!$A:$A&amp;盘货信息!$B:$B&amp;盘货信息!$C:$C,盘货信息!$L:$L)="","",_xlfn.XLOOKUP(A117&amp;B117&amp;C117,盘货信息!$A:$A&amp;盘货信息!$B:$B&amp;盘货信息!$C:$C,盘货信息!$L:$L)&amp;"元限时补贴"))</f>
        <v/>
      </c>
      <c r="L117" s="18" t="str">
        <f t="array" ref="L117">IF(C117="","",IF(_xlfn.XLOOKUP(A117&amp;B117&amp;C117,盘货信息!$A:$A&amp;盘货信息!$B:$B&amp;盘货信息!$C:$C,盘货信息!$M:$M)="","",_xlfn.XLOOKUP(A117&amp;B117&amp;C117,盘货信息!$A:$A&amp;盘货信息!$B:$B&amp;盘货信息!$C:$C,盘货信息!$M:$M)&amp;"元消费券"))</f>
        <v/>
      </c>
      <c r="M117" s="18" t="str">
        <f t="array" ref="M117">IF(C117="","",IF(_xlfn.XLOOKUP(A117&amp;B117&amp;C117,盘货信息!$A:$A&amp;盘货信息!$B:$B&amp;盘货信息!$C:$C,盘货信息!$G:$G)="不参加","","焕新补贴优惠【全民可用，不限地址】"))</f>
        <v/>
      </c>
    </row>
    <row r="118" customHeight="1" spans="1:13">
      <c r="A118" s="17" t="str">
        <f>IF(盘货信息!A118="","",盘货信息!A118)</f>
        <v/>
      </c>
      <c r="B118" s="17" t="str">
        <f>IF(盘货信息!B118="","",盘货信息!B118)</f>
        <v/>
      </c>
      <c r="C118" s="20" t="str">
        <f>IF(盘货信息!C118="","",盘货信息!C118)</f>
        <v/>
      </c>
      <c r="D118" s="18" t="str">
        <f t="shared" si="1"/>
        <v/>
      </c>
      <c r="E118" s="18" t="str">
        <f t="array" ref="E118">IF(C118="","",IF(_xlfn.XLOOKUP(A118&amp;B118&amp;C118,盘货信息!$A:$A&amp;盘货信息!$B:$B&amp;盘货信息!$C:$C,盘货信息!$N:$N)="","【立减到手价"&amp;_xlfn.XLOOKUP(A118&amp;B118&amp;C118,盘货信息!$A:$A&amp;盘货信息!$B:$B&amp;盘货信息!$C:$C,盘货信息!$F:$F)&amp;"元】","【焕新补贴预估价"&amp;_xlfn.XLOOKUP(A118&amp;B118&amp;C118,盘货信息!$A:$A&amp;盘货信息!$B:$B&amp;盘货信息!$C:$C,盘货信息!$N:$N)&amp;"元】"))</f>
        <v/>
      </c>
      <c r="F118" s="18" t="str">
        <f t="array" ref="F118">IF(C118="","",_xlfn.XLOOKUP(A118&amp;B118&amp;C118,盘货信息!$A:$A&amp;盘货信息!$B:$B&amp;盘货信息!$C:$C,盘货信息!$E:$E)&amp;"元到手价")</f>
        <v/>
      </c>
      <c r="G118" s="18" t="str">
        <f t="array" ref="G118">IF(C118="","",IF(_xlfn.XLOOKUP(A118&amp;B118&amp;C118,盘货信息!$A:$A&amp;盘货信息!$B:$B&amp;盘货信息!$C:$C,盘货信息!$I:$I)="","","88VIP95折"))</f>
        <v/>
      </c>
      <c r="H118" s="18" t="str">
        <f t="array" ref="H118">IF(C118="","",IF(_xlfn.XLOOKUP(A118&amp;B118&amp;C118,盘货信息!$A:$A&amp;盘货信息!$B:$B&amp;盘货信息!$C:$C,盘货信息!$J:$J)="","",_xlfn.XLOOKUP(A118&amp;B118&amp;C118,盘货信息!$A:$A&amp;盘货信息!$B:$B&amp;盘货信息!$C:$C,盘货信息!$J:$J)&amp;"元优惠卷"))</f>
        <v/>
      </c>
      <c r="I118" s="18" t="str">
        <f t="array" ref="I118">IF(C118="","",IF(_xlfn.XLOOKUP(A118&amp;B118&amp;C118,盘货信息!$A:$A&amp;盘货信息!$B:$B&amp;盘货信息!$C:$C,盘货信息!$R:$R)="","",_xlfn.XLOOKUP(A118&amp;B118&amp;C118,盘货信息!$A:$A&amp;盘货信息!$B:$B&amp;盘货信息!$C:$C,盘货信息!$R:$R)&amp;"元优惠卷"))</f>
        <v/>
      </c>
      <c r="J118" s="18" t="str">
        <f t="array" ref="J118">IF(C118="","",IF(_xlfn.XLOOKUP(A118&amp;B118&amp;C118,盘货信息!$A:$A&amp;盘货信息!$B:$B&amp;盘货信息!$C:$C,盘货信息!$K:$K)="","",IF(OR(_xlfn.XLOOKUP(A118&amp;B118&amp;C118,盘货信息!$A:$A&amp;盘货信息!$B:$B&amp;盘货信息!$C:$C,盘货信息!$G:$G)="参加",_xlfn.XLOOKUP(A118&amp;B118&amp;C118,盘货信息!$A:$A&amp;盘货信息!$B:$B&amp;盘货信息!$C:$C,盘货信息!$H:$H)="1（纯自补）"),_xlfn.XLOOKUP(A118&amp;B118&amp;C118,盘货信息!$A:$A&amp;盘货信息!$B:$B&amp;盘货信息!$C:$C,盘货信息!$K:$K)&amp;"元以旧换新（可无旧机换新）","")))</f>
        <v/>
      </c>
      <c r="K118" s="18" t="str">
        <f t="array" ref="K118">IF(C118="","",IF(_xlfn.XLOOKUP(A118&amp;B118&amp;C118,盘货信息!$A:$A&amp;盘货信息!$B:$B&amp;盘货信息!$C:$C,盘货信息!$L:$L)="","",_xlfn.XLOOKUP(A118&amp;B118&amp;C118,盘货信息!$A:$A&amp;盘货信息!$B:$B&amp;盘货信息!$C:$C,盘货信息!$L:$L)&amp;"元限时补贴"))</f>
        <v/>
      </c>
      <c r="L118" s="18" t="str">
        <f t="array" ref="L118">IF(C118="","",IF(_xlfn.XLOOKUP(A118&amp;B118&amp;C118,盘货信息!$A:$A&amp;盘货信息!$B:$B&amp;盘货信息!$C:$C,盘货信息!$M:$M)="","",_xlfn.XLOOKUP(A118&amp;B118&amp;C118,盘货信息!$A:$A&amp;盘货信息!$B:$B&amp;盘货信息!$C:$C,盘货信息!$M:$M)&amp;"元消费券"))</f>
        <v/>
      </c>
      <c r="M118" s="18" t="str">
        <f t="array" ref="M118">IF(C118="","",IF(_xlfn.XLOOKUP(A118&amp;B118&amp;C118,盘货信息!$A:$A&amp;盘货信息!$B:$B&amp;盘货信息!$C:$C,盘货信息!$G:$G)="不参加","","焕新补贴优惠【全民可用，不限地址】"))</f>
        <v/>
      </c>
    </row>
    <row r="119" customHeight="1" spans="1:13">
      <c r="A119" s="17" t="str">
        <f>IF(盘货信息!A119="","",盘货信息!A119)</f>
        <v/>
      </c>
      <c r="B119" s="17" t="str">
        <f>IF(盘货信息!B119="","",盘货信息!B119)</f>
        <v/>
      </c>
      <c r="C119" s="20" t="str">
        <f>IF(盘货信息!C119="","",盘货信息!C119)</f>
        <v/>
      </c>
      <c r="D119" s="18" t="str">
        <f t="shared" si="1"/>
        <v/>
      </c>
      <c r="E119" s="18" t="str">
        <f t="array" ref="E119">IF(C119="","",IF(_xlfn.XLOOKUP(A119&amp;B119&amp;C119,盘货信息!$A:$A&amp;盘货信息!$B:$B&amp;盘货信息!$C:$C,盘货信息!$N:$N)="","【立减到手价"&amp;_xlfn.XLOOKUP(A119&amp;B119&amp;C119,盘货信息!$A:$A&amp;盘货信息!$B:$B&amp;盘货信息!$C:$C,盘货信息!$F:$F)&amp;"元】","【焕新补贴预估价"&amp;_xlfn.XLOOKUP(A119&amp;B119&amp;C119,盘货信息!$A:$A&amp;盘货信息!$B:$B&amp;盘货信息!$C:$C,盘货信息!$N:$N)&amp;"元】"))</f>
        <v/>
      </c>
      <c r="F119" s="18" t="str">
        <f t="array" ref="F119">IF(C119="","",_xlfn.XLOOKUP(A119&amp;B119&amp;C119,盘货信息!$A:$A&amp;盘货信息!$B:$B&amp;盘货信息!$C:$C,盘货信息!$E:$E)&amp;"元到手价")</f>
        <v/>
      </c>
      <c r="G119" s="18" t="str">
        <f t="array" ref="G119">IF(C119="","",IF(_xlfn.XLOOKUP(A119&amp;B119&amp;C119,盘货信息!$A:$A&amp;盘货信息!$B:$B&amp;盘货信息!$C:$C,盘货信息!$I:$I)="","","88VIP95折"))</f>
        <v/>
      </c>
      <c r="H119" s="18" t="str">
        <f t="array" ref="H119">IF(C119="","",IF(_xlfn.XLOOKUP(A119&amp;B119&amp;C119,盘货信息!$A:$A&amp;盘货信息!$B:$B&amp;盘货信息!$C:$C,盘货信息!$J:$J)="","",_xlfn.XLOOKUP(A119&amp;B119&amp;C119,盘货信息!$A:$A&amp;盘货信息!$B:$B&amp;盘货信息!$C:$C,盘货信息!$J:$J)&amp;"元优惠卷"))</f>
        <v/>
      </c>
      <c r="I119" s="18" t="str">
        <f t="array" ref="I119">IF(C119="","",IF(_xlfn.XLOOKUP(A119&amp;B119&amp;C119,盘货信息!$A:$A&amp;盘货信息!$B:$B&amp;盘货信息!$C:$C,盘货信息!$R:$R)="","",_xlfn.XLOOKUP(A119&amp;B119&amp;C119,盘货信息!$A:$A&amp;盘货信息!$B:$B&amp;盘货信息!$C:$C,盘货信息!$R:$R)&amp;"元优惠卷"))</f>
        <v/>
      </c>
      <c r="J119" s="18" t="str">
        <f t="array" ref="J119">IF(C119="","",IF(_xlfn.XLOOKUP(A119&amp;B119&amp;C119,盘货信息!$A:$A&amp;盘货信息!$B:$B&amp;盘货信息!$C:$C,盘货信息!$K:$K)="","",IF(OR(_xlfn.XLOOKUP(A119&amp;B119&amp;C119,盘货信息!$A:$A&amp;盘货信息!$B:$B&amp;盘货信息!$C:$C,盘货信息!$G:$G)="参加",_xlfn.XLOOKUP(A119&amp;B119&amp;C119,盘货信息!$A:$A&amp;盘货信息!$B:$B&amp;盘货信息!$C:$C,盘货信息!$H:$H)="1（纯自补）"),_xlfn.XLOOKUP(A119&amp;B119&amp;C119,盘货信息!$A:$A&amp;盘货信息!$B:$B&amp;盘货信息!$C:$C,盘货信息!$K:$K)&amp;"元以旧换新（可无旧机换新）","")))</f>
        <v/>
      </c>
      <c r="K119" s="18" t="str">
        <f t="array" ref="K119">IF(C119="","",IF(_xlfn.XLOOKUP(A119&amp;B119&amp;C119,盘货信息!$A:$A&amp;盘货信息!$B:$B&amp;盘货信息!$C:$C,盘货信息!$L:$L)="","",_xlfn.XLOOKUP(A119&amp;B119&amp;C119,盘货信息!$A:$A&amp;盘货信息!$B:$B&amp;盘货信息!$C:$C,盘货信息!$L:$L)&amp;"元限时补贴"))</f>
        <v/>
      </c>
      <c r="L119" s="18" t="str">
        <f t="array" ref="L119">IF(C119="","",IF(_xlfn.XLOOKUP(A119&amp;B119&amp;C119,盘货信息!$A:$A&amp;盘货信息!$B:$B&amp;盘货信息!$C:$C,盘货信息!$M:$M)="","",_xlfn.XLOOKUP(A119&amp;B119&amp;C119,盘货信息!$A:$A&amp;盘货信息!$B:$B&amp;盘货信息!$C:$C,盘货信息!$M:$M)&amp;"元消费券"))</f>
        <v/>
      </c>
      <c r="M119" s="18" t="str">
        <f t="array" ref="M119">IF(C119="","",IF(_xlfn.XLOOKUP(A119&amp;B119&amp;C119,盘货信息!$A:$A&amp;盘货信息!$B:$B&amp;盘货信息!$C:$C,盘货信息!$G:$G)="不参加","","焕新补贴优惠【全民可用，不限地址】"))</f>
        <v/>
      </c>
    </row>
    <row r="120" customHeight="1" spans="1:13">
      <c r="A120" s="17" t="str">
        <f>IF(盘货信息!A120="","",盘货信息!A120)</f>
        <v/>
      </c>
      <c r="B120" s="17" t="str">
        <f>IF(盘货信息!B120="","",盘货信息!B120)</f>
        <v/>
      </c>
      <c r="C120" s="18" t="str">
        <f>IF(盘货信息!C120="","",盘货信息!C120)</f>
        <v/>
      </c>
      <c r="D120" s="18" t="str">
        <f t="shared" si="1"/>
        <v/>
      </c>
      <c r="E120" s="18" t="str">
        <f t="array" ref="E120">IF(C120="","",IF(_xlfn.XLOOKUP(A120&amp;B120&amp;C120,盘货信息!$A:$A&amp;盘货信息!$B:$B&amp;盘货信息!$C:$C,盘货信息!$N:$N)="","【立减到手价"&amp;_xlfn.XLOOKUP(A120&amp;B120&amp;C120,盘货信息!$A:$A&amp;盘货信息!$B:$B&amp;盘货信息!$C:$C,盘货信息!$F:$F)&amp;"元】","【焕新补贴预估价"&amp;_xlfn.XLOOKUP(A120&amp;B120&amp;C120,盘货信息!$A:$A&amp;盘货信息!$B:$B&amp;盘货信息!$C:$C,盘货信息!$N:$N)&amp;"元】"))</f>
        <v/>
      </c>
      <c r="F120" s="18" t="str">
        <f t="array" ref="F120">IF(C120="","",_xlfn.XLOOKUP(A120&amp;B120&amp;C120,盘货信息!$A:$A&amp;盘货信息!$B:$B&amp;盘货信息!$C:$C,盘货信息!$E:$E)&amp;"元到手价")</f>
        <v/>
      </c>
      <c r="G120" s="18" t="str">
        <f t="array" ref="G120">IF(C120="","",IF(_xlfn.XLOOKUP(A120&amp;B120&amp;C120,盘货信息!$A:$A&amp;盘货信息!$B:$B&amp;盘货信息!$C:$C,盘货信息!$I:$I)="","","88VIP95折"))</f>
        <v/>
      </c>
      <c r="H120" s="18" t="str">
        <f t="array" ref="H120">IF(C120="","",IF(_xlfn.XLOOKUP(A120&amp;B120&amp;C120,盘货信息!$A:$A&amp;盘货信息!$B:$B&amp;盘货信息!$C:$C,盘货信息!$J:$J)="","",_xlfn.XLOOKUP(A120&amp;B120&amp;C120,盘货信息!$A:$A&amp;盘货信息!$B:$B&amp;盘货信息!$C:$C,盘货信息!$J:$J)&amp;"元优惠卷"))</f>
        <v/>
      </c>
      <c r="I120" s="18" t="str">
        <f t="array" ref="I120">IF(C120="","",IF(_xlfn.XLOOKUP(A120&amp;B120&amp;C120,盘货信息!$A:$A&amp;盘货信息!$B:$B&amp;盘货信息!$C:$C,盘货信息!$R:$R)="","",_xlfn.XLOOKUP(A120&amp;B120&amp;C120,盘货信息!$A:$A&amp;盘货信息!$B:$B&amp;盘货信息!$C:$C,盘货信息!$R:$R)&amp;"元优惠卷"))</f>
        <v/>
      </c>
      <c r="J120" s="18" t="str">
        <f t="array" ref="J120">IF(C120="","",IF(_xlfn.XLOOKUP(A120&amp;B120&amp;C120,盘货信息!$A:$A&amp;盘货信息!$B:$B&amp;盘货信息!$C:$C,盘货信息!$K:$K)="","",IF(OR(_xlfn.XLOOKUP(A120&amp;B120&amp;C120,盘货信息!$A:$A&amp;盘货信息!$B:$B&amp;盘货信息!$C:$C,盘货信息!$G:$G)="参加",_xlfn.XLOOKUP(A120&amp;B120&amp;C120,盘货信息!$A:$A&amp;盘货信息!$B:$B&amp;盘货信息!$C:$C,盘货信息!$H:$H)="1（纯自补）"),_xlfn.XLOOKUP(A120&amp;B120&amp;C120,盘货信息!$A:$A&amp;盘货信息!$B:$B&amp;盘货信息!$C:$C,盘货信息!$K:$K)&amp;"元以旧换新（可无旧机换新）","")))</f>
        <v/>
      </c>
      <c r="K120" s="18" t="str">
        <f t="array" ref="K120">IF(C120="","",IF(_xlfn.XLOOKUP(A120&amp;B120&amp;C120,盘货信息!$A:$A&amp;盘货信息!$B:$B&amp;盘货信息!$C:$C,盘货信息!$L:$L)="","",_xlfn.XLOOKUP(A120&amp;B120&amp;C120,盘货信息!$A:$A&amp;盘货信息!$B:$B&amp;盘货信息!$C:$C,盘货信息!$L:$L)&amp;"元限时补贴"))</f>
        <v/>
      </c>
      <c r="L120" s="18" t="str">
        <f t="array" ref="L120">IF(C120="","",IF(_xlfn.XLOOKUP(A120&amp;B120&amp;C120,盘货信息!$A:$A&amp;盘货信息!$B:$B&amp;盘货信息!$C:$C,盘货信息!$M:$M)="","",_xlfn.XLOOKUP(A120&amp;B120&amp;C120,盘货信息!$A:$A&amp;盘货信息!$B:$B&amp;盘货信息!$C:$C,盘货信息!$M:$M)&amp;"元消费券"))</f>
        <v/>
      </c>
      <c r="M120" s="18" t="str">
        <f t="array" ref="M120">IF(C120="","",IF(_xlfn.XLOOKUP(A120&amp;B120&amp;C120,盘货信息!$A:$A&amp;盘货信息!$B:$B&amp;盘货信息!$C:$C,盘货信息!$G:$G)="不参加","","焕新补贴优惠【全民可用，不限地址】"))</f>
        <v/>
      </c>
    </row>
    <row r="121" customHeight="1" spans="1:13">
      <c r="A121" s="17" t="str">
        <f>IF(盘货信息!A121="","",盘货信息!A121)</f>
        <v/>
      </c>
      <c r="B121" s="17" t="str">
        <f>IF(盘货信息!B121="","",盘货信息!B121)</f>
        <v/>
      </c>
      <c r="C121" s="18" t="str">
        <f>IF(盘货信息!C121="","",盘货信息!C121)</f>
        <v/>
      </c>
      <c r="D121" s="18" t="str">
        <f t="shared" si="1"/>
        <v/>
      </c>
      <c r="E121" s="18" t="str">
        <f t="array" ref="E121">IF(C121="","",IF(_xlfn.XLOOKUP(A121&amp;B121&amp;C121,盘货信息!$A:$A&amp;盘货信息!$B:$B&amp;盘货信息!$C:$C,盘货信息!$N:$N)="","【立减到手价"&amp;_xlfn.XLOOKUP(A121&amp;B121&amp;C121,盘货信息!$A:$A&amp;盘货信息!$B:$B&amp;盘货信息!$C:$C,盘货信息!$F:$F)&amp;"元】","【焕新补贴预估价"&amp;_xlfn.XLOOKUP(A121&amp;B121&amp;C121,盘货信息!$A:$A&amp;盘货信息!$B:$B&amp;盘货信息!$C:$C,盘货信息!$N:$N)&amp;"元】"))</f>
        <v/>
      </c>
      <c r="F121" s="18" t="str">
        <f t="array" ref="F121">IF(C121="","",_xlfn.XLOOKUP(A121&amp;B121&amp;C121,盘货信息!$A:$A&amp;盘货信息!$B:$B&amp;盘货信息!$C:$C,盘货信息!$E:$E)&amp;"元到手价")</f>
        <v/>
      </c>
      <c r="G121" s="18" t="str">
        <f t="array" ref="G121">IF(C121="","",IF(_xlfn.XLOOKUP(A121&amp;B121&amp;C121,盘货信息!$A:$A&amp;盘货信息!$B:$B&amp;盘货信息!$C:$C,盘货信息!$I:$I)="","","88VIP95折"))</f>
        <v/>
      </c>
      <c r="H121" s="18" t="str">
        <f t="array" ref="H121">IF(C121="","",IF(_xlfn.XLOOKUP(A121&amp;B121&amp;C121,盘货信息!$A:$A&amp;盘货信息!$B:$B&amp;盘货信息!$C:$C,盘货信息!$J:$J)="","",_xlfn.XLOOKUP(A121&amp;B121&amp;C121,盘货信息!$A:$A&amp;盘货信息!$B:$B&amp;盘货信息!$C:$C,盘货信息!$J:$J)&amp;"元优惠卷"))</f>
        <v/>
      </c>
      <c r="I121" s="18" t="str">
        <f t="array" ref="I121">IF(C121="","",IF(_xlfn.XLOOKUP(A121&amp;B121&amp;C121,盘货信息!$A:$A&amp;盘货信息!$B:$B&amp;盘货信息!$C:$C,盘货信息!$R:$R)="","",_xlfn.XLOOKUP(A121&amp;B121&amp;C121,盘货信息!$A:$A&amp;盘货信息!$B:$B&amp;盘货信息!$C:$C,盘货信息!$R:$R)&amp;"元优惠卷"))</f>
        <v/>
      </c>
      <c r="J121" s="18" t="str">
        <f t="array" ref="J121">IF(C121="","",IF(_xlfn.XLOOKUP(A121&amp;B121&amp;C121,盘货信息!$A:$A&amp;盘货信息!$B:$B&amp;盘货信息!$C:$C,盘货信息!$K:$K)="","",IF(OR(_xlfn.XLOOKUP(A121&amp;B121&amp;C121,盘货信息!$A:$A&amp;盘货信息!$B:$B&amp;盘货信息!$C:$C,盘货信息!$G:$G)="参加",_xlfn.XLOOKUP(A121&amp;B121&amp;C121,盘货信息!$A:$A&amp;盘货信息!$B:$B&amp;盘货信息!$C:$C,盘货信息!$H:$H)="1（纯自补）"),_xlfn.XLOOKUP(A121&amp;B121&amp;C121,盘货信息!$A:$A&amp;盘货信息!$B:$B&amp;盘货信息!$C:$C,盘货信息!$K:$K)&amp;"元以旧换新（可无旧机换新）","")))</f>
        <v/>
      </c>
      <c r="K121" s="18" t="str">
        <f t="array" ref="K121">IF(C121="","",IF(_xlfn.XLOOKUP(A121&amp;B121&amp;C121,盘货信息!$A:$A&amp;盘货信息!$B:$B&amp;盘货信息!$C:$C,盘货信息!$L:$L)="","",_xlfn.XLOOKUP(A121&amp;B121&amp;C121,盘货信息!$A:$A&amp;盘货信息!$B:$B&amp;盘货信息!$C:$C,盘货信息!$L:$L)&amp;"元限时补贴"))</f>
        <v/>
      </c>
      <c r="L121" s="18" t="str">
        <f t="array" ref="L121">IF(C121="","",IF(_xlfn.XLOOKUP(A121&amp;B121&amp;C121,盘货信息!$A:$A&amp;盘货信息!$B:$B&amp;盘货信息!$C:$C,盘货信息!$M:$M)="","",_xlfn.XLOOKUP(A121&amp;B121&amp;C121,盘货信息!$A:$A&amp;盘货信息!$B:$B&amp;盘货信息!$C:$C,盘货信息!$M:$M)&amp;"元消费券"))</f>
        <v/>
      </c>
      <c r="M121" s="18" t="str">
        <f t="array" ref="M121">IF(C121="","",IF(_xlfn.XLOOKUP(A121&amp;B121&amp;C121,盘货信息!$A:$A&amp;盘货信息!$B:$B&amp;盘货信息!$C:$C,盘货信息!$G:$G)="不参加","","焕新补贴优惠【全民可用，不限地址】"))</f>
        <v/>
      </c>
    </row>
    <row r="122" customHeight="1" spans="1:13">
      <c r="A122" s="17" t="str">
        <f>IF(盘货信息!A122="","",盘货信息!A122)</f>
        <v/>
      </c>
      <c r="B122" s="17" t="str">
        <f>IF(盘货信息!B122="","",盘货信息!B122)</f>
        <v/>
      </c>
      <c r="C122" s="18" t="str">
        <f>IF(盘货信息!C122="","",盘货信息!C122)</f>
        <v/>
      </c>
      <c r="D122" s="18" t="str">
        <f t="shared" si="1"/>
        <v/>
      </c>
      <c r="E122" s="18" t="str">
        <f t="array" ref="E122">IF(C122="","",IF(_xlfn.XLOOKUP(A122&amp;B122&amp;C122,盘货信息!$A:$A&amp;盘货信息!$B:$B&amp;盘货信息!$C:$C,盘货信息!$N:$N)="","【立减到手价"&amp;_xlfn.XLOOKUP(A122&amp;B122&amp;C122,盘货信息!$A:$A&amp;盘货信息!$B:$B&amp;盘货信息!$C:$C,盘货信息!$F:$F)&amp;"元】","【焕新补贴预估价"&amp;_xlfn.XLOOKUP(A122&amp;B122&amp;C122,盘货信息!$A:$A&amp;盘货信息!$B:$B&amp;盘货信息!$C:$C,盘货信息!$N:$N)&amp;"元】"))</f>
        <v/>
      </c>
      <c r="F122" s="18" t="str">
        <f t="array" ref="F122">IF(C122="","",_xlfn.XLOOKUP(A122&amp;B122&amp;C122,盘货信息!$A:$A&amp;盘货信息!$B:$B&amp;盘货信息!$C:$C,盘货信息!$E:$E)&amp;"元到手价")</f>
        <v/>
      </c>
      <c r="G122" s="18" t="str">
        <f t="array" ref="G122">IF(C122="","",IF(_xlfn.XLOOKUP(A122&amp;B122&amp;C122,盘货信息!$A:$A&amp;盘货信息!$B:$B&amp;盘货信息!$C:$C,盘货信息!$I:$I)="","","88VIP95折"))</f>
        <v/>
      </c>
      <c r="H122" s="18" t="str">
        <f t="array" ref="H122">IF(C122="","",IF(_xlfn.XLOOKUP(A122&amp;B122&amp;C122,盘货信息!$A:$A&amp;盘货信息!$B:$B&amp;盘货信息!$C:$C,盘货信息!$J:$J)="","",_xlfn.XLOOKUP(A122&amp;B122&amp;C122,盘货信息!$A:$A&amp;盘货信息!$B:$B&amp;盘货信息!$C:$C,盘货信息!$J:$J)&amp;"元优惠卷"))</f>
        <v/>
      </c>
      <c r="I122" s="18" t="str">
        <f t="array" ref="I122">IF(C122="","",IF(_xlfn.XLOOKUP(A122&amp;B122&amp;C122,盘货信息!$A:$A&amp;盘货信息!$B:$B&amp;盘货信息!$C:$C,盘货信息!$R:$R)="","",_xlfn.XLOOKUP(A122&amp;B122&amp;C122,盘货信息!$A:$A&amp;盘货信息!$B:$B&amp;盘货信息!$C:$C,盘货信息!$R:$R)&amp;"元优惠卷"))</f>
        <v/>
      </c>
      <c r="J122" s="18" t="str">
        <f t="array" ref="J122">IF(C122="","",IF(_xlfn.XLOOKUP(A122&amp;B122&amp;C122,盘货信息!$A:$A&amp;盘货信息!$B:$B&amp;盘货信息!$C:$C,盘货信息!$K:$K)="","",IF(OR(_xlfn.XLOOKUP(A122&amp;B122&amp;C122,盘货信息!$A:$A&amp;盘货信息!$B:$B&amp;盘货信息!$C:$C,盘货信息!$G:$G)="参加",_xlfn.XLOOKUP(A122&amp;B122&amp;C122,盘货信息!$A:$A&amp;盘货信息!$B:$B&amp;盘货信息!$C:$C,盘货信息!$H:$H)="1（纯自补）"),_xlfn.XLOOKUP(A122&amp;B122&amp;C122,盘货信息!$A:$A&amp;盘货信息!$B:$B&amp;盘货信息!$C:$C,盘货信息!$K:$K)&amp;"元以旧换新（可无旧机换新）","")))</f>
        <v/>
      </c>
      <c r="K122" s="18" t="str">
        <f t="array" ref="K122">IF(C122="","",IF(_xlfn.XLOOKUP(A122&amp;B122&amp;C122,盘货信息!$A:$A&amp;盘货信息!$B:$B&amp;盘货信息!$C:$C,盘货信息!$L:$L)="","",_xlfn.XLOOKUP(A122&amp;B122&amp;C122,盘货信息!$A:$A&amp;盘货信息!$B:$B&amp;盘货信息!$C:$C,盘货信息!$L:$L)&amp;"元限时补贴"))</f>
        <v/>
      </c>
      <c r="L122" s="18" t="str">
        <f t="array" ref="L122">IF(C122="","",IF(_xlfn.XLOOKUP(A122&amp;B122&amp;C122,盘货信息!$A:$A&amp;盘货信息!$B:$B&amp;盘货信息!$C:$C,盘货信息!$M:$M)="","",_xlfn.XLOOKUP(A122&amp;B122&amp;C122,盘货信息!$A:$A&amp;盘货信息!$B:$B&amp;盘货信息!$C:$C,盘货信息!$M:$M)&amp;"元消费券"))</f>
        <v/>
      </c>
      <c r="M122" s="18" t="str">
        <f t="array" ref="M122">IF(C122="","",IF(_xlfn.XLOOKUP(A122&amp;B122&amp;C122,盘货信息!$A:$A&amp;盘货信息!$B:$B&amp;盘货信息!$C:$C,盘货信息!$G:$G)="不参加","","焕新补贴优惠【全民可用，不限地址】"))</f>
        <v/>
      </c>
    </row>
    <row r="123" customHeight="1" spans="1:13">
      <c r="A123" s="17" t="str">
        <f>IF(盘货信息!A123="","",盘货信息!A123)</f>
        <v/>
      </c>
      <c r="B123" s="17" t="str">
        <f>IF(盘货信息!B123="","",盘货信息!B123)</f>
        <v/>
      </c>
      <c r="C123" s="18" t="str">
        <f>IF(盘货信息!C123="","",盘货信息!C123)</f>
        <v/>
      </c>
      <c r="D123" s="18" t="str">
        <f t="shared" si="1"/>
        <v/>
      </c>
      <c r="E123" s="18" t="str">
        <f t="array" ref="E123">IF(C123="","",IF(_xlfn.XLOOKUP(A123&amp;B123&amp;C123,盘货信息!$A:$A&amp;盘货信息!$B:$B&amp;盘货信息!$C:$C,盘货信息!$N:$N)="","【立减到手价"&amp;_xlfn.XLOOKUP(A123&amp;B123&amp;C123,盘货信息!$A:$A&amp;盘货信息!$B:$B&amp;盘货信息!$C:$C,盘货信息!$F:$F)&amp;"元】","【焕新补贴预估价"&amp;_xlfn.XLOOKUP(A123&amp;B123&amp;C123,盘货信息!$A:$A&amp;盘货信息!$B:$B&amp;盘货信息!$C:$C,盘货信息!$N:$N)&amp;"元】"))</f>
        <v/>
      </c>
      <c r="F123" s="18" t="str">
        <f t="array" ref="F123">IF(C123="","",_xlfn.XLOOKUP(A123&amp;B123&amp;C123,盘货信息!$A:$A&amp;盘货信息!$B:$B&amp;盘货信息!$C:$C,盘货信息!$E:$E)&amp;"元到手价")</f>
        <v/>
      </c>
      <c r="G123" s="18" t="str">
        <f t="array" ref="G123">IF(C123="","",IF(_xlfn.XLOOKUP(A123&amp;B123&amp;C123,盘货信息!$A:$A&amp;盘货信息!$B:$B&amp;盘货信息!$C:$C,盘货信息!$I:$I)="","","88VIP95折"))</f>
        <v/>
      </c>
      <c r="H123" s="18" t="str">
        <f t="array" ref="H123">IF(C123="","",IF(_xlfn.XLOOKUP(A123&amp;B123&amp;C123,盘货信息!$A:$A&amp;盘货信息!$B:$B&amp;盘货信息!$C:$C,盘货信息!$J:$J)="","",_xlfn.XLOOKUP(A123&amp;B123&amp;C123,盘货信息!$A:$A&amp;盘货信息!$B:$B&amp;盘货信息!$C:$C,盘货信息!$J:$J)&amp;"元优惠卷"))</f>
        <v/>
      </c>
      <c r="I123" s="18" t="str">
        <f t="array" ref="I123">IF(C123="","",IF(_xlfn.XLOOKUP(A123&amp;B123&amp;C123,盘货信息!$A:$A&amp;盘货信息!$B:$B&amp;盘货信息!$C:$C,盘货信息!$R:$R)="","",_xlfn.XLOOKUP(A123&amp;B123&amp;C123,盘货信息!$A:$A&amp;盘货信息!$B:$B&amp;盘货信息!$C:$C,盘货信息!$R:$R)&amp;"元优惠卷"))</f>
        <v/>
      </c>
      <c r="J123" s="18" t="str">
        <f t="array" ref="J123">IF(C123="","",IF(_xlfn.XLOOKUP(A123&amp;B123&amp;C123,盘货信息!$A:$A&amp;盘货信息!$B:$B&amp;盘货信息!$C:$C,盘货信息!$K:$K)="","",IF(OR(_xlfn.XLOOKUP(A123&amp;B123&amp;C123,盘货信息!$A:$A&amp;盘货信息!$B:$B&amp;盘货信息!$C:$C,盘货信息!$G:$G)="参加",_xlfn.XLOOKUP(A123&amp;B123&amp;C123,盘货信息!$A:$A&amp;盘货信息!$B:$B&amp;盘货信息!$C:$C,盘货信息!$H:$H)="1（纯自补）"),_xlfn.XLOOKUP(A123&amp;B123&amp;C123,盘货信息!$A:$A&amp;盘货信息!$B:$B&amp;盘货信息!$C:$C,盘货信息!$K:$K)&amp;"元以旧换新（可无旧机换新）","")))</f>
        <v/>
      </c>
      <c r="K123" s="18" t="str">
        <f t="array" ref="K123">IF(C123="","",IF(_xlfn.XLOOKUP(A123&amp;B123&amp;C123,盘货信息!$A:$A&amp;盘货信息!$B:$B&amp;盘货信息!$C:$C,盘货信息!$L:$L)="","",_xlfn.XLOOKUP(A123&amp;B123&amp;C123,盘货信息!$A:$A&amp;盘货信息!$B:$B&amp;盘货信息!$C:$C,盘货信息!$L:$L)&amp;"元限时补贴"))</f>
        <v/>
      </c>
      <c r="L123" s="18" t="str">
        <f t="array" ref="L123">IF(C123="","",IF(_xlfn.XLOOKUP(A123&amp;B123&amp;C123,盘货信息!$A:$A&amp;盘货信息!$B:$B&amp;盘货信息!$C:$C,盘货信息!$M:$M)="","",_xlfn.XLOOKUP(A123&amp;B123&amp;C123,盘货信息!$A:$A&amp;盘货信息!$B:$B&amp;盘货信息!$C:$C,盘货信息!$M:$M)&amp;"元消费券"))</f>
        <v/>
      </c>
      <c r="M123" s="18" t="str">
        <f t="array" ref="M123">IF(C123="","",IF(_xlfn.XLOOKUP(A123&amp;B123&amp;C123,盘货信息!$A:$A&amp;盘货信息!$B:$B&amp;盘货信息!$C:$C,盘货信息!$G:$G)="不参加","","焕新补贴优惠【全民可用，不限地址】"))</f>
        <v/>
      </c>
    </row>
    <row r="124" customHeight="1" spans="1:13">
      <c r="A124" s="17" t="str">
        <f>IF(盘货信息!A124="","",盘货信息!A124)</f>
        <v/>
      </c>
      <c r="B124" s="17" t="str">
        <f>IF(盘货信息!B124="","",盘货信息!B124)</f>
        <v/>
      </c>
      <c r="C124" s="20" t="str">
        <f>IF(盘货信息!C124="","",盘货信息!C124)</f>
        <v/>
      </c>
      <c r="D124" s="18" t="str">
        <f t="shared" si="1"/>
        <v/>
      </c>
      <c r="E124" s="18" t="str">
        <f t="array" ref="E124">IF(C124="","",IF(_xlfn.XLOOKUP(A124&amp;B124&amp;C124,盘货信息!$A:$A&amp;盘货信息!$B:$B&amp;盘货信息!$C:$C,盘货信息!$N:$N)="","【立减到手价"&amp;_xlfn.XLOOKUP(A124&amp;B124&amp;C124,盘货信息!$A:$A&amp;盘货信息!$B:$B&amp;盘货信息!$C:$C,盘货信息!$F:$F)&amp;"元】","【焕新补贴预估价"&amp;_xlfn.XLOOKUP(A124&amp;B124&amp;C124,盘货信息!$A:$A&amp;盘货信息!$B:$B&amp;盘货信息!$C:$C,盘货信息!$N:$N)&amp;"元】"))</f>
        <v/>
      </c>
      <c r="F124" s="18" t="str">
        <f t="array" ref="F124">IF(C124="","",_xlfn.XLOOKUP(A124&amp;B124&amp;C124,盘货信息!$A:$A&amp;盘货信息!$B:$B&amp;盘货信息!$C:$C,盘货信息!$E:$E)&amp;"元到手价")</f>
        <v/>
      </c>
      <c r="G124" s="18" t="str">
        <f t="array" ref="G124">IF(C124="","",IF(_xlfn.XLOOKUP(A124&amp;B124&amp;C124,盘货信息!$A:$A&amp;盘货信息!$B:$B&amp;盘货信息!$C:$C,盘货信息!$I:$I)="","","88VIP95折"))</f>
        <v/>
      </c>
      <c r="H124" s="18" t="str">
        <f t="array" ref="H124">IF(C124="","",IF(_xlfn.XLOOKUP(A124&amp;B124&amp;C124,盘货信息!$A:$A&amp;盘货信息!$B:$B&amp;盘货信息!$C:$C,盘货信息!$J:$J)="","",_xlfn.XLOOKUP(A124&amp;B124&amp;C124,盘货信息!$A:$A&amp;盘货信息!$B:$B&amp;盘货信息!$C:$C,盘货信息!$J:$J)&amp;"元优惠卷"))</f>
        <v/>
      </c>
      <c r="I124" s="18" t="str">
        <f t="array" ref="I124">IF(C124="","",IF(_xlfn.XLOOKUP(A124&amp;B124&amp;C124,盘货信息!$A:$A&amp;盘货信息!$B:$B&amp;盘货信息!$C:$C,盘货信息!$R:$R)="","",_xlfn.XLOOKUP(A124&amp;B124&amp;C124,盘货信息!$A:$A&amp;盘货信息!$B:$B&amp;盘货信息!$C:$C,盘货信息!$R:$R)&amp;"元优惠卷"))</f>
        <v/>
      </c>
      <c r="J124" s="18" t="str">
        <f t="array" ref="J124">IF(C124="","",IF(_xlfn.XLOOKUP(A124&amp;B124&amp;C124,盘货信息!$A:$A&amp;盘货信息!$B:$B&amp;盘货信息!$C:$C,盘货信息!$K:$K)="","",IF(OR(_xlfn.XLOOKUP(A124&amp;B124&amp;C124,盘货信息!$A:$A&amp;盘货信息!$B:$B&amp;盘货信息!$C:$C,盘货信息!$G:$G)="参加",_xlfn.XLOOKUP(A124&amp;B124&amp;C124,盘货信息!$A:$A&amp;盘货信息!$B:$B&amp;盘货信息!$C:$C,盘货信息!$H:$H)="1（纯自补）"),_xlfn.XLOOKUP(A124&amp;B124&amp;C124,盘货信息!$A:$A&amp;盘货信息!$B:$B&amp;盘货信息!$C:$C,盘货信息!$K:$K)&amp;"元以旧换新（可无旧机换新）","")))</f>
        <v/>
      </c>
      <c r="K124" s="18" t="str">
        <f t="array" ref="K124">IF(C124="","",IF(_xlfn.XLOOKUP(A124&amp;B124&amp;C124,盘货信息!$A:$A&amp;盘货信息!$B:$B&amp;盘货信息!$C:$C,盘货信息!$L:$L)="","",_xlfn.XLOOKUP(A124&amp;B124&amp;C124,盘货信息!$A:$A&amp;盘货信息!$B:$B&amp;盘货信息!$C:$C,盘货信息!$L:$L)&amp;"元限时补贴"))</f>
        <v/>
      </c>
      <c r="L124" s="18" t="str">
        <f t="array" ref="L124">IF(C124="","",IF(_xlfn.XLOOKUP(A124&amp;B124&amp;C124,盘货信息!$A:$A&amp;盘货信息!$B:$B&amp;盘货信息!$C:$C,盘货信息!$M:$M)="","",_xlfn.XLOOKUP(A124&amp;B124&amp;C124,盘货信息!$A:$A&amp;盘货信息!$B:$B&amp;盘货信息!$C:$C,盘货信息!$M:$M)&amp;"元消费券"))</f>
        <v/>
      </c>
      <c r="M124" s="18" t="str">
        <f t="array" ref="M124">IF(C124="","",IF(_xlfn.XLOOKUP(A124&amp;B124&amp;C124,盘货信息!$A:$A&amp;盘货信息!$B:$B&amp;盘货信息!$C:$C,盘货信息!$G:$G)="不参加","","焕新补贴优惠【全民可用，不限地址】"))</f>
        <v/>
      </c>
    </row>
    <row r="125" customHeight="1" spans="1:13">
      <c r="A125" s="17" t="str">
        <f>IF(盘货信息!A125="","",盘货信息!A125)</f>
        <v/>
      </c>
      <c r="B125" s="17" t="str">
        <f>IF(盘货信息!B125="","",盘货信息!B125)</f>
        <v/>
      </c>
      <c r="C125" s="20" t="str">
        <f>IF(盘货信息!C125="","",盘货信息!C125)</f>
        <v/>
      </c>
      <c r="D125" s="18" t="str">
        <f t="shared" si="1"/>
        <v/>
      </c>
      <c r="E125" s="18" t="str">
        <f t="array" ref="E125">IF(C125="","",IF(_xlfn.XLOOKUP(A125&amp;B125&amp;C125,盘货信息!$A:$A&amp;盘货信息!$B:$B&amp;盘货信息!$C:$C,盘货信息!$N:$N)="","【立减到手价"&amp;_xlfn.XLOOKUP(A125&amp;B125&amp;C125,盘货信息!$A:$A&amp;盘货信息!$B:$B&amp;盘货信息!$C:$C,盘货信息!$F:$F)&amp;"元】","【焕新补贴预估价"&amp;_xlfn.XLOOKUP(A125&amp;B125&amp;C125,盘货信息!$A:$A&amp;盘货信息!$B:$B&amp;盘货信息!$C:$C,盘货信息!$N:$N)&amp;"元】"))</f>
        <v/>
      </c>
      <c r="F125" s="18" t="str">
        <f t="array" ref="F125">IF(C125="","",_xlfn.XLOOKUP(A125&amp;B125&amp;C125,盘货信息!$A:$A&amp;盘货信息!$B:$B&amp;盘货信息!$C:$C,盘货信息!$E:$E)&amp;"元到手价")</f>
        <v/>
      </c>
      <c r="G125" s="18" t="str">
        <f t="array" ref="G125">IF(C125="","",IF(_xlfn.XLOOKUP(A125&amp;B125&amp;C125,盘货信息!$A:$A&amp;盘货信息!$B:$B&amp;盘货信息!$C:$C,盘货信息!$I:$I)="","","88VIP95折"))</f>
        <v/>
      </c>
      <c r="H125" s="18" t="str">
        <f t="array" ref="H125">IF(C125="","",IF(_xlfn.XLOOKUP(A125&amp;B125&amp;C125,盘货信息!$A:$A&amp;盘货信息!$B:$B&amp;盘货信息!$C:$C,盘货信息!$J:$J)="","",_xlfn.XLOOKUP(A125&amp;B125&amp;C125,盘货信息!$A:$A&amp;盘货信息!$B:$B&amp;盘货信息!$C:$C,盘货信息!$J:$J)&amp;"元优惠卷"))</f>
        <v/>
      </c>
      <c r="I125" s="18" t="str">
        <f t="array" ref="I125">IF(C125="","",IF(_xlfn.XLOOKUP(A125&amp;B125&amp;C125,盘货信息!$A:$A&amp;盘货信息!$B:$B&amp;盘货信息!$C:$C,盘货信息!$R:$R)="","",_xlfn.XLOOKUP(A125&amp;B125&amp;C125,盘货信息!$A:$A&amp;盘货信息!$B:$B&amp;盘货信息!$C:$C,盘货信息!$R:$R)&amp;"元优惠卷"))</f>
        <v/>
      </c>
      <c r="J125" s="18" t="str">
        <f t="array" ref="J125">IF(C125="","",IF(_xlfn.XLOOKUP(A125&amp;B125&amp;C125,盘货信息!$A:$A&amp;盘货信息!$B:$B&amp;盘货信息!$C:$C,盘货信息!$K:$K)="","",IF(OR(_xlfn.XLOOKUP(A125&amp;B125&amp;C125,盘货信息!$A:$A&amp;盘货信息!$B:$B&amp;盘货信息!$C:$C,盘货信息!$G:$G)="参加",_xlfn.XLOOKUP(A125&amp;B125&amp;C125,盘货信息!$A:$A&amp;盘货信息!$B:$B&amp;盘货信息!$C:$C,盘货信息!$H:$H)="1（纯自补）"),_xlfn.XLOOKUP(A125&amp;B125&amp;C125,盘货信息!$A:$A&amp;盘货信息!$B:$B&amp;盘货信息!$C:$C,盘货信息!$K:$K)&amp;"元以旧换新（可无旧机换新）","")))</f>
        <v/>
      </c>
      <c r="K125" s="18" t="str">
        <f t="array" ref="K125">IF(C125="","",IF(_xlfn.XLOOKUP(A125&amp;B125&amp;C125,盘货信息!$A:$A&amp;盘货信息!$B:$B&amp;盘货信息!$C:$C,盘货信息!$L:$L)="","",_xlfn.XLOOKUP(A125&amp;B125&amp;C125,盘货信息!$A:$A&amp;盘货信息!$B:$B&amp;盘货信息!$C:$C,盘货信息!$L:$L)&amp;"元限时补贴"))</f>
        <v/>
      </c>
      <c r="L125" s="18" t="str">
        <f t="array" ref="L125">IF(C125="","",IF(_xlfn.XLOOKUP(A125&amp;B125&amp;C125,盘货信息!$A:$A&amp;盘货信息!$B:$B&amp;盘货信息!$C:$C,盘货信息!$M:$M)="","",_xlfn.XLOOKUP(A125&amp;B125&amp;C125,盘货信息!$A:$A&amp;盘货信息!$B:$B&amp;盘货信息!$C:$C,盘货信息!$M:$M)&amp;"元消费券"))</f>
        <v/>
      </c>
      <c r="M125" s="18" t="str">
        <f t="array" ref="M125">IF(C125="","",IF(_xlfn.XLOOKUP(A125&amp;B125&amp;C125,盘货信息!$A:$A&amp;盘货信息!$B:$B&amp;盘货信息!$C:$C,盘货信息!$G:$G)="不参加","","焕新补贴优惠【全民可用，不限地址】"))</f>
        <v/>
      </c>
    </row>
    <row r="126" customHeight="1" spans="1:13">
      <c r="A126" s="17" t="str">
        <f>IF(盘货信息!A126="","",盘货信息!A126)</f>
        <v/>
      </c>
      <c r="B126" s="17" t="str">
        <f>IF(盘货信息!B126="","",盘货信息!B126)</f>
        <v/>
      </c>
      <c r="C126" s="20" t="str">
        <f>IF(盘货信息!C126="","",盘货信息!C126)</f>
        <v/>
      </c>
      <c r="D126" s="18" t="str">
        <f t="shared" si="1"/>
        <v/>
      </c>
      <c r="E126" s="18" t="str">
        <f t="array" ref="E126">IF(C126="","",IF(_xlfn.XLOOKUP(A126&amp;B126&amp;C126,盘货信息!$A:$A&amp;盘货信息!$B:$B&amp;盘货信息!$C:$C,盘货信息!$N:$N)="","【立减到手价"&amp;_xlfn.XLOOKUP(A126&amp;B126&amp;C126,盘货信息!$A:$A&amp;盘货信息!$B:$B&amp;盘货信息!$C:$C,盘货信息!$F:$F)&amp;"元】","【焕新补贴预估价"&amp;_xlfn.XLOOKUP(A126&amp;B126&amp;C126,盘货信息!$A:$A&amp;盘货信息!$B:$B&amp;盘货信息!$C:$C,盘货信息!$N:$N)&amp;"元】"))</f>
        <v/>
      </c>
      <c r="F126" s="18" t="str">
        <f t="array" ref="F126">IF(C126="","",_xlfn.XLOOKUP(A126&amp;B126&amp;C126,盘货信息!$A:$A&amp;盘货信息!$B:$B&amp;盘货信息!$C:$C,盘货信息!$E:$E)&amp;"元到手价")</f>
        <v/>
      </c>
      <c r="G126" s="18" t="str">
        <f t="array" ref="G126">IF(C126="","",IF(_xlfn.XLOOKUP(A126&amp;B126&amp;C126,盘货信息!$A:$A&amp;盘货信息!$B:$B&amp;盘货信息!$C:$C,盘货信息!$I:$I)="","","88VIP95折"))</f>
        <v/>
      </c>
      <c r="H126" s="18" t="str">
        <f t="array" ref="H126">IF(C126="","",IF(_xlfn.XLOOKUP(A126&amp;B126&amp;C126,盘货信息!$A:$A&amp;盘货信息!$B:$B&amp;盘货信息!$C:$C,盘货信息!$J:$J)="","",_xlfn.XLOOKUP(A126&amp;B126&amp;C126,盘货信息!$A:$A&amp;盘货信息!$B:$B&amp;盘货信息!$C:$C,盘货信息!$J:$J)&amp;"元优惠卷"))</f>
        <v/>
      </c>
      <c r="I126" s="18" t="str">
        <f t="array" ref="I126">IF(C126="","",IF(_xlfn.XLOOKUP(A126&amp;B126&amp;C126,盘货信息!$A:$A&amp;盘货信息!$B:$B&amp;盘货信息!$C:$C,盘货信息!$R:$R)="","",_xlfn.XLOOKUP(A126&amp;B126&amp;C126,盘货信息!$A:$A&amp;盘货信息!$B:$B&amp;盘货信息!$C:$C,盘货信息!$R:$R)&amp;"元优惠卷"))</f>
        <v/>
      </c>
      <c r="J126" s="18" t="str">
        <f t="array" ref="J126">IF(C126="","",IF(_xlfn.XLOOKUP(A126&amp;B126&amp;C126,盘货信息!$A:$A&amp;盘货信息!$B:$B&amp;盘货信息!$C:$C,盘货信息!$K:$K)="","",IF(OR(_xlfn.XLOOKUP(A126&amp;B126&amp;C126,盘货信息!$A:$A&amp;盘货信息!$B:$B&amp;盘货信息!$C:$C,盘货信息!$G:$G)="参加",_xlfn.XLOOKUP(A126&amp;B126&amp;C126,盘货信息!$A:$A&amp;盘货信息!$B:$B&amp;盘货信息!$C:$C,盘货信息!$H:$H)="1（纯自补）"),_xlfn.XLOOKUP(A126&amp;B126&amp;C126,盘货信息!$A:$A&amp;盘货信息!$B:$B&amp;盘货信息!$C:$C,盘货信息!$K:$K)&amp;"元以旧换新（可无旧机换新）","")))</f>
        <v/>
      </c>
      <c r="K126" s="18" t="str">
        <f t="array" ref="K126">IF(C126="","",IF(_xlfn.XLOOKUP(A126&amp;B126&amp;C126,盘货信息!$A:$A&amp;盘货信息!$B:$B&amp;盘货信息!$C:$C,盘货信息!$L:$L)="","",_xlfn.XLOOKUP(A126&amp;B126&amp;C126,盘货信息!$A:$A&amp;盘货信息!$B:$B&amp;盘货信息!$C:$C,盘货信息!$L:$L)&amp;"元限时补贴"))</f>
        <v/>
      </c>
      <c r="L126" s="18" t="str">
        <f t="array" ref="L126">IF(C126="","",IF(_xlfn.XLOOKUP(A126&amp;B126&amp;C126,盘货信息!$A:$A&amp;盘货信息!$B:$B&amp;盘货信息!$C:$C,盘货信息!$M:$M)="","",_xlfn.XLOOKUP(A126&amp;B126&amp;C126,盘货信息!$A:$A&amp;盘货信息!$B:$B&amp;盘货信息!$C:$C,盘货信息!$M:$M)&amp;"元消费券"))</f>
        <v/>
      </c>
      <c r="M126" s="18" t="str">
        <f t="array" ref="M126">IF(C126="","",IF(_xlfn.XLOOKUP(A126&amp;B126&amp;C126,盘货信息!$A:$A&amp;盘货信息!$B:$B&amp;盘货信息!$C:$C,盘货信息!$G:$G)="不参加","","焕新补贴优惠【全民可用，不限地址】"))</f>
        <v/>
      </c>
    </row>
    <row r="127" customHeight="1" spans="1:13">
      <c r="A127" s="17" t="str">
        <f>IF(盘货信息!A127="","",盘货信息!A127)</f>
        <v/>
      </c>
      <c r="B127" s="17" t="str">
        <f>IF(盘货信息!B127="","",盘货信息!B127)</f>
        <v/>
      </c>
      <c r="C127" s="20" t="str">
        <f>IF(盘货信息!C127="","",盘货信息!C127)</f>
        <v/>
      </c>
      <c r="D127" s="18" t="str">
        <f t="shared" si="1"/>
        <v/>
      </c>
      <c r="E127" s="18" t="str">
        <f t="array" ref="E127">IF(C127="","",IF(_xlfn.XLOOKUP(A127&amp;B127&amp;C127,盘货信息!$A:$A&amp;盘货信息!$B:$B&amp;盘货信息!$C:$C,盘货信息!$N:$N)="","【立减到手价"&amp;_xlfn.XLOOKUP(A127&amp;B127&amp;C127,盘货信息!$A:$A&amp;盘货信息!$B:$B&amp;盘货信息!$C:$C,盘货信息!$F:$F)&amp;"元】","【焕新补贴预估价"&amp;_xlfn.XLOOKUP(A127&amp;B127&amp;C127,盘货信息!$A:$A&amp;盘货信息!$B:$B&amp;盘货信息!$C:$C,盘货信息!$N:$N)&amp;"元】"))</f>
        <v/>
      </c>
      <c r="F127" s="18" t="str">
        <f t="array" ref="F127">IF(C127="","",_xlfn.XLOOKUP(A127&amp;B127&amp;C127,盘货信息!$A:$A&amp;盘货信息!$B:$B&amp;盘货信息!$C:$C,盘货信息!$E:$E)&amp;"元到手价")</f>
        <v/>
      </c>
      <c r="G127" s="18" t="str">
        <f t="array" ref="G127">IF(C127="","",IF(_xlfn.XLOOKUP(A127&amp;B127&amp;C127,盘货信息!$A:$A&amp;盘货信息!$B:$B&amp;盘货信息!$C:$C,盘货信息!$I:$I)="","","88VIP95折"))</f>
        <v/>
      </c>
      <c r="H127" s="18" t="str">
        <f t="array" ref="H127">IF(C127="","",IF(_xlfn.XLOOKUP(A127&amp;B127&amp;C127,盘货信息!$A:$A&amp;盘货信息!$B:$B&amp;盘货信息!$C:$C,盘货信息!$J:$J)="","",_xlfn.XLOOKUP(A127&amp;B127&amp;C127,盘货信息!$A:$A&amp;盘货信息!$B:$B&amp;盘货信息!$C:$C,盘货信息!$J:$J)&amp;"元优惠卷"))</f>
        <v/>
      </c>
      <c r="I127" s="18" t="str">
        <f t="array" ref="I127">IF(C127="","",IF(_xlfn.XLOOKUP(A127&amp;B127&amp;C127,盘货信息!$A:$A&amp;盘货信息!$B:$B&amp;盘货信息!$C:$C,盘货信息!$R:$R)="","",_xlfn.XLOOKUP(A127&amp;B127&amp;C127,盘货信息!$A:$A&amp;盘货信息!$B:$B&amp;盘货信息!$C:$C,盘货信息!$R:$R)&amp;"元优惠卷"))</f>
        <v/>
      </c>
      <c r="J127" s="18" t="str">
        <f t="array" ref="J127">IF(C127="","",IF(_xlfn.XLOOKUP(A127&amp;B127&amp;C127,盘货信息!$A:$A&amp;盘货信息!$B:$B&amp;盘货信息!$C:$C,盘货信息!$K:$K)="","",IF(OR(_xlfn.XLOOKUP(A127&amp;B127&amp;C127,盘货信息!$A:$A&amp;盘货信息!$B:$B&amp;盘货信息!$C:$C,盘货信息!$G:$G)="参加",_xlfn.XLOOKUP(A127&amp;B127&amp;C127,盘货信息!$A:$A&amp;盘货信息!$B:$B&amp;盘货信息!$C:$C,盘货信息!$H:$H)="1（纯自补）"),_xlfn.XLOOKUP(A127&amp;B127&amp;C127,盘货信息!$A:$A&amp;盘货信息!$B:$B&amp;盘货信息!$C:$C,盘货信息!$K:$K)&amp;"元以旧换新（可无旧机换新）","")))</f>
        <v/>
      </c>
      <c r="K127" s="18" t="str">
        <f t="array" ref="K127">IF(C127="","",IF(_xlfn.XLOOKUP(A127&amp;B127&amp;C127,盘货信息!$A:$A&amp;盘货信息!$B:$B&amp;盘货信息!$C:$C,盘货信息!$L:$L)="","",_xlfn.XLOOKUP(A127&amp;B127&amp;C127,盘货信息!$A:$A&amp;盘货信息!$B:$B&amp;盘货信息!$C:$C,盘货信息!$L:$L)&amp;"元限时补贴"))</f>
        <v/>
      </c>
      <c r="L127" s="18" t="str">
        <f t="array" ref="L127">IF(C127="","",IF(_xlfn.XLOOKUP(A127&amp;B127&amp;C127,盘货信息!$A:$A&amp;盘货信息!$B:$B&amp;盘货信息!$C:$C,盘货信息!$M:$M)="","",_xlfn.XLOOKUP(A127&amp;B127&amp;C127,盘货信息!$A:$A&amp;盘货信息!$B:$B&amp;盘货信息!$C:$C,盘货信息!$M:$M)&amp;"元消费券"))</f>
        <v/>
      </c>
      <c r="M127" s="18" t="str">
        <f t="array" ref="M127">IF(C127="","",IF(_xlfn.XLOOKUP(A127&amp;B127&amp;C127,盘货信息!$A:$A&amp;盘货信息!$B:$B&amp;盘货信息!$C:$C,盘货信息!$G:$G)="不参加","","焕新补贴优惠【全民可用，不限地址】"))</f>
        <v/>
      </c>
    </row>
    <row r="128" customHeight="1" spans="1:13">
      <c r="A128" s="17" t="str">
        <f>IF(盘货信息!A128="","",盘货信息!A128)</f>
        <v/>
      </c>
      <c r="B128" s="17" t="str">
        <f>IF(盘货信息!B128="","",盘货信息!B128)</f>
        <v/>
      </c>
      <c r="C128" s="20" t="str">
        <f>IF(盘货信息!C128="","",盘货信息!C128)</f>
        <v/>
      </c>
      <c r="D128" s="18" t="str">
        <f t="shared" si="1"/>
        <v/>
      </c>
      <c r="E128" s="18" t="str">
        <f t="array" ref="E128">IF(C128="","",IF(_xlfn.XLOOKUP(A128&amp;B128&amp;C128,盘货信息!$A:$A&amp;盘货信息!$B:$B&amp;盘货信息!$C:$C,盘货信息!$N:$N)="","【立减到手价"&amp;_xlfn.XLOOKUP(A128&amp;B128&amp;C128,盘货信息!$A:$A&amp;盘货信息!$B:$B&amp;盘货信息!$C:$C,盘货信息!$F:$F)&amp;"元】","【焕新补贴预估价"&amp;_xlfn.XLOOKUP(A128&amp;B128&amp;C128,盘货信息!$A:$A&amp;盘货信息!$B:$B&amp;盘货信息!$C:$C,盘货信息!$N:$N)&amp;"元】"))</f>
        <v/>
      </c>
      <c r="F128" s="18" t="str">
        <f t="array" ref="F128">IF(C128="","",_xlfn.XLOOKUP(A128&amp;B128&amp;C128,盘货信息!$A:$A&amp;盘货信息!$B:$B&amp;盘货信息!$C:$C,盘货信息!$E:$E)&amp;"元到手价")</f>
        <v/>
      </c>
      <c r="G128" s="18" t="str">
        <f t="array" ref="G128">IF(C128="","",IF(_xlfn.XLOOKUP(A128&amp;B128&amp;C128,盘货信息!$A:$A&amp;盘货信息!$B:$B&amp;盘货信息!$C:$C,盘货信息!$I:$I)="","","88VIP95折"))</f>
        <v/>
      </c>
      <c r="H128" s="18" t="str">
        <f t="array" ref="H128">IF(C128="","",IF(_xlfn.XLOOKUP(A128&amp;B128&amp;C128,盘货信息!$A:$A&amp;盘货信息!$B:$B&amp;盘货信息!$C:$C,盘货信息!$J:$J)="","",_xlfn.XLOOKUP(A128&amp;B128&amp;C128,盘货信息!$A:$A&amp;盘货信息!$B:$B&amp;盘货信息!$C:$C,盘货信息!$J:$J)&amp;"元优惠卷"))</f>
        <v/>
      </c>
      <c r="I128" s="18" t="str">
        <f t="array" ref="I128">IF(C128="","",IF(_xlfn.XLOOKUP(A128&amp;B128&amp;C128,盘货信息!$A:$A&amp;盘货信息!$B:$B&amp;盘货信息!$C:$C,盘货信息!$R:$R)="","",_xlfn.XLOOKUP(A128&amp;B128&amp;C128,盘货信息!$A:$A&amp;盘货信息!$B:$B&amp;盘货信息!$C:$C,盘货信息!$R:$R)&amp;"元优惠卷"))</f>
        <v/>
      </c>
      <c r="J128" s="18" t="str">
        <f t="array" ref="J128">IF(C128="","",IF(_xlfn.XLOOKUP(A128&amp;B128&amp;C128,盘货信息!$A:$A&amp;盘货信息!$B:$B&amp;盘货信息!$C:$C,盘货信息!$K:$K)="","",IF(OR(_xlfn.XLOOKUP(A128&amp;B128&amp;C128,盘货信息!$A:$A&amp;盘货信息!$B:$B&amp;盘货信息!$C:$C,盘货信息!$G:$G)="参加",_xlfn.XLOOKUP(A128&amp;B128&amp;C128,盘货信息!$A:$A&amp;盘货信息!$B:$B&amp;盘货信息!$C:$C,盘货信息!$H:$H)="1（纯自补）"),_xlfn.XLOOKUP(A128&amp;B128&amp;C128,盘货信息!$A:$A&amp;盘货信息!$B:$B&amp;盘货信息!$C:$C,盘货信息!$K:$K)&amp;"元以旧换新（可无旧机换新）","")))</f>
        <v/>
      </c>
      <c r="K128" s="18" t="str">
        <f t="array" ref="K128">IF(C128="","",IF(_xlfn.XLOOKUP(A128&amp;B128&amp;C128,盘货信息!$A:$A&amp;盘货信息!$B:$B&amp;盘货信息!$C:$C,盘货信息!$L:$L)="","",_xlfn.XLOOKUP(A128&amp;B128&amp;C128,盘货信息!$A:$A&amp;盘货信息!$B:$B&amp;盘货信息!$C:$C,盘货信息!$L:$L)&amp;"元限时补贴"))</f>
        <v/>
      </c>
      <c r="L128" s="18" t="str">
        <f t="array" ref="L128">IF(C128="","",IF(_xlfn.XLOOKUP(A128&amp;B128&amp;C128,盘货信息!$A:$A&amp;盘货信息!$B:$B&amp;盘货信息!$C:$C,盘货信息!$M:$M)="","",_xlfn.XLOOKUP(A128&amp;B128&amp;C128,盘货信息!$A:$A&amp;盘货信息!$B:$B&amp;盘货信息!$C:$C,盘货信息!$M:$M)&amp;"元消费券"))</f>
        <v/>
      </c>
      <c r="M128" s="18" t="str">
        <f t="array" ref="M128">IF(C128="","",IF(_xlfn.XLOOKUP(A128&amp;B128&amp;C128,盘货信息!$A:$A&amp;盘货信息!$B:$B&amp;盘货信息!$C:$C,盘货信息!$G:$G)="不参加","","焕新补贴优惠【全民可用，不限地址】"))</f>
        <v/>
      </c>
    </row>
    <row r="129" customHeight="1" spans="1:13">
      <c r="A129" s="17" t="str">
        <f>IF(盘货信息!A129="","",盘货信息!A129)</f>
        <v/>
      </c>
      <c r="B129" s="17" t="str">
        <f>IF(盘货信息!B129="","",盘货信息!B129)</f>
        <v/>
      </c>
      <c r="C129" s="20" t="str">
        <f>IF(盘货信息!C129="","",盘货信息!C129)</f>
        <v/>
      </c>
      <c r="D129" s="18" t="str">
        <f t="shared" si="1"/>
        <v/>
      </c>
      <c r="E129" s="18" t="str">
        <f t="array" ref="E129">IF(C129="","",IF(_xlfn.XLOOKUP(A129&amp;B129&amp;C129,盘货信息!$A:$A&amp;盘货信息!$B:$B&amp;盘货信息!$C:$C,盘货信息!$N:$N)="","【立减到手价"&amp;_xlfn.XLOOKUP(A129&amp;B129&amp;C129,盘货信息!$A:$A&amp;盘货信息!$B:$B&amp;盘货信息!$C:$C,盘货信息!$F:$F)&amp;"元】","【焕新补贴预估价"&amp;_xlfn.XLOOKUP(A129&amp;B129&amp;C129,盘货信息!$A:$A&amp;盘货信息!$B:$B&amp;盘货信息!$C:$C,盘货信息!$N:$N)&amp;"元】"))</f>
        <v/>
      </c>
      <c r="F129" s="18" t="str">
        <f t="array" ref="F129">IF(C129="","",_xlfn.XLOOKUP(A129&amp;B129&amp;C129,盘货信息!$A:$A&amp;盘货信息!$B:$B&amp;盘货信息!$C:$C,盘货信息!$E:$E)&amp;"元到手价")</f>
        <v/>
      </c>
      <c r="G129" s="18" t="str">
        <f t="array" ref="G129">IF(C129="","",IF(_xlfn.XLOOKUP(A129&amp;B129&amp;C129,盘货信息!$A:$A&amp;盘货信息!$B:$B&amp;盘货信息!$C:$C,盘货信息!$I:$I)="","","88VIP95折"))</f>
        <v/>
      </c>
      <c r="H129" s="18" t="str">
        <f t="array" ref="H129">IF(C129="","",IF(_xlfn.XLOOKUP(A129&amp;B129&amp;C129,盘货信息!$A:$A&amp;盘货信息!$B:$B&amp;盘货信息!$C:$C,盘货信息!$J:$J)="","",_xlfn.XLOOKUP(A129&amp;B129&amp;C129,盘货信息!$A:$A&amp;盘货信息!$B:$B&amp;盘货信息!$C:$C,盘货信息!$J:$J)&amp;"元优惠卷"))</f>
        <v/>
      </c>
      <c r="I129" s="18" t="str">
        <f t="array" ref="I129">IF(C129="","",IF(_xlfn.XLOOKUP(A129&amp;B129&amp;C129,盘货信息!$A:$A&amp;盘货信息!$B:$B&amp;盘货信息!$C:$C,盘货信息!$R:$R)="","",_xlfn.XLOOKUP(A129&amp;B129&amp;C129,盘货信息!$A:$A&amp;盘货信息!$B:$B&amp;盘货信息!$C:$C,盘货信息!$R:$R)&amp;"元优惠卷"))</f>
        <v/>
      </c>
      <c r="J129" s="18" t="str">
        <f t="array" ref="J129">IF(C129="","",IF(_xlfn.XLOOKUP(A129&amp;B129&amp;C129,盘货信息!$A:$A&amp;盘货信息!$B:$B&amp;盘货信息!$C:$C,盘货信息!$K:$K)="","",IF(OR(_xlfn.XLOOKUP(A129&amp;B129&amp;C129,盘货信息!$A:$A&amp;盘货信息!$B:$B&amp;盘货信息!$C:$C,盘货信息!$G:$G)="参加",_xlfn.XLOOKUP(A129&amp;B129&amp;C129,盘货信息!$A:$A&amp;盘货信息!$B:$B&amp;盘货信息!$C:$C,盘货信息!$H:$H)="1（纯自补）"),_xlfn.XLOOKUP(A129&amp;B129&amp;C129,盘货信息!$A:$A&amp;盘货信息!$B:$B&amp;盘货信息!$C:$C,盘货信息!$K:$K)&amp;"元以旧换新（可无旧机换新）","")))</f>
        <v/>
      </c>
      <c r="K129" s="18" t="str">
        <f t="array" ref="K129">IF(C129="","",IF(_xlfn.XLOOKUP(A129&amp;B129&amp;C129,盘货信息!$A:$A&amp;盘货信息!$B:$B&amp;盘货信息!$C:$C,盘货信息!$L:$L)="","",_xlfn.XLOOKUP(A129&amp;B129&amp;C129,盘货信息!$A:$A&amp;盘货信息!$B:$B&amp;盘货信息!$C:$C,盘货信息!$L:$L)&amp;"元限时补贴"))</f>
        <v/>
      </c>
      <c r="L129" s="18" t="str">
        <f t="array" ref="L129">IF(C129="","",IF(_xlfn.XLOOKUP(A129&amp;B129&amp;C129,盘货信息!$A:$A&amp;盘货信息!$B:$B&amp;盘货信息!$C:$C,盘货信息!$M:$M)="","",_xlfn.XLOOKUP(A129&amp;B129&amp;C129,盘货信息!$A:$A&amp;盘货信息!$B:$B&amp;盘货信息!$C:$C,盘货信息!$M:$M)&amp;"元消费券"))</f>
        <v/>
      </c>
      <c r="M129" s="18" t="str">
        <f t="array" ref="M129">IF(C129="","",IF(_xlfn.XLOOKUP(A129&amp;B129&amp;C129,盘货信息!$A:$A&amp;盘货信息!$B:$B&amp;盘货信息!$C:$C,盘货信息!$G:$G)="不参加","","焕新补贴优惠【全民可用，不限地址】"))</f>
        <v/>
      </c>
    </row>
    <row r="130" customHeight="1" spans="1:13">
      <c r="A130" s="17" t="str">
        <f>IF(盘货信息!A130="","",盘货信息!A130)</f>
        <v/>
      </c>
      <c r="B130" s="17" t="str">
        <f>IF(盘货信息!B130="","",盘货信息!B130)</f>
        <v/>
      </c>
      <c r="C130" s="20" t="str">
        <f>IF(盘货信息!C130="","",盘货信息!C130)</f>
        <v/>
      </c>
      <c r="D130" s="18" t="str">
        <f t="shared" ref="D130:D193" si="2">IF(C130="","",E130&amp;"="&amp;F130&amp;IF(G130="","","-"&amp;G130)&amp;IF(H130="","","-"&amp;H130)&amp;IF(I130="","","-"&amp;I130)&amp;IF(J130="","","-"&amp;J130)&amp;IF(K130="","","-"&amp;K130)&amp;IF(L130="","","-"&amp;L130)&amp;IF(M130="","","-"&amp;M130))</f>
        <v/>
      </c>
      <c r="E130" s="18" t="str">
        <f t="array" ref="E130">IF(C130="","",IF(_xlfn.XLOOKUP(A130&amp;B130&amp;C130,盘货信息!$A:$A&amp;盘货信息!$B:$B&amp;盘货信息!$C:$C,盘货信息!$N:$N)="","【立减到手价"&amp;_xlfn.XLOOKUP(A130&amp;B130&amp;C130,盘货信息!$A:$A&amp;盘货信息!$B:$B&amp;盘货信息!$C:$C,盘货信息!$F:$F)&amp;"元】","【焕新补贴预估价"&amp;_xlfn.XLOOKUP(A130&amp;B130&amp;C130,盘货信息!$A:$A&amp;盘货信息!$B:$B&amp;盘货信息!$C:$C,盘货信息!$N:$N)&amp;"元】"))</f>
        <v/>
      </c>
      <c r="F130" s="18" t="str">
        <f t="array" ref="F130">IF(C130="","",_xlfn.XLOOKUP(A130&amp;B130&amp;C130,盘货信息!$A:$A&amp;盘货信息!$B:$B&amp;盘货信息!$C:$C,盘货信息!$E:$E)&amp;"元到手价")</f>
        <v/>
      </c>
      <c r="G130" s="18" t="str">
        <f t="array" ref="G130">IF(C130="","",IF(_xlfn.XLOOKUP(A130&amp;B130&amp;C130,盘货信息!$A:$A&amp;盘货信息!$B:$B&amp;盘货信息!$C:$C,盘货信息!$I:$I)="","","88VIP95折"))</f>
        <v/>
      </c>
      <c r="H130" s="18" t="str">
        <f t="array" ref="H130">IF(C130="","",IF(_xlfn.XLOOKUP(A130&amp;B130&amp;C130,盘货信息!$A:$A&amp;盘货信息!$B:$B&amp;盘货信息!$C:$C,盘货信息!$J:$J)="","",_xlfn.XLOOKUP(A130&amp;B130&amp;C130,盘货信息!$A:$A&amp;盘货信息!$B:$B&amp;盘货信息!$C:$C,盘货信息!$J:$J)&amp;"元优惠卷"))</f>
        <v/>
      </c>
      <c r="I130" s="18" t="str">
        <f t="array" ref="I130">IF(C130="","",IF(_xlfn.XLOOKUP(A130&amp;B130&amp;C130,盘货信息!$A:$A&amp;盘货信息!$B:$B&amp;盘货信息!$C:$C,盘货信息!$R:$R)="","",_xlfn.XLOOKUP(A130&amp;B130&amp;C130,盘货信息!$A:$A&amp;盘货信息!$B:$B&amp;盘货信息!$C:$C,盘货信息!$R:$R)&amp;"元优惠卷"))</f>
        <v/>
      </c>
      <c r="J130" s="18" t="str">
        <f t="array" ref="J130">IF(C130="","",IF(_xlfn.XLOOKUP(A130&amp;B130&amp;C130,盘货信息!$A:$A&amp;盘货信息!$B:$B&amp;盘货信息!$C:$C,盘货信息!$K:$K)="","",IF(OR(_xlfn.XLOOKUP(A130&amp;B130&amp;C130,盘货信息!$A:$A&amp;盘货信息!$B:$B&amp;盘货信息!$C:$C,盘货信息!$G:$G)="参加",_xlfn.XLOOKUP(A130&amp;B130&amp;C130,盘货信息!$A:$A&amp;盘货信息!$B:$B&amp;盘货信息!$C:$C,盘货信息!$H:$H)="1（纯自补）"),_xlfn.XLOOKUP(A130&amp;B130&amp;C130,盘货信息!$A:$A&amp;盘货信息!$B:$B&amp;盘货信息!$C:$C,盘货信息!$K:$K)&amp;"元以旧换新（可无旧机换新）","")))</f>
        <v/>
      </c>
      <c r="K130" s="18" t="str">
        <f t="array" ref="K130">IF(C130="","",IF(_xlfn.XLOOKUP(A130&amp;B130&amp;C130,盘货信息!$A:$A&amp;盘货信息!$B:$B&amp;盘货信息!$C:$C,盘货信息!$L:$L)="","",_xlfn.XLOOKUP(A130&amp;B130&amp;C130,盘货信息!$A:$A&amp;盘货信息!$B:$B&amp;盘货信息!$C:$C,盘货信息!$L:$L)&amp;"元限时补贴"))</f>
        <v/>
      </c>
      <c r="L130" s="18" t="str">
        <f t="array" ref="L130">IF(C130="","",IF(_xlfn.XLOOKUP(A130&amp;B130&amp;C130,盘货信息!$A:$A&amp;盘货信息!$B:$B&amp;盘货信息!$C:$C,盘货信息!$M:$M)="","",_xlfn.XLOOKUP(A130&amp;B130&amp;C130,盘货信息!$A:$A&amp;盘货信息!$B:$B&amp;盘货信息!$C:$C,盘货信息!$M:$M)&amp;"元消费券"))</f>
        <v/>
      </c>
      <c r="M130" s="18" t="str">
        <f t="array" ref="M130">IF(C130="","",IF(_xlfn.XLOOKUP(A130&amp;B130&amp;C130,盘货信息!$A:$A&amp;盘货信息!$B:$B&amp;盘货信息!$C:$C,盘货信息!$G:$G)="不参加","","焕新补贴优惠【全民可用，不限地址】"))</f>
        <v/>
      </c>
    </row>
    <row r="131" customHeight="1" spans="1:13">
      <c r="A131" s="17" t="str">
        <f>IF(盘货信息!A131="","",盘货信息!A131)</f>
        <v/>
      </c>
      <c r="B131" s="17" t="str">
        <f>IF(盘货信息!B131="","",盘货信息!B131)</f>
        <v/>
      </c>
      <c r="C131" s="20" t="str">
        <f>IF(盘货信息!C131="","",盘货信息!C131)</f>
        <v/>
      </c>
      <c r="D131" s="18" t="str">
        <f t="shared" si="2"/>
        <v/>
      </c>
      <c r="E131" s="18" t="str">
        <f t="array" ref="E131">IF(C131="","",IF(_xlfn.XLOOKUP(A131&amp;B131&amp;C131,盘货信息!$A:$A&amp;盘货信息!$B:$B&amp;盘货信息!$C:$C,盘货信息!$N:$N)="","【立减到手价"&amp;_xlfn.XLOOKUP(A131&amp;B131&amp;C131,盘货信息!$A:$A&amp;盘货信息!$B:$B&amp;盘货信息!$C:$C,盘货信息!$F:$F)&amp;"元】","【焕新补贴预估价"&amp;_xlfn.XLOOKUP(A131&amp;B131&amp;C131,盘货信息!$A:$A&amp;盘货信息!$B:$B&amp;盘货信息!$C:$C,盘货信息!$N:$N)&amp;"元】"))</f>
        <v/>
      </c>
      <c r="F131" s="18" t="str">
        <f t="array" ref="F131">IF(C131="","",_xlfn.XLOOKUP(A131&amp;B131&amp;C131,盘货信息!$A:$A&amp;盘货信息!$B:$B&amp;盘货信息!$C:$C,盘货信息!$E:$E)&amp;"元到手价")</f>
        <v/>
      </c>
      <c r="G131" s="18" t="str">
        <f t="array" ref="G131">IF(C131="","",IF(_xlfn.XLOOKUP(A131&amp;B131&amp;C131,盘货信息!$A:$A&amp;盘货信息!$B:$B&amp;盘货信息!$C:$C,盘货信息!$I:$I)="","","88VIP95折"))</f>
        <v/>
      </c>
      <c r="H131" s="18" t="str">
        <f t="array" ref="H131">IF(C131="","",IF(_xlfn.XLOOKUP(A131&amp;B131&amp;C131,盘货信息!$A:$A&amp;盘货信息!$B:$B&amp;盘货信息!$C:$C,盘货信息!$J:$J)="","",_xlfn.XLOOKUP(A131&amp;B131&amp;C131,盘货信息!$A:$A&amp;盘货信息!$B:$B&amp;盘货信息!$C:$C,盘货信息!$J:$J)&amp;"元优惠卷"))</f>
        <v/>
      </c>
      <c r="I131" s="18" t="str">
        <f t="array" ref="I131">IF(C131="","",IF(_xlfn.XLOOKUP(A131&amp;B131&amp;C131,盘货信息!$A:$A&amp;盘货信息!$B:$B&amp;盘货信息!$C:$C,盘货信息!$R:$R)="","",_xlfn.XLOOKUP(A131&amp;B131&amp;C131,盘货信息!$A:$A&amp;盘货信息!$B:$B&amp;盘货信息!$C:$C,盘货信息!$R:$R)&amp;"元优惠卷"))</f>
        <v/>
      </c>
      <c r="J131" s="18" t="str">
        <f t="array" ref="J131">IF(C131="","",IF(_xlfn.XLOOKUP(A131&amp;B131&amp;C131,盘货信息!$A:$A&amp;盘货信息!$B:$B&amp;盘货信息!$C:$C,盘货信息!$K:$K)="","",IF(OR(_xlfn.XLOOKUP(A131&amp;B131&amp;C131,盘货信息!$A:$A&amp;盘货信息!$B:$B&amp;盘货信息!$C:$C,盘货信息!$G:$G)="参加",_xlfn.XLOOKUP(A131&amp;B131&amp;C131,盘货信息!$A:$A&amp;盘货信息!$B:$B&amp;盘货信息!$C:$C,盘货信息!$H:$H)="1（纯自补）"),_xlfn.XLOOKUP(A131&amp;B131&amp;C131,盘货信息!$A:$A&amp;盘货信息!$B:$B&amp;盘货信息!$C:$C,盘货信息!$K:$K)&amp;"元以旧换新（可无旧机换新）","")))</f>
        <v/>
      </c>
      <c r="K131" s="18" t="str">
        <f t="array" ref="K131">IF(C131="","",IF(_xlfn.XLOOKUP(A131&amp;B131&amp;C131,盘货信息!$A:$A&amp;盘货信息!$B:$B&amp;盘货信息!$C:$C,盘货信息!$L:$L)="","",_xlfn.XLOOKUP(A131&amp;B131&amp;C131,盘货信息!$A:$A&amp;盘货信息!$B:$B&amp;盘货信息!$C:$C,盘货信息!$L:$L)&amp;"元限时补贴"))</f>
        <v/>
      </c>
      <c r="L131" s="18" t="str">
        <f t="array" ref="L131">IF(C131="","",IF(_xlfn.XLOOKUP(A131&amp;B131&amp;C131,盘货信息!$A:$A&amp;盘货信息!$B:$B&amp;盘货信息!$C:$C,盘货信息!$M:$M)="","",_xlfn.XLOOKUP(A131&amp;B131&amp;C131,盘货信息!$A:$A&amp;盘货信息!$B:$B&amp;盘货信息!$C:$C,盘货信息!$M:$M)&amp;"元消费券"))</f>
        <v/>
      </c>
      <c r="M131" s="18" t="str">
        <f t="array" ref="M131">IF(C131="","",IF(_xlfn.XLOOKUP(A131&amp;B131&amp;C131,盘货信息!$A:$A&amp;盘货信息!$B:$B&amp;盘货信息!$C:$C,盘货信息!$G:$G)="不参加","","焕新补贴优惠【全民可用，不限地址】"))</f>
        <v/>
      </c>
    </row>
    <row r="132" customHeight="1" spans="1:13">
      <c r="A132" s="17" t="str">
        <f>IF(盘货信息!A132="","",盘货信息!A132)</f>
        <v/>
      </c>
      <c r="B132" s="17" t="str">
        <f>IF(盘货信息!B132="","",盘货信息!B132)</f>
        <v/>
      </c>
      <c r="C132" s="20" t="str">
        <f>IF(盘货信息!C132="","",盘货信息!C132)</f>
        <v/>
      </c>
      <c r="D132" s="18" t="str">
        <f t="shared" si="2"/>
        <v/>
      </c>
      <c r="E132" s="18" t="str">
        <f t="array" ref="E132">IF(C132="","",IF(_xlfn.XLOOKUP(A132&amp;B132&amp;C132,盘货信息!$A:$A&amp;盘货信息!$B:$B&amp;盘货信息!$C:$C,盘货信息!$N:$N)="","【立减到手价"&amp;_xlfn.XLOOKUP(A132&amp;B132&amp;C132,盘货信息!$A:$A&amp;盘货信息!$B:$B&amp;盘货信息!$C:$C,盘货信息!$F:$F)&amp;"元】","【焕新补贴预估价"&amp;_xlfn.XLOOKUP(A132&amp;B132&amp;C132,盘货信息!$A:$A&amp;盘货信息!$B:$B&amp;盘货信息!$C:$C,盘货信息!$N:$N)&amp;"元】"))</f>
        <v/>
      </c>
      <c r="F132" s="18" t="str">
        <f t="array" ref="F132">IF(C132="","",_xlfn.XLOOKUP(A132&amp;B132&amp;C132,盘货信息!$A:$A&amp;盘货信息!$B:$B&amp;盘货信息!$C:$C,盘货信息!$E:$E)&amp;"元到手价")</f>
        <v/>
      </c>
      <c r="G132" s="18" t="str">
        <f t="array" ref="G132">IF(C132="","",IF(_xlfn.XLOOKUP(A132&amp;B132&amp;C132,盘货信息!$A:$A&amp;盘货信息!$B:$B&amp;盘货信息!$C:$C,盘货信息!$I:$I)="","","88VIP95折"))</f>
        <v/>
      </c>
      <c r="H132" s="18" t="str">
        <f t="array" ref="H132">IF(C132="","",IF(_xlfn.XLOOKUP(A132&amp;B132&amp;C132,盘货信息!$A:$A&amp;盘货信息!$B:$B&amp;盘货信息!$C:$C,盘货信息!$J:$J)="","",_xlfn.XLOOKUP(A132&amp;B132&amp;C132,盘货信息!$A:$A&amp;盘货信息!$B:$B&amp;盘货信息!$C:$C,盘货信息!$J:$J)&amp;"元优惠卷"))</f>
        <v/>
      </c>
      <c r="I132" s="18" t="str">
        <f t="array" ref="I132">IF(C132="","",IF(_xlfn.XLOOKUP(A132&amp;B132&amp;C132,盘货信息!$A:$A&amp;盘货信息!$B:$B&amp;盘货信息!$C:$C,盘货信息!$R:$R)="","",_xlfn.XLOOKUP(A132&amp;B132&amp;C132,盘货信息!$A:$A&amp;盘货信息!$B:$B&amp;盘货信息!$C:$C,盘货信息!$R:$R)&amp;"元优惠卷"))</f>
        <v/>
      </c>
      <c r="J132" s="18" t="str">
        <f t="array" ref="J132">IF(C132="","",IF(_xlfn.XLOOKUP(A132&amp;B132&amp;C132,盘货信息!$A:$A&amp;盘货信息!$B:$B&amp;盘货信息!$C:$C,盘货信息!$K:$K)="","",IF(OR(_xlfn.XLOOKUP(A132&amp;B132&amp;C132,盘货信息!$A:$A&amp;盘货信息!$B:$B&amp;盘货信息!$C:$C,盘货信息!$G:$G)="参加",_xlfn.XLOOKUP(A132&amp;B132&amp;C132,盘货信息!$A:$A&amp;盘货信息!$B:$B&amp;盘货信息!$C:$C,盘货信息!$H:$H)="1（纯自补）"),_xlfn.XLOOKUP(A132&amp;B132&amp;C132,盘货信息!$A:$A&amp;盘货信息!$B:$B&amp;盘货信息!$C:$C,盘货信息!$K:$K)&amp;"元以旧换新（可无旧机换新）","")))</f>
        <v/>
      </c>
      <c r="K132" s="18" t="str">
        <f t="array" ref="K132">IF(C132="","",IF(_xlfn.XLOOKUP(A132&amp;B132&amp;C132,盘货信息!$A:$A&amp;盘货信息!$B:$B&amp;盘货信息!$C:$C,盘货信息!$L:$L)="","",_xlfn.XLOOKUP(A132&amp;B132&amp;C132,盘货信息!$A:$A&amp;盘货信息!$B:$B&amp;盘货信息!$C:$C,盘货信息!$L:$L)&amp;"元限时补贴"))</f>
        <v/>
      </c>
      <c r="L132" s="18" t="str">
        <f t="array" ref="L132">IF(C132="","",IF(_xlfn.XLOOKUP(A132&amp;B132&amp;C132,盘货信息!$A:$A&amp;盘货信息!$B:$B&amp;盘货信息!$C:$C,盘货信息!$M:$M)="","",_xlfn.XLOOKUP(A132&amp;B132&amp;C132,盘货信息!$A:$A&amp;盘货信息!$B:$B&amp;盘货信息!$C:$C,盘货信息!$M:$M)&amp;"元消费券"))</f>
        <v/>
      </c>
      <c r="M132" s="18" t="str">
        <f t="array" ref="M132">IF(C132="","",IF(_xlfn.XLOOKUP(A132&amp;B132&amp;C132,盘货信息!$A:$A&amp;盘货信息!$B:$B&amp;盘货信息!$C:$C,盘货信息!$G:$G)="不参加","","焕新补贴优惠【全民可用，不限地址】"))</f>
        <v/>
      </c>
    </row>
    <row r="133" customHeight="1" spans="1:13">
      <c r="A133" s="17" t="str">
        <f>IF(盘货信息!A133="","",盘货信息!A133)</f>
        <v/>
      </c>
      <c r="B133" s="17" t="str">
        <f>IF(盘货信息!B133="","",盘货信息!B133)</f>
        <v/>
      </c>
      <c r="C133" s="20" t="str">
        <f>IF(盘货信息!C133="","",盘货信息!C133)</f>
        <v/>
      </c>
      <c r="D133" s="18" t="str">
        <f t="shared" si="2"/>
        <v/>
      </c>
      <c r="E133" s="18" t="str">
        <f t="array" ref="E133">IF(C133="","",IF(_xlfn.XLOOKUP(A133&amp;B133&amp;C133,盘货信息!$A:$A&amp;盘货信息!$B:$B&amp;盘货信息!$C:$C,盘货信息!$N:$N)="","【立减到手价"&amp;_xlfn.XLOOKUP(A133&amp;B133&amp;C133,盘货信息!$A:$A&amp;盘货信息!$B:$B&amp;盘货信息!$C:$C,盘货信息!$F:$F)&amp;"元】","【焕新补贴预估价"&amp;_xlfn.XLOOKUP(A133&amp;B133&amp;C133,盘货信息!$A:$A&amp;盘货信息!$B:$B&amp;盘货信息!$C:$C,盘货信息!$N:$N)&amp;"元】"))</f>
        <v/>
      </c>
      <c r="F133" s="18" t="str">
        <f t="array" ref="F133">IF(C133="","",_xlfn.XLOOKUP(A133&amp;B133&amp;C133,盘货信息!$A:$A&amp;盘货信息!$B:$B&amp;盘货信息!$C:$C,盘货信息!$E:$E)&amp;"元到手价")</f>
        <v/>
      </c>
      <c r="G133" s="18" t="str">
        <f t="array" ref="G133">IF(C133="","",IF(_xlfn.XLOOKUP(A133&amp;B133&amp;C133,盘货信息!$A:$A&amp;盘货信息!$B:$B&amp;盘货信息!$C:$C,盘货信息!$I:$I)="","","88VIP95折"))</f>
        <v/>
      </c>
      <c r="H133" s="18" t="str">
        <f t="array" ref="H133">IF(C133="","",IF(_xlfn.XLOOKUP(A133&amp;B133&amp;C133,盘货信息!$A:$A&amp;盘货信息!$B:$B&amp;盘货信息!$C:$C,盘货信息!$J:$J)="","",_xlfn.XLOOKUP(A133&amp;B133&amp;C133,盘货信息!$A:$A&amp;盘货信息!$B:$B&amp;盘货信息!$C:$C,盘货信息!$J:$J)&amp;"元优惠卷"))</f>
        <v/>
      </c>
      <c r="I133" s="18" t="str">
        <f t="array" ref="I133">IF(C133="","",IF(_xlfn.XLOOKUP(A133&amp;B133&amp;C133,盘货信息!$A:$A&amp;盘货信息!$B:$B&amp;盘货信息!$C:$C,盘货信息!$R:$R)="","",_xlfn.XLOOKUP(A133&amp;B133&amp;C133,盘货信息!$A:$A&amp;盘货信息!$B:$B&amp;盘货信息!$C:$C,盘货信息!$R:$R)&amp;"元优惠卷"))</f>
        <v/>
      </c>
      <c r="J133" s="18" t="str">
        <f t="array" ref="J133">IF(C133="","",IF(_xlfn.XLOOKUP(A133&amp;B133&amp;C133,盘货信息!$A:$A&amp;盘货信息!$B:$B&amp;盘货信息!$C:$C,盘货信息!$K:$K)="","",IF(OR(_xlfn.XLOOKUP(A133&amp;B133&amp;C133,盘货信息!$A:$A&amp;盘货信息!$B:$B&amp;盘货信息!$C:$C,盘货信息!$G:$G)="参加",_xlfn.XLOOKUP(A133&amp;B133&amp;C133,盘货信息!$A:$A&amp;盘货信息!$B:$B&amp;盘货信息!$C:$C,盘货信息!$H:$H)="1（纯自补）"),_xlfn.XLOOKUP(A133&amp;B133&amp;C133,盘货信息!$A:$A&amp;盘货信息!$B:$B&amp;盘货信息!$C:$C,盘货信息!$K:$K)&amp;"元以旧换新（可无旧机换新）","")))</f>
        <v/>
      </c>
      <c r="K133" s="18" t="str">
        <f t="array" ref="K133">IF(C133="","",IF(_xlfn.XLOOKUP(A133&amp;B133&amp;C133,盘货信息!$A:$A&amp;盘货信息!$B:$B&amp;盘货信息!$C:$C,盘货信息!$L:$L)="","",_xlfn.XLOOKUP(A133&amp;B133&amp;C133,盘货信息!$A:$A&amp;盘货信息!$B:$B&amp;盘货信息!$C:$C,盘货信息!$L:$L)&amp;"元限时补贴"))</f>
        <v/>
      </c>
      <c r="L133" s="18" t="str">
        <f t="array" ref="L133">IF(C133="","",IF(_xlfn.XLOOKUP(A133&amp;B133&amp;C133,盘货信息!$A:$A&amp;盘货信息!$B:$B&amp;盘货信息!$C:$C,盘货信息!$M:$M)="","",_xlfn.XLOOKUP(A133&amp;B133&amp;C133,盘货信息!$A:$A&amp;盘货信息!$B:$B&amp;盘货信息!$C:$C,盘货信息!$M:$M)&amp;"元消费券"))</f>
        <v/>
      </c>
      <c r="M133" s="18" t="str">
        <f t="array" ref="M133">IF(C133="","",IF(_xlfn.XLOOKUP(A133&amp;B133&amp;C133,盘货信息!$A:$A&amp;盘货信息!$B:$B&amp;盘货信息!$C:$C,盘货信息!$G:$G)="不参加","","焕新补贴优惠【全民可用，不限地址】"))</f>
        <v/>
      </c>
    </row>
    <row r="134" customHeight="1" spans="1:13">
      <c r="A134" s="17" t="str">
        <f>IF(盘货信息!A134="","",盘货信息!A134)</f>
        <v/>
      </c>
      <c r="B134" s="17" t="str">
        <f>IF(盘货信息!B134="","",盘货信息!B134)</f>
        <v/>
      </c>
      <c r="C134" s="20" t="str">
        <f>IF(盘货信息!C134="","",盘货信息!C134)</f>
        <v/>
      </c>
      <c r="D134" s="18" t="str">
        <f t="shared" si="2"/>
        <v/>
      </c>
      <c r="E134" s="18" t="str">
        <f t="array" ref="E134">IF(C134="","",IF(_xlfn.XLOOKUP(A134&amp;B134&amp;C134,盘货信息!$A:$A&amp;盘货信息!$B:$B&amp;盘货信息!$C:$C,盘货信息!$N:$N)="","【立减到手价"&amp;_xlfn.XLOOKUP(A134&amp;B134&amp;C134,盘货信息!$A:$A&amp;盘货信息!$B:$B&amp;盘货信息!$C:$C,盘货信息!$F:$F)&amp;"元】","【焕新补贴预估价"&amp;_xlfn.XLOOKUP(A134&amp;B134&amp;C134,盘货信息!$A:$A&amp;盘货信息!$B:$B&amp;盘货信息!$C:$C,盘货信息!$N:$N)&amp;"元】"))</f>
        <v/>
      </c>
      <c r="F134" s="18" t="str">
        <f t="array" ref="F134">IF(C134="","",_xlfn.XLOOKUP(A134&amp;B134&amp;C134,盘货信息!$A:$A&amp;盘货信息!$B:$B&amp;盘货信息!$C:$C,盘货信息!$E:$E)&amp;"元到手价")</f>
        <v/>
      </c>
      <c r="G134" s="18" t="str">
        <f t="array" ref="G134">IF(C134="","",IF(_xlfn.XLOOKUP(A134&amp;B134&amp;C134,盘货信息!$A:$A&amp;盘货信息!$B:$B&amp;盘货信息!$C:$C,盘货信息!$I:$I)="","","88VIP95折"))</f>
        <v/>
      </c>
      <c r="H134" s="18" t="str">
        <f t="array" ref="H134">IF(C134="","",IF(_xlfn.XLOOKUP(A134&amp;B134&amp;C134,盘货信息!$A:$A&amp;盘货信息!$B:$B&amp;盘货信息!$C:$C,盘货信息!$J:$J)="","",_xlfn.XLOOKUP(A134&amp;B134&amp;C134,盘货信息!$A:$A&amp;盘货信息!$B:$B&amp;盘货信息!$C:$C,盘货信息!$J:$J)&amp;"元优惠卷"))</f>
        <v/>
      </c>
      <c r="I134" s="18" t="str">
        <f t="array" ref="I134">IF(C134="","",IF(_xlfn.XLOOKUP(A134&amp;B134&amp;C134,盘货信息!$A:$A&amp;盘货信息!$B:$B&amp;盘货信息!$C:$C,盘货信息!$R:$R)="","",_xlfn.XLOOKUP(A134&amp;B134&amp;C134,盘货信息!$A:$A&amp;盘货信息!$B:$B&amp;盘货信息!$C:$C,盘货信息!$R:$R)&amp;"元优惠卷"))</f>
        <v/>
      </c>
      <c r="J134" s="18" t="str">
        <f t="array" ref="J134">IF(C134="","",IF(_xlfn.XLOOKUP(A134&amp;B134&amp;C134,盘货信息!$A:$A&amp;盘货信息!$B:$B&amp;盘货信息!$C:$C,盘货信息!$K:$K)="","",IF(OR(_xlfn.XLOOKUP(A134&amp;B134&amp;C134,盘货信息!$A:$A&amp;盘货信息!$B:$B&amp;盘货信息!$C:$C,盘货信息!$G:$G)="参加",_xlfn.XLOOKUP(A134&amp;B134&amp;C134,盘货信息!$A:$A&amp;盘货信息!$B:$B&amp;盘货信息!$C:$C,盘货信息!$H:$H)="1（纯自补）"),_xlfn.XLOOKUP(A134&amp;B134&amp;C134,盘货信息!$A:$A&amp;盘货信息!$B:$B&amp;盘货信息!$C:$C,盘货信息!$K:$K)&amp;"元以旧换新（可无旧机换新）","")))</f>
        <v/>
      </c>
      <c r="K134" s="18" t="str">
        <f t="array" ref="K134">IF(C134="","",IF(_xlfn.XLOOKUP(A134&amp;B134&amp;C134,盘货信息!$A:$A&amp;盘货信息!$B:$B&amp;盘货信息!$C:$C,盘货信息!$L:$L)="","",_xlfn.XLOOKUP(A134&amp;B134&amp;C134,盘货信息!$A:$A&amp;盘货信息!$B:$B&amp;盘货信息!$C:$C,盘货信息!$L:$L)&amp;"元限时补贴"))</f>
        <v/>
      </c>
      <c r="L134" s="18" t="str">
        <f t="array" ref="L134">IF(C134="","",IF(_xlfn.XLOOKUP(A134&amp;B134&amp;C134,盘货信息!$A:$A&amp;盘货信息!$B:$B&amp;盘货信息!$C:$C,盘货信息!$M:$M)="","",_xlfn.XLOOKUP(A134&amp;B134&amp;C134,盘货信息!$A:$A&amp;盘货信息!$B:$B&amp;盘货信息!$C:$C,盘货信息!$M:$M)&amp;"元消费券"))</f>
        <v/>
      </c>
      <c r="M134" s="18" t="str">
        <f t="array" ref="M134">IF(C134="","",IF(_xlfn.XLOOKUP(A134&amp;B134&amp;C134,盘货信息!$A:$A&amp;盘货信息!$B:$B&amp;盘货信息!$C:$C,盘货信息!$G:$G)="不参加","","焕新补贴优惠【全民可用，不限地址】"))</f>
        <v/>
      </c>
    </row>
    <row r="135" customHeight="1" spans="1:13">
      <c r="A135" s="17" t="str">
        <f>IF(盘货信息!A135="","",盘货信息!A135)</f>
        <v/>
      </c>
      <c r="B135" s="17" t="str">
        <f>IF(盘货信息!B135="","",盘货信息!B135)</f>
        <v/>
      </c>
      <c r="C135" s="20" t="str">
        <f>IF(盘货信息!C135="","",盘货信息!C135)</f>
        <v/>
      </c>
      <c r="D135" s="18" t="str">
        <f t="shared" si="2"/>
        <v/>
      </c>
      <c r="E135" s="18" t="str">
        <f t="array" ref="E135">IF(C135="","",IF(_xlfn.XLOOKUP(A135&amp;B135&amp;C135,盘货信息!$A:$A&amp;盘货信息!$B:$B&amp;盘货信息!$C:$C,盘货信息!$N:$N)="","【立减到手价"&amp;_xlfn.XLOOKUP(A135&amp;B135&amp;C135,盘货信息!$A:$A&amp;盘货信息!$B:$B&amp;盘货信息!$C:$C,盘货信息!$F:$F)&amp;"元】","【焕新补贴预估价"&amp;_xlfn.XLOOKUP(A135&amp;B135&amp;C135,盘货信息!$A:$A&amp;盘货信息!$B:$B&amp;盘货信息!$C:$C,盘货信息!$N:$N)&amp;"元】"))</f>
        <v/>
      </c>
      <c r="F135" s="18" t="str">
        <f t="array" ref="F135">IF(C135="","",_xlfn.XLOOKUP(A135&amp;B135&amp;C135,盘货信息!$A:$A&amp;盘货信息!$B:$B&amp;盘货信息!$C:$C,盘货信息!$E:$E)&amp;"元到手价")</f>
        <v/>
      </c>
      <c r="G135" s="18" t="str">
        <f t="array" ref="G135">IF(C135="","",IF(_xlfn.XLOOKUP(A135&amp;B135&amp;C135,盘货信息!$A:$A&amp;盘货信息!$B:$B&amp;盘货信息!$C:$C,盘货信息!$I:$I)="","","88VIP95折"))</f>
        <v/>
      </c>
      <c r="H135" s="18" t="str">
        <f t="array" ref="H135">IF(C135="","",IF(_xlfn.XLOOKUP(A135&amp;B135&amp;C135,盘货信息!$A:$A&amp;盘货信息!$B:$B&amp;盘货信息!$C:$C,盘货信息!$J:$J)="","",_xlfn.XLOOKUP(A135&amp;B135&amp;C135,盘货信息!$A:$A&amp;盘货信息!$B:$B&amp;盘货信息!$C:$C,盘货信息!$J:$J)&amp;"元优惠卷"))</f>
        <v/>
      </c>
      <c r="I135" s="18" t="str">
        <f t="array" ref="I135">IF(C135="","",IF(_xlfn.XLOOKUP(A135&amp;B135&amp;C135,盘货信息!$A:$A&amp;盘货信息!$B:$B&amp;盘货信息!$C:$C,盘货信息!$R:$R)="","",_xlfn.XLOOKUP(A135&amp;B135&amp;C135,盘货信息!$A:$A&amp;盘货信息!$B:$B&amp;盘货信息!$C:$C,盘货信息!$R:$R)&amp;"元优惠卷"))</f>
        <v/>
      </c>
      <c r="J135" s="18" t="str">
        <f t="array" ref="J135">IF(C135="","",IF(_xlfn.XLOOKUP(A135&amp;B135&amp;C135,盘货信息!$A:$A&amp;盘货信息!$B:$B&amp;盘货信息!$C:$C,盘货信息!$K:$K)="","",IF(OR(_xlfn.XLOOKUP(A135&amp;B135&amp;C135,盘货信息!$A:$A&amp;盘货信息!$B:$B&amp;盘货信息!$C:$C,盘货信息!$G:$G)="参加",_xlfn.XLOOKUP(A135&amp;B135&amp;C135,盘货信息!$A:$A&amp;盘货信息!$B:$B&amp;盘货信息!$C:$C,盘货信息!$H:$H)="1（纯自补）"),_xlfn.XLOOKUP(A135&amp;B135&amp;C135,盘货信息!$A:$A&amp;盘货信息!$B:$B&amp;盘货信息!$C:$C,盘货信息!$K:$K)&amp;"元以旧换新（可无旧机换新）","")))</f>
        <v/>
      </c>
      <c r="K135" s="18" t="str">
        <f t="array" ref="K135">IF(C135="","",IF(_xlfn.XLOOKUP(A135&amp;B135&amp;C135,盘货信息!$A:$A&amp;盘货信息!$B:$B&amp;盘货信息!$C:$C,盘货信息!$L:$L)="","",_xlfn.XLOOKUP(A135&amp;B135&amp;C135,盘货信息!$A:$A&amp;盘货信息!$B:$B&amp;盘货信息!$C:$C,盘货信息!$L:$L)&amp;"元限时补贴"))</f>
        <v/>
      </c>
      <c r="L135" s="18" t="str">
        <f t="array" ref="L135">IF(C135="","",IF(_xlfn.XLOOKUP(A135&amp;B135&amp;C135,盘货信息!$A:$A&amp;盘货信息!$B:$B&amp;盘货信息!$C:$C,盘货信息!$M:$M)="","",_xlfn.XLOOKUP(A135&amp;B135&amp;C135,盘货信息!$A:$A&amp;盘货信息!$B:$B&amp;盘货信息!$C:$C,盘货信息!$M:$M)&amp;"元消费券"))</f>
        <v/>
      </c>
      <c r="M135" s="18" t="str">
        <f t="array" ref="M135">IF(C135="","",IF(_xlfn.XLOOKUP(A135&amp;B135&amp;C135,盘货信息!$A:$A&amp;盘货信息!$B:$B&amp;盘货信息!$C:$C,盘货信息!$G:$G)="不参加","","焕新补贴优惠【全民可用，不限地址】"))</f>
        <v/>
      </c>
    </row>
    <row r="136" customHeight="1" spans="1:13">
      <c r="A136" s="17" t="str">
        <f>IF(盘货信息!A136="","",盘货信息!A136)</f>
        <v/>
      </c>
      <c r="B136" s="17" t="str">
        <f>IF(盘货信息!B136="","",盘货信息!B136)</f>
        <v/>
      </c>
      <c r="C136" s="20" t="str">
        <f>IF(盘货信息!C136="","",盘货信息!C136)</f>
        <v/>
      </c>
      <c r="D136" s="18" t="str">
        <f t="shared" si="2"/>
        <v/>
      </c>
      <c r="E136" s="18" t="str">
        <f t="array" ref="E136">IF(C136="","",IF(_xlfn.XLOOKUP(A136&amp;B136&amp;C136,盘货信息!$A:$A&amp;盘货信息!$B:$B&amp;盘货信息!$C:$C,盘货信息!$N:$N)="","【立减到手价"&amp;_xlfn.XLOOKUP(A136&amp;B136&amp;C136,盘货信息!$A:$A&amp;盘货信息!$B:$B&amp;盘货信息!$C:$C,盘货信息!$F:$F)&amp;"元】","【焕新补贴预估价"&amp;_xlfn.XLOOKUP(A136&amp;B136&amp;C136,盘货信息!$A:$A&amp;盘货信息!$B:$B&amp;盘货信息!$C:$C,盘货信息!$N:$N)&amp;"元】"))</f>
        <v/>
      </c>
      <c r="F136" s="18" t="str">
        <f t="array" ref="F136">IF(C136="","",_xlfn.XLOOKUP(A136&amp;B136&amp;C136,盘货信息!$A:$A&amp;盘货信息!$B:$B&amp;盘货信息!$C:$C,盘货信息!$E:$E)&amp;"元到手价")</f>
        <v/>
      </c>
      <c r="G136" s="18" t="str">
        <f t="array" ref="G136">IF(C136="","",IF(_xlfn.XLOOKUP(A136&amp;B136&amp;C136,盘货信息!$A:$A&amp;盘货信息!$B:$B&amp;盘货信息!$C:$C,盘货信息!$I:$I)="","","88VIP95折"))</f>
        <v/>
      </c>
      <c r="H136" s="18" t="str">
        <f t="array" ref="H136">IF(C136="","",IF(_xlfn.XLOOKUP(A136&amp;B136&amp;C136,盘货信息!$A:$A&amp;盘货信息!$B:$B&amp;盘货信息!$C:$C,盘货信息!$J:$J)="","",_xlfn.XLOOKUP(A136&amp;B136&amp;C136,盘货信息!$A:$A&amp;盘货信息!$B:$B&amp;盘货信息!$C:$C,盘货信息!$J:$J)&amp;"元优惠卷"))</f>
        <v/>
      </c>
      <c r="I136" s="18" t="str">
        <f t="array" ref="I136">IF(C136="","",IF(_xlfn.XLOOKUP(A136&amp;B136&amp;C136,盘货信息!$A:$A&amp;盘货信息!$B:$B&amp;盘货信息!$C:$C,盘货信息!$R:$R)="","",_xlfn.XLOOKUP(A136&amp;B136&amp;C136,盘货信息!$A:$A&amp;盘货信息!$B:$B&amp;盘货信息!$C:$C,盘货信息!$R:$R)&amp;"元优惠卷"))</f>
        <v/>
      </c>
      <c r="J136" s="18" t="str">
        <f t="array" ref="J136">IF(C136="","",IF(_xlfn.XLOOKUP(A136&amp;B136&amp;C136,盘货信息!$A:$A&amp;盘货信息!$B:$B&amp;盘货信息!$C:$C,盘货信息!$K:$K)="","",IF(OR(_xlfn.XLOOKUP(A136&amp;B136&amp;C136,盘货信息!$A:$A&amp;盘货信息!$B:$B&amp;盘货信息!$C:$C,盘货信息!$G:$G)="参加",_xlfn.XLOOKUP(A136&amp;B136&amp;C136,盘货信息!$A:$A&amp;盘货信息!$B:$B&amp;盘货信息!$C:$C,盘货信息!$H:$H)="1（纯自补）"),_xlfn.XLOOKUP(A136&amp;B136&amp;C136,盘货信息!$A:$A&amp;盘货信息!$B:$B&amp;盘货信息!$C:$C,盘货信息!$K:$K)&amp;"元以旧换新（可无旧机换新）","")))</f>
        <v/>
      </c>
      <c r="K136" s="18" t="str">
        <f t="array" ref="K136">IF(C136="","",IF(_xlfn.XLOOKUP(A136&amp;B136&amp;C136,盘货信息!$A:$A&amp;盘货信息!$B:$B&amp;盘货信息!$C:$C,盘货信息!$L:$L)="","",_xlfn.XLOOKUP(A136&amp;B136&amp;C136,盘货信息!$A:$A&amp;盘货信息!$B:$B&amp;盘货信息!$C:$C,盘货信息!$L:$L)&amp;"元限时补贴"))</f>
        <v/>
      </c>
      <c r="L136" s="18" t="str">
        <f t="array" ref="L136">IF(C136="","",IF(_xlfn.XLOOKUP(A136&amp;B136&amp;C136,盘货信息!$A:$A&amp;盘货信息!$B:$B&amp;盘货信息!$C:$C,盘货信息!$M:$M)="","",_xlfn.XLOOKUP(A136&amp;B136&amp;C136,盘货信息!$A:$A&amp;盘货信息!$B:$B&amp;盘货信息!$C:$C,盘货信息!$M:$M)&amp;"元消费券"))</f>
        <v/>
      </c>
      <c r="M136" s="18" t="str">
        <f t="array" ref="M136">IF(C136="","",IF(_xlfn.XLOOKUP(A136&amp;B136&amp;C136,盘货信息!$A:$A&amp;盘货信息!$B:$B&amp;盘货信息!$C:$C,盘货信息!$G:$G)="不参加","","焕新补贴优惠【全民可用，不限地址】"))</f>
        <v/>
      </c>
    </row>
    <row r="137" customHeight="1" spans="1:13">
      <c r="A137" s="17" t="str">
        <f>IF(盘货信息!A137="","",盘货信息!A137)</f>
        <v/>
      </c>
      <c r="B137" s="17" t="str">
        <f>IF(盘货信息!B137="","",盘货信息!B137)</f>
        <v/>
      </c>
      <c r="C137" s="18" t="str">
        <f>IF(盘货信息!C137="","",盘货信息!C137)</f>
        <v/>
      </c>
      <c r="D137" s="18" t="str">
        <f t="shared" si="2"/>
        <v/>
      </c>
      <c r="E137" s="18" t="str">
        <f t="array" ref="E137">IF(C137="","",IF(_xlfn.XLOOKUP(A137&amp;B137&amp;C137,盘货信息!$A:$A&amp;盘货信息!$B:$B&amp;盘货信息!$C:$C,盘货信息!$N:$N)="","【立减到手价"&amp;_xlfn.XLOOKUP(A137&amp;B137&amp;C137,盘货信息!$A:$A&amp;盘货信息!$B:$B&amp;盘货信息!$C:$C,盘货信息!$F:$F)&amp;"元】","【焕新补贴预估价"&amp;_xlfn.XLOOKUP(A137&amp;B137&amp;C137,盘货信息!$A:$A&amp;盘货信息!$B:$B&amp;盘货信息!$C:$C,盘货信息!$N:$N)&amp;"元】"))</f>
        <v/>
      </c>
      <c r="F137" s="18" t="str">
        <f t="array" ref="F137">IF(C137="","",_xlfn.XLOOKUP(A137&amp;B137&amp;C137,盘货信息!$A:$A&amp;盘货信息!$B:$B&amp;盘货信息!$C:$C,盘货信息!$E:$E)&amp;"元到手价")</f>
        <v/>
      </c>
      <c r="G137" s="18" t="str">
        <f t="array" ref="G137">IF(C137="","",IF(_xlfn.XLOOKUP(A137&amp;B137&amp;C137,盘货信息!$A:$A&amp;盘货信息!$B:$B&amp;盘货信息!$C:$C,盘货信息!$I:$I)="","","88VIP95折"))</f>
        <v/>
      </c>
      <c r="H137" s="18" t="str">
        <f t="array" ref="H137">IF(C137="","",IF(_xlfn.XLOOKUP(A137&amp;B137&amp;C137,盘货信息!$A:$A&amp;盘货信息!$B:$B&amp;盘货信息!$C:$C,盘货信息!$J:$J)="","",_xlfn.XLOOKUP(A137&amp;B137&amp;C137,盘货信息!$A:$A&amp;盘货信息!$B:$B&amp;盘货信息!$C:$C,盘货信息!$J:$J)&amp;"元优惠卷"))</f>
        <v/>
      </c>
      <c r="I137" s="18" t="str">
        <f t="array" ref="I137">IF(C137="","",IF(_xlfn.XLOOKUP(A137&amp;B137&amp;C137,盘货信息!$A:$A&amp;盘货信息!$B:$B&amp;盘货信息!$C:$C,盘货信息!$R:$R)="","",_xlfn.XLOOKUP(A137&amp;B137&amp;C137,盘货信息!$A:$A&amp;盘货信息!$B:$B&amp;盘货信息!$C:$C,盘货信息!$R:$R)&amp;"元优惠卷"))</f>
        <v/>
      </c>
      <c r="J137" s="18" t="str">
        <f t="array" ref="J137">IF(C137="","",IF(_xlfn.XLOOKUP(A137&amp;B137&amp;C137,盘货信息!$A:$A&amp;盘货信息!$B:$B&amp;盘货信息!$C:$C,盘货信息!$K:$K)="","",IF(OR(_xlfn.XLOOKUP(A137&amp;B137&amp;C137,盘货信息!$A:$A&amp;盘货信息!$B:$B&amp;盘货信息!$C:$C,盘货信息!$G:$G)="参加",_xlfn.XLOOKUP(A137&amp;B137&amp;C137,盘货信息!$A:$A&amp;盘货信息!$B:$B&amp;盘货信息!$C:$C,盘货信息!$H:$H)="1（纯自补）"),_xlfn.XLOOKUP(A137&amp;B137&amp;C137,盘货信息!$A:$A&amp;盘货信息!$B:$B&amp;盘货信息!$C:$C,盘货信息!$K:$K)&amp;"元以旧换新（可无旧机换新）","")))</f>
        <v/>
      </c>
      <c r="K137" s="18" t="str">
        <f t="array" ref="K137">IF(C137="","",IF(_xlfn.XLOOKUP(A137&amp;B137&amp;C137,盘货信息!$A:$A&amp;盘货信息!$B:$B&amp;盘货信息!$C:$C,盘货信息!$L:$L)="","",_xlfn.XLOOKUP(A137&amp;B137&amp;C137,盘货信息!$A:$A&amp;盘货信息!$B:$B&amp;盘货信息!$C:$C,盘货信息!$L:$L)&amp;"元限时补贴"))</f>
        <v/>
      </c>
      <c r="L137" s="18" t="str">
        <f t="array" ref="L137">IF(C137="","",IF(_xlfn.XLOOKUP(A137&amp;B137&amp;C137,盘货信息!$A:$A&amp;盘货信息!$B:$B&amp;盘货信息!$C:$C,盘货信息!$M:$M)="","",_xlfn.XLOOKUP(A137&amp;B137&amp;C137,盘货信息!$A:$A&amp;盘货信息!$B:$B&amp;盘货信息!$C:$C,盘货信息!$M:$M)&amp;"元消费券"))</f>
        <v/>
      </c>
      <c r="M137" s="18" t="str">
        <f t="array" ref="M137">IF(C137="","",IF(_xlfn.XLOOKUP(A137&amp;B137&amp;C137,盘货信息!$A:$A&amp;盘货信息!$B:$B&amp;盘货信息!$C:$C,盘货信息!$G:$G)="不参加","","焕新补贴优惠【全民可用，不限地址】"))</f>
        <v/>
      </c>
    </row>
    <row r="138" customHeight="1" spans="1:13">
      <c r="A138" s="17" t="str">
        <f>IF(盘货信息!A138="","",盘货信息!A138)</f>
        <v/>
      </c>
      <c r="B138" s="17" t="str">
        <f>IF(盘货信息!B138="","",盘货信息!B138)</f>
        <v/>
      </c>
      <c r="C138" s="20" t="str">
        <f>IF(盘货信息!C138="","",盘货信息!C138)</f>
        <v/>
      </c>
      <c r="D138" s="18" t="str">
        <f t="shared" si="2"/>
        <v/>
      </c>
      <c r="E138" s="18" t="str">
        <f t="array" ref="E138">IF(C138="","",IF(_xlfn.XLOOKUP(A138&amp;B138&amp;C138,盘货信息!$A:$A&amp;盘货信息!$B:$B&amp;盘货信息!$C:$C,盘货信息!$N:$N)="","【立减到手价"&amp;_xlfn.XLOOKUP(A138&amp;B138&amp;C138,盘货信息!$A:$A&amp;盘货信息!$B:$B&amp;盘货信息!$C:$C,盘货信息!$F:$F)&amp;"元】","【焕新补贴预估价"&amp;_xlfn.XLOOKUP(A138&amp;B138&amp;C138,盘货信息!$A:$A&amp;盘货信息!$B:$B&amp;盘货信息!$C:$C,盘货信息!$N:$N)&amp;"元】"))</f>
        <v/>
      </c>
      <c r="F138" s="18" t="str">
        <f t="array" ref="F138">IF(C138="","",_xlfn.XLOOKUP(A138&amp;B138&amp;C138,盘货信息!$A:$A&amp;盘货信息!$B:$B&amp;盘货信息!$C:$C,盘货信息!$E:$E)&amp;"元到手价")</f>
        <v/>
      </c>
      <c r="G138" s="18" t="str">
        <f t="array" ref="G138">IF(C138="","",IF(_xlfn.XLOOKUP(A138&amp;B138&amp;C138,盘货信息!$A:$A&amp;盘货信息!$B:$B&amp;盘货信息!$C:$C,盘货信息!$I:$I)="","","88VIP95折"))</f>
        <v/>
      </c>
      <c r="H138" s="18" t="str">
        <f t="array" ref="H138">IF(C138="","",IF(_xlfn.XLOOKUP(A138&amp;B138&amp;C138,盘货信息!$A:$A&amp;盘货信息!$B:$B&amp;盘货信息!$C:$C,盘货信息!$J:$J)="","",_xlfn.XLOOKUP(A138&amp;B138&amp;C138,盘货信息!$A:$A&amp;盘货信息!$B:$B&amp;盘货信息!$C:$C,盘货信息!$J:$J)&amp;"元优惠卷"))</f>
        <v/>
      </c>
      <c r="I138" s="18" t="str">
        <f t="array" ref="I138">IF(C138="","",IF(_xlfn.XLOOKUP(A138&amp;B138&amp;C138,盘货信息!$A:$A&amp;盘货信息!$B:$B&amp;盘货信息!$C:$C,盘货信息!$R:$R)="","",_xlfn.XLOOKUP(A138&amp;B138&amp;C138,盘货信息!$A:$A&amp;盘货信息!$B:$B&amp;盘货信息!$C:$C,盘货信息!$R:$R)&amp;"元优惠卷"))</f>
        <v/>
      </c>
      <c r="J138" s="18" t="str">
        <f t="array" ref="J138">IF(C138="","",IF(_xlfn.XLOOKUP(A138&amp;B138&amp;C138,盘货信息!$A:$A&amp;盘货信息!$B:$B&amp;盘货信息!$C:$C,盘货信息!$K:$K)="","",IF(OR(_xlfn.XLOOKUP(A138&amp;B138&amp;C138,盘货信息!$A:$A&amp;盘货信息!$B:$B&amp;盘货信息!$C:$C,盘货信息!$G:$G)="参加",_xlfn.XLOOKUP(A138&amp;B138&amp;C138,盘货信息!$A:$A&amp;盘货信息!$B:$B&amp;盘货信息!$C:$C,盘货信息!$H:$H)="1（纯自补）"),_xlfn.XLOOKUP(A138&amp;B138&amp;C138,盘货信息!$A:$A&amp;盘货信息!$B:$B&amp;盘货信息!$C:$C,盘货信息!$K:$K)&amp;"元以旧换新（可无旧机换新）","")))</f>
        <v/>
      </c>
      <c r="K138" s="18" t="str">
        <f t="array" ref="K138">IF(C138="","",IF(_xlfn.XLOOKUP(A138&amp;B138&amp;C138,盘货信息!$A:$A&amp;盘货信息!$B:$B&amp;盘货信息!$C:$C,盘货信息!$L:$L)="","",_xlfn.XLOOKUP(A138&amp;B138&amp;C138,盘货信息!$A:$A&amp;盘货信息!$B:$B&amp;盘货信息!$C:$C,盘货信息!$L:$L)&amp;"元限时补贴"))</f>
        <v/>
      </c>
      <c r="L138" s="18" t="str">
        <f t="array" ref="L138">IF(C138="","",IF(_xlfn.XLOOKUP(A138&amp;B138&amp;C138,盘货信息!$A:$A&amp;盘货信息!$B:$B&amp;盘货信息!$C:$C,盘货信息!$M:$M)="","",_xlfn.XLOOKUP(A138&amp;B138&amp;C138,盘货信息!$A:$A&amp;盘货信息!$B:$B&amp;盘货信息!$C:$C,盘货信息!$M:$M)&amp;"元消费券"))</f>
        <v/>
      </c>
      <c r="M138" s="18" t="str">
        <f t="array" ref="M138">IF(C138="","",IF(_xlfn.XLOOKUP(A138&amp;B138&amp;C138,盘货信息!$A:$A&amp;盘货信息!$B:$B&amp;盘货信息!$C:$C,盘货信息!$G:$G)="不参加","","焕新补贴优惠【全民可用，不限地址】"))</f>
        <v/>
      </c>
    </row>
    <row r="139" customHeight="1" spans="1:13">
      <c r="A139" s="17" t="str">
        <f>IF(盘货信息!A139="","",盘货信息!A139)</f>
        <v/>
      </c>
      <c r="B139" s="17" t="str">
        <f>IF(盘货信息!B139="","",盘货信息!B139)</f>
        <v/>
      </c>
      <c r="C139" s="18" t="str">
        <f>IF(盘货信息!C139="","",盘货信息!C139)</f>
        <v/>
      </c>
      <c r="D139" s="18" t="str">
        <f t="shared" si="2"/>
        <v/>
      </c>
      <c r="E139" s="18" t="str">
        <f t="array" ref="E139">IF(C139="","",IF(_xlfn.XLOOKUP(A139&amp;B139&amp;C139,盘货信息!$A:$A&amp;盘货信息!$B:$B&amp;盘货信息!$C:$C,盘货信息!$N:$N)="","【立减到手价"&amp;_xlfn.XLOOKUP(A139&amp;B139&amp;C139,盘货信息!$A:$A&amp;盘货信息!$B:$B&amp;盘货信息!$C:$C,盘货信息!$F:$F)&amp;"元】","【焕新补贴预估价"&amp;_xlfn.XLOOKUP(A139&amp;B139&amp;C139,盘货信息!$A:$A&amp;盘货信息!$B:$B&amp;盘货信息!$C:$C,盘货信息!$N:$N)&amp;"元】"))</f>
        <v/>
      </c>
      <c r="F139" s="18" t="str">
        <f t="array" ref="F139">IF(C139="","",_xlfn.XLOOKUP(A139&amp;B139&amp;C139,盘货信息!$A:$A&amp;盘货信息!$B:$B&amp;盘货信息!$C:$C,盘货信息!$E:$E)&amp;"元到手价")</f>
        <v/>
      </c>
      <c r="G139" s="18" t="str">
        <f t="array" ref="G139">IF(C139="","",IF(_xlfn.XLOOKUP(A139&amp;B139&amp;C139,盘货信息!$A:$A&amp;盘货信息!$B:$B&amp;盘货信息!$C:$C,盘货信息!$I:$I)="","","88VIP95折"))</f>
        <v/>
      </c>
      <c r="H139" s="18" t="str">
        <f t="array" ref="H139">IF(C139="","",IF(_xlfn.XLOOKUP(A139&amp;B139&amp;C139,盘货信息!$A:$A&amp;盘货信息!$B:$B&amp;盘货信息!$C:$C,盘货信息!$J:$J)="","",_xlfn.XLOOKUP(A139&amp;B139&amp;C139,盘货信息!$A:$A&amp;盘货信息!$B:$B&amp;盘货信息!$C:$C,盘货信息!$J:$J)&amp;"元优惠卷"))</f>
        <v/>
      </c>
      <c r="I139" s="18" t="str">
        <f t="array" ref="I139">IF(C139="","",IF(_xlfn.XLOOKUP(A139&amp;B139&amp;C139,盘货信息!$A:$A&amp;盘货信息!$B:$B&amp;盘货信息!$C:$C,盘货信息!$R:$R)="","",_xlfn.XLOOKUP(A139&amp;B139&amp;C139,盘货信息!$A:$A&amp;盘货信息!$B:$B&amp;盘货信息!$C:$C,盘货信息!$R:$R)&amp;"元优惠卷"))</f>
        <v/>
      </c>
      <c r="J139" s="18" t="str">
        <f t="array" ref="J139">IF(C139="","",IF(_xlfn.XLOOKUP(A139&amp;B139&amp;C139,盘货信息!$A:$A&amp;盘货信息!$B:$B&amp;盘货信息!$C:$C,盘货信息!$K:$K)="","",IF(OR(_xlfn.XLOOKUP(A139&amp;B139&amp;C139,盘货信息!$A:$A&amp;盘货信息!$B:$B&amp;盘货信息!$C:$C,盘货信息!$G:$G)="参加",_xlfn.XLOOKUP(A139&amp;B139&amp;C139,盘货信息!$A:$A&amp;盘货信息!$B:$B&amp;盘货信息!$C:$C,盘货信息!$H:$H)="1（纯自补）"),_xlfn.XLOOKUP(A139&amp;B139&amp;C139,盘货信息!$A:$A&amp;盘货信息!$B:$B&amp;盘货信息!$C:$C,盘货信息!$K:$K)&amp;"元以旧换新（可无旧机换新）","")))</f>
        <v/>
      </c>
      <c r="K139" s="18" t="str">
        <f t="array" ref="K139">IF(C139="","",IF(_xlfn.XLOOKUP(A139&amp;B139&amp;C139,盘货信息!$A:$A&amp;盘货信息!$B:$B&amp;盘货信息!$C:$C,盘货信息!$L:$L)="","",_xlfn.XLOOKUP(A139&amp;B139&amp;C139,盘货信息!$A:$A&amp;盘货信息!$B:$B&amp;盘货信息!$C:$C,盘货信息!$L:$L)&amp;"元限时补贴"))</f>
        <v/>
      </c>
      <c r="L139" s="18" t="str">
        <f t="array" ref="L139">IF(C139="","",IF(_xlfn.XLOOKUP(A139&amp;B139&amp;C139,盘货信息!$A:$A&amp;盘货信息!$B:$B&amp;盘货信息!$C:$C,盘货信息!$M:$M)="","",_xlfn.XLOOKUP(A139&amp;B139&amp;C139,盘货信息!$A:$A&amp;盘货信息!$B:$B&amp;盘货信息!$C:$C,盘货信息!$M:$M)&amp;"元消费券"))</f>
        <v/>
      </c>
      <c r="M139" s="18" t="str">
        <f t="array" ref="M139">IF(C139="","",IF(_xlfn.XLOOKUP(A139&amp;B139&amp;C139,盘货信息!$A:$A&amp;盘货信息!$B:$B&amp;盘货信息!$C:$C,盘货信息!$G:$G)="不参加","","焕新补贴优惠【全民可用，不限地址】"))</f>
        <v/>
      </c>
    </row>
    <row r="140" customHeight="1" spans="1:13">
      <c r="A140" s="17" t="str">
        <f>IF(盘货信息!A140="","",盘货信息!A140)</f>
        <v/>
      </c>
      <c r="B140" s="17" t="str">
        <f>IF(盘货信息!B140="","",盘货信息!B140)</f>
        <v/>
      </c>
      <c r="C140" s="18" t="str">
        <f>IF(盘货信息!C140="","",盘货信息!C140)</f>
        <v/>
      </c>
      <c r="D140" s="18" t="str">
        <f t="shared" si="2"/>
        <v/>
      </c>
      <c r="E140" s="18" t="str">
        <f t="array" ref="E140">IF(C140="","",IF(_xlfn.XLOOKUP(A140&amp;B140&amp;C140,盘货信息!$A:$A&amp;盘货信息!$B:$B&amp;盘货信息!$C:$C,盘货信息!$N:$N)="","【立减到手价"&amp;_xlfn.XLOOKUP(A140&amp;B140&amp;C140,盘货信息!$A:$A&amp;盘货信息!$B:$B&amp;盘货信息!$C:$C,盘货信息!$F:$F)&amp;"元】","【焕新补贴预估价"&amp;_xlfn.XLOOKUP(A140&amp;B140&amp;C140,盘货信息!$A:$A&amp;盘货信息!$B:$B&amp;盘货信息!$C:$C,盘货信息!$N:$N)&amp;"元】"))</f>
        <v/>
      </c>
      <c r="F140" s="18" t="str">
        <f t="array" ref="F140">IF(C140="","",_xlfn.XLOOKUP(A140&amp;B140&amp;C140,盘货信息!$A:$A&amp;盘货信息!$B:$B&amp;盘货信息!$C:$C,盘货信息!$E:$E)&amp;"元到手价")</f>
        <v/>
      </c>
      <c r="G140" s="18" t="str">
        <f t="array" ref="G140">IF(C140="","",IF(_xlfn.XLOOKUP(A140&amp;B140&amp;C140,盘货信息!$A:$A&amp;盘货信息!$B:$B&amp;盘货信息!$C:$C,盘货信息!$I:$I)="","","88VIP95折"))</f>
        <v/>
      </c>
      <c r="H140" s="18" t="str">
        <f t="array" ref="H140">IF(C140="","",IF(_xlfn.XLOOKUP(A140&amp;B140&amp;C140,盘货信息!$A:$A&amp;盘货信息!$B:$B&amp;盘货信息!$C:$C,盘货信息!$J:$J)="","",_xlfn.XLOOKUP(A140&amp;B140&amp;C140,盘货信息!$A:$A&amp;盘货信息!$B:$B&amp;盘货信息!$C:$C,盘货信息!$J:$J)&amp;"元优惠卷"))</f>
        <v/>
      </c>
      <c r="I140" s="18" t="str">
        <f t="array" ref="I140">IF(C140="","",IF(_xlfn.XLOOKUP(A140&amp;B140&amp;C140,盘货信息!$A:$A&amp;盘货信息!$B:$B&amp;盘货信息!$C:$C,盘货信息!$R:$R)="","",_xlfn.XLOOKUP(A140&amp;B140&amp;C140,盘货信息!$A:$A&amp;盘货信息!$B:$B&amp;盘货信息!$C:$C,盘货信息!$R:$R)&amp;"元优惠卷"))</f>
        <v/>
      </c>
      <c r="J140" s="18" t="str">
        <f t="array" ref="J140">IF(C140="","",IF(_xlfn.XLOOKUP(A140&amp;B140&amp;C140,盘货信息!$A:$A&amp;盘货信息!$B:$B&amp;盘货信息!$C:$C,盘货信息!$K:$K)="","",IF(OR(_xlfn.XLOOKUP(A140&amp;B140&amp;C140,盘货信息!$A:$A&amp;盘货信息!$B:$B&amp;盘货信息!$C:$C,盘货信息!$G:$G)="参加",_xlfn.XLOOKUP(A140&amp;B140&amp;C140,盘货信息!$A:$A&amp;盘货信息!$B:$B&amp;盘货信息!$C:$C,盘货信息!$H:$H)="1（纯自补）"),_xlfn.XLOOKUP(A140&amp;B140&amp;C140,盘货信息!$A:$A&amp;盘货信息!$B:$B&amp;盘货信息!$C:$C,盘货信息!$K:$K)&amp;"元以旧换新（可无旧机换新）","")))</f>
        <v/>
      </c>
      <c r="K140" s="18" t="str">
        <f t="array" ref="K140">IF(C140="","",IF(_xlfn.XLOOKUP(A140&amp;B140&amp;C140,盘货信息!$A:$A&amp;盘货信息!$B:$B&amp;盘货信息!$C:$C,盘货信息!$L:$L)="","",_xlfn.XLOOKUP(A140&amp;B140&amp;C140,盘货信息!$A:$A&amp;盘货信息!$B:$B&amp;盘货信息!$C:$C,盘货信息!$L:$L)&amp;"元限时补贴"))</f>
        <v/>
      </c>
      <c r="L140" s="18" t="str">
        <f t="array" ref="L140">IF(C140="","",IF(_xlfn.XLOOKUP(A140&amp;B140&amp;C140,盘货信息!$A:$A&amp;盘货信息!$B:$B&amp;盘货信息!$C:$C,盘货信息!$M:$M)="","",_xlfn.XLOOKUP(A140&amp;B140&amp;C140,盘货信息!$A:$A&amp;盘货信息!$B:$B&amp;盘货信息!$C:$C,盘货信息!$M:$M)&amp;"元消费券"))</f>
        <v/>
      </c>
      <c r="M140" s="18" t="str">
        <f t="array" ref="M140">IF(C140="","",IF(_xlfn.XLOOKUP(A140&amp;B140&amp;C140,盘货信息!$A:$A&amp;盘货信息!$B:$B&amp;盘货信息!$C:$C,盘货信息!$G:$G)="不参加","","焕新补贴优惠【全民可用，不限地址】"))</f>
        <v/>
      </c>
    </row>
    <row r="141" customHeight="1" spans="1:13">
      <c r="A141" s="17" t="str">
        <f>IF(盘货信息!A141="","",盘货信息!A141)</f>
        <v/>
      </c>
      <c r="B141" s="17" t="str">
        <f>IF(盘货信息!B141="","",盘货信息!B141)</f>
        <v/>
      </c>
      <c r="C141" s="18" t="str">
        <f>IF(盘货信息!C141="","",盘货信息!C141)</f>
        <v/>
      </c>
      <c r="D141" s="18" t="str">
        <f t="shared" si="2"/>
        <v/>
      </c>
      <c r="E141" s="18" t="str">
        <f t="array" ref="E141">IF(C141="","",IF(_xlfn.XLOOKUP(A141&amp;B141&amp;C141,盘货信息!$A:$A&amp;盘货信息!$B:$B&amp;盘货信息!$C:$C,盘货信息!$N:$N)="","【立减到手价"&amp;_xlfn.XLOOKUP(A141&amp;B141&amp;C141,盘货信息!$A:$A&amp;盘货信息!$B:$B&amp;盘货信息!$C:$C,盘货信息!$F:$F)&amp;"元】","【焕新补贴预估价"&amp;_xlfn.XLOOKUP(A141&amp;B141&amp;C141,盘货信息!$A:$A&amp;盘货信息!$B:$B&amp;盘货信息!$C:$C,盘货信息!$N:$N)&amp;"元】"))</f>
        <v/>
      </c>
      <c r="F141" s="18" t="str">
        <f t="array" ref="F141">IF(C141="","",_xlfn.XLOOKUP(A141&amp;B141&amp;C141,盘货信息!$A:$A&amp;盘货信息!$B:$B&amp;盘货信息!$C:$C,盘货信息!$E:$E)&amp;"元到手价")</f>
        <v/>
      </c>
      <c r="G141" s="18" t="str">
        <f t="array" ref="G141">IF(C141="","",IF(_xlfn.XLOOKUP(A141&amp;B141&amp;C141,盘货信息!$A:$A&amp;盘货信息!$B:$B&amp;盘货信息!$C:$C,盘货信息!$I:$I)="","","88VIP95折"))</f>
        <v/>
      </c>
      <c r="H141" s="18" t="str">
        <f t="array" ref="H141">IF(C141="","",IF(_xlfn.XLOOKUP(A141&amp;B141&amp;C141,盘货信息!$A:$A&amp;盘货信息!$B:$B&amp;盘货信息!$C:$C,盘货信息!$J:$J)="","",_xlfn.XLOOKUP(A141&amp;B141&amp;C141,盘货信息!$A:$A&amp;盘货信息!$B:$B&amp;盘货信息!$C:$C,盘货信息!$J:$J)&amp;"元优惠卷"))</f>
        <v/>
      </c>
      <c r="I141" s="18" t="str">
        <f t="array" ref="I141">IF(C141="","",IF(_xlfn.XLOOKUP(A141&amp;B141&amp;C141,盘货信息!$A:$A&amp;盘货信息!$B:$B&amp;盘货信息!$C:$C,盘货信息!$R:$R)="","",_xlfn.XLOOKUP(A141&amp;B141&amp;C141,盘货信息!$A:$A&amp;盘货信息!$B:$B&amp;盘货信息!$C:$C,盘货信息!$R:$R)&amp;"元优惠卷"))</f>
        <v/>
      </c>
      <c r="J141" s="18" t="str">
        <f t="array" ref="J141">IF(C141="","",IF(_xlfn.XLOOKUP(A141&amp;B141&amp;C141,盘货信息!$A:$A&amp;盘货信息!$B:$B&amp;盘货信息!$C:$C,盘货信息!$K:$K)="","",IF(OR(_xlfn.XLOOKUP(A141&amp;B141&amp;C141,盘货信息!$A:$A&amp;盘货信息!$B:$B&amp;盘货信息!$C:$C,盘货信息!$G:$G)="参加",_xlfn.XLOOKUP(A141&amp;B141&amp;C141,盘货信息!$A:$A&amp;盘货信息!$B:$B&amp;盘货信息!$C:$C,盘货信息!$H:$H)="1（纯自补）"),_xlfn.XLOOKUP(A141&amp;B141&amp;C141,盘货信息!$A:$A&amp;盘货信息!$B:$B&amp;盘货信息!$C:$C,盘货信息!$K:$K)&amp;"元以旧换新（可无旧机换新）","")))</f>
        <v/>
      </c>
      <c r="K141" s="18" t="str">
        <f t="array" ref="K141">IF(C141="","",IF(_xlfn.XLOOKUP(A141&amp;B141&amp;C141,盘货信息!$A:$A&amp;盘货信息!$B:$B&amp;盘货信息!$C:$C,盘货信息!$L:$L)="","",_xlfn.XLOOKUP(A141&amp;B141&amp;C141,盘货信息!$A:$A&amp;盘货信息!$B:$B&amp;盘货信息!$C:$C,盘货信息!$L:$L)&amp;"元限时补贴"))</f>
        <v/>
      </c>
      <c r="L141" s="18" t="str">
        <f t="array" ref="L141">IF(C141="","",IF(_xlfn.XLOOKUP(A141&amp;B141&amp;C141,盘货信息!$A:$A&amp;盘货信息!$B:$B&amp;盘货信息!$C:$C,盘货信息!$M:$M)="","",_xlfn.XLOOKUP(A141&amp;B141&amp;C141,盘货信息!$A:$A&amp;盘货信息!$B:$B&amp;盘货信息!$C:$C,盘货信息!$M:$M)&amp;"元消费券"))</f>
        <v/>
      </c>
      <c r="M141" s="18" t="str">
        <f t="array" ref="M141">IF(C141="","",IF(_xlfn.XLOOKUP(A141&amp;B141&amp;C141,盘货信息!$A:$A&amp;盘货信息!$B:$B&amp;盘货信息!$C:$C,盘货信息!$G:$G)="不参加","","焕新补贴优惠【全民可用，不限地址】"))</f>
        <v/>
      </c>
    </row>
    <row r="142" customHeight="1" spans="1:13">
      <c r="A142" s="17" t="str">
        <f>IF(盘货信息!A142="","",盘货信息!A142)</f>
        <v/>
      </c>
      <c r="B142" s="17" t="str">
        <f>IF(盘货信息!B142="","",盘货信息!B142)</f>
        <v/>
      </c>
      <c r="C142" s="18" t="str">
        <f>IF(盘货信息!C142="","",盘货信息!C142)</f>
        <v/>
      </c>
      <c r="D142" s="18" t="str">
        <f t="shared" si="2"/>
        <v/>
      </c>
      <c r="E142" s="18" t="str">
        <f t="array" ref="E142">IF(C142="","",IF(_xlfn.XLOOKUP(A142&amp;B142&amp;C142,盘货信息!$A:$A&amp;盘货信息!$B:$B&amp;盘货信息!$C:$C,盘货信息!$N:$N)="","【立减到手价"&amp;_xlfn.XLOOKUP(A142&amp;B142&amp;C142,盘货信息!$A:$A&amp;盘货信息!$B:$B&amp;盘货信息!$C:$C,盘货信息!$F:$F)&amp;"元】","【焕新补贴预估价"&amp;_xlfn.XLOOKUP(A142&amp;B142&amp;C142,盘货信息!$A:$A&amp;盘货信息!$B:$B&amp;盘货信息!$C:$C,盘货信息!$N:$N)&amp;"元】"))</f>
        <v/>
      </c>
      <c r="F142" s="18" t="str">
        <f t="array" ref="F142">IF(C142="","",_xlfn.XLOOKUP(A142&amp;B142&amp;C142,盘货信息!$A:$A&amp;盘货信息!$B:$B&amp;盘货信息!$C:$C,盘货信息!$E:$E)&amp;"元到手价")</f>
        <v/>
      </c>
      <c r="G142" s="18" t="str">
        <f t="array" ref="G142">IF(C142="","",IF(_xlfn.XLOOKUP(A142&amp;B142&amp;C142,盘货信息!$A:$A&amp;盘货信息!$B:$B&amp;盘货信息!$C:$C,盘货信息!$I:$I)="","","88VIP95折"))</f>
        <v/>
      </c>
      <c r="H142" s="18" t="str">
        <f t="array" ref="H142">IF(C142="","",IF(_xlfn.XLOOKUP(A142&amp;B142&amp;C142,盘货信息!$A:$A&amp;盘货信息!$B:$B&amp;盘货信息!$C:$C,盘货信息!$J:$J)="","",_xlfn.XLOOKUP(A142&amp;B142&amp;C142,盘货信息!$A:$A&amp;盘货信息!$B:$B&amp;盘货信息!$C:$C,盘货信息!$J:$J)&amp;"元优惠卷"))</f>
        <v/>
      </c>
      <c r="I142" s="18" t="str">
        <f t="array" ref="I142">IF(C142="","",IF(_xlfn.XLOOKUP(A142&amp;B142&amp;C142,盘货信息!$A:$A&amp;盘货信息!$B:$B&amp;盘货信息!$C:$C,盘货信息!$R:$R)="","",_xlfn.XLOOKUP(A142&amp;B142&amp;C142,盘货信息!$A:$A&amp;盘货信息!$B:$B&amp;盘货信息!$C:$C,盘货信息!$R:$R)&amp;"元优惠卷"))</f>
        <v/>
      </c>
      <c r="J142" s="18" t="str">
        <f t="array" ref="J142">IF(C142="","",IF(_xlfn.XLOOKUP(A142&amp;B142&amp;C142,盘货信息!$A:$A&amp;盘货信息!$B:$B&amp;盘货信息!$C:$C,盘货信息!$K:$K)="","",IF(OR(_xlfn.XLOOKUP(A142&amp;B142&amp;C142,盘货信息!$A:$A&amp;盘货信息!$B:$B&amp;盘货信息!$C:$C,盘货信息!$G:$G)="参加",_xlfn.XLOOKUP(A142&amp;B142&amp;C142,盘货信息!$A:$A&amp;盘货信息!$B:$B&amp;盘货信息!$C:$C,盘货信息!$H:$H)="1（纯自补）"),_xlfn.XLOOKUP(A142&amp;B142&amp;C142,盘货信息!$A:$A&amp;盘货信息!$B:$B&amp;盘货信息!$C:$C,盘货信息!$K:$K)&amp;"元以旧换新（可无旧机换新）","")))</f>
        <v/>
      </c>
      <c r="K142" s="18" t="str">
        <f t="array" ref="K142">IF(C142="","",IF(_xlfn.XLOOKUP(A142&amp;B142&amp;C142,盘货信息!$A:$A&amp;盘货信息!$B:$B&amp;盘货信息!$C:$C,盘货信息!$L:$L)="","",_xlfn.XLOOKUP(A142&amp;B142&amp;C142,盘货信息!$A:$A&amp;盘货信息!$B:$B&amp;盘货信息!$C:$C,盘货信息!$L:$L)&amp;"元限时补贴"))</f>
        <v/>
      </c>
      <c r="L142" s="18" t="str">
        <f t="array" ref="L142">IF(C142="","",IF(_xlfn.XLOOKUP(A142&amp;B142&amp;C142,盘货信息!$A:$A&amp;盘货信息!$B:$B&amp;盘货信息!$C:$C,盘货信息!$M:$M)="","",_xlfn.XLOOKUP(A142&amp;B142&amp;C142,盘货信息!$A:$A&amp;盘货信息!$B:$B&amp;盘货信息!$C:$C,盘货信息!$M:$M)&amp;"元消费券"))</f>
        <v/>
      </c>
      <c r="M142" s="18" t="str">
        <f t="array" ref="M142">IF(C142="","",IF(_xlfn.XLOOKUP(A142&amp;B142&amp;C142,盘货信息!$A:$A&amp;盘货信息!$B:$B&amp;盘货信息!$C:$C,盘货信息!$G:$G)="不参加","","焕新补贴优惠【全民可用，不限地址】"))</f>
        <v/>
      </c>
    </row>
    <row r="143" customHeight="1" spans="1:13">
      <c r="A143" s="17" t="str">
        <f>IF(盘货信息!A143="","",盘货信息!A143)</f>
        <v/>
      </c>
      <c r="B143" s="17" t="str">
        <f>IF(盘货信息!B143="","",盘货信息!B143)</f>
        <v/>
      </c>
      <c r="C143" s="21" t="str">
        <f>IF(盘货信息!C143="","",盘货信息!C143)</f>
        <v/>
      </c>
      <c r="D143" s="18" t="str">
        <f t="shared" si="2"/>
        <v/>
      </c>
      <c r="E143" s="18" t="str">
        <f t="array" ref="E143">IF(C143="","",IF(_xlfn.XLOOKUP(A143&amp;B143&amp;C143,盘货信息!$A:$A&amp;盘货信息!$B:$B&amp;盘货信息!$C:$C,盘货信息!$N:$N)="","【立减到手价"&amp;_xlfn.XLOOKUP(A143&amp;B143&amp;C143,盘货信息!$A:$A&amp;盘货信息!$B:$B&amp;盘货信息!$C:$C,盘货信息!$F:$F)&amp;"元】","【焕新补贴预估价"&amp;_xlfn.XLOOKUP(A143&amp;B143&amp;C143,盘货信息!$A:$A&amp;盘货信息!$B:$B&amp;盘货信息!$C:$C,盘货信息!$N:$N)&amp;"元】"))</f>
        <v/>
      </c>
      <c r="F143" s="18" t="str">
        <f t="array" ref="F143">IF(C143="","",_xlfn.XLOOKUP(A143&amp;B143&amp;C143,盘货信息!$A:$A&amp;盘货信息!$B:$B&amp;盘货信息!$C:$C,盘货信息!$E:$E)&amp;"元到手价")</f>
        <v/>
      </c>
      <c r="G143" s="18" t="str">
        <f t="array" ref="G143">IF(C143="","",IF(_xlfn.XLOOKUP(A143&amp;B143&amp;C143,盘货信息!$A:$A&amp;盘货信息!$B:$B&amp;盘货信息!$C:$C,盘货信息!$I:$I)="","","88VIP95折"))</f>
        <v/>
      </c>
      <c r="H143" s="18" t="str">
        <f t="array" ref="H143">IF(C143="","",IF(_xlfn.XLOOKUP(A143&amp;B143&amp;C143,盘货信息!$A:$A&amp;盘货信息!$B:$B&amp;盘货信息!$C:$C,盘货信息!$J:$J)="","",_xlfn.XLOOKUP(A143&amp;B143&amp;C143,盘货信息!$A:$A&amp;盘货信息!$B:$B&amp;盘货信息!$C:$C,盘货信息!$J:$J)&amp;"元优惠卷"))</f>
        <v/>
      </c>
      <c r="I143" s="18" t="str">
        <f t="array" ref="I143">IF(C143="","",IF(_xlfn.XLOOKUP(A143&amp;B143&amp;C143,盘货信息!$A:$A&amp;盘货信息!$B:$B&amp;盘货信息!$C:$C,盘货信息!$R:$R)="","",_xlfn.XLOOKUP(A143&amp;B143&amp;C143,盘货信息!$A:$A&amp;盘货信息!$B:$B&amp;盘货信息!$C:$C,盘货信息!$R:$R)&amp;"元优惠卷"))</f>
        <v/>
      </c>
      <c r="J143" s="18" t="str">
        <f t="array" ref="J143">IF(C143="","",IF(_xlfn.XLOOKUP(A143&amp;B143&amp;C143,盘货信息!$A:$A&amp;盘货信息!$B:$B&amp;盘货信息!$C:$C,盘货信息!$K:$K)="","",IF(OR(_xlfn.XLOOKUP(A143&amp;B143&amp;C143,盘货信息!$A:$A&amp;盘货信息!$B:$B&amp;盘货信息!$C:$C,盘货信息!$G:$G)="参加",_xlfn.XLOOKUP(A143&amp;B143&amp;C143,盘货信息!$A:$A&amp;盘货信息!$B:$B&amp;盘货信息!$C:$C,盘货信息!$H:$H)="1（纯自补）"),_xlfn.XLOOKUP(A143&amp;B143&amp;C143,盘货信息!$A:$A&amp;盘货信息!$B:$B&amp;盘货信息!$C:$C,盘货信息!$K:$K)&amp;"元以旧换新（可无旧机换新）","")))</f>
        <v/>
      </c>
      <c r="K143" s="18" t="str">
        <f t="array" ref="K143">IF(C143="","",IF(_xlfn.XLOOKUP(A143&amp;B143&amp;C143,盘货信息!$A:$A&amp;盘货信息!$B:$B&amp;盘货信息!$C:$C,盘货信息!$L:$L)="","",_xlfn.XLOOKUP(A143&amp;B143&amp;C143,盘货信息!$A:$A&amp;盘货信息!$B:$B&amp;盘货信息!$C:$C,盘货信息!$L:$L)&amp;"元限时补贴"))</f>
        <v/>
      </c>
      <c r="L143" s="18" t="str">
        <f t="array" ref="L143">IF(C143="","",IF(_xlfn.XLOOKUP(A143&amp;B143&amp;C143,盘货信息!$A:$A&amp;盘货信息!$B:$B&amp;盘货信息!$C:$C,盘货信息!$M:$M)="","",_xlfn.XLOOKUP(A143&amp;B143&amp;C143,盘货信息!$A:$A&amp;盘货信息!$B:$B&amp;盘货信息!$C:$C,盘货信息!$M:$M)&amp;"元消费券"))</f>
        <v/>
      </c>
      <c r="M143" s="18" t="str">
        <f t="array" ref="M143">IF(C143="","",IF(_xlfn.XLOOKUP(A143&amp;B143&amp;C143,盘货信息!$A:$A&amp;盘货信息!$B:$B&amp;盘货信息!$C:$C,盘货信息!$G:$G)="不参加","","焕新补贴优惠【全民可用，不限地址】"))</f>
        <v/>
      </c>
    </row>
    <row r="144" customHeight="1" spans="1:13">
      <c r="A144" s="17" t="str">
        <f>IF(盘货信息!A144="","",盘货信息!A144)</f>
        <v/>
      </c>
      <c r="B144" s="17" t="str">
        <f>IF(盘货信息!B144="","",盘货信息!B144)</f>
        <v/>
      </c>
      <c r="C144" s="18" t="str">
        <f>IF(盘货信息!C144="","",盘货信息!C144)</f>
        <v/>
      </c>
      <c r="D144" s="18" t="str">
        <f t="shared" si="2"/>
        <v/>
      </c>
      <c r="E144" s="18" t="str">
        <f t="array" ref="E144">IF(C144="","",IF(_xlfn.XLOOKUP(A144&amp;B144&amp;C144,盘货信息!$A:$A&amp;盘货信息!$B:$B&amp;盘货信息!$C:$C,盘货信息!$N:$N)="","【立减到手价"&amp;_xlfn.XLOOKUP(A144&amp;B144&amp;C144,盘货信息!$A:$A&amp;盘货信息!$B:$B&amp;盘货信息!$C:$C,盘货信息!$F:$F)&amp;"元】","【焕新补贴预估价"&amp;_xlfn.XLOOKUP(A144&amp;B144&amp;C144,盘货信息!$A:$A&amp;盘货信息!$B:$B&amp;盘货信息!$C:$C,盘货信息!$N:$N)&amp;"元】"))</f>
        <v/>
      </c>
      <c r="F144" s="18" t="str">
        <f t="array" ref="F144">IF(C144="","",_xlfn.XLOOKUP(A144&amp;B144&amp;C144,盘货信息!$A:$A&amp;盘货信息!$B:$B&amp;盘货信息!$C:$C,盘货信息!$E:$E)&amp;"元到手价")</f>
        <v/>
      </c>
      <c r="G144" s="18" t="str">
        <f t="array" ref="G144">IF(C144="","",IF(_xlfn.XLOOKUP(A144&amp;B144&amp;C144,盘货信息!$A:$A&amp;盘货信息!$B:$B&amp;盘货信息!$C:$C,盘货信息!$I:$I)="","","88VIP95折"))</f>
        <v/>
      </c>
      <c r="H144" s="18" t="str">
        <f t="array" ref="H144">IF(C144="","",IF(_xlfn.XLOOKUP(A144&amp;B144&amp;C144,盘货信息!$A:$A&amp;盘货信息!$B:$B&amp;盘货信息!$C:$C,盘货信息!$J:$J)="","",_xlfn.XLOOKUP(A144&amp;B144&amp;C144,盘货信息!$A:$A&amp;盘货信息!$B:$B&amp;盘货信息!$C:$C,盘货信息!$J:$J)&amp;"元优惠卷"))</f>
        <v/>
      </c>
      <c r="I144" s="18" t="str">
        <f t="array" ref="I144">IF(C144="","",IF(_xlfn.XLOOKUP(A144&amp;B144&amp;C144,盘货信息!$A:$A&amp;盘货信息!$B:$B&amp;盘货信息!$C:$C,盘货信息!$R:$R)="","",_xlfn.XLOOKUP(A144&amp;B144&amp;C144,盘货信息!$A:$A&amp;盘货信息!$B:$B&amp;盘货信息!$C:$C,盘货信息!$R:$R)&amp;"元优惠卷"))</f>
        <v/>
      </c>
      <c r="J144" s="18" t="str">
        <f t="array" ref="J144">IF(C144="","",IF(_xlfn.XLOOKUP(A144&amp;B144&amp;C144,盘货信息!$A:$A&amp;盘货信息!$B:$B&amp;盘货信息!$C:$C,盘货信息!$K:$K)="","",IF(OR(_xlfn.XLOOKUP(A144&amp;B144&amp;C144,盘货信息!$A:$A&amp;盘货信息!$B:$B&amp;盘货信息!$C:$C,盘货信息!$G:$G)="参加",_xlfn.XLOOKUP(A144&amp;B144&amp;C144,盘货信息!$A:$A&amp;盘货信息!$B:$B&amp;盘货信息!$C:$C,盘货信息!$H:$H)="1（纯自补）"),_xlfn.XLOOKUP(A144&amp;B144&amp;C144,盘货信息!$A:$A&amp;盘货信息!$B:$B&amp;盘货信息!$C:$C,盘货信息!$K:$K)&amp;"元以旧换新（可无旧机换新）","")))</f>
        <v/>
      </c>
      <c r="K144" s="18" t="str">
        <f t="array" ref="K144">IF(C144="","",IF(_xlfn.XLOOKUP(A144&amp;B144&amp;C144,盘货信息!$A:$A&amp;盘货信息!$B:$B&amp;盘货信息!$C:$C,盘货信息!$L:$L)="","",_xlfn.XLOOKUP(A144&amp;B144&amp;C144,盘货信息!$A:$A&amp;盘货信息!$B:$B&amp;盘货信息!$C:$C,盘货信息!$L:$L)&amp;"元限时补贴"))</f>
        <v/>
      </c>
      <c r="L144" s="18" t="str">
        <f t="array" ref="L144">IF(C144="","",IF(_xlfn.XLOOKUP(A144&amp;B144&amp;C144,盘货信息!$A:$A&amp;盘货信息!$B:$B&amp;盘货信息!$C:$C,盘货信息!$M:$M)="","",_xlfn.XLOOKUP(A144&amp;B144&amp;C144,盘货信息!$A:$A&amp;盘货信息!$B:$B&amp;盘货信息!$C:$C,盘货信息!$M:$M)&amp;"元消费券"))</f>
        <v/>
      </c>
      <c r="M144" s="18" t="str">
        <f t="array" ref="M144">IF(C144="","",IF(_xlfn.XLOOKUP(A144&amp;B144&amp;C144,盘货信息!$A:$A&amp;盘货信息!$B:$B&amp;盘货信息!$C:$C,盘货信息!$G:$G)="不参加","","焕新补贴优惠【全民可用，不限地址】"))</f>
        <v/>
      </c>
    </row>
    <row r="145" customHeight="1" spans="1:13">
      <c r="A145" s="17" t="str">
        <f>IF(盘货信息!A145="","",盘货信息!A145)</f>
        <v/>
      </c>
      <c r="B145" s="17" t="str">
        <f>IF(盘货信息!B145="","",盘货信息!B145)</f>
        <v/>
      </c>
      <c r="C145" s="18" t="str">
        <f>IF(盘货信息!C145="","",盘货信息!C145)</f>
        <v/>
      </c>
      <c r="D145" s="18" t="str">
        <f t="shared" si="2"/>
        <v/>
      </c>
      <c r="E145" s="18" t="str">
        <f t="array" ref="E145">IF(C145="","",IF(_xlfn.XLOOKUP(A145&amp;B145&amp;C145,盘货信息!$A:$A&amp;盘货信息!$B:$B&amp;盘货信息!$C:$C,盘货信息!$N:$N)="","【立减到手价"&amp;_xlfn.XLOOKUP(A145&amp;B145&amp;C145,盘货信息!$A:$A&amp;盘货信息!$B:$B&amp;盘货信息!$C:$C,盘货信息!$F:$F)&amp;"元】","【焕新补贴预估价"&amp;_xlfn.XLOOKUP(A145&amp;B145&amp;C145,盘货信息!$A:$A&amp;盘货信息!$B:$B&amp;盘货信息!$C:$C,盘货信息!$N:$N)&amp;"元】"))</f>
        <v/>
      </c>
      <c r="F145" s="18" t="str">
        <f t="array" ref="F145">IF(C145="","",_xlfn.XLOOKUP(A145&amp;B145&amp;C145,盘货信息!$A:$A&amp;盘货信息!$B:$B&amp;盘货信息!$C:$C,盘货信息!$E:$E)&amp;"元到手价")</f>
        <v/>
      </c>
      <c r="G145" s="18" t="str">
        <f t="array" ref="G145">IF(C145="","",IF(_xlfn.XLOOKUP(A145&amp;B145&amp;C145,盘货信息!$A:$A&amp;盘货信息!$B:$B&amp;盘货信息!$C:$C,盘货信息!$I:$I)="","","88VIP95折"))</f>
        <v/>
      </c>
      <c r="H145" s="18" t="str">
        <f t="array" ref="H145">IF(C145="","",IF(_xlfn.XLOOKUP(A145&amp;B145&amp;C145,盘货信息!$A:$A&amp;盘货信息!$B:$B&amp;盘货信息!$C:$C,盘货信息!$J:$J)="","",_xlfn.XLOOKUP(A145&amp;B145&amp;C145,盘货信息!$A:$A&amp;盘货信息!$B:$B&amp;盘货信息!$C:$C,盘货信息!$J:$J)&amp;"元优惠卷"))</f>
        <v/>
      </c>
      <c r="I145" s="18" t="str">
        <f t="array" ref="I145">IF(C145="","",IF(_xlfn.XLOOKUP(A145&amp;B145&amp;C145,盘货信息!$A:$A&amp;盘货信息!$B:$B&amp;盘货信息!$C:$C,盘货信息!$R:$R)="","",_xlfn.XLOOKUP(A145&amp;B145&amp;C145,盘货信息!$A:$A&amp;盘货信息!$B:$B&amp;盘货信息!$C:$C,盘货信息!$R:$R)&amp;"元优惠卷"))</f>
        <v/>
      </c>
      <c r="J145" s="18" t="str">
        <f t="array" ref="J145">IF(C145="","",IF(_xlfn.XLOOKUP(A145&amp;B145&amp;C145,盘货信息!$A:$A&amp;盘货信息!$B:$B&amp;盘货信息!$C:$C,盘货信息!$K:$K)="","",IF(OR(_xlfn.XLOOKUP(A145&amp;B145&amp;C145,盘货信息!$A:$A&amp;盘货信息!$B:$B&amp;盘货信息!$C:$C,盘货信息!$G:$G)="参加",_xlfn.XLOOKUP(A145&amp;B145&amp;C145,盘货信息!$A:$A&amp;盘货信息!$B:$B&amp;盘货信息!$C:$C,盘货信息!$H:$H)="1（纯自补）"),_xlfn.XLOOKUP(A145&amp;B145&amp;C145,盘货信息!$A:$A&amp;盘货信息!$B:$B&amp;盘货信息!$C:$C,盘货信息!$K:$K)&amp;"元以旧换新（可无旧机换新）","")))</f>
        <v/>
      </c>
      <c r="K145" s="18" t="str">
        <f t="array" ref="K145">IF(C145="","",IF(_xlfn.XLOOKUP(A145&amp;B145&amp;C145,盘货信息!$A:$A&amp;盘货信息!$B:$B&amp;盘货信息!$C:$C,盘货信息!$L:$L)="","",_xlfn.XLOOKUP(A145&amp;B145&amp;C145,盘货信息!$A:$A&amp;盘货信息!$B:$B&amp;盘货信息!$C:$C,盘货信息!$L:$L)&amp;"元限时补贴"))</f>
        <v/>
      </c>
      <c r="L145" s="18" t="str">
        <f t="array" ref="L145">IF(C145="","",IF(_xlfn.XLOOKUP(A145&amp;B145&amp;C145,盘货信息!$A:$A&amp;盘货信息!$B:$B&amp;盘货信息!$C:$C,盘货信息!$M:$M)="","",_xlfn.XLOOKUP(A145&amp;B145&amp;C145,盘货信息!$A:$A&amp;盘货信息!$B:$B&amp;盘货信息!$C:$C,盘货信息!$M:$M)&amp;"元消费券"))</f>
        <v/>
      </c>
      <c r="M145" s="18" t="str">
        <f t="array" ref="M145">IF(C145="","",IF(_xlfn.XLOOKUP(A145&amp;B145&amp;C145,盘货信息!$A:$A&amp;盘货信息!$B:$B&amp;盘货信息!$C:$C,盘货信息!$G:$G)="不参加","","焕新补贴优惠【全民可用，不限地址】"))</f>
        <v/>
      </c>
    </row>
    <row r="146" customHeight="1" spans="1:13">
      <c r="A146" s="17" t="str">
        <f>IF(盘货信息!A146="","",盘货信息!A146)</f>
        <v/>
      </c>
      <c r="B146" s="17" t="str">
        <f>IF(盘货信息!B146="","",盘货信息!B146)</f>
        <v/>
      </c>
      <c r="C146" s="18" t="str">
        <f>IF(盘货信息!C146="","",盘货信息!C146)</f>
        <v/>
      </c>
      <c r="D146" s="18" t="str">
        <f t="shared" si="2"/>
        <v/>
      </c>
      <c r="E146" s="18" t="str">
        <f t="array" ref="E146">IF(C146="","",IF(_xlfn.XLOOKUP(A146&amp;B146&amp;C146,盘货信息!$A:$A&amp;盘货信息!$B:$B&amp;盘货信息!$C:$C,盘货信息!$N:$N)="","【立减到手价"&amp;_xlfn.XLOOKUP(A146&amp;B146&amp;C146,盘货信息!$A:$A&amp;盘货信息!$B:$B&amp;盘货信息!$C:$C,盘货信息!$F:$F)&amp;"元】","【焕新补贴预估价"&amp;_xlfn.XLOOKUP(A146&amp;B146&amp;C146,盘货信息!$A:$A&amp;盘货信息!$B:$B&amp;盘货信息!$C:$C,盘货信息!$N:$N)&amp;"元】"))</f>
        <v/>
      </c>
      <c r="F146" s="18" t="str">
        <f t="array" ref="F146">IF(C146="","",_xlfn.XLOOKUP(A146&amp;B146&amp;C146,盘货信息!$A:$A&amp;盘货信息!$B:$B&amp;盘货信息!$C:$C,盘货信息!$E:$E)&amp;"元到手价")</f>
        <v/>
      </c>
      <c r="G146" s="18" t="str">
        <f t="array" ref="G146">IF(C146="","",IF(_xlfn.XLOOKUP(A146&amp;B146&amp;C146,盘货信息!$A:$A&amp;盘货信息!$B:$B&amp;盘货信息!$C:$C,盘货信息!$I:$I)="","","88VIP95折"))</f>
        <v/>
      </c>
      <c r="H146" s="18" t="str">
        <f t="array" ref="H146">IF(C146="","",IF(_xlfn.XLOOKUP(A146&amp;B146&amp;C146,盘货信息!$A:$A&amp;盘货信息!$B:$B&amp;盘货信息!$C:$C,盘货信息!$J:$J)="","",_xlfn.XLOOKUP(A146&amp;B146&amp;C146,盘货信息!$A:$A&amp;盘货信息!$B:$B&amp;盘货信息!$C:$C,盘货信息!$J:$J)&amp;"元优惠卷"))</f>
        <v/>
      </c>
      <c r="I146" s="18" t="str">
        <f t="array" ref="I146">IF(C146="","",IF(_xlfn.XLOOKUP(A146&amp;B146&amp;C146,盘货信息!$A:$A&amp;盘货信息!$B:$B&amp;盘货信息!$C:$C,盘货信息!$R:$R)="","",_xlfn.XLOOKUP(A146&amp;B146&amp;C146,盘货信息!$A:$A&amp;盘货信息!$B:$B&amp;盘货信息!$C:$C,盘货信息!$R:$R)&amp;"元优惠卷"))</f>
        <v/>
      </c>
      <c r="J146" s="18" t="str">
        <f t="array" ref="J146">IF(C146="","",IF(_xlfn.XLOOKUP(A146&amp;B146&amp;C146,盘货信息!$A:$A&amp;盘货信息!$B:$B&amp;盘货信息!$C:$C,盘货信息!$K:$K)="","",IF(OR(_xlfn.XLOOKUP(A146&amp;B146&amp;C146,盘货信息!$A:$A&amp;盘货信息!$B:$B&amp;盘货信息!$C:$C,盘货信息!$G:$G)="参加",_xlfn.XLOOKUP(A146&amp;B146&amp;C146,盘货信息!$A:$A&amp;盘货信息!$B:$B&amp;盘货信息!$C:$C,盘货信息!$H:$H)="1（纯自补）"),_xlfn.XLOOKUP(A146&amp;B146&amp;C146,盘货信息!$A:$A&amp;盘货信息!$B:$B&amp;盘货信息!$C:$C,盘货信息!$K:$K)&amp;"元以旧换新（可无旧机换新）","")))</f>
        <v/>
      </c>
      <c r="K146" s="18" t="str">
        <f t="array" ref="K146">IF(C146="","",IF(_xlfn.XLOOKUP(A146&amp;B146&amp;C146,盘货信息!$A:$A&amp;盘货信息!$B:$B&amp;盘货信息!$C:$C,盘货信息!$L:$L)="","",_xlfn.XLOOKUP(A146&amp;B146&amp;C146,盘货信息!$A:$A&amp;盘货信息!$B:$B&amp;盘货信息!$C:$C,盘货信息!$L:$L)&amp;"元限时补贴"))</f>
        <v/>
      </c>
      <c r="L146" s="18" t="str">
        <f t="array" ref="L146">IF(C146="","",IF(_xlfn.XLOOKUP(A146&amp;B146&amp;C146,盘货信息!$A:$A&amp;盘货信息!$B:$B&amp;盘货信息!$C:$C,盘货信息!$M:$M)="","",_xlfn.XLOOKUP(A146&amp;B146&amp;C146,盘货信息!$A:$A&amp;盘货信息!$B:$B&amp;盘货信息!$C:$C,盘货信息!$M:$M)&amp;"元消费券"))</f>
        <v/>
      </c>
      <c r="M146" s="18" t="str">
        <f t="array" ref="M146">IF(C146="","",IF(_xlfn.XLOOKUP(A146&amp;B146&amp;C146,盘货信息!$A:$A&amp;盘货信息!$B:$B&amp;盘货信息!$C:$C,盘货信息!$G:$G)="不参加","","焕新补贴优惠【全民可用，不限地址】"))</f>
        <v/>
      </c>
    </row>
    <row r="147" customHeight="1" spans="1:13">
      <c r="A147" s="17" t="str">
        <f>IF(盘货信息!A147="","",盘货信息!A147)</f>
        <v/>
      </c>
      <c r="B147" s="17" t="str">
        <f>IF(盘货信息!B147="","",盘货信息!B147)</f>
        <v/>
      </c>
      <c r="C147" s="18" t="str">
        <f>IF(盘货信息!C147="","",盘货信息!C147)</f>
        <v/>
      </c>
      <c r="D147" s="18" t="str">
        <f t="shared" si="2"/>
        <v/>
      </c>
      <c r="E147" s="18" t="str">
        <f t="array" ref="E147">IF(C147="","",IF(_xlfn.XLOOKUP(A147&amp;B147&amp;C147,盘货信息!$A:$A&amp;盘货信息!$B:$B&amp;盘货信息!$C:$C,盘货信息!$N:$N)="","【立减到手价"&amp;_xlfn.XLOOKUP(A147&amp;B147&amp;C147,盘货信息!$A:$A&amp;盘货信息!$B:$B&amp;盘货信息!$C:$C,盘货信息!$F:$F)&amp;"元】","【焕新补贴预估价"&amp;_xlfn.XLOOKUP(A147&amp;B147&amp;C147,盘货信息!$A:$A&amp;盘货信息!$B:$B&amp;盘货信息!$C:$C,盘货信息!$N:$N)&amp;"元】"))</f>
        <v/>
      </c>
      <c r="F147" s="18" t="str">
        <f t="array" ref="F147">IF(C147="","",_xlfn.XLOOKUP(A147&amp;B147&amp;C147,盘货信息!$A:$A&amp;盘货信息!$B:$B&amp;盘货信息!$C:$C,盘货信息!$E:$E)&amp;"元到手价")</f>
        <v/>
      </c>
      <c r="G147" s="18" t="str">
        <f t="array" ref="G147">IF(C147="","",IF(_xlfn.XLOOKUP(A147&amp;B147&amp;C147,盘货信息!$A:$A&amp;盘货信息!$B:$B&amp;盘货信息!$C:$C,盘货信息!$I:$I)="","","88VIP95折"))</f>
        <v/>
      </c>
      <c r="H147" s="18" t="str">
        <f t="array" ref="H147">IF(C147="","",IF(_xlfn.XLOOKUP(A147&amp;B147&amp;C147,盘货信息!$A:$A&amp;盘货信息!$B:$B&amp;盘货信息!$C:$C,盘货信息!$J:$J)="","",_xlfn.XLOOKUP(A147&amp;B147&amp;C147,盘货信息!$A:$A&amp;盘货信息!$B:$B&amp;盘货信息!$C:$C,盘货信息!$J:$J)&amp;"元优惠卷"))</f>
        <v/>
      </c>
      <c r="I147" s="18" t="str">
        <f t="array" ref="I147">IF(C147="","",IF(_xlfn.XLOOKUP(A147&amp;B147&amp;C147,盘货信息!$A:$A&amp;盘货信息!$B:$B&amp;盘货信息!$C:$C,盘货信息!$R:$R)="","",_xlfn.XLOOKUP(A147&amp;B147&amp;C147,盘货信息!$A:$A&amp;盘货信息!$B:$B&amp;盘货信息!$C:$C,盘货信息!$R:$R)&amp;"元优惠卷"))</f>
        <v/>
      </c>
      <c r="J147" s="18" t="str">
        <f t="array" ref="J147">IF(C147="","",IF(_xlfn.XLOOKUP(A147&amp;B147&amp;C147,盘货信息!$A:$A&amp;盘货信息!$B:$B&amp;盘货信息!$C:$C,盘货信息!$K:$K)="","",IF(OR(_xlfn.XLOOKUP(A147&amp;B147&amp;C147,盘货信息!$A:$A&amp;盘货信息!$B:$B&amp;盘货信息!$C:$C,盘货信息!$G:$G)="参加",_xlfn.XLOOKUP(A147&amp;B147&amp;C147,盘货信息!$A:$A&amp;盘货信息!$B:$B&amp;盘货信息!$C:$C,盘货信息!$H:$H)="1（纯自补）"),_xlfn.XLOOKUP(A147&amp;B147&amp;C147,盘货信息!$A:$A&amp;盘货信息!$B:$B&amp;盘货信息!$C:$C,盘货信息!$K:$K)&amp;"元以旧换新（可无旧机换新）","")))</f>
        <v/>
      </c>
      <c r="K147" s="18" t="str">
        <f t="array" ref="K147">IF(C147="","",IF(_xlfn.XLOOKUP(A147&amp;B147&amp;C147,盘货信息!$A:$A&amp;盘货信息!$B:$B&amp;盘货信息!$C:$C,盘货信息!$L:$L)="","",_xlfn.XLOOKUP(A147&amp;B147&amp;C147,盘货信息!$A:$A&amp;盘货信息!$B:$B&amp;盘货信息!$C:$C,盘货信息!$L:$L)&amp;"元限时补贴"))</f>
        <v/>
      </c>
      <c r="L147" s="18" t="str">
        <f t="array" ref="L147">IF(C147="","",IF(_xlfn.XLOOKUP(A147&amp;B147&amp;C147,盘货信息!$A:$A&amp;盘货信息!$B:$B&amp;盘货信息!$C:$C,盘货信息!$M:$M)="","",_xlfn.XLOOKUP(A147&amp;B147&amp;C147,盘货信息!$A:$A&amp;盘货信息!$B:$B&amp;盘货信息!$C:$C,盘货信息!$M:$M)&amp;"元消费券"))</f>
        <v/>
      </c>
      <c r="M147" s="18" t="str">
        <f t="array" ref="M147">IF(C147="","",IF(_xlfn.XLOOKUP(A147&amp;B147&amp;C147,盘货信息!$A:$A&amp;盘货信息!$B:$B&amp;盘货信息!$C:$C,盘货信息!$G:$G)="不参加","","焕新补贴优惠【全民可用，不限地址】"))</f>
        <v/>
      </c>
    </row>
    <row r="148" customHeight="1" spans="1:13">
      <c r="A148" s="17" t="str">
        <f>IF(盘货信息!A148="","",盘货信息!A148)</f>
        <v/>
      </c>
      <c r="B148" s="17" t="str">
        <f>IF(盘货信息!B148="","",盘货信息!B148)</f>
        <v/>
      </c>
      <c r="C148" s="18" t="str">
        <f>IF(盘货信息!C148="","",盘货信息!C148)</f>
        <v/>
      </c>
      <c r="D148" s="18" t="str">
        <f t="shared" si="2"/>
        <v/>
      </c>
      <c r="E148" s="18" t="str">
        <f t="array" ref="E148">IF(C148="","",IF(_xlfn.XLOOKUP(A148&amp;B148&amp;C148,盘货信息!$A:$A&amp;盘货信息!$B:$B&amp;盘货信息!$C:$C,盘货信息!$N:$N)="","【立减到手价"&amp;_xlfn.XLOOKUP(A148&amp;B148&amp;C148,盘货信息!$A:$A&amp;盘货信息!$B:$B&amp;盘货信息!$C:$C,盘货信息!$F:$F)&amp;"元】","【焕新补贴预估价"&amp;_xlfn.XLOOKUP(A148&amp;B148&amp;C148,盘货信息!$A:$A&amp;盘货信息!$B:$B&amp;盘货信息!$C:$C,盘货信息!$N:$N)&amp;"元】"))</f>
        <v/>
      </c>
      <c r="F148" s="18" t="str">
        <f t="array" ref="F148">IF(C148="","",_xlfn.XLOOKUP(A148&amp;B148&amp;C148,盘货信息!$A:$A&amp;盘货信息!$B:$B&amp;盘货信息!$C:$C,盘货信息!$E:$E)&amp;"元到手价")</f>
        <v/>
      </c>
      <c r="G148" s="18" t="str">
        <f t="array" ref="G148">IF(C148="","",IF(_xlfn.XLOOKUP(A148&amp;B148&amp;C148,盘货信息!$A:$A&amp;盘货信息!$B:$B&amp;盘货信息!$C:$C,盘货信息!$I:$I)="","","88VIP95折"))</f>
        <v/>
      </c>
      <c r="H148" s="18" t="str">
        <f t="array" ref="H148">IF(C148="","",IF(_xlfn.XLOOKUP(A148&amp;B148&amp;C148,盘货信息!$A:$A&amp;盘货信息!$B:$B&amp;盘货信息!$C:$C,盘货信息!$J:$J)="","",_xlfn.XLOOKUP(A148&amp;B148&amp;C148,盘货信息!$A:$A&amp;盘货信息!$B:$B&amp;盘货信息!$C:$C,盘货信息!$J:$J)&amp;"元优惠卷"))</f>
        <v/>
      </c>
      <c r="I148" s="18" t="str">
        <f t="array" ref="I148">IF(C148="","",IF(_xlfn.XLOOKUP(A148&amp;B148&amp;C148,盘货信息!$A:$A&amp;盘货信息!$B:$B&amp;盘货信息!$C:$C,盘货信息!$R:$R)="","",_xlfn.XLOOKUP(A148&amp;B148&amp;C148,盘货信息!$A:$A&amp;盘货信息!$B:$B&amp;盘货信息!$C:$C,盘货信息!$R:$R)&amp;"元优惠卷"))</f>
        <v/>
      </c>
      <c r="J148" s="18" t="str">
        <f t="array" ref="J148">IF(C148="","",IF(_xlfn.XLOOKUP(A148&amp;B148&amp;C148,盘货信息!$A:$A&amp;盘货信息!$B:$B&amp;盘货信息!$C:$C,盘货信息!$K:$K)="","",IF(OR(_xlfn.XLOOKUP(A148&amp;B148&amp;C148,盘货信息!$A:$A&amp;盘货信息!$B:$B&amp;盘货信息!$C:$C,盘货信息!$G:$G)="参加",_xlfn.XLOOKUP(A148&amp;B148&amp;C148,盘货信息!$A:$A&amp;盘货信息!$B:$B&amp;盘货信息!$C:$C,盘货信息!$H:$H)="1（纯自补）"),_xlfn.XLOOKUP(A148&amp;B148&amp;C148,盘货信息!$A:$A&amp;盘货信息!$B:$B&amp;盘货信息!$C:$C,盘货信息!$K:$K)&amp;"元以旧换新（可无旧机换新）","")))</f>
        <v/>
      </c>
      <c r="K148" s="18" t="str">
        <f t="array" ref="K148">IF(C148="","",IF(_xlfn.XLOOKUP(A148&amp;B148&amp;C148,盘货信息!$A:$A&amp;盘货信息!$B:$B&amp;盘货信息!$C:$C,盘货信息!$L:$L)="","",_xlfn.XLOOKUP(A148&amp;B148&amp;C148,盘货信息!$A:$A&amp;盘货信息!$B:$B&amp;盘货信息!$C:$C,盘货信息!$L:$L)&amp;"元限时补贴"))</f>
        <v/>
      </c>
      <c r="L148" s="18" t="str">
        <f t="array" ref="L148">IF(C148="","",IF(_xlfn.XLOOKUP(A148&amp;B148&amp;C148,盘货信息!$A:$A&amp;盘货信息!$B:$B&amp;盘货信息!$C:$C,盘货信息!$M:$M)="","",_xlfn.XLOOKUP(A148&amp;B148&amp;C148,盘货信息!$A:$A&amp;盘货信息!$B:$B&amp;盘货信息!$C:$C,盘货信息!$M:$M)&amp;"元消费券"))</f>
        <v/>
      </c>
      <c r="M148" s="18" t="str">
        <f t="array" ref="M148">IF(C148="","",IF(_xlfn.XLOOKUP(A148&amp;B148&amp;C148,盘货信息!$A:$A&amp;盘货信息!$B:$B&amp;盘货信息!$C:$C,盘货信息!$G:$G)="不参加","","焕新补贴优惠【全民可用，不限地址】"))</f>
        <v/>
      </c>
    </row>
    <row r="149" customHeight="1" spans="1:13">
      <c r="A149" s="17" t="str">
        <f>IF(盘货信息!A149="","",盘货信息!A149)</f>
        <v/>
      </c>
      <c r="B149" s="17" t="str">
        <f>IF(盘货信息!B149="","",盘货信息!B149)</f>
        <v/>
      </c>
      <c r="C149" s="18" t="str">
        <f>IF(盘货信息!C149="","",盘货信息!C149)</f>
        <v/>
      </c>
      <c r="D149" s="18" t="str">
        <f t="shared" si="2"/>
        <v/>
      </c>
      <c r="E149" s="18" t="str">
        <f t="array" ref="E149">IF(C149="","",IF(_xlfn.XLOOKUP(A149&amp;B149&amp;C149,盘货信息!$A:$A&amp;盘货信息!$B:$B&amp;盘货信息!$C:$C,盘货信息!$N:$N)="","【立减到手价"&amp;_xlfn.XLOOKUP(A149&amp;B149&amp;C149,盘货信息!$A:$A&amp;盘货信息!$B:$B&amp;盘货信息!$C:$C,盘货信息!$F:$F)&amp;"元】","【焕新补贴预估价"&amp;_xlfn.XLOOKUP(A149&amp;B149&amp;C149,盘货信息!$A:$A&amp;盘货信息!$B:$B&amp;盘货信息!$C:$C,盘货信息!$N:$N)&amp;"元】"))</f>
        <v/>
      </c>
      <c r="F149" s="18" t="str">
        <f t="array" ref="F149">IF(C149="","",_xlfn.XLOOKUP(A149&amp;B149&amp;C149,盘货信息!$A:$A&amp;盘货信息!$B:$B&amp;盘货信息!$C:$C,盘货信息!$E:$E)&amp;"元到手价")</f>
        <v/>
      </c>
      <c r="G149" s="18" t="str">
        <f t="array" ref="G149">IF(C149="","",IF(_xlfn.XLOOKUP(A149&amp;B149&amp;C149,盘货信息!$A:$A&amp;盘货信息!$B:$B&amp;盘货信息!$C:$C,盘货信息!$I:$I)="","","88VIP95折"))</f>
        <v/>
      </c>
      <c r="H149" s="18" t="str">
        <f t="array" ref="H149">IF(C149="","",IF(_xlfn.XLOOKUP(A149&amp;B149&amp;C149,盘货信息!$A:$A&amp;盘货信息!$B:$B&amp;盘货信息!$C:$C,盘货信息!$J:$J)="","",_xlfn.XLOOKUP(A149&amp;B149&amp;C149,盘货信息!$A:$A&amp;盘货信息!$B:$B&amp;盘货信息!$C:$C,盘货信息!$J:$J)&amp;"元优惠卷"))</f>
        <v/>
      </c>
      <c r="I149" s="18" t="str">
        <f t="array" ref="I149">IF(C149="","",IF(_xlfn.XLOOKUP(A149&amp;B149&amp;C149,盘货信息!$A:$A&amp;盘货信息!$B:$B&amp;盘货信息!$C:$C,盘货信息!$R:$R)="","",_xlfn.XLOOKUP(A149&amp;B149&amp;C149,盘货信息!$A:$A&amp;盘货信息!$B:$B&amp;盘货信息!$C:$C,盘货信息!$R:$R)&amp;"元优惠卷"))</f>
        <v/>
      </c>
      <c r="J149" s="18" t="str">
        <f t="array" ref="J149">IF(C149="","",IF(_xlfn.XLOOKUP(A149&amp;B149&amp;C149,盘货信息!$A:$A&amp;盘货信息!$B:$B&amp;盘货信息!$C:$C,盘货信息!$K:$K)="","",IF(OR(_xlfn.XLOOKUP(A149&amp;B149&amp;C149,盘货信息!$A:$A&amp;盘货信息!$B:$B&amp;盘货信息!$C:$C,盘货信息!$G:$G)="参加",_xlfn.XLOOKUP(A149&amp;B149&amp;C149,盘货信息!$A:$A&amp;盘货信息!$B:$B&amp;盘货信息!$C:$C,盘货信息!$H:$H)="1（纯自补）"),_xlfn.XLOOKUP(A149&amp;B149&amp;C149,盘货信息!$A:$A&amp;盘货信息!$B:$B&amp;盘货信息!$C:$C,盘货信息!$K:$K)&amp;"元以旧换新（可无旧机换新）","")))</f>
        <v/>
      </c>
      <c r="K149" s="18" t="str">
        <f t="array" ref="K149">IF(C149="","",IF(_xlfn.XLOOKUP(A149&amp;B149&amp;C149,盘货信息!$A:$A&amp;盘货信息!$B:$B&amp;盘货信息!$C:$C,盘货信息!$L:$L)="","",_xlfn.XLOOKUP(A149&amp;B149&amp;C149,盘货信息!$A:$A&amp;盘货信息!$B:$B&amp;盘货信息!$C:$C,盘货信息!$L:$L)&amp;"元限时补贴"))</f>
        <v/>
      </c>
      <c r="L149" s="18" t="str">
        <f t="array" ref="L149">IF(C149="","",IF(_xlfn.XLOOKUP(A149&amp;B149&amp;C149,盘货信息!$A:$A&amp;盘货信息!$B:$B&amp;盘货信息!$C:$C,盘货信息!$M:$M)="","",_xlfn.XLOOKUP(A149&amp;B149&amp;C149,盘货信息!$A:$A&amp;盘货信息!$B:$B&amp;盘货信息!$C:$C,盘货信息!$M:$M)&amp;"元消费券"))</f>
        <v/>
      </c>
      <c r="M149" s="18" t="str">
        <f t="array" ref="M149">IF(C149="","",IF(_xlfn.XLOOKUP(A149&amp;B149&amp;C149,盘货信息!$A:$A&amp;盘货信息!$B:$B&amp;盘货信息!$C:$C,盘货信息!$G:$G)="不参加","","焕新补贴优惠【全民可用，不限地址】"))</f>
        <v/>
      </c>
    </row>
    <row r="150" customHeight="1" spans="1:13">
      <c r="A150" s="17" t="str">
        <f>IF(盘货信息!A150="","",盘货信息!A150)</f>
        <v/>
      </c>
      <c r="B150" s="17" t="str">
        <f>IF(盘货信息!B150="","",盘货信息!B150)</f>
        <v/>
      </c>
      <c r="C150" s="18" t="str">
        <f>IF(盘货信息!C150="","",盘货信息!C150)</f>
        <v/>
      </c>
      <c r="D150" s="18" t="str">
        <f t="shared" si="2"/>
        <v/>
      </c>
      <c r="E150" s="18" t="str">
        <f t="array" ref="E150">IF(C150="","",IF(_xlfn.XLOOKUP(A150&amp;B150&amp;C150,盘货信息!$A:$A&amp;盘货信息!$B:$B&amp;盘货信息!$C:$C,盘货信息!$N:$N)="","【立减到手价"&amp;_xlfn.XLOOKUP(A150&amp;B150&amp;C150,盘货信息!$A:$A&amp;盘货信息!$B:$B&amp;盘货信息!$C:$C,盘货信息!$F:$F)&amp;"元】","【焕新补贴预估价"&amp;_xlfn.XLOOKUP(A150&amp;B150&amp;C150,盘货信息!$A:$A&amp;盘货信息!$B:$B&amp;盘货信息!$C:$C,盘货信息!$N:$N)&amp;"元】"))</f>
        <v/>
      </c>
      <c r="F150" s="18" t="str">
        <f t="array" ref="F150">IF(C150="","",_xlfn.XLOOKUP(A150&amp;B150&amp;C150,盘货信息!$A:$A&amp;盘货信息!$B:$B&amp;盘货信息!$C:$C,盘货信息!$E:$E)&amp;"元到手价")</f>
        <v/>
      </c>
      <c r="G150" s="18" t="str">
        <f t="array" ref="G150">IF(C150="","",IF(_xlfn.XLOOKUP(A150&amp;B150&amp;C150,盘货信息!$A:$A&amp;盘货信息!$B:$B&amp;盘货信息!$C:$C,盘货信息!$I:$I)="","","88VIP95折"))</f>
        <v/>
      </c>
      <c r="H150" s="18" t="str">
        <f t="array" ref="H150">IF(C150="","",IF(_xlfn.XLOOKUP(A150&amp;B150&amp;C150,盘货信息!$A:$A&amp;盘货信息!$B:$B&amp;盘货信息!$C:$C,盘货信息!$J:$J)="","",_xlfn.XLOOKUP(A150&amp;B150&amp;C150,盘货信息!$A:$A&amp;盘货信息!$B:$B&amp;盘货信息!$C:$C,盘货信息!$J:$J)&amp;"元优惠卷"))</f>
        <v/>
      </c>
      <c r="I150" s="18" t="str">
        <f t="array" ref="I150">IF(C150="","",IF(_xlfn.XLOOKUP(A150&amp;B150&amp;C150,盘货信息!$A:$A&amp;盘货信息!$B:$B&amp;盘货信息!$C:$C,盘货信息!$R:$R)="","",_xlfn.XLOOKUP(A150&amp;B150&amp;C150,盘货信息!$A:$A&amp;盘货信息!$B:$B&amp;盘货信息!$C:$C,盘货信息!$R:$R)&amp;"元优惠卷"))</f>
        <v/>
      </c>
      <c r="J150" s="18" t="str">
        <f t="array" ref="J150">IF(C150="","",IF(_xlfn.XLOOKUP(A150&amp;B150&amp;C150,盘货信息!$A:$A&amp;盘货信息!$B:$B&amp;盘货信息!$C:$C,盘货信息!$K:$K)="","",IF(OR(_xlfn.XLOOKUP(A150&amp;B150&amp;C150,盘货信息!$A:$A&amp;盘货信息!$B:$B&amp;盘货信息!$C:$C,盘货信息!$G:$G)="参加",_xlfn.XLOOKUP(A150&amp;B150&amp;C150,盘货信息!$A:$A&amp;盘货信息!$B:$B&amp;盘货信息!$C:$C,盘货信息!$H:$H)="1（纯自补）"),_xlfn.XLOOKUP(A150&amp;B150&amp;C150,盘货信息!$A:$A&amp;盘货信息!$B:$B&amp;盘货信息!$C:$C,盘货信息!$K:$K)&amp;"元以旧换新（可无旧机换新）","")))</f>
        <v/>
      </c>
      <c r="K150" s="18" t="str">
        <f t="array" ref="K150">IF(C150="","",IF(_xlfn.XLOOKUP(A150&amp;B150&amp;C150,盘货信息!$A:$A&amp;盘货信息!$B:$B&amp;盘货信息!$C:$C,盘货信息!$L:$L)="","",_xlfn.XLOOKUP(A150&amp;B150&amp;C150,盘货信息!$A:$A&amp;盘货信息!$B:$B&amp;盘货信息!$C:$C,盘货信息!$L:$L)&amp;"元限时补贴"))</f>
        <v/>
      </c>
      <c r="L150" s="18" t="str">
        <f t="array" ref="L150">IF(C150="","",IF(_xlfn.XLOOKUP(A150&amp;B150&amp;C150,盘货信息!$A:$A&amp;盘货信息!$B:$B&amp;盘货信息!$C:$C,盘货信息!$M:$M)="","",_xlfn.XLOOKUP(A150&amp;B150&amp;C150,盘货信息!$A:$A&amp;盘货信息!$B:$B&amp;盘货信息!$C:$C,盘货信息!$M:$M)&amp;"元消费券"))</f>
        <v/>
      </c>
      <c r="M150" s="18" t="str">
        <f t="array" ref="M150">IF(C150="","",IF(_xlfn.XLOOKUP(A150&amp;B150&amp;C150,盘货信息!$A:$A&amp;盘货信息!$B:$B&amp;盘货信息!$C:$C,盘货信息!$G:$G)="不参加","","焕新补贴优惠【全民可用，不限地址】"))</f>
        <v/>
      </c>
    </row>
    <row r="151" customHeight="1" spans="1:13">
      <c r="A151" s="17" t="str">
        <f>IF(盘货信息!A151="","",盘货信息!A151)</f>
        <v/>
      </c>
      <c r="B151" s="17" t="str">
        <f>IF(盘货信息!B151="","",盘货信息!B151)</f>
        <v/>
      </c>
      <c r="C151" s="18" t="str">
        <f>IF(盘货信息!C151="","",盘货信息!C151)</f>
        <v/>
      </c>
      <c r="D151" s="18" t="str">
        <f t="shared" si="2"/>
        <v/>
      </c>
      <c r="E151" s="18" t="str">
        <f t="array" ref="E151">IF(C151="","",IF(_xlfn.XLOOKUP(A151&amp;B151&amp;C151,盘货信息!$A:$A&amp;盘货信息!$B:$B&amp;盘货信息!$C:$C,盘货信息!$N:$N)="","【立减到手价"&amp;_xlfn.XLOOKUP(A151&amp;B151&amp;C151,盘货信息!$A:$A&amp;盘货信息!$B:$B&amp;盘货信息!$C:$C,盘货信息!$F:$F)&amp;"元】","【焕新补贴预估价"&amp;_xlfn.XLOOKUP(A151&amp;B151&amp;C151,盘货信息!$A:$A&amp;盘货信息!$B:$B&amp;盘货信息!$C:$C,盘货信息!$N:$N)&amp;"元】"))</f>
        <v/>
      </c>
      <c r="F151" s="18" t="str">
        <f t="array" ref="F151">IF(C151="","",_xlfn.XLOOKUP(A151&amp;B151&amp;C151,盘货信息!$A:$A&amp;盘货信息!$B:$B&amp;盘货信息!$C:$C,盘货信息!$E:$E)&amp;"元到手价")</f>
        <v/>
      </c>
      <c r="G151" s="18" t="str">
        <f t="array" ref="G151">IF(C151="","",IF(_xlfn.XLOOKUP(A151&amp;B151&amp;C151,盘货信息!$A:$A&amp;盘货信息!$B:$B&amp;盘货信息!$C:$C,盘货信息!$I:$I)="","","88VIP95折"))</f>
        <v/>
      </c>
      <c r="H151" s="18" t="str">
        <f t="array" ref="H151">IF(C151="","",IF(_xlfn.XLOOKUP(A151&amp;B151&amp;C151,盘货信息!$A:$A&amp;盘货信息!$B:$B&amp;盘货信息!$C:$C,盘货信息!$J:$J)="","",_xlfn.XLOOKUP(A151&amp;B151&amp;C151,盘货信息!$A:$A&amp;盘货信息!$B:$B&amp;盘货信息!$C:$C,盘货信息!$J:$J)&amp;"元优惠卷"))</f>
        <v/>
      </c>
      <c r="I151" s="18" t="str">
        <f t="array" ref="I151">IF(C151="","",IF(_xlfn.XLOOKUP(A151&amp;B151&amp;C151,盘货信息!$A:$A&amp;盘货信息!$B:$B&amp;盘货信息!$C:$C,盘货信息!$R:$R)="","",_xlfn.XLOOKUP(A151&amp;B151&amp;C151,盘货信息!$A:$A&amp;盘货信息!$B:$B&amp;盘货信息!$C:$C,盘货信息!$R:$R)&amp;"元优惠卷"))</f>
        <v/>
      </c>
      <c r="J151" s="18" t="str">
        <f t="array" ref="J151">IF(C151="","",IF(_xlfn.XLOOKUP(A151&amp;B151&amp;C151,盘货信息!$A:$A&amp;盘货信息!$B:$B&amp;盘货信息!$C:$C,盘货信息!$K:$K)="","",IF(OR(_xlfn.XLOOKUP(A151&amp;B151&amp;C151,盘货信息!$A:$A&amp;盘货信息!$B:$B&amp;盘货信息!$C:$C,盘货信息!$G:$G)="参加",_xlfn.XLOOKUP(A151&amp;B151&amp;C151,盘货信息!$A:$A&amp;盘货信息!$B:$B&amp;盘货信息!$C:$C,盘货信息!$H:$H)="1（纯自补）"),_xlfn.XLOOKUP(A151&amp;B151&amp;C151,盘货信息!$A:$A&amp;盘货信息!$B:$B&amp;盘货信息!$C:$C,盘货信息!$K:$K)&amp;"元以旧换新（可无旧机换新）","")))</f>
        <v/>
      </c>
      <c r="K151" s="18" t="str">
        <f t="array" ref="K151">IF(C151="","",IF(_xlfn.XLOOKUP(A151&amp;B151&amp;C151,盘货信息!$A:$A&amp;盘货信息!$B:$B&amp;盘货信息!$C:$C,盘货信息!$L:$L)="","",_xlfn.XLOOKUP(A151&amp;B151&amp;C151,盘货信息!$A:$A&amp;盘货信息!$B:$B&amp;盘货信息!$C:$C,盘货信息!$L:$L)&amp;"元限时补贴"))</f>
        <v/>
      </c>
      <c r="L151" s="18" t="str">
        <f t="array" ref="L151">IF(C151="","",IF(_xlfn.XLOOKUP(A151&amp;B151&amp;C151,盘货信息!$A:$A&amp;盘货信息!$B:$B&amp;盘货信息!$C:$C,盘货信息!$M:$M)="","",_xlfn.XLOOKUP(A151&amp;B151&amp;C151,盘货信息!$A:$A&amp;盘货信息!$B:$B&amp;盘货信息!$C:$C,盘货信息!$M:$M)&amp;"元消费券"))</f>
        <v/>
      </c>
      <c r="M151" s="18" t="str">
        <f t="array" ref="M151">IF(C151="","",IF(_xlfn.XLOOKUP(A151&amp;B151&amp;C151,盘货信息!$A:$A&amp;盘货信息!$B:$B&amp;盘货信息!$C:$C,盘货信息!$G:$G)="不参加","","焕新补贴优惠【全民可用，不限地址】"))</f>
        <v/>
      </c>
    </row>
    <row r="152" customHeight="1" spans="1:13">
      <c r="A152" s="17" t="str">
        <f>IF(盘货信息!A152="","",盘货信息!A152)</f>
        <v/>
      </c>
      <c r="B152" s="17" t="str">
        <f>IF(盘货信息!B152="","",盘货信息!B152)</f>
        <v/>
      </c>
      <c r="C152" s="18" t="str">
        <f>IF(盘货信息!C152="","",盘货信息!C152)</f>
        <v/>
      </c>
      <c r="D152" s="18" t="str">
        <f t="shared" si="2"/>
        <v/>
      </c>
      <c r="E152" s="18" t="str">
        <f t="array" ref="E152">IF(C152="","",IF(_xlfn.XLOOKUP(A152&amp;B152&amp;C152,盘货信息!$A:$A&amp;盘货信息!$B:$B&amp;盘货信息!$C:$C,盘货信息!$N:$N)="","【立减到手价"&amp;_xlfn.XLOOKUP(A152&amp;B152&amp;C152,盘货信息!$A:$A&amp;盘货信息!$B:$B&amp;盘货信息!$C:$C,盘货信息!$F:$F)&amp;"元】","【焕新补贴预估价"&amp;_xlfn.XLOOKUP(A152&amp;B152&amp;C152,盘货信息!$A:$A&amp;盘货信息!$B:$B&amp;盘货信息!$C:$C,盘货信息!$N:$N)&amp;"元】"))</f>
        <v/>
      </c>
      <c r="F152" s="18" t="str">
        <f t="array" ref="F152">IF(C152="","",_xlfn.XLOOKUP(A152&amp;B152&amp;C152,盘货信息!$A:$A&amp;盘货信息!$B:$B&amp;盘货信息!$C:$C,盘货信息!$E:$E)&amp;"元到手价")</f>
        <v/>
      </c>
      <c r="G152" s="18" t="str">
        <f t="array" ref="G152">IF(C152="","",IF(_xlfn.XLOOKUP(A152&amp;B152&amp;C152,盘货信息!$A:$A&amp;盘货信息!$B:$B&amp;盘货信息!$C:$C,盘货信息!$I:$I)="","","88VIP95折"))</f>
        <v/>
      </c>
      <c r="H152" s="18" t="str">
        <f t="array" ref="H152">IF(C152="","",IF(_xlfn.XLOOKUP(A152&amp;B152&amp;C152,盘货信息!$A:$A&amp;盘货信息!$B:$B&amp;盘货信息!$C:$C,盘货信息!$J:$J)="","",_xlfn.XLOOKUP(A152&amp;B152&amp;C152,盘货信息!$A:$A&amp;盘货信息!$B:$B&amp;盘货信息!$C:$C,盘货信息!$J:$J)&amp;"元优惠卷"))</f>
        <v/>
      </c>
      <c r="I152" s="18" t="str">
        <f t="array" ref="I152">IF(C152="","",IF(_xlfn.XLOOKUP(A152&amp;B152&amp;C152,盘货信息!$A:$A&amp;盘货信息!$B:$B&amp;盘货信息!$C:$C,盘货信息!$R:$R)="","",_xlfn.XLOOKUP(A152&amp;B152&amp;C152,盘货信息!$A:$A&amp;盘货信息!$B:$B&amp;盘货信息!$C:$C,盘货信息!$R:$R)&amp;"元优惠卷"))</f>
        <v/>
      </c>
      <c r="J152" s="18" t="str">
        <f t="array" ref="J152">IF(C152="","",IF(_xlfn.XLOOKUP(A152&amp;B152&amp;C152,盘货信息!$A:$A&amp;盘货信息!$B:$B&amp;盘货信息!$C:$C,盘货信息!$K:$K)="","",IF(OR(_xlfn.XLOOKUP(A152&amp;B152&amp;C152,盘货信息!$A:$A&amp;盘货信息!$B:$B&amp;盘货信息!$C:$C,盘货信息!$G:$G)="参加",_xlfn.XLOOKUP(A152&amp;B152&amp;C152,盘货信息!$A:$A&amp;盘货信息!$B:$B&amp;盘货信息!$C:$C,盘货信息!$H:$H)="1（纯自补）"),_xlfn.XLOOKUP(A152&amp;B152&amp;C152,盘货信息!$A:$A&amp;盘货信息!$B:$B&amp;盘货信息!$C:$C,盘货信息!$K:$K)&amp;"元以旧换新（可无旧机换新）","")))</f>
        <v/>
      </c>
      <c r="K152" s="18" t="str">
        <f t="array" ref="K152">IF(C152="","",IF(_xlfn.XLOOKUP(A152&amp;B152&amp;C152,盘货信息!$A:$A&amp;盘货信息!$B:$B&amp;盘货信息!$C:$C,盘货信息!$L:$L)="","",_xlfn.XLOOKUP(A152&amp;B152&amp;C152,盘货信息!$A:$A&amp;盘货信息!$B:$B&amp;盘货信息!$C:$C,盘货信息!$L:$L)&amp;"元限时补贴"))</f>
        <v/>
      </c>
      <c r="L152" s="18" t="str">
        <f t="array" ref="L152">IF(C152="","",IF(_xlfn.XLOOKUP(A152&amp;B152&amp;C152,盘货信息!$A:$A&amp;盘货信息!$B:$B&amp;盘货信息!$C:$C,盘货信息!$M:$M)="","",_xlfn.XLOOKUP(A152&amp;B152&amp;C152,盘货信息!$A:$A&amp;盘货信息!$B:$B&amp;盘货信息!$C:$C,盘货信息!$M:$M)&amp;"元消费券"))</f>
        <v/>
      </c>
      <c r="M152" s="18" t="str">
        <f t="array" ref="M152">IF(C152="","",IF(_xlfn.XLOOKUP(A152&amp;B152&amp;C152,盘货信息!$A:$A&amp;盘货信息!$B:$B&amp;盘货信息!$C:$C,盘货信息!$G:$G)="不参加","","焕新补贴优惠【全民可用，不限地址】"))</f>
        <v/>
      </c>
    </row>
    <row r="153" customHeight="1" spans="1:13">
      <c r="A153" s="17" t="str">
        <f>IF(盘货信息!A153="","",盘货信息!A153)</f>
        <v/>
      </c>
      <c r="B153" s="17" t="str">
        <f>IF(盘货信息!B153="","",盘货信息!B153)</f>
        <v/>
      </c>
      <c r="C153" s="18" t="str">
        <f>IF(盘货信息!C153="","",盘货信息!C153)</f>
        <v/>
      </c>
      <c r="D153" s="18" t="str">
        <f t="shared" si="2"/>
        <v/>
      </c>
      <c r="E153" s="18" t="str">
        <f t="array" ref="E153">IF(C153="","",IF(_xlfn.XLOOKUP(A153&amp;B153&amp;C153,盘货信息!$A:$A&amp;盘货信息!$B:$B&amp;盘货信息!$C:$C,盘货信息!$N:$N)="","【立减到手价"&amp;_xlfn.XLOOKUP(A153&amp;B153&amp;C153,盘货信息!$A:$A&amp;盘货信息!$B:$B&amp;盘货信息!$C:$C,盘货信息!$F:$F)&amp;"元】","【焕新补贴预估价"&amp;_xlfn.XLOOKUP(A153&amp;B153&amp;C153,盘货信息!$A:$A&amp;盘货信息!$B:$B&amp;盘货信息!$C:$C,盘货信息!$N:$N)&amp;"元】"))</f>
        <v/>
      </c>
      <c r="F153" s="18" t="str">
        <f t="array" ref="F153">IF(C153="","",_xlfn.XLOOKUP(A153&amp;B153&amp;C153,盘货信息!$A:$A&amp;盘货信息!$B:$B&amp;盘货信息!$C:$C,盘货信息!$E:$E)&amp;"元到手价")</f>
        <v/>
      </c>
      <c r="G153" s="18" t="str">
        <f t="array" ref="G153">IF(C153="","",IF(_xlfn.XLOOKUP(A153&amp;B153&amp;C153,盘货信息!$A:$A&amp;盘货信息!$B:$B&amp;盘货信息!$C:$C,盘货信息!$I:$I)="","","88VIP95折"))</f>
        <v/>
      </c>
      <c r="H153" s="18" t="str">
        <f t="array" ref="H153">IF(C153="","",IF(_xlfn.XLOOKUP(A153&amp;B153&amp;C153,盘货信息!$A:$A&amp;盘货信息!$B:$B&amp;盘货信息!$C:$C,盘货信息!$J:$J)="","",_xlfn.XLOOKUP(A153&amp;B153&amp;C153,盘货信息!$A:$A&amp;盘货信息!$B:$B&amp;盘货信息!$C:$C,盘货信息!$J:$J)&amp;"元优惠卷"))</f>
        <v/>
      </c>
      <c r="I153" s="18" t="str">
        <f t="array" ref="I153">IF(C153="","",IF(_xlfn.XLOOKUP(A153&amp;B153&amp;C153,盘货信息!$A:$A&amp;盘货信息!$B:$B&amp;盘货信息!$C:$C,盘货信息!$R:$R)="","",_xlfn.XLOOKUP(A153&amp;B153&amp;C153,盘货信息!$A:$A&amp;盘货信息!$B:$B&amp;盘货信息!$C:$C,盘货信息!$R:$R)&amp;"元优惠卷"))</f>
        <v/>
      </c>
      <c r="J153" s="18" t="str">
        <f t="array" ref="J153">IF(C153="","",IF(_xlfn.XLOOKUP(A153&amp;B153&amp;C153,盘货信息!$A:$A&amp;盘货信息!$B:$B&amp;盘货信息!$C:$C,盘货信息!$K:$K)="","",IF(OR(_xlfn.XLOOKUP(A153&amp;B153&amp;C153,盘货信息!$A:$A&amp;盘货信息!$B:$B&amp;盘货信息!$C:$C,盘货信息!$G:$G)="参加",_xlfn.XLOOKUP(A153&amp;B153&amp;C153,盘货信息!$A:$A&amp;盘货信息!$B:$B&amp;盘货信息!$C:$C,盘货信息!$H:$H)="1（纯自补）"),_xlfn.XLOOKUP(A153&amp;B153&amp;C153,盘货信息!$A:$A&amp;盘货信息!$B:$B&amp;盘货信息!$C:$C,盘货信息!$K:$K)&amp;"元以旧换新（可无旧机换新）","")))</f>
        <v/>
      </c>
      <c r="K153" s="18" t="str">
        <f t="array" ref="K153">IF(C153="","",IF(_xlfn.XLOOKUP(A153&amp;B153&amp;C153,盘货信息!$A:$A&amp;盘货信息!$B:$B&amp;盘货信息!$C:$C,盘货信息!$L:$L)="","",_xlfn.XLOOKUP(A153&amp;B153&amp;C153,盘货信息!$A:$A&amp;盘货信息!$B:$B&amp;盘货信息!$C:$C,盘货信息!$L:$L)&amp;"元限时补贴"))</f>
        <v/>
      </c>
      <c r="L153" s="18" t="str">
        <f t="array" ref="L153">IF(C153="","",IF(_xlfn.XLOOKUP(A153&amp;B153&amp;C153,盘货信息!$A:$A&amp;盘货信息!$B:$B&amp;盘货信息!$C:$C,盘货信息!$M:$M)="","",_xlfn.XLOOKUP(A153&amp;B153&amp;C153,盘货信息!$A:$A&amp;盘货信息!$B:$B&amp;盘货信息!$C:$C,盘货信息!$M:$M)&amp;"元消费券"))</f>
        <v/>
      </c>
      <c r="M153" s="18" t="str">
        <f t="array" ref="M153">IF(C153="","",IF(_xlfn.XLOOKUP(A153&amp;B153&amp;C153,盘货信息!$A:$A&amp;盘货信息!$B:$B&amp;盘货信息!$C:$C,盘货信息!$G:$G)="不参加","","焕新补贴优惠【全民可用，不限地址】"))</f>
        <v/>
      </c>
    </row>
    <row r="154" customHeight="1" spans="1:13">
      <c r="A154" s="17" t="str">
        <f>IF(盘货信息!A154="","",盘货信息!A154)</f>
        <v/>
      </c>
      <c r="B154" s="17" t="str">
        <f>IF(盘货信息!B154="","",盘货信息!B154)</f>
        <v/>
      </c>
      <c r="C154" s="18" t="str">
        <f>IF(盘货信息!C154="","",盘货信息!C154)</f>
        <v/>
      </c>
      <c r="D154" s="18" t="str">
        <f t="shared" si="2"/>
        <v/>
      </c>
      <c r="E154" s="18" t="str">
        <f t="array" ref="E154">IF(C154="","",IF(_xlfn.XLOOKUP(A154&amp;B154&amp;C154,盘货信息!$A:$A&amp;盘货信息!$B:$B&amp;盘货信息!$C:$C,盘货信息!$N:$N)="","【立减到手价"&amp;_xlfn.XLOOKUP(A154&amp;B154&amp;C154,盘货信息!$A:$A&amp;盘货信息!$B:$B&amp;盘货信息!$C:$C,盘货信息!$F:$F)&amp;"元】","【焕新补贴预估价"&amp;_xlfn.XLOOKUP(A154&amp;B154&amp;C154,盘货信息!$A:$A&amp;盘货信息!$B:$B&amp;盘货信息!$C:$C,盘货信息!$N:$N)&amp;"元】"))</f>
        <v/>
      </c>
      <c r="F154" s="18" t="str">
        <f t="array" ref="F154">IF(C154="","",_xlfn.XLOOKUP(A154&amp;B154&amp;C154,盘货信息!$A:$A&amp;盘货信息!$B:$B&amp;盘货信息!$C:$C,盘货信息!$E:$E)&amp;"元到手价")</f>
        <v/>
      </c>
      <c r="G154" s="18" t="str">
        <f t="array" ref="G154">IF(C154="","",IF(_xlfn.XLOOKUP(A154&amp;B154&amp;C154,盘货信息!$A:$A&amp;盘货信息!$B:$B&amp;盘货信息!$C:$C,盘货信息!$I:$I)="","","88VIP95折"))</f>
        <v/>
      </c>
      <c r="H154" s="18" t="str">
        <f t="array" ref="H154">IF(C154="","",IF(_xlfn.XLOOKUP(A154&amp;B154&amp;C154,盘货信息!$A:$A&amp;盘货信息!$B:$B&amp;盘货信息!$C:$C,盘货信息!$J:$J)="","",_xlfn.XLOOKUP(A154&amp;B154&amp;C154,盘货信息!$A:$A&amp;盘货信息!$B:$B&amp;盘货信息!$C:$C,盘货信息!$J:$J)&amp;"元优惠卷"))</f>
        <v/>
      </c>
      <c r="I154" s="18" t="str">
        <f t="array" ref="I154">IF(C154="","",IF(_xlfn.XLOOKUP(A154&amp;B154&amp;C154,盘货信息!$A:$A&amp;盘货信息!$B:$B&amp;盘货信息!$C:$C,盘货信息!$R:$R)="","",_xlfn.XLOOKUP(A154&amp;B154&amp;C154,盘货信息!$A:$A&amp;盘货信息!$B:$B&amp;盘货信息!$C:$C,盘货信息!$R:$R)&amp;"元优惠卷"))</f>
        <v/>
      </c>
      <c r="J154" s="18" t="str">
        <f t="array" ref="J154">IF(C154="","",IF(_xlfn.XLOOKUP(A154&amp;B154&amp;C154,盘货信息!$A:$A&amp;盘货信息!$B:$B&amp;盘货信息!$C:$C,盘货信息!$K:$K)="","",IF(OR(_xlfn.XLOOKUP(A154&amp;B154&amp;C154,盘货信息!$A:$A&amp;盘货信息!$B:$B&amp;盘货信息!$C:$C,盘货信息!$G:$G)="参加",_xlfn.XLOOKUP(A154&amp;B154&amp;C154,盘货信息!$A:$A&amp;盘货信息!$B:$B&amp;盘货信息!$C:$C,盘货信息!$H:$H)="1（纯自补）"),_xlfn.XLOOKUP(A154&amp;B154&amp;C154,盘货信息!$A:$A&amp;盘货信息!$B:$B&amp;盘货信息!$C:$C,盘货信息!$K:$K)&amp;"元以旧换新（可无旧机换新）","")))</f>
        <v/>
      </c>
      <c r="K154" s="18" t="str">
        <f t="array" ref="K154">IF(C154="","",IF(_xlfn.XLOOKUP(A154&amp;B154&amp;C154,盘货信息!$A:$A&amp;盘货信息!$B:$B&amp;盘货信息!$C:$C,盘货信息!$L:$L)="","",_xlfn.XLOOKUP(A154&amp;B154&amp;C154,盘货信息!$A:$A&amp;盘货信息!$B:$B&amp;盘货信息!$C:$C,盘货信息!$L:$L)&amp;"元限时补贴"))</f>
        <v/>
      </c>
      <c r="L154" s="18" t="str">
        <f t="array" ref="L154">IF(C154="","",IF(_xlfn.XLOOKUP(A154&amp;B154&amp;C154,盘货信息!$A:$A&amp;盘货信息!$B:$B&amp;盘货信息!$C:$C,盘货信息!$M:$M)="","",_xlfn.XLOOKUP(A154&amp;B154&amp;C154,盘货信息!$A:$A&amp;盘货信息!$B:$B&amp;盘货信息!$C:$C,盘货信息!$M:$M)&amp;"元消费券"))</f>
        <v/>
      </c>
      <c r="M154" s="18" t="str">
        <f t="array" ref="M154">IF(C154="","",IF(_xlfn.XLOOKUP(A154&amp;B154&amp;C154,盘货信息!$A:$A&amp;盘货信息!$B:$B&amp;盘货信息!$C:$C,盘货信息!$G:$G)="不参加","","焕新补贴优惠【全民可用，不限地址】"))</f>
        <v/>
      </c>
    </row>
    <row r="155" customHeight="1" spans="1:13">
      <c r="A155" s="17" t="str">
        <f>IF(盘货信息!A155="","",盘货信息!A155)</f>
        <v/>
      </c>
      <c r="B155" s="17" t="str">
        <f>IF(盘货信息!B155="","",盘货信息!B155)</f>
        <v/>
      </c>
      <c r="C155" s="18" t="str">
        <f>IF(盘货信息!C155="","",盘货信息!C155)</f>
        <v/>
      </c>
      <c r="D155" s="18" t="str">
        <f t="shared" si="2"/>
        <v/>
      </c>
      <c r="E155" s="18" t="str">
        <f t="array" ref="E155">IF(C155="","",IF(_xlfn.XLOOKUP(A155&amp;B155&amp;C155,盘货信息!$A:$A&amp;盘货信息!$B:$B&amp;盘货信息!$C:$C,盘货信息!$N:$N)="","【立减到手价"&amp;_xlfn.XLOOKUP(A155&amp;B155&amp;C155,盘货信息!$A:$A&amp;盘货信息!$B:$B&amp;盘货信息!$C:$C,盘货信息!$F:$F)&amp;"元】","【焕新补贴预估价"&amp;_xlfn.XLOOKUP(A155&amp;B155&amp;C155,盘货信息!$A:$A&amp;盘货信息!$B:$B&amp;盘货信息!$C:$C,盘货信息!$N:$N)&amp;"元】"))</f>
        <v/>
      </c>
      <c r="F155" s="18" t="str">
        <f t="array" ref="F155">IF(C155="","",_xlfn.XLOOKUP(A155&amp;B155&amp;C155,盘货信息!$A:$A&amp;盘货信息!$B:$B&amp;盘货信息!$C:$C,盘货信息!$E:$E)&amp;"元到手价")</f>
        <v/>
      </c>
      <c r="G155" s="18" t="str">
        <f t="array" ref="G155">IF(C155="","",IF(_xlfn.XLOOKUP(A155&amp;B155&amp;C155,盘货信息!$A:$A&amp;盘货信息!$B:$B&amp;盘货信息!$C:$C,盘货信息!$I:$I)="","","88VIP95折"))</f>
        <v/>
      </c>
      <c r="H155" s="18" t="str">
        <f t="array" ref="H155">IF(C155="","",IF(_xlfn.XLOOKUP(A155&amp;B155&amp;C155,盘货信息!$A:$A&amp;盘货信息!$B:$B&amp;盘货信息!$C:$C,盘货信息!$J:$J)="","",_xlfn.XLOOKUP(A155&amp;B155&amp;C155,盘货信息!$A:$A&amp;盘货信息!$B:$B&amp;盘货信息!$C:$C,盘货信息!$J:$J)&amp;"元优惠卷"))</f>
        <v/>
      </c>
      <c r="I155" s="18" t="str">
        <f t="array" ref="I155">IF(C155="","",IF(_xlfn.XLOOKUP(A155&amp;B155&amp;C155,盘货信息!$A:$A&amp;盘货信息!$B:$B&amp;盘货信息!$C:$C,盘货信息!$R:$R)="","",_xlfn.XLOOKUP(A155&amp;B155&amp;C155,盘货信息!$A:$A&amp;盘货信息!$B:$B&amp;盘货信息!$C:$C,盘货信息!$R:$R)&amp;"元优惠卷"))</f>
        <v/>
      </c>
      <c r="J155" s="18" t="str">
        <f t="array" ref="J155">IF(C155="","",IF(_xlfn.XLOOKUP(A155&amp;B155&amp;C155,盘货信息!$A:$A&amp;盘货信息!$B:$B&amp;盘货信息!$C:$C,盘货信息!$K:$K)="","",IF(OR(_xlfn.XLOOKUP(A155&amp;B155&amp;C155,盘货信息!$A:$A&amp;盘货信息!$B:$B&amp;盘货信息!$C:$C,盘货信息!$G:$G)="参加",_xlfn.XLOOKUP(A155&amp;B155&amp;C155,盘货信息!$A:$A&amp;盘货信息!$B:$B&amp;盘货信息!$C:$C,盘货信息!$H:$H)="1（纯自补）"),_xlfn.XLOOKUP(A155&amp;B155&amp;C155,盘货信息!$A:$A&amp;盘货信息!$B:$B&amp;盘货信息!$C:$C,盘货信息!$K:$K)&amp;"元以旧换新（可无旧机换新）","")))</f>
        <v/>
      </c>
      <c r="K155" s="18" t="str">
        <f t="array" ref="K155">IF(C155="","",IF(_xlfn.XLOOKUP(A155&amp;B155&amp;C155,盘货信息!$A:$A&amp;盘货信息!$B:$B&amp;盘货信息!$C:$C,盘货信息!$L:$L)="","",_xlfn.XLOOKUP(A155&amp;B155&amp;C155,盘货信息!$A:$A&amp;盘货信息!$B:$B&amp;盘货信息!$C:$C,盘货信息!$L:$L)&amp;"元限时补贴"))</f>
        <v/>
      </c>
      <c r="L155" s="18" t="str">
        <f t="array" ref="L155">IF(C155="","",IF(_xlfn.XLOOKUP(A155&amp;B155&amp;C155,盘货信息!$A:$A&amp;盘货信息!$B:$B&amp;盘货信息!$C:$C,盘货信息!$M:$M)="","",_xlfn.XLOOKUP(A155&amp;B155&amp;C155,盘货信息!$A:$A&amp;盘货信息!$B:$B&amp;盘货信息!$C:$C,盘货信息!$M:$M)&amp;"元消费券"))</f>
        <v/>
      </c>
      <c r="M155" s="18" t="str">
        <f t="array" ref="M155">IF(C155="","",IF(_xlfn.XLOOKUP(A155&amp;B155&amp;C155,盘货信息!$A:$A&amp;盘货信息!$B:$B&amp;盘货信息!$C:$C,盘货信息!$G:$G)="不参加","","焕新补贴优惠【全民可用，不限地址】"))</f>
        <v/>
      </c>
    </row>
    <row r="156" customHeight="1" spans="1:13">
      <c r="A156" s="17" t="str">
        <f>IF(盘货信息!A156="","",盘货信息!A156)</f>
        <v/>
      </c>
      <c r="B156" s="17" t="str">
        <f>IF(盘货信息!B156="","",盘货信息!B156)</f>
        <v/>
      </c>
      <c r="C156" s="18" t="str">
        <f>IF(盘货信息!C156="","",盘货信息!C156)</f>
        <v/>
      </c>
      <c r="D156" s="18" t="str">
        <f t="shared" si="2"/>
        <v/>
      </c>
      <c r="E156" s="18" t="str">
        <f t="array" ref="E156">IF(C156="","",IF(_xlfn.XLOOKUP(A156&amp;B156&amp;C156,盘货信息!$A:$A&amp;盘货信息!$B:$B&amp;盘货信息!$C:$C,盘货信息!$N:$N)="","【立减到手价"&amp;_xlfn.XLOOKUP(A156&amp;B156&amp;C156,盘货信息!$A:$A&amp;盘货信息!$B:$B&amp;盘货信息!$C:$C,盘货信息!$F:$F)&amp;"元】","【焕新补贴预估价"&amp;_xlfn.XLOOKUP(A156&amp;B156&amp;C156,盘货信息!$A:$A&amp;盘货信息!$B:$B&amp;盘货信息!$C:$C,盘货信息!$N:$N)&amp;"元】"))</f>
        <v/>
      </c>
      <c r="F156" s="18" t="str">
        <f t="array" ref="F156">IF(C156="","",_xlfn.XLOOKUP(A156&amp;B156&amp;C156,盘货信息!$A:$A&amp;盘货信息!$B:$B&amp;盘货信息!$C:$C,盘货信息!$E:$E)&amp;"元到手价")</f>
        <v/>
      </c>
      <c r="G156" s="18" t="str">
        <f t="array" ref="G156">IF(C156="","",IF(_xlfn.XLOOKUP(A156&amp;B156&amp;C156,盘货信息!$A:$A&amp;盘货信息!$B:$B&amp;盘货信息!$C:$C,盘货信息!$I:$I)="","","88VIP95折"))</f>
        <v/>
      </c>
      <c r="H156" s="18" t="str">
        <f t="array" ref="H156">IF(C156="","",IF(_xlfn.XLOOKUP(A156&amp;B156&amp;C156,盘货信息!$A:$A&amp;盘货信息!$B:$B&amp;盘货信息!$C:$C,盘货信息!$J:$J)="","",_xlfn.XLOOKUP(A156&amp;B156&amp;C156,盘货信息!$A:$A&amp;盘货信息!$B:$B&amp;盘货信息!$C:$C,盘货信息!$J:$J)&amp;"元优惠卷"))</f>
        <v/>
      </c>
      <c r="I156" s="18" t="str">
        <f t="array" ref="I156">IF(C156="","",IF(_xlfn.XLOOKUP(A156&amp;B156&amp;C156,盘货信息!$A:$A&amp;盘货信息!$B:$B&amp;盘货信息!$C:$C,盘货信息!$R:$R)="","",_xlfn.XLOOKUP(A156&amp;B156&amp;C156,盘货信息!$A:$A&amp;盘货信息!$B:$B&amp;盘货信息!$C:$C,盘货信息!$R:$R)&amp;"元优惠卷"))</f>
        <v/>
      </c>
      <c r="J156" s="18" t="str">
        <f t="array" ref="J156">IF(C156="","",IF(_xlfn.XLOOKUP(A156&amp;B156&amp;C156,盘货信息!$A:$A&amp;盘货信息!$B:$B&amp;盘货信息!$C:$C,盘货信息!$K:$K)="","",IF(OR(_xlfn.XLOOKUP(A156&amp;B156&amp;C156,盘货信息!$A:$A&amp;盘货信息!$B:$B&amp;盘货信息!$C:$C,盘货信息!$G:$G)="参加",_xlfn.XLOOKUP(A156&amp;B156&amp;C156,盘货信息!$A:$A&amp;盘货信息!$B:$B&amp;盘货信息!$C:$C,盘货信息!$H:$H)="1（纯自补）"),_xlfn.XLOOKUP(A156&amp;B156&amp;C156,盘货信息!$A:$A&amp;盘货信息!$B:$B&amp;盘货信息!$C:$C,盘货信息!$K:$K)&amp;"元以旧换新（可无旧机换新）","")))</f>
        <v/>
      </c>
      <c r="K156" s="18" t="str">
        <f t="array" ref="K156">IF(C156="","",IF(_xlfn.XLOOKUP(A156&amp;B156&amp;C156,盘货信息!$A:$A&amp;盘货信息!$B:$B&amp;盘货信息!$C:$C,盘货信息!$L:$L)="","",_xlfn.XLOOKUP(A156&amp;B156&amp;C156,盘货信息!$A:$A&amp;盘货信息!$B:$B&amp;盘货信息!$C:$C,盘货信息!$L:$L)&amp;"元限时补贴"))</f>
        <v/>
      </c>
      <c r="L156" s="18" t="str">
        <f t="array" ref="L156">IF(C156="","",IF(_xlfn.XLOOKUP(A156&amp;B156&amp;C156,盘货信息!$A:$A&amp;盘货信息!$B:$B&amp;盘货信息!$C:$C,盘货信息!$M:$M)="","",_xlfn.XLOOKUP(A156&amp;B156&amp;C156,盘货信息!$A:$A&amp;盘货信息!$B:$B&amp;盘货信息!$C:$C,盘货信息!$M:$M)&amp;"元消费券"))</f>
        <v/>
      </c>
      <c r="M156" s="18" t="str">
        <f t="array" ref="M156">IF(C156="","",IF(_xlfn.XLOOKUP(A156&amp;B156&amp;C156,盘货信息!$A:$A&amp;盘货信息!$B:$B&amp;盘货信息!$C:$C,盘货信息!$G:$G)="不参加","","焕新补贴优惠【全民可用，不限地址】"))</f>
        <v/>
      </c>
    </row>
    <row r="157" customHeight="1" spans="1:13">
      <c r="A157" s="17" t="str">
        <f>IF(盘货信息!A157="","",盘货信息!A157)</f>
        <v/>
      </c>
      <c r="B157" s="17" t="str">
        <f>IF(盘货信息!B157="","",盘货信息!B157)</f>
        <v/>
      </c>
      <c r="C157" s="18" t="str">
        <f>IF(盘货信息!C157="","",盘货信息!C157)</f>
        <v/>
      </c>
      <c r="D157" s="18" t="str">
        <f t="shared" si="2"/>
        <v/>
      </c>
      <c r="E157" s="18" t="str">
        <f t="array" ref="E157">IF(C157="","",IF(_xlfn.XLOOKUP(A157&amp;B157&amp;C157,盘货信息!$A:$A&amp;盘货信息!$B:$B&amp;盘货信息!$C:$C,盘货信息!$N:$N)="","【立减到手价"&amp;_xlfn.XLOOKUP(A157&amp;B157&amp;C157,盘货信息!$A:$A&amp;盘货信息!$B:$B&amp;盘货信息!$C:$C,盘货信息!$F:$F)&amp;"元】","【焕新补贴预估价"&amp;_xlfn.XLOOKUP(A157&amp;B157&amp;C157,盘货信息!$A:$A&amp;盘货信息!$B:$B&amp;盘货信息!$C:$C,盘货信息!$N:$N)&amp;"元】"))</f>
        <v/>
      </c>
      <c r="F157" s="18" t="str">
        <f t="array" ref="F157">IF(C157="","",_xlfn.XLOOKUP(A157&amp;B157&amp;C157,盘货信息!$A:$A&amp;盘货信息!$B:$B&amp;盘货信息!$C:$C,盘货信息!$E:$E)&amp;"元到手价")</f>
        <v/>
      </c>
      <c r="G157" s="18" t="str">
        <f t="array" ref="G157">IF(C157="","",IF(_xlfn.XLOOKUP(A157&amp;B157&amp;C157,盘货信息!$A:$A&amp;盘货信息!$B:$B&amp;盘货信息!$C:$C,盘货信息!$I:$I)="","","88VIP95折"))</f>
        <v/>
      </c>
      <c r="H157" s="18" t="str">
        <f t="array" ref="H157">IF(C157="","",IF(_xlfn.XLOOKUP(A157&amp;B157&amp;C157,盘货信息!$A:$A&amp;盘货信息!$B:$B&amp;盘货信息!$C:$C,盘货信息!$J:$J)="","",_xlfn.XLOOKUP(A157&amp;B157&amp;C157,盘货信息!$A:$A&amp;盘货信息!$B:$B&amp;盘货信息!$C:$C,盘货信息!$J:$J)&amp;"元优惠卷"))</f>
        <v/>
      </c>
      <c r="I157" s="18" t="str">
        <f t="array" ref="I157">IF(C157="","",IF(_xlfn.XLOOKUP(A157&amp;B157&amp;C157,盘货信息!$A:$A&amp;盘货信息!$B:$B&amp;盘货信息!$C:$C,盘货信息!$R:$R)="","",_xlfn.XLOOKUP(A157&amp;B157&amp;C157,盘货信息!$A:$A&amp;盘货信息!$B:$B&amp;盘货信息!$C:$C,盘货信息!$R:$R)&amp;"元优惠卷"))</f>
        <v/>
      </c>
      <c r="J157" s="18" t="str">
        <f t="array" ref="J157">IF(C157="","",IF(_xlfn.XLOOKUP(A157&amp;B157&amp;C157,盘货信息!$A:$A&amp;盘货信息!$B:$B&amp;盘货信息!$C:$C,盘货信息!$K:$K)="","",IF(OR(_xlfn.XLOOKUP(A157&amp;B157&amp;C157,盘货信息!$A:$A&amp;盘货信息!$B:$B&amp;盘货信息!$C:$C,盘货信息!$G:$G)="参加",_xlfn.XLOOKUP(A157&amp;B157&amp;C157,盘货信息!$A:$A&amp;盘货信息!$B:$B&amp;盘货信息!$C:$C,盘货信息!$H:$H)="1（纯自补）"),_xlfn.XLOOKUP(A157&amp;B157&amp;C157,盘货信息!$A:$A&amp;盘货信息!$B:$B&amp;盘货信息!$C:$C,盘货信息!$K:$K)&amp;"元以旧换新（可无旧机换新）","")))</f>
        <v/>
      </c>
      <c r="K157" s="18" t="str">
        <f t="array" ref="K157">IF(C157="","",IF(_xlfn.XLOOKUP(A157&amp;B157&amp;C157,盘货信息!$A:$A&amp;盘货信息!$B:$B&amp;盘货信息!$C:$C,盘货信息!$L:$L)="","",_xlfn.XLOOKUP(A157&amp;B157&amp;C157,盘货信息!$A:$A&amp;盘货信息!$B:$B&amp;盘货信息!$C:$C,盘货信息!$L:$L)&amp;"元限时补贴"))</f>
        <v/>
      </c>
      <c r="L157" s="18" t="str">
        <f t="array" ref="L157">IF(C157="","",IF(_xlfn.XLOOKUP(A157&amp;B157&amp;C157,盘货信息!$A:$A&amp;盘货信息!$B:$B&amp;盘货信息!$C:$C,盘货信息!$M:$M)="","",_xlfn.XLOOKUP(A157&amp;B157&amp;C157,盘货信息!$A:$A&amp;盘货信息!$B:$B&amp;盘货信息!$C:$C,盘货信息!$M:$M)&amp;"元消费券"))</f>
        <v/>
      </c>
      <c r="M157" s="18" t="str">
        <f t="array" ref="M157">IF(C157="","",IF(_xlfn.XLOOKUP(A157&amp;B157&amp;C157,盘货信息!$A:$A&amp;盘货信息!$B:$B&amp;盘货信息!$C:$C,盘货信息!$G:$G)="不参加","","焕新补贴优惠【全民可用，不限地址】"))</f>
        <v/>
      </c>
    </row>
    <row r="158" customHeight="1" spans="1:13">
      <c r="A158" s="17" t="str">
        <f>IF(盘货信息!A158="","",盘货信息!A158)</f>
        <v/>
      </c>
      <c r="B158" s="17" t="str">
        <f>IF(盘货信息!B158="","",盘货信息!B158)</f>
        <v/>
      </c>
      <c r="C158" s="18" t="str">
        <f>IF(盘货信息!C158="","",盘货信息!C158)</f>
        <v/>
      </c>
      <c r="D158" s="18" t="str">
        <f t="shared" si="2"/>
        <v/>
      </c>
      <c r="E158" s="18" t="str">
        <f t="array" ref="E158">IF(C158="","",IF(_xlfn.XLOOKUP(A158&amp;B158&amp;C158,盘货信息!$A:$A&amp;盘货信息!$B:$B&amp;盘货信息!$C:$C,盘货信息!$N:$N)="","【立减到手价"&amp;_xlfn.XLOOKUP(A158&amp;B158&amp;C158,盘货信息!$A:$A&amp;盘货信息!$B:$B&amp;盘货信息!$C:$C,盘货信息!$F:$F)&amp;"元】","【焕新补贴预估价"&amp;_xlfn.XLOOKUP(A158&amp;B158&amp;C158,盘货信息!$A:$A&amp;盘货信息!$B:$B&amp;盘货信息!$C:$C,盘货信息!$N:$N)&amp;"元】"))</f>
        <v/>
      </c>
      <c r="F158" s="18" t="str">
        <f t="array" ref="F158">IF(C158="","",_xlfn.XLOOKUP(A158&amp;B158&amp;C158,盘货信息!$A:$A&amp;盘货信息!$B:$B&amp;盘货信息!$C:$C,盘货信息!$E:$E)&amp;"元到手价")</f>
        <v/>
      </c>
      <c r="G158" s="18" t="str">
        <f t="array" ref="G158">IF(C158="","",IF(_xlfn.XLOOKUP(A158&amp;B158&amp;C158,盘货信息!$A:$A&amp;盘货信息!$B:$B&amp;盘货信息!$C:$C,盘货信息!$I:$I)="","","88VIP95折"))</f>
        <v/>
      </c>
      <c r="H158" s="18" t="str">
        <f t="array" ref="H158">IF(C158="","",IF(_xlfn.XLOOKUP(A158&amp;B158&amp;C158,盘货信息!$A:$A&amp;盘货信息!$B:$B&amp;盘货信息!$C:$C,盘货信息!$J:$J)="","",_xlfn.XLOOKUP(A158&amp;B158&amp;C158,盘货信息!$A:$A&amp;盘货信息!$B:$B&amp;盘货信息!$C:$C,盘货信息!$J:$J)&amp;"元优惠卷"))</f>
        <v/>
      </c>
      <c r="I158" s="18" t="str">
        <f t="array" ref="I158">IF(C158="","",IF(_xlfn.XLOOKUP(A158&amp;B158&amp;C158,盘货信息!$A:$A&amp;盘货信息!$B:$B&amp;盘货信息!$C:$C,盘货信息!$R:$R)="","",_xlfn.XLOOKUP(A158&amp;B158&amp;C158,盘货信息!$A:$A&amp;盘货信息!$B:$B&amp;盘货信息!$C:$C,盘货信息!$R:$R)&amp;"元优惠卷"))</f>
        <v/>
      </c>
      <c r="J158" s="18" t="str">
        <f t="array" ref="J158">IF(C158="","",IF(_xlfn.XLOOKUP(A158&amp;B158&amp;C158,盘货信息!$A:$A&amp;盘货信息!$B:$B&amp;盘货信息!$C:$C,盘货信息!$K:$K)="","",IF(OR(_xlfn.XLOOKUP(A158&amp;B158&amp;C158,盘货信息!$A:$A&amp;盘货信息!$B:$B&amp;盘货信息!$C:$C,盘货信息!$G:$G)="参加",_xlfn.XLOOKUP(A158&amp;B158&amp;C158,盘货信息!$A:$A&amp;盘货信息!$B:$B&amp;盘货信息!$C:$C,盘货信息!$H:$H)="1（纯自补）"),_xlfn.XLOOKUP(A158&amp;B158&amp;C158,盘货信息!$A:$A&amp;盘货信息!$B:$B&amp;盘货信息!$C:$C,盘货信息!$K:$K)&amp;"元以旧换新（可无旧机换新）","")))</f>
        <v/>
      </c>
      <c r="K158" s="18" t="str">
        <f t="array" ref="K158">IF(C158="","",IF(_xlfn.XLOOKUP(A158&amp;B158&amp;C158,盘货信息!$A:$A&amp;盘货信息!$B:$B&amp;盘货信息!$C:$C,盘货信息!$L:$L)="","",_xlfn.XLOOKUP(A158&amp;B158&amp;C158,盘货信息!$A:$A&amp;盘货信息!$B:$B&amp;盘货信息!$C:$C,盘货信息!$L:$L)&amp;"元限时补贴"))</f>
        <v/>
      </c>
      <c r="L158" s="18" t="str">
        <f t="array" ref="L158">IF(C158="","",IF(_xlfn.XLOOKUP(A158&amp;B158&amp;C158,盘货信息!$A:$A&amp;盘货信息!$B:$B&amp;盘货信息!$C:$C,盘货信息!$M:$M)="","",_xlfn.XLOOKUP(A158&amp;B158&amp;C158,盘货信息!$A:$A&amp;盘货信息!$B:$B&amp;盘货信息!$C:$C,盘货信息!$M:$M)&amp;"元消费券"))</f>
        <v/>
      </c>
      <c r="M158" s="18" t="str">
        <f t="array" ref="M158">IF(C158="","",IF(_xlfn.XLOOKUP(A158&amp;B158&amp;C158,盘货信息!$A:$A&amp;盘货信息!$B:$B&amp;盘货信息!$C:$C,盘货信息!$G:$G)="不参加","","焕新补贴优惠【全民可用，不限地址】"))</f>
        <v/>
      </c>
    </row>
    <row r="159" customHeight="1" spans="1:13">
      <c r="A159" s="17" t="str">
        <f>IF(盘货信息!A159="","",盘货信息!A159)</f>
        <v/>
      </c>
      <c r="B159" s="17" t="str">
        <f>IF(盘货信息!B159="","",盘货信息!B159)</f>
        <v/>
      </c>
      <c r="C159" s="18" t="str">
        <f>IF(盘货信息!C159="","",盘货信息!C159)</f>
        <v/>
      </c>
      <c r="D159" s="18" t="str">
        <f t="shared" si="2"/>
        <v/>
      </c>
      <c r="E159" s="18" t="str">
        <f t="array" ref="E159">IF(C159="","",IF(_xlfn.XLOOKUP(A159&amp;B159&amp;C159,盘货信息!$A:$A&amp;盘货信息!$B:$B&amp;盘货信息!$C:$C,盘货信息!$N:$N)="","【立减到手价"&amp;_xlfn.XLOOKUP(A159&amp;B159&amp;C159,盘货信息!$A:$A&amp;盘货信息!$B:$B&amp;盘货信息!$C:$C,盘货信息!$F:$F)&amp;"元】","【焕新补贴预估价"&amp;_xlfn.XLOOKUP(A159&amp;B159&amp;C159,盘货信息!$A:$A&amp;盘货信息!$B:$B&amp;盘货信息!$C:$C,盘货信息!$N:$N)&amp;"元】"))</f>
        <v/>
      </c>
      <c r="F159" s="18" t="str">
        <f t="array" ref="F159">IF(C159="","",_xlfn.XLOOKUP(A159&amp;B159&amp;C159,盘货信息!$A:$A&amp;盘货信息!$B:$B&amp;盘货信息!$C:$C,盘货信息!$E:$E)&amp;"元到手价")</f>
        <v/>
      </c>
      <c r="G159" s="18" t="str">
        <f t="array" ref="G159">IF(C159="","",IF(_xlfn.XLOOKUP(A159&amp;B159&amp;C159,盘货信息!$A:$A&amp;盘货信息!$B:$B&amp;盘货信息!$C:$C,盘货信息!$I:$I)="","","88VIP95折"))</f>
        <v/>
      </c>
      <c r="H159" s="18" t="str">
        <f t="array" ref="H159">IF(C159="","",IF(_xlfn.XLOOKUP(A159&amp;B159&amp;C159,盘货信息!$A:$A&amp;盘货信息!$B:$B&amp;盘货信息!$C:$C,盘货信息!$J:$J)="","",_xlfn.XLOOKUP(A159&amp;B159&amp;C159,盘货信息!$A:$A&amp;盘货信息!$B:$B&amp;盘货信息!$C:$C,盘货信息!$J:$J)&amp;"元优惠卷"))</f>
        <v/>
      </c>
      <c r="I159" s="18" t="str">
        <f t="array" ref="I159">IF(C159="","",IF(_xlfn.XLOOKUP(A159&amp;B159&amp;C159,盘货信息!$A:$A&amp;盘货信息!$B:$B&amp;盘货信息!$C:$C,盘货信息!$R:$R)="","",_xlfn.XLOOKUP(A159&amp;B159&amp;C159,盘货信息!$A:$A&amp;盘货信息!$B:$B&amp;盘货信息!$C:$C,盘货信息!$R:$R)&amp;"元优惠卷"))</f>
        <v/>
      </c>
      <c r="J159" s="18" t="str">
        <f t="array" ref="J159">IF(C159="","",IF(_xlfn.XLOOKUP(A159&amp;B159&amp;C159,盘货信息!$A:$A&amp;盘货信息!$B:$B&amp;盘货信息!$C:$C,盘货信息!$K:$K)="","",IF(OR(_xlfn.XLOOKUP(A159&amp;B159&amp;C159,盘货信息!$A:$A&amp;盘货信息!$B:$B&amp;盘货信息!$C:$C,盘货信息!$G:$G)="参加",_xlfn.XLOOKUP(A159&amp;B159&amp;C159,盘货信息!$A:$A&amp;盘货信息!$B:$B&amp;盘货信息!$C:$C,盘货信息!$H:$H)="1（纯自补）"),_xlfn.XLOOKUP(A159&amp;B159&amp;C159,盘货信息!$A:$A&amp;盘货信息!$B:$B&amp;盘货信息!$C:$C,盘货信息!$K:$K)&amp;"元以旧换新（可无旧机换新）","")))</f>
        <v/>
      </c>
      <c r="K159" s="18" t="str">
        <f t="array" ref="K159">IF(C159="","",IF(_xlfn.XLOOKUP(A159&amp;B159&amp;C159,盘货信息!$A:$A&amp;盘货信息!$B:$B&amp;盘货信息!$C:$C,盘货信息!$L:$L)="","",_xlfn.XLOOKUP(A159&amp;B159&amp;C159,盘货信息!$A:$A&amp;盘货信息!$B:$B&amp;盘货信息!$C:$C,盘货信息!$L:$L)&amp;"元限时补贴"))</f>
        <v/>
      </c>
      <c r="L159" s="18" t="str">
        <f t="array" ref="L159">IF(C159="","",IF(_xlfn.XLOOKUP(A159&amp;B159&amp;C159,盘货信息!$A:$A&amp;盘货信息!$B:$B&amp;盘货信息!$C:$C,盘货信息!$M:$M)="","",_xlfn.XLOOKUP(A159&amp;B159&amp;C159,盘货信息!$A:$A&amp;盘货信息!$B:$B&amp;盘货信息!$C:$C,盘货信息!$M:$M)&amp;"元消费券"))</f>
        <v/>
      </c>
      <c r="M159" s="18" t="str">
        <f t="array" ref="M159">IF(C159="","",IF(_xlfn.XLOOKUP(A159&amp;B159&amp;C159,盘货信息!$A:$A&amp;盘货信息!$B:$B&amp;盘货信息!$C:$C,盘货信息!$G:$G)="不参加","","焕新补贴优惠【全民可用，不限地址】"))</f>
        <v/>
      </c>
    </row>
    <row r="160" customHeight="1" spans="1:13">
      <c r="A160" s="17" t="str">
        <f>IF(盘货信息!A160="","",盘货信息!A160)</f>
        <v/>
      </c>
      <c r="B160" s="17" t="str">
        <f>IF(盘货信息!B160="","",盘货信息!B160)</f>
        <v/>
      </c>
      <c r="C160" s="18" t="str">
        <f>IF(盘货信息!C160="","",盘货信息!C160)</f>
        <v/>
      </c>
      <c r="D160" s="18" t="str">
        <f t="shared" si="2"/>
        <v/>
      </c>
      <c r="E160" s="18" t="str">
        <f t="array" ref="E160">IF(C160="","",IF(_xlfn.XLOOKUP(A160&amp;B160&amp;C160,盘货信息!$A:$A&amp;盘货信息!$B:$B&amp;盘货信息!$C:$C,盘货信息!$N:$N)="","【立减到手价"&amp;_xlfn.XLOOKUP(A160&amp;B160&amp;C160,盘货信息!$A:$A&amp;盘货信息!$B:$B&amp;盘货信息!$C:$C,盘货信息!$F:$F)&amp;"元】","【焕新补贴预估价"&amp;_xlfn.XLOOKUP(A160&amp;B160&amp;C160,盘货信息!$A:$A&amp;盘货信息!$B:$B&amp;盘货信息!$C:$C,盘货信息!$N:$N)&amp;"元】"))</f>
        <v/>
      </c>
      <c r="F160" s="18" t="str">
        <f t="array" ref="F160">IF(C160="","",_xlfn.XLOOKUP(A160&amp;B160&amp;C160,盘货信息!$A:$A&amp;盘货信息!$B:$B&amp;盘货信息!$C:$C,盘货信息!$E:$E)&amp;"元到手价")</f>
        <v/>
      </c>
      <c r="G160" s="18" t="str">
        <f t="array" ref="G160">IF(C160="","",IF(_xlfn.XLOOKUP(A160&amp;B160&amp;C160,盘货信息!$A:$A&amp;盘货信息!$B:$B&amp;盘货信息!$C:$C,盘货信息!$I:$I)="","","88VIP95折"))</f>
        <v/>
      </c>
      <c r="H160" s="18" t="str">
        <f t="array" ref="H160">IF(C160="","",IF(_xlfn.XLOOKUP(A160&amp;B160&amp;C160,盘货信息!$A:$A&amp;盘货信息!$B:$B&amp;盘货信息!$C:$C,盘货信息!$J:$J)="","",_xlfn.XLOOKUP(A160&amp;B160&amp;C160,盘货信息!$A:$A&amp;盘货信息!$B:$B&amp;盘货信息!$C:$C,盘货信息!$J:$J)&amp;"元优惠卷"))</f>
        <v/>
      </c>
      <c r="I160" s="18" t="str">
        <f t="array" ref="I160">IF(C160="","",IF(_xlfn.XLOOKUP(A160&amp;B160&amp;C160,盘货信息!$A:$A&amp;盘货信息!$B:$B&amp;盘货信息!$C:$C,盘货信息!$R:$R)="","",_xlfn.XLOOKUP(A160&amp;B160&amp;C160,盘货信息!$A:$A&amp;盘货信息!$B:$B&amp;盘货信息!$C:$C,盘货信息!$R:$R)&amp;"元优惠卷"))</f>
        <v/>
      </c>
      <c r="J160" s="18" t="str">
        <f t="array" ref="J160">IF(C160="","",IF(_xlfn.XLOOKUP(A160&amp;B160&amp;C160,盘货信息!$A:$A&amp;盘货信息!$B:$B&amp;盘货信息!$C:$C,盘货信息!$K:$K)="","",IF(OR(_xlfn.XLOOKUP(A160&amp;B160&amp;C160,盘货信息!$A:$A&amp;盘货信息!$B:$B&amp;盘货信息!$C:$C,盘货信息!$G:$G)="参加",_xlfn.XLOOKUP(A160&amp;B160&amp;C160,盘货信息!$A:$A&amp;盘货信息!$B:$B&amp;盘货信息!$C:$C,盘货信息!$H:$H)="1（纯自补）"),_xlfn.XLOOKUP(A160&amp;B160&amp;C160,盘货信息!$A:$A&amp;盘货信息!$B:$B&amp;盘货信息!$C:$C,盘货信息!$K:$K)&amp;"元以旧换新（可无旧机换新）","")))</f>
        <v/>
      </c>
      <c r="K160" s="18" t="str">
        <f t="array" ref="K160">IF(C160="","",IF(_xlfn.XLOOKUP(A160&amp;B160&amp;C160,盘货信息!$A:$A&amp;盘货信息!$B:$B&amp;盘货信息!$C:$C,盘货信息!$L:$L)="","",_xlfn.XLOOKUP(A160&amp;B160&amp;C160,盘货信息!$A:$A&amp;盘货信息!$B:$B&amp;盘货信息!$C:$C,盘货信息!$L:$L)&amp;"元限时补贴"))</f>
        <v/>
      </c>
      <c r="L160" s="18" t="str">
        <f t="array" ref="L160">IF(C160="","",IF(_xlfn.XLOOKUP(A160&amp;B160&amp;C160,盘货信息!$A:$A&amp;盘货信息!$B:$B&amp;盘货信息!$C:$C,盘货信息!$M:$M)="","",_xlfn.XLOOKUP(A160&amp;B160&amp;C160,盘货信息!$A:$A&amp;盘货信息!$B:$B&amp;盘货信息!$C:$C,盘货信息!$M:$M)&amp;"元消费券"))</f>
        <v/>
      </c>
      <c r="M160" s="18" t="str">
        <f t="array" ref="M160">IF(C160="","",IF(_xlfn.XLOOKUP(A160&amp;B160&amp;C160,盘货信息!$A:$A&amp;盘货信息!$B:$B&amp;盘货信息!$C:$C,盘货信息!$G:$G)="不参加","","焕新补贴优惠【全民可用，不限地址】"))</f>
        <v/>
      </c>
    </row>
    <row r="161" customHeight="1" spans="1:13">
      <c r="A161" s="17" t="str">
        <f>IF(盘货信息!A161="","",盘货信息!A161)</f>
        <v/>
      </c>
      <c r="B161" s="17" t="str">
        <f>IF(盘货信息!B161="","",盘货信息!B161)</f>
        <v/>
      </c>
      <c r="C161" s="18" t="str">
        <f>IF(盘货信息!C161="","",盘货信息!C161)</f>
        <v/>
      </c>
      <c r="D161" s="18" t="str">
        <f t="shared" si="2"/>
        <v/>
      </c>
      <c r="E161" s="18" t="str">
        <f t="array" ref="E161">IF(C161="","",IF(_xlfn.XLOOKUP(A161&amp;B161&amp;C161,盘货信息!$A:$A&amp;盘货信息!$B:$B&amp;盘货信息!$C:$C,盘货信息!$N:$N)="","【立减到手价"&amp;_xlfn.XLOOKUP(A161&amp;B161&amp;C161,盘货信息!$A:$A&amp;盘货信息!$B:$B&amp;盘货信息!$C:$C,盘货信息!$F:$F)&amp;"元】","【焕新补贴预估价"&amp;_xlfn.XLOOKUP(A161&amp;B161&amp;C161,盘货信息!$A:$A&amp;盘货信息!$B:$B&amp;盘货信息!$C:$C,盘货信息!$N:$N)&amp;"元】"))</f>
        <v/>
      </c>
      <c r="F161" s="18" t="str">
        <f t="array" ref="F161">IF(C161="","",_xlfn.XLOOKUP(A161&amp;B161&amp;C161,盘货信息!$A:$A&amp;盘货信息!$B:$B&amp;盘货信息!$C:$C,盘货信息!$E:$E)&amp;"元到手价")</f>
        <v/>
      </c>
      <c r="G161" s="18" t="str">
        <f t="array" ref="G161">IF(C161="","",IF(_xlfn.XLOOKUP(A161&amp;B161&amp;C161,盘货信息!$A:$A&amp;盘货信息!$B:$B&amp;盘货信息!$C:$C,盘货信息!$I:$I)="","","88VIP95折"))</f>
        <v/>
      </c>
      <c r="H161" s="18" t="str">
        <f t="array" ref="H161">IF(C161="","",IF(_xlfn.XLOOKUP(A161&amp;B161&amp;C161,盘货信息!$A:$A&amp;盘货信息!$B:$B&amp;盘货信息!$C:$C,盘货信息!$J:$J)="","",_xlfn.XLOOKUP(A161&amp;B161&amp;C161,盘货信息!$A:$A&amp;盘货信息!$B:$B&amp;盘货信息!$C:$C,盘货信息!$J:$J)&amp;"元优惠卷"))</f>
        <v/>
      </c>
      <c r="I161" s="18" t="str">
        <f t="array" ref="I161">IF(C161="","",IF(_xlfn.XLOOKUP(A161&amp;B161&amp;C161,盘货信息!$A:$A&amp;盘货信息!$B:$B&amp;盘货信息!$C:$C,盘货信息!$R:$R)="","",_xlfn.XLOOKUP(A161&amp;B161&amp;C161,盘货信息!$A:$A&amp;盘货信息!$B:$B&amp;盘货信息!$C:$C,盘货信息!$R:$R)&amp;"元优惠卷"))</f>
        <v/>
      </c>
      <c r="J161" s="18" t="str">
        <f t="array" ref="J161">IF(C161="","",IF(_xlfn.XLOOKUP(A161&amp;B161&amp;C161,盘货信息!$A:$A&amp;盘货信息!$B:$B&amp;盘货信息!$C:$C,盘货信息!$K:$K)="","",IF(OR(_xlfn.XLOOKUP(A161&amp;B161&amp;C161,盘货信息!$A:$A&amp;盘货信息!$B:$B&amp;盘货信息!$C:$C,盘货信息!$G:$G)="参加",_xlfn.XLOOKUP(A161&amp;B161&amp;C161,盘货信息!$A:$A&amp;盘货信息!$B:$B&amp;盘货信息!$C:$C,盘货信息!$H:$H)="1（纯自补）"),_xlfn.XLOOKUP(A161&amp;B161&amp;C161,盘货信息!$A:$A&amp;盘货信息!$B:$B&amp;盘货信息!$C:$C,盘货信息!$K:$K)&amp;"元以旧换新（可无旧机换新）","")))</f>
        <v/>
      </c>
      <c r="K161" s="18" t="str">
        <f t="array" ref="K161">IF(C161="","",IF(_xlfn.XLOOKUP(A161&amp;B161&amp;C161,盘货信息!$A:$A&amp;盘货信息!$B:$B&amp;盘货信息!$C:$C,盘货信息!$L:$L)="","",_xlfn.XLOOKUP(A161&amp;B161&amp;C161,盘货信息!$A:$A&amp;盘货信息!$B:$B&amp;盘货信息!$C:$C,盘货信息!$L:$L)&amp;"元限时补贴"))</f>
        <v/>
      </c>
      <c r="L161" s="18" t="str">
        <f t="array" ref="L161">IF(C161="","",IF(_xlfn.XLOOKUP(A161&amp;B161&amp;C161,盘货信息!$A:$A&amp;盘货信息!$B:$B&amp;盘货信息!$C:$C,盘货信息!$M:$M)="","",_xlfn.XLOOKUP(A161&amp;B161&amp;C161,盘货信息!$A:$A&amp;盘货信息!$B:$B&amp;盘货信息!$C:$C,盘货信息!$M:$M)&amp;"元消费券"))</f>
        <v/>
      </c>
      <c r="M161" s="18" t="str">
        <f t="array" ref="M161">IF(C161="","",IF(_xlfn.XLOOKUP(A161&amp;B161&amp;C161,盘货信息!$A:$A&amp;盘货信息!$B:$B&amp;盘货信息!$C:$C,盘货信息!$G:$G)="不参加","","焕新补贴优惠【全民可用，不限地址】"))</f>
        <v/>
      </c>
    </row>
    <row r="162" customHeight="1" spans="1:13">
      <c r="A162" s="17" t="str">
        <f>IF(盘货信息!A162="","",盘货信息!A162)</f>
        <v/>
      </c>
      <c r="B162" s="17" t="str">
        <f>IF(盘货信息!B162="","",盘货信息!B162)</f>
        <v/>
      </c>
      <c r="C162" s="18" t="str">
        <f>IF(盘货信息!C162="","",盘货信息!C162)</f>
        <v/>
      </c>
      <c r="D162" s="18" t="str">
        <f t="shared" si="2"/>
        <v/>
      </c>
      <c r="E162" s="18" t="str">
        <f t="array" ref="E162">IF(C162="","",IF(_xlfn.XLOOKUP(A162&amp;B162&amp;C162,盘货信息!$A:$A&amp;盘货信息!$B:$B&amp;盘货信息!$C:$C,盘货信息!$N:$N)="","【立减到手价"&amp;_xlfn.XLOOKUP(A162&amp;B162&amp;C162,盘货信息!$A:$A&amp;盘货信息!$B:$B&amp;盘货信息!$C:$C,盘货信息!$F:$F)&amp;"元】","【焕新补贴预估价"&amp;_xlfn.XLOOKUP(A162&amp;B162&amp;C162,盘货信息!$A:$A&amp;盘货信息!$B:$B&amp;盘货信息!$C:$C,盘货信息!$N:$N)&amp;"元】"))</f>
        <v/>
      </c>
      <c r="F162" s="18" t="str">
        <f t="array" ref="F162">IF(C162="","",_xlfn.XLOOKUP(A162&amp;B162&amp;C162,盘货信息!$A:$A&amp;盘货信息!$B:$B&amp;盘货信息!$C:$C,盘货信息!$E:$E)&amp;"元到手价")</f>
        <v/>
      </c>
      <c r="G162" s="18" t="str">
        <f t="array" ref="G162">IF(C162="","",IF(_xlfn.XLOOKUP(A162&amp;B162&amp;C162,盘货信息!$A:$A&amp;盘货信息!$B:$B&amp;盘货信息!$C:$C,盘货信息!$I:$I)="","","88VIP95折"))</f>
        <v/>
      </c>
      <c r="H162" s="18" t="str">
        <f t="array" ref="H162">IF(C162="","",IF(_xlfn.XLOOKUP(A162&amp;B162&amp;C162,盘货信息!$A:$A&amp;盘货信息!$B:$B&amp;盘货信息!$C:$C,盘货信息!$J:$J)="","",_xlfn.XLOOKUP(A162&amp;B162&amp;C162,盘货信息!$A:$A&amp;盘货信息!$B:$B&amp;盘货信息!$C:$C,盘货信息!$J:$J)&amp;"元优惠卷"))</f>
        <v/>
      </c>
      <c r="I162" s="18" t="str">
        <f t="array" ref="I162">IF(C162="","",IF(_xlfn.XLOOKUP(A162&amp;B162&amp;C162,盘货信息!$A:$A&amp;盘货信息!$B:$B&amp;盘货信息!$C:$C,盘货信息!$R:$R)="","",_xlfn.XLOOKUP(A162&amp;B162&amp;C162,盘货信息!$A:$A&amp;盘货信息!$B:$B&amp;盘货信息!$C:$C,盘货信息!$R:$R)&amp;"元优惠卷"))</f>
        <v/>
      </c>
      <c r="J162" s="18" t="str">
        <f t="array" ref="J162">IF(C162="","",IF(_xlfn.XLOOKUP(A162&amp;B162&amp;C162,盘货信息!$A:$A&amp;盘货信息!$B:$B&amp;盘货信息!$C:$C,盘货信息!$K:$K)="","",IF(OR(_xlfn.XLOOKUP(A162&amp;B162&amp;C162,盘货信息!$A:$A&amp;盘货信息!$B:$B&amp;盘货信息!$C:$C,盘货信息!$G:$G)="参加",_xlfn.XLOOKUP(A162&amp;B162&amp;C162,盘货信息!$A:$A&amp;盘货信息!$B:$B&amp;盘货信息!$C:$C,盘货信息!$H:$H)="1（纯自补）"),_xlfn.XLOOKUP(A162&amp;B162&amp;C162,盘货信息!$A:$A&amp;盘货信息!$B:$B&amp;盘货信息!$C:$C,盘货信息!$K:$K)&amp;"元以旧换新（可无旧机换新）","")))</f>
        <v/>
      </c>
      <c r="K162" s="18" t="str">
        <f t="array" ref="K162">IF(C162="","",IF(_xlfn.XLOOKUP(A162&amp;B162&amp;C162,盘货信息!$A:$A&amp;盘货信息!$B:$B&amp;盘货信息!$C:$C,盘货信息!$L:$L)="","",_xlfn.XLOOKUP(A162&amp;B162&amp;C162,盘货信息!$A:$A&amp;盘货信息!$B:$B&amp;盘货信息!$C:$C,盘货信息!$L:$L)&amp;"元限时补贴"))</f>
        <v/>
      </c>
      <c r="L162" s="18" t="str">
        <f t="array" ref="L162">IF(C162="","",IF(_xlfn.XLOOKUP(A162&amp;B162&amp;C162,盘货信息!$A:$A&amp;盘货信息!$B:$B&amp;盘货信息!$C:$C,盘货信息!$M:$M)="","",_xlfn.XLOOKUP(A162&amp;B162&amp;C162,盘货信息!$A:$A&amp;盘货信息!$B:$B&amp;盘货信息!$C:$C,盘货信息!$M:$M)&amp;"元消费券"))</f>
        <v/>
      </c>
      <c r="M162" s="18" t="str">
        <f t="array" ref="M162">IF(C162="","",IF(_xlfn.XLOOKUP(A162&amp;B162&amp;C162,盘货信息!$A:$A&amp;盘货信息!$B:$B&amp;盘货信息!$C:$C,盘货信息!$G:$G)="不参加","","焕新补贴优惠【全民可用，不限地址】"))</f>
        <v/>
      </c>
    </row>
    <row r="163" customHeight="1" spans="1:13">
      <c r="A163" s="17" t="str">
        <f>IF(盘货信息!A163="","",盘货信息!A163)</f>
        <v/>
      </c>
      <c r="B163" s="17" t="str">
        <f>IF(盘货信息!B163="","",盘货信息!B163)</f>
        <v/>
      </c>
      <c r="C163" s="18" t="str">
        <f>IF(盘货信息!C163="","",盘货信息!C163)</f>
        <v/>
      </c>
      <c r="D163" s="18" t="str">
        <f t="shared" si="2"/>
        <v/>
      </c>
      <c r="E163" s="18" t="str">
        <f t="array" ref="E163">IF(C163="","",IF(_xlfn.XLOOKUP(A163&amp;B163&amp;C163,盘货信息!$A:$A&amp;盘货信息!$B:$B&amp;盘货信息!$C:$C,盘货信息!$N:$N)="","【立减到手价"&amp;_xlfn.XLOOKUP(A163&amp;B163&amp;C163,盘货信息!$A:$A&amp;盘货信息!$B:$B&amp;盘货信息!$C:$C,盘货信息!$F:$F)&amp;"元】","【焕新补贴预估价"&amp;_xlfn.XLOOKUP(A163&amp;B163&amp;C163,盘货信息!$A:$A&amp;盘货信息!$B:$B&amp;盘货信息!$C:$C,盘货信息!$N:$N)&amp;"元】"))</f>
        <v/>
      </c>
      <c r="F163" s="18" t="str">
        <f t="array" ref="F163">IF(C163="","",_xlfn.XLOOKUP(A163&amp;B163&amp;C163,盘货信息!$A:$A&amp;盘货信息!$B:$B&amp;盘货信息!$C:$C,盘货信息!$E:$E)&amp;"元到手价")</f>
        <v/>
      </c>
      <c r="G163" s="18" t="str">
        <f t="array" ref="G163">IF(C163="","",IF(_xlfn.XLOOKUP(A163&amp;B163&amp;C163,盘货信息!$A:$A&amp;盘货信息!$B:$B&amp;盘货信息!$C:$C,盘货信息!$I:$I)="","","88VIP95折"))</f>
        <v/>
      </c>
      <c r="H163" s="18" t="str">
        <f t="array" ref="H163">IF(C163="","",IF(_xlfn.XLOOKUP(A163&amp;B163&amp;C163,盘货信息!$A:$A&amp;盘货信息!$B:$B&amp;盘货信息!$C:$C,盘货信息!$J:$J)="","",_xlfn.XLOOKUP(A163&amp;B163&amp;C163,盘货信息!$A:$A&amp;盘货信息!$B:$B&amp;盘货信息!$C:$C,盘货信息!$J:$J)&amp;"元优惠卷"))</f>
        <v/>
      </c>
      <c r="I163" s="18" t="str">
        <f t="array" ref="I163">IF(C163="","",IF(_xlfn.XLOOKUP(A163&amp;B163&amp;C163,盘货信息!$A:$A&amp;盘货信息!$B:$B&amp;盘货信息!$C:$C,盘货信息!$R:$R)="","",_xlfn.XLOOKUP(A163&amp;B163&amp;C163,盘货信息!$A:$A&amp;盘货信息!$B:$B&amp;盘货信息!$C:$C,盘货信息!$R:$R)&amp;"元优惠卷"))</f>
        <v/>
      </c>
      <c r="J163" s="18" t="str">
        <f t="array" ref="J163">IF(C163="","",IF(_xlfn.XLOOKUP(A163&amp;B163&amp;C163,盘货信息!$A:$A&amp;盘货信息!$B:$B&amp;盘货信息!$C:$C,盘货信息!$K:$K)="","",IF(OR(_xlfn.XLOOKUP(A163&amp;B163&amp;C163,盘货信息!$A:$A&amp;盘货信息!$B:$B&amp;盘货信息!$C:$C,盘货信息!$G:$G)="参加",_xlfn.XLOOKUP(A163&amp;B163&amp;C163,盘货信息!$A:$A&amp;盘货信息!$B:$B&amp;盘货信息!$C:$C,盘货信息!$H:$H)="1（纯自补）"),_xlfn.XLOOKUP(A163&amp;B163&amp;C163,盘货信息!$A:$A&amp;盘货信息!$B:$B&amp;盘货信息!$C:$C,盘货信息!$K:$K)&amp;"元以旧换新（可无旧机换新）","")))</f>
        <v/>
      </c>
      <c r="K163" s="18" t="str">
        <f t="array" ref="K163">IF(C163="","",IF(_xlfn.XLOOKUP(A163&amp;B163&amp;C163,盘货信息!$A:$A&amp;盘货信息!$B:$B&amp;盘货信息!$C:$C,盘货信息!$L:$L)="","",_xlfn.XLOOKUP(A163&amp;B163&amp;C163,盘货信息!$A:$A&amp;盘货信息!$B:$B&amp;盘货信息!$C:$C,盘货信息!$L:$L)&amp;"元限时补贴"))</f>
        <v/>
      </c>
      <c r="L163" s="18" t="str">
        <f t="array" ref="L163">IF(C163="","",IF(_xlfn.XLOOKUP(A163&amp;B163&amp;C163,盘货信息!$A:$A&amp;盘货信息!$B:$B&amp;盘货信息!$C:$C,盘货信息!$M:$M)="","",_xlfn.XLOOKUP(A163&amp;B163&amp;C163,盘货信息!$A:$A&amp;盘货信息!$B:$B&amp;盘货信息!$C:$C,盘货信息!$M:$M)&amp;"元消费券"))</f>
        <v/>
      </c>
      <c r="M163" s="18" t="str">
        <f t="array" ref="M163">IF(C163="","",IF(_xlfn.XLOOKUP(A163&amp;B163&amp;C163,盘货信息!$A:$A&amp;盘货信息!$B:$B&amp;盘货信息!$C:$C,盘货信息!$G:$G)="不参加","","焕新补贴优惠【全民可用，不限地址】"))</f>
        <v/>
      </c>
    </row>
    <row r="164" customHeight="1" spans="1:13">
      <c r="A164" s="17" t="str">
        <f>IF(盘货信息!A164="","",盘货信息!A164)</f>
        <v/>
      </c>
      <c r="B164" s="17" t="str">
        <f>IF(盘货信息!B164="","",盘货信息!B164)</f>
        <v/>
      </c>
      <c r="C164" s="18" t="str">
        <f>IF(盘货信息!C164="","",盘货信息!C164)</f>
        <v/>
      </c>
      <c r="D164" s="18" t="str">
        <f t="shared" si="2"/>
        <v/>
      </c>
      <c r="E164" s="18" t="str">
        <f t="array" ref="E164">IF(C164="","",IF(_xlfn.XLOOKUP(A164&amp;B164&amp;C164,盘货信息!$A:$A&amp;盘货信息!$B:$B&amp;盘货信息!$C:$C,盘货信息!$N:$N)="","【立减到手价"&amp;_xlfn.XLOOKUP(A164&amp;B164&amp;C164,盘货信息!$A:$A&amp;盘货信息!$B:$B&amp;盘货信息!$C:$C,盘货信息!$F:$F)&amp;"元】","【焕新补贴预估价"&amp;_xlfn.XLOOKUP(A164&amp;B164&amp;C164,盘货信息!$A:$A&amp;盘货信息!$B:$B&amp;盘货信息!$C:$C,盘货信息!$N:$N)&amp;"元】"))</f>
        <v/>
      </c>
      <c r="F164" s="18" t="str">
        <f t="array" ref="F164">IF(C164="","",_xlfn.XLOOKUP(A164&amp;B164&amp;C164,盘货信息!$A:$A&amp;盘货信息!$B:$B&amp;盘货信息!$C:$C,盘货信息!$E:$E)&amp;"元到手价")</f>
        <v/>
      </c>
      <c r="G164" s="18" t="str">
        <f t="array" ref="G164">IF(C164="","",IF(_xlfn.XLOOKUP(A164&amp;B164&amp;C164,盘货信息!$A:$A&amp;盘货信息!$B:$B&amp;盘货信息!$C:$C,盘货信息!$I:$I)="","","88VIP95折"))</f>
        <v/>
      </c>
      <c r="H164" s="18" t="str">
        <f t="array" ref="H164">IF(C164="","",IF(_xlfn.XLOOKUP(A164&amp;B164&amp;C164,盘货信息!$A:$A&amp;盘货信息!$B:$B&amp;盘货信息!$C:$C,盘货信息!$J:$J)="","",_xlfn.XLOOKUP(A164&amp;B164&amp;C164,盘货信息!$A:$A&amp;盘货信息!$B:$B&amp;盘货信息!$C:$C,盘货信息!$J:$J)&amp;"元优惠卷"))</f>
        <v/>
      </c>
      <c r="I164" s="18" t="str">
        <f t="array" ref="I164">IF(C164="","",IF(_xlfn.XLOOKUP(A164&amp;B164&amp;C164,盘货信息!$A:$A&amp;盘货信息!$B:$B&amp;盘货信息!$C:$C,盘货信息!$R:$R)="","",_xlfn.XLOOKUP(A164&amp;B164&amp;C164,盘货信息!$A:$A&amp;盘货信息!$B:$B&amp;盘货信息!$C:$C,盘货信息!$R:$R)&amp;"元优惠卷"))</f>
        <v/>
      </c>
      <c r="J164" s="18" t="str">
        <f t="array" ref="J164">IF(C164="","",IF(_xlfn.XLOOKUP(A164&amp;B164&amp;C164,盘货信息!$A:$A&amp;盘货信息!$B:$B&amp;盘货信息!$C:$C,盘货信息!$K:$K)="","",IF(OR(_xlfn.XLOOKUP(A164&amp;B164&amp;C164,盘货信息!$A:$A&amp;盘货信息!$B:$B&amp;盘货信息!$C:$C,盘货信息!$G:$G)="参加",_xlfn.XLOOKUP(A164&amp;B164&amp;C164,盘货信息!$A:$A&amp;盘货信息!$B:$B&amp;盘货信息!$C:$C,盘货信息!$H:$H)="1（纯自补）"),_xlfn.XLOOKUP(A164&amp;B164&amp;C164,盘货信息!$A:$A&amp;盘货信息!$B:$B&amp;盘货信息!$C:$C,盘货信息!$K:$K)&amp;"元以旧换新（可无旧机换新）","")))</f>
        <v/>
      </c>
      <c r="K164" s="18" t="str">
        <f t="array" ref="K164">IF(C164="","",IF(_xlfn.XLOOKUP(A164&amp;B164&amp;C164,盘货信息!$A:$A&amp;盘货信息!$B:$B&amp;盘货信息!$C:$C,盘货信息!$L:$L)="","",_xlfn.XLOOKUP(A164&amp;B164&amp;C164,盘货信息!$A:$A&amp;盘货信息!$B:$B&amp;盘货信息!$C:$C,盘货信息!$L:$L)&amp;"元限时补贴"))</f>
        <v/>
      </c>
      <c r="L164" s="18" t="str">
        <f t="array" ref="L164">IF(C164="","",IF(_xlfn.XLOOKUP(A164&amp;B164&amp;C164,盘货信息!$A:$A&amp;盘货信息!$B:$B&amp;盘货信息!$C:$C,盘货信息!$M:$M)="","",_xlfn.XLOOKUP(A164&amp;B164&amp;C164,盘货信息!$A:$A&amp;盘货信息!$B:$B&amp;盘货信息!$C:$C,盘货信息!$M:$M)&amp;"元消费券"))</f>
        <v/>
      </c>
      <c r="M164" s="18" t="str">
        <f t="array" ref="M164">IF(C164="","",IF(_xlfn.XLOOKUP(A164&amp;B164&amp;C164,盘货信息!$A:$A&amp;盘货信息!$B:$B&amp;盘货信息!$C:$C,盘货信息!$G:$G)="不参加","","焕新补贴优惠【全民可用，不限地址】"))</f>
        <v/>
      </c>
    </row>
    <row r="165" customHeight="1" spans="1:13">
      <c r="A165" s="17" t="str">
        <f>IF(盘货信息!A165="","",盘货信息!A165)</f>
        <v/>
      </c>
      <c r="B165" s="17" t="str">
        <f>IF(盘货信息!B165="","",盘货信息!B165)</f>
        <v/>
      </c>
      <c r="C165" s="18" t="str">
        <f>IF(盘货信息!C165="","",盘货信息!C165)</f>
        <v/>
      </c>
      <c r="D165" s="18" t="str">
        <f t="shared" si="2"/>
        <v/>
      </c>
      <c r="E165" s="18" t="str">
        <f t="array" ref="E165">IF(C165="","",IF(_xlfn.XLOOKUP(A165&amp;B165&amp;C165,盘货信息!$A:$A&amp;盘货信息!$B:$B&amp;盘货信息!$C:$C,盘货信息!$N:$N)="","【立减到手价"&amp;_xlfn.XLOOKUP(A165&amp;B165&amp;C165,盘货信息!$A:$A&amp;盘货信息!$B:$B&amp;盘货信息!$C:$C,盘货信息!$F:$F)&amp;"元】","【焕新补贴预估价"&amp;_xlfn.XLOOKUP(A165&amp;B165&amp;C165,盘货信息!$A:$A&amp;盘货信息!$B:$B&amp;盘货信息!$C:$C,盘货信息!$N:$N)&amp;"元】"))</f>
        <v/>
      </c>
      <c r="F165" s="18" t="str">
        <f t="array" ref="F165">IF(C165="","",_xlfn.XLOOKUP(A165&amp;B165&amp;C165,盘货信息!$A:$A&amp;盘货信息!$B:$B&amp;盘货信息!$C:$C,盘货信息!$E:$E)&amp;"元到手价")</f>
        <v/>
      </c>
      <c r="G165" s="18" t="str">
        <f t="array" ref="G165">IF(C165="","",IF(_xlfn.XLOOKUP(A165&amp;B165&amp;C165,盘货信息!$A:$A&amp;盘货信息!$B:$B&amp;盘货信息!$C:$C,盘货信息!$I:$I)="","","88VIP95折"))</f>
        <v/>
      </c>
      <c r="H165" s="18" t="str">
        <f t="array" ref="H165">IF(C165="","",IF(_xlfn.XLOOKUP(A165&amp;B165&amp;C165,盘货信息!$A:$A&amp;盘货信息!$B:$B&amp;盘货信息!$C:$C,盘货信息!$J:$J)="","",_xlfn.XLOOKUP(A165&amp;B165&amp;C165,盘货信息!$A:$A&amp;盘货信息!$B:$B&amp;盘货信息!$C:$C,盘货信息!$J:$J)&amp;"元优惠卷"))</f>
        <v/>
      </c>
      <c r="I165" s="18" t="str">
        <f t="array" ref="I165">IF(C165="","",IF(_xlfn.XLOOKUP(A165&amp;B165&amp;C165,盘货信息!$A:$A&amp;盘货信息!$B:$B&amp;盘货信息!$C:$C,盘货信息!$R:$R)="","",_xlfn.XLOOKUP(A165&amp;B165&amp;C165,盘货信息!$A:$A&amp;盘货信息!$B:$B&amp;盘货信息!$C:$C,盘货信息!$R:$R)&amp;"元优惠卷"))</f>
        <v/>
      </c>
      <c r="J165" s="18" t="str">
        <f t="array" ref="J165">IF(C165="","",IF(_xlfn.XLOOKUP(A165&amp;B165&amp;C165,盘货信息!$A:$A&amp;盘货信息!$B:$B&amp;盘货信息!$C:$C,盘货信息!$K:$K)="","",IF(OR(_xlfn.XLOOKUP(A165&amp;B165&amp;C165,盘货信息!$A:$A&amp;盘货信息!$B:$B&amp;盘货信息!$C:$C,盘货信息!$G:$G)="参加",_xlfn.XLOOKUP(A165&amp;B165&amp;C165,盘货信息!$A:$A&amp;盘货信息!$B:$B&amp;盘货信息!$C:$C,盘货信息!$H:$H)="1（纯自补）"),_xlfn.XLOOKUP(A165&amp;B165&amp;C165,盘货信息!$A:$A&amp;盘货信息!$B:$B&amp;盘货信息!$C:$C,盘货信息!$K:$K)&amp;"元以旧换新（可无旧机换新）","")))</f>
        <v/>
      </c>
      <c r="K165" s="18" t="str">
        <f t="array" ref="K165">IF(C165="","",IF(_xlfn.XLOOKUP(A165&amp;B165&amp;C165,盘货信息!$A:$A&amp;盘货信息!$B:$B&amp;盘货信息!$C:$C,盘货信息!$L:$L)="","",_xlfn.XLOOKUP(A165&amp;B165&amp;C165,盘货信息!$A:$A&amp;盘货信息!$B:$B&amp;盘货信息!$C:$C,盘货信息!$L:$L)&amp;"元限时补贴"))</f>
        <v/>
      </c>
      <c r="L165" s="18" t="str">
        <f t="array" ref="L165">IF(C165="","",IF(_xlfn.XLOOKUP(A165&amp;B165&amp;C165,盘货信息!$A:$A&amp;盘货信息!$B:$B&amp;盘货信息!$C:$C,盘货信息!$M:$M)="","",_xlfn.XLOOKUP(A165&amp;B165&amp;C165,盘货信息!$A:$A&amp;盘货信息!$B:$B&amp;盘货信息!$C:$C,盘货信息!$M:$M)&amp;"元消费券"))</f>
        <v/>
      </c>
      <c r="M165" s="18" t="str">
        <f t="array" ref="M165">IF(C165="","",IF(_xlfn.XLOOKUP(A165&amp;B165&amp;C165,盘货信息!$A:$A&amp;盘货信息!$B:$B&amp;盘货信息!$C:$C,盘货信息!$G:$G)="不参加","","焕新补贴优惠【全民可用，不限地址】"))</f>
        <v/>
      </c>
    </row>
    <row r="166" customHeight="1" spans="1:13">
      <c r="A166" s="17" t="str">
        <f>IF(盘货信息!A166="","",盘货信息!A166)</f>
        <v/>
      </c>
      <c r="B166" s="17" t="str">
        <f>IF(盘货信息!B166="","",盘货信息!B166)</f>
        <v/>
      </c>
      <c r="C166" s="18" t="str">
        <f>IF(盘货信息!C166="","",盘货信息!C166)</f>
        <v/>
      </c>
      <c r="D166" s="18" t="str">
        <f t="shared" si="2"/>
        <v/>
      </c>
      <c r="E166" s="18" t="str">
        <f t="array" ref="E166">IF(C166="","",IF(_xlfn.XLOOKUP(A166&amp;B166&amp;C166,盘货信息!$A:$A&amp;盘货信息!$B:$B&amp;盘货信息!$C:$C,盘货信息!$N:$N)="","【立减到手价"&amp;_xlfn.XLOOKUP(A166&amp;B166&amp;C166,盘货信息!$A:$A&amp;盘货信息!$B:$B&amp;盘货信息!$C:$C,盘货信息!$F:$F)&amp;"元】","【焕新补贴预估价"&amp;_xlfn.XLOOKUP(A166&amp;B166&amp;C166,盘货信息!$A:$A&amp;盘货信息!$B:$B&amp;盘货信息!$C:$C,盘货信息!$N:$N)&amp;"元】"))</f>
        <v/>
      </c>
      <c r="F166" s="18" t="str">
        <f t="array" ref="F166">IF(C166="","",_xlfn.XLOOKUP(A166&amp;B166&amp;C166,盘货信息!$A:$A&amp;盘货信息!$B:$B&amp;盘货信息!$C:$C,盘货信息!$E:$E)&amp;"元到手价")</f>
        <v/>
      </c>
      <c r="G166" s="18" t="str">
        <f t="array" ref="G166">IF(C166="","",IF(_xlfn.XLOOKUP(A166&amp;B166&amp;C166,盘货信息!$A:$A&amp;盘货信息!$B:$B&amp;盘货信息!$C:$C,盘货信息!$I:$I)="","","88VIP95折"))</f>
        <v/>
      </c>
      <c r="H166" s="18" t="str">
        <f t="array" ref="H166">IF(C166="","",IF(_xlfn.XLOOKUP(A166&amp;B166&amp;C166,盘货信息!$A:$A&amp;盘货信息!$B:$B&amp;盘货信息!$C:$C,盘货信息!$J:$J)="","",_xlfn.XLOOKUP(A166&amp;B166&amp;C166,盘货信息!$A:$A&amp;盘货信息!$B:$B&amp;盘货信息!$C:$C,盘货信息!$J:$J)&amp;"元优惠卷"))</f>
        <v/>
      </c>
      <c r="I166" s="18" t="str">
        <f t="array" ref="I166">IF(C166="","",IF(_xlfn.XLOOKUP(A166&amp;B166&amp;C166,盘货信息!$A:$A&amp;盘货信息!$B:$B&amp;盘货信息!$C:$C,盘货信息!$R:$R)="","",_xlfn.XLOOKUP(A166&amp;B166&amp;C166,盘货信息!$A:$A&amp;盘货信息!$B:$B&amp;盘货信息!$C:$C,盘货信息!$R:$R)&amp;"元优惠卷"))</f>
        <v/>
      </c>
      <c r="J166" s="18" t="str">
        <f t="array" ref="J166">IF(C166="","",IF(_xlfn.XLOOKUP(A166&amp;B166&amp;C166,盘货信息!$A:$A&amp;盘货信息!$B:$B&amp;盘货信息!$C:$C,盘货信息!$K:$K)="","",IF(OR(_xlfn.XLOOKUP(A166&amp;B166&amp;C166,盘货信息!$A:$A&amp;盘货信息!$B:$B&amp;盘货信息!$C:$C,盘货信息!$G:$G)="参加",_xlfn.XLOOKUP(A166&amp;B166&amp;C166,盘货信息!$A:$A&amp;盘货信息!$B:$B&amp;盘货信息!$C:$C,盘货信息!$H:$H)="1（纯自补）"),_xlfn.XLOOKUP(A166&amp;B166&amp;C166,盘货信息!$A:$A&amp;盘货信息!$B:$B&amp;盘货信息!$C:$C,盘货信息!$K:$K)&amp;"元以旧换新（可无旧机换新）","")))</f>
        <v/>
      </c>
      <c r="K166" s="18" t="str">
        <f t="array" ref="K166">IF(C166="","",IF(_xlfn.XLOOKUP(A166&amp;B166&amp;C166,盘货信息!$A:$A&amp;盘货信息!$B:$B&amp;盘货信息!$C:$C,盘货信息!$L:$L)="","",_xlfn.XLOOKUP(A166&amp;B166&amp;C166,盘货信息!$A:$A&amp;盘货信息!$B:$B&amp;盘货信息!$C:$C,盘货信息!$L:$L)&amp;"元限时补贴"))</f>
        <v/>
      </c>
      <c r="L166" s="18" t="str">
        <f t="array" ref="L166">IF(C166="","",IF(_xlfn.XLOOKUP(A166&amp;B166&amp;C166,盘货信息!$A:$A&amp;盘货信息!$B:$B&amp;盘货信息!$C:$C,盘货信息!$M:$M)="","",_xlfn.XLOOKUP(A166&amp;B166&amp;C166,盘货信息!$A:$A&amp;盘货信息!$B:$B&amp;盘货信息!$C:$C,盘货信息!$M:$M)&amp;"元消费券"))</f>
        <v/>
      </c>
      <c r="M166" s="18" t="str">
        <f t="array" ref="M166">IF(C166="","",IF(_xlfn.XLOOKUP(A166&amp;B166&amp;C166,盘货信息!$A:$A&amp;盘货信息!$B:$B&amp;盘货信息!$C:$C,盘货信息!$G:$G)="不参加","","焕新补贴优惠【全民可用，不限地址】"))</f>
        <v/>
      </c>
    </row>
    <row r="167" customHeight="1" spans="1:13">
      <c r="A167" s="17" t="str">
        <f>IF(盘货信息!A167="","",盘货信息!A167)</f>
        <v/>
      </c>
      <c r="B167" s="17" t="str">
        <f>IF(盘货信息!B167="","",盘货信息!B167)</f>
        <v/>
      </c>
      <c r="C167" s="18" t="str">
        <f>IF(盘货信息!C167="","",盘货信息!C167)</f>
        <v/>
      </c>
      <c r="D167" s="18" t="str">
        <f t="shared" si="2"/>
        <v/>
      </c>
      <c r="E167" s="18" t="str">
        <f t="array" ref="E167">IF(C167="","",IF(_xlfn.XLOOKUP(A167&amp;B167&amp;C167,盘货信息!$A:$A&amp;盘货信息!$B:$B&amp;盘货信息!$C:$C,盘货信息!$N:$N)="","【立减到手价"&amp;_xlfn.XLOOKUP(A167&amp;B167&amp;C167,盘货信息!$A:$A&amp;盘货信息!$B:$B&amp;盘货信息!$C:$C,盘货信息!$F:$F)&amp;"元】","【焕新补贴预估价"&amp;_xlfn.XLOOKUP(A167&amp;B167&amp;C167,盘货信息!$A:$A&amp;盘货信息!$B:$B&amp;盘货信息!$C:$C,盘货信息!$N:$N)&amp;"元】"))</f>
        <v/>
      </c>
      <c r="F167" s="18" t="str">
        <f t="array" ref="F167">IF(C167="","",_xlfn.XLOOKUP(A167&amp;B167&amp;C167,盘货信息!$A:$A&amp;盘货信息!$B:$B&amp;盘货信息!$C:$C,盘货信息!$E:$E)&amp;"元到手价")</f>
        <v/>
      </c>
      <c r="G167" s="18" t="str">
        <f t="array" ref="G167">IF(C167="","",IF(_xlfn.XLOOKUP(A167&amp;B167&amp;C167,盘货信息!$A:$A&amp;盘货信息!$B:$B&amp;盘货信息!$C:$C,盘货信息!$I:$I)="","","88VIP95折"))</f>
        <v/>
      </c>
      <c r="H167" s="18" t="str">
        <f t="array" ref="H167">IF(C167="","",IF(_xlfn.XLOOKUP(A167&amp;B167&amp;C167,盘货信息!$A:$A&amp;盘货信息!$B:$B&amp;盘货信息!$C:$C,盘货信息!$J:$J)="","",_xlfn.XLOOKUP(A167&amp;B167&amp;C167,盘货信息!$A:$A&amp;盘货信息!$B:$B&amp;盘货信息!$C:$C,盘货信息!$J:$J)&amp;"元优惠卷"))</f>
        <v/>
      </c>
      <c r="I167" s="18" t="str">
        <f t="array" ref="I167">IF(C167="","",IF(_xlfn.XLOOKUP(A167&amp;B167&amp;C167,盘货信息!$A:$A&amp;盘货信息!$B:$B&amp;盘货信息!$C:$C,盘货信息!$R:$R)="","",_xlfn.XLOOKUP(A167&amp;B167&amp;C167,盘货信息!$A:$A&amp;盘货信息!$B:$B&amp;盘货信息!$C:$C,盘货信息!$R:$R)&amp;"元优惠卷"))</f>
        <v/>
      </c>
      <c r="J167" s="18" t="str">
        <f t="array" ref="J167">IF(C167="","",IF(_xlfn.XLOOKUP(A167&amp;B167&amp;C167,盘货信息!$A:$A&amp;盘货信息!$B:$B&amp;盘货信息!$C:$C,盘货信息!$K:$K)="","",IF(OR(_xlfn.XLOOKUP(A167&amp;B167&amp;C167,盘货信息!$A:$A&amp;盘货信息!$B:$B&amp;盘货信息!$C:$C,盘货信息!$G:$G)="参加",_xlfn.XLOOKUP(A167&amp;B167&amp;C167,盘货信息!$A:$A&amp;盘货信息!$B:$B&amp;盘货信息!$C:$C,盘货信息!$H:$H)="1（纯自补）"),_xlfn.XLOOKUP(A167&amp;B167&amp;C167,盘货信息!$A:$A&amp;盘货信息!$B:$B&amp;盘货信息!$C:$C,盘货信息!$K:$K)&amp;"元以旧换新（可无旧机换新）","")))</f>
        <v/>
      </c>
      <c r="K167" s="18" t="str">
        <f t="array" ref="K167">IF(C167="","",IF(_xlfn.XLOOKUP(A167&amp;B167&amp;C167,盘货信息!$A:$A&amp;盘货信息!$B:$B&amp;盘货信息!$C:$C,盘货信息!$L:$L)="","",_xlfn.XLOOKUP(A167&amp;B167&amp;C167,盘货信息!$A:$A&amp;盘货信息!$B:$B&amp;盘货信息!$C:$C,盘货信息!$L:$L)&amp;"元限时补贴"))</f>
        <v/>
      </c>
      <c r="L167" s="18" t="str">
        <f t="array" ref="L167">IF(C167="","",IF(_xlfn.XLOOKUP(A167&amp;B167&amp;C167,盘货信息!$A:$A&amp;盘货信息!$B:$B&amp;盘货信息!$C:$C,盘货信息!$M:$M)="","",_xlfn.XLOOKUP(A167&amp;B167&amp;C167,盘货信息!$A:$A&amp;盘货信息!$B:$B&amp;盘货信息!$C:$C,盘货信息!$M:$M)&amp;"元消费券"))</f>
        <v/>
      </c>
      <c r="M167" s="18" t="str">
        <f t="array" ref="M167">IF(C167="","",IF(_xlfn.XLOOKUP(A167&amp;B167&amp;C167,盘货信息!$A:$A&amp;盘货信息!$B:$B&amp;盘货信息!$C:$C,盘货信息!$G:$G)="不参加","","焕新补贴优惠【全民可用，不限地址】"))</f>
        <v/>
      </c>
    </row>
    <row r="168" customHeight="1" spans="1:13">
      <c r="A168" s="17" t="str">
        <f>IF(盘货信息!A168="","",盘货信息!A168)</f>
        <v/>
      </c>
      <c r="B168" s="17" t="str">
        <f>IF(盘货信息!B168="","",盘货信息!B168)</f>
        <v/>
      </c>
      <c r="C168" s="18" t="str">
        <f>IF(盘货信息!C168="","",盘货信息!C168)</f>
        <v/>
      </c>
      <c r="D168" s="18" t="str">
        <f t="shared" si="2"/>
        <v/>
      </c>
      <c r="E168" s="18" t="str">
        <f t="array" ref="E168">IF(C168="","",IF(_xlfn.XLOOKUP(A168&amp;B168&amp;C168,盘货信息!$A:$A&amp;盘货信息!$B:$B&amp;盘货信息!$C:$C,盘货信息!$N:$N)="","【立减到手价"&amp;_xlfn.XLOOKUP(A168&amp;B168&amp;C168,盘货信息!$A:$A&amp;盘货信息!$B:$B&amp;盘货信息!$C:$C,盘货信息!$F:$F)&amp;"元】","【焕新补贴预估价"&amp;_xlfn.XLOOKUP(A168&amp;B168&amp;C168,盘货信息!$A:$A&amp;盘货信息!$B:$B&amp;盘货信息!$C:$C,盘货信息!$N:$N)&amp;"元】"))</f>
        <v/>
      </c>
      <c r="F168" s="18" t="str">
        <f t="array" ref="F168">IF(C168="","",_xlfn.XLOOKUP(A168&amp;B168&amp;C168,盘货信息!$A:$A&amp;盘货信息!$B:$B&amp;盘货信息!$C:$C,盘货信息!$E:$E)&amp;"元到手价")</f>
        <v/>
      </c>
      <c r="G168" s="18" t="str">
        <f t="array" ref="G168">IF(C168="","",IF(_xlfn.XLOOKUP(A168&amp;B168&amp;C168,盘货信息!$A:$A&amp;盘货信息!$B:$B&amp;盘货信息!$C:$C,盘货信息!$I:$I)="","","88VIP95折"))</f>
        <v/>
      </c>
      <c r="H168" s="18" t="str">
        <f t="array" ref="H168">IF(C168="","",IF(_xlfn.XLOOKUP(A168&amp;B168&amp;C168,盘货信息!$A:$A&amp;盘货信息!$B:$B&amp;盘货信息!$C:$C,盘货信息!$J:$J)="","",_xlfn.XLOOKUP(A168&amp;B168&amp;C168,盘货信息!$A:$A&amp;盘货信息!$B:$B&amp;盘货信息!$C:$C,盘货信息!$J:$J)&amp;"元优惠卷"))</f>
        <v/>
      </c>
      <c r="I168" s="18" t="str">
        <f t="array" ref="I168">IF(C168="","",IF(_xlfn.XLOOKUP(A168&amp;B168&amp;C168,盘货信息!$A:$A&amp;盘货信息!$B:$B&amp;盘货信息!$C:$C,盘货信息!$R:$R)="","",_xlfn.XLOOKUP(A168&amp;B168&amp;C168,盘货信息!$A:$A&amp;盘货信息!$B:$B&amp;盘货信息!$C:$C,盘货信息!$R:$R)&amp;"元优惠卷"))</f>
        <v/>
      </c>
      <c r="J168" s="18" t="str">
        <f t="array" ref="J168">IF(C168="","",IF(_xlfn.XLOOKUP(A168&amp;B168&amp;C168,盘货信息!$A:$A&amp;盘货信息!$B:$B&amp;盘货信息!$C:$C,盘货信息!$K:$K)="","",IF(OR(_xlfn.XLOOKUP(A168&amp;B168&amp;C168,盘货信息!$A:$A&amp;盘货信息!$B:$B&amp;盘货信息!$C:$C,盘货信息!$G:$G)="参加",_xlfn.XLOOKUP(A168&amp;B168&amp;C168,盘货信息!$A:$A&amp;盘货信息!$B:$B&amp;盘货信息!$C:$C,盘货信息!$H:$H)="1（纯自补）"),_xlfn.XLOOKUP(A168&amp;B168&amp;C168,盘货信息!$A:$A&amp;盘货信息!$B:$B&amp;盘货信息!$C:$C,盘货信息!$K:$K)&amp;"元以旧换新（可无旧机换新）","")))</f>
        <v/>
      </c>
      <c r="K168" s="18" t="str">
        <f t="array" ref="K168">IF(C168="","",IF(_xlfn.XLOOKUP(A168&amp;B168&amp;C168,盘货信息!$A:$A&amp;盘货信息!$B:$B&amp;盘货信息!$C:$C,盘货信息!$L:$L)="","",_xlfn.XLOOKUP(A168&amp;B168&amp;C168,盘货信息!$A:$A&amp;盘货信息!$B:$B&amp;盘货信息!$C:$C,盘货信息!$L:$L)&amp;"元限时补贴"))</f>
        <v/>
      </c>
      <c r="L168" s="18" t="str">
        <f t="array" ref="L168">IF(C168="","",IF(_xlfn.XLOOKUP(A168&amp;B168&amp;C168,盘货信息!$A:$A&amp;盘货信息!$B:$B&amp;盘货信息!$C:$C,盘货信息!$M:$M)="","",_xlfn.XLOOKUP(A168&amp;B168&amp;C168,盘货信息!$A:$A&amp;盘货信息!$B:$B&amp;盘货信息!$C:$C,盘货信息!$M:$M)&amp;"元消费券"))</f>
        <v/>
      </c>
      <c r="M168" s="18" t="str">
        <f t="array" ref="M168">IF(C168="","",IF(_xlfn.XLOOKUP(A168&amp;B168&amp;C168,盘货信息!$A:$A&amp;盘货信息!$B:$B&amp;盘货信息!$C:$C,盘货信息!$G:$G)="不参加","","焕新补贴优惠【全民可用，不限地址】"))</f>
        <v/>
      </c>
    </row>
    <row r="169" customHeight="1" spans="1:13">
      <c r="A169" s="17" t="str">
        <f>IF(盘货信息!A169="","",盘货信息!A169)</f>
        <v/>
      </c>
      <c r="B169" s="17" t="str">
        <f>IF(盘货信息!B169="","",盘货信息!B169)</f>
        <v/>
      </c>
      <c r="C169" s="18" t="str">
        <f>IF(盘货信息!C169="","",盘货信息!C169)</f>
        <v/>
      </c>
      <c r="D169" s="18" t="str">
        <f t="shared" si="2"/>
        <v/>
      </c>
      <c r="E169" s="18" t="str">
        <f t="array" ref="E169">IF(C169="","",IF(_xlfn.XLOOKUP(A169&amp;B169&amp;C169,盘货信息!$A:$A&amp;盘货信息!$B:$B&amp;盘货信息!$C:$C,盘货信息!$N:$N)="","【立减到手价"&amp;_xlfn.XLOOKUP(A169&amp;B169&amp;C169,盘货信息!$A:$A&amp;盘货信息!$B:$B&amp;盘货信息!$C:$C,盘货信息!$F:$F)&amp;"元】","【焕新补贴预估价"&amp;_xlfn.XLOOKUP(A169&amp;B169&amp;C169,盘货信息!$A:$A&amp;盘货信息!$B:$B&amp;盘货信息!$C:$C,盘货信息!$N:$N)&amp;"元】"))</f>
        <v/>
      </c>
      <c r="F169" s="18" t="str">
        <f t="array" ref="F169">IF(C169="","",_xlfn.XLOOKUP(A169&amp;B169&amp;C169,盘货信息!$A:$A&amp;盘货信息!$B:$B&amp;盘货信息!$C:$C,盘货信息!$E:$E)&amp;"元到手价")</f>
        <v/>
      </c>
      <c r="G169" s="18" t="str">
        <f t="array" ref="G169">IF(C169="","",IF(_xlfn.XLOOKUP(A169&amp;B169&amp;C169,盘货信息!$A:$A&amp;盘货信息!$B:$B&amp;盘货信息!$C:$C,盘货信息!$I:$I)="","","88VIP95折"))</f>
        <v/>
      </c>
      <c r="H169" s="18" t="str">
        <f t="array" ref="H169">IF(C169="","",IF(_xlfn.XLOOKUP(A169&amp;B169&amp;C169,盘货信息!$A:$A&amp;盘货信息!$B:$B&amp;盘货信息!$C:$C,盘货信息!$J:$J)="","",_xlfn.XLOOKUP(A169&amp;B169&amp;C169,盘货信息!$A:$A&amp;盘货信息!$B:$B&amp;盘货信息!$C:$C,盘货信息!$J:$J)&amp;"元优惠卷"))</f>
        <v/>
      </c>
      <c r="I169" s="18" t="str">
        <f t="array" ref="I169">IF(C169="","",IF(_xlfn.XLOOKUP(A169&amp;B169&amp;C169,盘货信息!$A:$A&amp;盘货信息!$B:$B&amp;盘货信息!$C:$C,盘货信息!$R:$R)="","",_xlfn.XLOOKUP(A169&amp;B169&amp;C169,盘货信息!$A:$A&amp;盘货信息!$B:$B&amp;盘货信息!$C:$C,盘货信息!$R:$R)&amp;"元优惠卷"))</f>
        <v/>
      </c>
      <c r="J169" s="18" t="str">
        <f t="array" ref="J169">IF(C169="","",IF(_xlfn.XLOOKUP(A169&amp;B169&amp;C169,盘货信息!$A:$A&amp;盘货信息!$B:$B&amp;盘货信息!$C:$C,盘货信息!$K:$K)="","",IF(OR(_xlfn.XLOOKUP(A169&amp;B169&amp;C169,盘货信息!$A:$A&amp;盘货信息!$B:$B&amp;盘货信息!$C:$C,盘货信息!$G:$G)="参加",_xlfn.XLOOKUP(A169&amp;B169&amp;C169,盘货信息!$A:$A&amp;盘货信息!$B:$B&amp;盘货信息!$C:$C,盘货信息!$H:$H)="1（纯自补）"),_xlfn.XLOOKUP(A169&amp;B169&amp;C169,盘货信息!$A:$A&amp;盘货信息!$B:$B&amp;盘货信息!$C:$C,盘货信息!$K:$K)&amp;"元以旧换新（可无旧机换新）","")))</f>
        <v/>
      </c>
      <c r="K169" s="18" t="str">
        <f t="array" ref="K169">IF(C169="","",IF(_xlfn.XLOOKUP(A169&amp;B169&amp;C169,盘货信息!$A:$A&amp;盘货信息!$B:$B&amp;盘货信息!$C:$C,盘货信息!$L:$L)="","",_xlfn.XLOOKUP(A169&amp;B169&amp;C169,盘货信息!$A:$A&amp;盘货信息!$B:$B&amp;盘货信息!$C:$C,盘货信息!$L:$L)&amp;"元限时补贴"))</f>
        <v/>
      </c>
      <c r="L169" s="18" t="str">
        <f t="array" ref="L169">IF(C169="","",IF(_xlfn.XLOOKUP(A169&amp;B169&amp;C169,盘货信息!$A:$A&amp;盘货信息!$B:$B&amp;盘货信息!$C:$C,盘货信息!$M:$M)="","",_xlfn.XLOOKUP(A169&amp;B169&amp;C169,盘货信息!$A:$A&amp;盘货信息!$B:$B&amp;盘货信息!$C:$C,盘货信息!$M:$M)&amp;"元消费券"))</f>
        <v/>
      </c>
      <c r="M169" s="18" t="str">
        <f t="array" ref="M169">IF(C169="","",IF(_xlfn.XLOOKUP(A169&amp;B169&amp;C169,盘货信息!$A:$A&amp;盘货信息!$B:$B&amp;盘货信息!$C:$C,盘货信息!$G:$G)="不参加","","焕新补贴优惠【全民可用，不限地址】"))</f>
        <v/>
      </c>
    </row>
    <row r="170" customHeight="1" spans="1:13">
      <c r="A170" s="17" t="str">
        <f>IF(盘货信息!A170="","",盘货信息!A170)</f>
        <v/>
      </c>
      <c r="B170" s="17" t="str">
        <f>IF(盘货信息!B170="","",盘货信息!B170)</f>
        <v/>
      </c>
      <c r="C170" s="18" t="str">
        <f>IF(盘货信息!C170="","",盘货信息!C170)</f>
        <v/>
      </c>
      <c r="D170" s="18" t="str">
        <f t="shared" si="2"/>
        <v/>
      </c>
      <c r="E170" s="18" t="str">
        <f t="array" ref="E170">IF(C170="","",IF(_xlfn.XLOOKUP(A170&amp;B170&amp;C170,盘货信息!$A:$A&amp;盘货信息!$B:$B&amp;盘货信息!$C:$C,盘货信息!$N:$N)="","【立减到手价"&amp;_xlfn.XLOOKUP(A170&amp;B170&amp;C170,盘货信息!$A:$A&amp;盘货信息!$B:$B&amp;盘货信息!$C:$C,盘货信息!$F:$F)&amp;"元】","【焕新补贴预估价"&amp;_xlfn.XLOOKUP(A170&amp;B170&amp;C170,盘货信息!$A:$A&amp;盘货信息!$B:$B&amp;盘货信息!$C:$C,盘货信息!$N:$N)&amp;"元】"))</f>
        <v/>
      </c>
      <c r="F170" s="18" t="str">
        <f t="array" ref="F170">IF(C170="","",_xlfn.XLOOKUP(A170&amp;B170&amp;C170,盘货信息!$A:$A&amp;盘货信息!$B:$B&amp;盘货信息!$C:$C,盘货信息!$E:$E)&amp;"元到手价")</f>
        <v/>
      </c>
      <c r="G170" s="18" t="str">
        <f t="array" ref="G170">IF(C170="","",IF(_xlfn.XLOOKUP(A170&amp;B170&amp;C170,盘货信息!$A:$A&amp;盘货信息!$B:$B&amp;盘货信息!$C:$C,盘货信息!$I:$I)="","","88VIP95折"))</f>
        <v/>
      </c>
      <c r="H170" s="18" t="str">
        <f t="array" ref="H170">IF(C170="","",IF(_xlfn.XLOOKUP(A170&amp;B170&amp;C170,盘货信息!$A:$A&amp;盘货信息!$B:$B&amp;盘货信息!$C:$C,盘货信息!$J:$J)="","",_xlfn.XLOOKUP(A170&amp;B170&amp;C170,盘货信息!$A:$A&amp;盘货信息!$B:$B&amp;盘货信息!$C:$C,盘货信息!$J:$J)&amp;"元优惠卷"))</f>
        <v/>
      </c>
      <c r="I170" s="18" t="str">
        <f t="array" ref="I170">IF(C170="","",IF(_xlfn.XLOOKUP(A170&amp;B170&amp;C170,盘货信息!$A:$A&amp;盘货信息!$B:$B&amp;盘货信息!$C:$C,盘货信息!$R:$R)="","",_xlfn.XLOOKUP(A170&amp;B170&amp;C170,盘货信息!$A:$A&amp;盘货信息!$B:$B&amp;盘货信息!$C:$C,盘货信息!$R:$R)&amp;"元优惠卷"))</f>
        <v/>
      </c>
      <c r="J170" s="18" t="str">
        <f t="array" ref="J170">IF(C170="","",IF(_xlfn.XLOOKUP(A170&amp;B170&amp;C170,盘货信息!$A:$A&amp;盘货信息!$B:$B&amp;盘货信息!$C:$C,盘货信息!$K:$K)="","",IF(OR(_xlfn.XLOOKUP(A170&amp;B170&amp;C170,盘货信息!$A:$A&amp;盘货信息!$B:$B&amp;盘货信息!$C:$C,盘货信息!$G:$G)="参加",_xlfn.XLOOKUP(A170&amp;B170&amp;C170,盘货信息!$A:$A&amp;盘货信息!$B:$B&amp;盘货信息!$C:$C,盘货信息!$H:$H)="1（纯自补）"),_xlfn.XLOOKUP(A170&amp;B170&amp;C170,盘货信息!$A:$A&amp;盘货信息!$B:$B&amp;盘货信息!$C:$C,盘货信息!$K:$K)&amp;"元以旧换新（可无旧机换新）","")))</f>
        <v/>
      </c>
      <c r="K170" s="18" t="str">
        <f t="array" ref="K170">IF(C170="","",IF(_xlfn.XLOOKUP(A170&amp;B170&amp;C170,盘货信息!$A:$A&amp;盘货信息!$B:$B&amp;盘货信息!$C:$C,盘货信息!$L:$L)="","",_xlfn.XLOOKUP(A170&amp;B170&amp;C170,盘货信息!$A:$A&amp;盘货信息!$B:$B&amp;盘货信息!$C:$C,盘货信息!$L:$L)&amp;"元限时补贴"))</f>
        <v/>
      </c>
      <c r="L170" s="18" t="str">
        <f t="array" ref="L170">IF(C170="","",IF(_xlfn.XLOOKUP(A170&amp;B170&amp;C170,盘货信息!$A:$A&amp;盘货信息!$B:$B&amp;盘货信息!$C:$C,盘货信息!$M:$M)="","",_xlfn.XLOOKUP(A170&amp;B170&amp;C170,盘货信息!$A:$A&amp;盘货信息!$B:$B&amp;盘货信息!$C:$C,盘货信息!$M:$M)&amp;"元消费券"))</f>
        <v/>
      </c>
      <c r="M170" s="18" t="str">
        <f t="array" ref="M170">IF(C170="","",IF(_xlfn.XLOOKUP(A170&amp;B170&amp;C170,盘货信息!$A:$A&amp;盘货信息!$B:$B&amp;盘货信息!$C:$C,盘货信息!$G:$G)="不参加","","焕新补贴优惠【全民可用，不限地址】"))</f>
        <v/>
      </c>
    </row>
    <row r="171" customHeight="1" spans="1:13">
      <c r="A171" s="17" t="str">
        <f>IF(盘货信息!A171="","",盘货信息!A171)</f>
        <v/>
      </c>
      <c r="B171" s="17" t="str">
        <f>IF(盘货信息!B171="","",盘货信息!B171)</f>
        <v/>
      </c>
      <c r="C171" s="18" t="str">
        <f>IF(盘货信息!C171="","",盘货信息!C171)</f>
        <v/>
      </c>
      <c r="D171" s="18" t="str">
        <f t="shared" si="2"/>
        <v/>
      </c>
      <c r="E171" s="18" t="str">
        <f t="array" ref="E171">IF(C171="","",IF(_xlfn.XLOOKUP(A171&amp;B171&amp;C171,盘货信息!$A:$A&amp;盘货信息!$B:$B&amp;盘货信息!$C:$C,盘货信息!$N:$N)="","【立减到手价"&amp;_xlfn.XLOOKUP(A171&amp;B171&amp;C171,盘货信息!$A:$A&amp;盘货信息!$B:$B&amp;盘货信息!$C:$C,盘货信息!$F:$F)&amp;"元】","【焕新补贴预估价"&amp;_xlfn.XLOOKUP(A171&amp;B171&amp;C171,盘货信息!$A:$A&amp;盘货信息!$B:$B&amp;盘货信息!$C:$C,盘货信息!$N:$N)&amp;"元】"))</f>
        <v/>
      </c>
      <c r="F171" s="18" t="str">
        <f t="array" ref="F171">IF(C171="","",_xlfn.XLOOKUP(A171&amp;B171&amp;C171,盘货信息!$A:$A&amp;盘货信息!$B:$B&amp;盘货信息!$C:$C,盘货信息!$E:$E)&amp;"元到手价")</f>
        <v/>
      </c>
      <c r="G171" s="18" t="str">
        <f t="array" ref="G171">IF(C171="","",IF(_xlfn.XLOOKUP(A171&amp;B171&amp;C171,盘货信息!$A:$A&amp;盘货信息!$B:$B&amp;盘货信息!$C:$C,盘货信息!$I:$I)="","","88VIP95折"))</f>
        <v/>
      </c>
      <c r="H171" s="18" t="str">
        <f t="array" ref="H171">IF(C171="","",IF(_xlfn.XLOOKUP(A171&amp;B171&amp;C171,盘货信息!$A:$A&amp;盘货信息!$B:$B&amp;盘货信息!$C:$C,盘货信息!$J:$J)="","",_xlfn.XLOOKUP(A171&amp;B171&amp;C171,盘货信息!$A:$A&amp;盘货信息!$B:$B&amp;盘货信息!$C:$C,盘货信息!$J:$J)&amp;"元优惠卷"))</f>
        <v/>
      </c>
      <c r="I171" s="18" t="str">
        <f t="array" ref="I171">IF(C171="","",IF(_xlfn.XLOOKUP(A171&amp;B171&amp;C171,盘货信息!$A:$A&amp;盘货信息!$B:$B&amp;盘货信息!$C:$C,盘货信息!$R:$R)="","",_xlfn.XLOOKUP(A171&amp;B171&amp;C171,盘货信息!$A:$A&amp;盘货信息!$B:$B&amp;盘货信息!$C:$C,盘货信息!$R:$R)&amp;"元优惠卷"))</f>
        <v/>
      </c>
      <c r="J171" s="18" t="str">
        <f t="array" ref="J171">IF(C171="","",IF(_xlfn.XLOOKUP(A171&amp;B171&amp;C171,盘货信息!$A:$A&amp;盘货信息!$B:$B&amp;盘货信息!$C:$C,盘货信息!$K:$K)="","",IF(OR(_xlfn.XLOOKUP(A171&amp;B171&amp;C171,盘货信息!$A:$A&amp;盘货信息!$B:$B&amp;盘货信息!$C:$C,盘货信息!$G:$G)="参加",_xlfn.XLOOKUP(A171&amp;B171&amp;C171,盘货信息!$A:$A&amp;盘货信息!$B:$B&amp;盘货信息!$C:$C,盘货信息!$H:$H)="1（纯自补）"),_xlfn.XLOOKUP(A171&amp;B171&amp;C171,盘货信息!$A:$A&amp;盘货信息!$B:$B&amp;盘货信息!$C:$C,盘货信息!$K:$K)&amp;"元以旧换新（可无旧机换新）","")))</f>
        <v/>
      </c>
      <c r="K171" s="18" t="str">
        <f t="array" ref="K171">IF(C171="","",IF(_xlfn.XLOOKUP(A171&amp;B171&amp;C171,盘货信息!$A:$A&amp;盘货信息!$B:$B&amp;盘货信息!$C:$C,盘货信息!$L:$L)="","",_xlfn.XLOOKUP(A171&amp;B171&amp;C171,盘货信息!$A:$A&amp;盘货信息!$B:$B&amp;盘货信息!$C:$C,盘货信息!$L:$L)&amp;"元限时补贴"))</f>
        <v/>
      </c>
      <c r="L171" s="18" t="str">
        <f t="array" ref="L171">IF(C171="","",IF(_xlfn.XLOOKUP(A171&amp;B171&amp;C171,盘货信息!$A:$A&amp;盘货信息!$B:$B&amp;盘货信息!$C:$C,盘货信息!$M:$M)="","",_xlfn.XLOOKUP(A171&amp;B171&amp;C171,盘货信息!$A:$A&amp;盘货信息!$B:$B&amp;盘货信息!$C:$C,盘货信息!$M:$M)&amp;"元消费券"))</f>
        <v/>
      </c>
      <c r="M171" s="18" t="str">
        <f t="array" ref="M171">IF(C171="","",IF(_xlfn.XLOOKUP(A171&amp;B171&amp;C171,盘货信息!$A:$A&amp;盘货信息!$B:$B&amp;盘货信息!$C:$C,盘货信息!$G:$G)="不参加","","焕新补贴优惠【全民可用，不限地址】"))</f>
        <v/>
      </c>
    </row>
    <row r="172" customHeight="1" spans="1:13">
      <c r="A172" s="17" t="str">
        <f>IF(盘货信息!A172="","",盘货信息!A172)</f>
        <v/>
      </c>
      <c r="B172" s="17" t="str">
        <f>IF(盘货信息!B172="","",盘货信息!B172)</f>
        <v/>
      </c>
      <c r="C172" s="18" t="str">
        <f>IF(盘货信息!C172="","",盘货信息!C172)</f>
        <v/>
      </c>
      <c r="D172" s="18" t="str">
        <f t="shared" si="2"/>
        <v/>
      </c>
      <c r="E172" s="18" t="str">
        <f t="array" ref="E172">IF(C172="","",IF(_xlfn.XLOOKUP(A172&amp;B172&amp;C172,盘货信息!$A:$A&amp;盘货信息!$B:$B&amp;盘货信息!$C:$C,盘货信息!$N:$N)="","【立减到手价"&amp;_xlfn.XLOOKUP(A172&amp;B172&amp;C172,盘货信息!$A:$A&amp;盘货信息!$B:$B&amp;盘货信息!$C:$C,盘货信息!$F:$F)&amp;"元】","【焕新补贴预估价"&amp;_xlfn.XLOOKUP(A172&amp;B172&amp;C172,盘货信息!$A:$A&amp;盘货信息!$B:$B&amp;盘货信息!$C:$C,盘货信息!$N:$N)&amp;"元】"))</f>
        <v/>
      </c>
      <c r="F172" s="18" t="str">
        <f t="array" ref="F172">IF(C172="","",_xlfn.XLOOKUP(A172&amp;B172&amp;C172,盘货信息!$A:$A&amp;盘货信息!$B:$B&amp;盘货信息!$C:$C,盘货信息!$E:$E)&amp;"元到手价")</f>
        <v/>
      </c>
      <c r="G172" s="18" t="str">
        <f t="array" ref="G172">IF(C172="","",IF(_xlfn.XLOOKUP(A172&amp;B172&amp;C172,盘货信息!$A:$A&amp;盘货信息!$B:$B&amp;盘货信息!$C:$C,盘货信息!$I:$I)="","","88VIP95折"))</f>
        <v/>
      </c>
      <c r="H172" s="18" t="str">
        <f t="array" ref="H172">IF(C172="","",IF(_xlfn.XLOOKUP(A172&amp;B172&amp;C172,盘货信息!$A:$A&amp;盘货信息!$B:$B&amp;盘货信息!$C:$C,盘货信息!$J:$J)="","",_xlfn.XLOOKUP(A172&amp;B172&amp;C172,盘货信息!$A:$A&amp;盘货信息!$B:$B&amp;盘货信息!$C:$C,盘货信息!$J:$J)&amp;"元优惠卷"))</f>
        <v/>
      </c>
      <c r="I172" s="18" t="str">
        <f t="array" ref="I172">IF(C172="","",IF(_xlfn.XLOOKUP(A172&amp;B172&amp;C172,盘货信息!$A:$A&amp;盘货信息!$B:$B&amp;盘货信息!$C:$C,盘货信息!$R:$R)="","",_xlfn.XLOOKUP(A172&amp;B172&amp;C172,盘货信息!$A:$A&amp;盘货信息!$B:$B&amp;盘货信息!$C:$C,盘货信息!$R:$R)&amp;"元优惠卷"))</f>
        <v/>
      </c>
      <c r="J172" s="18" t="str">
        <f t="array" ref="J172">IF(C172="","",IF(_xlfn.XLOOKUP(A172&amp;B172&amp;C172,盘货信息!$A:$A&amp;盘货信息!$B:$B&amp;盘货信息!$C:$C,盘货信息!$K:$K)="","",IF(OR(_xlfn.XLOOKUP(A172&amp;B172&amp;C172,盘货信息!$A:$A&amp;盘货信息!$B:$B&amp;盘货信息!$C:$C,盘货信息!$G:$G)="参加",_xlfn.XLOOKUP(A172&amp;B172&amp;C172,盘货信息!$A:$A&amp;盘货信息!$B:$B&amp;盘货信息!$C:$C,盘货信息!$H:$H)="1（纯自补）"),_xlfn.XLOOKUP(A172&amp;B172&amp;C172,盘货信息!$A:$A&amp;盘货信息!$B:$B&amp;盘货信息!$C:$C,盘货信息!$K:$K)&amp;"元以旧换新（可无旧机换新）","")))</f>
        <v/>
      </c>
      <c r="K172" s="18" t="str">
        <f t="array" ref="K172">IF(C172="","",IF(_xlfn.XLOOKUP(A172&amp;B172&amp;C172,盘货信息!$A:$A&amp;盘货信息!$B:$B&amp;盘货信息!$C:$C,盘货信息!$L:$L)="","",_xlfn.XLOOKUP(A172&amp;B172&amp;C172,盘货信息!$A:$A&amp;盘货信息!$B:$B&amp;盘货信息!$C:$C,盘货信息!$L:$L)&amp;"元限时补贴"))</f>
        <v/>
      </c>
      <c r="L172" s="18" t="str">
        <f t="array" ref="L172">IF(C172="","",IF(_xlfn.XLOOKUP(A172&amp;B172&amp;C172,盘货信息!$A:$A&amp;盘货信息!$B:$B&amp;盘货信息!$C:$C,盘货信息!$M:$M)="","",_xlfn.XLOOKUP(A172&amp;B172&amp;C172,盘货信息!$A:$A&amp;盘货信息!$B:$B&amp;盘货信息!$C:$C,盘货信息!$M:$M)&amp;"元消费券"))</f>
        <v/>
      </c>
      <c r="M172" s="18" t="str">
        <f t="array" ref="M172">IF(C172="","",IF(_xlfn.XLOOKUP(A172&amp;B172&amp;C172,盘货信息!$A:$A&amp;盘货信息!$B:$B&amp;盘货信息!$C:$C,盘货信息!$G:$G)="不参加","","焕新补贴优惠【全民可用，不限地址】"))</f>
        <v/>
      </c>
    </row>
    <row r="173" customHeight="1" spans="1:13">
      <c r="A173" s="17" t="str">
        <f>IF(盘货信息!A173="","",盘货信息!A173)</f>
        <v/>
      </c>
      <c r="B173" s="17" t="str">
        <f>IF(盘货信息!B173="","",盘货信息!B173)</f>
        <v/>
      </c>
      <c r="C173" s="18" t="str">
        <f>IF(盘货信息!C173="","",盘货信息!C173)</f>
        <v/>
      </c>
      <c r="D173" s="18" t="str">
        <f t="shared" si="2"/>
        <v/>
      </c>
      <c r="E173" s="18" t="str">
        <f t="array" ref="E173">IF(C173="","",IF(_xlfn.XLOOKUP(A173&amp;B173&amp;C173,盘货信息!$A:$A&amp;盘货信息!$B:$B&amp;盘货信息!$C:$C,盘货信息!$N:$N)="","【立减到手价"&amp;_xlfn.XLOOKUP(A173&amp;B173&amp;C173,盘货信息!$A:$A&amp;盘货信息!$B:$B&amp;盘货信息!$C:$C,盘货信息!$F:$F)&amp;"元】","【焕新补贴预估价"&amp;_xlfn.XLOOKUP(A173&amp;B173&amp;C173,盘货信息!$A:$A&amp;盘货信息!$B:$B&amp;盘货信息!$C:$C,盘货信息!$N:$N)&amp;"元】"))</f>
        <v/>
      </c>
      <c r="F173" s="18" t="str">
        <f t="array" ref="F173">IF(C173="","",_xlfn.XLOOKUP(A173&amp;B173&amp;C173,盘货信息!$A:$A&amp;盘货信息!$B:$B&amp;盘货信息!$C:$C,盘货信息!$E:$E)&amp;"元到手价")</f>
        <v/>
      </c>
      <c r="G173" s="18" t="str">
        <f t="array" ref="G173">IF(C173="","",IF(_xlfn.XLOOKUP(A173&amp;B173&amp;C173,盘货信息!$A:$A&amp;盘货信息!$B:$B&amp;盘货信息!$C:$C,盘货信息!$I:$I)="","","88VIP95折"))</f>
        <v/>
      </c>
      <c r="H173" s="18" t="str">
        <f t="array" ref="H173">IF(C173="","",IF(_xlfn.XLOOKUP(A173&amp;B173&amp;C173,盘货信息!$A:$A&amp;盘货信息!$B:$B&amp;盘货信息!$C:$C,盘货信息!$J:$J)="","",_xlfn.XLOOKUP(A173&amp;B173&amp;C173,盘货信息!$A:$A&amp;盘货信息!$B:$B&amp;盘货信息!$C:$C,盘货信息!$J:$J)&amp;"元优惠卷"))</f>
        <v/>
      </c>
      <c r="I173" s="18" t="str">
        <f t="array" ref="I173">IF(C173="","",IF(_xlfn.XLOOKUP(A173&amp;B173&amp;C173,盘货信息!$A:$A&amp;盘货信息!$B:$B&amp;盘货信息!$C:$C,盘货信息!$R:$R)="","",_xlfn.XLOOKUP(A173&amp;B173&amp;C173,盘货信息!$A:$A&amp;盘货信息!$B:$B&amp;盘货信息!$C:$C,盘货信息!$R:$R)&amp;"元优惠卷"))</f>
        <v/>
      </c>
      <c r="J173" s="18" t="str">
        <f t="array" ref="J173">IF(C173="","",IF(_xlfn.XLOOKUP(A173&amp;B173&amp;C173,盘货信息!$A:$A&amp;盘货信息!$B:$B&amp;盘货信息!$C:$C,盘货信息!$K:$K)="","",IF(OR(_xlfn.XLOOKUP(A173&amp;B173&amp;C173,盘货信息!$A:$A&amp;盘货信息!$B:$B&amp;盘货信息!$C:$C,盘货信息!$G:$G)="参加",_xlfn.XLOOKUP(A173&amp;B173&amp;C173,盘货信息!$A:$A&amp;盘货信息!$B:$B&amp;盘货信息!$C:$C,盘货信息!$H:$H)="1（纯自补）"),_xlfn.XLOOKUP(A173&amp;B173&amp;C173,盘货信息!$A:$A&amp;盘货信息!$B:$B&amp;盘货信息!$C:$C,盘货信息!$K:$K)&amp;"元以旧换新（可无旧机换新）","")))</f>
        <v/>
      </c>
      <c r="K173" s="18" t="str">
        <f t="array" ref="K173">IF(C173="","",IF(_xlfn.XLOOKUP(A173&amp;B173&amp;C173,盘货信息!$A:$A&amp;盘货信息!$B:$B&amp;盘货信息!$C:$C,盘货信息!$L:$L)="","",_xlfn.XLOOKUP(A173&amp;B173&amp;C173,盘货信息!$A:$A&amp;盘货信息!$B:$B&amp;盘货信息!$C:$C,盘货信息!$L:$L)&amp;"元限时补贴"))</f>
        <v/>
      </c>
      <c r="L173" s="18" t="str">
        <f t="array" ref="L173">IF(C173="","",IF(_xlfn.XLOOKUP(A173&amp;B173&amp;C173,盘货信息!$A:$A&amp;盘货信息!$B:$B&amp;盘货信息!$C:$C,盘货信息!$M:$M)="","",_xlfn.XLOOKUP(A173&amp;B173&amp;C173,盘货信息!$A:$A&amp;盘货信息!$B:$B&amp;盘货信息!$C:$C,盘货信息!$M:$M)&amp;"元消费券"))</f>
        <v/>
      </c>
      <c r="M173" s="18" t="str">
        <f t="array" ref="M173">IF(C173="","",IF(_xlfn.XLOOKUP(A173&amp;B173&amp;C173,盘货信息!$A:$A&amp;盘货信息!$B:$B&amp;盘货信息!$C:$C,盘货信息!$G:$G)="不参加","","焕新补贴优惠【全民可用，不限地址】"))</f>
        <v/>
      </c>
    </row>
    <row r="174" customHeight="1" spans="1:13">
      <c r="A174" s="17" t="str">
        <f>IF(盘货信息!A174="","",盘货信息!A174)</f>
        <v/>
      </c>
      <c r="B174" s="17" t="str">
        <f>IF(盘货信息!B174="","",盘货信息!B174)</f>
        <v/>
      </c>
      <c r="C174" s="18" t="str">
        <f>IF(盘货信息!C174="","",盘货信息!C174)</f>
        <v/>
      </c>
      <c r="D174" s="18" t="str">
        <f t="shared" si="2"/>
        <v/>
      </c>
      <c r="E174" s="18" t="str">
        <f t="array" ref="E174">IF(C174="","",IF(_xlfn.XLOOKUP(A174&amp;B174&amp;C174,盘货信息!$A:$A&amp;盘货信息!$B:$B&amp;盘货信息!$C:$C,盘货信息!$N:$N)="","【立减到手价"&amp;_xlfn.XLOOKUP(A174&amp;B174&amp;C174,盘货信息!$A:$A&amp;盘货信息!$B:$B&amp;盘货信息!$C:$C,盘货信息!$F:$F)&amp;"元】","【焕新补贴预估价"&amp;_xlfn.XLOOKUP(A174&amp;B174&amp;C174,盘货信息!$A:$A&amp;盘货信息!$B:$B&amp;盘货信息!$C:$C,盘货信息!$N:$N)&amp;"元】"))</f>
        <v/>
      </c>
      <c r="F174" s="18" t="str">
        <f t="array" ref="F174">IF(C174="","",_xlfn.XLOOKUP(A174&amp;B174&amp;C174,盘货信息!$A:$A&amp;盘货信息!$B:$B&amp;盘货信息!$C:$C,盘货信息!$E:$E)&amp;"元到手价")</f>
        <v/>
      </c>
      <c r="G174" s="18" t="str">
        <f t="array" ref="G174">IF(C174="","",IF(_xlfn.XLOOKUP(A174&amp;B174&amp;C174,盘货信息!$A:$A&amp;盘货信息!$B:$B&amp;盘货信息!$C:$C,盘货信息!$I:$I)="","","88VIP95折"))</f>
        <v/>
      </c>
      <c r="H174" s="18" t="str">
        <f t="array" ref="H174">IF(C174="","",IF(_xlfn.XLOOKUP(A174&amp;B174&amp;C174,盘货信息!$A:$A&amp;盘货信息!$B:$B&amp;盘货信息!$C:$C,盘货信息!$J:$J)="","",_xlfn.XLOOKUP(A174&amp;B174&amp;C174,盘货信息!$A:$A&amp;盘货信息!$B:$B&amp;盘货信息!$C:$C,盘货信息!$J:$J)&amp;"元优惠卷"))</f>
        <v/>
      </c>
      <c r="I174" s="18" t="str">
        <f t="array" ref="I174">IF(C174="","",IF(_xlfn.XLOOKUP(A174&amp;B174&amp;C174,盘货信息!$A:$A&amp;盘货信息!$B:$B&amp;盘货信息!$C:$C,盘货信息!$R:$R)="","",_xlfn.XLOOKUP(A174&amp;B174&amp;C174,盘货信息!$A:$A&amp;盘货信息!$B:$B&amp;盘货信息!$C:$C,盘货信息!$R:$R)&amp;"元优惠卷"))</f>
        <v/>
      </c>
      <c r="J174" s="18" t="str">
        <f t="array" ref="J174">IF(C174="","",IF(_xlfn.XLOOKUP(A174&amp;B174&amp;C174,盘货信息!$A:$A&amp;盘货信息!$B:$B&amp;盘货信息!$C:$C,盘货信息!$K:$K)="","",IF(OR(_xlfn.XLOOKUP(A174&amp;B174&amp;C174,盘货信息!$A:$A&amp;盘货信息!$B:$B&amp;盘货信息!$C:$C,盘货信息!$G:$G)="参加",_xlfn.XLOOKUP(A174&amp;B174&amp;C174,盘货信息!$A:$A&amp;盘货信息!$B:$B&amp;盘货信息!$C:$C,盘货信息!$H:$H)="1（纯自补）"),_xlfn.XLOOKUP(A174&amp;B174&amp;C174,盘货信息!$A:$A&amp;盘货信息!$B:$B&amp;盘货信息!$C:$C,盘货信息!$K:$K)&amp;"元以旧换新（可无旧机换新）","")))</f>
        <v/>
      </c>
      <c r="K174" s="18" t="str">
        <f t="array" ref="K174">IF(C174="","",IF(_xlfn.XLOOKUP(A174&amp;B174&amp;C174,盘货信息!$A:$A&amp;盘货信息!$B:$B&amp;盘货信息!$C:$C,盘货信息!$L:$L)="","",_xlfn.XLOOKUP(A174&amp;B174&amp;C174,盘货信息!$A:$A&amp;盘货信息!$B:$B&amp;盘货信息!$C:$C,盘货信息!$L:$L)&amp;"元限时补贴"))</f>
        <v/>
      </c>
      <c r="L174" s="18" t="str">
        <f t="array" ref="L174">IF(C174="","",IF(_xlfn.XLOOKUP(A174&amp;B174&amp;C174,盘货信息!$A:$A&amp;盘货信息!$B:$B&amp;盘货信息!$C:$C,盘货信息!$M:$M)="","",_xlfn.XLOOKUP(A174&amp;B174&amp;C174,盘货信息!$A:$A&amp;盘货信息!$B:$B&amp;盘货信息!$C:$C,盘货信息!$M:$M)&amp;"元消费券"))</f>
        <v/>
      </c>
      <c r="M174" s="18" t="str">
        <f t="array" ref="M174">IF(C174="","",IF(_xlfn.XLOOKUP(A174&amp;B174&amp;C174,盘货信息!$A:$A&amp;盘货信息!$B:$B&amp;盘货信息!$C:$C,盘货信息!$G:$G)="不参加","","焕新补贴优惠【全民可用，不限地址】"))</f>
        <v/>
      </c>
    </row>
    <row r="175" customHeight="1" spans="1:13">
      <c r="A175" s="17" t="str">
        <f>IF(盘货信息!A175="","",盘货信息!A175)</f>
        <v/>
      </c>
      <c r="B175" s="17" t="str">
        <f>IF(盘货信息!B175="","",盘货信息!B175)</f>
        <v/>
      </c>
      <c r="C175" s="18" t="str">
        <f>IF(盘货信息!C175="","",盘货信息!C175)</f>
        <v/>
      </c>
      <c r="D175" s="18" t="str">
        <f t="shared" si="2"/>
        <v/>
      </c>
      <c r="E175" s="18" t="str">
        <f t="array" ref="E175">IF(C175="","",IF(_xlfn.XLOOKUP(A175&amp;B175&amp;C175,盘货信息!$A:$A&amp;盘货信息!$B:$B&amp;盘货信息!$C:$C,盘货信息!$N:$N)="","【立减到手价"&amp;_xlfn.XLOOKUP(A175&amp;B175&amp;C175,盘货信息!$A:$A&amp;盘货信息!$B:$B&amp;盘货信息!$C:$C,盘货信息!$F:$F)&amp;"元】","【焕新补贴预估价"&amp;_xlfn.XLOOKUP(A175&amp;B175&amp;C175,盘货信息!$A:$A&amp;盘货信息!$B:$B&amp;盘货信息!$C:$C,盘货信息!$N:$N)&amp;"元】"))</f>
        <v/>
      </c>
      <c r="F175" s="18" t="str">
        <f t="array" ref="F175">IF(C175="","",_xlfn.XLOOKUP(A175&amp;B175&amp;C175,盘货信息!$A:$A&amp;盘货信息!$B:$B&amp;盘货信息!$C:$C,盘货信息!$E:$E)&amp;"元到手价")</f>
        <v/>
      </c>
      <c r="G175" s="18" t="str">
        <f t="array" ref="G175">IF(C175="","",IF(_xlfn.XLOOKUP(A175&amp;B175&amp;C175,盘货信息!$A:$A&amp;盘货信息!$B:$B&amp;盘货信息!$C:$C,盘货信息!$I:$I)="","","88VIP95折"))</f>
        <v/>
      </c>
      <c r="H175" s="18" t="str">
        <f t="array" ref="H175">IF(C175="","",IF(_xlfn.XLOOKUP(A175&amp;B175&amp;C175,盘货信息!$A:$A&amp;盘货信息!$B:$B&amp;盘货信息!$C:$C,盘货信息!$J:$J)="","",_xlfn.XLOOKUP(A175&amp;B175&amp;C175,盘货信息!$A:$A&amp;盘货信息!$B:$B&amp;盘货信息!$C:$C,盘货信息!$J:$J)&amp;"元优惠卷"))</f>
        <v/>
      </c>
      <c r="I175" s="18" t="str">
        <f t="array" ref="I175">IF(C175="","",IF(_xlfn.XLOOKUP(A175&amp;B175&amp;C175,盘货信息!$A:$A&amp;盘货信息!$B:$B&amp;盘货信息!$C:$C,盘货信息!$R:$R)="","",_xlfn.XLOOKUP(A175&amp;B175&amp;C175,盘货信息!$A:$A&amp;盘货信息!$B:$B&amp;盘货信息!$C:$C,盘货信息!$R:$R)&amp;"元优惠卷"))</f>
        <v/>
      </c>
      <c r="J175" s="18" t="str">
        <f t="array" ref="J175">IF(C175="","",IF(_xlfn.XLOOKUP(A175&amp;B175&amp;C175,盘货信息!$A:$A&amp;盘货信息!$B:$B&amp;盘货信息!$C:$C,盘货信息!$K:$K)="","",IF(OR(_xlfn.XLOOKUP(A175&amp;B175&amp;C175,盘货信息!$A:$A&amp;盘货信息!$B:$B&amp;盘货信息!$C:$C,盘货信息!$G:$G)="参加",_xlfn.XLOOKUP(A175&amp;B175&amp;C175,盘货信息!$A:$A&amp;盘货信息!$B:$B&amp;盘货信息!$C:$C,盘货信息!$H:$H)="1（纯自补）"),_xlfn.XLOOKUP(A175&amp;B175&amp;C175,盘货信息!$A:$A&amp;盘货信息!$B:$B&amp;盘货信息!$C:$C,盘货信息!$K:$K)&amp;"元以旧换新（可无旧机换新）","")))</f>
        <v/>
      </c>
      <c r="K175" s="18" t="str">
        <f t="array" ref="K175">IF(C175="","",IF(_xlfn.XLOOKUP(A175&amp;B175&amp;C175,盘货信息!$A:$A&amp;盘货信息!$B:$B&amp;盘货信息!$C:$C,盘货信息!$L:$L)="","",_xlfn.XLOOKUP(A175&amp;B175&amp;C175,盘货信息!$A:$A&amp;盘货信息!$B:$B&amp;盘货信息!$C:$C,盘货信息!$L:$L)&amp;"元限时补贴"))</f>
        <v/>
      </c>
      <c r="L175" s="18" t="str">
        <f t="array" ref="L175">IF(C175="","",IF(_xlfn.XLOOKUP(A175&amp;B175&amp;C175,盘货信息!$A:$A&amp;盘货信息!$B:$B&amp;盘货信息!$C:$C,盘货信息!$M:$M)="","",_xlfn.XLOOKUP(A175&amp;B175&amp;C175,盘货信息!$A:$A&amp;盘货信息!$B:$B&amp;盘货信息!$C:$C,盘货信息!$M:$M)&amp;"元消费券"))</f>
        <v/>
      </c>
      <c r="M175" s="18" t="str">
        <f t="array" ref="M175">IF(C175="","",IF(_xlfn.XLOOKUP(A175&amp;B175&amp;C175,盘货信息!$A:$A&amp;盘货信息!$B:$B&amp;盘货信息!$C:$C,盘货信息!$G:$G)="不参加","","焕新补贴优惠【全民可用，不限地址】"))</f>
        <v/>
      </c>
    </row>
    <row r="176" customHeight="1" spans="1:13">
      <c r="A176" s="17" t="str">
        <f>IF(盘货信息!A176="","",盘货信息!A176)</f>
        <v/>
      </c>
      <c r="B176" s="17" t="str">
        <f>IF(盘货信息!B176="","",盘货信息!B176)</f>
        <v/>
      </c>
      <c r="C176" s="18" t="str">
        <f>IF(盘货信息!C176="","",盘货信息!C176)</f>
        <v/>
      </c>
      <c r="D176" s="18" t="str">
        <f t="shared" si="2"/>
        <v/>
      </c>
      <c r="E176" s="18" t="str">
        <f t="array" ref="E176">IF(C176="","",IF(_xlfn.XLOOKUP(A176&amp;B176&amp;C176,盘货信息!$A:$A&amp;盘货信息!$B:$B&amp;盘货信息!$C:$C,盘货信息!$N:$N)="","【立减到手价"&amp;_xlfn.XLOOKUP(A176&amp;B176&amp;C176,盘货信息!$A:$A&amp;盘货信息!$B:$B&amp;盘货信息!$C:$C,盘货信息!$F:$F)&amp;"元】","【焕新补贴预估价"&amp;_xlfn.XLOOKUP(A176&amp;B176&amp;C176,盘货信息!$A:$A&amp;盘货信息!$B:$B&amp;盘货信息!$C:$C,盘货信息!$N:$N)&amp;"元】"))</f>
        <v/>
      </c>
      <c r="F176" s="18" t="str">
        <f t="array" ref="F176">IF(C176="","",_xlfn.XLOOKUP(A176&amp;B176&amp;C176,盘货信息!$A:$A&amp;盘货信息!$B:$B&amp;盘货信息!$C:$C,盘货信息!$E:$E)&amp;"元到手价")</f>
        <v/>
      </c>
      <c r="G176" s="18" t="str">
        <f t="array" ref="G176">IF(C176="","",IF(_xlfn.XLOOKUP(A176&amp;B176&amp;C176,盘货信息!$A:$A&amp;盘货信息!$B:$B&amp;盘货信息!$C:$C,盘货信息!$I:$I)="","","88VIP95折"))</f>
        <v/>
      </c>
      <c r="H176" s="18" t="str">
        <f t="array" ref="H176">IF(C176="","",IF(_xlfn.XLOOKUP(A176&amp;B176&amp;C176,盘货信息!$A:$A&amp;盘货信息!$B:$B&amp;盘货信息!$C:$C,盘货信息!$J:$J)="","",_xlfn.XLOOKUP(A176&amp;B176&amp;C176,盘货信息!$A:$A&amp;盘货信息!$B:$B&amp;盘货信息!$C:$C,盘货信息!$J:$J)&amp;"元优惠卷"))</f>
        <v/>
      </c>
      <c r="I176" s="18" t="str">
        <f t="array" ref="I176">IF(C176="","",IF(_xlfn.XLOOKUP(A176&amp;B176&amp;C176,盘货信息!$A:$A&amp;盘货信息!$B:$B&amp;盘货信息!$C:$C,盘货信息!$R:$R)="","",_xlfn.XLOOKUP(A176&amp;B176&amp;C176,盘货信息!$A:$A&amp;盘货信息!$B:$B&amp;盘货信息!$C:$C,盘货信息!$R:$R)&amp;"元优惠卷"))</f>
        <v/>
      </c>
      <c r="J176" s="18" t="str">
        <f t="array" ref="J176">IF(C176="","",IF(_xlfn.XLOOKUP(A176&amp;B176&amp;C176,盘货信息!$A:$A&amp;盘货信息!$B:$B&amp;盘货信息!$C:$C,盘货信息!$K:$K)="","",IF(OR(_xlfn.XLOOKUP(A176&amp;B176&amp;C176,盘货信息!$A:$A&amp;盘货信息!$B:$B&amp;盘货信息!$C:$C,盘货信息!$G:$G)="参加",_xlfn.XLOOKUP(A176&amp;B176&amp;C176,盘货信息!$A:$A&amp;盘货信息!$B:$B&amp;盘货信息!$C:$C,盘货信息!$H:$H)="1（纯自补）"),_xlfn.XLOOKUP(A176&amp;B176&amp;C176,盘货信息!$A:$A&amp;盘货信息!$B:$B&amp;盘货信息!$C:$C,盘货信息!$K:$K)&amp;"元以旧换新（可无旧机换新）","")))</f>
        <v/>
      </c>
      <c r="K176" s="18" t="str">
        <f t="array" ref="K176">IF(C176="","",IF(_xlfn.XLOOKUP(A176&amp;B176&amp;C176,盘货信息!$A:$A&amp;盘货信息!$B:$B&amp;盘货信息!$C:$C,盘货信息!$L:$L)="","",_xlfn.XLOOKUP(A176&amp;B176&amp;C176,盘货信息!$A:$A&amp;盘货信息!$B:$B&amp;盘货信息!$C:$C,盘货信息!$L:$L)&amp;"元限时补贴"))</f>
        <v/>
      </c>
      <c r="L176" s="18" t="str">
        <f t="array" ref="L176">IF(C176="","",IF(_xlfn.XLOOKUP(A176&amp;B176&amp;C176,盘货信息!$A:$A&amp;盘货信息!$B:$B&amp;盘货信息!$C:$C,盘货信息!$M:$M)="","",_xlfn.XLOOKUP(A176&amp;B176&amp;C176,盘货信息!$A:$A&amp;盘货信息!$B:$B&amp;盘货信息!$C:$C,盘货信息!$M:$M)&amp;"元消费券"))</f>
        <v/>
      </c>
      <c r="M176" s="18" t="str">
        <f t="array" ref="M176">IF(C176="","",IF(_xlfn.XLOOKUP(A176&amp;B176&amp;C176,盘货信息!$A:$A&amp;盘货信息!$B:$B&amp;盘货信息!$C:$C,盘货信息!$G:$G)="不参加","","焕新补贴优惠【全民可用，不限地址】"))</f>
        <v/>
      </c>
    </row>
    <row r="177" customHeight="1" spans="1:13">
      <c r="A177" s="17" t="str">
        <f>IF(盘货信息!A177="","",盘货信息!A177)</f>
        <v/>
      </c>
      <c r="B177" s="17" t="str">
        <f>IF(盘货信息!B177="","",盘货信息!B177)</f>
        <v/>
      </c>
      <c r="C177" s="18" t="str">
        <f>IF(盘货信息!C177="","",盘货信息!C177)</f>
        <v/>
      </c>
      <c r="D177" s="18" t="str">
        <f t="shared" si="2"/>
        <v/>
      </c>
      <c r="E177" s="18" t="str">
        <f t="array" ref="E177">IF(C177="","",IF(_xlfn.XLOOKUP(A177&amp;B177&amp;C177,盘货信息!$A:$A&amp;盘货信息!$B:$B&amp;盘货信息!$C:$C,盘货信息!$N:$N)="","【立减到手价"&amp;_xlfn.XLOOKUP(A177&amp;B177&amp;C177,盘货信息!$A:$A&amp;盘货信息!$B:$B&amp;盘货信息!$C:$C,盘货信息!$F:$F)&amp;"元】","【焕新补贴预估价"&amp;_xlfn.XLOOKUP(A177&amp;B177&amp;C177,盘货信息!$A:$A&amp;盘货信息!$B:$B&amp;盘货信息!$C:$C,盘货信息!$N:$N)&amp;"元】"))</f>
        <v/>
      </c>
      <c r="F177" s="18" t="str">
        <f t="array" ref="F177">IF(C177="","",_xlfn.XLOOKUP(A177&amp;B177&amp;C177,盘货信息!$A:$A&amp;盘货信息!$B:$B&amp;盘货信息!$C:$C,盘货信息!$E:$E)&amp;"元到手价")</f>
        <v/>
      </c>
      <c r="G177" s="18" t="str">
        <f t="array" ref="G177">IF(C177="","",IF(_xlfn.XLOOKUP(A177&amp;B177&amp;C177,盘货信息!$A:$A&amp;盘货信息!$B:$B&amp;盘货信息!$C:$C,盘货信息!$I:$I)="","","88VIP95折"))</f>
        <v/>
      </c>
      <c r="H177" s="18" t="str">
        <f t="array" ref="H177">IF(C177="","",IF(_xlfn.XLOOKUP(A177&amp;B177&amp;C177,盘货信息!$A:$A&amp;盘货信息!$B:$B&amp;盘货信息!$C:$C,盘货信息!$J:$J)="","",_xlfn.XLOOKUP(A177&amp;B177&amp;C177,盘货信息!$A:$A&amp;盘货信息!$B:$B&amp;盘货信息!$C:$C,盘货信息!$J:$J)&amp;"元优惠卷"))</f>
        <v/>
      </c>
      <c r="I177" s="18" t="str">
        <f t="array" ref="I177">IF(C177="","",IF(_xlfn.XLOOKUP(A177&amp;B177&amp;C177,盘货信息!$A:$A&amp;盘货信息!$B:$B&amp;盘货信息!$C:$C,盘货信息!$R:$R)="","",_xlfn.XLOOKUP(A177&amp;B177&amp;C177,盘货信息!$A:$A&amp;盘货信息!$B:$B&amp;盘货信息!$C:$C,盘货信息!$R:$R)&amp;"元优惠卷"))</f>
        <v/>
      </c>
      <c r="J177" s="18" t="str">
        <f t="array" ref="J177">IF(C177="","",IF(_xlfn.XLOOKUP(A177&amp;B177&amp;C177,盘货信息!$A:$A&amp;盘货信息!$B:$B&amp;盘货信息!$C:$C,盘货信息!$K:$K)="","",IF(OR(_xlfn.XLOOKUP(A177&amp;B177&amp;C177,盘货信息!$A:$A&amp;盘货信息!$B:$B&amp;盘货信息!$C:$C,盘货信息!$G:$G)="参加",_xlfn.XLOOKUP(A177&amp;B177&amp;C177,盘货信息!$A:$A&amp;盘货信息!$B:$B&amp;盘货信息!$C:$C,盘货信息!$H:$H)="1（纯自补）"),_xlfn.XLOOKUP(A177&amp;B177&amp;C177,盘货信息!$A:$A&amp;盘货信息!$B:$B&amp;盘货信息!$C:$C,盘货信息!$K:$K)&amp;"元以旧换新（可无旧机换新）","")))</f>
        <v/>
      </c>
      <c r="K177" s="18" t="str">
        <f t="array" ref="K177">IF(C177="","",IF(_xlfn.XLOOKUP(A177&amp;B177&amp;C177,盘货信息!$A:$A&amp;盘货信息!$B:$B&amp;盘货信息!$C:$C,盘货信息!$L:$L)="","",_xlfn.XLOOKUP(A177&amp;B177&amp;C177,盘货信息!$A:$A&amp;盘货信息!$B:$B&amp;盘货信息!$C:$C,盘货信息!$L:$L)&amp;"元限时补贴"))</f>
        <v/>
      </c>
      <c r="L177" s="18" t="str">
        <f t="array" ref="L177">IF(C177="","",IF(_xlfn.XLOOKUP(A177&amp;B177&amp;C177,盘货信息!$A:$A&amp;盘货信息!$B:$B&amp;盘货信息!$C:$C,盘货信息!$M:$M)="","",_xlfn.XLOOKUP(A177&amp;B177&amp;C177,盘货信息!$A:$A&amp;盘货信息!$B:$B&amp;盘货信息!$C:$C,盘货信息!$M:$M)&amp;"元消费券"))</f>
        <v/>
      </c>
      <c r="M177" s="18" t="str">
        <f t="array" ref="M177">IF(C177="","",IF(_xlfn.XLOOKUP(A177&amp;B177&amp;C177,盘货信息!$A:$A&amp;盘货信息!$B:$B&amp;盘货信息!$C:$C,盘货信息!$G:$G)="不参加","","焕新补贴优惠【全民可用，不限地址】"))</f>
        <v/>
      </c>
    </row>
    <row r="178" customHeight="1" spans="1:13">
      <c r="A178" s="17" t="str">
        <f>IF(盘货信息!A178="","",盘货信息!A178)</f>
        <v/>
      </c>
      <c r="B178" s="17" t="str">
        <f>IF(盘货信息!B178="","",盘货信息!B178)</f>
        <v/>
      </c>
      <c r="C178" s="18" t="str">
        <f>IF(盘货信息!C178="","",盘货信息!C178)</f>
        <v/>
      </c>
      <c r="D178" s="18" t="str">
        <f t="shared" si="2"/>
        <v/>
      </c>
      <c r="E178" s="18" t="str">
        <f t="array" ref="E178">IF(C178="","",IF(_xlfn.XLOOKUP(A178&amp;B178&amp;C178,盘货信息!$A:$A&amp;盘货信息!$B:$B&amp;盘货信息!$C:$C,盘货信息!$N:$N)="","【立减到手价"&amp;_xlfn.XLOOKUP(A178&amp;B178&amp;C178,盘货信息!$A:$A&amp;盘货信息!$B:$B&amp;盘货信息!$C:$C,盘货信息!$F:$F)&amp;"元】","【焕新补贴预估价"&amp;_xlfn.XLOOKUP(A178&amp;B178&amp;C178,盘货信息!$A:$A&amp;盘货信息!$B:$B&amp;盘货信息!$C:$C,盘货信息!$N:$N)&amp;"元】"))</f>
        <v/>
      </c>
      <c r="F178" s="18" t="str">
        <f t="array" ref="F178">IF(C178="","",_xlfn.XLOOKUP(A178&amp;B178&amp;C178,盘货信息!$A:$A&amp;盘货信息!$B:$B&amp;盘货信息!$C:$C,盘货信息!$E:$E)&amp;"元到手价")</f>
        <v/>
      </c>
      <c r="G178" s="18" t="str">
        <f t="array" ref="G178">IF(C178="","",IF(_xlfn.XLOOKUP(A178&amp;B178&amp;C178,盘货信息!$A:$A&amp;盘货信息!$B:$B&amp;盘货信息!$C:$C,盘货信息!$I:$I)="","","88VIP95折"))</f>
        <v/>
      </c>
      <c r="H178" s="18" t="str">
        <f t="array" ref="H178">IF(C178="","",IF(_xlfn.XLOOKUP(A178&amp;B178&amp;C178,盘货信息!$A:$A&amp;盘货信息!$B:$B&amp;盘货信息!$C:$C,盘货信息!$J:$J)="","",_xlfn.XLOOKUP(A178&amp;B178&amp;C178,盘货信息!$A:$A&amp;盘货信息!$B:$B&amp;盘货信息!$C:$C,盘货信息!$J:$J)&amp;"元优惠卷"))</f>
        <v/>
      </c>
      <c r="I178" s="18" t="str">
        <f t="array" ref="I178">IF(C178="","",IF(_xlfn.XLOOKUP(A178&amp;B178&amp;C178,盘货信息!$A:$A&amp;盘货信息!$B:$B&amp;盘货信息!$C:$C,盘货信息!$R:$R)="","",_xlfn.XLOOKUP(A178&amp;B178&amp;C178,盘货信息!$A:$A&amp;盘货信息!$B:$B&amp;盘货信息!$C:$C,盘货信息!$R:$R)&amp;"元优惠卷"))</f>
        <v/>
      </c>
      <c r="J178" s="18" t="str">
        <f t="array" ref="J178">IF(C178="","",IF(_xlfn.XLOOKUP(A178&amp;B178&amp;C178,盘货信息!$A:$A&amp;盘货信息!$B:$B&amp;盘货信息!$C:$C,盘货信息!$K:$K)="","",IF(OR(_xlfn.XLOOKUP(A178&amp;B178&amp;C178,盘货信息!$A:$A&amp;盘货信息!$B:$B&amp;盘货信息!$C:$C,盘货信息!$G:$G)="参加",_xlfn.XLOOKUP(A178&amp;B178&amp;C178,盘货信息!$A:$A&amp;盘货信息!$B:$B&amp;盘货信息!$C:$C,盘货信息!$H:$H)="1（纯自补）"),_xlfn.XLOOKUP(A178&amp;B178&amp;C178,盘货信息!$A:$A&amp;盘货信息!$B:$B&amp;盘货信息!$C:$C,盘货信息!$K:$K)&amp;"元以旧换新（可无旧机换新）","")))</f>
        <v/>
      </c>
      <c r="K178" s="18" t="str">
        <f t="array" ref="K178">IF(C178="","",IF(_xlfn.XLOOKUP(A178&amp;B178&amp;C178,盘货信息!$A:$A&amp;盘货信息!$B:$B&amp;盘货信息!$C:$C,盘货信息!$L:$L)="","",_xlfn.XLOOKUP(A178&amp;B178&amp;C178,盘货信息!$A:$A&amp;盘货信息!$B:$B&amp;盘货信息!$C:$C,盘货信息!$L:$L)&amp;"元限时补贴"))</f>
        <v/>
      </c>
      <c r="L178" s="18" t="str">
        <f t="array" ref="L178">IF(C178="","",IF(_xlfn.XLOOKUP(A178&amp;B178&amp;C178,盘货信息!$A:$A&amp;盘货信息!$B:$B&amp;盘货信息!$C:$C,盘货信息!$M:$M)="","",_xlfn.XLOOKUP(A178&amp;B178&amp;C178,盘货信息!$A:$A&amp;盘货信息!$B:$B&amp;盘货信息!$C:$C,盘货信息!$M:$M)&amp;"元消费券"))</f>
        <v/>
      </c>
      <c r="M178" s="18" t="str">
        <f t="array" ref="M178">IF(C178="","",IF(_xlfn.XLOOKUP(A178&amp;B178&amp;C178,盘货信息!$A:$A&amp;盘货信息!$B:$B&amp;盘货信息!$C:$C,盘货信息!$G:$G)="不参加","","焕新补贴优惠【全民可用，不限地址】"))</f>
        <v/>
      </c>
    </row>
    <row r="179" customHeight="1" spans="1:13">
      <c r="A179" s="17" t="str">
        <f>IF(盘货信息!A179="","",盘货信息!A179)</f>
        <v/>
      </c>
      <c r="B179" s="17" t="str">
        <f>IF(盘货信息!B179="","",盘货信息!B179)</f>
        <v/>
      </c>
      <c r="C179" s="18" t="str">
        <f>IF(盘货信息!C179="","",盘货信息!C179)</f>
        <v/>
      </c>
      <c r="D179" s="18" t="str">
        <f t="shared" si="2"/>
        <v/>
      </c>
      <c r="E179" s="18" t="str">
        <f t="array" ref="E179">IF(C179="","",IF(_xlfn.XLOOKUP(A179&amp;B179&amp;C179,盘货信息!$A:$A&amp;盘货信息!$B:$B&amp;盘货信息!$C:$C,盘货信息!$N:$N)="","【立减到手价"&amp;_xlfn.XLOOKUP(A179&amp;B179&amp;C179,盘货信息!$A:$A&amp;盘货信息!$B:$B&amp;盘货信息!$C:$C,盘货信息!$F:$F)&amp;"元】","【焕新补贴预估价"&amp;_xlfn.XLOOKUP(A179&amp;B179&amp;C179,盘货信息!$A:$A&amp;盘货信息!$B:$B&amp;盘货信息!$C:$C,盘货信息!$N:$N)&amp;"元】"))</f>
        <v/>
      </c>
      <c r="F179" s="18" t="str">
        <f t="array" ref="F179">IF(C179="","",_xlfn.XLOOKUP(A179&amp;B179&amp;C179,盘货信息!$A:$A&amp;盘货信息!$B:$B&amp;盘货信息!$C:$C,盘货信息!$E:$E)&amp;"元到手价")</f>
        <v/>
      </c>
      <c r="G179" s="18" t="str">
        <f t="array" ref="G179">IF(C179="","",IF(_xlfn.XLOOKUP(A179&amp;B179&amp;C179,盘货信息!$A:$A&amp;盘货信息!$B:$B&amp;盘货信息!$C:$C,盘货信息!$I:$I)="","","88VIP95折"))</f>
        <v/>
      </c>
      <c r="H179" s="18" t="str">
        <f t="array" ref="H179">IF(C179="","",IF(_xlfn.XLOOKUP(A179&amp;B179&amp;C179,盘货信息!$A:$A&amp;盘货信息!$B:$B&amp;盘货信息!$C:$C,盘货信息!$J:$J)="","",_xlfn.XLOOKUP(A179&amp;B179&amp;C179,盘货信息!$A:$A&amp;盘货信息!$B:$B&amp;盘货信息!$C:$C,盘货信息!$J:$J)&amp;"元优惠卷"))</f>
        <v/>
      </c>
      <c r="I179" s="18" t="str">
        <f t="array" ref="I179">IF(C179="","",IF(_xlfn.XLOOKUP(A179&amp;B179&amp;C179,盘货信息!$A:$A&amp;盘货信息!$B:$B&amp;盘货信息!$C:$C,盘货信息!$R:$R)="","",_xlfn.XLOOKUP(A179&amp;B179&amp;C179,盘货信息!$A:$A&amp;盘货信息!$B:$B&amp;盘货信息!$C:$C,盘货信息!$R:$R)&amp;"元优惠卷"))</f>
        <v/>
      </c>
      <c r="J179" s="18" t="str">
        <f t="array" ref="J179">IF(C179="","",IF(_xlfn.XLOOKUP(A179&amp;B179&amp;C179,盘货信息!$A:$A&amp;盘货信息!$B:$B&amp;盘货信息!$C:$C,盘货信息!$K:$K)="","",IF(OR(_xlfn.XLOOKUP(A179&amp;B179&amp;C179,盘货信息!$A:$A&amp;盘货信息!$B:$B&amp;盘货信息!$C:$C,盘货信息!$G:$G)="参加",_xlfn.XLOOKUP(A179&amp;B179&amp;C179,盘货信息!$A:$A&amp;盘货信息!$B:$B&amp;盘货信息!$C:$C,盘货信息!$H:$H)="1（纯自补）"),_xlfn.XLOOKUP(A179&amp;B179&amp;C179,盘货信息!$A:$A&amp;盘货信息!$B:$B&amp;盘货信息!$C:$C,盘货信息!$K:$K)&amp;"元以旧换新（可无旧机换新）","")))</f>
        <v/>
      </c>
      <c r="K179" s="18" t="str">
        <f t="array" ref="K179">IF(C179="","",IF(_xlfn.XLOOKUP(A179&amp;B179&amp;C179,盘货信息!$A:$A&amp;盘货信息!$B:$B&amp;盘货信息!$C:$C,盘货信息!$L:$L)="","",_xlfn.XLOOKUP(A179&amp;B179&amp;C179,盘货信息!$A:$A&amp;盘货信息!$B:$B&amp;盘货信息!$C:$C,盘货信息!$L:$L)&amp;"元限时补贴"))</f>
        <v/>
      </c>
      <c r="L179" s="18" t="str">
        <f t="array" ref="L179">IF(C179="","",IF(_xlfn.XLOOKUP(A179&amp;B179&amp;C179,盘货信息!$A:$A&amp;盘货信息!$B:$B&amp;盘货信息!$C:$C,盘货信息!$M:$M)="","",_xlfn.XLOOKUP(A179&amp;B179&amp;C179,盘货信息!$A:$A&amp;盘货信息!$B:$B&amp;盘货信息!$C:$C,盘货信息!$M:$M)&amp;"元消费券"))</f>
        <v/>
      </c>
      <c r="M179" s="18" t="str">
        <f t="array" ref="M179">IF(C179="","",IF(_xlfn.XLOOKUP(A179&amp;B179&amp;C179,盘货信息!$A:$A&amp;盘货信息!$B:$B&amp;盘货信息!$C:$C,盘货信息!$G:$G)="不参加","","焕新补贴优惠【全民可用，不限地址】"))</f>
        <v/>
      </c>
    </row>
    <row r="180" customHeight="1" spans="1:13">
      <c r="A180" s="17" t="str">
        <f>IF(盘货信息!A180="","",盘货信息!A180)</f>
        <v/>
      </c>
      <c r="B180" s="17" t="str">
        <f>IF(盘货信息!B180="","",盘货信息!B180)</f>
        <v/>
      </c>
      <c r="C180" s="18" t="str">
        <f>IF(盘货信息!C180="","",盘货信息!C180)</f>
        <v/>
      </c>
      <c r="D180" s="18" t="str">
        <f t="shared" si="2"/>
        <v/>
      </c>
      <c r="E180" s="18" t="str">
        <f t="array" ref="E180">IF(C180="","",IF(_xlfn.XLOOKUP(A180&amp;B180&amp;C180,盘货信息!$A:$A&amp;盘货信息!$B:$B&amp;盘货信息!$C:$C,盘货信息!$N:$N)="","【立减到手价"&amp;_xlfn.XLOOKUP(A180&amp;B180&amp;C180,盘货信息!$A:$A&amp;盘货信息!$B:$B&amp;盘货信息!$C:$C,盘货信息!$F:$F)&amp;"元】","【焕新补贴预估价"&amp;_xlfn.XLOOKUP(A180&amp;B180&amp;C180,盘货信息!$A:$A&amp;盘货信息!$B:$B&amp;盘货信息!$C:$C,盘货信息!$N:$N)&amp;"元】"))</f>
        <v/>
      </c>
      <c r="F180" s="18" t="str">
        <f t="array" ref="F180">IF(C180="","",_xlfn.XLOOKUP(A180&amp;B180&amp;C180,盘货信息!$A:$A&amp;盘货信息!$B:$B&amp;盘货信息!$C:$C,盘货信息!$E:$E)&amp;"元到手价")</f>
        <v/>
      </c>
      <c r="G180" s="18" t="str">
        <f t="array" ref="G180">IF(C180="","",IF(_xlfn.XLOOKUP(A180&amp;B180&amp;C180,盘货信息!$A:$A&amp;盘货信息!$B:$B&amp;盘货信息!$C:$C,盘货信息!$I:$I)="","","88VIP95折"))</f>
        <v/>
      </c>
      <c r="H180" s="18" t="str">
        <f t="array" ref="H180">IF(C180="","",IF(_xlfn.XLOOKUP(A180&amp;B180&amp;C180,盘货信息!$A:$A&amp;盘货信息!$B:$B&amp;盘货信息!$C:$C,盘货信息!$J:$J)="","",_xlfn.XLOOKUP(A180&amp;B180&amp;C180,盘货信息!$A:$A&amp;盘货信息!$B:$B&amp;盘货信息!$C:$C,盘货信息!$J:$J)&amp;"元优惠卷"))</f>
        <v/>
      </c>
      <c r="I180" s="18" t="str">
        <f t="array" ref="I180">IF(C180="","",IF(_xlfn.XLOOKUP(A180&amp;B180&amp;C180,盘货信息!$A:$A&amp;盘货信息!$B:$B&amp;盘货信息!$C:$C,盘货信息!$R:$R)="","",_xlfn.XLOOKUP(A180&amp;B180&amp;C180,盘货信息!$A:$A&amp;盘货信息!$B:$B&amp;盘货信息!$C:$C,盘货信息!$R:$R)&amp;"元优惠卷"))</f>
        <v/>
      </c>
      <c r="J180" s="18" t="str">
        <f t="array" ref="J180">IF(C180="","",IF(_xlfn.XLOOKUP(A180&amp;B180&amp;C180,盘货信息!$A:$A&amp;盘货信息!$B:$B&amp;盘货信息!$C:$C,盘货信息!$K:$K)="","",IF(OR(_xlfn.XLOOKUP(A180&amp;B180&amp;C180,盘货信息!$A:$A&amp;盘货信息!$B:$B&amp;盘货信息!$C:$C,盘货信息!$G:$G)="参加",_xlfn.XLOOKUP(A180&amp;B180&amp;C180,盘货信息!$A:$A&amp;盘货信息!$B:$B&amp;盘货信息!$C:$C,盘货信息!$H:$H)="1（纯自补）"),_xlfn.XLOOKUP(A180&amp;B180&amp;C180,盘货信息!$A:$A&amp;盘货信息!$B:$B&amp;盘货信息!$C:$C,盘货信息!$K:$K)&amp;"元以旧换新（可无旧机换新）","")))</f>
        <v/>
      </c>
      <c r="K180" s="18" t="str">
        <f t="array" ref="K180">IF(C180="","",IF(_xlfn.XLOOKUP(A180&amp;B180&amp;C180,盘货信息!$A:$A&amp;盘货信息!$B:$B&amp;盘货信息!$C:$C,盘货信息!$L:$L)="","",_xlfn.XLOOKUP(A180&amp;B180&amp;C180,盘货信息!$A:$A&amp;盘货信息!$B:$B&amp;盘货信息!$C:$C,盘货信息!$L:$L)&amp;"元限时补贴"))</f>
        <v/>
      </c>
      <c r="L180" s="18" t="str">
        <f t="array" ref="L180">IF(C180="","",IF(_xlfn.XLOOKUP(A180&amp;B180&amp;C180,盘货信息!$A:$A&amp;盘货信息!$B:$B&amp;盘货信息!$C:$C,盘货信息!$M:$M)="","",_xlfn.XLOOKUP(A180&amp;B180&amp;C180,盘货信息!$A:$A&amp;盘货信息!$B:$B&amp;盘货信息!$C:$C,盘货信息!$M:$M)&amp;"元消费券"))</f>
        <v/>
      </c>
      <c r="M180" s="18" t="str">
        <f t="array" ref="M180">IF(C180="","",IF(_xlfn.XLOOKUP(A180&amp;B180&amp;C180,盘货信息!$A:$A&amp;盘货信息!$B:$B&amp;盘货信息!$C:$C,盘货信息!$G:$G)="不参加","","焕新补贴优惠【全民可用，不限地址】"))</f>
        <v/>
      </c>
    </row>
    <row r="181" customHeight="1" spans="1:13">
      <c r="A181" s="17" t="str">
        <f>IF(盘货信息!A181="","",盘货信息!A181)</f>
        <v/>
      </c>
      <c r="B181" s="17" t="str">
        <f>IF(盘货信息!B181="","",盘货信息!B181)</f>
        <v/>
      </c>
      <c r="C181" s="18" t="str">
        <f>IF(盘货信息!C181="","",盘货信息!C181)</f>
        <v/>
      </c>
      <c r="D181" s="18" t="str">
        <f t="shared" si="2"/>
        <v/>
      </c>
      <c r="E181" s="18" t="str">
        <f t="array" ref="E181">IF(C181="","",IF(_xlfn.XLOOKUP(A181&amp;B181&amp;C181,盘货信息!$A:$A&amp;盘货信息!$B:$B&amp;盘货信息!$C:$C,盘货信息!$N:$N)="","【立减到手价"&amp;_xlfn.XLOOKUP(A181&amp;B181&amp;C181,盘货信息!$A:$A&amp;盘货信息!$B:$B&amp;盘货信息!$C:$C,盘货信息!$F:$F)&amp;"元】","【焕新补贴预估价"&amp;_xlfn.XLOOKUP(A181&amp;B181&amp;C181,盘货信息!$A:$A&amp;盘货信息!$B:$B&amp;盘货信息!$C:$C,盘货信息!$N:$N)&amp;"元】"))</f>
        <v/>
      </c>
      <c r="F181" s="18" t="str">
        <f t="array" ref="F181">IF(C181="","",_xlfn.XLOOKUP(A181&amp;B181&amp;C181,盘货信息!$A:$A&amp;盘货信息!$B:$B&amp;盘货信息!$C:$C,盘货信息!$E:$E)&amp;"元到手价")</f>
        <v/>
      </c>
      <c r="G181" s="18" t="str">
        <f t="array" ref="G181">IF(C181="","",IF(_xlfn.XLOOKUP(A181&amp;B181&amp;C181,盘货信息!$A:$A&amp;盘货信息!$B:$B&amp;盘货信息!$C:$C,盘货信息!$I:$I)="","","88VIP95折"))</f>
        <v/>
      </c>
      <c r="H181" s="18" t="str">
        <f t="array" ref="H181">IF(C181="","",IF(_xlfn.XLOOKUP(A181&amp;B181&amp;C181,盘货信息!$A:$A&amp;盘货信息!$B:$B&amp;盘货信息!$C:$C,盘货信息!$J:$J)="","",_xlfn.XLOOKUP(A181&amp;B181&amp;C181,盘货信息!$A:$A&amp;盘货信息!$B:$B&amp;盘货信息!$C:$C,盘货信息!$J:$J)&amp;"元优惠卷"))</f>
        <v/>
      </c>
      <c r="I181" s="18" t="str">
        <f t="array" ref="I181">IF(C181="","",IF(_xlfn.XLOOKUP(A181&amp;B181&amp;C181,盘货信息!$A:$A&amp;盘货信息!$B:$B&amp;盘货信息!$C:$C,盘货信息!$R:$R)="","",_xlfn.XLOOKUP(A181&amp;B181&amp;C181,盘货信息!$A:$A&amp;盘货信息!$B:$B&amp;盘货信息!$C:$C,盘货信息!$R:$R)&amp;"元优惠卷"))</f>
        <v/>
      </c>
      <c r="J181" s="18" t="str">
        <f t="array" ref="J181">IF(C181="","",IF(_xlfn.XLOOKUP(A181&amp;B181&amp;C181,盘货信息!$A:$A&amp;盘货信息!$B:$B&amp;盘货信息!$C:$C,盘货信息!$K:$K)="","",IF(OR(_xlfn.XLOOKUP(A181&amp;B181&amp;C181,盘货信息!$A:$A&amp;盘货信息!$B:$B&amp;盘货信息!$C:$C,盘货信息!$G:$G)="参加",_xlfn.XLOOKUP(A181&amp;B181&amp;C181,盘货信息!$A:$A&amp;盘货信息!$B:$B&amp;盘货信息!$C:$C,盘货信息!$H:$H)="1（纯自补）"),_xlfn.XLOOKUP(A181&amp;B181&amp;C181,盘货信息!$A:$A&amp;盘货信息!$B:$B&amp;盘货信息!$C:$C,盘货信息!$K:$K)&amp;"元以旧换新（可无旧机换新）","")))</f>
        <v/>
      </c>
      <c r="K181" s="18" t="str">
        <f t="array" ref="K181">IF(C181="","",IF(_xlfn.XLOOKUP(A181&amp;B181&amp;C181,盘货信息!$A:$A&amp;盘货信息!$B:$B&amp;盘货信息!$C:$C,盘货信息!$L:$L)="","",_xlfn.XLOOKUP(A181&amp;B181&amp;C181,盘货信息!$A:$A&amp;盘货信息!$B:$B&amp;盘货信息!$C:$C,盘货信息!$L:$L)&amp;"元限时补贴"))</f>
        <v/>
      </c>
      <c r="L181" s="18" t="str">
        <f t="array" ref="L181">IF(C181="","",IF(_xlfn.XLOOKUP(A181&amp;B181&amp;C181,盘货信息!$A:$A&amp;盘货信息!$B:$B&amp;盘货信息!$C:$C,盘货信息!$M:$M)="","",_xlfn.XLOOKUP(A181&amp;B181&amp;C181,盘货信息!$A:$A&amp;盘货信息!$B:$B&amp;盘货信息!$C:$C,盘货信息!$M:$M)&amp;"元消费券"))</f>
        <v/>
      </c>
      <c r="M181" s="18" t="str">
        <f t="array" ref="M181">IF(C181="","",IF(_xlfn.XLOOKUP(A181&amp;B181&amp;C181,盘货信息!$A:$A&amp;盘货信息!$B:$B&amp;盘货信息!$C:$C,盘货信息!$G:$G)="不参加","","焕新补贴优惠【全民可用，不限地址】"))</f>
        <v/>
      </c>
    </row>
    <row r="182" customHeight="1" spans="1:13">
      <c r="A182" s="17" t="str">
        <f>IF(盘货信息!A182="","",盘货信息!A182)</f>
        <v/>
      </c>
      <c r="B182" s="17" t="str">
        <f>IF(盘货信息!B182="","",盘货信息!B182)</f>
        <v/>
      </c>
      <c r="C182" s="18" t="str">
        <f>IF(盘货信息!C182="","",盘货信息!C182)</f>
        <v/>
      </c>
      <c r="D182" s="18" t="str">
        <f t="shared" si="2"/>
        <v/>
      </c>
      <c r="E182" s="18" t="str">
        <f t="array" ref="E182">IF(C182="","",IF(_xlfn.XLOOKUP(A182&amp;B182&amp;C182,盘货信息!$A:$A&amp;盘货信息!$B:$B&amp;盘货信息!$C:$C,盘货信息!$N:$N)="","【立减到手价"&amp;_xlfn.XLOOKUP(A182&amp;B182&amp;C182,盘货信息!$A:$A&amp;盘货信息!$B:$B&amp;盘货信息!$C:$C,盘货信息!$F:$F)&amp;"元】","【焕新补贴预估价"&amp;_xlfn.XLOOKUP(A182&amp;B182&amp;C182,盘货信息!$A:$A&amp;盘货信息!$B:$B&amp;盘货信息!$C:$C,盘货信息!$N:$N)&amp;"元】"))</f>
        <v/>
      </c>
      <c r="F182" s="18" t="str">
        <f t="array" ref="F182">IF(C182="","",_xlfn.XLOOKUP(A182&amp;B182&amp;C182,盘货信息!$A:$A&amp;盘货信息!$B:$B&amp;盘货信息!$C:$C,盘货信息!$E:$E)&amp;"元到手价")</f>
        <v/>
      </c>
      <c r="G182" s="18" t="str">
        <f t="array" ref="G182">IF(C182="","",IF(_xlfn.XLOOKUP(A182&amp;B182&amp;C182,盘货信息!$A:$A&amp;盘货信息!$B:$B&amp;盘货信息!$C:$C,盘货信息!$I:$I)="","","88VIP95折"))</f>
        <v/>
      </c>
      <c r="H182" s="18" t="str">
        <f t="array" ref="H182">IF(C182="","",IF(_xlfn.XLOOKUP(A182&amp;B182&amp;C182,盘货信息!$A:$A&amp;盘货信息!$B:$B&amp;盘货信息!$C:$C,盘货信息!$J:$J)="","",_xlfn.XLOOKUP(A182&amp;B182&amp;C182,盘货信息!$A:$A&amp;盘货信息!$B:$B&amp;盘货信息!$C:$C,盘货信息!$J:$J)&amp;"元优惠卷"))</f>
        <v/>
      </c>
      <c r="I182" s="18" t="str">
        <f t="array" ref="I182">IF(C182="","",IF(_xlfn.XLOOKUP(A182&amp;B182&amp;C182,盘货信息!$A:$A&amp;盘货信息!$B:$B&amp;盘货信息!$C:$C,盘货信息!$R:$R)="","",_xlfn.XLOOKUP(A182&amp;B182&amp;C182,盘货信息!$A:$A&amp;盘货信息!$B:$B&amp;盘货信息!$C:$C,盘货信息!$R:$R)&amp;"元优惠卷"))</f>
        <v/>
      </c>
      <c r="J182" s="18" t="str">
        <f t="array" ref="J182">IF(C182="","",IF(_xlfn.XLOOKUP(A182&amp;B182&amp;C182,盘货信息!$A:$A&amp;盘货信息!$B:$B&amp;盘货信息!$C:$C,盘货信息!$K:$K)="","",IF(OR(_xlfn.XLOOKUP(A182&amp;B182&amp;C182,盘货信息!$A:$A&amp;盘货信息!$B:$B&amp;盘货信息!$C:$C,盘货信息!$G:$G)="参加",_xlfn.XLOOKUP(A182&amp;B182&amp;C182,盘货信息!$A:$A&amp;盘货信息!$B:$B&amp;盘货信息!$C:$C,盘货信息!$H:$H)="1（纯自补）"),_xlfn.XLOOKUP(A182&amp;B182&amp;C182,盘货信息!$A:$A&amp;盘货信息!$B:$B&amp;盘货信息!$C:$C,盘货信息!$K:$K)&amp;"元以旧换新（可无旧机换新）","")))</f>
        <v/>
      </c>
      <c r="K182" s="18" t="str">
        <f t="array" ref="K182">IF(C182="","",IF(_xlfn.XLOOKUP(A182&amp;B182&amp;C182,盘货信息!$A:$A&amp;盘货信息!$B:$B&amp;盘货信息!$C:$C,盘货信息!$L:$L)="","",_xlfn.XLOOKUP(A182&amp;B182&amp;C182,盘货信息!$A:$A&amp;盘货信息!$B:$B&amp;盘货信息!$C:$C,盘货信息!$L:$L)&amp;"元限时补贴"))</f>
        <v/>
      </c>
      <c r="L182" s="18" t="str">
        <f t="array" ref="L182">IF(C182="","",IF(_xlfn.XLOOKUP(A182&amp;B182&amp;C182,盘货信息!$A:$A&amp;盘货信息!$B:$B&amp;盘货信息!$C:$C,盘货信息!$M:$M)="","",_xlfn.XLOOKUP(A182&amp;B182&amp;C182,盘货信息!$A:$A&amp;盘货信息!$B:$B&amp;盘货信息!$C:$C,盘货信息!$M:$M)&amp;"元消费券"))</f>
        <v/>
      </c>
      <c r="M182" s="18" t="str">
        <f t="array" ref="M182">IF(C182="","",IF(_xlfn.XLOOKUP(A182&amp;B182&amp;C182,盘货信息!$A:$A&amp;盘货信息!$B:$B&amp;盘货信息!$C:$C,盘货信息!$G:$G)="不参加","","焕新补贴优惠【全民可用，不限地址】"))</f>
        <v/>
      </c>
    </row>
    <row r="183" customHeight="1" spans="1:13">
      <c r="A183" s="17" t="str">
        <f>IF(盘货信息!A183="","",盘货信息!A183)</f>
        <v/>
      </c>
      <c r="B183" s="17" t="str">
        <f>IF(盘货信息!B183="","",盘货信息!B183)</f>
        <v/>
      </c>
      <c r="C183" s="18" t="str">
        <f>IF(盘货信息!C183="","",盘货信息!C183)</f>
        <v/>
      </c>
      <c r="D183" s="18" t="str">
        <f t="shared" si="2"/>
        <v/>
      </c>
      <c r="E183" s="18" t="str">
        <f t="array" ref="E183">IF(C183="","",IF(_xlfn.XLOOKUP(A183&amp;B183&amp;C183,盘货信息!$A:$A&amp;盘货信息!$B:$B&amp;盘货信息!$C:$C,盘货信息!$N:$N)="","【立减到手价"&amp;_xlfn.XLOOKUP(A183&amp;B183&amp;C183,盘货信息!$A:$A&amp;盘货信息!$B:$B&amp;盘货信息!$C:$C,盘货信息!$F:$F)&amp;"元】","【焕新补贴预估价"&amp;_xlfn.XLOOKUP(A183&amp;B183&amp;C183,盘货信息!$A:$A&amp;盘货信息!$B:$B&amp;盘货信息!$C:$C,盘货信息!$N:$N)&amp;"元】"))</f>
        <v/>
      </c>
      <c r="F183" s="18" t="str">
        <f t="array" ref="F183">IF(C183="","",_xlfn.XLOOKUP(A183&amp;B183&amp;C183,盘货信息!$A:$A&amp;盘货信息!$B:$B&amp;盘货信息!$C:$C,盘货信息!$E:$E)&amp;"元到手价")</f>
        <v/>
      </c>
      <c r="G183" s="18" t="str">
        <f t="array" ref="G183">IF(C183="","",IF(_xlfn.XLOOKUP(A183&amp;B183&amp;C183,盘货信息!$A:$A&amp;盘货信息!$B:$B&amp;盘货信息!$C:$C,盘货信息!$I:$I)="","","88VIP95折"))</f>
        <v/>
      </c>
      <c r="H183" s="18" t="str">
        <f t="array" ref="H183">IF(C183="","",IF(_xlfn.XLOOKUP(A183&amp;B183&amp;C183,盘货信息!$A:$A&amp;盘货信息!$B:$B&amp;盘货信息!$C:$C,盘货信息!$J:$J)="","",_xlfn.XLOOKUP(A183&amp;B183&amp;C183,盘货信息!$A:$A&amp;盘货信息!$B:$B&amp;盘货信息!$C:$C,盘货信息!$J:$J)&amp;"元优惠卷"))</f>
        <v/>
      </c>
      <c r="I183" s="18" t="str">
        <f t="array" ref="I183">IF(C183="","",IF(_xlfn.XLOOKUP(A183&amp;B183&amp;C183,盘货信息!$A:$A&amp;盘货信息!$B:$B&amp;盘货信息!$C:$C,盘货信息!$R:$R)="","",_xlfn.XLOOKUP(A183&amp;B183&amp;C183,盘货信息!$A:$A&amp;盘货信息!$B:$B&amp;盘货信息!$C:$C,盘货信息!$R:$R)&amp;"元优惠卷"))</f>
        <v/>
      </c>
      <c r="J183" s="18" t="str">
        <f t="array" ref="J183">IF(C183="","",IF(_xlfn.XLOOKUP(A183&amp;B183&amp;C183,盘货信息!$A:$A&amp;盘货信息!$B:$B&amp;盘货信息!$C:$C,盘货信息!$K:$K)="","",IF(OR(_xlfn.XLOOKUP(A183&amp;B183&amp;C183,盘货信息!$A:$A&amp;盘货信息!$B:$B&amp;盘货信息!$C:$C,盘货信息!$G:$G)="参加",_xlfn.XLOOKUP(A183&amp;B183&amp;C183,盘货信息!$A:$A&amp;盘货信息!$B:$B&amp;盘货信息!$C:$C,盘货信息!$H:$H)="1（纯自补）"),_xlfn.XLOOKUP(A183&amp;B183&amp;C183,盘货信息!$A:$A&amp;盘货信息!$B:$B&amp;盘货信息!$C:$C,盘货信息!$K:$K)&amp;"元以旧换新（可无旧机换新）","")))</f>
        <v/>
      </c>
      <c r="K183" s="18" t="str">
        <f t="array" ref="K183">IF(C183="","",IF(_xlfn.XLOOKUP(A183&amp;B183&amp;C183,盘货信息!$A:$A&amp;盘货信息!$B:$B&amp;盘货信息!$C:$C,盘货信息!$L:$L)="","",_xlfn.XLOOKUP(A183&amp;B183&amp;C183,盘货信息!$A:$A&amp;盘货信息!$B:$B&amp;盘货信息!$C:$C,盘货信息!$L:$L)&amp;"元限时补贴"))</f>
        <v/>
      </c>
      <c r="L183" s="18" t="str">
        <f t="array" ref="L183">IF(C183="","",IF(_xlfn.XLOOKUP(A183&amp;B183&amp;C183,盘货信息!$A:$A&amp;盘货信息!$B:$B&amp;盘货信息!$C:$C,盘货信息!$M:$M)="","",_xlfn.XLOOKUP(A183&amp;B183&amp;C183,盘货信息!$A:$A&amp;盘货信息!$B:$B&amp;盘货信息!$C:$C,盘货信息!$M:$M)&amp;"元消费券"))</f>
        <v/>
      </c>
      <c r="M183" s="18" t="str">
        <f t="array" ref="M183">IF(C183="","",IF(_xlfn.XLOOKUP(A183&amp;B183&amp;C183,盘货信息!$A:$A&amp;盘货信息!$B:$B&amp;盘货信息!$C:$C,盘货信息!$G:$G)="不参加","","焕新补贴优惠【全民可用，不限地址】"))</f>
        <v/>
      </c>
    </row>
    <row r="184" customHeight="1" spans="1:13">
      <c r="A184" s="17" t="str">
        <f>IF(盘货信息!A184="","",盘货信息!A184)</f>
        <v/>
      </c>
      <c r="B184" s="17" t="str">
        <f>IF(盘货信息!B184="","",盘货信息!B184)</f>
        <v/>
      </c>
      <c r="C184" s="18" t="str">
        <f>IF(盘货信息!C184="","",盘货信息!C184)</f>
        <v/>
      </c>
      <c r="D184" s="18" t="str">
        <f t="shared" si="2"/>
        <v/>
      </c>
      <c r="E184" s="18" t="str">
        <f t="array" ref="E184">IF(C184="","",IF(_xlfn.XLOOKUP(A184&amp;B184&amp;C184,盘货信息!$A:$A&amp;盘货信息!$B:$B&amp;盘货信息!$C:$C,盘货信息!$N:$N)="","【立减到手价"&amp;_xlfn.XLOOKUP(A184&amp;B184&amp;C184,盘货信息!$A:$A&amp;盘货信息!$B:$B&amp;盘货信息!$C:$C,盘货信息!$F:$F)&amp;"元】","【焕新补贴预估价"&amp;_xlfn.XLOOKUP(A184&amp;B184&amp;C184,盘货信息!$A:$A&amp;盘货信息!$B:$B&amp;盘货信息!$C:$C,盘货信息!$N:$N)&amp;"元】"))</f>
        <v/>
      </c>
      <c r="F184" s="18" t="str">
        <f t="array" ref="F184">IF(C184="","",_xlfn.XLOOKUP(A184&amp;B184&amp;C184,盘货信息!$A:$A&amp;盘货信息!$B:$B&amp;盘货信息!$C:$C,盘货信息!$E:$E)&amp;"元到手价")</f>
        <v/>
      </c>
      <c r="G184" s="18" t="str">
        <f t="array" ref="G184">IF(C184="","",IF(_xlfn.XLOOKUP(A184&amp;B184&amp;C184,盘货信息!$A:$A&amp;盘货信息!$B:$B&amp;盘货信息!$C:$C,盘货信息!$I:$I)="","","88VIP95折"))</f>
        <v/>
      </c>
      <c r="H184" s="18" t="str">
        <f t="array" ref="H184">IF(C184="","",IF(_xlfn.XLOOKUP(A184&amp;B184&amp;C184,盘货信息!$A:$A&amp;盘货信息!$B:$B&amp;盘货信息!$C:$C,盘货信息!$J:$J)="","",_xlfn.XLOOKUP(A184&amp;B184&amp;C184,盘货信息!$A:$A&amp;盘货信息!$B:$B&amp;盘货信息!$C:$C,盘货信息!$J:$J)&amp;"元优惠卷"))</f>
        <v/>
      </c>
      <c r="I184" s="18" t="str">
        <f t="array" ref="I184">IF(C184="","",IF(_xlfn.XLOOKUP(A184&amp;B184&amp;C184,盘货信息!$A:$A&amp;盘货信息!$B:$B&amp;盘货信息!$C:$C,盘货信息!$R:$R)="","",_xlfn.XLOOKUP(A184&amp;B184&amp;C184,盘货信息!$A:$A&amp;盘货信息!$B:$B&amp;盘货信息!$C:$C,盘货信息!$R:$R)&amp;"元优惠卷"))</f>
        <v/>
      </c>
      <c r="J184" s="18" t="str">
        <f t="array" ref="J184">IF(C184="","",IF(_xlfn.XLOOKUP(A184&amp;B184&amp;C184,盘货信息!$A:$A&amp;盘货信息!$B:$B&amp;盘货信息!$C:$C,盘货信息!$K:$K)="","",IF(OR(_xlfn.XLOOKUP(A184&amp;B184&amp;C184,盘货信息!$A:$A&amp;盘货信息!$B:$B&amp;盘货信息!$C:$C,盘货信息!$G:$G)="参加",_xlfn.XLOOKUP(A184&amp;B184&amp;C184,盘货信息!$A:$A&amp;盘货信息!$B:$B&amp;盘货信息!$C:$C,盘货信息!$H:$H)="1（纯自补）"),_xlfn.XLOOKUP(A184&amp;B184&amp;C184,盘货信息!$A:$A&amp;盘货信息!$B:$B&amp;盘货信息!$C:$C,盘货信息!$K:$K)&amp;"元以旧换新（可无旧机换新）","")))</f>
        <v/>
      </c>
      <c r="K184" s="18" t="str">
        <f t="array" ref="K184">IF(C184="","",IF(_xlfn.XLOOKUP(A184&amp;B184&amp;C184,盘货信息!$A:$A&amp;盘货信息!$B:$B&amp;盘货信息!$C:$C,盘货信息!$L:$L)="","",_xlfn.XLOOKUP(A184&amp;B184&amp;C184,盘货信息!$A:$A&amp;盘货信息!$B:$B&amp;盘货信息!$C:$C,盘货信息!$L:$L)&amp;"元限时补贴"))</f>
        <v/>
      </c>
      <c r="L184" s="18" t="str">
        <f t="array" ref="L184">IF(C184="","",IF(_xlfn.XLOOKUP(A184&amp;B184&amp;C184,盘货信息!$A:$A&amp;盘货信息!$B:$B&amp;盘货信息!$C:$C,盘货信息!$M:$M)="","",_xlfn.XLOOKUP(A184&amp;B184&amp;C184,盘货信息!$A:$A&amp;盘货信息!$B:$B&amp;盘货信息!$C:$C,盘货信息!$M:$M)&amp;"元消费券"))</f>
        <v/>
      </c>
      <c r="M184" s="18" t="str">
        <f t="array" ref="M184">IF(C184="","",IF(_xlfn.XLOOKUP(A184&amp;B184&amp;C184,盘货信息!$A:$A&amp;盘货信息!$B:$B&amp;盘货信息!$C:$C,盘货信息!$G:$G)="不参加","","焕新补贴优惠【全民可用，不限地址】"))</f>
        <v/>
      </c>
    </row>
    <row r="185" customHeight="1" spans="1:13">
      <c r="A185" s="17" t="str">
        <f>IF(盘货信息!A185="","",盘货信息!A185)</f>
        <v/>
      </c>
      <c r="B185" s="17" t="str">
        <f>IF(盘货信息!B185="","",盘货信息!B185)</f>
        <v/>
      </c>
      <c r="C185" s="18" t="str">
        <f>IF(盘货信息!C185="","",盘货信息!C185)</f>
        <v/>
      </c>
      <c r="D185" s="18" t="str">
        <f t="shared" si="2"/>
        <v/>
      </c>
      <c r="E185" s="18" t="str">
        <f t="array" ref="E185">IF(C185="","",IF(_xlfn.XLOOKUP(A185&amp;B185&amp;C185,盘货信息!$A:$A&amp;盘货信息!$B:$B&amp;盘货信息!$C:$C,盘货信息!$N:$N)="","【立减到手价"&amp;_xlfn.XLOOKUP(A185&amp;B185&amp;C185,盘货信息!$A:$A&amp;盘货信息!$B:$B&amp;盘货信息!$C:$C,盘货信息!$F:$F)&amp;"元】","【焕新补贴预估价"&amp;_xlfn.XLOOKUP(A185&amp;B185&amp;C185,盘货信息!$A:$A&amp;盘货信息!$B:$B&amp;盘货信息!$C:$C,盘货信息!$N:$N)&amp;"元】"))</f>
        <v/>
      </c>
      <c r="F185" s="18" t="str">
        <f t="array" ref="F185">IF(C185="","",_xlfn.XLOOKUP(A185&amp;B185&amp;C185,盘货信息!$A:$A&amp;盘货信息!$B:$B&amp;盘货信息!$C:$C,盘货信息!$E:$E)&amp;"元到手价")</f>
        <v/>
      </c>
      <c r="G185" s="18" t="str">
        <f t="array" ref="G185">IF(C185="","",IF(_xlfn.XLOOKUP(A185&amp;B185&amp;C185,盘货信息!$A:$A&amp;盘货信息!$B:$B&amp;盘货信息!$C:$C,盘货信息!$I:$I)="","","88VIP95折"))</f>
        <v/>
      </c>
      <c r="H185" s="18" t="str">
        <f t="array" ref="H185">IF(C185="","",IF(_xlfn.XLOOKUP(A185&amp;B185&amp;C185,盘货信息!$A:$A&amp;盘货信息!$B:$B&amp;盘货信息!$C:$C,盘货信息!$J:$J)="","",_xlfn.XLOOKUP(A185&amp;B185&amp;C185,盘货信息!$A:$A&amp;盘货信息!$B:$B&amp;盘货信息!$C:$C,盘货信息!$J:$J)&amp;"元优惠卷"))</f>
        <v/>
      </c>
      <c r="I185" s="18" t="str">
        <f t="array" ref="I185">IF(C185="","",IF(_xlfn.XLOOKUP(A185&amp;B185&amp;C185,盘货信息!$A:$A&amp;盘货信息!$B:$B&amp;盘货信息!$C:$C,盘货信息!$R:$R)="","",_xlfn.XLOOKUP(A185&amp;B185&amp;C185,盘货信息!$A:$A&amp;盘货信息!$B:$B&amp;盘货信息!$C:$C,盘货信息!$R:$R)&amp;"元优惠卷"))</f>
        <v/>
      </c>
      <c r="J185" s="18" t="str">
        <f t="array" ref="J185">IF(C185="","",IF(_xlfn.XLOOKUP(A185&amp;B185&amp;C185,盘货信息!$A:$A&amp;盘货信息!$B:$B&amp;盘货信息!$C:$C,盘货信息!$K:$K)="","",IF(OR(_xlfn.XLOOKUP(A185&amp;B185&amp;C185,盘货信息!$A:$A&amp;盘货信息!$B:$B&amp;盘货信息!$C:$C,盘货信息!$G:$G)="参加",_xlfn.XLOOKUP(A185&amp;B185&amp;C185,盘货信息!$A:$A&amp;盘货信息!$B:$B&amp;盘货信息!$C:$C,盘货信息!$H:$H)="1（纯自补）"),_xlfn.XLOOKUP(A185&amp;B185&amp;C185,盘货信息!$A:$A&amp;盘货信息!$B:$B&amp;盘货信息!$C:$C,盘货信息!$K:$K)&amp;"元以旧换新（可无旧机换新）","")))</f>
        <v/>
      </c>
      <c r="K185" s="18" t="str">
        <f t="array" ref="K185">IF(C185="","",IF(_xlfn.XLOOKUP(A185&amp;B185&amp;C185,盘货信息!$A:$A&amp;盘货信息!$B:$B&amp;盘货信息!$C:$C,盘货信息!$L:$L)="","",_xlfn.XLOOKUP(A185&amp;B185&amp;C185,盘货信息!$A:$A&amp;盘货信息!$B:$B&amp;盘货信息!$C:$C,盘货信息!$L:$L)&amp;"元限时补贴"))</f>
        <v/>
      </c>
      <c r="L185" s="18" t="str">
        <f t="array" ref="L185">IF(C185="","",IF(_xlfn.XLOOKUP(A185&amp;B185&amp;C185,盘货信息!$A:$A&amp;盘货信息!$B:$B&amp;盘货信息!$C:$C,盘货信息!$M:$M)="","",_xlfn.XLOOKUP(A185&amp;B185&amp;C185,盘货信息!$A:$A&amp;盘货信息!$B:$B&amp;盘货信息!$C:$C,盘货信息!$M:$M)&amp;"元消费券"))</f>
        <v/>
      </c>
      <c r="M185" s="18" t="str">
        <f t="array" ref="M185">IF(C185="","",IF(_xlfn.XLOOKUP(A185&amp;B185&amp;C185,盘货信息!$A:$A&amp;盘货信息!$B:$B&amp;盘货信息!$C:$C,盘货信息!$G:$G)="不参加","","焕新补贴优惠【全民可用，不限地址】"))</f>
        <v/>
      </c>
    </row>
    <row r="186" customHeight="1" spans="1:13">
      <c r="A186" s="17" t="str">
        <f>IF(盘货信息!A186="","",盘货信息!A186)</f>
        <v/>
      </c>
      <c r="B186" s="17" t="str">
        <f>IF(盘货信息!B186="","",盘货信息!B186)</f>
        <v/>
      </c>
      <c r="C186" s="18" t="str">
        <f>IF(盘货信息!C186="","",盘货信息!C186)</f>
        <v/>
      </c>
      <c r="D186" s="18" t="str">
        <f t="shared" si="2"/>
        <v/>
      </c>
      <c r="E186" s="18" t="str">
        <f t="array" ref="E186">IF(C186="","",IF(_xlfn.XLOOKUP(A186&amp;B186&amp;C186,盘货信息!$A:$A&amp;盘货信息!$B:$B&amp;盘货信息!$C:$C,盘货信息!$N:$N)="","【立减到手价"&amp;_xlfn.XLOOKUP(A186&amp;B186&amp;C186,盘货信息!$A:$A&amp;盘货信息!$B:$B&amp;盘货信息!$C:$C,盘货信息!$F:$F)&amp;"元】","【焕新补贴预估价"&amp;_xlfn.XLOOKUP(A186&amp;B186&amp;C186,盘货信息!$A:$A&amp;盘货信息!$B:$B&amp;盘货信息!$C:$C,盘货信息!$N:$N)&amp;"元】"))</f>
        <v/>
      </c>
      <c r="F186" s="18" t="str">
        <f t="array" ref="F186">IF(C186="","",_xlfn.XLOOKUP(A186&amp;B186&amp;C186,盘货信息!$A:$A&amp;盘货信息!$B:$B&amp;盘货信息!$C:$C,盘货信息!$E:$E)&amp;"元到手价")</f>
        <v/>
      </c>
      <c r="G186" s="18" t="str">
        <f t="array" ref="G186">IF(C186="","",IF(_xlfn.XLOOKUP(A186&amp;B186&amp;C186,盘货信息!$A:$A&amp;盘货信息!$B:$B&amp;盘货信息!$C:$C,盘货信息!$I:$I)="","","88VIP95折"))</f>
        <v/>
      </c>
      <c r="H186" s="18" t="str">
        <f t="array" ref="H186">IF(C186="","",IF(_xlfn.XLOOKUP(A186&amp;B186&amp;C186,盘货信息!$A:$A&amp;盘货信息!$B:$B&amp;盘货信息!$C:$C,盘货信息!$J:$J)="","",_xlfn.XLOOKUP(A186&amp;B186&amp;C186,盘货信息!$A:$A&amp;盘货信息!$B:$B&amp;盘货信息!$C:$C,盘货信息!$J:$J)&amp;"元优惠卷"))</f>
        <v/>
      </c>
      <c r="I186" s="18" t="str">
        <f t="array" ref="I186">IF(C186="","",IF(_xlfn.XLOOKUP(A186&amp;B186&amp;C186,盘货信息!$A:$A&amp;盘货信息!$B:$B&amp;盘货信息!$C:$C,盘货信息!$R:$R)="","",_xlfn.XLOOKUP(A186&amp;B186&amp;C186,盘货信息!$A:$A&amp;盘货信息!$B:$B&amp;盘货信息!$C:$C,盘货信息!$R:$R)&amp;"元优惠卷"))</f>
        <v/>
      </c>
      <c r="J186" s="18" t="str">
        <f t="array" ref="J186">IF(C186="","",IF(_xlfn.XLOOKUP(A186&amp;B186&amp;C186,盘货信息!$A:$A&amp;盘货信息!$B:$B&amp;盘货信息!$C:$C,盘货信息!$K:$K)="","",IF(OR(_xlfn.XLOOKUP(A186&amp;B186&amp;C186,盘货信息!$A:$A&amp;盘货信息!$B:$B&amp;盘货信息!$C:$C,盘货信息!$G:$G)="参加",_xlfn.XLOOKUP(A186&amp;B186&amp;C186,盘货信息!$A:$A&amp;盘货信息!$B:$B&amp;盘货信息!$C:$C,盘货信息!$H:$H)="1（纯自补）"),_xlfn.XLOOKUP(A186&amp;B186&amp;C186,盘货信息!$A:$A&amp;盘货信息!$B:$B&amp;盘货信息!$C:$C,盘货信息!$K:$K)&amp;"元以旧换新（可无旧机换新）","")))</f>
        <v/>
      </c>
      <c r="K186" s="18" t="str">
        <f t="array" ref="K186">IF(C186="","",IF(_xlfn.XLOOKUP(A186&amp;B186&amp;C186,盘货信息!$A:$A&amp;盘货信息!$B:$B&amp;盘货信息!$C:$C,盘货信息!$L:$L)="","",_xlfn.XLOOKUP(A186&amp;B186&amp;C186,盘货信息!$A:$A&amp;盘货信息!$B:$B&amp;盘货信息!$C:$C,盘货信息!$L:$L)&amp;"元限时补贴"))</f>
        <v/>
      </c>
      <c r="L186" s="18" t="str">
        <f t="array" ref="L186">IF(C186="","",IF(_xlfn.XLOOKUP(A186&amp;B186&amp;C186,盘货信息!$A:$A&amp;盘货信息!$B:$B&amp;盘货信息!$C:$C,盘货信息!$M:$M)="","",_xlfn.XLOOKUP(A186&amp;B186&amp;C186,盘货信息!$A:$A&amp;盘货信息!$B:$B&amp;盘货信息!$C:$C,盘货信息!$M:$M)&amp;"元消费券"))</f>
        <v/>
      </c>
      <c r="M186" s="18" t="str">
        <f t="array" ref="M186">IF(C186="","",IF(_xlfn.XLOOKUP(A186&amp;B186&amp;C186,盘货信息!$A:$A&amp;盘货信息!$B:$B&amp;盘货信息!$C:$C,盘货信息!$G:$G)="不参加","","焕新补贴优惠【全民可用，不限地址】"))</f>
        <v/>
      </c>
    </row>
    <row r="187" customHeight="1" spans="1:13">
      <c r="A187" s="17" t="str">
        <f>IF(盘货信息!A187="","",盘货信息!A187)</f>
        <v/>
      </c>
      <c r="B187" s="17" t="str">
        <f>IF(盘货信息!B187="","",盘货信息!B187)</f>
        <v/>
      </c>
      <c r="C187" s="18" t="str">
        <f>IF(盘货信息!C187="","",盘货信息!C187)</f>
        <v/>
      </c>
      <c r="D187" s="18" t="str">
        <f t="shared" si="2"/>
        <v/>
      </c>
      <c r="E187" s="18" t="str">
        <f t="array" ref="E187">IF(C187="","",IF(_xlfn.XLOOKUP(A187&amp;B187&amp;C187,盘货信息!$A:$A&amp;盘货信息!$B:$B&amp;盘货信息!$C:$C,盘货信息!$N:$N)="","【立减到手价"&amp;_xlfn.XLOOKUP(A187&amp;B187&amp;C187,盘货信息!$A:$A&amp;盘货信息!$B:$B&amp;盘货信息!$C:$C,盘货信息!$F:$F)&amp;"元】","【焕新补贴预估价"&amp;_xlfn.XLOOKUP(A187&amp;B187&amp;C187,盘货信息!$A:$A&amp;盘货信息!$B:$B&amp;盘货信息!$C:$C,盘货信息!$N:$N)&amp;"元】"))</f>
        <v/>
      </c>
      <c r="F187" s="18" t="str">
        <f t="array" ref="F187">IF(C187="","",_xlfn.XLOOKUP(A187&amp;B187&amp;C187,盘货信息!$A:$A&amp;盘货信息!$B:$B&amp;盘货信息!$C:$C,盘货信息!$E:$E)&amp;"元到手价")</f>
        <v/>
      </c>
      <c r="G187" s="18" t="str">
        <f t="array" ref="G187">IF(C187="","",IF(_xlfn.XLOOKUP(A187&amp;B187&amp;C187,盘货信息!$A:$A&amp;盘货信息!$B:$B&amp;盘货信息!$C:$C,盘货信息!$I:$I)="","","88VIP95折"))</f>
        <v/>
      </c>
      <c r="H187" s="18" t="str">
        <f t="array" ref="H187">IF(C187="","",IF(_xlfn.XLOOKUP(A187&amp;B187&amp;C187,盘货信息!$A:$A&amp;盘货信息!$B:$B&amp;盘货信息!$C:$C,盘货信息!$J:$J)="","",_xlfn.XLOOKUP(A187&amp;B187&amp;C187,盘货信息!$A:$A&amp;盘货信息!$B:$B&amp;盘货信息!$C:$C,盘货信息!$J:$J)&amp;"元优惠卷"))</f>
        <v/>
      </c>
      <c r="I187" s="18" t="str">
        <f t="array" ref="I187">IF(C187="","",IF(_xlfn.XLOOKUP(A187&amp;B187&amp;C187,盘货信息!$A:$A&amp;盘货信息!$B:$B&amp;盘货信息!$C:$C,盘货信息!$R:$R)="","",_xlfn.XLOOKUP(A187&amp;B187&amp;C187,盘货信息!$A:$A&amp;盘货信息!$B:$B&amp;盘货信息!$C:$C,盘货信息!$R:$R)&amp;"元优惠卷"))</f>
        <v/>
      </c>
      <c r="J187" s="18" t="str">
        <f t="array" ref="J187">IF(C187="","",IF(_xlfn.XLOOKUP(A187&amp;B187&amp;C187,盘货信息!$A:$A&amp;盘货信息!$B:$B&amp;盘货信息!$C:$C,盘货信息!$K:$K)="","",IF(OR(_xlfn.XLOOKUP(A187&amp;B187&amp;C187,盘货信息!$A:$A&amp;盘货信息!$B:$B&amp;盘货信息!$C:$C,盘货信息!$G:$G)="参加",_xlfn.XLOOKUP(A187&amp;B187&amp;C187,盘货信息!$A:$A&amp;盘货信息!$B:$B&amp;盘货信息!$C:$C,盘货信息!$H:$H)="1（纯自补）"),_xlfn.XLOOKUP(A187&amp;B187&amp;C187,盘货信息!$A:$A&amp;盘货信息!$B:$B&amp;盘货信息!$C:$C,盘货信息!$K:$K)&amp;"元以旧换新（可无旧机换新）","")))</f>
        <v/>
      </c>
      <c r="K187" s="18" t="str">
        <f t="array" ref="K187">IF(C187="","",IF(_xlfn.XLOOKUP(A187&amp;B187&amp;C187,盘货信息!$A:$A&amp;盘货信息!$B:$B&amp;盘货信息!$C:$C,盘货信息!$L:$L)="","",_xlfn.XLOOKUP(A187&amp;B187&amp;C187,盘货信息!$A:$A&amp;盘货信息!$B:$B&amp;盘货信息!$C:$C,盘货信息!$L:$L)&amp;"元限时补贴"))</f>
        <v/>
      </c>
      <c r="L187" s="18" t="str">
        <f t="array" ref="L187">IF(C187="","",IF(_xlfn.XLOOKUP(A187&amp;B187&amp;C187,盘货信息!$A:$A&amp;盘货信息!$B:$B&amp;盘货信息!$C:$C,盘货信息!$M:$M)="","",_xlfn.XLOOKUP(A187&amp;B187&amp;C187,盘货信息!$A:$A&amp;盘货信息!$B:$B&amp;盘货信息!$C:$C,盘货信息!$M:$M)&amp;"元消费券"))</f>
        <v/>
      </c>
      <c r="M187" s="18" t="str">
        <f t="array" ref="M187">IF(C187="","",IF(_xlfn.XLOOKUP(A187&amp;B187&amp;C187,盘货信息!$A:$A&amp;盘货信息!$B:$B&amp;盘货信息!$C:$C,盘货信息!$G:$G)="不参加","","焕新补贴优惠【全民可用，不限地址】"))</f>
        <v/>
      </c>
    </row>
    <row r="188" customHeight="1" spans="1:13">
      <c r="A188" s="17" t="str">
        <f>IF(盘货信息!A188="","",盘货信息!A188)</f>
        <v/>
      </c>
      <c r="B188" s="17" t="str">
        <f>IF(盘货信息!B188="","",盘货信息!B188)</f>
        <v/>
      </c>
      <c r="C188" s="18" t="str">
        <f>IF(盘货信息!C188="","",盘货信息!C188)</f>
        <v/>
      </c>
      <c r="D188" s="18" t="str">
        <f t="shared" si="2"/>
        <v/>
      </c>
      <c r="E188" s="18" t="str">
        <f t="array" ref="E188">IF(C188="","",IF(_xlfn.XLOOKUP(A188&amp;B188&amp;C188,盘货信息!$A:$A&amp;盘货信息!$B:$B&amp;盘货信息!$C:$C,盘货信息!$N:$N)="","【立减到手价"&amp;_xlfn.XLOOKUP(A188&amp;B188&amp;C188,盘货信息!$A:$A&amp;盘货信息!$B:$B&amp;盘货信息!$C:$C,盘货信息!$F:$F)&amp;"元】","【焕新补贴预估价"&amp;_xlfn.XLOOKUP(A188&amp;B188&amp;C188,盘货信息!$A:$A&amp;盘货信息!$B:$B&amp;盘货信息!$C:$C,盘货信息!$N:$N)&amp;"元】"))</f>
        <v/>
      </c>
      <c r="F188" s="18" t="str">
        <f t="array" ref="F188">IF(C188="","",_xlfn.XLOOKUP(A188&amp;B188&amp;C188,盘货信息!$A:$A&amp;盘货信息!$B:$B&amp;盘货信息!$C:$C,盘货信息!$E:$E)&amp;"元到手价")</f>
        <v/>
      </c>
      <c r="G188" s="18" t="str">
        <f t="array" ref="G188">IF(C188="","",IF(_xlfn.XLOOKUP(A188&amp;B188&amp;C188,盘货信息!$A:$A&amp;盘货信息!$B:$B&amp;盘货信息!$C:$C,盘货信息!$I:$I)="","","88VIP95折"))</f>
        <v/>
      </c>
      <c r="H188" s="18" t="str">
        <f t="array" ref="H188">IF(C188="","",IF(_xlfn.XLOOKUP(A188&amp;B188&amp;C188,盘货信息!$A:$A&amp;盘货信息!$B:$B&amp;盘货信息!$C:$C,盘货信息!$J:$J)="","",_xlfn.XLOOKUP(A188&amp;B188&amp;C188,盘货信息!$A:$A&amp;盘货信息!$B:$B&amp;盘货信息!$C:$C,盘货信息!$J:$J)&amp;"元优惠卷"))</f>
        <v/>
      </c>
      <c r="I188" s="18" t="str">
        <f t="array" ref="I188">IF(C188="","",IF(_xlfn.XLOOKUP(A188&amp;B188&amp;C188,盘货信息!$A:$A&amp;盘货信息!$B:$B&amp;盘货信息!$C:$C,盘货信息!$R:$R)="","",_xlfn.XLOOKUP(A188&amp;B188&amp;C188,盘货信息!$A:$A&amp;盘货信息!$B:$B&amp;盘货信息!$C:$C,盘货信息!$R:$R)&amp;"元优惠卷"))</f>
        <v/>
      </c>
      <c r="J188" s="18" t="str">
        <f t="array" ref="J188">IF(C188="","",IF(_xlfn.XLOOKUP(A188&amp;B188&amp;C188,盘货信息!$A:$A&amp;盘货信息!$B:$B&amp;盘货信息!$C:$C,盘货信息!$K:$K)="","",IF(OR(_xlfn.XLOOKUP(A188&amp;B188&amp;C188,盘货信息!$A:$A&amp;盘货信息!$B:$B&amp;盘货信息!$C:$C,盘货信息!$G:$G)="参加",_xlfn.XLOOKUP(A188&amp;B188&amp;C188,盘货信息!$A:$A&amp;盘货信息!$B:$B&amp;盘货信息!$C:$C,盘货信息!$H:$H)="1（纯自补）"),_xlfn.XLOOKUP(A188&amp;B188&amp;C188,盘货信息!$A:$A&amp;盘货信息!$B:$B&amp;盘货信息!$C:$C,盘货信息!$K:$K)&amp;"元以旧换新（可无旧机换新）","")))</f>
        <v/>
      </c>
      <c r="K188" s="18" t="str">
        <f t="array" ref="K188">IF(C188="","",IF(_xlfn.XLOOKUP(A188&amp;B188&amp;C188,盘货信息!$A:$A&amp;盘货信息!$B:$B&amp;盘货信息!$C:$C,盘货信息!$L:$L)="","",_xlfn.XLOOKUP(A188&amp;B188&amp;C188,盘货信息!$A:$A&amp;盘货信息!$B:$B&amp;盘货信息!$C:$C,盘货信息!$L:$L)&amp;"元限时补贴"))</f>
        <v/>
      </c>
      <c r="L188" s="18" t="str">
        <f t="array" ref="L188">IF(C188="","",IF(_xlfn.XLOOKUP(A188&amp;B188&amp;C188,盘货信息!$A:$A&amp;盘货信息!$B:$B&amp;盘货信息!$C:$C,盘货信息!$M:$M)="","",_xlfn.XLOOKUP(A188&amp;B188&amp;C188,盘货信息!$A:$A&amp;盘货信息!$B:$B&amp;盘货信息!$C:$C,盘货信息!$M:$M)&amp;"元消费券"))</f>
        <v/>
      </c>
      <c r="M188" s="18" t="str">
        <f t="array" ref="M188">IF(C188="","",IF(_xlfn.XLOOKUP(A188&amp;B188&amp;C188,盘货信息!$A:$A&amp;盘货信息!$B:$B&amp;盘货信息!$C:$C,盘货信息!$G:$G)="不参加","","焕新补贴优惠【全民可用，不限地址】"))</f>
        <v/>
      </c>
    </row>
    <row r="189" customHeight="1" spans="1:13">
      <c r="A189" s="17" t="str">
        <f>IF(盘货信息!A189="","",盘货信息!A189)</f>
        <v/>
      </c>
      <c r="B189" s="17" t="str">
        <f>IF(盘货信息!B189="","",盘货信息!B189)</f>
        <v/>
      </c>
      <c r="C189" s="18" t="str">
        <f>IF(盘货信息!C189="","",盘货信息!C189)</f>
        <v/>
      </c>
      <c r="D189" s="18" t="str">
        <f t="shared" si="2"/>
        <v/>
      </c>
      <c r="E189" s="18" t="str">
        <f t="array" ref="E189">IF(C189="","",IF(_xlfn.XLOOKUP(A189&amp;B189&amp;C189,盘货信息!$A:$A&amp;盘货信息!$B:$B&amp;盘货信息!$C:$C,盘货信息!$N:$N)="","【立减到手价"&amp;_xlfn.XLOOKUP(A189&amp;B189&amp;C189,盘货信息!$A:$A&amp;盘货信息!$B:$B&amp;盘货信息!$C:$C,盘货信息!$F:$F)&amp;"元】","【焕新补贴预估价"&amp;_xlfn.XLOOKUP(A189&amp;B189&amp;C189,盘货信息!$A:$A&amp;盘货信息!$B:$B&amp;盘货信息!$C:$C,盘货信息!$N:$N)&amp;"元】"))</f>
        <v/>
      </c>
      <c r="F189" s="18" t="str">
        <f t="array" ref="F189">IF(C189="","",_xlfn.XLOOKUP(A189&amp;B189&amp;C189,盘货信息!$A:$A&amp;盘货信息!$B:$B&amp;盘货信息!$C:$C,盘货信息!$E:$E)&amp;"元到手价")</f>
        <v/>
      </c>
      <c r="G189" s="18" t="str">
        <f t="array" ref="G189">IF(C189="","",IF(_xlfn.XLOOKUP(A189&amp;B189&amp;C189,盘货信息!$A:$A&amp;盘货信息!$B:$B&amp;盘货信息!$C:$C,盘货信息!$I:$I)="","","88VIP95折"))</f>
        <v/>
      </c>
      <c r="H189" s="18" t="str">
        <f t="array" ref="H189">IF(C189="","",IF(_xlfn.XLOOKUP(A189&amp;B189&amp;C189,盘货信息!$A:$A&amp;盘货信息!$B:$B&amp;盘货信息!$C:$C,盘货信息!$J:$J)="","",_xlfn.XLOOKUP(A189&amp;B189&amp;C189,盘货信息!$A:$A&amp;盘货信息!$B:$B&amp;盘货信息!$C:$C,盘货信息!$J:$J)&amp;"元优惠卷"))</f>
        <v/>
      </c>
      <c r="I189" s="18" t="str">
        <f t="array" ref="I189">IF(C189="","",IF(_xlfn.XLOOKUP(A189&amp;B189&amp;C189,盘货信息!$A:$A&amp;盘货信息!$B:$B&amp;盘货信息!$C:$C,盘货信息!$R:$R)="","",_xlfn.XLOOKUP(A189&amp;B189&amp;C189,盘货信息!$A:$A&amp;盘货信息!$B:$B&amp;盘货信息!$C:$C,盘货信息!$R:$R)&amp;"元优惠卷"))</f>
        <v/>
      </c>
      <c r="J189" s="18" t="str">
        <f t="array" ref="J189">IF(C189="","",IF(_xlfn.XLOOKUP(A189&amp;B189&amp;C189,盘货信息!$A:$A&amp;盘货信息!$B:$B&amp;盘货信息!$C:$C,盘货信息!$K:$K)="","",IF(OR(_xlfn.XLOOKUP(A189&amp;B189&amp;C189,盘货信息!$A:$A&amp;盘货信息!$B:$B&amp;盘货信息!$C:$C,盘货信息!$G:$G)="参加",_xlfn.XLOOKUP(A189&amp;B189&amp;C189,盘货信息!$A:$A&amp;盘货信息!$B:$B&amp;盘货信息!$C:$C,盘货信息!$H:$H)="1（纯自补）"),_xlfn.XLOOKUP(A189&amp;B189&amp;C189,盘货信息!$A:$A&amp;盘货信息!$B:$B&amp;盘货信息!$C:$C,盘货信息!$K:$K)&amp;"元以旧换新（可无旧机换新）","")))</f>
        <v/>
      </c>
      <c r="K189" s="18" t="str">
        <f t="array" ref="K189">IF(C189="","",IF(_xlfn.XLOOKUP(A189&amp;B189&amp;C189,盘货信息!$A:$A&amp;盘货信息!$B:$B&amp;盘货信息!$C:$C,盘货信息!$L:$L)="","",_xlfn.XLOOKUP(A189&amp;B189&amp;C189,盘货信息!$A:$A&amp;盘货信息!$B:$B&amp;盘货信息!$C:$C,盘货信息!$L:$L)&amp;"元限时补贴"))</f>
        <v/>
      </c>
      <c r="L189" s="18" t="str">
        <f t="array" ref="L189">IF(C189="","",IF(_xlfn.XLOOKUP(A189&amp;B189&amp;C189,盘货信息!$A:$A&amp;盘货信息!$B:$B&amp;盘货信息!$C:$C,盘货信息!$M:$M)="","",_xlfn.XLOOKUP(A189&amp;B189&amp;C189,盘货信息!$A:$A&amp;盘货信息!$B:$B&amp;盘货信息!$C:$C,盘货信息!$M:$M)&amp;"元消费券"))</f>
        <v/>
      </c>
      <c r="M189" s="18" t="str">
        <f t="array" ref="M189">IF(C189="","",IF(_xlfn.XLOOKUP(A189&amp;B189&amp;C189,盘货信息!$A:$A&amp;盘货信息!$B:$B&amp;盘货信息!$C:$C,盘货信息!$G:$G)="不参加","","焕新补贴优惠【全民可用，不限地址】"))</f>
        <v/>
      </c>
    </row>
    <row r="190" customHeight="1" spans="1:13">
      <c r="A190" s="17" t="str">
        <f>IF(盘货信息!A190="","",盘货信息!A190)</f>
        <v/>
      </c>
      <c r="B190" s="17" t="str">
        <f>IF(盘货信息!B190="","",盘货信息!B190)</f>
        <v/>
      </c>
      <c r="C190" s="18" t="str">
        <f>IF(盘货信息!C190="","",盘货信息!C190)</f>
        <v/>
      </c>
      <c r="D190" s="18" t="str">
        <f t="shared" si="2"/>
        <v/>
      </c>
      <c r="E190" s="18" t="str">
        <f t="array" ref="E190">IF(C190="","",IF(_xlfn.XLOOKUP(A190&amp;B190&amp;C190,盘货信息!$A:$A&amp;盘货信息!$B:$B&amp;盘货信息!$C:$C,盘货信息!$N:$N)="","【立减到手价"&amp;_xlfn.XLOOKUP(A190&amp;B190&amp;C190,盘货信息!$A:$A&amp;盘货信息!$B:$B&amp;盘货信息!$C:$C,盘货信息!$F:$F)&amp;"元】","【焕新补贴预估价"&amp;_xlfn.XLOOKUP(A190&amp;B190&amp;C190,盘货信息!$A:$A&amp;盘货信息!$B:$B&amp;盘货信息!$C:$C,盘货信息!$N:$N)&amp;"元】"))</f>
        <v/>
      </c>
      <c r="F190" s="18" t="str">
        <f t="array" ref="F190">IF(C190="","",_xlfn.XLOOKUP(A190&amp;B190&amp;C190,盘货信息!$A:$A&amp;盘货信息!$B:$B&amp;盘货信息!$C:$C,盘货信息!$E:$E)&amp;"元到手价")</f>
        <v/>
      </c>
      <c r="G190" s="18" t="str">
        <f t="array" ref="G190">IF(C190="","",IF(_xlfn.XLOOKUP(A190&amp;B190&amp;C190,盘货信息!$A:$A&amp;盘货信息!$B:$B&amp;盘货信息!$C:$C,盘货信息!$I:$I)="","","88VIP95折"))</f>
        <v/>
      </c>
      <c r="H190" s="18" t="str">
        <f t="array" ref="H190">IF(C190="","",IF(_xlfn.XLOOKUP(A190&amp;B190&amp;C190,盘货信息!$A:$A&amp;盘货信息!$B:$B&amp;盘货信息!$C:$C,盘货信息!$J:$J)="","",_xlfn.XLOOKUP(A190&amp;B190&amp;C190,盘货信息!$A:$A&amp;盘货信息!$B:$B&amp;盘货信息!$C:$C,盘货信息!$J:$J)&amp;"元优惠卷"))</f>
        <v/>
      </c>
      <c r="I190" s="18" t="str">
        <f t="array" ref="I190">IF(C190="","",IF(_xlfn.XLOOKUP(A190&amp;B190&amp;C190,盘货信息!$A:$A&amp;盘货信息!$B:$B&amp;盘货信息!$C:$C,盘货信息!$R:$R)="","",_xlfn.XLOOKUP(A190&amp;B190&amp;C190,盘货信息!$A:$A&amp;盘货信息!$B:$B&amp;盘货信息!$C:$C,盘货信息!$R:$R)&amp;"元优惠卷"))</f>
        <v/>
      </c>
      <c r="J190" s="18" t="str">
        <f t="array" ref="J190">IF(C190="","",IF(_xlfn.XLOOKUP(A190&amp;B190&amp;C190,盘货信息!$A:$A&amp;盘货信息!$B:$B&amp;盘货信息!$C:$C,盘货信息!$K:$K)="","",IF(OR(_xlfn.XLOOKUP(A190&amp;B190&amp;C190,盘货信息!$A:$A&amp;盘货信息!$B:$B&amp;盘货信息!$C:$C,盘货信息!$G:$G)="参加",_xlfn.XLOOKUP(A190&amp;B190&amp;C190,盘货信息!$A:$A&amp;盘货信息!$B:$B&amp;盘货信息!$C:$C,盘货信息!$H:$H)="1（纯自补）"),_xlfn.XLOOKUP(A190&amp;B190&amp;C190,盘货信息!$A:$A&amp;盘货信息!$B:$B&amp;盘货信息!$C:$C,盘货信息!$K:$K)&amp;"元以旧换新（可无旧机换新）","")))</f>
        <v/>
      </c>
      <c r="K190" s="18" t="str">
        <f t="array" ref="K190">IF(C190="","",IF(_xlfn.XLOOKUP(A190&amp;B190&amp;C190,盘货信息!$A:$A&amp;盘货信息!$B:$B&amp;盘货信息!$C:$C,盘货信息!$L:$L)="","",_xlfn.XLOOKUP(A190&amp;B190&amp;C190,盘货信息!$A:$A&amp;盘货信息!$B:$B&amp;盘货信息!$C:$C,盘货信息!$L:$L)&amp;"元限时补贴"))</f>
        <v/>
      </c>
      <c r="L190" s="18" t="str">
        <f t="array" ref="L190">IF(C190="","",IF(_xlfn.XLOOKUP(A190&amp;B190&amp;C190,盘货信息!$A:$A&amp;盘货信息!$B:$B&amp;盘货信息!$C:$C,盘货信息!$M:$M)="","",_xlfn.XLOOKUP(A190&amp;B190&amp;C190,盘货信息!$A:$A&amp;盘货信息!$B:$B&amp;盘货信息!$C:$C,盘货信息!$M:$M)&amp;"元消费券"))</f>
        <v/>
      </c>
      <c r="M190" s="18" t="str">
        <f t="array" ref="M190">IF(C190="","",IF(_xlfn.XLOOKUP(A190&amp;B190&amp;C190,盘货信息!$A:$A&amp;盘货信息!$B:$B&amp;盘货信息!$C:$C,盘货信息!$G:$G)="不参加","","焕新补贴优惠【全民可用，不限地址】"))</f>
        <v/>
      </c>
    </row>
    <row r="191" customHeight="1" spans="1:13">
      <c r="A191" s="17" t="str">
        <f>IF(盘货信息!A191="","",盘货信息!A191)</f>
        <v/>
      </c>
      <c r="B191" s="17" t="str">
        <f>IF(盘货信息!B191="","",盘货信息!B191)</f>
        <v/>
      </c>
      <c r="C191" s="18" t="str">
        <f>IF(盘货信息!C191="","",盘货信息!C191)</f>
        <v/>
      </c>
      <c r="D191" s="18" t="str">
        <f t="shared" si="2"/>
        <v/>
      </c>
      <c r="E191" s="18" t="str">
        <f t="array" ref="E191">IF(C191="","",IF(_xlfn.XLOOKUP(A191&amp;B191&amp;C191,盘货信息!$A:$A&amp;盘货信息!$B:$B&amp;盘货信息!$C:$C,盘货信息!$N:$N)="","【立减到手价"&amp;_xlfn.XLOOKUP(A191&amp;B191&amp;C191,盘货信息!$A:$A&amp;盘货信息!$B:$B&amp;盘货信息!$C:$C,盘货信息!$F:$F)&amp;"元】","【焕新补贴预估价"&amp;_xlfn.XLOOKUP(A191&amp;B191&amp;C191,盘货信息!$A:$A&amp;盘货信息!$B:$B&amp;盘货信息!$C:$C,盘货信息!$N:$N)&amp;"元】"))</f>
        <v/>
      </c>
      <c r="F191" s="18" t="str">
        <f t="array" ref="F191">IF(C191="","",_xlfn.XLOOKUP(A191&amp;B191&amp;C191,盘货信息!$A:$A&amp;盘货信息!$B:$B&amp;盘货信息!$C:$C,盘货信息!$E:$E)&amp;"元到手价")</f>
        <v/>
      </c>
      <c r="G191" s="18" t="str">
        <f t="array" ref="G191">IF(C191="","",IF(_xlfn.XLOOKUP(A191&amp;B191&amp;C191,盘货信息!$A:$A&amp;盘货信息!$B:$B&amp;盘货信息!$C:$C,盘货信息!$I:$I)="","","88VIP95折"))</f>
        <v/>
      </c>
      <c r="H191" s="18" t="str">
        <f t="array" ref="H191">IF(C191="","",IF(_xlfn.XLOOKUP(A191&amp;B191&amp;C191,盘货信息!$A:$A&amp;盘货信息!$B:$B&amp;盘货信息!$C:$C,盘货信息!$J:$J)="","",_xlfn.XLOOKUP(A191&amp;B191&amp;C191,盘货信息!$A:$A&amp;盘货信息!$B:$B&amp;盘货信息!$C:$C,盘货信息!$J:$J)&amp;"元优惠卷"))</f>
        <v/>
      </c>
      <c r="I191" s="18" t="str">
        <f t="array" ref="I191">IF(C191="","",IF(_xlfn.XLOOKUP(A191&amp;B191&amp;C191,盘货信息!$A:$A&amp;盘货信息!$B:$B&amp;盘货信息!$C:$C,盘货信息!$R:$R)="","",_xlfn.XLOOKUP(A191&amp;B191&amp;C191,盘货信息!$A:$A&amp;盘货信息!$B:$B&amp;盘货信息!$C:$C,盘货信息!$R:$R)&amp;"元优惠卷"))</f>
        <v/>
      </c>
      <c r="J191" s="18" t="str">
        <f t="array" ref="J191">IF(C191="","",IF(_xlfn.XLOOKUP(A191&amp;B191&amp;C191,盘货信息!$A:$A&amp;盘货信息!$B:$B&amp;盘货信息!$C:$C,盘货信息!$K:$K)="","",IF(OR(_xlfn.XLOOKUP(A191&amp;B191&amp;C191,盘货信息!$A:$A&amp;盘货信息!$B:$B&amp;盘货信息!$C:$C,盘货信息!$G:$G)="参加",_xlfn.XLOOKUP(A191&amp;B191&amp;C191,盘货信息!$A:$A&amp;盘货信息!$B:$B&amp;盘货信息!$C:$C,盘货信息!$H:$H)="1（纯自补）"),_xlfn.XLOOKUP(A191&amp;B191&amp;C191,盘货信息!$A:$A&amp;盘货信息!$B:$B&amp;盘货信息!$C:$C,盘货信息!$K:$K)&amp;"元以旧换新（可无旧机换新）","")))</f>
        <v/>
      </c>
      <c r="K191" s="18" t="str">
        <f t="array" ref="K191">IF(C191="","",IF(_xlfn.XLOOKUP(A191&amp;B191&amp;C191,盘货信息!$A:$A&amp;盘货信息!$B:$B&amp;盘货信息!$C:$C,盘货信息!$L:$L)="","",_xlfn.XLOOKUP(A191&amp;B191&amp;C191,盘货信息!$A:$A&amp;盘货信息!$B:$B&amp;盘货信息!$C:$C,盘货信息!$L:$L)&amp;"元限时补贴"))</f>
        <v/>
      </c>
      <c r="L191" s="18" t="str">
        <f t="array" ref="L191">IF(C191="","",IF(_xlfn.XLOOKUP(A191&amp;B191&amp;C191,盘货信息!$A:$A&amp;盘货信息!$B:$B&amp;盘货信息!$C:$C,盘货信息!$M:$M)="","",_xlfn.XLOOKUP(A191&amp;B191&amp;C191,盘货信息!$A:$A&amp;盘货信息!$B:$B&amp;盘货信息!$C:$C,盘货信息!$M:$M)&amp;"元消费券"))</f>
        <v/>
      </c>
      <c r="M191" s="18" t="str">
        <f t="array" ref="M191">IF(C191="","",IF(_xlfn.XLOOKUP(A191&amp;B191&amp;C191,盘货信息!$A:$A&amp;盘货信息!$B:$B&amp;盘货信息!$C:$C,盘货信息!$G:$G)="不参加","","焕新补贴优惠【全民可用，不限地址】"))</f>
        <v/>
      </c>
    </row>
    <row r="192" customHeight="1" spans="1:13">
      <c r="A192" s="17" t="str">
        <f>IF(盘货信息!A192="","",盘货信息!A192)</f>
        <v/>
      </c>
      <c r="B192" s="17" t="str">
        <f>IF(盘货信息!B192="","",盘货信息!B192)</f>
        <v/>
      </c>
      <c r="C192" s="18" t="str">
        <f>IF(盘货信息!C192="","",盘货信息!C192)</f>
        <v/>
      </c>
      <c r="D192" s="18" t="str">
        <f t="shared" si="2"/>
        <v/>
      </c>
      <c r="E192" s="18" t="str">
        <f t="array" ref="E192">IF(C192="","",IF(_xlfn.XLOOKUP(A192&amp;B192&amp;C192,盘货信息!$A:$A&amp;盘货信息!$B:$B&amp;盘货信息!$C:$C,盘货信息!$N:$N)="","【立减到手价"&amp;_xlfn.XLOOKUP(A192&amp;B192&amp;C192,盘货信息!$A:$A&amp;盘货信息!$B:$B&amp;盘货信息!$C:$C,盘货信息!$F:$F)&amp;"元】","【焕新补贴预估价"&amp;_xlfn.XLOOKUP(A192&amp;B192&amp;C192,盘货信息!$A:$A&amp;盘货信息!$B:$B&amp;盘货信息!$C:$C,盘货信息!$N:$N)&amp;"元】"))</f>
        <v/>
      </c>
      <c r="F192" s="18" t="str">
        <f t="array" ref="F192">IF(C192="","",_xlfn.XLOOKUP(A192&amp;B192&amp;C192,盘货信息!$A:$A&amp;盘货信息!$B:$B&amp;盘货信息!$C:$C,盘货信息!$E:$E)&amp;"元到手价")</f>
        <v/>
      </c>
      <c r="G192" s="18" t="str">
        <f t="array" ref="G192">IF(C192="","",IF(_xlfn.XLOOKUP(A192&amp;B192&amp;C192,盘货信息!$A:$A&amp;盘货信息!$B:$B&amp;盘货信息!$C:$C,盘货信息!$I:$I)="","","88VIP95折"))</f>
        <v/>
      </c>
      <c r="H192" s="18" t="str">
        <f t="array" ref="H192">IF(C192="","",IF(_xlfn.XLOOKUP(A192&amp;B192&amp;C192,盘货信息!$A:$A&amp;盘货信息!$B:$B&amp;盘货信息!$C:$C,盘货信息!$J:$J)="","",_xlfn.XLOOKUP(A192&amp;B192&amp;C192,盘货信息!$A:$A&amp;盘货信息!$B:$B&amp;盘货信息!$C:$C,盘货信息!$J:$J)&amp;"元优惠卷"))</f>
        <v/>
      </c>
      <c r="I192" s="18" t="str">
        <f t="array" ref="I192">IF(C192="","",IF(_xlfn.XLOOKUP(A192&amp;B192&amp;C192,盘货信息!$A:$A&amp;盘货信息!$B:$B&amp;盘货信息!$C:$C,盘货信息!$R:$R)="","",_xlfn.XLOOKUP(A192&amp;B192&amp;C192,盘货信息!$A:$A&amp;盘货信息!$B:$B&amp;盘货信息!$C:$C,盘货信息!$R:$R)&amp;"元优惠卷"))</f>
        <v/>
      </c>
      <c r="J192" s="18" t="str">
        <f t="array" ref="J192">IF(C192="","",IF(_xlfn.XLOOKUP(A192&amp;B192&amp;C192,盘货信息!$A:$A&amp;盘货信息!$B:$B&amp;盘货信息!$C:$C,盘货信息!$K:$K)="","",IF(OR(_xlfn.XLOOKUP(A192&amp;B192&amp;C192,盘货信息!$A:$A&amp;盘货信息!$B:$B&amp;盘货信息!$C:$C,盘货信息!$G:$G)="参加",_xlfn.XLOOKUP(A192&amp;B192&amp;C192,盘货信息!$A:$A&amp;盘货信息!$B:$B&amp;盘货信息!$C:$C,盘货信息!$H:$H)="1（纯自补）"),_xlfn.XLOOKUP(A192&amp;B192&amp;C192,盘货信息!$A:$A&amp;盘货信息!$B:$B&amp;盘货信息!$C:$C,盘货信息!$K:$K)&amp;"元以旧换新（可无旧机换新）","")))</f>
        <v/>
      </c>
      <c r="K192" s="18" t="str">
        <f t="array" ref="K192">IF(C192="","",IF(_xlfn.XLOOKUP(A192&amp;B192&amp;C192,盘货信息!$A:$A&amp;盘货信息!$B:$B&amp;盘货信息!$C:$C,盘货信息!$L:$L)="","",_xlfn.XLOOKUP(A192&amp;B192&amp;C192,盘货信息!$A:$A&amp;盘货信息!$B:$B&amp;盘货信息!$C:$C,盘货信息!$L:$L)&amp;"元限时补贴"))</f>
        <v/>
      </c>
      <c r="L192" s="18" t="str">
        <f t="array" ref="L192">IF(C192="","",IF(_xlfn.XLOOKUP(A192&amp;B192&amp;C192,盘货信息!$A:$A&amp;盘货信息!$B:$B&amp;盘货信息!$C:$C,盘货信息!$M:$M)="","",_xlfn.XLOOKUP(A192&amp;B192&amp;C192,盘货信息!$A:$A&amp;盘货信息!$B:$B&amp;盘货信息!$C:$C,盘货信息!$M:$M)&amp;"元消费券"))</f>
        <v/>
      </c>
      <c r="M192" s="18" t="str">
        <f t="array" ref="M192">IF(C192="","",IF(_xlfn.XLOOKUP(A192&amp;B192&amp;C192,盘货信息!$A:$A&amp;盘货信息!$B:$B&amp;盘货信息!$C:$C,盘货信息!$G:$G)="不参加","","焕新补贴优惠【全民可用，不限地址】"))</f>
        <v/>
      </c>
    </row>
    <row r="193" customHeight="1" spans="1:13">
      <c r="A193" s="17" t="str">
        <f>IF(盘货信息!A193="","",盘货信息!A193)</f>
        <v/>
      </c>
      <c r="B193" s="17" t="str">
        <f>IF(盘货信息!B193="","",盘货信息!B193)</f>
        <v/>
      </c>
      <c r="C193" s="18" t="str">
        <f>IF(盘货信息!C193="","",盘货信息!C193)</f>
        <v/>
      </c>
      <c r="D193" s="18" t="str">
        <f t="shared" si="2"/>
        <v/>
      </c>
      <c r="E193" s="18" t="str">
        <f t="array" ref="E193">IF(C193="","",IF(_xlfn.XLOOKUP(A193&amp;B193&amp;C193,盘货信息!$A:$A&amp;盘货信息!$B:$B&amp;盘货信息!$C:$C,盘货信息!$N:$N)="","【立减到手价"&amp;_xlfn.XLOOKUP(A193&amp;B193&amp;C193,盘货信息!$A:$A&amp;盘货信息!$B:$B&amp;盘货信息!$C:$C,盘货信息!$F:$F)&amp;"元】","【焕新补贴预估价"&amp;_xlfn.XLOOKUP(A193&amp;B193&amp;C193,盘货信息!$A:$A&amp;盘货信息!$B:$B&amp;盘货信息!$C:$C,盘货信息!$N:$N)&amp;"元】"))</f>
        <v/>
      </c>
      <c r="F193" s="18" t="str">
        <f t="array" ref="F193">IF(C193="","",_xlfn.XLOOKUP(A193&amp;B193&amp;C193,盘货信息!$A:$A&amp;盘货信息!$B:$B&amp;盘货信息!$C:$C,盘货信息!$E:$E)&amp;"元到手价")</f>
        <v/>
      </c>
      <c r="G193" s="18" t="str">
        <f t="array" ref="G193">IF(C193="","",IF(_xlfn.XLOOKUP(A193&amp;B193&amp;C193,盘货信息!$A:$A&amp;盘货信息!$B:$B&amp;盘货信息!$C:$C,盘货信息!$I:$I)="","","88VIP95折"))</f>
        <v/>
      </c>
      <c r="H193" s="18" t="str">
        <f t="array" ref="H193">IF(C193="","",IF(_xlfn.XLOOKUP(A193&amp;B193&amp;C193,盘货信息!$A:$A&amp;盘货信息!$B:$B&amp;盘货信息!$C:$C,盘货信息!$J:$J)="","",_xlfn.XLOOKUP(A193&amp;B193&amp;C193,盘货信息!$A:$A&amp;盘货信息!$B:$B&amp;盘货信息!$C:$C,盘货信息!$J:$J)&amp;"元优惠卷"))</f>
        <v/>
      </c>
      <c r="I193" s="18" t="str">
        <f t="array" ref="I193">IF(C193="","",IF(_xlfn.XLOOKUP(A193&amp;B193&amp;C193,盘货信息!$A:$A&amp;盘货信息!$B:$B&amp;盘货信息!$C:$C,盘货信息!$R:$R)="","",_xlfn.XLOOKUP(A193&amp;B193&amp;C193,盘货信息!$A:$A&amp;盘货信息!$B:$B&amp;盘货信息!$C:$C,盘货信息!$R:$R)&amp;"元优惠卷"))</f>
        <v/>
      </c>
      <c r="J193" s="18" t="str">
        <f t="array" ref="J193">IF(C193="","",IF(_xlfn.XLOOKUP(A193&amp;B193&amp;C193,盘货信息!$A:$A&amp;盘货信息!$B:$B&amp;盘货信息!$C:$C,盘货信息!$K:$K)="","",IF(OR(_xlfn.XLOOKUP(A193&amp;B193&amp;C193,盘货信息!$A:$A&amp;盘货信息!$B:$B&amp;盘货信息!$C:$C,盘货信息!$G:$G)="参加",_xlfn.XLOOKUP(A193&amp;B193&amp;C193,盘货信息!$A:$A&amp;盘货信息!$B:$B&amp;盘货信息!$C:$C,盘货信息!$H:$H)="1（纯自补）"),_xlfn.XLOOKUP(A193&amp;B193&amp;C193,盘货信息!$A:$A&amp;盘货信息!$B:$B&amp;盘货信息!$C:$C,盘货信息!$K:$K)&amp;"元以旧换新（可无旧机换新）","")))</f>
        <v/>
      </c>
      <c r="K193" s="18" t="str">
        <f t="array" ref="K193">IF(C193="","",IF(_xlfn.XLOOKUP(A193&amp;B193&amp;C193,盘货信息!$A:$A&amp;盘货信息!$B:$B&amp;盘货信息!$C:$C,盘货信息!$L:$L)="","",_xlfn.XLOOKUP(A193&amp;B193&amp;C193,盘货信息!$A:$A&amp;盘货信息!$B:$B&amp;盘货信息!$C:$C,盘货信息!$L:$L)&amp;"元限时补贴"))</f>
        <v/>
      </c>
      <c r="L193" s="18" t="str">
        <f t="array" ref="L193">IF(C193="","",IF(_xlfn.XLOOKUP(A193&amp;B193&amp;C193,盘货信息!$A:$A&amp;盘货信息!$B:$B&amp;盘货信息!$C:$C,盘货信息!$M:$M)="","",_xlfn.XLOOKUP(A193&amp;B193&amp;C193,盘货信息!$A:$A&amp;盘货信息!$B:$B&amp;盘货信息!$C:$C,盘货信息!$M:$M)&amp;"元消费券"))</f>
        <v/>
      </c>
      <c r="M193" s="18" t="str">
        <f t="array" ref="M193">IF(C193="","",IF(_xlfn.XLOOKUP(A193&amp;B193&amp;C193,盘货信息!$A:$A&amp;盘货信息!$B:$B&amp;盘货信息!$C:$C,盘货信息!$G:$G)="不参加","","焕新补贴优惠【全民可用，不限地址】"))</f>
        <v/>
      </c>
    </row>
    <row r="194" customHeight="1" spans="1:13">
      <c r="A194" s="17" t="str">
        <f>IF(盘货信息!A194="","",盘货信息!A194)</f>
        <v/>
      </c>
      <c r="B194" s="17" t="str">
        <f>IF(盘货信息!B194="","",盘货信息!B194)</f>
        <v/>
      </c>
      <c r="C194" s="18" t="str">
        <f>IF(盘货信息!C194="","",盘货信息!C194)</f>
        <v/>
      </c>
      <c r="D194" s="18" t="str">
        <f t="shared" ref="D194:D257" si="3">IF(C194="","",E194&amp;"="&amp;F194&amp;IF(G194="","","-"&amp;G194)&amp;IF(H194="","","-"&amp;H194)&amp;IF(I194="","","-"&amp;I194)&amp;IF(J194="","","-"&amp;J194)&amp;IF(K194="","","-"&amp;K194)&amp;IF(L194="","","-"&amp;L194)&amp;IF(M194="","","-"&amp;M194))</f>
        <v/>
      </c>
      <c r="E194" s="18" t="str">
        <f t="array" ref="E194">IF(C194="","",IF(_xlfn.XLOOKUP(A194&amp;B194&amp;C194,盘货信息!$A:$A&amp;盘货信息!$B:$B&amp;盘货信息!$C:$C,盘货信息!$N:$N)="","【立减到手价"&amp;_xlfn.XLOOKUP(A194&amp;B194&amp;C194,盘货信息!$A:$A&amp;盘货信息!$B:$B&amp;盘货信息!$C:$C,盘货信息!$F:$F)&amp;"元】","【焕新补贴预估价"&amp;_xlfn.XLOOKUP(A194&amp;B194&amp;C194,盘货信息!$A:$A&amp;盘货信息!$B:$B&amp;盘货信息!$C:$C,盘货信息!$N:$N)&amp;"元】"))</f>
        <v/>
      </c>
      <c r="F194" s="18" t="str">
        <f t="array" ref="F194">IF(C194="","",_xlfn.XLOOKUP(A194&amp;B194&amp;C194,盘货信息!$A:$A&amp;盘货信息!$B:$B&amp;盘货信息!$C:$C,盘货信息!$E:$E)&amp;"元到手价")</f>
        <v/>
      </c>
      <c r="G194" s="18" t="str">
        <f t="array" ref="G194">IF(C194="","",IF(_xlfn.XLOOKUP(A194&amp;B194&amp;C194,盘货信息!$A:$A&amp;盘货信息!$B:$B&amp;盘货信息!$C:$C,盘货信息!$I:$I)="","","88VIP95折"))</f>
        <v/>
      </c>
      <c r="H194" s="18" t="str">
        <f t="array" ref="H194">IF(C194="","",IF(_xlfn.XLOOKUP(A194&amp;B194&amp;C194,盘货信息!$A:$A&amp;盘货信息!$B:$B&amp;盘货信息!$C:$C,盘货信息!$J:$J)="","",_xlfn.XLOOKUP(A194&amp;B194&amp;C194,盘货信息!$A:$A&amp;盘货信息!$B:$B&amp;盘货信息!$C:$C,盘货信息!$J:$J)&amp;"元优惠卷"))</f>
        <v/>
      </c>
      <c r="I194" s="18" t="str">
        <f t="array" ref="I194">IF(C194="","",IF(_xlfn.XLOOKUP(A194&amp;B194&amp;C194,盘货信息!$A:$A&amp;盘货信息!$B:$B&amp;盘货信息!$C:$C,盘货信息!$R:$R)="","",_xlfn.XLOOKUP(A194&amp;B194&amp;C194,盘货信息!$A:$A&amp;盘货信息!$B:$B&amp;盘货信息!$C:$C,盘货信息!$R:$R)&amp;"元优惠卷"))</f>
        <v/>
      </c>
      <c r="J194" s="18" t="str">
        <f t="array" ref="J194">IF(C194="","",IF(_xlfn.XLOOKUP(A194&amp;B194&amp;C194,盘货信息!$A:$A&amp;盘货信息!$B:$B&amp;盘货信息!$C:$C,盘货信息!$K:$K)="","",IF(OR(_xlfn.XLOOKUP(A194&amp;B194&amp;C194,盘货信息!$A:$A&amp;盘货信息!$B:$B&amp;盘货信息!$C:$C,盘货信息!$G:$G)="参加",_xlfn.XLOOKUP(A194&amp;B194&amp;C194,盘货信息!$A:$A&amp;盘货信息!$B:$B&amp;盘货信息!$C:$C,盘货信息!$H:$H)="1（纯自补）"),_xlfn.XLOOKUP(A194&amp;B194&amp;C194,盘货信息!$A:$A&amp;盘货信息!$B:$B&amp;盘货信息!$C:$C,盘货信息!$K:$K)&amp;"元以旧换新（可无旧机换新）","")))</f>
        <v/>
      </c>
      <c r="K194" s="18" t="str">
        <f t="array" ref="K194">IF(C194="","",IF(_xlfn.XLOOKUP(A194&amp;B194&amp;C194,盘货信息!$A:$A&amp;盘货信息!$B:$B&amp;盘货信息!$C:$C,盘货信息!$L:$L)="","",_xlfn.XLOOKUP(A194&amp;B194&amp;C194,盘货信息!$A:$A&amp;盘货信息!$B:$B&amp;盘货信息!$C:$C,盘货信息!$L:$L)&amp;"元限时补贴"))</f>
        <v/>
      </c>
      <c r="L194" s="18" t="str">
        <f t="array" ref="L194">IF(C194="","",IF(_xlfn.XLOOKUP(A194&amp;B194&amp;C194,盘货信息!$A:$A&amp;盘货信息!$B:$B&amp;盘货信息!$C:$C,盘货信息!$M:$M)="","",_xlfn.XLOOKUP(A194&amp;B194&amp;C194,盘货信息!$A:$A&amp;盘货信息!$B:$B&amp;盘货信息!$C:$C,盘货信息!$M:$M)&amp;"元消费券"))</f>
        <v/>
      </c>
      <c r="M194" s="18" t="str">
        <f t="array" ref="M194">IF(C194="","",IF(_xlfn.XLOOKUP(A194&amp;B194&amp;C194,盘货信息!$A:$A&amp;盘货信息!$B:$B&amp;盘货信息!$C:$C,盘货信息!$G:$G)="不参加","","焕新补贴优惠【全民可用，不限地址】"))</f>
        <v/>
      </c>
    </row>
    <row r="195" customHeight="1" spans="1:13">
      <c r="A195" s="17" t="str">
        <f>IF(盘货信息!A195="","",盘货信息!A195)</f>
        <v/>
      </c>
      <c r="B195" s="17" t="str">
        <f>IF(盘货信息!B195="","",盘货信息!B195)</f>
        <v/>
      </c>
      <c r="C195" s="18" t="str">
        <f>IF(盘货信息!C195="","",盘货信息!C195)</f>
        <v/>
      </c>
      <c r="D195" s="18" t="str">
        <f t="shared" si="3"/>
        <v/>
      </c>
      <c r="E195" s="18" t="str">
        <f t="array" ref="E195">IF(C195="","",IF(_xlfn.XLOOKUP(A195&amp;B195&amp;C195,盘货信息!$A:$A&amp;盘货信息!$B:$B&amp;盘货信息!$C:$C,盘货信息!$N:$N)="","【立减到手价"&amp;_xlfn.XLOOKUP(A195&amp;B195&amp;C195,盘货信息!$A:$A&amp;盘货信息!$B:$B&amp;盘货信息!$C:$C,盘货信息!$F:$F)&amp;"元】","【焕新补贴预估价"&amp;_xlfn.XLOOKUP(A195&amp;B195&amp;C195,盘货信息!$A:$A&amp;盘货信息!$B:$B&amp;盘货信息!$C:$C,盘货信息!$N:$N)&amp;"元】"))</f>
        <v/>
      </c>
      <c r="F195" s="18" t="str">
        <f t="array" ref="F195">IF(C195="","",_xlfn.XLOOKUP(A195&amp;B195&amp;C195,盘货信息!$A:$A&amp;盘货信息!$B:$B&amp;盘货信息!$C:$C,盘货信息!$E:$E)&amp;"元到手价")</f>
        <v/>
      </c>
      <c r="G195" s="18" t="str">
        <f t="array" ref="G195">IF(C195="","",IF(_xlfn.XLOOKUP(A195&amp;B195&amp;C195,盘货信息!$A:$A&amp;盘货信息!$B:$B&amp;盘货信息!$C:$C,盘货信息!$I:$I)="","","88VIP95折"))</f>
        <v/>
      </c>
      <c r="H195" s="18" t="str">
        <f t="array" ref="H195">IF(C195="","",IF(_xlfn.XLOOKUP(A195&amp;B195&amp;C195,盘货信息!$A:$A&amp;盘货信息!$B:$B&amp;盘货信息!$C:$C,盘货信息!$J:$J)="","",_xlfn.XLOOKUP(A195&amp;B195&amp;C195,盘货信息!$A:$A&amp;盘货信息!$B:$B&amp;盘货信息!$C:$C,盘货信息!$J:$J)&amp;"元优惠卷"))</f>
        <v/>
      </c>
      <c r="I195" s="18" t="str">
        <f t="array" ref="I195">IF(C195="","",IF(_xlfn.XLOOKUP(A195&amp;B195&amp;C195,盘货信息!$A:$A&amp;盘货信息!$B:$B&amp;盘货信息!$C:$C,盘货信息!$R:$R)="","",_xlfn.XLOOKUP(A195&amp;B195&amp;C195,盘货信息!$A:$A&amp;盘货信息!$B:$B&amp;盘货信息!$C:$C,盘货信息!$R:$R)&amp;"元优惠卷"))</f>
        <v/>
      </c>
      <c r="J195" s="18" t="str">
        <f t="array" ref="J195">IF(C195="","",IF(_xlfn.XLOOKUP(A195&amp;B195&amp;C195,盘货信息!$A:$A&amp;盘货信息!$B:$B&amp;盘货信息!$C:$C,盘货信息!$K:$K)="","",IF(OR(_xlfn.XLOOKUP(A195&amp;B195&amp;C195,盘货信息!$A:$A&amp;盘货信息!$B:$B&amp;盘货信息!$C:$C,盘货信息!$G:$G)="参加",_xlfn.XLOOKUP(A195&amp;B195&amp;C195,盘货信息!$A:$A&amp;盘货信息!$B:$B&amp;盘货信息!$C:$C,盘货信息!$H:$H)="1（纯自补）"),_xlfn.XLOOKUP(A195&amp;B195&amp;C195,盘货信息!$A:$A&amp;盘货信息!$B:$B&amp;盘货信息!$C:$C,盘货信息!$K:$K)&amp;"元以旧换新（可无旧机换新）","")))</f>
        <v/>
      </c>
      <c r="K195" s="18" t="str">
        <f t="array" ref="K195">IF(C195="","",IF(_xlfn.XLOOKUP(A195&amp;B195&amp;C195,盘货信息!$A:$A&amp;盘货信息!$B:$B&amp;盘货信息!$C:$C,盘货信息!$L:$L)="","",_xlfn.XLOOKUP(A195&amp;B195&amp;C195,盘货信息!$A:$A&amp;盘货信息!$B:$B&amp;盘货信息!$C:$C,盘货信息!$L:$L)&amp;"元限时补贴"))</f>
        <v/>
      </c>
      <c r="L195" s="18" t="str">
        <f t="array" ref="L195">IF(C195="","",IF(_xlfn.XLOOKUP(A195&amp;B195&amp;C195,盘货信息!$A:$A&amp;盘货信息!$B:$B&amp;盘货信息!$C:$C,盘货信息!$M:$M)="","",_xlfn.XLOOKUP(A195&amp;B195&amp;C195,盘货信息!$A:$A&amp;盘货信息!$B:$B&amp;盘货信息!$C:$C,盘货信息!$M:$M)&amp;"元消费券"))</f>
        <v/>
      </c>
      <c r="M195" s="18" t="str">
        <f t="array" ref="M195">IF(C195="","",IF(_xlfn.XLOOKUP(A195&amp;B195&amp;C195,盘货信息!$A:$A&amp;盘货信息!$B:$B&amp;盘货信息!$C:$C,盘货信息!$G:$G)="不参加","","焕新补贴优惠【全民可用，不限地址】"))</f>
        <v/>
      </c>
    </row>
    <row r="196" customHeight="1" spans="1:13">
      <c r="A196" s="17" t="str">
        <f>IF(盘货信息!A196="","",盘货信息!A196)</f>
        <v/>
      </c>
      <c r="B196" s="17" t="str">
        <f>IF(盘货信息!B196="","",盘货信息!B196)</f>
        <v/>
      </c>
      <c r="C196" s="18" t="str">
        <f>IF(盘货信息!C196="","",盘货信息!C196)</f>
        <v/>
      </c>
      <c r="D196" s="18" t="str">
        <f t="shared" si="3"/>
        <v/>
      </c>
      <c r="E196" s="18" t="str">
        <f t="array" ref="E196">IF(C196="","",IF(_xlfn.XLOOKUP(A196&amp;B196&amp;C196,盘货信息!$A:$A&amp;盘货信息!$B:$B&amp;盘货信息!$C:$C,盘货信息!$N:$N)="","【立减到手价"&amp;_xlfn.XLOOKUP(A196&amp;B196&amp;C196,盘货信息!$A:$A&amp;盘货信息!$B:$B&amp;盘货信息!$C:$C,盘货信息!$F:$F)&amp;"元】","【焕新补贴预估价"&amp;_xlfn.XLOOKUP(A196&amp;B196&amp;C196,盘货信息!$A:$A&amp;盘货信息!$B:$B&amp;盘货信息!$C:$C,盘货信息!$N:$N)&amp;"元】"))</f>
        <v/>
      </c>
      <c r="F196" s="18" t="str">
        <f t="array" ref="F196">IF(C196="","",_xlfn.XLOOKUP(A196&amp;B196&amp;C196,盘货信息!$A:$A&amp;盘货信息!$B:$B&amp;盘货信息!$C:$C,盘货信息!$E:$E)&amp;"元到手价")</f>
        <v/>
      </c>
      <c r="G196" s="18" t="str">
        <f t="array" ref="G196">IF(C196="","",IF(_xlfn.XLOOKUP(A196&amp;B196&amp;C196,盘货信息!$A:$A&amp;盘货信息!$B:$B&amp;盘货信息!$C:$C,盘货信息!$I:$I)="","","88VIP95折"))</f>
        <v/>
      </c>
      <c r="H196" s="18" t="str">
        <f t="array" ref="H196">IF(C196="","",IF(_xlfn.XLOOKUP(A196&amp;B196&amp;C196,盘货信息!$A:$A&amp;盘货信息!$B:$B&amp;盘货信息!$C:$C,盘货信息!$J:$J)="","",_xlfn.XLOOKUP(A196&amp;B196&amp;C196,盘货信息!$A:$A&amp;盘货信息!$B:$B&amp;盘货信息!$C:$C,盘货信息!$J:$J)&amp;"元优惠卷"))</f>
        <v/>
      </c>
      <c r="I196" s="18" t="str">
        <f t="array" ref="I196">IF(C196="","",IF(_xlfn.XLOOKUP(A196&amp;B196&amp;C196,盘货信息!$A:$A&amp;盘货信息!$B:$B&amp;盘货信息!$C:$C,盘货信息!$R:$R)="","",_xlfn.XLOOKUP(A196&amp;B196&amp;C196,盘货信息!$A:$A&amp;盘货信息!$B:$B&amp;盘货信息!$C:$C,盘货信息!$R:$R)&amp;"元优惠卷"))</f>
        <v/>
      </c>
      <c r="J196" s="18" t="str">
        <f t="array" ref="J196">IF(C196="","",IF(_xlfn.XLOOKUP(A196&amp;B196&amp;C196,盘货信息!$A:$A&amp;盘货信息!$B:$B&amp;盘货信息!$C:$C,盘货信息!$K:$K)="","",IF(OR(_xlfn.XLOOKUP(A196&amp;B196&amp;C196,盘货信息!$A:$A&amp;盘货信息!$B:$B&amp;盘货信息!$C:$C,盘货信息!$G:$G)="参加",_xlfn.XLOOKUP(A196&amp;B196&amp;C196,盘货信息!$A:$A&amp;盘货信息!$B:$B&amp;盘货信息!$C:$C,盘货信息!$H:$H)="1（纯自补）"),_xlfn.XLOOKUP(A196&amp;B196&amp;C196,盘货信息!$A:$A&amp;盘货信息!$B:$B&amp;盘货信息!$C:$C,盘货信息!$K:$K)&amp;"元以旧换新（可无旧机换新）","")))</f>
        <v/>
      </c>
      <c r="K196" s="18" t="str">
        <f t="array" ref="K196">IF(C196="","",IF(_xlfn.XLOOKUP(A196&amp;B196&amp;C196,盘货信息!$A:$A&amp;盘货信息!$B:$B&amp;盘货信息!$C:$C,盘货信息!$L:$L)="","",_xlfn.XLOOKUP(A196&amp;B196&amp;C196,盘货信息!$A:$A&amp;盘货信息!$B:$B&amp;盘货信息!$C:$C,盘货信息!$L:$L)&amp;"元限时补贴"))</f>
        <v/>
      </c>
      <c r="L196" s="18" t="str">
        <f t="array" ref="L196">IF(C196="","",IF(_xlfn.XLOOKUP(A196&amp;B196&amp;C196,盘货信息!$A:$A&amp;盘货信息!$B:$B&amp;盘货信息!$C:$C,盘货信息!$M:$M)="","",_xlfn.XLOOKUP(A196&amp;B196&amp;C196,盘货信息!$A:$A&amp;盘货信息!$B:$B&amp;盘货信息!$C:$C,盘货信息!$M:$M)&amp;"元消费券"))</f>
        <v/>
      </c>
      <c r="M196" s="18" t="str">
        <f t="array" ref="M196">IF(C196="","",IF(_xlfn.XLOOKUP(A196&amp;B196&amp;C196,盘货信息!$A:$A&amp;盘货信息!$B:$B&amp;盘货信息!$C:$C,盘货信息!$G:$G)="不参加","","焕新补贴优惠【全民可用，不限地址】"))</f>
        <v/>
      </c>
    </row>
    <row r="197" customHeight="1" spans="1:13">
      <c r="A197" s="17" t="str">
        <f>IF(盘货信息!A197="","",盘货信息!A197)</f>
        <v/>
      </c>
      <c r="B197" s="17" t="str">
        <f>IF(盘货信息!B197="","",盘货信息!B197)</f>
        <v/>
      </c>
      <c r="C197" s="18" t="str">
        <f>IF(盘货信息!C197="","",盘货信息!C197)</f>
        <v/>
      </c>
      <c r="D197" s="18" t="str">
        <f t="shared" si="3"/>
        <v/>
      </c>
      <c r="E197" s="18" t="str">
        <f t="array" ref="E197">IF(C197="","",IF(_xlfn.XLOOKUP(A197&amp;B197&amp;C197,盘货信息!$A:$A&amp;盘货信息!$B:$B&amp;盘货信息!$C:$C,盘货信息!$N:$N)="","【立减到手价"&amp;_xlfn.XLOOKUP(A197&amp;B197&amp;C197,盘货信息!$A:$A&amp;盘货信息!$B:$B&amp;盘货信息!$C:$C,盘货信息!$F:$F)&amp;"元】","【焕新补贴预估价"&amp;_xlfn.XLOOKUP(A197&amp;B197&amp;C197,盘货信息!$A:$A&amp;盘货信息!$B:$B&amp;盘货信息!$C:$C,盘货信息!$N:$N)&amp;"元】"))</f>
        <v/>
      </c>
      <c r="F197" s="18" t="str">
        <f t="array" ref="F197">IF(C197="","",_xlfn.XLOOKUP(A197&amp;B197&amp;C197,盘货信息!$A:$A&amp;盘货信息!$B:$B&amp;盘货信息!$C:$C,盘货信息!$E:$E)&amp;"元到手价")</f>
        <v/>
      </c>
      <c r="G197" s="18" t="str">
        <f t="array" ref="G197">IF(C197="","",IF(_xlfn.XLOOKUP(A197&amp;B197&amp;C197,盘货信息!$A:$A&amp;盘货信息!$B:$B&amp;盘货信息!$C:$C,盘货信息!$I:$I)="","","88VIP95折"))</f>
        <v/>
      </c>
      <c r="H197" s="18" t="str">
        <f t="array" ref="H197">IF(C197="","",IF(_xlfn.XLOOKUP(A197&amp;B197&amp;C197,盘货信息!$A:$A&amp;盘货信息!$B:$B&amp;盘货信息!$C:$C,盘货信息!$J:$J)="","",_xlfn.XLOOKUP(A197&amp;B197&amp;C197,盘货信息!$A:$A&amp;盘货信息!$B:$B&amp;盘货信息!$C:$C,盘货信息!$J:$J)&amp;"元优惠卷"))</f>
        <v/>
      </c>
      <c r="I197" s="18" t="str">
        <f t="array" ref="I197">IF(C197="","",IF(_xlfn.XLOOKUP(A197&amp;B197&amp;C197,盘货信息!$A:$A&amp;盘货信息!$B:$B&amp;盘货信息!$C:$C,盘货信息!$R:$R)="","",_xlfn.XLOOKUP(A197&amp;B197&amp;C197,盘货信息!$A:$A&amp;盘货信息!$B:$B&amp;盘货信息!$C:$C,盘货信息!$R:$R)&amp;"元优惠卷"))</f>
        <v/>
      </c>
      <c r="J197" s="18" t="str">
        <f t="array" ref="J197">IF(C197="","",IF(_xlfn.XLOOKUP(A197&amp;B197&amp;C197,盘货信息!$A:$A&amp;盘货信息!$B:$B&amp;盘货信息!$C:$C,盘货信息!$K:$K)="","",IF(OR(_xlfn.XLOOKUP(A197&amp;B197&amp;C197,盘货信息!$A:$A&amp;盘货信息!$B:$B&amp;盘货信息!$C:$C,盘货信息!$G:$G)="参加",_xlfn.XLOOKUP(A197&amp;B197&amp;C197,盘货信息!$A:$A&amp;盘货信息!$B:$B&amp;盘货信息!$C:$C,盘货信息!$H:$H)="1（纯自补）"),_xlfn.XLOOKUP(A197&amp;B197&amp;C197,盘货信息!$A:$A&amp;盘货信息!$B:$B&amp;盘货信息!$C:$C,盘货信息!$K:$K)&amp;"元以旧换新（可无旧机换新）","")))</f>
        <v/>
      </c>
      <c r="K197" s="18" t="str">
        <f t="array" ref="K197">IF(C197="","",IF(_xlfn.XLOOKUP(A197&amp;B197&amp;C197,盘货信息!$A:$A&amp;盘货信息!$B:$B&amp;盘货信息!$C:$C,盘货信息!$L:$L)="","",_xlfn.XLOOKUP(A197&amp;B197&amp;C197,盘货信息!$A:$A&amp;盘货信息!$B:$B&amp;盘货信息!$C:$C,盘货信息!$L:$L)&amp;"元限时补贴"))</f>
        <v/>
      </c>
      <c r="L197" s="18" t="str">
        <f t="array" ref="L197">IF(C197="","",IF(_xlfn.XLOOKUP(A197&amp;B197&amp;C197,盘货信息!$A:$A&amp;盘货信息!$B:$B&amp;盘货信息!$C:$C,盘货信息!$M:$M)="","",_xlfn.XLOOKUP(A197&amp;B197&amp;C197,盘货信息!$A:$A&amp;盘货信息!$B:$B&amp;盘货信息!$C:$C,盘货信息!$M:$M)&amp;"元消费券"))</f>
        <v/>
      </c>
      <c r="M197" s="18" t="str">
        <f t="array" ref="M197">IF(C197="","",IF(_xlfn.XLOOKUP(A197&amp;B197&amp;C197,盘货信息!$A:$A&amp;盘货信息!$B:$B&amp;盘货信息!$C:$C,盘货信息!$G:$G)="不参加","","焕新补贴优惠【全民可用，不限地址】"))</f>
        <v/>
      </c>
    </row>
    <row r="198" customHeight="1" spans="1:13">
      <c r="A198" s="17" t="str">
        <f>IF(盘货信息!A198="","",盘货信息!A198)</f>
        <v/>
      </c>
      <c r="B198" s="17" t="str">
        <f>IF(盘货信息!B198="","",盘货信息!B198)</f>
        <v/>
      </c>
      <c r="C198" s="18" t="str">
        <f>IF(盘货信息!C198="","",盘货信息!C198)</f>
        <v/>
      </c>
      <c r="D198" s="18" t="str">
        <f t="shared" si="3"/>
        <v/>
      </c>
      <c r="E198" s="18" t="str">
        <f t="array" ref="E198">IF(C198="","",IF(_xlfn.XLOOKUP(A198&amp;B198&amp;C198,盘货信息!$A:$A&amp;盘货信息!$B:$B&amp;盘货信息!$C:$C,盘货信息!$N:$N)="","【立减到手价"&amp;_xlfn.XLOOKUP(A198&amp;B198&amp;C198,盘货信息!$A:$A&amp;盘货信息!$B:$B&amp;盘货信息!$C:$C,盘货信息!$F:$F)&amp;"元】","【焕新补贴预估价"&amp;_xlfn.XLOOKUP(A198&amp;B198&amp;C198,盘货信息!$A:$A&amp;盘货信息!$B:$B&amp;盘货信息!$C:$C,盘货信息!$N:$N)&amp;"元】"))</f>
        <v/>
      </c>
      <c r="F198" s="18" t="str">
        <f t="array" ref="F198">IF(C198="","",_xlfn.XLOOKUP(A198&amp;B198&amp;C198,盘货信息!$A:$A&amp;盘货信息!$B:$B&amp;盘货信息!$C:$C,盘货信息!$E:$E)&amp;"元到手价")</f>
        <v/>
      </c>
      <c r="G198" s="18" t="str">
        <f t="array" ref="G198">IF(C198="","",IF(_xlfn.XLOOKUP(A198&amp;B198&amp;C198,盘货信息!$A:$A&amp;盘货信息!$B:$B&amp;盘货信息!$C:$C,盘货信息!$I:$I)="","","88VIP95折"))</f>
        <v/>
      </c>
      <c r="H198" s="18" t="str">
        <f t="array" ref="H198">IF(C198="","",IF(_xlfn.XLOOKUP(A198&amp;B198&amp;C198,盘货信息!$A:$A&amp;盘货信息!$B:$B&amp;盘货信息!$C:$C,盘货信息!$J:$J)="","",_xlfn.XLOOKUP(A198&amp;B198&amp;C198,盘货信息!$A:$A&amp;盘货信息!$B:$B&amp;盘货信息!$C:$C,盘货信息!$J:$J)&amp;"元优惠卷"))</f>
        <v/>
      </c>
      <c r="I198" s="18" t="str">
        <f t="array" ref="I198">IF(C198="","",IF(_xlfn.XLOOKUP(A198&amp;B198&amp;C198,盘货信息!$A:$A&amp;盘货信息!$B:$B&amp;盘货信息!$C:$C,盘货信息!$R:$R)="","",_xlfn.XLOOKUP(A198&amp;B198&amp;C198,盘货信息!$A:$A&amp;盘货信息!$B:$B&amp;盘货信息!$C:$C,盘货信息!$R:$R)&amp;"元优惠卷"))</f>
        <v/>
      </c>
      <c r="J198" s="18" t="str">
        <f t="array" ref="J198">IF(C198="","",IF(_xlfn.XLOOKUP(A198&amp;B198&amp;C198,盘货信息!$A:$A&amp;盘货信息!$B:$B&amp;盘货信息!$C:$C,盘货信息!$K:$K)="","",IF(OR(_xlfn.XLOOKUP(A198&amp;B198&amp;C198,盘货信息!$A:$A&amp;盘货信息!$B:$B&amp;盘货信息!$C:$C,盘货信息!$G:$G)="参加",_xlfn.XLOOKUP(A198&amp;B198&amp;C198,盘货信息!$A:$A&amp;盘货信息!$B:$B&amp;盘货信息!$C:$C,盘货信息!$H:$H)="1（纯自补）"),_xlfn.XLOOKUP(A198&amp;B198&amp;C198,盘货信息!$A:$A&amp;盘货信息!$B:$B&amp;盘货信息!$C:$C,盘货信息!$K:$K)&amp;"元以旧换新（可无旧机换新）","")))</f>
        <v/>
      </c>
      <c r="K198" s="18" t="str">
        <f t="array" ref="K198">IF(C198="","",IF(_xlfn.XLOOKUP(A198&amp;B198&amp;C198,盘货信息!$A:$A&amp;盘货信息!$B:$B&amp;盘货信息!$C:$C,盘货信息!$L:$L)="","",_xlfn.XLOOKUP(A198&amp;B198&amp;C198,盘货信息!$A:$A&amp;盘货信息!$B:$B&amp;盘货信息!$C:$C,盘货信息!$L:$L)&amp;"元限时补贴"))</f>
        <v/>
      </c>
      <c r="L198" s="18" t="str">
        <f t="array" ref="L198">IF(C198="","",IF(_xlfn.XLOOKUP(A198&amp;B198&amp;C198,盘货信息!$A:$A&amp;盘货信息!$B:$B&amp;盘货信息!$C:$C,盘货信息!$M:$M)="","",_xlfn.XLOOKUP(A198&amp;B198&amp;C198,盘货信息!$A:$A&amp;盘货信息!$B:$B&amp;盘货信息!$C:$C,盘货信息!$M:$M)&amp;"元消费券"))</f>
        <v/>
      </c>
      <c r="M198" s="18" t="str">
        <f t="array" ref="M198">IF(C198="","",IF(_xlfn.XLOOKUP(A198&amp;B198&amp;C198,盘货信息!$A:$A&amp;盘货信息!$B:$B&amp;盘货信息!$C:$C,盘货信息!$G:$G)="不参加","","焕新补贴优惠【全民可用，不限地址】"))</f>
        <v/>
      </c>
    </row>
    <row r="199" customHeight="1" spans="1:13">
      <c r="A199" s="17" t="str">
        <f>IF(盘货信息!A199="","",盘货信息!A199)</f>
        <v/>
      </c>
      <c r="B199" s="17" t="str">
        <f>IF(盘货信息!B199="","",盘货信息!B199)</f>
        <v/>
      </c>
      <c r="C199" s="18" t="str">
        <f>IF(盘货信息!C199="","",盘货信息!C199)</f>
        <v/>
      </c>
      <c r="D199" s="18" t="str">
        <f t="shared" si="3"/>
        <v/>
      </c>
      <c r="E199" s="18" t="str">
        <f t="array" ref="E199">IF(C199="","",IF(_xlfn.XLOOKUP(A199&amp;B199&amp;C199,盘货信息!$A:$A&amp;盘货信息!$B:$B&amp;盘货信息!$C:$C,盘货信息!$N:$N)="","【立减到手价"&amp;_xlfn.XLOOKUP(A199&amp;B199&amp;C199,盘货信息!$A:$A&amp;盘货信息!$B:$B&amp;盘货信息!$C:$C,盘货信息!$F:$F)&amp;"元】","【焕新补贴预估价"&amp;_xlfn.XLOOKUP(A199&amp;B199&amp;C199,盘货信息!$A:$A&amp;盘货信息!$B:$B&amp;盘货信息!$C:$C,盘货信息!$N:$N)&amp;"元】"))</f>
        <v/>
      </c>
      <c r="F199" s="18" t="str">
        <f t="array" ref="F199">IF(C199="","",_xlfn.XLOOKUP(A199&amp;B199&amp;C199,盘货信息!$A:$A&amp;盘货信息!$B:$B&amp;盘货信息!$C:$C,盘货信息!$E:$E)&amp;"元到手价")</f>
        <v/>
      </c>
      <c r="G199" s="18" t="str">
        <f t="array" ref="G199">IF(C199="","",IF(_xlfn.XLOOKUP(A199&amp;B199&amp;C199,盘货信息!$A:$A&amp;盘货信息!$B:$B&amp;盘货信息!$C:$C,盘货信息!$I:$I)="","","88VIP95折"))</f>
        <v/>
      </c>
      <c r="H199" s="18" t="str">
        <f t="array" ref="H199">IF(C199="","",IF(_xlfn.XLOOKUP(A199&amp;B199&amp;C199,盘货信息!$A:$A&amp;盘货信息!$B:$B&amp;盘货信息!$C:$C,盘货信息!$J:$J)="","",_xlfn.XLOOKUP(A199&amp;B199&amp;C199,盘货信息!$A:$A&amp;盘货信息!$B:$B&amp;盘货信息!$C:$C,盘货信息!$J:$J)&amp;"元优惠卷"))</f>
        <v/>
      </c>
      <c r="I199" s="18" t="str">
        <f t="array" ref="I199">IF(C199="","",IF(_xlfn.XLOOKUP(A199&amp;B199&amp;C199,盘货信息!$A:$A&amp;盘货信息!$B:$B&amp;盘货信息!$C:$C,盘货信息!$R:$R)="","",_xlfn.XLOOKUP(A199&amp;B199&amp;C199,盘货信息!$A:$A&amp;盘货信息!$B:$B&amp;盘货信息!$C:$C,盘货信息!$R:$R)&amp;"元优惠卷"))</f>
        <v/>
      </c>
      <c r="J199" s="18" t="str">
        <f t="array" ref="J199">IF(C199="","",IF(_xlfn.XLOOKUP(A199&amp;B199&amp;C199,盘货信息!$A:$A&amp;盘货信息!$B:$B&amp;盘货信息!$C:$C,盘货信息!$K:$K)="","",IF(OR(_xlfn.XLOOKUP(A199&amp;B199&amp;C199,盘货信息!$A:$A&amp;盘货信息!$B:$B&amp;盘货信息!$C:$C,盘货信息!$G:$G)="参加",_xlfn.XLOOKUP(A199&amp;B199&amp;C199,盘货信息!$A:$A&amp;盘货信息!$B:$B&amp;盘货信息!$C:$C,盘货信息!$H:$H)="1（纯自补）"),_xlfn.XLOOKUP(A199&amp;B199&amp;C199,盘货信息!$A:$A&amp;盘货信息!$B:$B&amp;盘货信息!$C:$C,盘货信息!$K:$K)&amp;"元以旧换新（可无旧机换新）","")))</f>
        <v/>
      </c>
      <c r="K199" s="18" t="str">
        <f t="array" ref="K199">IF(C199="","",IF(_xlfn.XLOOKUP(A199&amp;B199&amp;C199,盘货信息!$A:$A&amp;盘货信息!$B:$B&amp;盘货信息!$C:$C,盘货信息!$L:$L)="","",_xlfn.XLOOKUP(A199&amp;B199&amp;C199,盘货信息!$A:$A&amp;盘货信息!$B:$B&amp;盘货信息!$C:$C,盘货信息!$L:$L)&amp;"元限时补贴"))</f>
        <v/>
      </c>
      <c r="L199" s="18" t="str">
        <f t="array" ref="L199">IF(C199="","",IF(_xlfn.XLOOKUP(A199&amp;B199&amp;C199,盘货信息!$A:$A&amp;盘货信息!$B:$B&amp;盘货信息!$C:$C,盘货信息!$M:$M)="","",_xlfn.XLOOKUP(A199&amp;B199&amp;C199,盘货信息!$A:$A&amp;盘货信息!$B:$B&amp;盘货信息!$C:$C,盘货信息!$M:$M)&amp;"元消费券"))</f>
        <v/>
      </c>
      <c r="M199" s="18" t="str">
        <f t="array" ref="M199">IF(C199="","",IF(_xlfn.XLOOKUP(A199&amp;B199&amp;C199,盘货信息!$A:$A&amp;盘货信息!$B:$B&amp;盘货信息!$C:$C,盘货信息!$G:$G)="不参加","","焕新补贴优惠【全民可用，不限地址】"))</f>
        <v/>
      </c>
    </row>
    <row r="200" customHeight="1" spans="1:13">
      <c r="A200" s="17" t="str">
        <f>IF(盘货信息!A200="","",盘货信息!A200)</f>
        <v/>
      </c>
      <c r="B200" s="17" t="str">
        <f>IF(盘货信息!B200="","",盘货信息!B200)</f>
        <v/>
      </c>
      <c r="C200" s="18" t="str">
        <f>IF(盘货信息!C200="","",盘货信息!C200)</f>
        <v/>
      </c>
      <c r="D200" s="18" t="str">
        <f t="shared" si="3"/>
        <v/>
      </c>
      <c r="E200" s="18" t="str">
        <f t="array" ref="E200">IF(C200="","",IF(_xlfn.XLOOKUP(A200&amp;B200&amp;C200,盘货信息!$A:$A&amp;盘货信息!$B:$B&amp;盘货信息!$C:$C,盘货信息!$N:$N)="","【立减到手价"&amp;_xlfn.XLOOKUP(A200&amp;B200&amp;C200,盘货信息!$A:$A&amp;盘货信息!$B:$B&amp;盘货信息!$C:$C,盘货信息!$F:$F)&amp;"元】","【焕新补贴预估价"&amp;_xlfn.XLOOKUP(A200&amp;B200&amp;C200,盘货信息!$A:$A&amp;盘货信息!$B:$B&amp;盘货信息!$C:$C,盘货信息!$N:$N)&amp;"元】"))</f>
        <v/>
      </c>
      <c r="F200" s="18" t="str">
        <f t="array" ref="F200">IF(C200="","",_xlfn.XLOOKUP(A200&amp;B200&amp;C200,盘货信息!$A:$A&amp;盘货信息!$B:$B&amp;盘货信息!$C:$C,盘货信息!$E:$E)&amp;"元到手价")</f>
        <v/>
      </c>
      <c r="G200" s="18" t="str">
        <f t="array" ref="G200">IF(C200="","",IF(_xlfn.XLOOKUP(A200&amp;B200&amp;C200,盘货信息!$A:$A&amp;盘货信息!$B:$B&amp;盘货信息!$C:$C,盘货信息!$I:$I)="","","88VIP95折"))</f>
        <v/>
      </c>
      <c r="H200" s="18" t="str">
        <f t="array" ref="H200">IF(C200="","",IF(_xlfn.XLOOKUP(A200&amp;B200&amp;C200,盘货信息!$A:$A&amp;盘货信息!$B:$B&amp;盘货信息!$C:$C,盘货信息!$J:$J)="","",_xlfn.XLOOKUP(A200&amp;B200&amp;C200,盘货信息!$A:$A&amp;盘货信息!$B:$B&amp;盘货信息!$C:$C,盘货信息!$J:$J)&amp;"元优惠卷"))</f>
        <v/>
      </c>
      <c r="I200" s="18" t="str">
        <f t="array" ref="I200">IF(C200="","",IF(_xlfn.XLOOKUP(A200&amp;B200&amp;C200,盘货信息!$A:$A&amp;盘货信息!$B:$B&amp;盘货信息!$C:$C,盘货信息!$R:$R)="","",_xlfn.XLOOKUP(A200&amp;B200&amp;C200,盘货信息!$A:$A&amp;盘货信息!$B:$B&amp;盘货信息!$C:$C,盘货信息!$R:$R)&amp;"元优惠卷"))</f>
        <v/>
      </c>
      <c r="J200" s="18" t="str">
        <f t="array" ref="J200">IF(C200="","",IF(_xlfn.XLOOKUP(A200&amp;B200&amp;C200,盘货信息!$A:$A&amp;盘货信息!$B:$B&amp;盘货信息!$C:$C,盘货信息!$K:$K)="","",IF(OR(_xlfn.XLOOKUP(A200&amp;B200&amp;C200,盘货信息!$A:$A&amp;盘货信息!$B:$B&amp;盘货信息!$C:$C,盘货信息!$G:$G)="参加",_xlfn.XLOOKUP(A200&amp;B200&amp;C200,盘货信息!$A:$A&amp;盘货信息!$B:$B&amp;盘货信息!$C:$C,盘货信息!$H:$H)="1（纯自补）"),_xlfn.XLOOKUP(A200&amp;B200&amp;C200,盘货信息!$A:$A&amp;盘货信息!$B:$B&amp;盘货信息!$C:$C,盘货信息!$K:$K)&amp;"元以旧换新（可无旧机换新）","")))</f>
        <v/>
      </c>
      <c r="K200" s="18" t="str">
        <f t="array" ref="K200">IF(C200="","",IF(_xlfn.XLOOKUP(A200&amp;B200&amp;C200,盘货信息!$A:$A&amp;盘货信息!$B:$B&amp;盘货信息!$C:$C,盘货信息!$L:$L)="","",_xlfn.XLOOKUP(A200&amp;B200&amp;C200,盘货信息!$A:$A&amp;盘货信息!$B:$B&amp;盘货信息!$C:$C,盘货信息!$L:$L)&amp;"元限时补贴"))</f>
        <v/>
      </c>
      <c r="L200" s="18" t="str">
        <f t="array" ref="L200">IF(C200="","",IF(_xlfn.XLOOKUP(A200&amp;B200&amp;C200,盘货信息!$A:$A&amp;盘货信息!$B:$B&amp;盘货信息!$C:$C,盘货信息!$M:$M)="","",_xlfn.XLOOKUP(A200&amp;B200&amp;C200,盘货信息!$A:$A&amp;盘货信息!$B:$B&amp;盘货信息!$C:$C,盘货信息!$M:$M)&amp;"元消费券"))</f>
        <v/>
      </c>
      <c r="M200" s="18" t="str">
        <f t="array" ref="M200">IF(C200="","",IF(_xlfn.XLOOKUP(A200&amp;B200&amp;C200,盘货信息!$A:$A&amp;盘货信息!$B:$B&amp;盘货信息!$C:$C,盘货信息!$G:$G)="不参加","","焕新补贴优惠【全民可用，不限地址】"))</f>
        <v/>
      </c>
    </row>
    <row r="201" customHeight="1" spans="1:13">
      <c r="A201" s="17" t="str">
        <f>IF(盘货信息!A201="","",盘货信息!A201)</f>
        <v/>
      </c>
      <c r="B201" s="17" t="str">
        <f>IF(盘货信息!B201="","",盘货信息!B201)</f>
        <v/>
      </c>
      <c r="C201" s="18" t="str">
        <f>IF(盘货信息!C201="","",盘货信息!C201)</f>
        <v/>
      </c>
      <c r="D201" s="18" t="str">
        <f t="shared" si="3"/>
        <v/>
      </c>
      <c r="E201" s="18" t="str">
        <f t="array" ref="E201">IF(C201="","",IF(_xlfn.XLOOKUP(A201&amp;B201&amp;C201,盘货信息!$A:$A&amp;盘货信息!$B:$B&amp;盘货信息!$C:$C,盘货信息!$N:$N)="","【立减到手价"&amp;_xlfn.XLOOKUP(A201&amp;B201&amp;C201,盘货信息!$A:$A&amp;盘货信息!$B:$B&amp;盘货信息!$C:$C,盘货信息!$F:$F)&amp;"元】","【焕新补贴预估价"&amp;_xlfn.XLOOKUP(A201&amp;B201&amp;C201,盘货信息!$A:$A&amp;盘货信息!$B:$B&amp;盘货信息!$C:$C,盘货信息!$N:$N)&amp;"元】"))</f>
        <v/>
      </c>
      <c r="F201" s="18" t="str">
        <f t="array" ref="F201">IF(C201="","",_xlfn.XLOOKUP(A201&amp;B201&amp;C201,盘货信息!$A:$A&amp;盘货信息!$B:$B&amp;盘货信息!$C:$C,盘货信息!$E:$E)&amp;"元到手价")</f>
        <v/>
      </c>
      <c r="G201" s="18" t="str">
        <f t="array" ref="G201">IF(C201="","",IF(_xlfn.XLOOKUP(A201&amp;B201&amp;C201,盘货信息!$A:$A&amp;盘货信息!$B:$B&amp;盘货信息!$C:$C,盘货信息!$I:$I)="","","88VIP95折"))</f>
        <v/>
      </c>
      <c r="H201" s="18" t="str">
        <f t="array" ref="H201">IF(C201="","",IF(_xlfn.XLOOKUP(A201&amp;B201&amp;C201,盘货信息!$A:$A&amp;盘货信息!$B:$B&amp;盘货信息!$C:$C,盘货信息!$J:$J)="","",_xlfn.XLOOKUP(A201&amp;B201&amp;C201,盘货信息!$A:$A&amp;盘货信息!$B:$B&amp;盘货信息!$C:$C,盘货信息!$J:$J)&amp;"元优惠卷"))</f>
        <v/>
      </c>
      <c r="I201" s="18" t="str">
        <f t="array" ref="I201">IF(C201="","",IF(_xlfn.XLOOKUP(A201&amp;B201&amp;C201,盘货信息!$A:$A&amp;盘货信息!$B:$B&amp;盘货信息!$C:$C,盘货信息!$R:$R)="","",_xlfn.XLOOKUP(A201&amp;B201&amp;C201,盘货信息!$A:$A&amp;盘货信息!$B:$B&amp;盘货信息!$C:$C,盘货信息!$R:$R)&amp;"元优惠卷"))</f>
        <v/>
      </c>
      <c r="J201" s="18" t="str">
        <f t="array" ref="J201">IF(C201="","",IF(_xlfn.XLOOKUP(A201&amp;B201&amp;C201,盘货信息!$A:$A&amp;盘货信息!$B:$B&amp;盘货信息!$C:$C,盘货信息!$K:$K)="","",IF(OR(_xlfn.XLOOKUP(A201&amp;B201&amp;C201,盘货信息!$A:$A&amp;盘货信息!$B:$B&amp;盘货信息!$C:$C,盘货信息!$G:$G)="参加",_xlfn.XLOOKUP(A201&amp;B201&amp;C201,盘货信息!$A:$A&amp;盘货信息!$B:$B&amp;盘货信息!$C:$C,盘货信息!$H:$H)="1（纯自补）"),_xlfn.XLOOKUP(A201&amp;B201&amp;C201,盘货信息!$A:$A&amp;盘货信息!$B:$B&amp;盘货信息!$C:$C,盘货信息!$K:$K)&amp;"元以旧换新（可无旧机换新）","")))</f>
        <v/>
      </c>
      <c r="K201" s="18" t="str">
        <f t="array" ref="K201">IF(C201="","",IF(_xlfn.XLOOKUP(A201&amp;B201&amp;C201,盘货信息!$A:$A&amp;盘货信息!$B:$B&amp;盘货信息!$C:$C,盘货信息!$L:$L)="","",_xlfn.XLOOKUP(A201&amp;B201&amp;C201,盘货信息!$A:$A&amp;盘货信息!$B:$B&amp;盘货信息!$C:$C,盘货信息!$L:$L)&amp;"元限时补贴"))</f>
        <v/>
      </c>
      <c r="L201" s="18" t="str">
        <f t="array" ref="L201">IF(C201="","",IF(_xlfn.XLOOKUP(A201&amp;B201&amp;C201,盘货信息!$A:$A&amp;盘货信息!$B:$B&amp;盘货信息!$C:$C,盘货信息!$M:$M)="","",_xlfn.XLOOKUP(A201&amp;B201&amp;C201,盘货信息!$A:$A&amp;盘货信息!$B:$B&amp;盘货信息!$C:$C,盘货信息!$M:$M)&amp;"元消费券"))</f>
        <v/>
      </c>
      <c r="M201" s="18" t="str">
        <f t="array" ref="M201">IF(C201="","",IF(_xlfn.XLOOKUP(A201&amp;B201&amp;C201,盘货信息!$A:$A&amp;盘货信息!$B:$B&amp;盘货信息!$C:$C,盘货信息!$G:$G)="不参加","","焕新补贴优惠【全民可用，不限地址】"))</f>
        <v/>
      </c>
    </row>
    <row r="202" customHeight="1" spans="1:13">
      <c r="A202" s="17" t="str">
        <f>IF(盘货信息!A202="","",盘货信息!A202)</f>
        <v/>
      </c>
      <c r="B202" s="17" t="str">
        <f>IF(盘货信息!B202="","",盘货信息!B202)</f>
        <v/>
      </c>
      <c r="C202" s="18" t="str">
        <f>IF(盘货信息!C202="","",盘货信息!C202)</f>
        <v/>
      </c>
      <c r="D202" s="18" t="str">
        <f t="shared" si="3"/>
        <v/>
      </c>
      <c r="E202" s="18" t="str">
        <f t="array" ref="E202">IF(C202="","",IF(_xlfn.XLOOKUP(A202&amp;B202&amp;C202,盘货信息!$A:$A&amp;盘货信息!$B:$B&amp;盘货信息!$C:$C,盘货信息!$N:$N)="","【立减到手价"&amp;_xlfn.XLOOKUP(A202&amp;B202&amp;C202,盘货信息!$A:$A&amp;盘货信息!$B:$B&amp;盘货信息!$C:$C,盘货信息!$F:$F)&amp;"元】","【焕新补贴预估价"&amp;_xlfn.XLOOKUP(A202&amp;B202&amp;C202,盘货信息!$A:$A&amp;盘货信息!$B:$B&amp;盘货信息!$C:$C,盘货信息!$N:$N)&amp;"元】"))</f>
        <v/>
      </c>
      <c r="F202" s="18" t="str">
        <f t="array" ref="F202">IF(C202="","",_xlfn.XLOOKUP(A202&amp;B202&amp;C202,盘货信息!$A:$A&amp;盘货信息!$B:$B&amp;盘货信息!$C:$C,盘货信息!$E:$E)&amp;"元到手价")</f>
        <v/>
      </c>
      <c r="G202" s="18" t="str">
        <f t="array" ref="G202">IF(C202="","",IF(_xlfn.XLOOKUP(A202&amp;B202&amp;C202,盘货信息!$A:$A&amp;盘货信息!$B:$B&amp;盘货信息!$C:$C,盘货信息!$I:$I)="","","88VIP95折"))</f>
        <v/>
      </c>
      <c r="H202" s="18" t="str">
        <f t="array" ref="H202">IF(C202="","",IF(_xlfn.XLOOKUP(A202&amp;B202&amp;C202,盘货信息!$A:$A&amp;盘货信息!$B:$B&amp;盘货信息!$C:$C,盘货信息!$J:$J)="","",_xlfn.XLOOKUP(A202&amp;B202&amp;C202,盘货信息!$A:$A&amp;盘货信息!$B:$B&amp;盘货信息!$C:$C,盘货信息!$J:$J)&amp;"元优惠卷"))</f>
        <v/>
      </c>
      <c r="I202" s="18" t="str">
        <f t="array" ref="I202">IF(C202="","",IF(_xlfn.XLOOKUP(A202&amp;B202&amp;C202,盘货信息!$A:$A&amp;盘货信息!$B:$B&amp;盘货信息!$C:$C,盘货信息!$R:$R)="","",_xlfn.XLOOKUP(A202&amp;B202&amp;C202,盘货信息!$A:$A&amp;盘货信息!$B:$B&amp;盘货信息!$C:$C,盘货信息!$R:$R)&amp;"元优惠卷"))</f>
        <v/>
      </c>
      <c r="J202" s="18" t="str">
        <f t="array" ref="J202">IF(C202="","",IF(_xlfn.XLOOKUP(A202&amp;B202&amp;C202,盘货信息!$A:$A&amp;盘货信息!$B:$B&amp;盘货信息!$C:$C,盘货信息!$K:$K)="","",IF(OR(_xlfn.XLOOKUP(A202&amp;B202&amp;C202,盘货信息!$A:$A&amp;盘货信息!$B:$B&amp;盘货信息!$C:$C,盘货信息!$G:$G)="参加",_xlfn.XLOOKUP(A202&amp;B202&amp;C202,盘货信息!$A:$A&amp;盘货信息!$B:$B&amp;盘货信息!$C:$C,盘货信息!$H:$H)="1（纯自补）"),_xlfn.XLOOKUP(A202&amp;B202&amp;C202,盘货信息!$A:$A&amp;盘货信息!$B:$B&amp;盘货信息!$C:$C,盘货信息!$K:$K)&amp;"元以旧换新（可无旧机换新）","")))</f>
        <v/>
      </c>
      <c r="K202" s="18" t="str">
        <f t="array" ref="K202">IF(C202="","",IF(_xlfn.XLOOKUP(A202&amp;B202&amp;C202,盘货信息!$A:$A&amp;盘货信息!$B:$B&amp;盘货信息!$C:$C,盘货信息!$L:$L)="","",_xlfn.XLOOKUP(A202&amp;B202&amp;C202,盘货信息!$A:$A&amp;盘货信息!$B:$B&amp;盘货信息!$C:$C,盘货信息!$L:$L)&amp;"元限时补贴"))</f>
        <v/>
      </c>
      <c r="L202" s="18" t="str">
        <f t="array" ref="L202">IF(C202="","",IF(_xlfn.XLOOKUP(A202&amp;B202&amp;C202,盘货信息!$A:$A&amp;盘货信息!$B:$B&amp;盘货信息!$C:$C,盘货信息!$M:$M)="","",_xlfn.XLOOKUP(A202&amp;B202&amp;C202,盘货信息!$A:$A&amp;盘货信息!$B:$B&amp;盘货信息!$C:$C,盘货信息!$M:$M)&amp;"元消费券"))</f>
        <v/>
      </c>
      <c r="M202" s="18" t="str">
        <f t="array" ref="M202">IF(C202="","",IF(_xlfn.XLOOKUP(A202&amp;B202&amp;C202,盘货信息!$A:$A&amp;盘货信息!$B:$B&amp;盘货信息!$C:$C,盘货信息!$G:$G)="不参加","","焕新补贴优惠【全民可用，不限地址】"))</f>
        <v/>
      </c>
    </row>
    <row r="203" customHeight="1" spans="1:13">
      <c r="A203" s="17" t="str">
        <f>IF(盘货信息!A203="","",盘货信息!A203)</f>
        <v/>
      </c>
      <c r="B203" s="17" t="str">
        <f>IF(盘货信息!B203="","",盘货信息!B203)</f>
        <v/>
      </c>
      <c r="C203" s="18" t="str">
        <f>IF(盘货信息!C203="","",盘货信息!C203)</f>
        <v/>
      </c>
      <c r="D203" s="18" t="str">
        <f t="shared" si="3"/>
        <v/>
      </c>
      <c r="E203" s="18" t="str">
        <f t="array" ref="E203">IF(C203="","",IF(_xlfn.XLOOKUP(A203&amp;B203&amp;C203,盘货信息!$A:$A&amp;盘货信息!$B:$B&amp;盘货信息!$C:$C,盘货信息!$N:$N)="","【立减到手价"&amp;_xlfn.XLOOKUP(A203&amp;B203&amp;C203,盘货信息!$A:$A&amp;盘货信息!$B:$B&amp;盘货信息!$C:$C,盘货信息!$F:$F)&amp;"元】","【焕新补贴预估价"&amp;_xlfn.XLOOKUP(A203&amp;B203&amp;C203,盘货信息!$A:$A&amp;盘货信息!$B:$B&amp;盘货信息!$C:$C,盘货信息!$N:$N)&amp;"元】"))</f>
        <v/>
      </c>
      <c r="F203" s="18" t="str">
        <f t="array" ref="F203">IF(C203="","",_xlfn.XLOOKUP(A203&amp;B203&amp;C203,盘货信息!$A:$A&amp;盘货信息!$B:$B&amp;盘货信息!$C:$C,盘货信息!$E:$E)&amp;"元到手价")</f>
        <v/>
      </c>
      <c r="G203" s="18" t="str">
        <f t="array" ref="G203">IF(C203="","",IF(_xlfn.XLOOKUP(A203&amp;B203&amp;C203,盘货信息!$A:$A&amp;盘货信息!$B:$B&amp;盘货信息!$C:$C,盘货信息!$I:$I)="","","88VIP95折"))</f>
        <v/>
      </c>
      <c r="H203" s="18" t="str">
        <f t="array" ref="H203">IF(C203="","",IF(_xlfn.XLOOKUP(A203&amp;B203&amp;C203,盘货信息!$A:$A&amp;盘货信息!$B:$B&amp;盘货信息!$C:$C,盘货信息!$J:$J)="","",_xlfn.XLOOKUP(A203&amp;B203&amp;C203,盘货信息!$A:$A&amp;盘货信息!$B:$B&amp;盘货信息!$C:$C,盘货信息!$J:$J)&amp;"元优惠卷"))</f>
        <v/>
      </c>
      <c r="I203" s="18" t="str">
        <f t="array" ref="I203">IF(C203="","",IF(_xlfn.XLOOKUP(A203&amp;B203&amp;C203,盘货信息!$A:$A&amp;盘货信息!$B:$B&amp;盘货信息!$C:$C,盘货信息!$R:$R)="","",_xlfn.XLOOKUP(A203&amp;B203&amp;C203,盘货信息!$A:$A&amp;盘货信息!$B:$B&amp;盘货信息!$C:$C,盘货信息!$R:$R)&amp;"元优惠卷"))</f>
        <v/>
      </c>
      <c r="J203" s="18" t="str">
        <f t="array" ref="J203">IF(C203="","",IF(_xlfn.XLOOKUP(A203&amp;B203&amp;C203,盘货信息!$A:$A&amp;盘货信息!$B:$B&amp;盘货信息!$C:$C,盘货信息!$K:$K)="","",IF(OR(_xlfn.XLOOKUP(A203&amp;B203&amp;C203,盘货信息!$A:$A&amp;盘货信息!$B:$B&amp;盘货信息!$C:$C,盘货信息!$G:$G)="参加",_xlfn.XLOOKUP(A203&amp;B203&amp;C203,盘货信息!$A:$A&amp;盘货信息!$B:$B&amp;盘货信息!$C:$C,盘货信息!$H:$H)="1（纯自补）"),_xlfn.XLOOKUP(A203&amp;B203&amp;C203,盘货信息!$A:$A&amp;盘货信息!$B:$B&amp;盘货信息!$C:$C,盘货信息!$K:$K)&amp;"元以旧换新（可无旧机换新）","")))</f>
        <v/>
      </c>
      <c r="K203" s="18" t="str">
        <f t="array" ref="K203">IF(C203="","",IF(_xlfn.XLOOKUP(A203&amp;B203&amp;C203,盘货信息!$A:$A&amp;盘货信息!$B:$B&amp;盘货信息!$C:$C,盘货信息!$L:$L)="","",_xlfn.XLOOKUP(A203&amp;B203&amp;C203,盘货信息!$A:$A&amp;盘货信息!$B:$B&amp;盘货信息!$C:$C,盘货信息!$L:$L)&amp;"元限时补贴"))</f>
        <v/>
      </c>
      <c r="L203" s="18" t="str">
        <f t="array" ref="L203">IF(C203="","",IF(_xlfn.XLOOKUP(A203&amp;B203&amp;C203,盘货信息!$A:$A&amp;盘货信息!$B:$B&amp;盘货信息!$C:$C,盘货信息!$M:$M)="","",_xlfn.XLOOKUP(A203&amp;B203&amp;C203,盘货信息!$A:$A&amp;盘货信息!$B:$B&amp;盘货信息!$C:$C,盘货信息!$M:$M)&amp;"元消费券"))</f>
        <v/>
      </c>
      <c r="M203" s="18" t="str">
        <f t="array" ref="M203">IF(C203="","",IF(_xlfn.XLOOKUP(A203&amp;B203&amp;C203,盘货信息!$A:$A&amp;盘货信息!$B:$B&amp;盘货信息!$C:$C,盘货信息!$G:$G)="不参加","","焕新补贴优惠【全民可用，不限地址】"))</f>
        <v/>
      </c>
    </row>
    <row r="204" customHeight="1" spans="1:13">
      <c r="A204" s="17" t="str">
        <f>IF(盘货信息!A204="","",盘货信息!A204)</f>
        <v/>
      </c>
      <c r="B204" s="17" t="str">
        <f>IF(盘货信息!B204="","",盘货信息!B204)</f>
        <v/>
      </c>
      <c r="C204" s="18" t="str">
        <f>IF(盘货信息!C204="","",盘货信息!C204)</f>
        <v/>
      </c>
      <c r="D204" s="18" t="str">
        <f t="shared" si="3"/>
        <v/>
      </c>
      <c r="E204" s="18" t="str">
        <f t="array" ref="E204">IF(C204="","",IF(_xlfn.XLOOKUP(A204&amp;B204&amp;C204,盘货信息!$A:$A&amp;盘货信息!$B:$B&amp;盘货信息!$C:$C,盘货信息!$N:$N)="","【立减到手价"&amp;_xlfn.XLOOKUP(A204&amp;B204&amp;C204,盘货信息!$A:$A&amp;盘货信息!$B:$B&amp;盘货信息!$C:$C,盘货信息!$F:$F)&amp;"元】","【焕新补贴预估价"&amp;_xlfn.XLOOKUP(A204&amp;B204&amp;C204,盘货信息!$A:$A&amp;盘货信息!$B:$B&amp;盘货信息!$C:$C,盘货信息!$N:$N)&amp;"元】"))</f>
        <v/>
      </c>
      <c r="F204" s="18" t="str">
        <f t="array" ref="F204">IF(C204="","",_xlfn.XLOOKUP(A204&amp;B204&amp;C204,盘货信息!$A:$A&amp;盘货信息!$B:$B&amp;盘货信息!$C:$C,盘货信息!$E:$E)&amp;"元到手价")</f>
        <v/>
      </c>
      <c r="G204" s="18" t="str">
        <f t="array" ref="G204">IF(C204="","",IF(_xlfn.XLOOKUP(A204&amp;B204&amp;C204,盘货信息!$A:$A&amp;盘货信息!$B:$B&amp;盘货信息!$C:$C,盘货信息!$I:$I)="","","88VIP95折"))</f>
        <v/>
      </c>
      <c r="H204" s="18" t="str">
        <f t="array" ref="H204">IF(C204="","",IF(_xlfn.XLOOKUP(A204&amp;B204&amp;C204,盘货信息!$A:$A&amp;盘货信息!$B:$B&amp;盘货信息!$C:$C,盘货信息!$J:$J)="","",_xlfn.XLOOKUP(A204&amp;B204&amp;C204,盘货信息!$A:$A&amp;盘货信息!$B:$B&amp;盘货信息!$C:$C,盘货信息!$J:$J)&amp;"元优惠卷"))</f>
        <v/>
      </c>
      <c r="I204" s="18" t="str">
        <f t="array" ref="I204">IF(C204="","",IF(_xlfn.XLOOKUP(A204&amp;B204&amp;C204,盘货信息!$A:$A&amp;盘货信息!$B:$B&amp;盘货信息!$C:$C,盘货信息!$R:$R)="","",_xlfn.XLOOKUP(A204&amp;B204&amp;C204,盘货信息!$A:$A&amp;盘货信息!$B:$B&amp;盘货信息!$C:$C,盘货信息!$R:$R)&amp;"元优惠卷"))</f>
        <v/>
      </c>
      <c r="J204" s="18" t="str">
        <f t="array" ref="J204">IF(C204="","",IF(_xlfn.XLOOKUP(A204&amp;B204&amp;C204,盘货信息!$A:$A&amp;盘货信息!$B:$B&amp;盘货信息!$C:$C,盘货信息!$K:$K)="","",IF(OR(_xlfn.XLOOKUP(A204&amp;B204&amp;C204,盘货信息!$A:$A&amp;盘货信息!$B:$B&amp;盘货信息!$C:$C,盘货信息!$G:$G)="参加",_xlfn.XLOOKUP(A204&amp;B204&amp;C204,盘货信息!$A:$A&amp;盘货信息!$B:$B&amp;盘货信息!$C:$C,盘货信息!$H:$H)="1（纯自补）"),_xlfn.XLOOKUP(A204&amp;B204&amp;C204,盘货信息!$A:$A&amp;盘货信息!$B:$B&amp;盘货信息!$C:$C,盘货信息!$K:$K)&amp;"元以旧换新（可无旧机换新）","")))</f>
        <v/>
      </c>
      <c r="K204" s="18" t="str">
        <f t="array" ref="K204">IF(C204="","",IF(_xlfn.XLOOKUP(A204&amp;B204&amp;C204,盘货信息!$A:$A&amp;盘货信息!$B:$B&amp;盘货信息!$C:$C,盘货信息!$L:$L)="","",_xlfn.XLOOKUP(A204&amp;B204&amp;C204,盘货信息!$A:$A&amp;盘货信息!$B:$B&amp;盘货信息!$C:$C,盘货信息!$L:$L)&amp;"元限时补贴"))</f>
        <v/>
      </c>
      <c r="L204" s="18" t="str">
        <f t="array" ref="L204">IF(C204="","",IF(_xlfn.XLOOKUP(A204&amp;B204&amp;C204,盘货信息!$A:$A&amp;盘货信息!$B:$B&amp;盘货信息!$C:$C,盘货信息!$M:$M)="","",_xlfn.XLOOKUP(A204&amp;B204&amp;C204,盘货信息!$A:$A&amp;盘货信息!$B:$B&amp;盘货信息!$C:$C,盘货信息!$M:$M)&amp;"元消费券"))</f>
        <v/>
      </c>
      <c r="M204" s="18" t="str">
        <f t="array" ref="M204">IF(C204="","",IF(_xlfn.XLOOKUP(A204&amp;B204&amp;C204,盘货信息!$A:$A&amp;盘货信息!$B:$B&amp;盘货信息!$C:$C,盘货信息!$G:$G)="不参加","","焕新补贴优惠【全民可用，不限地址】"))</f>
        <v/>
      </c>
    </row>
    <row r="205" customHeight="1" spans="1:13">
      <c r="A205" s="17" t="str">
        <f>IF(盘货信息!A205="","",盘货信息!A205)</f>
        <v/>
      </c>
      <c r="B205" s="17" t="str">
        <f>IF(盘货信息!B205="","",盘货信息!B205)</f>
        <v/>
      </c>
      <c r="C205" s="18" t="str">
        <f>IF(盘货信息!C205="","",盘货信息!C205)</f>
        <v/>
      </c>
      <c r="D205" s="18" t="str">
        <f t="shared" si="3"/>
        <v/>
      </c>
      <c r="E205" s="18" t="str">
        <f t="array" ref="E205">IF(C205="","",IF(_xlfn.XLOOKUP(A205&amp;B205&amp;C205,盘货信息!$A:$A&amp;盘货信息!$B:$B&amp;盘货信息!$C:$C,盘货信息!$N:$N)="","【立减到手价"&amp;_xlfn.XLOOKUP(A205&amp;B205&amp;C205,盘货信息!$A:$A&amp;盘货信息!$B:$B&amp;盘货信息!$C:$C,盘货信息!$F:$F)&amp;"元】","【焕新补贴预估价"&amp;_xlfn.XLOOKUP(A205&amp;B205&amp;C205,盘货信息!$A:$A&amp;盘货信息!$B:$B&amp;盘货信息!$C:$C,盘货信息!$N:$N)&amp;"元】"))</f>
        <v/>
      </c>
      <c r="F205" s="18" t="str">
        <f t="array" ref="F205">IF(C205="","",_xlfn.XLOOKUP(A205&amp;B205&amp;C205,盘货信息!$A:$A&amp;盘货信息!$B:$B&amp;盘货信息!$C:$C,盘货信息!$E:$E)&amp;"元到手价")</f>
        <v/>
      </c>
      <c r="G205" s="18" t="str">
        <f t="array" ref="G205">IF(C205="","",IF(_xlfn.XLOOKUP(A205&amp;B205&amp;C205,盘货信息!$A:$A&amp;盘货信息!$B:$B&amp;盘货信息!$C:$C,盘货信息!$I:$I)="","","88VIP95折"))</f>
        <v/>
      </c>
      <c r="H205" s="18" t="str">
        <f t="array" ref="H205">IF(C205="","",IF(_xlfn.XLOOKUP(A205&amp;B205&amp;C205,盘货信息!$A:$A&amp;盘货信息!$B:$B&amp;盘货信息!$C:$C,盘货信息!$J:$J)="","",_xlfn.XLOOKUP(A205&amp;B205&amp;C205,盘货信息!$A:$A&amp;盘货信息!$B:$B&amp;盘货信息!$C:$C,盘货信息!$J:$J)&amp;"元优惠卷"))</f>
        <v/>
      </c>
      <c r="I205" s="18" t="str">
        <f t="array" ref="I205">IF(C205="","",IF(_xlfn.XLOOKUP(A205&amp;B205&amp;C205,盘货信息!$A:$A&amp;盘货信息!$B:$B&amp;盘货信息!$C:$C,盘货信息!$R:$R)="","",_xlfn.XLOOKUP(A205&amp;B205&amp;C205,盘货信息!$A:$A&amp;盘货信息!$B:$B&amp;盘货信息!$C:$C,盘货信息!$R:$R)&amp;"元优惠卷"))</f>
        <v/>
      </c>
      <c r="J205" s="18" t="str">
        <f t="array" ref="J205">IF(C205="","",IF(_xlfn.XLOOKUP(A205&amp;B205&amp;C205,盘货信息!$A:$A&amp;盘货信息!$B:$B&amp;盘货信息!$C:$C,盘货信息!$K:$K)="","",IF(OR(_xlfn.XLOOKUP(A205&amp;B205&amp;C205,盘货信息!$A:$A&amp;盘货信息!$B:$B&amp;盘货信息!$C:$C,盘货信息!$G:$G)="参加",_xlfn.XLOOKUP(A205&amp;B205&amp;C205,盘货信息!$A:$A&amp;盘货信息!$B:$B&amp;盘货信息!$C:$C,盘货信息!$H:$H)="1（纯自补）"),_xlfn.XLOOKUP(A205&amp;B205&amp;C205,盘货信息!$A:$A&amp;盘货信息!$B:$B&amp;盘货信息!$C:$C,盘货信息!$K:$K)&amp;"元以旧换新（可无旧机换新）","")))</f>
        <v/>
      </c>
      <c r="K205" s="18" t="str">
        <f t="array" ref="K205">IF(C205="","",IF(_xlfn.XLOOKUP(A205&amp;B205&amp;C205,盘货信息!$A:$A&amp;盘货信息!$B:$B&amp;盘货信息!$C:$C,盘货信息!$L:$L)="","",_xlfn.XLOOKUP(A205&amp;B205&amp;C205,盘货信息!$A:$A&amp;盘货信息!$B:$B&amp;盘货信息!$C:$C,盘货信息!$L:$L)&amp;"元限时补贴"))</f>
        <v/>
      </c>
      <c r="L205" s="18" t="str">
        <f t="array" ref="L205">IF(C205="","",IF(_xlfn.XLOOKUP(A205&amp;B205&amp;C205,盘货信息!$A:$A&amp;盘货信息!$B:$B&amp;盘货信息!$C:$C,盘货信息!$M:$M)="","",_xlfn.XLOOKUP(A205&amp;B205&amp;C205,盘货信息!$A:$A&amp;盘货信息!$B:$B&amp;盘货信息!$C:$C,盘货信息!$M:$M)&amp;"元消费券"))</f>
        <v/>
      </c>
      <c r="M205" s="18" t="str">
        <f t="array" ref="M205">IF(C205="","",IF(_xlfn.XLOOKUP(A205&amp;B205&amp;C205,盘货信息!$A:$A&amp;盘货信息!$B:$B&amp;盘货信息!$C:$C,盘货信息!$G:$G)="不参加","","焕新补贴优惠【全民可用，不限地址】"))</f>
        <v/>
      </c>
    </row>
    <row r="206" customHeight="1" spans="1:13">
      <c r="A206" s="17" t="str">
        <f>IF(盘货信息!A206="","",盘货信息!A206)</f>
        <v/>
      </c>
      <c r="B206" s="17" t="str">
        <f>IF(盘货信息!B206="","",盘货信息!B206)</f>
        <v/>
      </c>
      <c r="C206" s="18" t="str">
        <f>IF(盘货信息!C206="","",盘货信息!C206)</f>
        <v/>
      </c>
      <c r="D206" s="18" t="str">
        <f t="shared" si="3"/>
        <v/>
      </c>
      <c r="E206" s="18" t="str">
        <f t="array" ref="E206">IF(C206="","",IF(_xlfn.XLOOKUP(A206&amp;B206&amp;C206,盘货信息!$A:$A&amp;盘货信息!$B:$B&amp;盘货信息!$C:$C,盘货信息!$N:$N)="","【立减到手价"&amp;_xlfn.XLOOKUP(A206&amp;B206&amp;C206,盘货信息!$A:$A&amp;盘货信息!$B:$B&amp;盘货信息!$C:$C,盘货信息!$F:$F)&amp;"元】","【焕新补贴预估价"&amp;_xlfn.XLOOKUP(A206&amp;B206&amp;C206,盘货信息!$A:$A&amp;盘货信息!$B:$B&amp;盘货信息!$C:$C,盘货信息!$N:$N)&amp;"元】"))</f>
        <v/>
      </c>
      <c r="F206" s="18" t="str">
        <f t="array" ref="F206">IF(C206="","",_xlfn.XLOOKUP(A206&amp;B206&amp;C206,盘货信息!$A:$A&amp;盘货信息!$B:$B&amp;盘货信息!$C:$C,盘货信息!$E:$E)&amp;"元到手价")</f>
        <v/>
      </c>
      <c r="G206" s="18" t="str">
        <f t="array" ref="G206">IF(C206="","",IF(_xlfn.XLOOKUP(A206&amp;B206&amp;C206,盘货信息!$A:$A&amp;盘货信息!$B:$B&amp;盘货信息!$C:$C,盘货信息!$I:$I)="","","88VIP95折"))</f>
        <v/>
      </c>
      <c r="H206" s="18" t="str">
        <f t="array" ref="H206">IF(C206="","",IF(_xlfn.XLOOKUP(A206&amp;B206&amp;C206,盘货信息!$A:$A&amp;盘货信息!$B:$B&amp;盘货信息!$C:$C,盘货信息!$J:$J)="","",_xlfn.XLOOKUP(A206&amp;B206&amp;C206,盘货信息!$A:$A&amp;盘货信息!$B:$B&amp;盘货信息!$C:$C,盘货信息!$J:$J)&amp;"元优惠卷"))</f>
        <v/>
      </c>
      <c r="I206" s="18" t="str">
        <f t="array" ref="I206">IF(C206="","",IF(_xlfn.XLOOKUP(A206&amp;B206&amp;C206,盘货信息!$A:$A&amp;盘货信息!$B:$B&amp;盘货信息!$C:$C,盘货信息!$R:$R)="","",_xlfn.XLOOKUP(A206&amp;B206&amp;C206,盘货信息!$A:$A&amp;盘货信息!$B:$B&amp;盘货信息!$C:$C,盘货信息!$R:$R)&amp;"元优惠卷"))</f>
        <v/>
      </c>
      <c r="J206" s="18" t="str">
        <f t="array" ref="J206">IF(C206="","",IF(_xlfn.XLOOKUP(A206&amp;B206&amp;C206,盘货信息!$A:$A&amp;盘货信息!$B:$B&amp;盘货信息!$C:$C,盘货信息!$K:$K)="","",IF(OR(_xlfn.XLOOKUP(A206&amp;B206&amp;C206,盘货信息!$A:$A&amp;盘货信息!$B:$B&amp;盘货信息!$C:$C,盘货信息!$G:$G)="参加",_xlfn.XLOOKUP(A206&amp;B206&amp;C206,盘货信息!$A:$A&amp;盘货信息!$B:$B&amp;盘货信息!$C:$C,盘货信息!$H:$H)="1（纯自补）"),_xlfn.XLOOKUP(A206&amp;B206&amp;C206,盘货信息!$A:$A&amp;盘货信息!$B:$B&amp;盘货信息!$C:$C,盘货信息!$K:$K)&amp;"元以旧换新（可无旧机换新）","")))</f>
        <v/>
      </c>
      <c r="K206" s="18" t="str">
        <f t="array" ref="K206">IF(C206="","",IF(_xlfn.XLOOKUP(A206&amp;B206&amp;C206,盘货信息!$A:$A&amp;盘货信息!$B:$B&amp;盘货信息!$C:$C,盘货信息!$L:$L)="","",_xlfn.XLOOKUP(A206&amp;B206&amp;C206,盘货信息!$A:$A&amp;盘货信息!$B:$B&amp;盘货信息!$C:$C,盘货信息!$L:$L)&amp;"元限时补贴"))</f>
        <v/>
      </c>
      <c r="L206" s="18" t="str">
        <f t="array" ref="L206">IF(C206="","",IF(_xlfn.XLOOKUP(A206&amp;B206&amp;C206,盘货信息!$A:$A&amp;盘货信息!$B:$B&amp;盘货信息!$C:$C,盘货信息!$M:$M)="","",_xlfn.XLOOKUP(A206&amp;B206&amp;C206,盘货信息!$A:$A&amp;盘货信息!$B:$B&amp;盘货信息!$C:$C,盘货信息!$M:$M)&amp;"元消费券"))</f>
        <v/>
      </c>
      <c r="M206" s="18" t="str">
        <f t="array" ref="M206">IF(C206="","",IF(_xlfn.XLOOKUP(A206&amp;B206&amp;C206,盘货信息!$A:$A&amp;盘货信息!$B:$B&amp;盘货信息!$C:$C,盘货信息!$G:$G)="不参加","","焕新补贴优惠【全民可用，不限地址】"))</f>
        <v/>
      </c>
    </row>
    <row r="207" customHeight="1" spans="1:13">
      <c r="A207" s="17" t="str">
        <f>IF(盘货信息!A207="","",盘货信息!A207)</f>
        <v/>
      </c>
      <c r="B207" s="17" t="str">
        <f>IF(盘货信息!B207="","",盘货信息!B207)</f>
        <v/>
      </c>
      <c r="C207" s="18" t="str">
        <f>IF(盘货信息!C207="","",盘货信息!C207)</f>
        <v/>
      </c>
      <c r="D207" s="18" t="str">
        <f t="shared" si="3"/>
        <v/>
      </c>
      <c r="E207" s="18" t="str">
        <f t="array" ref="E207">IF(C207="","",IF(_xlfn.XLOOKUP(A207&amp;B207&amp;C207,盘货信息!$A:$A&amp;盘货信息!$B:$B&amp;盘货信息!$C:$C,盘货信息!$N:$N)="","【立减到手价"&amp;_xlfn.XLOOKUP(A207&amp;B207&amp;C207,盘货信息!$A:$A&amp;盘货信息!$B:$B&amp;盘货信息!$C:$C,盘货信息!$F:$F)&amp;"元】","【焕新补贴预估价"&amp;_xlfn.XLOOKUP(A207&amp;B207&amp;C207,盘货信息!$A:$A&amp;盘货信息!$B:$B&amp;盘货信息!$C:$C,盘货信息!$N:$N)&amp;"元】"))</f>
        <v/>
      </c>
      <c r="F207" s="18" t="str">
        <f t="array" ref="F207">IF(C207="","",_xlfn.XLOOKUP(A207&amp;B207&amp;C207,盘货信息!$A:$A&amp;盘货信息!$B:$B&amp;盘货信息!$C:$C,盘货信息!$E:$E)&amp;"元到手价")</f>
        <v/>
      </c>
      <c r="G207" s="18" t="str">
        <f t="array" ref="G207">IF(C207="","",IF(_xlfn.XLOOKUP(A207&amp;B207&amp;C207,盘货信息!$A:$A&amp;盘货信息!$B:$B&amp;盘货信息!$C:$C,盘货信息!$I:$I)="","","88VIP95折"))</f>
        <v/>
      </c>
      <c r="H207" s="18" t="str">
        <f t="array" ref="H207">IF(C207="","",IF(_xlfn.XLOOKUP(A207&amp;B207&amp;C207,盘货信息!$A:$A&amp;盘货信息!$B:$B&amp;盘货信息!$C:$C,盘货信息!$J:$J)="","",_xlfn.XLOOKUP(A207&amp;B207&amp;C207,盘货信息!$A:$A&amp;盘货信息!$B:$B&amp;盘货信息!$C:$C,盘货信息!$J:$J)&amp;"元优惠卷"))</f>
        <v/>
      </c>
      <c r="I207" s="18" t="str">
        <f t="array" ref="I207">IF(C207="","",IF(_xlfn.XLOOKUP(A207&amp;B207&amp;C207,盘货信息!$A:$A&amp;盘货信息!$B:$B&amp;盘货信息!$C:$C,盘货信息!$R:$R)="","",_xlfn.XLOOKUP(A207&amp;B207&amp;C207,盘货信息!$A:$A&amp;盘货信息!$B:$B&amp;盘货信息!$C:$C,盘货信息!$R:$R)&amp;"元优惠卷"))</f>
        <v/>
      </c>
      <c r="J207" s="18" t="str">
        <f t="array" ref="J207">IF(C207="","",IF(_xlfn.XLOOKUP(A207&amp;B207&amp;C207,盘货信息!$A:$A&amp;盘货信息!$B:$B&amp;盘货信息!$C:$C,盘货信息!$K:$K)="","",IF(OR(_xlfn.XLOOKUP(A207&amp;B207&amp;C207,盘货信息!$A:$A&amp;盘货信息!$B:$B&amp;盘货信息!$C:$C,盘货信息!$G:$G)="参加",_xlfn.XLOOKUP(A207&amp;B207&amp;C207,盘货信息!$A:$A&amp;盘货信息!$B:$B&amp;盘货信息!$C:$C,盘货信息!$H:$H)="1（纯自补）"),_xlfn.XLOOKUP(A207&amp;B207&amp;C207,盘货信息!$A:$A&amp;盘货信息!$B:$B&amp;盘货信息!$C:$C,盘货信息!$K:$K)&amp;"元以旧换新（可无旧机换新）","")))</f>
        <v/>
      </c>
      <c r="K207" s="18" t="str">
        <f t="array" ref="K207">IF(C207="","",IF(_xlfn.XLOOKUP(A207&amp;B207&amp;C207,盘货信息!$A:$A&amp;盘货信息!$B:$B&amp;盘货信息!$C:$C,盘货信息!$L:$L)="","",_xlfn.XLOOKUP(A207&amp;B207&amp;C207,盘货信息!$A:$A&amp;盘货信息!$B:$B&amp;盘货信息!$C:$C,盘货信息!$L:$L)&amp;"元限时补贴"))</f>
        <v/>
      </c>
      <c r="L207" s="18" t="str">
        <f t="array" ref="L207">IF(C207="","",IF(_xlfn.XLOOKUP(A207&amp;B207&amp;C207,盘货信息!$A:$A&amp;盘货信息!$B:$B&amp;盘货信息!$C:$C,盘货信息!$M:$M)="","",_xlfn.XLOOKUP(A207&amp;B207&amp;C207,盘货信息!$A:$A&amp;盘货信息!$B:$B&amp;盘货信息!$C:$C,盘货信息!$M:$M)&amp;"元消费券"))</f>
        <v/>
      </c>
      <c r="M207" s="18" t="str">
        <f t="array" ref="M207">IF(C207="","",IF(_xlfn.XLOOKUP(A207&amp;B207&amp;C207,盘货信息!$A:$A&amp;盘货信息!$B:$B&amp;盘货信息!$C:$C,盘货信息!$G:$G)="不参加","","焕新补贴优惠【全民可用，不限地址】"))</f>
        <v/>
      </c>
    </row>
    <row r="208" customHeight="1" spans="1:13">
      <c r="A208" s="17" t="str">
        <f>IF(盘货信息!A208="","",盘货信息!A208)</f>
        <v/>
      </c>
      <c r="B208" s="17" t="str">
        <f>IF(盘货信息!B208="","",盘货信息!B208)</f>
        <v/>
      </c>
      <c r="C208" s="18" t="str">
        <f>IF(盘货信息!C208="","",盘货信息!C208)</f>
        <v/>
      </c>
      <c r="D208" s="18" t="str">
        <f t="shared" si="3"/>
        <v/>
      </c>
      <c r="E208" s="18" t="str">
        <f t="array" ref="E208">IF(C208="","",IF(_xlfn.XLOOKUP(A208&amp;B208&amp;C208,盘货信息!$A:$A&amp;盘货信息!$B:$B&amp;盘货信息!$C:$C,盘货信息!$N:$N)="","【立减到手价"&amp;_xlfn.XLOOKUP(A208&amp;B208&amp;C208,盘货信息!$A:$A&amp;盘货信息!$B:$B&amp;盘货信息!$C:$C,盘货信息!$F:$F)&amp;"元】","【焕新补贴预估价"&amp;_xlfn.XLOOKUP(A208&amp;B208&amp;C208,盘货信息!$A:$A&amp;盘货信息!$B:$B&amp;盘货信息!$C:$C,盘货信息!$N:$N)&amp;"元】"))</f>
        <v/>
      </c>
      <c r="F208" s="18" t="str">
        <f t="array" ref="F208">IF(C208="","",_xlfn.XLOOKUP(A208&amp;B208&amp;C208,盘货信息!$A:$A&amp;盘货信息!$B:$B&amp;盘货信息!$C:$C,盘货信息!$E:$E)&amp;"元到手价")</f>
        <v/>
      </c>
      <c r="G208" s="18" t="str">
        <f t="array" ref="G208">IF(C208="","",IF(_xlfn.XLOOKUP(A208&amp;B208&amp;C208,盘货信息!$A:$A&amp;盘货信息!$B:$B&amp;盘货信息!$C:$C,盘货信息!$I:$I)="","","88VIP95折"))</f>
        <v/>
      </c>
      <c r="H208" s="18" t="str">
        <f t="array" ref="H208">IF(C208="","",IF(_xlfn.XLOOKUP(A208&amp;B208&amp;C208,盘货信息!$A:$A&amp;盘货信息!$B:$B&amp;盘货信息!$C:$C,盘货信息!$J:$J)="","",_xlfn.XLOOKUP(A208&amp;B208&amp;C208,盘货信息!$A:$A&amp;盘货信息!$B:$B&amp;盘货信息!$C:$C,盘货信息!$J:$J)&amp;"元优惠卷"))</f>
        <v/>
      </c>
      <c r="I208" s="18" t="str">
        <f t="array" ref="I208">IF(C208="","",IF(_xlfn.XLOOKUP(A208&amp;B208&amp;C208,盘货信息!$A:$A&amp;盘货信息!$B:$B&amp;盘货信息!$C:$C,盘货信息!$R:$R)="","",_xlfn.XLOOKUP(A208&amp;B208&amp;C208,盘货信息!$A:$A&amp;盘货信息!$B:$B&amp;盘货信息!$C:$C,盘货信息!$R:$R)&amp;"元优惠卷"))</f>
        <v/>
      </c>
      <c r="J208" s="18" t="str">
        <f t="array" ref="J208">IF(C208="","",IF(_xlfn.XLOOKUP(A208&amp;B208&amp;C208,盘货信息!$A:$A&amp;盘货信息!$B:$B&amp;盘货信息!$C:$C,盘货信息!$K:$K)="","",IF(OR(_xlfn.XLOOKUP(A208&amp;B208&amp;C208,盘货信息!$A:$A&amp;盘货信息!$B:$B&amp;盘货信息!$C:$C,盘货信息!$G:$G)="参加",_xlfn.XLOOKUP(A208&amp;B208&amp;C208,盘货信息!$A:$A&amp;盘货信息!$B:$B&amp;盘货信息!$C:$C,盘货信息!$H:$H)="1（纯自补）"),_xlfn.XLOOKUP(A208&amp;B208&amp;C208,盘货信息!$A:$A&amp;盘货信息!$B:$B&amp;盘货信息!$C:$C,盘货信息!$K:$K)&amp;"元以旧换新（可无旧机换新）","")))</f>
        <v/>
      </c>
      <c r="K208" s="18" t="str">
        <f t="array" ref="K208">IF(C208="","",IF(_xlfn.XLOOKUP(A208&amp;B208&amp;C208,盘货信息!$A:$A&amp;盘货信息!$B:$B&amp;盘货信息!$C:$C,盘货信息!$L:$L)="","",_xlfn.XLOOKUP(A208&amp;B208&amp;C208,盘货信息!$A:$A&amp;盘货信息!$B:$B&amp;盘货信息!$C:$C,盘货信息!$L:$L)&amp;"元限时补贴"))</f>
        <v/>
      </c>
      <c r="L208" s="18" t="str">
        <f t="array" ref="L208">IF(C208="","",IF(_xlfn.XLOOKUP(A208&amp;B208&amp;C208,盘货信息!$A:$A&amp;盘货信息!$B:$B&amp;盘货信息!$C:$C,盘货信息!$M:$M)="","",_xlfn.XLOOKUP(A208&amp;B208&amp;C208,盘货信息!$A:$A&amp;盘货信息!$B:$B&amp;盘货信息!$C:$C,盘货信息!$M:$M)&amp;"元消费券"))</f>
        <v/>
      </c>
      <c r="M208" s="18" t="str">
        <f t="array" ref="M208">IF(C208="","",IF(_xlfn.XLOOKUP(A208&amp;B208&amp;C208,盘货信息!$A:$A&amp;盘货信息!$B:$B&amp;盘货信息!$C:$C,盘货信息!$G:$G)="不参加","","焕新补贴优惠【全民可用，不限地址】"))</f>
        <v/>
      </c>
    </row>
    <row r="209" customHeight="1" spans="1:13">
      <c r="A209" s="17" t="str">
        <f>IF(盘货信息!A209="","",盘货信息!A209)</f>
        <v/>
      </c>
      <c r="B209" s="17" t="str">
        <f>IF(盘货信息!B209="","",盘货信息!B209)</f>
        <v/>
      </c>
      <c r="C209" s="18" t="str">
        <f>IF(盘货信息!C209="","",盘货信息!C209)</f>
        <v/>
      </c>
      <c r="D209" s="18" t="str">
        <f t="shared" si="3"/>
        <v/>
      </c>
      <c r="E209" s="18" t="str">
        <f t="array" ref="E209">IF(C209="","",IF(_xlfn.XLOOKUP(A209&amp;B209&amp;C209,盘货信息!$A:$A&amp;盘货信息!$B:$B&amp;盘货信息!$C:$C,盘货信息!$N:$N)="","【立减到手价"&amp;_xlfn.XLOOKUP(A209&amp;B209&amp;C209,盘货信息!$A:$A&amp;盘货信息!$B:$B&amp;盘货信息!$C:$C,盘货信息!$F:$F)&amp;"元】","【焕新补贴预估价"&amp;_xlfn.XLOOKUP(A209&amp;B209&amp;C209,盘货信息!$A:$A&amp;盘货信息!$B:$B&amp;盘货信息!$C:$C,盘货信息!$N:$N)&amp;"元】"))</f>
        <v/>
      </c>
      <c r="F209" s="18" t="str">
        <f t="array" ref="F209">IF(C209="","",_xlfn.XLOOKUP(A209&amp;B209&amp;C209,盘货信息!$A:$A&amp;盘货信息!$B:$B&amp;盘货信息!$C:$C,盘货信息!$E:$E)&amp;"元到手价")</f>
        <v/>
      </c>
      <c r="G209" s="18" t="str">
        <f t="array" ref="G209">IF(C209="","",IF(_xlfn.XLOOKUP(A209&amp;B209&amp;C209,盘货信息!$A:$A&amp;盘货信息!$B:$B&amp;盘货信息!$C:$C,盘货信息!$I:$I)="","","88VIP95折"))</f>
        <v/>
      </c>
      <c r="H209" s="18" t="str">
        <f t="array" ref="H209">IF(C209="","",IF(_xlfn.XLOOKUP(A209&amp;B209&amp;C209,盘货信息!$A:$A&amp;盘货信息!$B:$B&amp;盘货信息!$C:$C,盘货信息!$J:$J)="","",_xlfn.XLOOKUP(A209&amp;B209&amp;C209,盘货信息!$A:$A&amp;盘货信息!$B:$B&amp;盘货信息!$C:$C,盘货信息!$J:$J)&amp;"元优惠卷"))</f>
        <v/>
      </c>
      <c r="I209" s="18" t="str">
        <f t="array" ref="I209">IF(C209="","",IF(_xlfn.XLOOKUP(A209&amp;B209&amp;C209,盘货信息!$A:$A&amp;盘货信息!$B:$B&amp;盘货信息!$C:$C,盘货信息!$R:$R)="","",_xlfn.XLOOKUP(A209&amp;B209&amp;C209,盘货信息!$A:$A&amp;盘货信息!$B:$B&amp;盘货信息!$C:$C,盘货信息!$R:$R)&amp;"元优惠卷"))</f>
        <v/>
      </c>
      <c r="J209" s="18" t="str">
        <f t="array" ref="J209">IF(C209="","",IF(_xlfn.XLOOKUP(A209&amp;B209&amp;C209,盘货信息!$A:$A&amp;盘货信息!$B:$B&amp;盘货信息!$C:$C,盘货信息!$K:$K)="","",IF(OR(_xlfn.XLOOKUP(A209&amp;B209&amp;C209,盘货信息!$A:$A&amp;盘货信息!$B:$B&amp;盘货信息!$C:$C,盘货信息!$G:$G)="参加",_xlfn.XLOOKUP(A209&amp;B209&amp;C209,盘货信息!$A:$A&amp;盘货信息!$B:$B&amp;盘货信息!$C:$C,盘货信息!$H:$H)="1（纯自补）"),_xlfn.XLOOKUP(A209&amp;B209&amp;C209,盘货信息!$A:$A&amp;盘货信息!$B:$B&amp;盘货信息!$C:$C,盘货信息!$K:$K)&amp;"元以旧换新（可无旧机换新）","")))</f>
        <v/>
      </c>
      <c r="K209" s="18" t="str">
        <f t="array" ref="K209">IF(C209="","",IF(_xlfn.XLOOKUP(A209&amp;B209&amp;C209,盘货信息!$A:$A&amp;盘货信息!$B:$B&amp;盘货信息!$C:$C,盘货信息!$L:$L)="","",_xlfn.XLOOKUP(A209&amp;B209&amp;C209,盘货信息!$A:$A&amp;盘货信息!$B:$B&amp;盘货信息!$C:$C,盘货信息!$L:$L)&amp;"元限时补贴"))</f>
        <v/>
      </c>
      <c r="L209" s="18" t="str">
        <f t="array" ref="L209">IF(C209="","",IF(_xlfn.XLOOKUP(A209&amp;B209&amp;C209,盘货信息!$A:$A&amp;盘货信息!$B:$B&amp;盘货信息!$C:$C,盘货信息!$M:$M)="","",_xlfn.XLOOKUP(A209&amp;B209&amp;C209,盘货信息!$A:$A&amp;盘货信息!$B:$B&amp;盘货信息!$C:$C,盘货信息!$M:$M)&amp;"元消费券"))</f>
        <v/>
      </c>
      <c r="M209" s="18" t="str">
        <f t="array" ref="M209">IF(C209="","",IF(_xlfn.XLOOKUP(A209&amp;B209&amp;C209,盘货信息!$A:$A&amp;盘货信息!$B:$B&amp;盘货信息!$C:$C,盘货信息!$G:$G)="不参加","","焕新补贴优惠【全民可用，不限地址】"))</f>
        <v/>
      </c>
    </row>
    <row r="210" customHeight="1" spans="1:13">
      <c r="A210" s="17" t="str">
        <f>IF(盘货信息!A210="","",盘货信息!A210)</f>
        <v/>
      </c>
      <c r="B210" s="17" t="str">
        <f>IF(盘货信息!B210="","",盘货信息!B210)</f>
        <v/>
      </c>
      <c r="C210" s="18" t="str">
        <f>IF(盘货信息!C210="","",盘货信息!C210)</f>
        <v/>
      </c>
      <c r="D210" s="18" t="str">
        <f t="shared" si="3"/>
        <v/>
      </c>
      <c r="E210" s="18" t="str">
        <f t="array" ref="E210">IF(C210="","",IF(_xlfn.XLOOKUP(A210&amp;B210&amp;C210,盘货信息!$A:$A&amp;盘货信息!$B:$B&amp;盘货信息!$C:$C,盘货信息!$N:$N)="","【立减到手价"&amp;_xlfn.XLOOKUP(A210&amp;B210&amp;C210,盘货信息!$A:$A&amp;盘货信息!$B:$B&amp;盘货信息!$C:$C,盘货信息!$F:$F)&amp;"元】","【焕新补贴预估价"&amp;_xlfn.XLOOKUP(A210&amp;B210&amp;C210,盘货信息!$A:$A&amp;盘货信息!$B:$B&amp;盘货信息!$C:$C,盘货信息!$N:$N)&amp;"元】"))</f>
        <v/>
      </c>
      <c r="F210" s="18" t="str">
        <f t="array" ref="F210">IF(C210="","",_xlfn.XLOOKUP(A210&amp;B210&amp;C210,盘货信息!$A:$A&amp;盘货信息!$B:$B&amp;盘货信息!$C:$C,盘货信息!$E:$E)&amp;"元到手价")</f>
        <v/>
      </c>
      <c r="G210" s="18" t="str">
        <f t="array" ref="G210">IF(C210="","",IF(_xlfn.XLOOKUP(A210&amp;B210&amp;C210,盘货信息!$A:$A&amp;盘货信息!$B:$B&amp;盘货信息!$C:$C,盘货信息!$I:$I)="","","88VIP95折"))</f>
        <v/>
      </c>
      <c r="H210" s="18" t="str">
        <f t="array" ref="H210">IF(C210="","",IF(_xlfn.XLOOKUP(A210&amp;B210&amp;C210,盘货信息!$A:$A&amp;盘货信息!$B:$B&amp;盘货信息!$C:$C,盘货信息!$J:$J)="","",_xlfn.XLOOKUP(A210&amp;B210&amp;C210,盘货信息!$A:$A&amp;盘货信息!$B:$B&amp;盘货信息!$C:$C,盘货信息!$J:$J)&amp;"元优惠卷"))</f>
        <v/>
      </c>
      <c r="I210" s="18" t="str">
        <f t="array" ref="I210">IF(C210="","",IF(_xlfn.XLOOKUP(A210&amp;B210&amp;C210,盘货信息!$A:$A&amp;盘货信息!$B:$B&amp;盘货信息!$C:$C,盘货信息!$R:$R)="","",_xlfn.XLOOKUP(A210&amp;B210&amp;C210,盘货信息!$A:$A&amp;盘货信息!$B:$B&amp;盘货信息!$C:$C,盘货信息!$R:$R)&amp;"元优惠卷"))</f>
        <v/>
      </c>
      <c r="J210" s="18" t="str">
        <f t="array" ref="J210">IF(C210="","",IF(_xlfn.XLOOKUP(A210&amp;B210&amp;C210,盘货信息!$A:$A&amp;盘货信息!$B:$B&amp;盘货信息!$C:$C,盘货信息!$K:$K)="","",IF(OR(_xlfn.XLOOKUP(A210&amp;B210&amp;C210,盘货信息!$A:$A&amp;盘货信息!$B:$B&amp;盘货信息!$C:$C,盘货信息!$G:$G)="参加",_xlfn.XLOOKUP(A210&amp;B210&amp;C210,盘货信息!$A:$A&amp;盘货信息!$B:$B&amp;盘货信息!$C:$C,盘货信息!$H:$H)="1（纯自补）"),_xlfn.XLOOKUP(A210&amp;B210&amp;C210,盘货信息!$A:$A&amp;盘货信息!$B:$B&amp;盘货信息!$C:$C,盘货信息!$K:$K)&amp;"元以旧换新（可无旧机换新）","")))</f>
        <v/>
      </c>
      <c r="K210" s="18" t="str">
        <f t="array" ref="K210">IF(C210="","",IF(_xlfn.XLOOKUP(A210&amp;B210&amp;C210,盘货信息!$A:$A&amp;盘货信息!$B:$B&amp;盘货信息!$C:$C,盘货信息!$L:$L)="","",_xlfn.XLOOKUP(A210&amp;B210&amp;C210,盘货信息!$A:$A&amp;盘货信息!$B:$B&amp;盘货信息!$C:$C,盘货信息!$L:$L)&amp;"元限时补贴"))</f>
        <v/>
      </c>
      <c r="L210" s="18" t="str">
        <f t="array" ref="L210">IF(C210="","",IF(_xlfn.XLOOKUP(A210&amp;B210&amp;C210,盘货信息!$A:$A&amp;盘货信息!$B:$B&amp;盘货信息!$C:$C,盘货信息!$M:$M)="","",_xlfn.XLOOKUP(A210&amp;B210&amp;C210,盘货信息!$A:$A&amp;盘货信息!$B:$B&amp;盘货信息!$C:$C,盘货信息!$M:$M)&amp;"元消费券"))</f>
        <v/>
      </c>
      <c r="M210" s="18" t="str">
        <f t="array" ref="M210">IF(C210="","",IF(_xlfn.XLOOKUP(A210&amp;B210&amp;C210,盘货信息!$A:$A&amp;盘货信息!$B:$B&amp;盘货信息!$C:$C,盘货信息!$G:$G)="不参加","","焕新补贴优惠【全民可用，不限地址】"))</f>
        <v/>
      </c>
    </row>
    <row r="211" customHeight="1" spans="1:13">
      <c r="A211" s="17" t="str">
        <f>IF(盘货信息!A211="","",盘货信息!A211)</f>
        <v/>
      </c>
      <c r="B211" s="17" t="str">
        <f>IF(盘货信息!B211="","",盘货信息!B211)</f>
        <v/>
      </c>
      <c r="C211" s="18" t="str">
        <f>IF(盘货信息!C211="","",盘货信息!C211)</f>
        <v/>
      </c>
      <c r="D211" s="18" t="str">
        <f t="shared" si="3"/>
        <v/>
      </c>
      <c r="E211" s="18" t="str">
        <f t="array" ref="E211">IF(C211="","",IF(_xlfn.XLOOKUP(A211&amp;B211&amp;C211,盘货信息!$A:$A&amp;盘货信息!$B:$B&amp;盘货信息!$C:$C,盘货信息!$N:$N)="","【立减到手价"&amp;_xlfn.XLOOKUP(A211&amp;B211&amp;C211,盘货信息!$A:$A&amp;盘货信息!$B:$B&amp;盘货信息!$C:$C,盘货信息!$F:$F)&amp;"元】","【焕新补贴预估价"&amp;_xlfn.XLOOKUP(A211&amp;B211&amp;C211,盘货信息!$A:$A&amp;盘货信息!$B:$B&amp;盘货信息!$C:$C,盘货信息!$N:$N)&amp;"元】"))</f>
        <v/>
      </c>
      <c r="F211" s="18" t="str">
        <f t="array" ref="F211">IF(C211="","",_xlfn.XLOOKUP(A211&amp;B211&amp;C211,盘货信息!$A:$A&amp;盘货信息!$B:$B&amp;盘货信息!$C:$C,盘货信息!$E:$E)&amp;"元到手价")</f>
        <v/>
      </c>
      <c r="G211" s="18" t="str">
        <f t="array" ref="G211">IF(C211="","",IF(_xlfn.XLOOKUP(A211&amp;B211&amp;C211,盘货信息!$A:$A&amp;盘货信息!$B:$B&amp;盘货信息!$C:$C,盘货信息!$I:$I)="","","88VIP95折"))</f>
        <v/>
      </c>
      <c r="H211" s="18" t="str">
        <f t="array" ref="H211">IF(C211="","",IF(_xlfn.XLOOKUP(A211&amp;B211&amp;C211,盘货信息!$A:$A&amp;盘货信息!$B:$B&amp;盘货信息!$C:$C,盘货信息!$J:$J)="","",_xlfn.XLOOKUP(A211&amp;B211&amp;C211,盘货信息!$A:$A&amp;盘货信息!$B:$B&amp;盘货信息!$C:$C,盘货信息!$J:$J)&amp;"元优惠卷"))</f>
        <v/>
      </c>
      <c r="I211" s="18" t="str">
        <f t="array" ref="I211">IF(C211="","",IF(_xlfn.XLOOKUP(A211&amp;B211&amp;C211,盘货信息!$A:$A&amp;盘货信息!$B:$B&amp;盘货信息!$C:$C,盘货信息!$R:$R)="","",_xlfn.XLOOKUP(A211&amp;B211&amp;C211,盘货信息!$A:$A&amp;盘货信息!$B:$B&amp;盘货信息!$C:$C,盘货信息!$R:$R)&amp;"元优惠卷"))</f>
        <v/>
      </c>
      <c r="J211" s="18" t="str">
        <f t="array" ref="J211">IF(C211="","",IF(_xlfn.XLOOKUP(A211&amp;B211&amp;C211,盘货信息!$A:$A&amp;盘货信息!$B:$B&amp;盘货信息!$C:$C,盘货信息!$K:$K)="","",IF(OR(_xlfn.XLOOKUP(A211&amp;B211&amp;C211,盘货信息!$A:$A&amp;盘货信息!$B:$B&amp;盘货信息!$C:$C,盘货信息!$G:$G)="参加",_xlfn.XLOOKUP(A211&amp;B211&amp;C211,盘货信息!$A:$A&amp;盘货信息!$B:$B&amp;盘货信息!$C:$C,盘货信息!$H:$H)="1（纯自补）"),_xlfn.XLOOKUP(A211&amp;B211&amp;C211,盘货信息!$A:$A&amp;盘货信息!$B:$B&amp;盘货信息!$C:$C,盘货信息!$K:$K)&amp;"元以旧换新（可无旧机换新）","")))</f>
        <v/>
      </c>
      <c r="K211" s="18" t="str">
        <f t="array" ref="K211">IF(C211="","",IF(_xlfn.XLOOKUP(A211&amp;B211&amp;C211,盘货信息!$A:$A&amp;盘货信息!$B:$B&amp;盘货信息!$C:$C,盘货信息!$L:$L)="","",_xlfn.XLOOKUP(A211&amp;B211&amp;C211,盘货信息!$A:$A&amp;盘货信息!$B:$B&amp;盘货信息!$C:$C,盘货信息!$L:$L)&amp;"元限时补贴"))</f>
        <v/>
      </c>
      <c r="L211" s="18" t="str">
        <f t="array" ref="L211">IF(C211="","",IF(_xlfn.XLOOKUP(A211&amp;B211&amp;C211,盘货信息!$A:$A&amp;盘货信息!$B:$B&amp;盘货信息!$C:$C,盘货信息!$M:$M)="","",_xlfn.XLOOKUP(A211&amp;B211&amp;C211,盘货信息!$A:$A&amp;盘货信息!$B:$B&amp;盘货信息!$C:$C,盘货信息!$M:$M)&amp;"元消费券"))</f>
        <v/>
      </c>
      <c r="M211" s="18" t="str">
        <f t="array" ref="M211">IF(C211="","",IF(_xlfn.XLOOKUP(A211&amp;B211&amp;C211,盘货信息!$A:$A&amp;盘货信息!$B:$B&amp;盘货信息!$C:$C,盘货信息!$G:$G)="不参加","","焕新补贴优惠【全民可用，不限地址】"))</f>
        <v/>
      </c>
    </row>
    <row r="212" customHeight="1" spans="1:13">
      <c r="A212" s="17" t="str">
        <f>IF(盘货信息!A212="","",盘货信息!A212)</f>
        <v/>
      </c>
      <c r="B212" s="17" t="str">
        <f>IF(盘货信息!B212="","",盘货信息!B212)</f>
        <v/>
      </c>
      <c r="C212" s="18" t="str">
        <f>IF(盘货信息!C212="","",盘货信息!C212)</f>
        <v/>
      </c>
      <c r="D212" s="18" t="str">
        <f t="shared" si="3"/>
        <v/>
      </c>
      <c r="E212" s="18" t="str">
        <f t="array" ref="E212">IF(C212="","",IF(_xlfn.XLOOKUP(A212&amp;B212&amp;C212,盘货信息!$A:$A&amp;盘货信息!$B:$B&amp;盘货信息!$C:$C,盘货信息!$N:$N)="","【立减到手价"&amp;_xlfn.XLOOKUP(A212&amp;B212&amp;C212,盘货信息!$A:$A&amp;盘货信息!$B:$B&amp;盘货信息!$C:$C,盘货信息!$F:$F)&amp;"元】","【焕新补贴预估价"&amp;_xlfn.XLOOKUP(A212&amp;B212&amp;C212,盘货信息!$A:$A&amp;盘货信息!$B:$B&amp;盘货信息!$C:$C,盘货信息!$N:$N)&amp;"元】"))</f>
        <v/>
      </c>
      <c r="F212" s="18" t="str">
        <f t="array" ref="F212">IF(C212="","",_xlfn.XLOOKUP(A212&amp;B212&amp;C212,盘货信息!$A:$A&amp;盘货信息!$B:$B&amp;盘货信息!$C:$C,盘货信息!$E:$E)&amp;"元到手价")</f>
        <v/>
      </c>
      <c r="G212" s="18" t="str">
        <f t="array" ref="G212">IF(C212="","",IF(_xlfn.XLOOKUP(A212&amp;B212&amp;C212,盘货信息!$A:$A&amp;盘货信息!$B:$B&amp;盘货信息!$C:$C,盘货信息!$I:$I)="","","88VIP95折"))</f>
        <v/>
      </c>
      <c r="H212" s="18" t="str">
        <f t="array" ref="H212">IF(C212="","",IF(_xlfn.XLOOKUP(A212&amp;B212&amp;C212,盘货信息!$A:$A&amp;盘货信息!$B:$B&amp;盘货信息!$C:$C,盘货信息!$J:$J)="","",_xlfn.XLOOKUP(A212&amp;B212&amp;C212,盘货信息!$A:$A&amp;盘货信息!$B:$B&amp;盘货信息!$C:$C,盘货信息!$J:$J)&amp;"元优惠卷"))</f>
        <v/>
      </c>
      <c r="I212" s="18" t="str">
        <f t="array" ref="I212">IF(C212="","",IF(_xlfn.XLOOKUP(A212&amp;B212&amp;C212,盘货信息!$A:$A&amp;盘货信息!$B:$B&amp;盘货信息!$C:$C,盘货信息!$R:$R)="","",_xlfn.XLOOKUP(A212&amp;B212&amp;C212,盘货信息!$A:$A&amp;盘货信息!$B:$B&amp;盘货信息!$C:$C,盘货信息!$R:$R)&amp;"元优惠卷"))</f>
        <v/>
      </c>
      <c r="J212" s="18" t="str">
        <f t="array" ref="J212">IF(C212="","",IF(_xlfn.XLOOKUP(A212&amp;B212&amp;C212,盘货信息!$A:$A&amp;盘货信息!$B:$B&amp;盘货信息!$C:$C,盘货信息!$K:$K)="","",IF(OR(_xlfn.XLOOKUP(A212&amp;B212&amp;C212,盘货信息!$A:$A&amp;盘货信息!$B:$B&amp;盘货信息!$C:$C,盘货信息!$G:$G)="参加",_xlfn.XLOOKUP(A212&amp;B212&amp;C212,盘货信息!$A:$A&amp;盘货信息!$B:$B&amp;盘货信息!$C:$C,盘货信息!$H:$H)="1（纯自补）"),_xlfn.XLOOKUP(A212&amp;B212&amp;C212,盘货信息!$A:$A&amp;盘货信息!$B:$B&amp;盘货信息!$C:$C,盘货信息!$K:$K)&amp;"元以旧换新（可无旧机换新）","")))</f>
        <v/>
      </c>
      <c r="K212" s="18" t="str">
        <f t="array" ref="K212">IF(C212="","",IF(_xlfn.XLOOKUP(A212&amp;B212&amp;C212,盘货信息!$A:$A&amp;盘货信息!$B:$B&amp;盘货信息!$C:$C,盘货信息!$L:$L)="","",_xlfn.XLOOKUP(A212&amp;B212&amp;C212,盘货信息!$A:$A&amp;盘货信息!$B:$B&amp;盘货信息!$C:$C,盘货信息!$L:$L)&amp;"元限时补贴"))</f>
        <v/>
      </c>
      <c r="L212" s="18" t="str">
        <f t="array" ref="L212">IF(C212="","",IF(_xlfn.XLOOKUP(A212&amp;B212&amp;C212,盘货信息!$A:$A&amp;盘货信息!$B:$B&amp;盘货信息!$C:$C,盘货信息!$M:$M)="","",_xlfn.XLOOKUP(A212&amp;B212&amp;C212,盘货信息!$A:$A&amp;盘货信息!$B:$B&amp;盘货信息!$C:$C,盘货信息!$M:$M)&amp;"元消费券"))</f>
        <v/>
      </c>
      <c r="M212" s="18" t="str">
        <f t="array" ref="M212">IF(C212="","",IF(_xlfn.XLOOKUP(A212&amp;B212&amp;C212,盘货信息!$A:$A&amp;盘货信息!$B:$B&amp;盘货信息!$C:$C,盘货信息!$G:$G)="不参加","","焕新补贴优惠【全民可用，不限地址】"))</f>
        <v/>
      </c>
    </row>
    <row r="213" customHeight="1" spans="1:13">
      <c r="A213" s="17" t="str">
        <f>IF(盘货信息!A213="","",盘货信息!A213)</f>
        <v/>
      </c>
      <c r="B213" s="17" t="str">
        <f>IF(盘货信息!B213="","",盘货信息!B213)</f>
        <v/>
      </c>
      <c r="C213" s="18" t="str">
        <f>IF(盘货信息!C213="","",盘货信息!C213)</f>
        <v/>
      </c>
      <c r="D213" s="18" t="str">
        <f t="shared" si="3"/>
        <v/>
      </c>
      <c r="E213" s="18" t="str">
        <f t="array" ref="E213">IF(C213="","",IF(_xlfn.XLOOKUP(A213&amp;B213&amp;C213,盘货信息!$A:$A&amp;盘货信息!$B:$B&amp;盘货信息!$C:$C,盘货信息!$N:$N)="","【立减到手价"&amp;_xlfn.XLOOKUP(A213&amp;B213&amp;C213,盘货信息!$A:$A&amp;盘货信息!$B:$B&amp;盘货信息!$C:$C,盘货信息!$F:$F)&amp;"元】","【焕新补贴预估价"&amp;_xlfn.XLOOKUP(A213&amp;B213&amp;C213,盘货信息!$A:$A&amp;盘货信息!$B:$B&amp;盘货信息!$C:$C,盘货信息!$N:$N)&amp;"元】"))</f>
        <v/>
      </c>
      <c r="F213" s="18" t="str">
        <f t="array" ref="F213">IF(C213="","",_xlfn.XLOOKUP(A213&amp;B213&amp;C213,盘货信息!$A:$A&amp;盘货信息!$B:$B&amp;盘货信息!$C:$C,盘货信息!$E:$E)&amp;"元到手价")</f>
        <v/>
      </c>
      <c r="G213" s="18" t="str">
        <f t="array" ref="G213">IF(C213="","",IF(_xlfn.XLOOKUP(A213&amp;B213&amp;C213,盘货信息!$A:$A&amp;盘货信息!$B:$B&amp;盘货信息!$C:$C,盘货信息!$I:$I)="","","88VIP95折"))</f>
        <v/>
      </c>
      <c r="H213" s="18" t="str">
        <f t="array" ref="H213">IF(C213="","",IF(_xlfn.XLOOKUP(A213&amp;B213&amp;C213,盘货信息!$A:$A&amp;盘货信息!$B:$B&amp;盘货信息!$C:$C,盘货信息!$J:$J)="","",_xlfn.XLOOKUP(A213&amp;B213&amp;C213,盘货信息!$A:$A&amp;盘货信息!$B:$B&amp;盘货信息!$C:$C,盘货信息!$J:$J)&amp;"元优惠卷"))</f>
        <v/>
      </c>
      <c r="I213" s="18" t="str">
        <f t="array" ref="I213">IF(C213="","",IF(_xlfn.XLOOKUP(A213&amp;B213&amp;C213,盘货信息!$A:$A&amp;盘货信息!$B:$B&amp;盘货信息!$C:$C,盘货信息!$R:$R)="","",_xlfn.XLOOKUP(A213&amp;B213&amp;C213,盘货信息!$A:$A&amp;盘货信息!$B:$B&amp;盘货信息!$C:$C,盘货信息!$R:$R)&amp;"元优惠卷"))</f>
        <v/>
      </c>
      <c r="J213" s="18" t="str">
        <f t="array" ref="J213">IF(C213="","",IF(_xlfn.XLOOKUP(A213&amp;B213&amp;C213,盘货信息!$A:$A&amp;盘货信息!$B:$B&amp;盘货信息!$C:$C,盘货信息!$K:$K)="","",IF(OR(_xlfn.XLOOKUP(A213&amp;B213&amp;C213,盘货信息!$A:$A&amp;盘货信息!$B:$B&amp;盘货信息!$C:$C,盘货信息!$G:$G)="参加",_xlfn.XLOOKUP(A213&amp;B213&amp;C213,盘货信息!$A:$A&amp;盘货信息!$B:$B&amp;盘货信息!$C:$C,盘货信息!$H:$H)="1（纯自补）"),_xlfn.XLOOKUP(A213&amp;B213&amp;C213,盘货信息!$A:$A&amp;盘货信息!$B:$B&amp;盘货信息!$C:$C,盘货信息!$K:$K)&amp;"元以旧换新（可无旧机换新）","")))</f>
        <v/>
      </c>
      <c r="K213" s="18" t="str">
        <f t="array" ref="K213">IF(C213="","",IF(_xlfn.XLOOKUP(A213&amp;B213&amp;C213,盘货信息!$A:$A&amp;盘货信息!$B:$B&amp;盘货信息!$C:$C,盘货信息!$L:$L)="","",_xlfn.XLOOKUP(A213&amp;B213&amp;C213,盘货信息!$A:$A&amp;盘货信息!$B:$B&amp;盘货信息!$C:$C,盘货信息!$L:$L)&amp;"元限时补贴"))</f>
        <v/>
      </c>
      <c r="L213" s="18" t="str">
        <f t="array" ref="L213">IF(C213="","",IF(_xlfn.XLOOKUP(A213&amp;B213&amp;C213,盘货信息!$A:$A&amp;盘货信息!$B:$B&amp;盘货信息!$C:$C,盘货信息!$M:$M)="","",_xlfn.XLOOKUP(A213&amp;B213&amp;C213,盘货信息!$A:$A&amp;盘货信息!$B:$B&amp;盘货信息!$C:$C,盘货信息!$M:$M)&amp;"元消费券"))</f>
        <v/>
      </c>
      <c r="M213" s="18" t="str">
        <f t="array" ref="M213">IF(C213="","",IF(_xlfn.XLOOKUP(A213&amp;B213&amp;C213,盘货信息!$A:$A&amp;盘货信息!$B:$B&amp;盘货信息!$C:$C,盘货信息!$G:$G)="不参加","","焕新补贴优惠【全民可用，不限地址】"))</f>
        <v/>
      </c>
    </row>
    <row r="214" customHeight="1" spans="1:13">
      <c r="A214" s="17" t="str">
        <f>IF(盘货信息!A214="","",盘货信息!A214)</f>
        <v/>
      </c>
      <c r="B214" s="17" t="str">
        <f>IF(盘货信息!B214="","",盘货信息!B214)</f>
        <v/>
      </c>
      <c r="C214" s="18" t="str">
        <f>IF(盘货信息!C214="","",盘货信息!C214)</f>
        <v/>
      </c>
      <c r="D214" s="18" t="str">
        <f t="shared" si="3"/>
        <v/>
      </c>
      <c r="E214" s="18" t="str">
        <f t="array" ref="E214">IF(C214="","",IF(_xlfn.XLOOKUP(A214&amp;B214&amp;C214,盘货信息!$A:$A&amp;盘货信息!$B:$B&amp;盘货信息!$C:$C,盘货信息!$N:$N)="","【立减到手价"&amp;_xlfn.XLOOKUP(A214&amp;B214&amp;C214,盘货信息!$A:$A&amp;盘货信息!$B:$B&amp;盘货信息!$C:$C,盘货信息!$F:$F)&amp;"元】","【焕新补贴预估价"&amp;_xlfn.XLOOKUP(A214&amp;B214&amp;C214,盘货信息!$A:$A&amp;盘货信息!$B:$B&amp;盘货信息!$C:$C,盘货信息!$N:$N)&amp;"元】"))</f>
        <v/>
      </c>
      <c r="F214" s="18" t="str">
        <f t="array" ref="F214">IF(C214="","",_xlfn.XLOOKUP(A214&amp;B214&amp;C214,盘货信息!$A:$A&amp;盘货信息!$B:$B&amp;盘货信息!$C:$C,盘货信息!$E:$E)&amp;"元到手价")</f>
        <v/>
      </c>
      <c r="G214" s="18" t="str">
        <f t="array" ref="G214">IF(C214="","",IF(_xlfn.XLOOKUP(A214&amp;B214&amp;C214,盘货信息!$A:$A&amp;盘货信息!$B:$B&amp;盘货信息!$C:$C,盘货信息!$I:$I)="","","88VIP95折"))</f>
        <v/>
      </c>
      <c r="H214" s="18" t="str">
        <f t="array" ref="H214">IF(C214="","",IF(_xlfn.XLOOKUP(A214&amp;B214&amp;C214,盘货信息!$A:$A&amp;盘货信息!$B:$B&amp;盘货信息!$C:$C,盘货信息!$J:$J)="","",_xlfn.XLOOKUP(A214&amp;B214&amp;C214,盘货信息!$A:$A&amp;盘货信息!$B:$B&amp;盘货信息!$C:$C,盘货信息!$J:$J)&amp;"元优惠卷"))</f>
        <v/>
      </c>
      <c r="I214" s="18" t="str">
        <f t="array" ref="I214">IF(C214="","",IF(_xlfn.XLOOKUP(A214&amp;B214&amp;C214,盘货信息!$A:$A&amp;盘货信息!$B:$B&amp;盘货信息!$C:$C,盘货信息!$R:$R)="","",_xlfn.XLOOKUP(A214&amp;B214&amp;C214,盘货信息!$A:$A&amp;盘货信息!$B:$B&amp;盘货信息!$C:$C,盘货信息!$R:$R)&amp;"元优惠卷"))</f>
        <v/>
      </c>
      <c r="J214" s="18" t="str">
        <f t="array" ref="J214">IF(C214="","",IF(_xlfn.XLOOKUP(A214&amp;B214&amp;C214,盘货信息!$A:$A&amp;盘货信息!$B:$B&amp;盘货信息!$C:$C,盘货信息!$K:$K)="","",IF(OR(_xlfn.XLOOKUP(A214&amp;B214&amp;C214,盘货信息!$A:$A&amp;盘货信息!$B:$B&amp;盘货信息!$C:$C,盘货信息!$G:$G)="参加",_xlfn.XLOOKUP(A214&amp;B214&amp;C214,盘货信息!$A:$A&amp;盘货信息!$B:$B&amp;盘货信息!$C:$C,盘货信息!$H:$H)="1（纯自补）"),_xlfn.XLOOKUP(A214&amp;B214&amp;C214,盘货信息!$A:$A&amp;盘货信息!$B:$B&amp;盘货信息!$C:$C,盘货信息!$K:$K)&amp;"元以旧换新（可无旧机换新）","")))</f>
        <v/>
      </c>
      <c r="K214" s="18" t="str">
        <f t="array" ref="K214">IF(C214="","",IF(_xlfn.XLOOKUP(A214&amp;B214&amp;C214,盘货信息!$A:$A&amp;盘货信息!$B:$B&amp;盘货信息!$C:$C,盘货信息!$L:$L)="","",_xlfn.XLOOKUP(A214&amp;B214&amp;C214,盘货信息!$A:$A&amp;盘货信息!$B:$B&amp;盘货信息!$C:$C,盘货信息!$L:$L)&amp;"元限时补贴"))</f>
        <v/>
      </c>
      <c r="L214" s="18" t="str">
        <f t="array" ref="L214">IF(C214="","",IF(_xlfn.XLOOKUP(A214&amp;B214&amp;C214,盘货信息!$A:$A&amp;盘货信息!$B:$B&amp;盘货信息!$C:$C,盘货信息!$M:$M)="","",_xlfn.XLOOKUP(A214&amp;B214&amp;C214,盘货信息!$A:$A&amp;盘货信息!$B:$B&amp;盘货信息!$C:$C,盘货信息!$M:$M)&amp;"元消费券"))</f>
        <v/>
      </c>
      <c r="M214" s="18" t="str">
        <f t="array" ref="M214">IF(C214="","",IF(_xlfn.XLOOKUP(A214&amp;B214&amp;C214,盘货信息!$A:$A&amp;盘货信息!$B:$B&amp;盘货信息!$C:$C,盘货信息!$G:$G)="不参加","","焕新补贴优惠【全民可用，不限地址】"))</f>
        <v/>
      </c>
    </row>
    <row r="215" customHeight="1" spans="1:13">
      <c r="A215" s="17" t="str">
        <f>IF(盘货信息!A215="","",盘货信息!A215)</f>
        <v/>
      </c>
      <c r="B215" s="17" t="str">
        <f>IF(盘货信息!B215="","",盘货信息!B215)</f>
        <v/>
      </c>
      <c r="C215" s="18" t="str">
        <f>IF(盘货信息!C215="","",盘货信息!C215)</f>
        <v/>
      </c>
      <c r="D215" s="18" t="str">
        <f t="shared" si="3"/>
        <v/>
      </c>
      <c r="E215" s="18" t="str">
        <f t="array" ref="E215">IF(C215="","",IF(_xlfn.XLOOKUP(A215&amp;B215&amp;C215,盘货信息!$A:$A&amp;盘货信息!$B:$B&amp;盘货信息!$C:$C,盘货信息!$N:$N)="","【立减到手价"&amp;_xlfn.XLOOKUP(A215&amp;B215&amp;C215,盘货信息!$A:$A&amp;盘货信息!$B:$B&amp;盘货信息!$C:$C,盘货信息!$F:$F)&amp;"元】","【焕新补贴预估价"&amp;_xlfn.XLOOKUP(A215&amp;B215&amp;C215,盘货信息!$A:$A&amp;盘货信息!$B:$B&amp;盘货信息!$C:$C,盘货信息!$N:$N)&amp;"元】"))</f>
        <v/>
      </c>
      <c r="F215" s="18" t="str">
        <f t="array" ref="F215">IF(C215="","",_xlfn.XLOOKUP(A215&amp;B215&amp;C215,盘货信息!$A:$A&amp;盘货信息!$B:$B&amp;盘货信息!$C:$C,盘货信息!$E:$E)&amp;"元到手价")</f>
        <v/>
      </c>
      <c r="G215" s="18" t="str">
        <f t="array" ref="G215">IF(C215="","",IF(_xlfn.XLOOKUP(A215&amp;B215&amp;C215,盘货信息!$A:$A&amp;盘货信息!$B:$B&amp;盘货信息!$C:$C,盘货信息!$I:$I)="","","88VIP95折"))</f>
        <v/>
      </c>
      <c r="H215" s="18" t="str">
        <f t="array" ref="H215">IF(C215="","",IF(_xlfn.XLOOKUP(A215&amp;B215&amp;C215,盘货信息!$A:$A&amp;盘货信息!$B:$B&amp;盘货信息!$C:$C,盘货信息!$J:$J)="","",_xlfn.XLOOKUP(A215&amp;B215&amp;C215,盘货信息!$A:$A&amp;盘货信息!$B:$B&amp;盘货信息!$C:$C,盘货信息!$J:$J)&amp;"元优惠卷"))</f>
        <v/>
      </c>
      <c r="I215" s="18" t="str">
        <f t="array" ref="I215">IF(C215="","",IF(_xlfn.XLOOKUP(A215&amp;B215&amp;C215,盘货信息!$A:$A&amp;盘货信息!$B:$B&amp;盘货信息!$C:$C,盘货信息!$R:$R)="","",_xlfn.XLOOKUP(A215&amp;B215&amp;C215,盘货信息!$A:$A&amp;盘货信息!$B:$B&amp;盘货信息!$C:$C,盘货信息!$R:$R)&amp;"元优惠卷"))</f>
        <v/>
      </c>
      <c r="J215" s="18" t="str">
        <f t="array" ref="J215">IF(C215="","",IF(_xlfn.XLOOKUP(A215&amp;B215&amp;C215,盘货信息!$A:$A&amp;盘货信息!$B:$B&amp;盘货信息!$C:$C,盘货信息!$K:$K)="","",IF(OR(_xlfn.XLOOKUP(A215&amp;B215&amp;C215,盘货信息!$A:$A&amp;盘货信息!$B:$B&amp;盘货信息!$C:$C,盘货信息!$G:$G)="参加",_xlfn.XLOOKUP(A215&amp;B215&amp;C215,盘货信息!$A:$A&amp;盘货信息!$B:$B&amp;盘货信息!$C:$C,盘货信息!$H:$H)="1（纯自补）"),_xlfn.XLOOKUP(A215&amp;B215&amp;C215,盘货信息!$A:$A&amp;盘货信息!$B:$B&amp;盘货信息!$C:$C,盘货信息!$K:$K)&amp;"元以旧换新（可无旧机换新）","")))</f>
        <v/>
      </c>
      <c r="K215" s="18" t="str">
        <f t="array" ref="K215">IF(C215="","",IF(_xlfn.XLOOKUP(A215&amp;B215&amp;C215,盘货信息!$A:$A&amp;盘货信息!$B:$B&amp;盘货信息!$C:$C,盘货信息!$L:$L)="","",_xlfn.XLOOKUP(A215&amp;B215&amp;C215,盘货信息!$A:$A&amp;盘货信息!$B:$B&amp;盘货信息!$C:$C,盘货信息!$L:$L)&amp;"元限时补贴"))</f>
        <v/>
      </c>
      <c r="L215" s="18" t="str">
        <f t="array" ref="L215">IF(C215="","",IF(_xlfn.XLOOKUP(A215&amp;B215&amp;C215,盘货信息!$A:$A&amp;盘货信息!$B:$B&amp;盘货信息!$C:$C,盘货信息!$M:$M)="","",_xlfn.XLOOKUP(A215&amp;B215&amp;C215,盘货信息!$A:$A&amp;盘货信息!$B:$B&amp;盘货信息!$C:$C,盘货信息!$M:$M)&amp;"元消费券"))</f>
        <v/>
      </c>
      <c r="M215" s="18" t="str">
        <f t="array" ref="M215">IF(C215="","",IF(_xlfn.XLOOKUP(A215&amp;B215&amp;C215,盘货信息!$A:$A&amp;盘货信息!$B:$B&amp;盘货信息!$C:$C,盘货信息!$G:$G)="不参加","","焕新补贴优惠【全民可用，不限地址】"))</f>
        <v/>
      </c>
    </row>
    <row r="216" customHeight="1" spans="1:13">
      <c r="A216" s="17" t="str">
        <f>IF(盘货信息!A216="","",盘货信息!A216)</f>
        <v/>
      </c>
      <c r="B216" s="17" t="str">
        <f>IF(盘货信息!B216="","",盘货信息!B216)</f>
        <v/>
      </c>
      <c r="C216" s="18" t="str">
        <f>IF(盘货信息!C216="","",盘货信息!C216)</f>
        <v/>
      </c>
      <c r="D216" s="18" t="str">
        <f t="shared" si="3"/>
        <v/>
      </c>
      <c r="E216" s="18" t="str">
        <f t="array" ref="E216">IF(C216="","",IF(_xlfn.XLOOKUP(A216&amp;B216&amp;C216,盘货信息!$A:$A&amp;盘货信息!$B:$B&amp;盘货信息!$C:$C,盘货信息!$N:$N)="","【立减到手价"&amp;_xlfn.XLOOKUP(A216&amp;B216&amp;C216,盘货信息!$A:$A&amp;盘货信息!$B:$B&amp;盘货信息!$C:$C,盘货信息!$F:$F)&amp;"元】","【焕新补贴预估价"&amp;_xlfn.XLOOKUP(A216&amp;B216&amp;C216,盘货信息!$A:$A&amp;盘货信息!$B:$B&amp;盘货信息!$C:$C,盘货信息!$N:$N)&amp;"元】"))</f>
        <v/>
      </c>
      <c r="F216" s="18" t="str">
        <f t="array" ref="F216">IF(C216="","",_xlfn.XLOOKUP(A216&amp;B216&amp;C216,盘货信息!$A:$A&amp;盘货信息!$B:$B&amp;盘货信息!$C:$C,盘货信息!$E:$E)&amp;"元到手价")</f>
        <v/>
      </c>
      <c r="G216" s="18" t="str">
        <f t="array" ref="G216">IF(C216="","",IF(_xlfn.XLOOKUP(A216&amp;B216&amp;C216,盘货信息!$A:$A&amp;盘货信息!$B:$B&amp;盘货信息!$C:$C,盘货信息!$I:$I)="","","88VIP95折"))</f>
        <v/>
      </c>
      <c r="H216" s="18" t="str">
        <f t="array" ref="H216">IF(C216="","",IF(_xlfn.XLOOKUP(A216&amp;B216&amp;C216,盘货信息!$A:$A&amp;盘货信息!$B:$B&amp;盘货信息!$C:$C,盘货信息!$J:$J)="","",_xlfn.XLOOKUP(A216&amp;B216&amp;C216,盘货信息!$A:$A&amp;盘货信息!$B:$B&amp;盘货信息!$C:$C,盘货信息!$J:$J)&amp;"元优惠卷"))</f>
        <v/>
      </c>
      <c r="I216" s="18" t="str">
        <f t="array" ref="I216">IF(C216="","",IF(_xlfn.XLOOKUP(A216&amp;B216&amp;C216,盘货信息!$A:$A&amp;盘货信息!$B:$B&amp;盘货信息!$C:$C,盘货信息!$R:$R)="","",_xlfn.XLOOKUP(A216&amp;B216&amp;C216,盘货信息!$A:$A&amp;盘货信息!$B:$B&amp;盘货信息!$C:$C,盘货信息!$R:$R)&amp;"元优惠卷"))</f>
        <v/>
      </c>
      <c r="J216" s="18" t="str">
        <f t="array" ref="J216">IF(C216="","",IF(_xlfn.XLOOKUP(A216&amp;B216&amp;C216,盘货信息!$A:$A&amp;盘货信息!$B:$B&amp;盘货信息!$C:$C,盘货信息!$K:$K)="","",IF(OR(_xlfn.XLOOKUP(A216&amp;B216&amp;C216,盘货信息!$A:$A&amp;盘货信息!$B:$B&amp;盘货信息!$C:$C,盘货信息!$G:$G)="参加",_xlfn.XLOOKUP(A216&amp;B216&amp;C216,盘货信息!$A:$A&amp;盘货信息!$B:$B&amp;盘货信息!$C:$C,盘货信息!$H:$H)="1（纯自补）"),_xlfn.XLOOKUP(A216&amp;B216&amp;C216,盘货信息!$A:$A&amp;盘货信息!$B:$B&amp;盘货信息!$C:$C,盘货信息!$K:$K)&amp;"元以旧换新（可无旧机换新）","")))</f>
        <v/>
      </c>
      <c r="K216" s="18" t="str">
        <f t="array" ref="K216">IF(C216="","",IF(_xlfn.XLOOKUP(A216&amp;B216&amp;C216,盘货信息!$A:$A&amp;盘货信息!$B:$B&amp;盘货信息!$C:$C,盘货信息!$L:$L)="","",_xlfn.XLOOKUP(A216&amp;B216&amp;C216,盘货信息!$A:$A&amp;盘货信息!$B:$B&amp;盘货信息!$C:$C,盘货信息!$L:$L)&amp;"元限时补贴"))</f>
        <v/>
      </c>
      <c r="L216" s="18" t="str">
        <f t="array" ref="L216">IF(C216="","",IF(_xlfn.XLOOKUP(A216&amp;B216&amp;C216,盘货信息!$A:$A&amp;盘货信息!$B:$B&amp;盘货信息!$C:$C,盘货信息!$M:$M)="","",_xlfn.XLOOKUP(A216&amp;B216&amp;C216,盘货信息!$A:$A&amp;盘货信息!$B:$B&amp;盘货信息!$C:$C,盘货信息!$M:$M)&amp;"元消费券"))</f>
        <v/>
      </c>
      <c r="M216" s="18" t="str">
        <f t="array" ref="M216">IF(C216="","",IF(_xlfn.XLOOKUP(A216&amp;B216&amp;C216,盘货信息!$A:$A&amp;盘货信息!$B:$B&amp;盘货信息!$C:$C,盘货信息!$G:$G)="不参加","","焕新补贴优惠【全民可用，不限地址】"))</f>
        <v/>
      </c>
    </row>
    <row r="217" customHeight="1" spans="1:13">
      <c r="A217" s="17" t="str">
        <f>IF(盘货信息!A217="","",盘货信息!A217)</f>
        <v/>
      </c>
      <c r="B217" s="17" t="str">
        <f>IF(盘货信息!B217="","",盘货信息!B217)</f>
        <v/>
      </c>
      <c r="C217" s="18" t="str">
        <f>IF(盘货信息!C217="","",盘货信息!C217)</f>
        <v/>
      </c>
      <c r="D217" s="18" t="str">
        <f t="shared" si="3"/>
        <v/>
      </c>
      <c r="E217" s="18" t="str">
        <f t="array" ref="E217">IF(C217="","",IF(_xlfn.XLOOKUP(A217&amp;B217&amp;C217,盘货信息!$A:$A&amp;盘货信息!$B:$B&amp;盘货信息!$C:$C,盘货信息!$N:$N)="","【立减到手价"&amp;_xlfn.XLOOKUP(A217&amp;B217&amp;C217,盘货信息!$A:$A&amp;盘货信息!$B:$B&amp;盘货信息!$C:$C,盘货信息!$F:$F)&amp;"元】","【焕新补贴预估价"&amp;_xlfn.XLOOKUP(A217&amp;B217&amp;C217,盘货信息!$A:$A&amp;盘货信息!$B:$B&amp;盘货信息!$C:$C,盘货信息!$N:$N)&amp;"元】"))</f>
        <v/>
      </c>
      <c r="F217" s="18" t="str">
        <f t="array" ref="F217">IF(C217="","",_xlfn.XLOOKUP(A217&amp;B217&amp;C217,盘货信息!$A:$A&amp;盘货信息!$B:$B&amp;盘货信息!$C:$C,盘货信息!$E:$E)&amp;"元到手价")</f>
        <v/>
      </c>
      <c r="G217" s="18" t="str">
        <f t="array" ref="G217">IF(C217="","",IF(_xlfn.XLOOKUP(A217&amp;B217&amp;C217,盘货信息!$A:$A&amp;盘货信息!$B:$B&amp;盘货信息!$C:$C,盘货信息!$I:$I)="","","88VIP95折"))</f>
        <v/>
      </c>
      <c r="H217" s="18" t="str">
        <f t="array" ref="H217">IF(C217="","",IF(_xlfn.XLOOKUP(A217&amp;B217&amp;C217,盘货信息!$A:$A&amp;盘货信息!$B:$B&amp;盘货信息!$C:$C,盘货信息!$J:$J)="","",_xlfn.XLOOKUP(A217&amp;B217&amp;C217,盘货信息!$A:$A&amp;盘货信息!$B:$B&amp;盘货信息!$C:$C,盘货信息!$J:$J)&amp;"元优惠卷"))</f>
        <v/>
      </c>
      <c r="I217" s="18" t="str">
        <f t="array" ref="I217">IF(C217="","",IF(_xlfn.XLOOKUP(A217&amp;B217&amp;C217,盘货信息!$A:$A&amp;盘货信息!$B:$B&amp;盘货信息!$C:$C,盘货信息!$R:$R)="","",_xlfn.XLOOKUP(A217&amp;B217&amp;C217,盘货信息!$A:$A&amp;盘货信息!$B:$B&amp;盘货信息!$C:$C,盘货信息!$R:$R)&amp;"元优惠卷"))</f>
        <v/>
      </c>
      <c r="J217" s="18" t="str">
        <f t="array" ref="J217">IF(C217="","",IF(_xlfn.XLOOKUP(A217&amp;B217&amp;C217,盘货信息!$A:$A&amp;盘货信息!$B:$B&amp;盘货信息!$C:$C,盘货信息!$K:$K)="","",IF(OR(_xlfn.XLOOKUP(A217&amp;B217&amp;C217,盘货信息!$A:$A&amp;盘货信息!$B:$B&amp;盘货信息!$C:$C,盘货信息!$G:$G)="参加",_xlfn.XLOOKUP(A217&amp;B217&amp;C217,盘货信息!$A:$A&amp;盘货信息!$B:$B&amp;盘货信息!$C:$C,盘货信息!$H:$H)="1（纯自补）"),_xlfn.XLOOKUP(A217&amp;B217&amp;C217,盘货信息!$A:$A&amp;盘货信息!$B:$B&amp;盘货信息!$C:$C,盘货信息!$K:$K)&amp;"元以旧换新（可无旧机换新）","")))</f>
        <v/>
      </c>
      <c r="K217" s="18" t="str">
        <f t="array" ref="K217">IF(C217="","",IF(_xlfn.XLOOKUP(A217&amp;B217&amp;C217,盘货信息!$A:$A&amp;盘货信息!$B:$B&amp;盘货信息!$C:$C,盘货信息!$L:$L)="","",_xlfn.XLOOKUP(A217&amp;B217&amp;C217,盘货信息!$A:$A&amp;盘货信息!$B:$B&amp;盘货信息!$C:$C,盘货信息!$L:$L)&amp;"元限时补贴"))</f>
        <v/>
      </c>
      <c r="L217" s="18" t="str">
        <f t="array" ref="L217">IF(C217="","",IF(_xlfn.XLOOKUP(A217&amp;B217&amp;C217,盘货信息!$A:$A&amp;盘货信息!$B:$B&amp;盘货信息!$C:$C,盘货信息!$M:$M)="","",_xlfn.XLOOKUP(A217&amp;B217&amp;C217,盘货信息!$A:$A&amp;盘货信息!$B:$B&amp;盘货信息!$C:$C,盘货信息!$M:$M)&amp;"元消费券"))</f>
        <v/>
      </c>
      <c r="M217" s="18" t="str">
        <f t="array" ref="M217">IF(C217="","",IF(_xlfn.XLOOKUP(A217&amp;B217&amp;C217,盘货信息!$A:$A&amp;盘货信息!$B:$B&amp;盘货信息!$C:$C,盘货信息!$G:$G)="不参加","","焕新补贴优惠【全民可用，不限地址】"))</f>
        <v/>
      </c>
    </row>
    <row r="218" customHeight="1" spans="1:13">
      <c r="A218" s="17" t="str">
        <f>IF(盘货信息!A218="","",盘货信息!A218)</f>
        <v/>
      </c>
      <c r="B218" s="17" t="str">
        <f>IF(盘货信息!B218="","",盘货信息!B218)</f>
        <v/>
      </c>
      <c r="C218" s="18" t="str">
        <f>IF(盘货信息!C218="","",盘货信息!C218)</f>
        <v/>
      </c>
      <c r="D218" s="18" t="str">
        <f t="shared" si="3"/>
        <v/>
      </c>
      <c r="E218" s="18" t="str">
        <f t="array" ref="E218">IF(C218="","",IF(_xlfn.XLOOKUP(A218&amp;B218&amp;C218,盘货信息!$A:$A&amp;盘货信息!$B:$B&amp;盘货信息!$C:$C,盘货信息!$N:$N)="","【立减到手价"&amp;_xlfn.XLOOKUP(A218&amp;B218&amp;C218,盘货信息!$A:$A&amp;盘货信息!$B:$B&amp;盘货信息!$C:$C,盘货信息!$F:$F)&amp;"元】","【焕新补贴预估价"&amp;_xlfn.XLOOKUP(A218&amp;B218&amp;C218,盘货信息!$A:$A&amp;盘货信息!$B:$B&amp;盘货信息!$C:$C,盘货信息!$N:$N)&amp;"元】"))</f>
        <v/>
      </c>
      <c r="F218" s="18" t="str">
        <f t="array" ref="F218">IF(C218="","",_xlfn.XLOOKUP(A218&amp;B218&amp;C218,盘货信息!$A:$A&amp;盘货信息!$B:$B&amp;盘货信息!$C:$C,盘货信息!$E:$E)&amp;"元到手价")</f>
        <v/>
      </c>
      <c r="G218" s="18" t="str">
        <f t="array" ref="G218">IF(C218="","",IF(_xlfn.XLOOKUP(A218&amp;B218&amp;C218,盘货信息!$A:$A&amp;盘货信息!$B:$B&amp;盘货信息!$C:$C,盘货信息!$I:$I)="","","88VIP95折"))</f>
        <v/>
      </c>
      <c r="H218" s="18" t="str">
        <f t="array" ref="H218">IF(C218="","",IF(_xlfn.XLOOKUP(A218&amp;B218&amp;C218,盘货信息!$A:$A&amp;盘货信息!$B:$B&amp;盘货信息!$C:$C,盘货信息!$J:$J)="","",_xlfn.XLOOKUP(A218&amp;B218&amp;C218,盘货信息!$A:$A&amp;盘货信息!$B:$B&amp;盘货信息!$C:$C,盘货信息!$J:$J)&amp;"元优惠卷"))</f>
        <v/>
      </c>
      <c r="I218" s="18" t="str">
        <f t="array" ref="I218">IF(C218="","",IF(_xlfn.XLOOKUP(A218&amp;B218&amp;C218,盘货信息!$A:$A&amp;盘货信息!$B:$B&amp;盘货信息!$C:$C,盘货信息!$R:$R)="","",_xlfn.XLOOKUP(A218&amp;B218&amp;C218,盘货信息!$A:$A&amp;盘货信息!$B:$B&amp;盘货信息!$C:$C,盘货信息!$R:$R)&amp;"元优惠卷"))</f>
        <v/>
      </c>
      <c r="J218" s="18" t="str">
        <f t="array" ref="J218">IF(C218="","",IF(_xlfn.XLOOKUP(A218&amp;B218&amp;C218,盘货信息!$A:$A&amp;盘货信息!$B:$B&amp;盘货信息!$C:$C,盘货信息!$K:$K)="","",IF(OR(_xlfn.XLOOKUP(A218&amp;B218&amp;C218,盘货信息!$A:$A&amp;盘货信息!$B:$B&amp;盘货信息!$C:$C,盘货信息!$G:$G)="参加",_xlfn.XLOOKUP(A218&amp;B218&amp;C218,盘货信息!$A:$A&amp;盘货信息!$B:$B&amp;盘货信息!$C:$C,盘货信息!$H:$H)="1（纯自补）"),_xlfn.XLOOKUP(A218&amp;B218&amp;C218,盘货信息!$A:$A&amp;盘货信息!$B:$B&amp;盘货信息!$C:$C,盘货信息!$K:$K)&amp;"元以旧换新（可无旧机换新）","")))</f>
        <v/>
      </c>
      <c r="K218" s="18" t="str">
        <f t="array" ref="K218">IF(C218="","",IF(_xlfn.XLOOKUP(A218&amp;B218&amp;C218,盘货信息!$A:$A&amp;盘货信息!$B:$B&amp;盘货信息!$C:$C,盘货信息!$L:$L)="","",_xlfn.XLOOKUP(A218&amp;B218&amp;C218,盘货信息!$A:$A&amp;盘货信息!$B:$B&amp;盘货信息!$C:$C,盘货信息!$L:$L)&amp;"元限时补贴"))</f>
        <v/>
      </c>
      <c r="L218" s="18" t="str">
        <f t="array" ref="L218">IF(C218="","",IF(_xlfn.XLOOKUP(A218&amp;B218&amp;C218,盘货信息!$A:$A&amp;盘货信息!$B:$B&amp;盘货信息!$C:$C,盘货信息!$M:$M)="","",_xlfn.XLOOKUP(A218&amp;B218&amp;C218,盘货信息!$A:$A&amp;盘货信息!$B:$B&amp;盘货信息!$C:$C,盘货信息!$M:$M)&amp;"元消费券"))</f>
        <v/>
      </c>
      <c r="M218" s="18" t="str">
        <f t="array" ref="M218">IF(C218="","",IF(_xlfn.XLOOKUP(A218&amp;B218&amp;C218,盘货信息!$A:$A&amp;盘货信息!$B:$B&amp;盘货信息!$C:$C,盘货信息!$G:$G)="不参加","","焕新补贴优惠【全民可用，不限地址】"))</f>
        <v/>
      </c>
    </row>
    <row r="219" customHeight="1" spans="1:13">
      <c r="A219" s="17" t="str">
        <f>IF(盘货信息!A219="","",盘货信息!A219)</f>
        <v/>
      </c>
      <c r="B219" s="17" t="str">
        <f>IF(盘货信息!B219="","",盘货信息!B219)</f>
        <v/>
      </c>
      <c r="C219" s="18" t="str">
        <f>IF(盘货信息!C219="","",盘货信息!C219)</f>
        <v/>
      </c>
      <c r="D219" s="18" t="str">
        <f t="shared" si="3"/>
        <v/>
      </c>
      <c r="E219" s="18" t="str">
        <f t="array" ref="E219">IF(C219="","",IF(_xlfn.XLOOKUP(A219&amp;B219&amp;C219,盘货信息!$A:$A&amp;盘货信息!$B:$B&amp;盘货信息!$C:$C,盘货信息!$N:$N)="","【立减到手价"&amp;_xlfn.XLOOKUP(A219&amp;B219&amp;C219,盘货信息!$A:$A&amp;盘货信息!$B:$B&amp;盘货信息!$C:$C,盘货信息!$F:$F)&amp;"元】","【焕新补贴预估价"&amp;_xlfn.XLOOKUP(A219&amp;B219&amp;C219,盘货信息!$A:$A&amp;盘货信息!$B:$B&amp;盘货信息!$C:$C,盘货信息!$N:$N)&amp;"元】"))</f>
        <v/>
      </c>
      <c r="F219" s="18" t="str">
        <f t="array" ref="F219">IF(C219="","",_xlfn.XLOOKUP(A219&amp;B219&amp;C219,盘货信息!$A:$A&amp;盘货信息!$B:$B&amp;盘货信息!$C:$C,盘货信息!$E:$E)&amp;"元到手价")</f>
        <v/>
      </c>
      <c r="G219" s="18" t="str">
        <f t="array" ref="G219">IF(C219="","",IF(_xlfn.XLOOKUP(A219&amp;B219&amp;C219,盘货信息!$A:$A&amp;盘货信息!$B:$B&amp;盘货信息!$C:$C,盘货信息!$I:$I)="","","88VIP95折"))</f>
        <v/>
      </c>
      <c r="H219" s="18" t="str">
        <f t="array" ref="H219">IF(C219="","",IF(_xlfn.XLOOKUP(A219&amp;B219&amp;C219,盘货信息!$A:$A&amp;盘货信息!$B:$B&amp;盘货信息!$C:$C,盘货信息!$J:$J)="","",_xlfn.XLOOKUP(A219&amp;B219&amp;C219,盘货信息!$A:$A&amp;盘货信息!$B:$B&amp;盘货信息!$C:$C,盘货信息!$J:$J)&amp;"元优惠卷"))</f>
        <v/>
      </c>
      <c r="I219" s="18" t="str">
        <f t="array" ref="I219">IF(C219="","",IF(_xlfn.XLOOKUP(A219&amp;B219&amp;C219,盘货信息!$A:$A&amp;盘货信息!$B:$B&amp;盘货信息!$C:$C,盘货信息!$R:$R)="","",_xlfn.XLOOKUP(A219&amp;B219&amp;C219,盘货信息!$A:$A&amp;盘货信息!$B:$B&amp;盘货信息!$C:$C,盘货信息!$R:$R)&amp;"元优惠卷"))</f>
        <v/>
      </c>
      <c r="J219" s="18" t="str">
        <f t="array" ref="J219">IF(C219="","",IF(_xlfn.XLOOKUP(A219&amp;B219&amp;C219,盘货信息!$A:$A&amp;盘货信息!$B:$B&amp;盘货信息!$C:$C,盘货信息!$K:$K)="","",IF(OR(_xlfn.XLOOKUP(A219&amp;B219&amp;C219,盘货信息!$A:$A&amp;盘货信息!$B:$B&amp;盘货信息!$C:$C,盘货信息!$G:$G)="参加",_xlfn.XLOOKUP(A219&amp;B219&amp;C219,盘货信息!$A:$A&amp;盘货信息!$B:$B&amp;盘货信息!$C:$C,盘货信息!$H:$H)="1（纯自补）"),_xlfn.XLOOKUP(A219&amp;B219&amp;C219,盘货信息!$A:$A&amp;盘货信息!$B:$B&amp;盘货信息!$C:$C,盘货信息!$K:$K)&amp;"元以旧换新（可无旧机换新）","")))</f>
        <v/>
      </c>
      <c r="K219" s="18" t="str">
        <f t="array" ref="K219">IF(C219="","",IF(_xlfn.XLOOKUP(A219&amp;B219&amp;C219,盘货信息!$A:$A&amp;盘货信息!$B:$B&amp;盘货信息!$C:$C,盘货信息!$L:$L)="","",_xlfn.XLOOKUP(A219&amp;B219&amp;C219,盘货信息!$A:$A&amp;盘货信息!$B:$B&amp;盘货信息!$C:$C,盘货信息!$L:$L)&amp;"元限时补贴"))</f>
        <v/>
      </c>
      <c r="L219" s="18" t="str">
        <f t="array" ref="L219">IF(C219="","",IF(_xlfn.XLOOKUP(A219&amp;B219&amp;C219,盘货信息!$A:$A&amp;盘货信息!$B:$B&amp;盘货信息!$C:$C,盘货信息!$M:$M)="","",_xlfn.XLOOKUP(A219&amp;B219&amp;C219,盘货信息!$A:$A&amp;盘货信息!$B:$B&amp;盘货信息!$C:$C,盘货信息!$M:$M)&amp;"元消费券"))</f>
        <v/>
      </c>
      <c r="M219" s="18" t="str">
        <f t="array" ref="M219">IF(C219="","",IF(_xlfn.XLOOKUP(A219&amp;B219&amp;C219,盘货信息!$A:$A&amp;盘货信息!$B:$B&amp;盘货信息!$C:$C,盘货信息!$G:$G)="不参加","","焕新补贴优惠【全民可用，不限地址】"))</f>
        <v/>
      </c>
    </row>
    <row r="220" customHeight="1" spans="1:13">
      <c r="A220" s="17" t="str">
        <f>IF(盘货信息!A220="","",盘货信息!A220)</f>
        <v/>
      </c>
      <c r="B220" s="17" t="str">
        <f>IF(盘货信息!B220="","",盘货信息!B220)</f>
        <v/>
      </c>
      <c r="C220" s="18" t="str">
        <f>IF(盘货信息!C220="","",盘货信息!C220)</f>
        <v/>
      </c>
      <c r="D220" s="18" t="str">
        <f t="shared" si="3"/>
        <v/>
      </c>
      <c r="E220" s="18" t="str">
        <f t="array" ref="E220">IF(C220="","",IF(_xlfn.XLOOKUP(A220&amp;B220&amp;C220,盘货信息!$A:$A&amp;盘货信息!$B:$B&amp;盘货信息!$C:$C,盘货信息!$N:$N)="","【立减到手价"&amp;_xlfn.XLOOKUP(A220&amp;B220&amp;C220,盘货信息!$A:$A&amp;盘货信息!$B:$B&amp;盘货信息!$C:$C,盘货信息!$F:$F)&amp;"元】","【焕新补贴预估价"&amp;_xlfn.XLOOKUP(A220&amp;B220&amp;C220,盘货信息!$A:$A&amp;盘货信息!$B:$B&amp;盘货信息!$C:$C,盘货信息!$N:$N)&amp;"元】"))</f>
        <v/>
      </c>
      <c r="F220" s="18" t="str">
        <f t="array" ref="F220">IF(C220="","",_xlfn.XLOOKUP(A220&amp;B220&amp;C220,盘货信息!$A:$A&amp;盘货信息!$B:$B&amp;盘货信息!$C:$C,盘货信息!$E:$E)&amp;"元到手价")</f>
        <v/>
      </c>
      <c r="G220" s="18" t="str">
        <f t="array" ref="G220">IF(C220="","",IF(_xlfn.XLOOKUP(A220&amp;B220&amp;C220,盘货信息!$A:$A&amp;盘货信息!$B:$B&amp;盘货信息!$C:$C,盘货信息!$I:$I)="","","88VIP95折"))</f>
        <v/>
      </c>
      <c r="H220" s="18" t="str">
        <f t="array" ref="H220">IF(C220="","",IF(_xlfn.XLOOKUP(A220&amp;B220&amp;C220,盘货信息!$A:$A&amp;盘货信息!$B:$B&amp;盘货信息!$C:$C,盘货信息!$J:$J)="","",_xlfn.XLOOKUP(A220&amp;B220&amp;C220,盘货信息!$A:$A&amp;盘货信息!$B:$B&amp;盘货信息!$C:$C,盘货信息!$J:$J)&amp;"元优惠卷"))</f>
        <v/>
      </c>
      <c r="I220" s="18" t="str">
        <f t="array" ref="I220">IF(C220="","",IF(_xlfn.XLOOKUP(A220&amp;B220&amp;C220,盘货信息!$A:$A&amp;盘货信息!$B:$B&amp;盘货信息!$C:$C,盘货信息!$R:$R)="","",_xlfn.XLOOKUP(A220&amp;B220&amp;C220,盘货信息!$A:$A&amp;盘货信息!$B:$B&amp;盘货信息!$C:$C,盘货信息!$R:$R)&amp;"元优惠卷"))</f>
        <v/>
      </c>
      <c r="J220" s="18" t="str">
        <f t="array" ref="J220">IF(C220="","",IF(_xlfn.XLOOKUP(A220&amp;B220&amp;C220,盘货信息!$A:$A&amp;盘货信息!$B:$B&amp;盘货信息!$C:$C,盘货信息!$K:$K)="","",IF(OR(_xlfn.XLOOKUP(A220&amp;B220&amp;C220,盘货信息!$A:$A&amp;盘货信息!$B:$B&amp;盘货信息!$C:$C,盘货信息!$G:$G)="参加",_xlfn.XLOOKUP(A220&amp;B220&amp;C220,盘货信息!$A:$A&amp;盘货信息!$B:$B&amp;盘货信息!$C:$C,盘货信息!$H:$H)="1（纯自补）"),_xlfn.XLOOKUP(A220&amp;B220&amp;C220,盘货信息!$A:$A&amp;盘货信息!$B:$B&amp;盘货信息!$C:$C,盘货信息!$K:$K)&amp;"元以旧换新（可无旧机换新）","")))</f>
        <v/>
      </c>
      <c r="K220" s="18" t="str">
        <f t="array" ref="K220">IF(C220="","",IF(_xlfn.XLOOKUP(A220&amp;B220&amp;C220,盘货信息!$A:$A&amp;盘货信息!$B:$B&amp;盘货信息!$C:$C,盘货信息!$L:$L)="","",_xlfn.XLOOKUP(A220&amp;B220&amp;C220,盘货信息!$A:$A&amp;盘货信息!$B:$B&amp;盘货信息!$C:$C,盘货信息!$L:$L)&amp;"元限时补贴"))</f>
        <v/>
      </c>
      <c r="L220" s="18" t="str">
        <f t="array" ref="L220">IF(C220="","",IF(_xlfn.XLOOKUP(A220&amp;B220&amp;C220,盘货信息!$A:$A&amp;盘货信息!$B:$B&amp;盘货信息!$C:$C,盘货信息!$M:$M)="","",_xlfn.XLOOKUP(A220&amp;B220&amp;C220,盘货信息!$A:$A&amp;盘货信息!$B:$B&amp;盘货信息!$C:$C,盘货信息!$M:$M)&amp;"元消费券"))</f>
        <v/>
      </c>
      <c r="M220" s="18" t="str">
        <f t="array" ref="M220">IF(C220="","",IF(_xlfn.XLOOKUP(A220&amp;B220&amp;C220,盘货信息!$A:$A&amp;盘货信息!$B:$B&amp;盘货信息!$C:$C,盘货信息!$G:$G)="不参加","","焕新补贴优惠【全民可用，不限地址】"))</f>
        <v/>
      </c>
    </row>
    <row r="221" customHeight="1" spans="1:13">
      <c r="A221" s="17" t="str">
        <f>IF(盘货信息!A221="","",盘货信息!A221)</f>
        <v/>
      </c>
      <c r="B221" s="17" t="str">
        <f>IF(盘货信息!B221="","",盘货信息!B221)</f>
        <v/>
      </c>
      <c r="C221" s="18" t="str">
        <f>IF(盘货信息!C221="","",盘货信息!C221)</f>
        <v/>
      </c>
      <c r="D221" s="18" t="str">
        <f t="shared" si="3"/>
        <v/>
      </c>
      <c r="E221" s="18" t="str">
        <f t="array" ref="E221">IF(C221="","",IF(_xlfn.XLOOKUP(A221&amp;B221&amp;C221,盘货信息!$A:$A&amp;盘货信息!$B:$B&amp;盘货信息!$C:$C,盘货信息!$N:$N)="","【立减到手价"&amp;_xlfn.XLOOKUP(A221&amp;B221&amp;C221,盘货信息!$A:$A&amp;盘货信息!$B:$B&amp;盘货信息!$C:$C,盘货信息!$F:$F)&amp;"元】","【焕新补贴预估价"&amp;_xlfn.XLOOKUP(A221&amp;B221&amp;C221,盘货信息!$A:$A&amp;盘货信息!$B:$B&amp;盘货信息!$C:$C,盘货信息!$N:$N)&amp;"元】"))</f>
        <v/>
      </c>
      <c r="F221" s="18" t="str">
        <f t="array" ref="F221">IF(C221="","",_xlfn.XLOOKUP(A221&amp;B221&amp;C221,盘货信息!$A:$A&amp;盘货信息!$B:$B&amp;盘货信息!$C:$C,盘货信息!$E:$E)&amp;"元到手价")</f>
        <v/>
      </c>
      <c r="G221" s="18" t="str">
        <f t="array" ref="G221">IF(C221="","",IF(_xlfn.XLOOKUP(A221&amp;B221&amp;C221,盘货信息!$A:$A&amp;盘货信息!$B:$B&amp;盘货信息!$C:$C,盘货信息!$I:$I)="","","88VIP95折"))</f>
        <v/>
      </c>
      <c r="H221" s="18" t="str">
        <f t="array" ref="H221">IF(C221="","",IF(_xlfn.XLOOKUP(A221&amp;B221&amp;C221,盘货信息!$A:$A&amp;盘货信息!$B:$B&amp;盘货信息!$C:$C,盘货信息!$J:$J)="","",_xlfn.XLOOKUP(A221&amp;B221&amp;C221,盘货信息!$A:$A&amp;盘货信息!$B:$B&amp;盘货信息!$C:$C,盘货信息!$J:$J)&amp;"元优惠卷"))</f>
        <v/>
      </c>
      <c r="I221" s="18" t="str">
        <f t="array" ref="I221">IF(C221="","",IF(_xlfn.XLOOKUP(A221&amp;B221&amp;C221,盘货信息!$A:$A&amp;盘货信息!$B:$B&amp;盘货信息!$C:$C,盘货信息!$R:$R)="","",_xlfn.XLOOKUP(A221&amp;B221&amp;C221,盘货信息!$A:$A&amp;盘货信息!$B:$B&amp;盘货信息!$C:$C,盘货信息!$R:$R)&amp;"元优惠卷"))</f>
        <v/>
      </c>
      <c r="J221" s="18" t="str">
        <f t="array" ref="J221">IF(C221="","",IF(_xlfn.XLOOKUP(A221&amp;B221&amp;C221,盘货信息!$A:$A&amp;盘货信息!$B:$B&amp;盘货信息!$C:$C,盘货信息!$K:$K)="","",IF(OR(_xlfn.XLOOKUP(A221&amp;B221&amp;C221,盘货信息!$A:$A&amp;盘货信息!$B:$B&amp;盘货信息!$C:$C,盘货信息!$G:$G)="参加",_xlfn.XLOOKUP(A221&amp;B221&amp;C221,盘货信息!$A:$A&amp;盘货信息!$B:$B&amp;盘货信息!$C:$C,盘货信息!$H:$H)="1（纯自补）"),_xlfn.XLOOKUP(A221&amp;B221&amp;C221,盘货信息!$A:$A&amp;盘货信息!$B:$B&amp;盘货信息!$C:$C,盘货信息!$K:$K)&amp;"元以旧换新（可无旧机换新）","")))</f>
        <v/>
      </c>
      <c r="K221" s="18" t="str">
        <f t="array" ref="K221">IF(C221="","",IF(_xlfn.XLOOKUP(A221&amp;B221&amp;C221,盘货信息!$A:$A&amp;盘货信息!$B:$B&amp;盘货信息!$C:$C,盘货信息!$L:$L)="","",_xlfn.XLOOKUP(A221&amp;B221&amp;C221,盘货信息!$A:$A&amp;盘货信息!$B:$B&amp;盘货信息!$C:$C,盘货信息!$L:$L)&amp;"元限时补贴"))</f>
        <v/>
      </c>
      <c r="L221" s="18" t="str">
        <f t="array" ref="L221">IF(C221="","",IF(_xlfn.XLOOKUP(A221&amp;B221&amp;C221,盘货信息!$A:$A&amp;盘货信息!$B:$B&amp;盘货信息!$C:$C,盘货信息!$M:$M)="","",_xlfn.XLOOKUP(A221&amp;B221&amp;C221,盘货信息!$A:$A&amp;盘货信息!$B:$B&amp;盘货信息!$C:$C,盘货信息!$M:$M)&amp;"元消费券"))</f>
        <v/>
      </c>
      <c r="M221" s="18" t="str">
        <f t="array" ref="M221">IF(C221="","",IF(_xlfn.XLOOKUP(A221&amp;B221&amp;C221,盘货信息!$A:$A&amp;盘货信息!$B:$B&amp;盘货信息!$C:$C,盘货信息!$G:$G)="不参加","","焕新补贴优惠【全民可用，不限地址】"))</f>
        <v/>
      </c>
    </row>
    <row r="222" customHeight="1" spans="1:13">
      <c r="A222" s="17" t="str">
        <f>IF(盘货信息!A222="","",盘货信息!A222)</f>
        <v/>
      </c>
      <c r="B222" s="17" t="str">
        <f>IF(盘货信息!B222="","",盘货信息!B222)</f>
        <v/>
      </c>
      <c r="C222" s="18" t="str">
        <f>IF(盘货信息!C222="","",盘货信息!C222)</f>
        <v/>
      </c>
      <c r="D222" s="18" t="str">
        <f t="shared" si="3"/>
        <v/>
      </c>
      <c r="E222" s="18" t="str">
        <f t="array" ref="E222">IF(C222="","",IF(_xlfn.XLOOKUP(A222&amp;B222&amp;C222,盘货信息!$A:$A&amp;盘货信息!$B:$B&amp;盘货信息!$C:$C,盘货信息!$N:$N)="","【立减到手价"&amp;_xlfn.XLOOKUP(A222&amp;B222&amp;C222,盘货信息!$A:$A&amp;盘货信息!$B:$B&amp;盘货信息!$C:$C,盘货信息!$F:$F)&amp;"元】","【焕新补贴预估价"&amp;_xlfn.XLOOKUP(A222&amp;B222&amp;C222,盘货信息!$A:$A&amp;盘货信息!$B:$B&amp;盘货信息!$C:$C,盘货信息!$N:$N)&amp;"元】"))</f>
        <v/>
      </c>
      <c r="F222" s="18" t="str">
        <f t="array" ref="F222">IF(C222="","",_xlfn.XLOOKUP(A222&amp;B222&amp;C222,盘货信息!$A:$A&amp;盘货信息!$B:$B&amp;盘货信息!$C:$C,盘货信息!$E:$E)&amp;"元到手价")</f>
        <v/>
      </c>
      <c r="G222" s="18" t="str">
        <f t="array" ref="G222">IF(C222="","",IF(_xlfn.XLOOKUP(A222&amp;B222&amp;C222,盘货信息!$A:$A&amp;盘货信息!$B:$B&amp;盘货信息!$C:$C,盘货信息!$I:$I)="","","88VIP95折"))</f>
        <v/>
      </c>
      <c r="H222" s="18" t="str">
        <f t="array" ref="H222">IF(C222="","",IF(_xlfn.XLOOKUP(A222&amp;B222&amp;C222,盘货信息!$A:$A&amp;盘货信息!$B:$B&amp;盘货信息!$C:$C,盘货信息!$J:$J)="","",_xlfn.XLOOKUP(A222&amp;B222&amp;C222,盘货信息!$A:$A&amp;盘货信息!$B:$B&amp;盘货信息!$C:$C,盘货信息!$J:$J)&amp;"元优惠卷"))</f>
        <v/>
      </c>
      <c r="I222" s="18" t="str">
        <f t="array" ref="I222">IF(C222="","",IF(_xlfn.XLOOKUP(A222&amp;B222&amp;C222,盘货信息!$A:$A&amp;盘货信息!$B:$B&amp;盘货信息!$C:$C,盘货信息!$R:$R)="","",_xlfn.XLOOKUP(A222&amp;B222&amp;C222,盘货信息!$A:$A&amp;盘货信息!$B:$B&amp;盘货信息!$C:$C,盘货信息!$R:$R)&amp;"元优惠卷"))</f>
        <v/>
      </c>
      <c r="J222" s="18" t="str">
        <f t="array" ref="J222">IF(C222="","",IF(_xlfn.XLOOKUP(A222&amp;B222&amp;C222,盘货信息!$A:$A&amp;盘货信息!$B:$B&amp;盘货信息!$C:$C,盘货信息!$K:$K)="","",IF(OR(_xlfn.XLOOKUP(A222&amp;B222&amp;C222,盘货信息!$A:$A&amp;盘货信息!$B:$B&amp;盘货信息!$C:$C,盘货信息!$G:$G)="参加",_xlfn.XLOOKUP(A222&amp;B222&amp;C222,盘货信息!$A:$A&amp;盘货信息!$B:$B&amp;盘货信息!$C:$C,盘货信息!$H:$H)="1（纯自补）"),_xlfn.XLOOKUP(A222&amp;B222&amp;C222,盘货信息!$A:$A&amp;盘货信息!$B:$B&amp;盘货信息!$C:$C,盘货信息!$K:$K)&amp;"元以旧换新（可无旧机换新）","")))</f>
        <v/>
      </c>
      <c r="K222" s="18" t="str">
        <f t="array" ref="K222">IF(C222="","",IF(_xlfn.XLOOKUP(A222&amp;B222&amp;C222,盘货信息!$A:$A&amp;盘货信息!$B:$B&amp;盘货信息!$C:$C,盘货信息!$L:$L)="","",_xlfn.XLOOKUP(A222&amp;B222&amp;C222,盘货信息!$A:$A&amp;盘货信息!$B:$B&amp;盘货信息!$C:$C,盘货信息!$L:$L)&amp;"元限时补贴"))</f>
        <v/>
      </c>
      <c r="L222" s="18" t="str">
        <f t="array" ref="L222">IF(C222="","",IF(_xlfn.XLOOKUP(A222&amp;B222&amp;C222,盘货信息!$A:$A&amp;盘货信息!$B:$B&amp;盘货信息!$C:$C,盘货信息!$M:$M)="","",_xlfn.XLOOKUP(A222&amp;B222&amp;C222,盘货信息!$A:$A&amp;盘货信息!$B:$B&amp;盘货信息!$C:$C,盘货信息!$M:$M)&amp;"元消费券"))</f>
        <v/>
      </c>
      <c r="M222" s="18" t="str">
        <f t="array" ref="M222">IF(C222="","",IF(_xlfn.XLOOKUP(A222&amp;B222&amp;C222,盘货信息!$A:$A&amp;盘货信息!$B:$B&amp;盘货信息!$C:$C,盘货信息!$G:$G)="不参加","","焕新补贴优惠【全民可用，不限地址】"))</f>
        <v/>
      </c>
    </row>
    <row r="223" customHeight="1" spans="1:13">
      <c r="A223" s="17" t="str">
        <f>IF(盘货信息!A223="","",盘货信息!A223)</f>
        <v/>
      </c>
      <c r="B223" s="17" t="str">
        <f>IF(盘货信息!B223="","",盘货信息!B223)</f>
        <v/>
      </c>
      <c r="C223" s="18" t="str">
        <f>IF(盘货信息!C223="","",盘货信息!C223)</f>
        <v/>
      </c>
      <c r="D223" s="18" t="str">
        <f t="shared" si="3"/>
        <v/>
      </c>
      <c r="E223" s="18" t="str">
        <f t="array" ref="E223">IF(C223="","",IF(_xlfn.XLOOKUP(A223&amp;B223&amp;C223,盘货信息!$A:$A&amp;盘货信息!$B:$B&amp;盘货信息!$C:$C,盘货信息!$N:$N)="","【立减到手价"&amp;_xlfn.XLOOKUP(A223&amp;B223&amp;C223,盘货信息!$A:$A&amp;盘货信息!$B:$B&amp;盘货信息!$C:$C,盘货信息!$F:$F)&amp;"元】","【焕新补贴预估价"&amp;_xlfn.XLOOKUP(A223&amp;B223&amp;C223,盘货信息!$A:$A&amp;盘货信息!$B:$B&amp;盘货信息!$C:$C,盘货信息!$N:$N)&amp;"元】"))</f>
        <v/>
      </c>
      <c r="F223" s="18" t="str">
        <f t="array" ref="F223">IF(C223="","",_xlfn.XLOOKUP(A223&amp;B223&amp;C223,盘货信息!$A:$A&amp;盘货信息!$B:$B&amp;盘货信息!$C:$C,盘货信息!$E:$E)&amp;"元到手价")</f>
        <v/>
      </c>
      <c r="G223" s="18" t="str">
        <f t="array" ref="G223">IF(C223="","",IF(_xlfn.XLOOKUP(A223&amp;B223&amp;C223,盘货信息!$A:$A&amp;盘货信息!$B:$B&amp;盘货信息!$C:$C,盘货信息!$I:$I)="","","88VIP95折"))</f>
        <v/>
      </c>
      <c r="H223" s="18" t="str">
        <f t="array" ref="H223">IF(C223="","",IF(_xlfn.XLOOKUP(A223&amp;B223&amp;C223,盘货信息!$A:$A&amp;盘货信息!$B:$B&amp;盘货信息!$C:$C,盘货信息!$J:$J)="","",_xlfn.XLOOKUP(A223&amp;B223&amp;C223,盘货信息!$A:$A&amp;盘货信息!$B:$B&amp;盘货信息!$C:$C,盘货信息!$J:$J)&amp;"元优惠卷"))</f>
        <v/>
      </c>
      <c r="I223" s="18" t="str">
        <f t="array" ref="I223">IF(C223="","",IF(_xlfn.XLOOKUP(A223&amp;B223&amp;C223,盘货信息!$A:$A&amp;盘货信息!$B:$B&amp;盘货信息!$C:$C,盘货信息!$R:$R)="","",_xlfn.XLOOKUP(A223&amp;B223&amp;C223,盘货信息!$A:$A&amp;盘货信息!$B:$B&amp;盘货信息!$C:$C,盘货信息!$R:$R)&amp;"元优惠卷"))</f>
        <v/>
      </c>
      <c r="J223" s="18" t="str">
        <f t="array" ref="J223">IF(C223="","",IF(_xlfn.XLOOKUP(A223&amp;B223&amp;C223,盘货信息!$A:$A&amp;盘货信息!$B:$B&amp;盘货信息!$C:$C,盘货信息!$K:$K)="","",IF(OR(_xlfn.XLOOKUP(A223&amp;B223&amp;C223,盘货信息!$A:$A&amp;盘货信息!$B:$B&amp;盘货信息!$C:$C,盘货信息!$G:$G)="参加",_xlfn.XLOOKUP(A223&amp;B223&amp;C223,盘货信息!$A:$A&amp;盘货信息!$B:$B&amp;盘货信息!$C:$C,盘货信息!$H:$H)="1（纯自补）"),_xlfn.XLOOKUP(A223&amp;B223&amp;C223,盘货信息!$A:$A&amp;盘货信息!$B:$B&amp;盘货信息!$C:$C,盘货信息!$K:$K)&amp;"元以旧换新（可无旧机换新）","")))</f>
        <v/>
      </c>
      <c r="K223" s="18" t="str">
        <f t="array" ref="K223">IF(C223="","",IF(_xlfn.XLOOKUP(A223&amp;B223&amp;C223,盘货信息!$A:$A&amp;盘货信息!$B:$B&amp;盘货信息!$C:$C,盘货信息!$L:$L)="","",_xlfn.XLOOKUP(A223&amp;B223&amp;C223,盘货信息!$A:$A&amp;盘货信息!$B:$B&amp;盘货信息!$C:$C,盘货信息!$L:$L)&amp;"元限时补贴"))</f>
        <v/>
      </c>
      <c r="L223" s="18" t="str">
        <f t="array" ref="L223">IF(C223="","",IF(_xlfn.XLOOKUP(A223&amp;B223&amp;C223,盘货信息!$A:$A&amp;盘货信息!$B:$B&amp;盘货信息!$C:$C,盘货信息!$M:$M)="","",_xlfn.XLOOKUP(A223&amp;B223&amp;C223,盘货信息!$A:$A&amp;盘货信息!$B:$B&amp;盘货信息!$C:$C,盘货信息!$M:$M)&amp;"元消费券"))</f>
        <v/>
      </c>
      <c r="M223" s="18" t="str">
        <f t="array" ref="M223">IF(C223="","",IF(_xlfn.XLOOKUP(A223&amp;B223&amp;C223,盘货信息!$A:$A&amp;盘货信息!$B:$B&amp;盘货信息!$C:$C,盘货信息!$G:$G)="不参加","","焕新补贴优惠【全民可用，不限地址】"))</f>
        <v/>
      </c>
    </row>
    <row r="224" customHeight="1" spans="1:13">
      <c r="A224" s="17" t="str">
        <f>IF(盘货信息!A224="","",盘货信息!A224)</f>
        <v/>
      </c>
      <c r="B224" s="17" t="str">
        <f>IF(盘货信息!B224="","",盘货信息!B224)</f>
        <v/>
      </c>
      <c r="C224" s="18" t="str">
        <f>IF(盘货信息!C224="","",盘货信息!C224)</f>
        <v/>
      </c>
      <c r="D224" s="18" t="str">
        <f t="shared" si="3"/>
        <v/>
      </c>
      <c r="E224" s="18" t="str">
        <f t="array" ref="E224">IF(C224="","",IF(_xlfn.XLOOKUP(A224&amp;B224&amp;C224,盘货信息!$A:$A&amp;盘货信息!$B:$B&amp;盘货信息!$C:$C,盘货信息!$N:$N)="","【立减到手价"&amp;_xlfn.XLOOKUP(A224&amp;B224&amp;C224,盘货信息!$A:$A&amp;盘货信息!$B:$B&amp;盘货信息!$C:$C,盘货信息!$F:$F)&amp;"元】","【焕新补贴预估价"&amp;_xlfn.XLOOKUP(A224&amp;B224&amp;C224,盘货信息!$A:$A&amp;盘货信息!$B:$B&amp;盘货信息!$C:$C,盘货信息!$N:$N)&amp;"元】"))</f>
        <v/>
      </c>
      <c r="F224" s="18" t="str">
        <f t="array" ref="F224">IF(C224="","",_xlfn.XLOOKUP(A224&amp;B224&amp;C224,盘货信息!$A:$A&amp;盘货信息!$B:$B&amp;盘货信息!$C:$C,盘货信息!$E:$E)&amp;"元到手价")</f>
        <v/>
      </c>
      <c r="G224" s="18" t="str">
        <f t="array" ref="G224">IF(C224="","",IF(_xlfn.XLOOKUP(A224&amp;B224&amp;C224,盘货信息!$A:$A&amp;盘货信息!$B:$B&amp;盘货信息!$C:$C,盘货信息!$I:$I)="","","88VIP95折"))</f>
        <v/>
      </c>
      <c r="H224" s="18" t="str">
        <f t="array" ref="H224">IF(C224="","",IF(_xlfn.XLOOKUP(A224&amp;B224&amp;C224,盘货信息!$A:$A&amp;盘货信息!$B:$B&amp;盘货信息!$C:$C,盘货信息!$J:$J)="","",_xlfn.XLOOKUP(A224&amp;B224&amp;C224,盘货信息!$A:$A&amp;盘货信息!$B:$B&amp;盘货信息!$C:$C,盘货信息!$J:$J)&amp;"元优惠卷"))</f>
        <v/>
      </c>
      <c r="I224" s="18" t="str">
        <f t="array" ref="I224">IF(C224="","",IF(_xlfn.XLOOKUP(A224&amp;B224&amp;C224,盘货信息!$A:$A&amp;盘货信息!$B:$B&amp;盘货信息!$C:$C,盘货信息!$R:$R)="","",_xlfn.XLOOKUP(A224&amp;B224&amp;C224,盘货信息!$A:$A&amp;盘货信息!$B:$B&amp;盘货信息!$C:$C,盘货信息!$R:$R)&amp;"元优惠卷"))</f>
        <v/>
      </c>
      <c r="J224" s="18" t="str">
        <f t="array" ref="J224">IF(C224="","",IF(_xlfn.XLOOKUP(A224&amp;B224&amp;C224,盘货信息!$A:$A&amp;盘货信息!$B:$B&amp;盘货信息!$C:$C,盘货信息!$K:$K)="","",IF(OR(_xlfn.XLOOKUP(A224&amp;B224&amp;C224,盘货信息!$A:$A&amp;盘货信息!$B:$B&amp;盘货信息!$C:$C,盘货信息!$G:$G)="参加",_xlfn.XLOOKUP(A224&amp;B224&amp;C224,盘货信息!$A:$A&amp;盘货信息!$B:$B&amp;盘货信息!$C:$C,盘货信息!$H:$H)="1（纯自补）"),_xlfn.XLOOKUP(A224&amp;B224&amp;C224,盘货信息!$A:$A&amp;盘货信息!$B:$B&amp;盘货信息!$C:$C,盘货信息!$K:$K)&amp;"元以旧换新（可无旧机换新）","")))</f>
        <v/>
      </c>
      <c r="K224" s="18" t="str">
        <f t="array" ref="K224">IF(C224="","",IF(_xlfn.XLOOKUP(A224&amp;B224&amp;C224,盘货信息!$A:$A&amp;盘货信息!$B:$B&amp;盘货信息!$C:$C,盘货信息!$L:$L)="","",_xlfn.XLOOKUP(A224&amp;B224&amp;C224,盘货信息!$A:$A&amp;盘货信息!$B:$B&amp;盘货信息!$C:$C,盘货信息!$L:$L)&amp;"元限时补贴"))</f>
        <v/>
      </c>
      <c r="L224" s="18" t="str">
        <f t="array" ref="L224">IF(C224="","",IF(_xlfn.XLOOKUP(A224&amp;B224&amp;C224,盘货信息!$A:$A&amp;盘货信息!$B:$B&amp;盘货信息!$C:$C,盘货信息!$M:$M)="","",_xlfn.XLOOKUP(A224&amp;B224&amp;C224,盘货信息!$A:$A&amp;盘货信息!$B:$B&amp;盘货信息!$C:$C,盘货信息!$M:$M)&amp;"元消费券"))</f>
        <v/>
      </c>
      <c r="M224" s="18" t="str">
        <f t="array" ref="M224">IF(C224="","",IF(_xlfn.XLOOKUP(A224&amp;B224&amp;C224,盘货信息!$A:$A&amp;盘货信息!$B:$B&amp;盘货信息!$C:$C,盘货信息!$G:$G)="不参加","","焕新补贴优惠【全民可用，不限地址】"))</f>
        <v/>
      </c>
    </row>
    <row r="225" customHeight="1" spans="1:13">
      <c r="A225" s="17" t="str">
        <f>IF(盘货信息!A225="","",盘货信息!A225)</f>
        <v/>
      </c>
      <c r="B225" s="17" t="str">
        <f>IF(盘货信息!B225="","",盘货信息!B225)</f>
        <v/>
      </c>
      <c r="C225" s="18" t="str">
        <f>IF(盘货信息!C225="","",盘货信息!C225)</f>
        <v/>
      </c>
      <c r="D225" s="18" t="str">
        <f t="shared" si="3"/>
        <v/>
      </c>
      <c r="E225" s="18" t="str">
        <f t="array" ref="E225">IF(C225="","",IF(_xlfn.XLOOKUP(A225&amp;B225&amp;C225,盘货信息!$A:$A&amp;盘货信息!$B:$B&amp;盘货信息!$C:$C,盘货信息!$N:$N)="","【立减到手价"&amp;_xlfn.XLOOKUP(A225&amp;B225&amp;C225,盘货信息!$A:$A&amp;盘货信息!$B:$B&amp;盘货信息!$C:$C,盘货信息!$F:$F)&amp;"元】","【焕新补贴预估价"&amp;_xlfn.XLOOKUP(A225&amp;B225&amp;C225,盘货信息!$A:$A&amp;盘货信息!$B:$B&amp;盘货信息!$C:$C,盘货信息!$N:$N)&amp;"元】"))</f>
        <v/>
      </c>
      <c r="F225" s="18" t="str">
        <f t="array" ref="F225">IF(C225="","",_xlfn.XLOOKUP(A225&amp;B225&amp;C225,盘货信息!$A:$A&amp;盘货信息!$B:$B&amp;盘货信息!$C:$C,盘货信息!$E:$E)&amp;"元到手价")</f>
        <v/>
      </c>
      <c r="G225" s="18" t="str">
        <f t="array" ref="G225">IF(C225="","",IF(_xlfn.XLOOKUP(A225&amp;B225&amp;C225,盘货信息!$A:$A&amp;盘货信息!$B:$B&amp;盘货信息!$C:$C,盘货信息!$I:$I)="","","88VIP95折"))</f>
        <v/>
      </c>
      <c r="H225" s="18" t="str">
        <f t="array" ref="H225">IF(C225="","",IF(_xlfn.XLOOKUP(A225&amp;B225&amp;C225,盘货信息!$A:$A&amp;盘货信息!$B:$B&amp;盘货信息!$C:$C,盘货信息!$J:$J)="","",_xlfn.XLOOKUP(A225&amp;B225&amp;C225,盘货信息!$A:$A&amp;盘货信息!$B:$B&amp;盘货信息!$C:$C,盘货信息!$J:$J)&amp;"元优惠卷"))</f>
        <v/>
      </c>
      <c r="I225" s="18" t="str">
        <f t="array" ref="I225">IF(C225="","",IF(_xlfn.XLOOKUP(A225&amp;B225&amp;C225,盘货信息!$A:$A&amp;盘货信息!$B:$B&amp;盘货信息!$C:$C,盘货信息!$R:$R)="","",_xlfn.XLOOKUP(A225&amp;B225&amp;C225,盘货信息!$A:$A&amp;盘货信息!$B:$B&amp;盘货信息!$C:$C,盘货信息!$R:$R)&amp;"元优惠卷"))</f>
        <v/>
      </c>
      <c r="J225" s="18" t="str">
        <f t="array" ref="J225">IF(C225="","",IF(_xlfn.XLOOKUP(A225&amp;B225&amp;C225,盘货信息!$A:$A&amp;盘货信息!$B:$B&amp;盘货信息!$C:$C,盘货信息!$K:$K)="","",IF(OR(_xlfn.XLOOKUP(A225&amp;B225&amp;C225,盘货信息!$A:$A&amp;盘货信息!$B:$B&amp;盘货信息!$C:$C,盘货信息!$G:$G)="参加",_xlfn.XLOOKUP(A225&amp;B225&amp;C225,盘货信息!$A:$A&amp;盘货信息!$B:$B&amp;盘货信息!$C:$C,盘货信息!$H:$H)="1（纯自补）"),_xlfn.XLOOKUP(A225&amp;B225&amp;C225,盘货信息!$A:$A&amp;盘货信息!$B:$B&amp;盘货信息!$C:$C,盘货信息!$K:$K)&amp;"元以旧换新（可无旧机换新）","")))</f>
        <v/>
      </c>
      <c r="K225" s="18" t="str">
        <f t="array" ref="K225">IF(C225="","",IF(_xlfn.XLOOKUP(A225&amp;B225&amp;C225,盘货信息!$A:$A&amp;盘货信息!$B:$B&amp;盘货信息!$C:$C,盘货信息!$L:$L)="","",_xlfn.XLOOKUP(A225&amp;B225&amp;C225,盘货信息!$A:$A&amp;盘货信息!$B:$B&amp;盘货信息!$C:$C,盘货信息!$L:$L)&amp;"元限时补贴"))</f>
        <v/>
      </c>
      <c r="L225" s="18" t="str">
        <f t="array" ref="L225">IF(C225="","",IF(_xlfn.XLOOKUP(A225&amp;B225&amp;C225,盘货信息!$A:$A&amp;盘货信息!$B:$B&amp;盘货信息!$C:$C,盘货信息!$M:$M)="","",_xlfn.XLOOKUP(A225&amp;B225&amp;C225,盘货信息!$A:$A&amp;盘货信息!$B:$B&amp;盘货信息!$C:$C,盘货信息!$M:$M)&amp;"元消费券"))</f>
        <v/>
      </c>
      <c r="M225" s="18" t="str">
        <f t="array" ref="M225">IF(C225="","",IF(_xlfn.XLOOKUP(A225&amp;B225&amp;C225,盘货信息!$A:$A&amp;盘货信息!$B:$B&amp;盘货信息!$C:$C,盘货信息!$G:$G)="不参加","","焕新补贴优惠【全民可用，不限地址】"))</f>
        <v/>
      </c>
    </row>
    <row r="226" customHeight="1" spans="1:13">
      <c r="A226" s="17" t="str">
        <f>IF(盘货信息!A226="","",盘货信息!A226)</f>
        <v/>
      </c>
      <c r="B226" s="17" t="str">
        <f>IF(盘货信息!B226="","",盘货信息!B226)</f>
        <v/>
      </c>
      <c r="C226" s="18" t="str">
        <f>IF(盘货信息!C226="","",盘货信息!C226)</f>
        <v/>
      </c>
      <c r="D226" s="18" t="str">
        <f t="shared" si="3"/>
        <v/>
      </c>
      <c r="E226" s="18" t="str">
        <f t="array" ref="E226">IF(C226="","",IF(_xlfn.XLOOKUP(A226&amp;B226&amp;C226,盘货信息!$A:$A&amp;盘货信息!$B:$B&amp;盘货信息!$C:$C,盘货信息!$N:$N)="","【立减到手价"&amp;_xlfn.XLOOKUP(A226&amp;B226&amp;C226,盘货信息!$A:$A&amp;盘货信息!$B:$B&amp;盘货信息!$C:$C,盘货信息!$F:$F)&amp;"元】","【焕新补贴预估价"&amp;_xlfn.XLOOKUP(A226&amp;B226&amp;C226,盘货信息!$A:$A&amp;盘货信息!$B:$B&amp;盘货信息!$C:$C,盘货信息!$N:$N)&amp;"元】"))</f>
        <v/>
      </c>
      <c r="F226" s="18" t="str">
        <f t="array" ref="F226">IF(C226="","",_xlfn.XLOOKUP(A226&amp;B226&amp;C226,盘货信息!$A:$A&amp;盘货信息!$B:$B&amp;盘货信息!$C:$C,盘货信息!$E:$E)&amp;"元到手价")</f>
        <v/>
      </c>
      <c r="G226" s="18" t="str">
        <f t="array" ref="G226">IF(C226="","",IF(_xlfn.XLOOKUP(A226&amp;B226&amp;C226,盘货信息!$A:$A&amp;盘货信息!$B:$B&amp;盘货信息!$C:$C,盘货信息!$I:$I)="","","88VIP95折"))</f>
        <v/>
      </c>
      <c r="H226" s="18" t="str">
        <f t="array" ref="H226">IF(C226="","",IF(_xlfn.XLOOKUP(A226&amp;B226&amp;C226,盘货信息!$A:$A&amp;盘货信息!$B:$B&amp;盘货信息!$C:$C,盘货信息!$J:$J)="","",_xlfn.XLOOKUP(A226&amp;B226&amp;C226,盘货信息!$A:$A&amp;盘货信息!$B:$B&amp;盘货信息!$C:$C,盘货信息!$J:$J)&amp;"元优惠卷"))</f>
        <v/>
      </c>
      <c r="I226" s="18" t="str">
        <f t="array" ref="I226">IF(C226="","",IF(_xlfn.XLOOKUP(A226&amp;B226&amp;C226,盘货信息!$A:$A&amp;盘货信息!$B:$B&amp;盘货信息!$C:$C,盘货信息!$R:$R)="","",_xlfn.XLOOKUP(A226&amp;B226&amp;C226,盘货信息!$A:$A&amp;盘货信息!$B:$B&amp;盘货信息!$C:$C,盘货信息!$R:$R)&amp;"元优惠卷"))</f>
        <v/>
      </c>
      <c r="J226" s="18" t="str">
        <f t="array" ref="J226">IF(C226="","",IF(_xlfn.XLOOKUP(A226&amp;B226&amp;C226,盘货信息!$A:$A&amp;盘货信息!$B:$B&amp;盘货信息!$C:$C,盘货信息!$K:$K)="","",IF(OR(_xlfn.XLOOKUP(A226&amp;B226&amp;C226,盘货信息!$A:$A&amp;盘货信息!$B:$B&amp;盘货信息!$C:$C,盘货信息!$G:$G)="参加",_xlfn.XLOOKUP(A226&amp;B226&amp;C226,盘货信息!$A:$A&amp;盘货信息!$B:$B&amp;盘货信息!$C:$C,盘货信息!$H:$H)="1（纯自补）"),_xlfn.XLOOKUP(A226&amp;B226&amp;C226,盘货信息!$A:$A&amp;盘货信息!$B:$B&amp;盘货信息!$C:$C,盘货信息!$K:$K)&amp;"元以旧换新（可无旧机换新）","")))</f>
        <v/>
      </c>
      <c r="K226" s="18" t="str">
        <f t="array" ref="K226">IF(C226="","",IF(_xlfn.XLOOKUP(A226&amp;B226&amp;C226,盘货信息!$A:$A&amp;盘货信息!$B:$B&amp;盘货信息!$C:$C,盘货信息!$L:$L)="","",_xlfn.XLOOKUP(A226&amp;B226&amp;C226,盘货信息!$A:$A&amp;盘货信息!$B:$B&amp;盘货信息!$C:$C,盘货信息!$L:$L)&amp;"元限时补贴"))</f>
        <v/>
      </c>
      <c r="L226" s="18" t="str">
        <f t="array" ref="L226">IF(C226="","",IF(_xlfn.XLOOKUP(A226&amp;B226&amp;C226,盘货信息!$A:$A&amp;盘货信息!$B:$B&amp;盘货信息!$C:$C,盘货信息!$M:$M)="","",_xlfn.XLOOKUP(A226&amp;B226&amp;C226,盘货信息!$A:$A&amp;盘货信息!$B:$B&amp;盘货信息!$C:$C,盘货信息!$M:$M)&amp;"元消费券"))</f>
        <v/>
      </c>
      <c r="M226" s="18" t="str">
        <f t="array" ref="M226">IF(C226="","",IF(_xlfn.XLOOKUP(A226&amp;B226&amp;C226,盘货信息!$A:$A&amp;盘货信息!$B:$B&amp;盘货信息!$C:$C,盘货信息!$G:$G)="不参加","","焕新补贴优惠【全民可用，不限地址】"))</f>
        <v/>
      </c>
    </row>
    <row r="227" customHeight="1" spans="1:13">
      <c r="A227" s="17" t="str">
        <f>IF(盘货信息!A227="","",盘货信息!A227)</f>
        <v/>
      </c>
      <c r="B227" s="17" t="str">
        <f>IF(盘货信息!B227="","",盘货信息!B227)</f>
        <v/>
      </c>
      <c r="C227" s="18" t="str">
        <f>IF(盘货信息!C227="","",盘货信息!C227)</f>
        <v/>
      </c>
      <c r="D227" s="18" t="str">
        <f t="shared" si="3"/>
        <v/>
      </c>
      <c r="E227" s="18" t="str">
        <f t="array" ref="E227">IF(C227="","",IF(_xlfn.XLOOKUP(A227&amp;B227&amp;C227,盘货信息!$A:$A&amp;盘货信息!$B:$B&amp;盘货信息!$C:$C,盘货信息!$N:$N)="","【立减到手价"&amp;_xlfn.XLOOKUP(A227&amp;B227&amp;C227,盘货信息!$A:$A&amp;盘货信息!$B:$B&amp;盘货信息!$C:$C,盘货信息!$F:$F)&amp;"元】","【焕新补贴预估价"&amp;_xlfn.XLOOKUP(A227&amp;B227&amp;C227,盘货信息!$A:$A&amp;盘货信息!$B:$B&amp;盘货信息!$C:$C,盘货信息!$N:$N)&amp;"元】"))</f>
        <v/>
      </c>
      <c r="F227" s="18" t="str">
        <f t="array" ref="F227">IF(C227="","",_xlfn.XLOOKUP(A227&amp;B227&amp;C227,盘货信息!$A:$A&amp;盘货信息!$B:$B&amp;盘货信息!$C:$C,盘货信息!$E:$E)&amp;"元到手价")</f>
        <v/>
      </c>
      <c r="G227" s="18" t="str">
        <f t="array" ref="G227">IF(C227="","",IF(_xlfn.XLOOKUP(A227&amp;B227&amp;C227,盘货信息!$A:$A&amp;盘货信息!$B:$B&amp;盘货信息!$C:$C,盘货信息!$I:$I)="","","88VIP95折"))</f>
        <v/>
      </c>
      <c r="H227" s="18" t="str">
        <f t="array" ref="H227">IF(C227="","",IF(_xlfn.XLOOKUP(A227&amp;B227&amp;C227,盘货信息!$A:$A&amp;盘货信息!$B:$B&amp;盘货信息!$C:$C,盘货信息!$J:$J)="","",_xlfn.XLOOKUP(A227&amp;B227&amp;C227,盘货信息!$A:$A&amp;盘货信息!$B:$B&amp;盘货信息!$C:$C,盘货信息!$J:$J)&amp;"元优惠卷"))</f>
        <v/>
      </c>
      <c r="I227" s="18" t="str">
        <f t="array" ref="I227">IF(C227="","",IF(_xlfn.XLOOKUP(A227&amp;B227&amp;C227,盘货信息!$A:$A&amp;盘货信息!$B:$B&amp;盘货信息!$C:$C,盘货信息!$R:$R)="","",_xlfn.XLOOKUP(A227&amp;B227&amp;C227,盘货信息!$A:$A&amp;盘货信息!$B:$B&amp;盘货信息!$C:$C,盘货信息!$R:$R)&amp;"元优惠卷"))</f>
        <v/>
      </c>
      <c r="J227" s="18" t="str">
        <f t="array" ref="J227">IF(C227="","",IF(_xlfn.XLOOKUP(A227&amp;B227&amp;C227,盘货信息!$A:$A&amp;盘货信息!$B:$B&amp;盘货信息!$C:$C,盘货信息!$K:$K)="","",IF(OR(_xlfn.XLOOKUP(A227&amp;B227&amp;C227,盘货信息!$A:$A&amp;盘货信息!$B:$B&amp;盘货信息!$C:$C,盘货信息!$G:$G)="参加",_xlfn.XLOOKUP(A227&amp;B227&amp;C227,盘货信息!$A:$A&amp;盘货信息!$B:$B&amp;盘货信息!$C:$C,盘货信息!$H:$H)="1（纯自补）"),_xlfn.XLOOKUP(A227&amp;B227&amp;C227,盘货信息!$A:$A&amp;盘货信息!$B:$B&amp;盘货信息!$C:$C,盘货信息!$K:$K)&amp;"元以旧换新（可无旧机换新）","")))</f>
        <v/>
      </c>
      <c r="K227" s="18" t="str">
        <f t="array" ref="K227">IF(C227="","",IF(_xlfn.XLOOKUP(A227&amp;B227&amp;C227,盘货信息!$A:$A&amp;盘货信息!$B:$B&amp;盘货信息!$C:$C,盘货信息!$L:$L)="","",_xlfn.XLOOKUP(A227&amp;B227&amp;C227,盘货信息!$A:$A&amp;盘货信息!$B:$B&amp;盘货信息!$C:$C,盘货信息!$L:$L)&amp;"元限时补贴"))</f>
        <v/>
      </c>
      <c r="L227" s="18" t="str">
        <f t="array" ref="L227">IF(C227="","",IF(_xlfn.XLOOKUP(A227&amp;B227&amp;C227,盘货信息!$A:$A&amp;盘货信息!$B:$B&amp;盘货信息!$C:$C,盘货信息!$M:$M)="","",_xlfn.XLOOKUP(A227&amp;B227&amp;C227,盘货信息!$A:$A&amp;盘货信息!$B:$B&amp;盘货信息!$C:$C,盘货信息!$M:$M)&amp;"元消费券"))</f>
        <v/>
      </c>
      <c r="M227" s="18" t="str">
        <f t="array" ref="M227">IF(C227="","",IF(_xlfn.XLOOKUP(A227&amp;B227&amp;C227,盘货信息!$A:$A&amp;盘货信息!$B:$B&amp;盘货信息!$C:$C,盘货信息!$G:$G)="不参加","","焕新补贴优惠【全民可用，不限地址】"))</f>
        <v/>
      </c>
    </row>
    <row r="228" customHeight="1" spans="1:13">
      <c r="A228" s="17" t="str">
        <f>IF(盘货信息!A228="","",盘货信息!A228)</f>
        <v/>
      </c>
      <c r="B228" s="17" t="str">
        <f>IF(盘货信息!B228="","",盘货信息!B228)</f>
        <v/>
      </c>
      <c r="C228" s="18" t="str">
        <f>IF(盘货信息!C228="","",盘货信息!C228)</f>
        <v/>
      </c>
      <c r="D228" s="18" t="str">
        <f t="shared" si="3"/>
        <v/>
      </c>
      <c r="E228" s="18" t="str">
        <f t="array" ref="E228">IF(C228="","",IF(_xlfn.XLOOKUP(A228&amp;B228&amp;C228,盘货信息!$A:$A&amp;盘货信息!$B:$B&amp;盘货信息!$C:$C,盘货信息!$N:$N)="","【立减到手价"&amp;_xlfn.XLOOKUP(A228&amp;B228&amp;C228,盘货信息!$A:$A&amp;盘货信息!$B:$B&amp;盘货信息!$C:$C,盘货信息!$F:$F)&amp;"元】","【焕新补贴预估价"&amp;_xlfn.XLOOKUP(A228&amp;B228&amp;C228,盘货信息!$A:$A&amp;盘货信息!$B:$B&amp;盘货信息!$C:$C,盘货信息!$N:$N)&amp;"元】"))</f>
        <v/>
      </c>
      <c r="F228" s="18" t="str">
        <f t="array" ref="F228">IF(C228="","",_xlfn.XLOOKUP(A228&amp;B228&amp;C228,盘货信息!$A:$A&amp;盘货信息!$B:$B&amp;盘货信息!$C:$C,盘货信息!$E:$E)&amp;"元到手价")</f>
        <v/>
      </c>
      <c r="G228" s="18" t="str">
        <f t="array" ref="G228">IF(C228="","",IF(_xlfn.XLOOKUP(A228&amp;B228&amp;C228,盘货信息!$A:$A&amp;盘货信息!$B:$B&amp;盘货信息!$C:$C,盘货信息!$I:$I)="","","88VIP95折"))</f>
        <v/>
      </c>
      <c r="H228" s="18" t="str">
        <f t="array" ref="H228">IF(C228="","",IF(_xlfn.XLOOKUP(A228&amp;B228&amp;C228,盘货信息!$A:$A&amp;盘货信息!$B:$B&amp;盘货信息!$C:$C,盘货信息!$J:$J)="","",_xlfn.XLOOKUP(A228&amp;B228&amp;C228,盘货信息!$A:$A&amp;盘货信息!$B:$B&amp;盘货信息!$C:$C,盘货信息!$J:$J)&amp;"元优惠卷"))</f>
        <v/>
      </c>
      <c r="I228" s="18" t="str">
        <f t="array" ref="I228">IF(C228="","",IF(_xlfn.XLOOKUP(A228&amp;B228&amp;C228,盘货信息!$A:$A&amp;盘货信息!$B:$B&amp;盘货信息!$C:$C,盘货信息!$R:$R)="","",_xlfn.XLOOKUP(A228&amp;B228&amp;C228,盘货信息!$A:$A&amp;盘货信息!$B:$B&amp;盘货信息!$C:$C,盘货信息!$R:$R)&amp;"元优惠卷"))</f>
        <v/>
      </c>
      <c r="J228" s="18" t="str">
        <f t="array" ref="J228">IF(C228="","",IF(_xlfn.XLOOKUP(A228&amp;B228&amp;C228,盘货信息!$A:$A&amp;盘货信息!$B:$B&amp;盘货信息!$C:$C,盘货信息!$K:$K)="","",IF(OR(_xlfn.XLOOKUP(A228&amp;B228&amp;C228,盘货信息!$A:$A&amp;盘货信息!$B:$B&amp;盘货信息!$C:$C,盘货信息!$G:$G)="参加",_xlfn.XLOOKUP(A228&amp;B228&amp;C228,盘货信息!$A:$A&amp;盘货信息!$B:$B&amp;盘货信息!$C:$C,盘货信息!$H:$H)="1（纯自补）"),_xlfn.XLOOKUP(A228&amp;B228&amp;C228,盘货信息!$A:$A&amp;盘货信息!$B:$B&amp;盘货信息!$C:$C,盘货信息!$K:$K)&amp;"元以旧换新（可无旧机换新）","")))</f>
        <v/>
      </c>
      <c r="K228" s="18" t="str">
        <f t="array" ref="K228">IF(C228="","",IF(_xlfn.XLOOKUP(A228&amp;B228&amp;C228,盘货信息!$A:$A&amp;盘货信息!$B:$B&amp;盘货信息!$C:$C,盘货信息!$L:$L)="","",_xlfn.XLOOKUP(A228&amp;B228&amp;C228,盘货信息!$A:$A&amp;盘货信息!$B:$B&amp;盘货信息!$C:$C,盘货信息!$L:$L)&amp;"元限时补贴"))</f>
        <v/>
      </c>
      <c r="L228" s="18" t="str">
        <f t="array" ref="L228">IF(C228="","",IF(_xlfn.XLOOKUP(A228&amp;B228&amp;C228,盘货信息!$A:$A&amp;盘货信息!$B:$B&amp;盘货信息!$C:$C,盘货信息!$M:$M)="","",_xlfn.XLOOKUP(A228&amp;B228&amp;C228,盘货信息!$A:$A&amp;盘货信息!$B:$B&amp;盘货信息!$C:$C,盘货信息!$M:$M)&amp;"元消费券"))</f>
        <v/>
      </c>
      <c r="M228" s="18" t="str">
        <f t="array" ref="M228">IF(C228="","",IF(_xlfn.XLOOKUP(A228&amp;B228&amp;C228,盘货信息!$A:$A&amp;盘货信息!$B:$B&amp;盘货信息!$C:$C,盘货信息!$G:$G)="不参加","","焕新补贴优惠【全民可用，不限地址】"))</f>
        <v/>
      </c>
    </row>
    <row r="229" customHeight="1" spans="1:13">
      <c r="A229" s="17" t="str">
        <f>IF(盘货信息!A229="","",盘货信息!A229)</f>
        <v/>
      </c>
      <c r="B229" s="17" t="str">
        <f>IF(盘货信息!B229="","",盘货信息!B229)</f>
        <v/>
      </c>
      <c r="C229" s="18" t="str">
        <f>IF(盘货信息!C229="","",盘货信息!C229)</f>
        <v/>
      </c>
      <c r="D229" s="18" t="str">
        <f t="shared" si="3"/>
        <v/>
      </c>
      <c r="E229" s="18" t="str">
        <f t="array" ref="E229">IF(C229="","",IF(_xlfn.XLOOKUP(A229&amp;B229&amp;C229,盘货信息!$A:$A&amp;盘货信息!$B:$B&amp;盘货信息!$C:$C,盘货信息!$N:$N)="","【立减到手价"&amp;_xlfn.XLOOKUP(A229&amp;B229&amp;C229,盘货信息!$A:$A&amp;盘货信息!$B:$B&amp;盘货信息!$C:$C,盘货信息!$F:$F)&amp;"元】","【焕新补贴预估价"&amp;_xlfn.XLOOKUP(A229&amp;B229&amp;C229,盘货信息!$A:$A&amp;盘货信息!$B:$B&amp;盘货信息!$C:$C,盘货信息!$N:$N)&amp;"元】"))</f>
        <v/>
      </c>
      <c r="F229" s="18" t="str">
        <f t="array" ref="F229">IF(C229="","",_xlfn.XLOOKUP(A229&amp;B229&amp;C229,盘货信息!$A:$A&amp;盘货信息!$B:$B&amp;盘货信息!$C:$C,盘货信息!$E:$E)&amp;"元到手价")</f>
        <v/>
      </c>
      <c r="G229" s="18" t="str">
        <f t="array" ref="G229">IF(C229="","",IF(_xlfn.XLOOKUP(A229&amp;B229&amp;C229,盘货信息!$A:$A&amp;盘货信息!$B:$B&amp;盘货信息!$C:$C,盘货信息!$I:$I)="","","88VIP95折"))</f>
        <v/>
      </c>
      <c r="H229" s="18" t="str">
        <f t="array" ref="H229">IF(C229="","",IF(_xlfn.XLOOKUP(A229&amp;B229&amp;C229,盘货信息!$A:$A&amp;盘货信息!$B:$B&amp;盘货信息!$C:$C,盘货信息!$J:$J)="","",_xlfn.XLOOKUP(A229&amp;B229&amp;C229,盘货信息!$A:$A&amp;盘货信息!$B:$B&amp;盘货信息!$C:$C,盘货信息!$J:$J)&amp;"元优惠卷"))</f>
        <v/>
      </c>
      <c r="I229" s="18" t="str">
        <f t="array" ref="I229">IF(C229="","",IF(_xlfn.XLOOKUP(A229&amp;B229&amp;C229,盘货信息!$A:$A&amp;盘货信息!$B:$B&amp;盘货信息!$C:$C,盘货信息!$R:$R)="","",_xlfn.XLOOKUP(A229&amp;B229&amp;C229,盘货信息!$A:$A&amp;盘货信息!$B:$B&amp;盘货信息!$C:$C,盘货信息!$R:$R)&amp;"元优惠卷"))</f>
        <v/>
      </c>
      <c r="J229" s="18" t="str">
        <f t="array" ref="J229">IF(C229="","",IF(_xlfn.XLOOKUP(A229&amp;B229&amp;C229,盘货信息!$A:$A&amp;盘货信息!$B:$B&amp;盘货信息!$C:$C,盘货信息!$K:$K)="","",IF(OR(_xlfn.XLOOKUP(A229&amp;B229&amp;C229,盘货信息!$A:$A&amp;盘货信息!$B:$B&amp;盘货信息!$C:$C,盘货信息!$G:$G)="参加",_xlfn.XLOOKUP(A229&amp;B229&amp;C229,盘货信息!$A:$A&amp;盘货信息!$B:$B&amp;盘货信息!$C:$C,盘货信息!$H:$H)="1（纯自补）"),_xlfn.XLOOKUP(A229&amp;B229&amp;C229,盘货信息!$A:$A&amp;盘货信息!$B:$B&amp;盘货信息!$C:$C,盘货信息!$K:$K)&amp;"元以旧换新（可无旧机换新）","")))</f>
        <v/>
      </c>
      <c r="K229" s="18" t="str">
        <f t="array" ref="K229">IF(C229="","",IF(_xlfn.XLOOKUP(A229&amp;B229&amp;C229,盘货信息!$A:$A&amp;盘货信息!$B:$B&amp;盘货信息!$C:$C,盘货信息!$L:$L)="","",_xlfn.XLOOKUP(A229&amp;B229&amp;C229,盘货信息!$A:$A&amp;盘货信息!$B:$B&amp;盘货信息!$C:$C,盘货信息!$L:$L)&amp;"元限时补贴"))</f>
        <v/>
      </c>
      <c r="L229" s="18" t="str">
        <f t="array" ref="L229">IF(C229="","",IF(_xlfn.XLOOKUP(A229&amp;B229&amp;C229,盘货信息!$A:$A&amp;盘货信息!$B:$B&amp;盘货信息!$C:$C,盘货信息!$M:$M)="","",_xlfn.XLOOKUP(A229&amp;B229&amp;C229,盘货信息!$A:$A&amp;盘货信息!$B:$B&amp;盘货信息!$C:$C,盘货信息!$M:$M)&amp;"元消费券"))</f>
        <v/>
      </c>
      <c r="M229" s="18" t="str">
        <f t="array" ref="M229">IF(C229="","",IF(_xlfn.XLOOKUP(A229&amp;B229&amp;C229,盘货信息!$A:$A&amp;盘货信息!$B:$B&amp;盘货信息!$C:$C,盘货信息!$G:$G)="不参加","","焕新补贴优惠【全民可用，不限地址】"))</f>
        <v/>
      </c>
    </row>
    <row r="230" customHeight="1" spans="1:13">
      <c r="A230" s="17" t="str">
        <f>IF(盘货信息!A230="","",盘货信息!A230)</f>
        <v/>
      </c>
      <c r="B230" s="17" t="str">
        <f>IF(盘货信息!B230="","",盘货信息!B230)</f>
        <v/>
      </c>
      <c r="C230" s="18" t="str">
        <f>IF(盘货信息!C230="","",盘货信息!C230)</f>
        <v/>
      </c>
      <c r="D230" s="18" t="str">
        <f t="shared" si="3"/>
        <v/>
      </c>
      <c r="E230" s="18" t="str">
        <f t="array" ref="E230">IF(C230="","",IF(_xlfn.XLOOKUP(A230&amp;B230&amp;C230,盘货信息!$A:$A&amp;盘货信息!$B:$B&amp;盘货信息!$C:$C,盘货信息!$N:$N)="","【立减到手价"&amp;_xlfn.XLOOKUP(A230&amp;B230&amp;C230,盘货信息!$A:$A&amp;盘货信息!$B:$B&amp;盘货信息!$C:$C,盘货信息!$F:$F)&amp;"元】","【焕新补贴预估价"&amp;_xlfn.XLOOKUP(A230&amp;B230&amp;C230,盘货信息!$A:$A&amp;盘货信息!$B:$B&amp;盘货信息!$C:$C,盘货信息!$N:$N)&amp;"元】"))</f>
        <v/>
      </c>
      <c r="F230" s="18" t="str">
        <f t="array" ref="F230">IF(C230="","",_xlfn.XLOOKUP(A230&amp;B230&amp;C230,盘货信息!$A:$A&amp;盘货信息!$B:$B&amp;盘货信息!$C:$C,盘货信息!$E:$E)&amp;"元到手价")</f>
        <v/>
      </c>
      <c r="G230" s="18" t="str">
        <f t="array" ref="G230">IF(C230="","",IF(_xlfn.XLOOKUP(A230&amp;B230&amp;C230,盘货信息!$A:$A&amp;盘货信息!$B:$B&amp;盘货信息!$C:$C,盘货信息!$I:$I)="","","88VIP95折"))</f>
        <v/>
      </c>
      <c r="H230" s="18" t="str">
        <f t="array" ref="H230">IF(C230="","",IF(_xlfn.XLOOKUP(A230&amp;B230&amp;C230,盘货信息!$A:$A&amp;盘货信息!$B:$B&amp;盘货信息!$C:$C,盘货信息!$J:$J)="","",_xlfn.XLOOKUP(A230&amp;B230&amp;C230,盘货信息!$A:$A&amp;盘货信息!$B:$B&amp;盘货信息!$C:$C,盘货信息!$J:$J)&amp;"元优惠卷"))</f>
        <v/>
      </c>
      <c r="I230" s="18" t="str">
        <f t="array" ref="I230">IF(C230="","",IF(_xlfn.XLOOKUP(A230&amp;B230&amp;C230,盘货信息!$A:$A&amp;盘货信息!$B:$B&amp;盘货信息!$C:$C,盘货信息!$R:$R)="","",_xlfn.XLOOKUP(A230&amp;B230&amp;C230,盘货信息!$A:$A&amp;盘货信息!$B:$B&amp;盘货信息!$C:$C,盘货信息!$R:$R)&amp;"元优惠卷"))</f>
        <v/>
      </c>
      <c r="J230" s="18" t="str">
        <f t="array" ref="J230">IF(C230="","",IF(_xlfn.XLOOKUP(A230&amp;B230&amp;C230,盘货信息!$A:$A&amp;盘货信息!$B:$B&amp;盘货信息!$C:$C,盘货信息!$K:$K)="","",IF(OR(_xlfn.XLOOKUP(A230&amp;B230&amp;C230,盘货信息!$A:$A&amp;盘货信息!$B:$B&amp;盘货信息!$C:$C,盘货信息!$G:$G)="参加",_xlfn.XLOOKUP(A230&amp;B230&amp;C230,盘货信息!$A:$A&amp;盘货信息!$B:$B&amp;盘货信息!$C:$C,盘货信息!$H:$H)="1（纯自补）"),_xlfn.XLOOKUP(A230&amp;B230&amp;C230,盘货信息!$A:$A&amp;盘货信息!$B:$B&amp;盘货信息!$C:$C,盘货信息!$K:$K)&amp;"元以旧换新（可无旧机换新）","")))</f>
        <v/>
      </c>
      <c r="K230" s="18" t="str">
        <f t="array" ref="K230">IF(C230="","",IF(_xlfn.XLOOKUP(A230&amp;B230&amp;C230,盘货信息!$A:$A&amp;盘货信息!$B:$B&amp;盘货信息!$C:$C,盘货信息!$L:$L)="","",_xlfn.XLOOKUP(A230&amp;B230&amp;C230,盘货信息!$A:$A&amp;盘货信息!$B:$B&amp;盘货信息!$C:$C,盘货信息!$L:$L)&amp;"元限时补贴"))</f>
        <v/>
      </c>
      <c r="L230" s="18" t="str">
        <f t="array" ref="L230">IF(C230="","",IF(_xlfn.XLOOKUP(A230&amp;B230&amp;C230,盘货信息!$A:$A&amp;盘货信息!$B:$B&amp;盘货信息!$C:$C,盘货信息!$M:$M)="","",_xlfn.XLOOKUP(A230&amp;B230&amp;C230,盘货信息!$A:$A&amp;盘货信息!$B:$B&amp;盘货信息!$C:$C,盘货信息!$M:$M)&amp;"元消费券"))</f>
        <v/>
      </c>
      <c r="M230" s="18" t="str">
        <f t="array" ref="M230">IF(C230="","",IF(_xlfn.XLOOKUP(A230&amp;B230&amp;C230,盘货信息!$A:$A&amp;盘货信息!$B:$B&amp;盘货信息!$C:$C,盘货信息!$G:$G)="不参加","","焕新补贴优惠【全民可用，不限地址】"))</f>
        <v/>
      </c>
    </row>
    <row r="231" customHeight="1" spans="1:13">
      <c r="A231" s="17" t="str">
        <f>IF(盘货信息!A231="","",盘货信息!A231)</f>
        <v/>
      </c>
      <c r="B231" s="17" t="str">
        <f>IF(盘货信息!B231="","",盘货信息!B231)</f>
        <v/>
      </c>
      <c r="C231" s="18" t="str">
        <f>IF(盘货信息!C231="","",盘货信息!C231)</f>
        <v/>
      </c>
      <c r="D231" s="18" t="str">
        <f t="shared" si="3"/>
        <v/>
      </c>
      <c r="E231" s="18" t="str">
        <f t="array" ref="E231">IF(C231="","",IF(_xlfn.XLOOKUP(A231&amp;B231&amp;C231,盘货信息!$A:$A&amp;盘货信息!$B:$B&amp;盘货信息!$C:$C,盘货信息!$N:$N)="","【立减到手价"&amp;_xlfn.XLOOKUP(A231&amp;B231&amp;C231,盘货信息!$A:$A&amp;盘货信息!$B:$B&amp;盘货信息!$C:$C,盘货信息!$F:$F)&amp;"元】","【焕新补贴预估价"&amp;_xlfn.XLOOKUP(A231&amp;B231&amp;C231,盘货信息!$A:$A&amp;盘货信息!$B:$B&amp;盘货信息!$C:$C,盘货信息!$N:$N)&amp;"元】"))</f>
        <v/>
      </c>
      <c r="F231" s="18" t="str">
        <f t="array" ref="F231">IF(C231="","",_xlfn.XLOOKUP(A231&amp;B231&amp;C231,盘货信息!$A:$A&amp;盘货信息!$B:$B&amp;盘货信息!$C:$C,盘货信息!$E:$E)&amp;"元到手价")</f>
        <v/>
      </c>
      <c r="G231" s="18" t="str">
        <f t="array" ref="G231">IF(C231="","",IF(_xlfn.XLOOKUP(A231&amp;B231&amp;C231,盘货信息!$A:$A&amp;盘货信息!$B:$B&amp;盘货信息!$C:$C,盘货信息!$I:$I)="","","88VIP95折"))</f>
        <v/>
      </c>
      <c r="H231" s="18" t="str">
        <f t="array" ref="H231">IF(C231="","",IF(_xlfn.XLOOKUP(A231&amp;B231&amp;C231,盘货信息!$A:$A&amp;盘货信息!$B:$B&amp;盘货信息!$C:$C,盘货信息!$J:$J)="","",_xlfn.XLOOKUP(A231&amp;B231&amp;C231,盘货信息!$A:$A&amp;盘货信息!$B:$B&amp;盘货信息!$C:$C,盘货信息!$J:$J)&amp;"元优惠卷"))</f>
        <v/>
      </c>
      <c r="I231" s="18" t="str">
        <f t="array" ref="I231">IF(C231="","",IF(_xlfn.XLOOKUP(A231&amp;B231&amp;C231,盘货信息!$A:$A&amp;盘货信息!$B:$B&amp;盘货信息!$C:$C,盘货信息!$R:$R)="","",_xlfn.XLOOKUP(A231&amp;B231&amp;C231,盘货信息!$A:$A&amp;盘货信息!$B:$B&amp;盘货信息!$C:$C,盘货信息!$R:$R)&amp;"元优惠卷"))</f>
        <v/>
      </c>
      <c r="J231" s="18" t="str">
        <f t="array" ref="J231">IF(C231="","",IF(_xlfn.XLOOKUP(A231&amp;B231&amp;C231,盘货信息!$A:$A&amp;盘货信息!$B:$B&amp;盘货信息!$C:$C,盘货信息!$K:$K)="","",IF(OR(_xlfn.XLOOKUP(A231&amp;B231&amp;C231,盘货信息!$A:$A&amp;盘货信息!$B:$B&amp;盘货信息!$C:$C,盘货信息!$G:$G)="参加",_xlfn.XLOOKUP(A231&amp;B231&amp;C231,盘货信息!$A:$A&amp;盘货信息!$B:$B&amp;盘货信息!$C:$C,盘货信息!$H:$H)="1（纯自补）"),_xlfn.XLOOKUP(A231&amp;B231&amp;C231,盘货信息!$A:$A&amp;盘货信息!$B:$B&amp;盘货信息!$C:$C,盘货信息!$K:$K)&amp;"元以旧换新（可无旧机换新）","")))</f>
        <v/>
      </c>
      <c r="K231" s="18" t="str">
        <f t="array" ref="K231">IF(C231="","",IF(_xlfn.XLOOKUP(A231&amp;B231&amp;C231,盘货信息!$A:$A&amp;盘货信息!$B:$B&amp;盘货信息!$C:$C,盘货信息!$L:$L)="","",_xlfn.XLOOKUP(A231&amp;B231&amp;C231,盘货信息!$A:$A&amp;盘货信息!$B:$B&amp;盘货信息!$C:$C,盘货信息!$L:$L)&amp;"元限时补贴"))</f>
        <v/>
      </c>
      <c r="L231" s="18" t="str">
        <f t="array" ref="L231">IF(C231="","",IF(_xlfn.XLOOKUP(A231&amp;B231&amp;C231,盘货信息!$A:$A&amp;盘货信息!$B:$B&amp;盘货信息!$C:$C,盘货信息!$M:$M)="","",_xlfn.XLOOKUP(A231&amp;B231&amp;C231,盘货信息!$A:$A&amp;盘货信息!$B:$B&amp;盘货信息!$C:$C,盘货信息!$M:$M)&amp;"元消费券"))</f>
        <v/>
      </c>
      <c r="M231" s="18" t="str">
        <f t="array" ref="M231">IF(C231="","",IF(_xlfn.XLOOKUP(A231&amp;B231&amp;C231,盘货信息!$A:$A&amp;盘货信息!$B:$B&amp;盘货信息!$C:$C,盘货信息!$G:$G)="不参加","","焕新补贴优惠【全民可用，不限地址】"))</f>
        <v/>
      </c>
    </row>
    <row r="232" customHeight="1" spans="1:13">
      <c r="A232" s="17" t="str">
        <f>IF(盘货信息!A232="","",盘货信息!A232)</f>
        <v/>
      </c>
      <c r="B232" s="17" t="str">
        <f>IF(盘货信息!B232="","",盘货信息!B232)</f>
        <v/>
      </c>
      <c r="C232" s="18" t="str">
        <f>IF(盘货信息!C232="","",盘货信息!C232)</f>
        <v/>
      </c>
      <c r="D232" s="18" t="str">
        <f t="shared" si="3"/>
        <v/>
      </c>
      <c r="E232" s="18" t="str">
        <f t="array" ref="E232">IF(C232="","",IF(_xlfn.XLOOKUP(A232&amp;B232&amp;C232,盘货信息!$A:$A&amp;盘货信息!$B:$B&amp;盘货信息!$C:$C,盘货信息!$N:$N)="","【立减到手价"&amp;_xlfn.XLOOKUP(A232&amp;B232&amp;C232,盘货信息!$A:$A&amp;盘货信息!$B:$B&amp;盘货信息!$C:$C,盘货信息!$F:$F)&amp;"元】","【焕新补贴预估价"&amp;_xlfn.XLOOKUP(A232&amp;B232&amp;C232,盘货信息!$A:$A&amp;盘货信息!$B:$B&amp;盘货信息!$C:$C,盘货信息!$N:$N)&amp;"元】"))</f>
        <v/>
      </c>
      <c r="F232" s="18" t="str">
        <f t="array" ref="F232">IF(C232="","",_xlfn.XLOOKUP(A232&amp;B232&amp;C232,盘货信息!$A:$A&amp;盘货信息!$B:$B&amp;盘货信息!$C:$C,盘货信息!$E:$E)&amp;"元到手价")</f>
        <v/>
      </c>
      <c r="G232" s="18" t="str">
        <f t="array" ref="G232">IF(C232="","",IF(_xlfn.XLOOKUP(A232&amp;B232&amp;C232,盘货信息!$A:$A&amp;盘货信息!$B:$B&amp;盘货信息!$C:$C,盘货信息!$I:$I)="","","88VIP95折"))</f>
        <v/>
      </c>
      <c r="H232" s="18" t="str">
        <f t="array" ref="H232">IF(C232="","",IF(_xlfn.XLOOKUP(A232&amp;B232&amp;C232,盘货信息!$A:$A&amp;盘货信息!$B:$B&amp;盘货信息!$C:$C,盘货信息!$J:$J)="","",_xlfn.XLOOKUP(A232&amp;B232&amp;C232,盘货信息!$A:$A&amp;盘货信息!$B:$B&amp;盘货信息!$C:$C,盘货信息!$J:$J)&amp;"元优惠卷"))</f>
        <v/>
      </c>
      <c r="I232" s="18" t="str">
        <f t="array" ref="I232">IF(C232="","",IF(_xlfn.XLOOKUP(A232&amp;B232&amp;C232,盘货信息!$A:$A&amp;盘货信息!$B:$B&amp;盘货信息!$C:$C,盘货信息!$R:$R)="","",_xlfn.XLOOKUP(A232&amp;B232&amp;C232,盘货信息!$A:$A&amp;盘货信息!$B:$B&amp;盘货信息!$C:$C,盘货信息!$R:$R)&amp;"元优惠卷"))</f>
        <v/>
      </c>
      <c r="J232" s="18" t="str">
        <f t="array" ref="J232">IF(C232="","",IF(_xlfn.XLOOKUP(A232&amp;B232&amp;C232,盘货信息!$A:$A&amp;盘货信息!$B:$B&amp;盘货信息!$C:$C,盘货信息!$K:$K)="","",IF(OR(_xlfn.XLOOKUP(A232&amp;B232&amp;C232,盘货信息!$A:$A&amp;盘货信息!$B:$B&amp;盘货信息!$C:$C,盘货信息!$G:$G)="参加",_xlfn.XLOOKUP(A232&amp;B232&amp;C232,盘货信息!$A:$A&amp;盘货信息!$B:$B&amp;盘货信息!$C:$C,盘货信息!$H:$H)="1（纯自补）"),_xlfn.XLOOKUP(A232&amp;B232&amp;C232,盘货信息!$A:$A&amp;盘货信息!$B:$B&amp;盘货信息!$C:$C,盘货信息!$K:$K)&amp;"元以旧换新（可无旧机换新）","")))</f>
        <v/>
      </c>
      <c r="K232" s="18" t="str">
        <f t="array" ref="K232">IF(C232="","",IF(_xlfn.XLOOKUP(A232&amp;B232&amp;C232,盘货信息!$A:$A&amp;盘货信息!$B:$B&amp;盘货信息!$C:$C,盘货信息!$L:$L)="","",_xlfn.XLOOKUP(A232&amp;B232&amp;C232,盘货信息!$A:$A&amp;盘货信息!$B:$B&amp;盘货信息!$C:$C,盘货信息!$L:$L)&amp;"元限时补贴"))</f>
        <v/>
      </c>
      <c r="L232" s="18" t="str">
        <f t="array" ref="L232">IF(C232="","",IF(_xlfn.XLOOKUP(A232&amp;B232&amp;C232,盘货信息!$A:$A&amp;盘货信息!$B:$B&amp;盘货信息!$C:$C,盘货信息!$M:$M)="","",_xlfn.XLOOKUP(A232&amp;B232&amp;C232,盘货信息!$A:$A&amp;盘货信息!$B:$B&amp;盘货信息!$C:$C,盘货信息!$M:$M)&amp;"元消费券"))</f>
        <v/>
      </c>
      <c r="M232" s="18" t="str">
        <f t="array" ref="M232">IF(C232="","",IF(_xlfn.XLOOKUP(A232&amp;B232&amp;C232,盘货信息!$A:$A&amp;盘货信息!$B:$B&amp;盘货信息!$C:$C,盘货信息!$G:$G)="不参加","","焕新补贴优惠【全民可用，不限地址】"))</f>
        <v/>
      </c>
    </row>
    <row r="233" customHeight="1" spans="1:13">
      <c r="A233" s="17" t="str">
        <f>IF(盘货信息!A233="","",盘货信息!A233)</f>
        <v/>
      </c>
      <c r="B233" s="17" t="str">
        <f>IF(盘货信息!B233="","",盘货信息!B233)</f>
        <v/>
      </c>
      <c r="C233" s="18" t="str">
        <f>IF(盘货信息!C233="","",盘货信息!C233)</f>
        <v/>
      </c>
      <c r="D233" s="18" t="str">
        <f t="shared" si="3"/>
        <v/>
      </c>
      <c r="E233" s="18" t="str">
        <f t="array" ref="E233">IF(C233="","",IF(_xlfn.XLOOKUP(A233&amp;B233&amp;C233,盘货信息!$A:$A&amp;盘货信息!$B:$B&amp;盘货信息!$C:$C,盘货信息!$N:$N)="","【立减到手价"&amp;_xlfn.XLOOKUP(A233&amp;B233&amp;C233,盘货信息!$A:$A&amp;盘货信息!$B:$B&amp;盘货信息!$C:$C,盘货信息!$F:$F)&amp;"元】","【焕新补贴预估价"&amp;_xlfn.XLOOKUP(A233&amp;B233&amp;C233,盘货信息!$A:$A&amp;盘货信息!$B:$B&amp;盘货信息!$C:$C,盘货信息!$N:$N)&amp;"元】"))</f>
        <v/>
      </c>
      <c r="F233" s="18" t="str">
        <f t="array" ref="F233">IF(C233="","",_xlfn.XLOOKUP(A233&amp;B233&amp;C233,盘货信息!$A:$A&amp;盘货信息!$B:$B&amp;盘货信息!$C:$C,盘货信息!$E:$E)&amp;"元到手价")</f>
        <v/>
      </c>
      <c r="G233" s="18" t="str">
        <f t="array" ref="G233">IF(C233="","",IF(_xlfn.XLOOKUP(A233&amp;B233&amp;C233,盘货信息!$A:$A&amp;盘货信息!$B:$B&amp;盘货信息!$C:$C,盘货信息!$I:$I)="","","88VIP95折"))</f>
        <v/>
      </c>
      <c r="H233" s="18" t="str">
        <f t="array" ref="H233">IF(C233="","",IF(_xlfn.XLOOKUP(A233&amp;B233&amp;C233,盘货信息!$A:$A&amp;盘货信息!$B:$B&amp;盘货信息!$C:$C,盘货信息!$J:$J)="","",_xlfn.XLOOKUP(A233&amp;B233&amp;C233,盘货信息!$A:$A&amp;盘货信息!$B:$B&amp;盘货信息!$C:$C,盘货信息!$J:$J)&amp;"元优惠卷"))</f>
        <v/>
      </c>
      <c r="I233" s="18" t="str">
        <f t="array" ref="I233">IF(C233="","",IF(_xlfn.XLOOKUP(A233&amp;B233&amp;C233,盘货信息!$A:$A&amp;盘货信息!$B:$B&amp;盘货信息!$C:$C,盘货信息!$R:$R)="","",_xlfn.XLOOKUP(A233&amp;B233&amp;C233,盘货信息!$A:$A&amp;盘货信息!$B:$B&amp;盘货信息!$C:$C,盘货信息!$R:$R)&amp;"元优惠卷"))</f>
        <v/>
      </c>
      <c r="J233" s="18" t="str">
        <f t="array" ref="J233">IF(C233="","",IF(_xlfn.XLOOKUP(A233&amp;B233&amp;C233,盘货信息!$A:$A&amp;盘货信息!$B:$B&amp;盘货信息!$C:$C,盘货信息!$K:$K)="","",IF(OR(_xlfn.XLOOKUP(A233&amp;B233&amp;C233,盘货信息!$A:$A&amp;盘货信息!$B:$B&amp;盘货信息!$C:$C,盘货信息!$G:$G)="参加",_xlfn.XLOOKUP(A233&amp;B233&amp;C233,盘货信息!$A:$A&amp;盘货信息!$B:$B&amp;盘货信息!$C:$C,盘货信息!$H:$H)="1（纯自补）"),_xlfn.XLOOKUP(A233&amp;B233&amp;C233,盘货信息!$A:$A&amp;盘货信息!$B:$B&amp;盘货信息!$C:$C,盘货信息!$K:$K)&amp;"元以旧换新（可无旧机换新）","")))</f>
        <v/>
      </c>
      <c r="K233" s="18" t="str">
        <f t="array" ref="K233">IF(C233="","",IF(_xlfn.XLOOKUP(A233&amp;B233&amp;C233,盘货信息!$A:$A&amp;盘货信息!$B:$B&amp;盘货信息!$C:$C,盘货信息!$L:$L)="","",_xlfn.XLOOKUP(A233&amp;B233&amp;C233,盘货信息!$A:$A&amp;盘货信息!$B:$B&amp;盘货信息!$C:$C,盘货信息!$L:$L)&amp;"元限时补贴"))</f>
        <v/>
      </c>
      <c r="L233" s="18" t="str">
        <f t="array" ref="L233">IF(C233="","",IF(_xlfn.XLOOKUP(A233&amp;B233&amp;C233,盘货信息!$A:$A&amp;盘货信息!$B:$B&amp;盘货信息!$C:$C,盘货信息!$M:$M)="","",_xlfn.XLOOKUP(A233&amp;B233&amp;C233,盘货信息!$A:$A&amp;盘货信息!$B:$B&amp;盘货信息!$C:$C,盘货信息!$M:$M)&amp;"元消费券"))</f>
        <v/>
      </c>
      <c r="M233" s="18" t="str">
        <f t="array" ref="M233">IF(C233="","",IF(_xlfn.XLOOKUP(A233&amp;B233&amp;C233,盘货信息!$A:$A&amp;盘货信息!$B:$B&amp;盘货信息!$C:$C,盘货信息!$G:$G)="不参加","","焕新补贴优惠【全民可用，不限地址】"))</f>
        <v/>
      </c>
    </row>
    <row r="234" customHeight="1" spans="1:13">
      <c r="A234" s="17" t="str">
        <f>IF(盘货信息!A234="","",盘货信息!A234)</f>
        <v/>
      </c>
      <c r="B234" s="17" t="str">
        <f>IF(盘货信息!B234="","",盘货信息!B234)</f>
        <v/>
      </c>
      <c r="C234" s="18" t="str">
        <f>IF(盘货信息!C234="","",盘货信息!C234)</f>
        <v/>
      </c>
      <c r="D234" s="18" t="str">
        <f t="shared" si="3"/>
        <v/>
      </c>
      <c r="E234" s="18" t="str">
        <f t="array" ref="E234">IF(C234="","",IF(_xlfn.XLOOKUP(A234&amp;B234&amp;C234,盘货信息!$A:$A&amp;盘货信息!$B:$B&amp;盘货信息!$C:$C,盘货信息!$N:$N)="","【立减到手价"&amp;_xlfn.XLOOKUP(A234&amp;B234&amp;C234,盘货信息!$A:$A&amp;盘货信息!$B:$B&amp;盘货信息!$C:$C,盘货信息!$F:$F)&amp;"元】","【焕新补贴预估价"&amp;_xlfn.XLOOKUP(A234&amp;B234&amp;C234,盘货信息!$A:$A&amp;盘货信息!$B:$B&amp;盘货信息!$C:$C,盘货信息!$N:$N)&amp;"元】"))</f>
        <v/>
      </c>
      <c r="F234" s="18" t="str">
        <f t="array" ref="F234">IF(C234="","",_xlfn.XLOOKUP(A234&amp;B234&amp;C234,盘货信息!$A:$A&amp;盘货信息!$B:$B&amp;盘货信息!$C:$C,盘货信息!$E:$E)&amp;"元到手价")</f>
        <v/>
      </c>
      <c r="G234" s="18" t="str">
        <f t="array" ref="G234">IF(C234="","",IF(_xlfn.XLOOKUP(A234&amp;B234&amp;C234,盘货信息!$A:$A&amp;盘货信息!$B:$B&amp;盘货信息!$C:$C,盘货信息!$I:$I)="","","88VIP95折"))</f>
        <v/>
      </c>
      <c r="H234" s="18" t="str">
        <f t="array" ref="H234">IF(C234="","",IF(_xlfn.XLOOKUP(A234&amp;B234&amp;C234,盘货信息!$A:$A&amp;盘货信息!$B:$B&amp;盘货信息!$C:$C,盘货信息!$J:$J)="","",_xlfn.XLOOKUP(A234&amp;B234&amp;C234,盘货信息!$A:$A&amp;盘货信息!$B:$B&amp;盘货信息!$C:$C,盘货信息!$J:$J)&amp;"元优惠卷"))</f>
        <v/>
      </c>
      <c r="I234" s="18" t="str">
        <f t="array" ref="I234">IF(C234="","",IF(_xlfn.XLOOKUP(A234&amp;B234&amp;C234,盘货信息!$A:$A&amp;盘货信息!$B:$B&amp;盘货信息!$C:$C,盘货信息!$R:$R)="","",_xlfn.XLOOKUP(A234&amp;B234&amp;C234,盘货信息!$A:$A&amp;盘货信息!$B:$B&amp;盘货信息!$C:$C,盘货信息!$R:$R)&amp;"元优惠卷"))</f>
        <v/>
      </c>
      <c r="J234" s="18" t="str">
        <f t="array" ref="J234">IF(C234="","",IF(_xlfn.XLOOKUP(A234&amp;B234&amp;C234,盘货信息!$A:$A&amp;盘货信息!$B:$B&amp;盘货信息!$C:$C,盘货信息!$K:$K)="","",IF(OR(_xlfn.XLOOKUP(A234&amp;B234&amp;C234,盘货信息!$A:$A&amp;盘货信息!$B:$B&amp;盘货信息!$C:$C,盘货信息!$G:$G)="参加",_xlfn.XLOOKUP(A234&amp;B234&amp;C234,盘货信息!$A:$A&amp;盘货信息!$B:$B&amp;盘货信息!$C:$C,盘货信息!$H:$H)="1（纯自补）"),_xlfn.XLOOKUP(A234&amp;B234&amp;C234,盘货信息!$A:$A&amp;盘货信息!$B:$B&amp;盘货信息!$C:$C,盘货信息!$K:$K)&amp;"元以旧换新（可无旧机换新）","")))</f>
        <v/>
      </c>
      <c r="K234" s="18" t="str">
        <f t="array" ref="K234">IF(C234="","",IF(_xlfn.XLOOKUP(A234&amp;B234&amp;C234,盘货信息!$A:$A&amp;盘货信息!$B:$B&amp;盘货信息!$C:$C,盘货信息!$L:$L)="","",_xlfn.XLOOKUP(A234&amp;B234&amp;C234,盘货信息!$A:$A&amp;盘货信息!$B:$B&amp;盘货信息!$C:$C,盘货信息!$L:$L)&amp;"元限时补贴"))</f>
        <v/>
      </c>
      <c r="L234" s="18" t="str">
        <f t="array" ref="L234">IF(C234="","",IF(_xlfn.XLOOKUP(A234&amp;B234&amp;C234,盘货信息!$A:$A&amp;盘货信息!$B:$B&amp;盘货信息!$C:$C,盘货信息!$M:$M)="","",_xlfn.XLOOKUP(A234&amp;B234&amp;C234,盘货信息!$A:$A&amp;盘货信息!$B:$B&amp;盘货信息!$C:$C,盘货信息!$M:$M)&amp;"元消费券"))</f>
        <v/>
      </c>
      <c r="M234" s="18" t="str">
        <f t="array" ref="M234">IF(C234="","",IF(_xlfn.XLOOKUP(A234&amp;B234&amp;C234,盘货信息!$A:$A&amp;盘货信息!$B:$B&amp;盘货信息!$C:$C,盘货信息!$G:$G)="不参加","","焕新补贴优惠【全民可用，不限地址】"))</f>
        <v/>
      </c>
    </row>
    <row r="235" customHeight="1" spans="1:13">
      <c r="A235" s="17" t="str">
        <f>IF(盘货信息!A235="","",盘货信息!A235)</f>
        <v/>
      </c>
      <c r="B235" s="17" t="str">
        <f>IF(盘货信息!B235="","",盘货信息!B235)</f>
        <v/>
      </c>
      <c r="C235" s="18" t="str">
        <f>IF(盘货信息!C235="","",盘货信息!C235)</f>
        <v/>
      </c>
      <c r="D235" s="18" t="str">
        <f t="shared" si="3"/>
        <v/>
      </c>
      <c r="E235" s="18" t="str">
        <f t="array" ref="E235">IF(C235="","",IF(_xlfn.XLOOKUP(A235&amp;B235&amp;C235,盘货信息!$A:$A&amp;盘货信息!$B:$B&amp;盘货信息!$C:$C,盘货信息!$N:$N)="","【立减到手价"&amp;_xlfn.XLOOKUP(A235&amp;B235&amp;C235,盘货信息!$A:$A&amp;盘货信息!$B:$B&amp;盘货信息!$C:$C,盘货信息!$F:$F)&amp;"元】","【焕新补贴预估价"&amp;_xlfn.XLOOKUP(A235&amp;B235&amp;C235,盘货信息!$A:$A&amp;盘货信息!$B:$B&amp;盘货信息!$C:$C,盘货信息!$N:$N)&amp;"元】"))</f>
        <v/>
      </c>
      <c r="F235" s="18" t="str">
        <f t="array" ref="F235">IF(C235="","",_xlfn.XLOOKUP(A235&amp;B235&amp;C235,盘货信息!$A:$A&amp;盘货信息!$B:$B&amp;盘货信息!$C:$C,盘货信息!$E:$E)&amp;"元到手价")</f>
        <v/>
      </c>
      <c r="G235" s="18" t="str">
        <f t="array" ref="G235">IF(C235="","",IF(_xlfn.XLOOKUP(A235&amp;B235&amp;C235,盘货信息!$A:$A&amp;盘货信息!$B:$B&amp;盘货信息!$C:$C,盘货信息!$I:$I)="","","88VIP95折"))</f>
        <v/>
      </c>
      <c r="H235" s="18" t="str">
        <f t="array" ref="H235">IF(C235="","",IF(_xlfn.XLOOKUP(A235&amp;B235&amp;C235,盘货信息!$A:$A&amp;盘货信息!$B:$B&amp;盘货信息!$C:$C,盘货信息!$J:$J)="","",_xlfn.XLOOKUP(A235&amp;B235&amp;C235,盘货信息!$A:$A&amp;盘货信息!$B:$B&amp;盘货信息!$C:$C,盘货信息!$J:$J)&amp;"元优惠卷"))</f>
        <v/>
      </c>
      <c r="I235" s="18" t="str">
        <f t="array" ref="I235">IF(C235="","",IF(_xlfn.XLOOKUP(A235&amp;B235&amp;C235,盘货信息!$A:$A&amp;盘货信息!$B:$B&amp;盘货信息!$C:$C,盘货信息!$R:$R)="","",_xlfn.XLOOKUP(A235&amp;B235&amp;C235,盘货信息!$A:$A&amp;盘货信息!$B:$B&amp;盘货信息!$C:$C,盘货信息!$R:$R)&amp;"元优惠卷"))</f>
        <v/>
      </c>
      <c r="J235" s="18" t="str">
        <f t="array" ref="J235">IF(C235="","",IF(_xlfn.XLOOKUP(A235&amp;B235&amp;C235,盘货信息!$A:$A&amp;盘货信息!$B:$B&amp;盘货信息!$C:$C,盘货信息!$K:$K)="","",IF(OR(_xlfn.XLOOKUP(A235&amp;B235&amp;C235,盘货信息!$A:$A&amp;盘货信息!$B:$B&amp;盘货信息!$C:$C,盘货信息!$G:$G)="参加",_xlfn.XLOOKUP(A235&amp;B235&amp;C235,盘货信息!$A:$A&amp;盘货信息!$B:$B&amp;盘货信息!$C:$C,盘货信息!$H:$H)="1（纯自补）"),_xlfn.XLOOKUP(A235&amp;B235&amp;C235,盘货信息!$A:$A&amp;盘货信息!$B:$B&amp;盘货信息!$C:$C,盘货信息!$K:$K)&amp;"元以旧换新（可无旧机换新）","")))</f>
        <v/>
      </c>
      <c r="K235" s="18" t="str">
        <f t="array" ref="K235">IF(C235="","",IF(_xlfn.XLOOKUP(A235&amp;B235&amp;C235,盘货信息!$A:$A&amp;盘货信息!$B:$B&amp;盘货信息!$C:$C,盘货信息!$L:$L)="","",_xlfn.XLOOKUP(A235&amp;B235&amp;C235,盘货信息!$A:$A&amp;盘货信息!$B:$B&amp;盘货信息!$C:$C,盘货信息!$L:$L)&amp;"元限时补贴"))</f>
        <v/>
      </c>
      <c r="L235" s="18" t="str">
        <f t="array" ref="L235">IF(C235="","",IF(_xlfn.XLOOKUP(A235&amp;B235&amp;C235,盘货信息!$A:$A&amp;盘货信息!$B:$B&amp;盘货信息!$C:$C,盘货信息!$M:$M)="","",_xlfn.XLOOKUP(A235&amp;B235&amp;C235,盘货信息!$A:$A&amp;盘货信息!$B:$B&amp;盘货信息!$C:$C,盘货信息!$M:$M)&amp;"元消费券"))</f>
        <v/>
      </c>
      <c r="M235" s="18" t="str">
        <f t="array" ref="M235">IF(C235="","",IF(_xlfn.XLOOKUP(A235&amp;B235&amp;C235,盘货信息!$A:$A&amp;盘货信息!$B:$B&amp;盘货信息!$C:$C,盘货信息!$G:$G)="不参加","","焕新补贴优惠【全民可用，不限地址】"))</f>
        <v/>
      </c>
    </row>
    <row r="236" customHeight="1" spans="1:13">
      <c r="A236" s="17" t="str">
        <f>IF(盘货信息!A236="","",盘货信息!A236)</f>
        <v/>
      </c>
      <c r="B236" s="17" t="str">
        <f>IF(盘货信息!B236="","",盘货信息!B236)</f>
        <v/>
      </c>
      <c r="C236" s="18" t="str">
        <f>IF(盘货信息!C236="","",盘货信息!C236)</f>
        <v/>
      </c>
      <c r="D236" s="18" t="str">
        <f t="shared" si="3"/>
        <v/>
      </c>
      <c r="E236" s="18" t="str">
        <f t="array" ref="E236">IF(C236="","",IF(_xlfn.XLOOKUP(A236&amp;B236&amp;C236,盘货信息!$A:$A&amp;盘货信息!$B:$B&amp;盘货信息!$C:$C,盘货信息!$N:$N)="","【立减到手价"&amp;_xlfn.XLOOKUP(A236&amp;B236&amp;C236,盘货信息!$A:$A&amp;盘货信息!$B:$B&amp;盘货信息!$C:$C,盘货信息!$F:$F)&amp;"元】","【焕新补贴预估价"&amp;_xlfn.XLOOKUP(A236&amp;B236&amp;C236,盘货信息!$A:$A&amp;盘货信息!$B:$B&amp;盘货信息!$C:$C,盘货信息!$N:$N)&amp;"元】"))</f>
        <v/>
      </c>
      <c r="F236" s="18" t="str">
        <f t="array" ref="F236">IF(C236="","",_xlfn.XLOOKUP(A236&amp;B236&amp;C236,盘货信息!$A:$A&amp;盘货信息!$B:$B&amp;盘货信息!$C:$C,盘货信息!$E:$E)&amp;"元到手价")</f>
        <v/>
      </c>
      <c r="G236" s="18" t="str">
        <f t="array" ref="G236">IF(C236="","",IF(_xlfn.XLOOKUP(A236&amp;B236&amp;C236,盘货信息!$A:$A&amp;盘货信息!$B:$B&amp;盘货信息!$C:$C,盘货信息!$I:$I)="","","88VIP95折"))</f>
        <v/>
      </c>
      <c r="H236" s="18" t="str">
        <f t="array" ref="H236">IF(C236="","",IF(_xlfn.XLOOKUP(A236&amp;B236&amp;C236,盘货信息!$A:$A&amp;盘货信息!$B:$B&amp;盘货信息!$C:$C,盘货信息!$J:$J)="","",_xlfn.XLOOKUP(A236&amp;B236&amp;C236,盘货信息!$A:$A&amp;盘货信息!$B:$B&amp;盘货信息!$C:$C,盘货信息!$J:$J)&amp;"元优惠卷"))</f>
        <v/>
      </c>
      <c r="I236" s="18" t="str">
        <f t="array" ref="I236">IF(C236="","",IF(_xlfn.XLOOKUP(A236&amp;B236&amp;C236,盘货信息!$A:$A&amp;盘货信息!$B:$B&amp;盘货信息!$C:$C,盘货信息!$R:$R)="","",_xlfn.XLOOKUP(A236&amp;B236&amp;C236,盘货信息!$A:$A&amp;盘货信息!$B:$B&amp;盘货信息!$C:$C,盘货信息!$R:$R)&amp;"元优惠卷"))</f>
        <v/>
      </c>
      <c r="J236" s="18" t="str">
        <f t="array" ref="J236">IF(C236="","",IF(_xlfn.XLOOKUP(A236&amp;B236&amp;C236,盘货信息!$A:$A&amp;盘货信息!$B:$B&amp;盘货信息!$C:$C,盘货信息!$K:$K)="","",IF(OR(_xlfn.XLOOKUP(A236&amp;B236&amp;C236,盘货信息!$A:$A&amp;盘货信息!$B:$B&amp;盘货信息!$C:$C,盘货信息!$G:$G)="参加",_xlfn.XLOOKUP(A236&amp;B236&amp;C236,盘货信息!$A:$A&amp;盘货信息!$B:$B&amp;盘货信息!$C:$C,盘货信息!$H:$H)="1（纯自补）"),_xlfn.XLOOKUP(A236&amp;B236&amp;C236,盘货信息!$A:$A&amp;盘货信息!$B:$B&amp;盘货信息!$C:$C,盘货信息!$K:$K)&amp;"元以旧换新（可无旧机换新）","")))</f>
        <v/>
      </c>
      <c r="K236" s="18" t="str">
        <f t="array" ref="K236">IF(C236="","",IF(_xlfn.XLOOKUP(A236&amp;B236&amp;C236,盘货信息!$A:$A&amp;盘货信息!$B:$B&amp;盘货信息!$C:$C,盘货信息!$L:$L)="","",_xlfn.XLOOKUP(A236&amp;B236&amp;C236,盘货信息!$A:$A&amp;盘货信息!$B:$B&amp;盘货信息!$C:$C,盘货信息!$L:$L)&amp;"元限时补贴"))</f>
        <v/>
      </c>
      <c r="L236" s="18" t="str">
        <f t="array" ref="L236">IF(C236="","",IF(_xlfn.XLOOKUP(A236&amp;B236&amp;C236,盘货信息!$A:$A&amp;盘货信息!$B:$B&amp;盘货信息!$C:$C,盘货信息!$M:$M)="","",_xlfn.XLOOKUP(A236&amp;B236&amp;C236,盘货信息!$A:$A&amp;盘货信息!$B:$B&amp;盘货信息!$C:$C,盘货信息!$M:$M)&amp;"元消费券"))</f>
        <v/>
      </c>
      <c r="M236" s="18" t="str">
        <f t="array" ref="M236">IF(C236="","",IF(_xlfn.XLOOKUP(A236&amp;B236&amp;C236,盘货信息!$A:$A&amp;盘货信息!$B:$B&amp;盘货信息!$C:$C,盘货信息!$G:$G)="不参加","","焕新补贴优惠【全民可用，不限地址】"))</f>
        <v/>
      </c>
    </row>
    <row r="237" customHeight="1" spans="1:13">
      <c r="A237" s="17" t="str">
        <f>IF(盘货信息!A237="","",盘货信息!A237)</f>
        <v/>
      </c>
      <c r="B237" s="17" t="str">
        <f>IF(盘货信息!B237="","",盘货信息!B237)</f>
        <v/>
      </c>
      <c r="C237" s="18" t="str">
        <f>IF(盘货信息!C237="","",盘货信息!C237)</f>
        <v/>
      </c>
      <c r="D237" s="18" t="str">
        <f t="shared" si="3"/>
        <v/>
      </c>
      <c r="E237" s="18" t="str">
        <f t="array" ref="E237">IF(C237="","",IF(_xlfn.XLOOKUP(A237&amp;B237&amp;C237,盘货信息!$A:$A&amp;盘货信息!$B:$B&amp;盘货信息!$C:$C,盘货信息!$N:$N)="","【立减到手价"&amp;_xlfn.XLOOKUP(A237&amp;B237&amp;C237,盘货信息!$A:$A&amp;盘货信息!$B:$B&amp;盘货信息!$C:$C,盘货信息!$F:$F)&amp;"元】","【焕新补贴预估价"&amp;_xlfn.XLOOKUP(A237&amp;B237&amp;C237,盘货信息!$A:$A&amp;盘货信息!$B:$B&amp;盘货信息!$C:$C,盘货信息!$N:$N)&amp;"元】"))</f>
        <v/>
      </c>
      <c r="F237" s="18" t="str">
        <f t="array" ref="F237">IF(C237="","",_xlfn.XLOOKUP(A237&amp;B237&amp;C237,盘货信息!$A:$A&amp;盘货信息!$B:$B&amp;盘货信息!$C:$C,盘货信息!$E:$E)&amp;"元到手价")</f>
        <v/>
      </c>
      <c r="G237" s="18" t="str">
        <f t="array" ref="G237">IF(C237="","",IF(_xlfn.XLOOKUP(A237&amp;B237&amp;C237,盘货信息!$A:$A&amp;盘货信息!$B:$B&amp;盘货信息!$C:$C,盘货信息!$I:$I)="","","88VIP95折"))</f>
        <v/>
      </c>
      <c r="H237" s="18" t="str">
        <f t="array" ref="H237">IF(C237="","",IF(_xlfn.XLOOKUP(A237&amp;B237&amp;C237,盘货信息!$A:$A&amp;盘货信息!$B:$B&amp;盘货信息!$C:$C,盘货信息!$J:$J)="","",_xlfn.XLOOKUP(A237&amp;B237&amp;C237,盘货信息!$A:$A&amp;盘货信息!$B:$B&amp;盘货信息!$C:$C,盘货信息!$J:$J)&amp;"元优惠卷"))</f>
        <v/>
      </c>
      <c r="I237" s="18" t="str">
        <f t="array" ref="I237">IF(C237="","",IF(_xlfn.XLOOKUP(A237&amp;B237&amp;C237,盘货信息!$A:$A&amp;盘货信息!$B:$B&amp;盘货信息!$C:$C,盘货信息!$R:$R)="","",_xlfn.XLOOKUP(A237&amp;B237&amp;C237,盘货信息!$A:$A&amp;盘货信息!$B:$B&amp;盘货信息!$C:$C,盘货信息!$R:$R)&amp;"元优惠卷"))</f>
        <v/>
      </c>
      <c r="J237" s="18" t="str">
        <f t="array" ref="J237">IF(C237="","",IF(_xlfn.XLOOKUP(A237&amp;B237&amp;C237,盘货信息!$A:$A&amp;盘货信息!$B:$B&amp;盘货信息!$C:$C,盘货信息!$K:$K)="","",IF(OR(_xlfn.XLOOKUP(A237&amp;B237&amp;C237,盘货信息!$A:$A&amp;盘货信息!$B:$B&amp;盘货信息!$C:$C,盘货信息!$G:$G)="参加",_xlfn.XLOOKUP(A237&amp;B237&amp;C237,盘货信息!$A:$A&amp;盘货信息!$B:$B&amp;盘货信息!$C:$C,盘货信息!$H:$H)="1（纯自补）"),_xlfn.XLOOKUP(A237&amp;B237&amp;C237,盘货信息!$A:$A&amp;盘货信息!$B:$B&amp;盘货信息!$C:$C,盘货信息!$K:$K)&amp;"元以旧换新（可无旧机换新）","")))</f>
        <v/>
      </c>
      <c r="K237" s="18" t="str">
        <f t="array" ref="K237">IF(C237="","",IF(_xlfn.XLOOKUP(A237&amp;B237&amp;C237,盘货信息!$A:$A&amp;盘货信息!$B:$B&amp;盘货信息!$C:$C,盘货信息!$L:$L)="","",_xlfn.XLOOKUP(A237&amp;B237&amp;C237,盘货信息!$A:$A&amp;盘货信息!$B:$B&amp;盘货信息!$C:$C,盘货信息!$L:$L)&amp;"元限时补贴"))</f>
        <v/>
      </c>
      <c r="L237" s="18" t="str">
        <f t="array" ref="L237">IF(C237="","",IF(_xlfn.XLOOKUP(A237&amp;B237&amp;C237,盘货信息!$A:$A&amp;盘货信息!$B:$B&amp;盘货信息!$C:$C,盘货信息!$M:$M)="","",_xlfn.XLOOKUP(A237&amp;B237&amp;C237,盘货信息!$A:$A&amp;盘货信息!$B:$B&amp;盘货信息!$C:$C,盘货信息!$M:$M)&amp;"元消费券"))</f>
        <v/>
      </c>
      <c r="M237" s="18" t="str">
        <f t="array" ref="M237">IF(C237="","",IF(_xlfn.XLOOKUP(A237&amp;B237&amp;C237,盘货信息!$A:$A&amp;盘货信息!$B:$B&amp;盘货信息!$C:$C,盘货信息!$G:$G)="不参加","","焕新补贴优惠【全民可用，不限地址】"))</f>
        <v/>
      </c>
    </row>
    <row r="238" customHeight="1" spans="1:13">
      <c r="A238" s="17" t="str">
        <f>IF(盘货信息!A238="","",盘货信息!A238)</f>
        <v/>
      </c>
      <c r="B238" s="17" t="str">
        <f>IF(盘货信息!B238="","",盘货信息!B238)</f>
        <v/>
      </c>
      <c r="C238" s="18" t="str">
        <f>IF(盘货信息!C238="","",盘货信息!C238)</f>
        <v/>
      </c>
      <c r="D238" s="18" t="str">
        <f t="shared" si="3"/>
        <v/>
      </c>
      <c r="E238" s="18" t="str">
        <f t="array" ref="E238">IF(C238="","",IF(_xlfn.XLOOKUP(A238&amp;B238&amp;C238,盘货信息!$A:$A&amp;盘货信息!$B:$B&amp;盘货信息!$C:$C,盘货信息!$N:$N)="","【立减到手价"&amp;_xlfn.XLOOKUP(A238&amp;B238&amp;C238,盘货信息!$A:$A&amp;盘货信息!$B:$B&amp;盘货信息!$C:$C,盘货信息!$F:$F)&amp;"元】","【焕新补贴预估价"&amp;_xlfn.XLOOKUP(A238&amp;B238&amp;C238,盘货信息!$A:$A&amp;盘货信息!$B:$B&amp;盘货信息!$C:$C,盘货信息!$N:$N)&amp;"元】"))</f>
        <v/>
      </c>
      <c r="F238" s="18" t="str">
        <f t="array" ref="F238">IF(C238="","",_xlfn.XLOOKUP(A238&amp;B238&amp;C238,盘货信息!$A:$A&amp;盘货信息!$B:$B&amp;盘货信息!$C:$C,盘货信息!$E:$E)&amp;"元到手价")</f>
        <v/>
      </c>
      <c r="G238" s="18" t="str">
        <f t="array" ref="G238">IF(C238="","",IF(_xlfn.XLOOKUP(A238&amp;B238&amp;C238,盘货信息!$A:$A&amp;盘货信息!$B:$B&amp;盘货信息!$C:$C,盘货信息!$I:$I)="","","88VIP95折"))</f>
        <v/>
      </c>
      <c r="H238" s="18" t="str">
        <f t="array" ref="H238">IF(C238="","",IF(_xlfn.XLOOKUP(A238&amp;B238&amp;C238,盘货信息!$A:$A&amp;盘货信息!$B:$B&amp;盘货信息!$C:$C,盘货信息!$J:$J)="","",_xlfn.XLOOKUP(A238&amp;B238&amp;C238,盘货信息!$A:$A&amp;盘货信息!$B:$B&amp;盘货信息!$C:$C,盘货信息!$J:$J)&amp;"元优惠卷"))</f>
        <v/>
      </c>
      <c r="I238" s="18" t="str">
        <f t="array" ref="I238">IF(C238="","",IF(_xlfn.XLOOKUP(A238&amp;B238&amp;C238,盘货信息!$A:$A&amp;盘货信息!$B:$B&amp;盘货信息!$C:$C,盘货信息!$R:$R)="","",_xlfn.XLOOKUP(A238&amp;B238&amp;C238,盘货信息!$A:$A&amp;盘货信息!$B:$B&amp;盘货信息!$C:$C,盘货信息!$R:$R)&amp;"元优惠卷"))</f>
        <v/>
      </c>
      <c r="J238" s="18" t="str">
        <f t="array" ref="J238">IF(C238="","",IF(_xlfn.XLOOKUP(A238&amp;B238&amp;C238,盘货信息!$A:$A&amp;盘货信息!$B:$B&amp;盘货信息!$C:$C,盘货信息!$K:$K)="","",IF(OR(_xlfn.XLOOKUP(A238&amp;B238&amp;C238,盘货信息!$A:$A&amp;盘货信息!$B:$B&amp;盘货信息!$C:$C,盘货信息!$G:$G)="参加",_xlfn.XLOOKUP(A238&amp;B238&amp;C238,盘货信息!$A:$A&amp;盘货信息!$B:$B&amp;盘货信息!$C:$C,盘货信息!$H:$H)="1（纯自补）"),_xlfn.XLOOKUP(A238&amp;B238&amp;C238,盘货信息!$A:$A&amp;盘货信息!$B:$B&amp;盘货信息!$C:$C,盘货信息!$K:$K)&amp;"元以旧换新（可无旧机换新）","")))</f>
        <v/>
      </c>
      <c r="K238" s="18" t="str">
        <f t="array" ref="K238">IF(C238="","",IF(_xlfn.XLOOKUP(A238&amp;B238&amp;C238,盘货信息!$A:$A&amp;盘货信息!$B:$B&amp;盘货信息!$C:$C,盘货信息!$L:$L)="","",_xlfn.XLOOKUP(A238&amp;B238&amp;C238,盘货信息!$A:$A&amp;盘货信息!$B:$B&amp;盘货信息!$C:$C,盘货信息!$L:$L)&amp;"元限时补贴"))</f>
        <v/>
      </c>
      <c r="L238" s="18" t="str">
        <f t="array" ref="L238">IF(C238="","",IF(_xlfn.XLOOKUP(A238&amp;B238&amp;C238,盘货信息!$A:$A&amp;盘货信息!$B:$B&amp;盘货信息!$C:$C,盘货信息!$M:$M)="","",_xlfn.XLOOKUP(A238&amp;B238&amp;C238,盘货信息!$A:$A&amp;盘货信息!$B:$B&amp;盘货信息!$C:$C,盘货信息!$M:$M)&amp;"元消费券"))</f>
        <v/>
      </c>
      <c r="M238" s="18" t="str">
        <f t="array" ref="M238">IF(C238="","",IF(_xlfn.XLOOKUP(A238&amp;B238&amp;C238,盘货信息!$A:$A&amp;盘货信息!$B:$B&amp;盘货信息!$C:$C,盘货信息!$G:$G)="不参加","","焕新补贴优惠【全民可用，不限地址】"))</f>
        <v/>
      </c>
    </row>
    <row r="239" customHeight="1" spans="1:13">
      <c r="A239" s="17" t="str">
        <f>IF(盘货信息!A239="","",盘货信息!A239)</f>
        <v/>
      </c>
      <c r="B239" s="17" t="str">
        <f>IF(盘货信息!B239="","",盘货信息!B239)</f>
        <v/>
      </c>
      <c r="C239" s="18" t="str">
        <f>IF(盘货信息!C239="","",盘货信息!C239)</f>
        <v/>
      </c>
      <c r="D239" s="18" t="str">
        <f t="shared" si="3"/>
        <v/>
      </c>
      <c r="E239" s="18" t="str">
        <f t="array" ref="E239">IF(C239="","",IF(_xlfn.XLOOKUP(A239&amp;B239&amp;C239,盘货信息!$A:$A&amp;盘货信息!$B:$B&amp;盘货信息!$C:$C,盘货信息!$N:$N)="","【立减到手价"&amp;_xlfn.XLOOKUP(A239&amp;B239&amp;C239,盘货信息!$A:$A&amp;盘货信息!$B:$B&amp;盘货信息!$C:$C,盘货信息!$F:$F)&amp;"元】","【焕新补贴预估价"&amp;_xlfn.XLOOKUP(A239&amp;B239&amp;C239,盘货信息!$A:$A&amp;盘货信息!$B:$B&amp;盘货信息!$C:$C,盘货信息!$N:$N)&amp;"元】"))</f>
        <v/>
      </c>
      <c r="F239" s="18" t="str">
        <f t="array" ref="F239">IF(C239="","",_xlfn.XLOOKUP(A239&amp;B239&amp;C239,盘货信息!$A:$A&amp;盘货信息!$B:$B&amp;盘货信息!$C:$C,盘货信息!$E:$E)&amp;"元到手价")</f>
        <v/>
      </c>
      <c r="G239" s="18" t="str">
        <f t="array" ref="G239">IF(C239="","",IF(_xlfn.XLOOKUP(A239&amp;B239&amp;C239,盘货信息!$A:$A&amp;盘货信息!$B:$B&amp;盘货信息!$C:$C,盘货信息!$I:$I)="","","88VIP95折"))</f>
        <v/>
      </c>
      <c r="H239" s="18" t="str">
        <f t="array" ref="H239">IF(C239="","",IF(_xlfn.XLOOKUP(A239&amp;B239&amp;C239,盘货信息!$A:$A&amp;盘货信息!$B:$B&amp;盘货信息!$C:$C,盘货信息!$J:$J)="","",_xlfn.XLOOKUP(A239&amp;B239&amp;C239,盘货信息!$A:$A&amp;盘货信息!$B:$B&amp;盘货信息!$C:$C,盘货信息!$J:$J)&amp;"元优惠卷"))</f>
        <v/>
      </c>
      <c r="I239" s="18" t="str">
        <f t="array" ref="I239">IF(C239="","",IF(_xlfn.XLOOKUP(A239&amp;B239&amp;C239,盘货信息!$A:$A&amp;盘货信息!$B:$B&amp;盘货信息!$C:$C,盘货信息!$R:$R)="","",_xlfn.XLOOKUP(A239&amp;B239&amp;C239,盘货信息!$A:$A&amp;盘货信息!$B:$B&amp;盘货信息!$C:$C,盘货信息!$R:$R)&amp;"元优惠卷"))</f>
        <v/>
      </c>
      <c r="J239" s="18" t="str">
        <f t="array" ref="J239">IF(C239="","",IF(_xlfn.XLOOKUP(A239&amp;B239&amp;C239,盘货信息!$A:$A&amp;盘货信息!$B:$B&amp;盘货信息!$C:$C,盘货信息!$K:$K)="","",IF(OR(_xlfn.XLOOKUP(A239&amp;B239&amp;C239,盘货信息!$A:$A&amp;盘货信息!$B:$B&amp;盘货信息!$C:$C,盘货信息!$G:$G)="参加",_xlfn.XLOOKUP(A239&amp;B239&amp;C239,盘货信息!$A:$A&amp;盘货信息!$B:$B&amp;盘货信息!$C:$C,盘货信息!$H:$H)="1（纯自补）"),_xlfn.XLOOKUP(A239&amp;B239&amp;C239,盘货信息!$A:$A&amp;盘货信息!$B:$B&amp;盘货信息!$C:$C,盘货信息!$K:$K)&amp;"元以旧换新（可无旧机换新）","")))</f>
        <v/>
      </c>
      <c r="K239" s="18" t="str">
        <f t="array" ref="K239">IF(C239="","",IF(_xlfn.XLOOKUP(A239&amp;B239&amp;C239,盘货信息!$A:$A&amp;盘货信息!$B:$B&amp;盘货信息!$C:$C,盘货信息!$L:$L)="","",_xlfn.XLOOKUP(A239&amp;B239&amp;C239,盘货信息!$A:$A&amp;盘货信息!$B:$B&amp;盘货信息!$C:$C,盘货信息!$L:$L)&amp;"元限时补贴"))</f>
        <v/>
      </c>
      <c r="L239" s="18" t="str">
        <f t="array" ref="L239">IF(C239="","",IF(_xlfn.XLOOKUP(A239&amp;B239&amp;C239,盘货信息!$A:$A&amp;盘货信息!$B:$B&amp;盘货信息!$C:$C,盘货信息!$M:$M)="","",_xlfn.XLOOKUP(A239&amp;B239&amp;C239,盘货信息!$A:$A&amp;盘货信息!$B:$B&amp;盘货信息!$C:$C,盘货信息!$M:$M)&amp;"元消费券"))</f>
        <v/>
      </c>
      <c r="M239" s="18" t="str">
        <f t="array" ref="M239">IF(C239="","",IF(_xlfn.XLOOKUP(A239&amp;B239&amp;C239,盘货信息!$A:$A&amp;盘货信息!$B:$B&amp;盘货信息!$C:$C,盘货信息!$G:$G)="不参加","","焕新补贴优惠【全民可用，不限地址】"))</f>
        <v/>
      </c>
    </row>
    <row r="240" customHeight="1" spans="1:13">
      <c r="A240" s="17" t="str">
        <f>IF(盘货信息!A240="","",盘货信息!A240)</f>
        <v/>
      </c>
      <c r="B240" s="17" t="str">
        <f>IF(盘货信息!B240="","",盘货信息!B240)</f>
        <v/>
      </c>
      <c r="C240" s="18" t="str">
        <f>IF(盘货信息!C240="","",盘货信息!C240)</f>
        <v/>
      </c>
      <c r="D240" s="18" t="str">
        <f t="shared" si="3"/>
        <v/>
      </c>
      <c r="E240" s="18" t="str">
        <f t="array" ref="E240">IF(C240="","",IF(_xlfn.XLOOKUP(A240&amp;B240&amp;C240,盘货信息!$A:$A&amp;盘货信息!$B:$B&amp;盘货信息!$C:$C,盘货信息!$N:$N)="","【立减到手价"&amp;_xlfn.XLOOKUP(A240&amp;B240&amp;C240,盘货信息!$A:$A&amp;盘货信息!$B:$B&amp;盘货信息!$C:$C,盘货信息!$F:$F)&amp;"元】","【焕新补贴预估价"&amp;_xlfn.XLOOKUP(A240&amp;B240&amp;C240,盘货信息!$A:$A&amp;盘货信息!$B:$B&amp;盘货信息!$C:$C,盘货信息!$N:$N)&amp;"元】"))</f>
        <v/>
      </c>
      <c r="F240" s="18" t="str">
        <f t="array" ref="F240">IF(C240="","",_xlfn.XLOOKUP(A240&amp;B240&amp;C240,盘货信息!$A:$A&amp;盘货信息!$B:$B&amp;盘货信息!$C:$C,盘货信息!$E:$E)&amp;"元到手价")</f>
        <v/>
      </c>
      <c r="G240" s="18" t="str">
        <f t="array" ref="G240">IF(C240="","",IF(_xlfn.XLOOKUP(A240&amp;B240&amp;C240,盘货信息!$A:$A&amp;盘货信息!$B:$B&amp;盘货信息!$C:$C,盘货信息!$I:$I)="","","88VIP95折"))</f>
        <v/>
      </c>
      <c r="H240" s="18" t="str">
        <f t="array" ref="H240">IF(C240="","",IF(_xlfn.XLOOKUP(A240&amp;B240&amp;C240,盘货信息!$A:$A&amp;盘货信息!$B:$B&amp;盘货信息!$C:$C,盘货信息!$J:$J)="","",_xlfn.XLOOKUP(A240&amp;B240&amp;C240,盘货信息!$A:$A&amp;盘货信息!$B:$B&amp;盘货信息!$C:$C,盘货信息!$J:$J)&amp;"元优惠卷"))</f>
        <v/>
      </c>
      <c r="I240" s="18" t="str">
        <f t="array" ref="I240">IF(C240="","",IF(_xlfn.XLOOKUP(A240&amp;B240&amp;C240,盘货信息!$A:$A&amp;盘货信息!$B:$B&amp;盘货信息!$C:$C,盘货信息!$R:$R)="","",_xlfn.XLOOKUP(A240&amp;B240&amp;C240,盘货信息!$A:$A&amp;盘货信息!$B:$B&amp;盘货信息!$C:$C,盘货信息!$R:$R)&amp;"元优惠卷"))</f>
        <v/>
      </c>
      <c r="J240" s="18" t="str">
        <f t="array" ref="J240">IF(C240="","",IF(_xlfn.XLOOKUP(A240&amp;B240&amp;C240,盘货信息!$A:$A&amp;盘货信息!$B:$B&amp;盘货信息!$C:$C,盘货信息!$K:$K)="","",IF(OR(_xlfn.XLOOKUP(A240&amp;B240&amp;C240,盘货信息!$A:$A&amp;盘货信息!$B:$B&amp;盘货信息!$C:$C,盘货信息!$G:$G)="参加",_xlfn.XLOOKUP(A240&amp;B240&amp;C240,盘货信息!$A:$A&amp;盘货信息!$B:$B&amp;盘货信息!$C:$C,盘货信息!$H:$H)="1（纯自补）"),_xlfn.XLOOKUP(A240&amp;B240&amp;C240,盘货信息!$A:$A&amp;盘货信息!$B:$B&amp;盘货信息!$C:$C,盘货信息!$K:$K)&amp;"元以旧换新（可无旧机换新）","")))</f>
        <v/>
      </c>
      <c r="K240" s="18" t="str">
        <f t="array" ref="K240">IF(C240="","",IF(_xlfn.XLOOKUP(A240&amp;B240&amp;C240,盘货信息!$A:$A&amp;盘货信息!$B:$B&amp;盘货信息!$C:$C,盘货信息!$L:$L)="","",_xlfn.XLOOKUP(A240&amp;B240&amp;C240,盘货信息!$A:$A&amp;盘货信息!$B:$B&amp;盘货信息!$C:$C,盘货信息!$L:$L)&amp;"元限时补贴"))</f>
        <v/>
      </c>
      <c r="L240" s="18" t="str">
        <f t="array" ref="L240">IF(C240="","",IF(_xlfn.XLOOKUP(A240&amp;B240&amp;C240,盘货信息!$A:$A&amp;盘货信息!$B:$B&amp;盘货信息!$C:$C,盘货信息!$M:$M)="","",_xlfn.XLOOKUP(A240&amp;B240&amp;C240,盘货信息!$A:$A&amp;盘货信息!$B:$B&amp;盘货信息!$C:$C,盘货信息!$M:$M)&amp;"元消费券"))</f>
        <v/>
      </c>
      <c r="M240" s="18" t="str">
        <f t="array" ref="M240">IF(C240="","",IF(_xlfn.XLOOKUP(A240&amp;B240&amp;C240,盘货信息!$A:$A&amp;盘货信息!$B:$B&amp;盘货信息!$C:$C,盘货信息!$G:$G)="不参加","","焕新补贴优惠【全民可用，不限地址】"))</f>
        <v/>
      </c>
    </row>
    <row r="241" customHeight="1" spans="1:13">
      <c r="A241" s="17" t="str">
        <f>IF(盘货信息!A241="","",盘货信息!A241)</f>
        <v/>
      </c>
      <c r="B241" s="17" t="str">
        <f>IF(盘货信息!B241="","",盘货信息!B241)</f>
        <v/>
      </c>
      <c r="C241" s="18" t="str">
        <f>IF(盘货信息!C241="","",盘货信息!C241)</f>
        <v/>
      </c>
      <c r="D241" s="18" t="str">
        <f t="shared" si="3"/>
        <v/>
      </c>
      <c r="E241" s="18" t="str">
        <f t="array" ref="E241">IF(C241="","",IF(_xlfn.XLOOKUP(A241&amp;B241&amp;C241,盘货信息!$A:$A&amp;盘货信息!$B:$B&amp;盘货信息!$C:$C,盘货信息!$N:$N)="","【立减到手价"&amp;_xlfn.XLOOKUP(A241&amp;B241&amp;C241,盘货信息!$A:$A&amp;盘货信息!$B:$B&amp;盘货信息!$C:$C,盘货信息!$F:$F)&amp;"元】","【焕新补贴预估价"&amp;_xlfn.XLOOKUP(A241&amp;B241&amp;C241,盘货信息!$A:$A&amp;盘货信息!$B:$B&amp;盘货信息!$C:$C,盘货信息!$N:$N)&amp;"元】"))</f>
        <v/>
      </c>
      <c r="F241" s="18" t="str">
        <f t="array" ref="F241">IF(C241="","",_xlfn.XLOOKUP(A241&amp;B241&amp;C241,盘货信息!$A:$A&amp;盘货信息!$B:$B&amp;盘货信息!$C:$C,盘货信息!$E:$E)&amp;"元到手价")</f>
        <v/>
      </c>
      <c r="G241" s="18" t="str">
        <f t="array" ref="G241">IF(C241="","",IF(_xlfn.XLOOKUP(A241&amp;B241&amp;C241,盘货信息!$A:$A&amp;盘货信息!$B:$B&amp;盘货信息!$C:$C,盘货信息!$I:$I)="","","88VIP95折"))</f>
        <v/>
      </c>
      <c r="H241" s="18" t="str">
        <f t="array" ref="H241">IF(C241="","",IF(_xlfn.XLOOKUP(A241&amp;B241&amp;C241,盘货信息!$A:$A&amp;盘货信息!$B:$B&amp;盘货信息!$C:$C,盘货信息!$J:$J)="","",_xlfn.XLOOKUP(A241&amp;B241&amp;C241,盘货信息!$A:$A&amp;盘货信息!$B:$B&amp;盘货信息!$C:$C,盘货信息!$J:$J)&amp;"元优惠卷"))</f>
        <v/>
      </c>
      <c r="I241" s="18" t="str">
        <f t="array" ref="I241">IF(C241="","",IF(_xlfn.XLOOKUP(A241&amp;B241&amp;C241,盘货信息!$A:$A&amp;盘货信息!$B:$B&amp;盘货信息!$C:$C,盘货信息!$R:$R)="","",_xlfn.XLOOKUP(A241&amp;B241&amp;C241,盘货信息!$A:$A&amp;盘货信息!$B:$B&amp;盘货信息!$C:$C,盘货信息!$R:$R)&amp;"元优惠卷"))</f>
        <v/>
      </c>
      <c r="J241" s="18" t="str">
        <f t="array" ref="J241">IF(C241="","",IF(_xlfn.XLOOKUP(A241&amp;B241&amp;C241,盘货信息!$A:$A&amp;盘货信息!$B:$B&amp;盘货信息!$C:$C,盘货信息!$K:$K)="","",IF(OR(_xlfn.XLOOKUP(A241&amp;B241&amp;C241,盘货信息!$A:$A&amp;盘货信息!$B:$B&amp;盘货信息!$C:$C,盘货信息!$G:$G)="参加",_xlfn.XLOOKUP(A241&amp;B241&amp;C241,盘货信息!$A:$A&amp;盘货信息!$B:$B&amp;盘货信息!$C:$C,盘货信息!$H:$H)="1（纯自补）"),_xlfn.XLOOKUP(A241&amp;B241&amp;C241,盘货信息!$A:$A&amp;盘货信息!$B:$B&amp;盘货信息!$C:$C,盘货信息!$K:$K)&amp;"元以旧换新（可无旧机换新）","")))</f>
        <v/>
      </c>
      <c r="K241" s="18" t="str">
        <f t="array" ref="K241">IF(C241="","",IF(_xlfn.XLOOKUP(A241&amp;B241&amp;C241,盘货信息!$A:$A&amp;盘货信息!$B:$B&amp;盘货信息!$C:$C,盘货信息!$L:$L)="","",_xlfn.XLOOKUP(A241&amp;B241&amp;C241,盘货信息!$A:$A&amp;盘货信息!$B:$B&amp;盘货信息!$C:$C,盘货信息!$L:$L)&amp;"元限时补贴"))</f>
        <v/>
      </c>
      <c r="L241" s="18" t="str">
        <f t="array" ref="L241">IF(C241="","",IF(_xlfn.XLOOKUP(A241&amp;B241&amp;C241,盘货信息!$A:$A&amp;盘货信息!$B:$B&amp;盘货信息!$C:$C,盘货信息!$M:$M)="","",_xlfn.XLOOKUP(A241&amp;B241&amp;C241,盘货信息!$A:$A&amp;盘货信息!$B:$B&amp;盘货信息!$C:$C,盘货信息!$M:$M)&amp;"元消费券"))</f>
        <v/>
      </c>
      <c r="M241" s="18" t="str">
        <f t="array" ref="M241">IF(C241="","",IF(_xlfn.XLOOKUP(A241&amp;B241&amp;C241,盘货信息!$A:$A&amp;盘货信息!$B:$B&amp;盘货信息!$C:$C,盘货信息!$G:$G)="不参加","","焕新补贴优惠【全民可用，不限地址】"))</f>
        <v/>
      </c>
    </row>
    <row r="242" customHeight="1" spans="1:13">
      <c r="A242" s="17" t="str">
        <f>IF(盘货信息!A242="","",盘货信息!A242)</f>
        <v/>
      </c>
      <c r="B242" s="17" t="str">
        <f>IF(盘货信息!B242="","",盘货信息!B242)</f>
        <v/>
      </c>
      <c r="C242" s="18" t="str">
        <f>IF(盘货信息!C242="","",盘货信息!C242)</f>
        <v/>
      </c>
      <c r="D242" s="18" t="str">
        <f t="shared" si="3"/>
        <v/>
      </c>
      <c r="E242" s="18" t="str">
        <f t="array" ref="E242">IF(C242="","",IF(_xlfn.XLOOKUP(A242&amp;B242&amp;C242,盘货信息!$A:$A&amp;盘货信息!$B:$B&amp;盘货信息!$C:$C,盘货信息!$N:$N)="","【立减到手价"&amp;_xlfn.XLOOKUP(A242&amp;B242&amp;C242,盘货信息!$A:$A&amp;盘货信息!$B:$B&amp;盘货信息!$C:$C,盘货信息!$F:$F)&amp;"元】","【焕新补贴预估价"&amp;_xlfn.XLOOKUP(A242&amp;B242&amp;C242,盘货信息!$A:$A&amp;盘货信息!$B:$B&amp;盘货信息!$C:$C,盘货信息!$N:$N)&amp;"元】"))</f>
        <v/>
      </c>
      <c r="F242" s="18" t="str">
        <f t="array" ref="F242">IF(C242="","",_xlfn.XLOOKUP(A242&amp;B242&amp;C242,盘货信息!$A:$A&amp;盘货信息!$B:$B&amp;盘货信息!$C:$C,盘货信息!$E:$E)&amp;"元到手价")</f>
        <v/>
      </c>
      <c r="G242" s="18" t="str">
        <f t="array" ref="G242">IF(C242="","",IF(_xlfn.XLOOKUP(A242&amp;B242&amp;C242,盘货信息!$A:$A&amp;盘货信息!$B:$B&amp;盘货信息!$C:$C,盘货信息!$I:$I)="","","88VIP95折"))</f>
        <v/>
      </c>
      <c r="H242" s="18" t="str">
        <f t="array" ref="H242">IF(C242="","",IF(_xlfn.XLOOKUP(A242&amp;B242&amp;C242,盘货信息!$A:$A&amp;盘货信息!$B:$B&amp;盘货信息!$C:$C,盘货信息!$J:$J)="","",_xlfn.XLOOKUP(A242&amp;B242&amp;C242,盘货信息!$A:$A&amp;盘货信息!$B:$B&amp;盘货信息!$C:$C,盘货信息!$J:$J)&amp;"元优惠卷"))</f>
        <v/>
      </c>
      <c r="I242" s="18" t="str">
        <f t="array" ref="I242">IF(C242="","",IF(_xlfn.XLOOKUP(A242&amp;B242&amp;C242,盘货信息!$A:$A&amp;盘货信息!$B:$B&amp;盘货信息!$C:$C,盘货信息!$R:$R)="","",_xlfn.XLOOKUP(A242&amp;B242&amp;C242,盘货信息!$A:$A&amp;盘货信息!$B:$B&amp;盘货信息!$C:$C,盘货信息!$R:$R)&amp;"元优惠卷"))</f>
        <v/>
      </c>
      <c r="J242" s="18" t="str">
        <f t="array" ref="J242">IF(C242="","",IF(_xlfn.XLOOKUP(A242&amp;B242&amp;C242,盘货信息!$A:$A&amp;盘货信息!$B:$B&amp;盘货信息!$C:$C,盘货信息!$K:$K)="","",IF(OR(_xlfn.XLOOKUP(A242&amp;B242&amp;C242,盘货信息!$A:$A&amp;盘货信息!$B:$B&amp;盘货信息!$C:$C,盘货信息!$G:$G)="参加",_xlfn.XLOOKUP(A242&amp;B242&amp;C242,盘货信息!$A:$A&amp;盘货信息!$B:$B&amp;盘货信息!$C:$C,盘货信息!$H:$H)="1（纯自补）"),_xlfn.XLOOKUP(A242&amp;B242&amp;C242,盘货信息!$A:$A&amp;盘货信息!$B:$B&amp;盘货信息!$C:$C,盘货信息!$K:$K)&amp;"元以旧换新（可无旧机换新）","")))</f>
        <v/>
      </c>
      <c r="K242" s="18" t="str">
        <f t="array" ref="K242">IF(C242="","",IF(_xlfn.XLOOKUP(A242&amp;B242&amp;C242,盘货信息!$A:$A&amp;盘货信息!$B:$B&amp;盘货信息!$C:$C,盘货信息!$L:$L)="","",_xlfn.XLOOKUP(A242&amp;B242&amp;C242,盘货信息!$A:$A&amp;盘货信息!$B:$B&amp;盘货信息!$C:$C,盘货信息!$L:$L)&amp;"元限时补贴"))</f>
        <v/>
      </c>
      <c r="L242" s="18" t="str">
        <f t="array" ref="L242">IF(C242="","",IF(_xlfn.XLOOKUP(A242&amp;B242&amp;C242,盘货信息!$A:$A&amp;盘货信息!$B:$B&amp;盘货信息!$C:$C,盘货信息!$M:$M)="","",_xlfn.XLOOKUP(A242&amp;B242&amp;C242,盘货信息!$A:$A&amp;盘货信息!$B:$B&amp;盘货信息!$C:$C,盘货信息!$M:$M)&amp;"元消费券"))</f>
        <v/>
      </c>
      <c r="M242" s="18" t="str">
        <f t="array" ref="M242">IF(C242="","",IF(_xlfn.XLOOKUP(A242&amp;B242&amp;C242,盘货信息!$A:$A&amp;盘货信息!$B:$B&amp;盘货信息!$C:$C,盘货信息!$G:$G)="不参加","","焕新补贴优惠【全民可用，不限地址】"))</f>
        <v/>
      </c>
    </row>
    <row r="243" customHeight="1" spans="1:13">
      <c r="A243" s="17" t="str">
        <f>IF(盘货信息!A243="","",盘货信息!A243)</f>
        <v/>
      </c>
      <c r="B243" s="17" t="str">
        <f>IF(盘货信息!B243="","",盘货信息!B243)</f>
        <v/>
      </c>
      <c r="C243" s="18" t="str">
        <f>IF(盘货信息!C243="","",盘货信息!C243)</f>
        <v/>
      </c>
      <c r="D243" s="18" t="str">
        <f t="shared" si="3"/>
        <v/>
      </c>
      <c r="E243" s="18" t="str">
        <f t="array" ref="E243">IF(C243="","",IF(_xlfn.XLOOKUP(A243&amp;B243&amp;C243,盘货信息!$A:$A&amp;盘货信息!$B:$B&amp;盘货信息!$C:$C,盘货信息!$N:$N)="","【立减到手价"&amp;_xlfn.XLOOKUP(A243&amp;B243&amp;C243,盘货信息!$A:$A&amp;盘货信息!$B:$B&amp;盘货信息!$C:$C,盘货信息!$F:$F)&amp;"元】","【焕新补贴预估价"&amp;_xlfn.XLOOKUP(A243&amp;B243&amp;C243,盘货信息!$A:$A&amp;盘货信息!$B:$B&amp;盘货信息!$C:$C,盘货信息!$N:$N)&amp;"元】"))</f>
        <v/>
      </c>
      <c r="F243" s="18" t="str">
        <f t="array" ref="F243">IF(C243="","",_xlfn.XLOOKUP(A243&amp;B243&amp;C243,盘货信息!$A:$A&amp;盘货信息!$B:$B&amp;盘货信息!$C:$C,盘货信息!$E:$E)&amp;"元到手价")</f>
        <v/>
      </c>
      <c r="G243" s="18" t="str">
        <f t="array" ref="G243">IF(C243="","",IF(_xlfn.XLOOKUP(A243&amp;B243&amp;C243,盘货信息!$A:$A&amp;盘货信息!$B:$B&amp;盘货信息!$C:$C,盘货信息!$I:$I)="","","88VIP95折"))</f>
        <v/>
      </c>
      <c r="H243" s="18" t="str">
        <f t="array" ref="H243">IF(C243="","",IF(_xlfn.XLOOKUP(A243&amp;B243&amp;C243,盘货信息!$A:$A&amp;盘货信息!$B:$B&amp;盘货信息!$C:$C,盘货信息!$J:$J)="","",_xlfn.XLOOKUP(A243&amp;B243&amp;C243,盘货信息!$A:$A&amp;盘货信息!$B:$B&amp;盘货信息!$C:$C,盘货信息!$J:$J)&amp;"元优惠卷"))</f>
        <v/>
      </c>
      <c r="I243" s="18" t="str">
        <f t="array" ref="I243">IF(C243="","",IF(_xlfn.XLOOKUP(A243&amp;B243&amp;C243,盘货信息!$A:$A&amp;盘货信息!$B:$B&amp;盘货信息!$C:$C,盘货信息!$R:$R)="","",_xlfn.XLOOKUP(A243&amp;B243&amp;C243,盘货信息!$A:$A&amp;盘货信息!$B:$B&amp;盘货信息!$C:$C,盘货信息!$R:$R)&amp;"元优惠卷"))</f>
        <v/>
      </c>
      <c r="J243" s="18" t="str">
        <f t="array" ref="J243">IF(C243="","",IF(_xlfn.XLOOKUP(A243&amp;B243&amp;C243,盘货信息!$A:$A&amp;盘货信息!$B:$B&amp;盘货信息!$C:$C,盘货信息!$K:$K)="","",IF(OR(_xlfn.XLOOKUP(A243&amp;B243&amp;C243,盘货信息!$A:$A&amp;盘货信息!$B:$B&amp;盘货信息!$C:$C,盘货信息!$G:$G)="参加",_xlfn.XLOOKUP(A243&amp;B243&amp;C243,盘货信息!$A:$A&amp;盘货信息!$B:$B&amp;盘货信息!$C:$C,盘货信息!$H:$H)="1（纯自补）"),_xlfn.XLOOKUP(A243&amp;B243&amp;C243,盘货信息!$A:$A&amp;盘货信息!$B:$B&amp;盘货信息!$C:$C,盘货信息!$K:$K)&amp;"元以旧换新（可无旧机换新）","")))</f>
        <v/>
      </c>
      <c r="K243" s="18" t="str">
        <f t="array" ref="K243">IF(C243="","",IF(_xlfn.XLOOKUP(A243&amp;B243&amp;C243,盘货信息!$A:$A&amp;盘货信息!$B:$B&amp;盘货信息!$C:$C,盘货信息!$L:$L)="","",_xlfn.XLOOKUP(A243&amp;B243&amp;C243,盘货信息!$A:$A&amp;盘货信息!$B:$B&amp;盘货信息!$C:$C,盘货信息!$L:$L)&amp;"元限时补贴"))</f>
        <v/>
      </c>
      <c r="L243" s="18" t="str">
        <f t="array" ref="L243">IF(C243="","",IF(_xlfn.XLOOKUP(A243&amp;B243&amp;C243,盘货信息!$A:$A&amp;盘货信息!$B:$B&amp;盘货信息!$C:$C,盘货信息!$M:$M)="","",_xlfn.XLOOKUP(A243&amp;B243&amp;C243,盘货信息!$A:$A&amp;盘货信息!$B:$B&amp;盘货信息!$C:$C,盘货信息!$M:$M)&amp;"元消费券"))</f>
        <v/>
      </c>
      <c r="M243" s="18" t="str">
        <f t="array" ref="M243">IF(C243="","",IF(_xlfn.XLOOKUP(A243&amp;B243&amp;C243,盘货信息!$A:$A&amp;盘货信息!$B:$B&amp;盘货信息!$C:$C,盘货信息!$G:$G)="不参加","","焕新补贴优惠【全民可用，不限地址】"))</f>
        <v/>
      </c>
    </row>
    <row r="244" customHeight="1" spans="1:13">
      <c r="A244" s="17" t="str">
        <f>IF(盘货信息!A244="","",盘货信息!A244)</f>
        <v/>
      </c>
      <c r="B244" s="17" t="str">
        <f>IF(盘货信息!B244="","",盘货信息!B244)</f>
        <v/>
      </c>
      <c r="C244" s="18" t="str">
        <f>IF(盘货信息!C244="","",盘货信息!C244)</f>
        <v/>
      </c>
      <c r="D244" s="18" t="str">
        <f t="shared" si="3"/>
        <v/>
      </c>
      <c r="E244" s="18" t="str">
        <f t="array" ref="E244">IF(C244="","",IF(_xlfn.XLOOKUP(A244&amp;B244&amp;C244,盘货信息!$A:$A&amp;盘货信息!$B:$B&amp;盘货信息!$C:$C,盘货信息!$N:$N)="","【立减到手价"&amp;_xlfn.XLOOKUP(A244&amp;B244&amp;C244,盘货信息!$A:$A&amp;盘货信息!$B:$B&amp;盘货信息!$C:$C,盘货信息!$F:$F)&amp;"元】","【焕新补贴预估价"&amp;_xlfn.XLOOKUP(A244&amp;B244&amp;C244,盘货信息!$A:$A&amp;盘货信息!$B:$B&amp;盘货信息!$C:$C,盘货信息!$N:$N)&amp;"元】"))</f>
        <v/>
      </c>
      <c r="F244" s="18" t="str">
        <f t="array" ref="F244">IF(C244="","",_xlfn.XLOOKUP(A244&amp;B244&amp;C244,盘货信息!$A:$A&amp;盘货信息!$B:$B&amp;盘货信息!$C:$C,盘货信息!$E:$E)&amp;"元到手价")</f>
        <v/>
      </c>
      <c r="G244" s="18" t="str">
        <f t="array" ref="G244">IF(C244="","",IF(_xlfn.XLOOKUP(A244&amp;B244&amp;C244,盘货信息!$A:$A&amp;盘货信息!$B:$B&amp;盘货信息!$C:$C,盘货信息!$I:$I)="","","88VIP95折"))</f>
        <v/>
      </c>
      <c r="H244" s="18" t="str">
        <f t="array" ref="H244">IF(C244="","",IF(_xlfn.XLOOKUP(A244&amp;B244&amp;C244,盘货信息!$A:$A&amp;盘货信息!$B:$B&amp;盘货信息!$C:$C,盘货信息!$J:$J)="","",_xlfn.XLOOKUP(A244&amp;B244&amp;C244,盘货信息!$A:$A&amp;盘货信息!$B:$B&amp;盘货信息!$C:$C,盘货信息!$J:$J)&amp;"元优惠卷"))</f>
        <v/>
      </c>
      <c r="I244" s="18" t="str">
        <f t="array" ref="I244">IF(C244="","",IF(_xlfn.XLOOKUP(A244&amp;B244&amp;C244,盘货信息!$A:$A&amp;盘货信息!$B:$B&amp;盘货信息!$C:$C,盘货信息!$R:$R)="","",_xlfn.XLOOKUP(A244&amp;B244&amp;C244,盘货信息!$A:$A&amp;盘货信息!$B:$B&amp;盘货信息!$C:$C,盘货信息!$R:$R)&amp;"元优惠卷"))</f>
        <v/>
      </c>
      <c r="J244" s="18" t="str">
        <f t="array" ref="J244">IF(C244="","",IF(_xlfn.XLOOKUP(A244&amp;B244&amp;C244,盘货信息!$A:$A&amp;盘货信息!$B:$B&amp;盘货信息!$C:$C,盘货信息!$K:$K)="","",IF(OR(_xlfn.XLOOKUP(A244&amp;B244&amp;C244,盘货信息!$A:$A&amp;盘货信息!$B:$B&amp;盘货信息!$C:$C,盘货信息!$G:$G)="参加",_xlfn.XLOOKUP(A244&amp;B244&amp;C244,盘货信息!$A:$A&amp;盘货信息!$B:$B&amp;盘货信息!$C:$C,盘货信息!$H:$H)="1（纯自补）"),_xlfn.XLOOKUP(A244&amp;B244&amp;C244,盘货信息!$A:$A&amp;盘货信息!$B:$B&amp;盘货信息!$C:$C,盘货信息!$K:$K)&amp;"元以旧换新（可无旧机换新）","")))</f>
        <v/>
      </c>
      <c r="K244" s="18" t="str">
        <f t="array" ref="K244">IF(C244="","",IF(_xlfn.XLOOKUP(A244&amp;B244&amp;C244,盘货信息!$A:$A&amp;盘货信息!$B:$B&amp;盘货信息!$C:$C,盘货信息!$L:$L)="","",_xlfn.XLOOKUP(A244&amp;B244&amp;C244,盘货信息!$A:$A&amp;盘货信息!$B:$B&amp;盘货信息!$C:$C,盘货信息!$L:$L)&amp;"元限时补贴"))</f>
        <v/>
      </c>
      <c r="L244" s="18" t="str">
        <f t="array" ref="L244">IF(C244="","",IF(_xlfn.XLOOKUP(A244&amp;B244&amp;C244,盘货信息!$A:$A&amp;盘货信息!$B:$B&amp;盘货信息!$C:$C,盘货信息!$M:$M)="","",_xlfn.XLOOKUP(A244&amp;B244&amp;C244,盘货信息!$A:$A&amp;盘货信息!$B:$B&amp;盘货信息!$C:$C,盘货信息!$M:$M)&amp;"元消费券"))</f>
        <v/>
      </c>
      <c r="M244" s="18" t="str">
        <f t="array" ref="M244">IF(C244="","",IF(_xlfn.XLOOKUP(A244&amp;B244&amp;C244,盘货信息!$A:$A&amp;盘货信息!$B:$B&amp;盘货信息!$C:$C,盘货信息!$G:$G)="不参加","","焕新补贴优惠【全民可用，不限地址】"))</f>
        <v/>
      </c>
    </row>
    <row r="245" customHeight="1" spans="1:13">
      <c r="A245" s="17" t="str">
        <f>IF(盘货信息!A245="","",盘货信息!A245)</f>
        <v/>
      </c>
      <c r="B245" s="17" t="str">
        <f>IF(盘货信息!B245="","",盘货信息!B245)</f>
        <v/>
      </c>
      <c r="C245" s="18" t="str">
        <f>IF(盘货信息!C245="","",盘货信息!C245)</f>
        <v/>
      </c>
      <c r="D245" s="18" t="str">
        <f t="shared" si="3"/>
        <v/>
      </c>
      <c r="E245" s="18" t="str">
        <f t="array" ref="E245">IF(C245="","",IF(_xlfn.XLOOKUP(A245&amp;B245&amp;C245,盘货信息!$A:$A&amp;盘货信息!$B:$B&amp;盘货信息!$C:$C,盘货信息!$N:$N)="","【立减到手价"&amp;_xlfn.XLOOKUP(A245&amp;B245&amp;C245,盘货信息!$A:$A&amp;盘货信息!$B:$B&amp;盘货信息!$C:$C,盘货信息!$F:$F)&amp;"元】","【焕新补贴预估价"&amp;_xlfn.XLOOKUP(A245&amp;B245&amp;C245,盘货信息!$A:$A&amp;盘货信息!$B:$B&amp;盘货信息!$C:$C,盘货信息!$N:$N)&amp;"元】"))</f>
        <v/>
      </c>
      <c r="F245" s="18" t="str">
        <f t="array" ref="F245">IF(C245="","",_xlfn.XLOOKUP(A245&amp;B245&amp;C245,盘货信息!$A:$A&amp;盘货信息!$B:$B&amp;盘货信息!$C:$C,盘货信息!$E:$E)&amp;"元到手价")</f>
        <v/>
      </c>
      <c r="G245" s="18" t="str">
        <f t="array" ref="G245">IF(C245="","",IF(_xlfn.XLOOKUP(A245&amp;B245&amp;C245,盘货信息!$A:$A&amp;盘货信息!$B:$B&amp;盘货信息!$C:$C,盘货信息!$I:$I)="","","88VIP95折"))</f>
        <v/>
      </c>
      <c r="H245" s="18" t="str">
        <f t="array" ref="H245">IF(C245="","",IF(_xlfn.XLOOKUP(A245&amp;B245&amp;C245,盘货信息!$A:$A&amp;盘货信息!$B:$B&amp;盘货信息!$C:$C,盘货信息!$J:$J)="","",_xlfn.XLOOKUP(A245&amp;B245&amp;C245,盘货信息!$A:$A&amp;盘货信息!$B:$B&amp;盘货信息!$C:$C,盘货信息!$J:$J)&amp;"元优惠卷"))</f>
        <v/>
      </c>
      <c r="I245" s="18" t="str">
        <f t="array" ref="I245">IF(C245="","",IF(_xlfn.XLOOKUP(A245&amp;B245&amp;C245,盘货信息!$A:$A&amp;盘货信息!$B:$B&amp;盘货信息!$C:$C,盘货信息!$R:$R)="","",_xlfn.XLOOKUP(A245&amp;B245&amp;C245,盘货信息!$A:$A&amp;盘货信息!$B:$B&amp;盘货信息!$C:$C,盘货信息!$R:$R)&amp;"元优惠卷"))</f>
        <v/>
      </c>
      <c r="J245" s="18" t="str">
        <f t="array" ref="J245">IF(C245="","",IF(_xlfn.XLOOKUP(A245&amp;B245&amp;C245,盘货信息!$A:$A&amp;盘货信息!$B:$B&amp;盘货信息!$C:$C,盘货信息!$K:$K)="","",IF(OR(_xlfn.XLOOKUP(A245&amp;B245&amp;C245,盘货信息!$A:$A&amp;盘货信息!$B:$B&amp;盘货信息!$C:$C,盘货信息!$G:$G)="参加",_xlfn.XLOOKUP(A245&amp;B245&amp;C245,盘货信息!$A:$A&amp;盘货信息!$B:$B&amp;盘货信息!$C:$C,盘货信息!$H:$H)="1（纯自补）"),_xlfn.XLOOKUP(A245&amp;B245&amp;C245,盘货信息!$A:$A&amp;盘货信息!$B:$B&amp;盘货信息!$C:$C,盘货信息!$K:$K)&amp;"元以旧换新（可无旧机换新）","")))</f>
        <v/>
      </c>
      <c r="K245" s="18" t="str">
        <f t="array" ref="K245">IF(C245="","",IF(_xlfn.XLOOKUP(A245&amp;B245&amp;C245,盘货信息!$A:$A&amp;盘货信息!$B:$B&amp;盘货信息!$C:$C,盘货信息!$L:$L)="","",_xlfn.XLOOKUP(A245&amp;B245&amp;C245,盘货信息!$A:$A&amp;盘货信息!$B:$B&amp;盘货信息!$C:$C,盘货信息!$L:$L)&amp;"元限时补贴"))</f>
        <v/>
      </c>
      <c r="L245" s="18" t="str">
        <f t="array" ref="L245">IF(C245="","",IF(_xlfn.XLOOKUP(A245&amp;B245&amp;C245,盘货信息!$A:$A&amp;盘货信息!$B:$B&amp;盘货信息!$C:$C,盘货信息!$M:$M)="","",_xlfn.XLOOKUP(A245&amp;B245&amp;C245,盘货信息!$A:$A&amp;盘货信息!$B:$B&amp;盘货信息!$C:$C,盘货信息!$M:$M)&amp;"元消费券"))</f>
        <v/>
      </c>
      <c r="M245" s="18" t="str">
        <f t="array" ref="M245">IF(C245="","",IF(_xlfn.XLOOKUP(A245&amp;B245&amp;C245,盘货信息!$A:$A&amp;盘货信息!$B:$B&amp;盘货信息!$C:$C,盘货信息!$G:$G)="不参加","","焕新补贴优惠【全民可用，不限地址】"))</f>
        <v/>
      </c>
    </row>
    <row r="246" customHeight="1" spans="1:13">
      <c r="A246" s="17" t="str">
        <f>IF(盘货信息!A246="","",盘货信息!A246)</f>
        <v/>
      </c>
      <c r="B246" s="17" t="str">
        <f>IF(盘货信息!B246="","",盘货信息!B246)</f>
        <v/>
      </c>
      <c r="C246" s="18" t="str">
        <f>IF(盘货信息!C246="","",盘货信息!C246)</f>
        <v/>
      </c>
      <c r="D246" s="18" t="str">
        <f t="shared" si="3"/>
        <v/>
      </c>
      <c r="E246" s="18" t="str">
        <f t="array" ref="E246">IF(C246="","",IF(_xlfn.XLOOKUP(A246&amp;B246&amp;C246,盘货信息!$A:$A&amp;盘货信息!$B:$B&amp;盘货信息!$C:$C,盘货信息!$N:$N)="","【立减到手价"&amp;_xlfn.XLOOKUP(A246&amp;B246&amp;C246,盘货信息!$A:$A&amp;盘货信息!$B:$B&amp;盘货信息!$C:$C,盘货信息!$F:$F)&amp;"元】","【焕新补贴预估价"&amp;_xlfn.XLOOKUP(A246&amp;B246&amp;C246,盘货信息!$A:$A&amp;盘货信息!$B:$B&amp;盘货信息!$C:$C,盘货信息!$N:$N)&amp;"元】"))</f>
        <v/>
      </c>
      <c r="F246" s="18" t="str">
        <f t="array" ref="F246">IF(C246="","",_xlfn.XLOOKUP(A246&amp;B246&amp;C246,盘货信息!$A:$A&amp;盘货信息!$B:$B&amp;盘货信息!$C:$C,盘货信息!$E:$E)&amp;"元到手价")</f>
        <v/>
      </c>
      <c r="G246" s="18" t="str">
        <f t="array" ref="G246">IF(C246="","",IF(_xlfn.XLOOKUP(A246&amp;B246&amp;C246,盘货信息!$A:$A&amp;盘货信息!$B:$B&amp;盘货信息!$C:$C,盘货信息!$I:$I)="","","88VIP95折"))</f>
        <v/>
      </c>
      <c r="H246" s="18" t="str">
        <f t="array" ref="H246">IF(C246="","",IF(_xlfn.XLOOKUP(A246&amp;B246&amp;C246,盘货信息!$A:$A&amp;盘货信息!$B:$B&amp;盘货信息!$C:$C,盘货信息!$J:$J)="","",_xlfn.XLOOKUP(A246&amp;B246&amp;C246,盘货信息!$A:$A&amp;盘货信息!$B:$B&amp;盘货信息!$C:$C,盘货信息!$J:$J)&amp;"元优惠卷"))</f>
        <v/>
      </c>
      <c r="I246" s="18" t="str">
        <f t="array" ref="I246">IF(C246="","",IF(_xlfn.XLOOKUP(A246&amp;B246&amp;C246,盘货信息!$A:$A&amp;盘货信息!$B:$B&amp;盘货信息!$C:$C,盘货信息!$R:$R)="","",_xlfn.XLOOKUP(A246&amp;B246&amp;C246,盘货信息!$A:$A&amp;盘货信息!$B:$B&amp;盘货信息!$C:$C,盘货信息!$R:$R)&amp;"元优惠卷"))</f>
        <v/>
      </c>
      <c r="J246" s="18" t="str">
        <f t="array" ref="J246">IF(C246="","",IF(_xlfn.XLOOKUP(A246&amp;B246&amp;C246,盘货信息!$A:$A&amp;盘货信息!$B:$B&amp;盘货信息!$C:$C,盘货信息!$K:$K)="","",IF(OR(_xlfn.XLOOKUP(A246&amp;B246&amp;C246,盘货信息!$A:$A&amp;盘货信息!$B:$B&amp;盘货信息!$C:$C,盘货信息!$G:$G)="参加",_xlfn.XLOOKUP(A246&amp;B246&amp;C246,盘货信息!$A:$A&amp;盘货信息!$B:$B&amp;盘货信息!$C:$C,盘货信息!$H:$H)="1（纯自补）"),_xlfn.XLOOKUP(A246&amp;B246&amp;C246,盘货信息!$A:$A&amp;盘货信息!$B:$B&amp;盘货信息!$C:$C,盘货信息!$K:$K)&amp;"元以旧换新（可无旧机换新）","")))</f>
        <v/>
      </c>
      <c r="K246" s="18" t="str">
        <f t="array" ref="K246">IF(C246="","",IF(_xlfn.XLOOKUP(A246&amp;B246&amp;C246,盘货信息!$A:$A&amp;盘货信息!$B:$B&amp;盘货信息!$C:$C,盘货信息!$L:$L)="","",_xlfn.XLOOKUP(A246&amp;B246&amp;C246,盘货信息!$A:$A&amp;盘货信息!$B:$B&amp;盘货信息!$C:$C,盘货信息!$L:$L)&amp;"元限时补贴"))</f>
        <v/>
      </c>
      <c r="L246" s="18" t="str">
        <f t="array" ref="L246">IF(C246="","",IF(_xlfn.XLOOKUP(A246&amp;B246&amp;C246,盘货信息!$A:$A&amp;盘货信息!$B:$B&amp;盘货信息!$C:$C,盘货信息!$M:$M)="","",_xlfn.XLOOKUP(A246&amp;B246&amp;C246,盘货信息!$A:$A&amp;盘货信息!$B:$B&amp;盘货信息!$C:$C,盘货信息!$M:$M)&amp;"元消费券"))</f>
        <v/>
      </c>
      <c r="M246" s="18" t="str">
        <f t="array" ref="M246">IF(C246="","",IF(_xlfn.XLOOKUP(A246&amp;B246&amp;C246,盘货信息!$A:$A&amp;盘货信息!$B:$B&amp;盘货信息!$C:$C,盘货信息!$G:$G)="不参加","","焕新补贴优惠【全民可用，不限地址】"))</f>
        <v/>
      </c>
    </row>
    <row r="247" customHeight="1" spans="1:13">
      <c r="A247" s="17" t="str">
        <f>IF(盘货信息!A247="","",盘货信息!A247)</f>
        <v/>
      </c>
      <c r="B247" s="17" t="str">
        <f>IF(盘货信息!B247="","",盘货信息!B247)</f>
        <v/>
      </c>
      <c r="C247" s="18" t="str">
        <f>IF(盘货信息!C247="","",盘货信息!C247)</f>
        <v/>
      </c>
      <c r="D247" s="18" t="str">
        <f t="shared" si="3"/>
        <v/>
      </c>
      <c r="E247" s="18" t="str">
        <f t="array" ref="E247">IF(C247="","",IF(_xlfn.XLOOKUP(A247&amp;B247&amp;C247,盘货信息!$A:$A&amp;盘货信息!$B:$B&amp;盘货信息!$C:$C,盘货信息!$N:$N)="","【立减到手价"&amp;_xlfn.XLOOKUP(A247&amp;B247&amp;C247,盘货信息!$A:$A&amp;盘货信息!$B:$B&amp;盘货信息!$C:$C,盘货信息!$F:$F)&amp;"元】","【焕新补贴预估价"&amp;_xlfn.XLOOKUP(A247&amp;B247&amp;C247,盘货信息!$A:$A&amp;盘货信息!$B:$B&amp;盘货信息!$C:$C,盘货信息!$N:$N)&amp;"元】"))</f>
        <v/>
      </c>
      <c r="F247" s="18" t="str">
        <f t="array" ref="F247">IF(C247="","",_xlfn.XLOOKUP(A247&amp;B247&amp;C247,盘货信息!$A:$A&amp;盘货信息!$B:$B&amp;盘货信息!$C:$C,盘货信息!$E:$E)&amp;"元到手价")</f>
        <v/>
      </c>
      <c r="G247" s="18" t="str">
        <f t="array" ref="G247">IF(C247="","",IF(_xlfn.XLOOKUP(A247&amp;B247&amp;C247,盘货信息!$A:$A&amp;盘货信息!$B:$B&amp;盘货信息!$C:$C,盘货信息!$I:$I)="","","88VIP95折"))</f>
        <v/>
      </c>
      <c r="H247" s="18" t="str">
        <f t="array" ref="H247">IF(C247="","",IF(_xlfn.XLOOKUP(A247&amp;B247&amp;C247,盘货信息!$A:$A&amp;盘货信息!$B:$B&amp;盘货信息!$C:$C,盘货信息!$J:$J)="","",_xlfn.XLOOKUP(A247&amp;B247&amp;C247,盘货信息!$A:$A&amp;盘货信息!$B:$B&amp;盘货信息!$C:$C,盘货信息!$J:$J)&amp;"元优惠卷"))</f>
        <v/>
      </c>
      <c r="I247" s="18" t="str">
        <f t="array" ref="I247">IF(C247="","",IF(_xlfn.XLOOKUP(A247&amp;B247&amp;C247,盘货信息!$A:$A&amp;盘货信息!$B:$B&amp;盘货信息!$C:$C,盘货信息!$R:$R)="","",_xlfn.XLOOKUP(A247&amp;B247&amp;C247,盘货信息!$A:$A&amp;盘货信息!$B:$B&amp;盘货信息!$C:$C,盘货信息!$R:$R)&amp;"元优惠卷"))</f>
        <v/>
      </c>
      <c r="J247" s="18" t="str">
        <f t="array" ref="J247">IF(C247="","",IF(_xlfn.XLOOKUP(A247&amp;B247&amp;C247,盘货信息!$A:$A&amp;盘货信息!$B:$B&amp;盘货信息!$C:$C,盘货信息!$K:$K)="","",IF(OR(_xlfn.XLOOKUP(A247&amp;B247&amp;C247,盘货信息!$A:$A&amp;盘货信息!$B:$B&amp;盘货信息!$C:$C,盘货信息!$G:$G)="参加",_xlfn.XLOOKUP(A247&amp;B247&amp;C247,盘货信息!$A:$A&amp;盘货信息!$B:$B&amp;盘货信息!$C:$C,盘货信息!$H:$H)="1（纯自补）"),_xlfn.XLOOKUP(A247&amp;B247&amp;C247,盘货信息!$A:$A&amp;盘货信息!$B:$B&amp;盘货信息!$C:$C,盘货信息!$K:$K)&amp;"元以旧换新（可无旧机换新）","")))</f>
        <v/>
      </c>
      <c r="K247" s="18" t="str">
        <f t="array" ref="K247">IF(C247="","",IF(_xlfn.XLOOKUP(A247&amp;B247&amp;C247,盘货信息!$A:$A&amp;盘货信息!$B:$B&amp;盘货信息!$C:$C,盘货信息!$L:$L)="","",_xlfn.XLOOKUP(A247&amp;B247&amp;C247,盘货信息!$A:$A&amp;盘货信息!$B:$B&amp;盘货信息!$C:$C,盘货信息!$L:$L)&amp;"元限时补贴"))</f>
        <v/>
      </c>
      <c r="L247" s="18" t="str">
        <f t="array" ref="L247">IF(C247="","",IF(_xlfn.XLOOKUP(A247&amp;B247&amp;C247,盘货信息!$A:$A&amp;盘货信息!$B:$B&amp;盘货信息!$C:$C,盘货信息!$M:$M)="","",_xlfn.XLOOKUP(A247&amp;B247&amp;C247,盘货信息!$A:$A&amp;盘货信息!$B:$B&amp;盘货信息!$C:$C,盘货信息!$M:$M)&amp;"元消费券"))</f>
        <v/>
      </c>
      <c r="M247" s="18" t="str">
        <f t="array" ref="M247">IF(C247="","",IF(_xlfn.XLOOKUP(A247&amp;B247&amp;C247,盘货信息!$A:$A&amp;盘货信息!$B:$B&amp;盘货信息!$C:$C,盘货信息!$G:$G)="不参加","","焕新补贴优惠【全民可用，不限地址】"))</f>
        <v/>
      </c>
    </row>
    <row r="248" customHeight="1" spans="1:13">
      <c r="A248" s="17" t="str">
        <f>IF(盘货信息!A248="","",盘货信息!A248)</f>
        <v/>
      </c>
      <c r="B248" s="17" t="str">
        <f>IF(盘货信息!B248="","",盘货信息!B248)</f>
        <v/>
      </c>
      <c r="C248" s="18" t="str">
        <f>IF(盘货信息!C248="","",盘货信息!C248)</f>
        <v/>
      </c>
      <c r="D248" s="18" t="str">
        <f t="shared" si="3"/>
        <v/>
      </c>
      <c r="E248" s="18" t="str">
        <f t="array" ref="E248">IF(C248="","",IF(_xlfn.XLOOKUP(A248&amp;B248&amp;C248,盘货信息!$A:$A&amp;盘货信息!$B:$B&amp;盘货信息!$C:$C,盘货信息!$N:$N)="","【立减到手价"&amp;_xlfn.XLOOKUP(A248&amp;B248&amp;C248,盘货信息!$A:$A&amp;盘货信息!$B:$B&amp;盘货信息!$C:$C,盘货信息!$F:$F)&amp;"元】","【焕新补贴预估价"&amp;_xlfn.XLOOKUP(A248&amp;B248&amp;C248,盘货信息!$A:$A&amp;盘货信息!$B:$B&amp;盘货信息!$C:$C,盘货信息!$N:$N)&amp;"元】"))</f>
        <v/>
      </c>
      <c r="F248" s="18" t="str">
        <f t="array" ref="F248">IF(C248="","",_xlfn.XLOOKUP(A248&amp;B248&amp;C248,盘货信息!$A:$A&amp;盘货信息!$B:$B&amp;盘货信息!$C:$C,盘货信息!$E:$E)&amp;"元到手价")</f>
        <v/>
      </c>
      <c r="G248" s="18" t="str">
        <f t="array" ref="G248">IF(C248="","",IF(_xlfn.XLOOKUP(A248&amp;B248&amp;C248,盘货信息!$A:$A&amp;盘货信息!$B:$B&amp;盘货信息!$C:$C,盘货信息!$I:$I)="","","88VIP95折"))</f>
        <v/>
      </c>
      <c r="H248" s="18" t="str">
        <f t="array" ref="H248">IF(C248="","",IF(_xlfn.XLOOKUP(A248&amp;B248&amp;C248,盘货信息!$A:$A&amp;盘货信息!$B:$B&amp;盘货信息!$C:$C,盘货信息!$J:$J)="","",_xlfn.XLOOKUP(A248&amp;B248&amp;C248,盘货信息!$A:$A&amp;盘货信息!$B:$B&amp;盘货信息!$C:$C,盘货信息!$J:$J)&amp;"元优惠卷"))</f>
        <v/>
      </c>
      <c r="I248" s="18" t="str">
        <f t="array" ref="I248">IF(C248="","",IF(_xlfn.XLOOKUP(A248&amp;B248&amp;C248,盘货信息!$A:$A&amp;盘货信息!$B:$B&amp;盘货信息!$C:$C,盘货信息!$R:$R)="","",_xlfn.XLOOKUP(A248&amp;B248&amp;C248,盘货信息!$A:$A&amp;盘货信息!$B:$B&amp;盘货信息!$C:$C,盘货信息!$R:$R)&amp;"元优惠卷"))</f>
        <v/>
      </c>
      <c r="J248" s="18" t="str">
        <f t="array" ref="J248">IF(C248="","",IF(_xlfn.XLOOKUP(A248&amp;B248&amp;C248,盘货信息!$A:$A&amp;盘货信息!$B:$B&amp;盘货信息!$C:$C,盘货信息!$K:$K)="","",IF(OR(_xlfn.XLOOKUP(A248&amp;B248&amp;C248,盘货信息!$A:$A&amp;盘货信息!$B:$B&amp;盘货信息!$C:$C,盘货信息!$G:$G)="参加",_xlfn.XLOOKUP(A248&amp;B248&amp;C248,盘货信息!$A:$A&amp;盘货信息!$B:$B&amp;盘货信息!$C:$C,盘货信息!$H:$H)="1（纯自补）"),_xlfn.XLOOKUP(A248&amp;B248&amp;C248,盘货信息!$A:$A&amp;盘货信息!$B:$B&amp;盘货信息!$C:$C,盘货信息!$K:$K)&amp;"元以旧换新（可无旧机换新）","")))</f>
        <v/>
      </c>
      <c r="K248" s="18" t="str">
        <f t="array" ref="K248">IF(C248="","",IF(_xlfn.XLOOKUP(A248&amp;B248&amp;C248,盘货信息!$A:$A&amp;盘货信息!$B:$B&amp;盘货信息!$C:$C,盘货信息!$L:$L)="","",_xlfn.XLOOKUP(A248&amp;B248&amp;C248,盘货信息!$A:$A&amp;盘货信息!$B:$B&amp;盘货信息!$C:$C,盘货信息!$L:$L)&amp;"元限时补贴"))</f>
        <v/>
      </c>
      <c r="L248" s="18" t="str">
        <f t="array" ref="L248">IF(C248="","",IF(_xlfn.XLOOKUP(A248&amp;B248&amp;C248,盘货信息!$A:$A&amp;盘货信息!$B:$B&amp;盘货信息!$C:$C,盘货信息!$M:$M)="","",_xlfn.XLOOKUP(A248&amp;B248&amp;C248,盘货信息!$A:$A&amp;盘货信息!$B:$B&amp;盘货信息!$C:$C,盘货信息!$M:$M)&amp;"元消费券"))</f>
        <v/>
      </c>
      <c r="M248" s="18" t="str">
        <f t="array" ref="M248">IF(C248="","",IF(_xlfn.XLOOKUP(A248&amp;B248&amp;C248,盘货信息!$A:$A&amp;盘货信息!$B:$B&amp;盘货信息!$C:$C,盘货信息!$G:$G)="不参加","","焕新补贴优惠【全民可用，不限地址】"))</f>
        <v/>
      </c>
    </row>
    <row r="249" customHeight="1" spans="1:13">
      <c r="A249" s="17" t="str">
        <f>IF(盘货信息!A249="","",盘货信息!A249)</f>
        <v/>
      </c>
      <c r="B249" s="17" t="str">
        <f>IF(盘货信息!B249="","",盘货信息!B249)</f>
        <v/>
      </c>
      <c r="C249" s="18" t="str">
        <f>IF(盘货信息!C249="","",盘货信息!C249)</f>
        <v/>
      </c>
      <c r="D249" s="18" t="str">
        <f t="shared" si="3"/>
        <v/>
      </c>
      <c r="E249" s="18" t="str">
        <f t="array" ref="E249">IF(C249="","",IF(_xlfn.XLOOKUP(A249&amp;B249&amp;C249,盘货信息!$A:$A&amp;盘货信息!$B:$B&amp;盘货信息!$C:$C,盘货信息!$N:$N)="","【立减到手价"&amp;_xlfn.XLOOKUP(A249&amp;B249&amp;C249,盘货信息!$A:$A&amp;盘货信息!$B:$B&amp;盘货信息!$C:$C,盘货信息!$F:$F)&amp;"元】","【焕新补贴预估价"&amp;_xlfn.XLOOKUP(A249&amp;B249&amp;C249,盘货信息!$A:$A&amp;盘货信息!$B:$B&amp;盘货信息!$C:$C,盘货信息!$N:$N)&amp;"元】"))</f>
        <v/>
      </c>
      <c r="F249" s="18" t="str">
        <f t="array" ref="F249">IF(C249="","",_xlfn.XLOOKUP(A249&amp;B249&amp;C249,盘货信息!$A:$A&amp;盘货信息!$B:$B&amp;盘货信息!$C:$C,盘货信息!$E:$E)&amp;"元到手价")</f>
        <v/>
      </c>
      <c r="G249" s="18" t="str">
        <f t="array" ref="G249">IF(C249="","",IF(_xlfn.XLOOKUP(A249&amp;B249&amp;C249,盘货信息!$A:$A&amp;盘货信息!$B:$B&amp;盘货信息!$C:$C,盘货信息!$I:$I)="","","88VIP95折"))</f>
        <v/>
      </c>
      <c r="H249" s="18" t="str">
        <f t="array" ref="H249">IF(C249="","",IF(_xlfn.XLOOKUP(A249&amp;B249&amp;C249,盘货信息!$A:$A&amp;盘货信息!$B:$B&amp;盘货信息!$C:$C,盘货信息!$J:$J)="","",_xlfn.XLOOKUP(A249&amp;B249&amp;C249,盘货信息!$A:$A&amp;盘货信息!$B:$B&amp;盘货信息!$C:$C,盘货信息!$J:$J)&amp;"元优惠卷"))</f>
        <v/>
      </c>
      <c r="I249" s="18" t="str">
        <f t="array" ref="I249">IF(C249="","",IF(_xlfn.XLOOKUP(A249&amp;B249&amp;C249,盘货信息!$A:$A&amp;盘货信息!$B:$B&amp;盘货信息!$C:$C,盘货信息!$R:$R)="","",_xlfn.XLOOKUP(A249&amp;B249&amp;C249,盘货信息!$A:$A&amp;盘货信息!$B:$B&amp;盘货信息!$C:$C,盘货信息!$R:$R)&amp;"元优惠卷"))</f>
        <v/>
      </c>
      <c r="J249" s="18" t="str">
        <f t="array" ref="J249">IF(C249="","",IF(_xlfn.XLOOKUP(A249&amp;B249&amp;C249,盘货信息!$A:$A&amp;盘货信息!$B:$B&amp;盘货信息!$C:$C,盘货信息!$K:$K)="","",IF(OR(_xlfn.XLOOKUP(A249&amp;B249&amp;C249,盘货信息!$A:$A&amp;盘货信息!$B:$B&amp;盘货信息!$C:$C,盘货信息!$G:$G)="参加",_xlfn.XLOOKUP(A249&amp;B249&amp;C249,盘货信息!$A:$A&amp;盘货信息!$B:$B&amp;盘货信息!$C:$C,盘货信息!$H:$H)="1（纯自补）"),_xlfn.XLOOKUP(A249&amp;B249&amp;C249,盘货信息!$A:$A&amp;盘货信息!$B:$B&amp;盘货信息!$C:$C,盘货信息!$K:$K)&amp;"元以旧换新（可无旧机换新）","")))</f>
        <v/>
      </c>
      <c r="K249" s="18" t="str">
        <f t="array" ref="K249">IF(C249="","",IF(_xlfn.XLOOKUP(A249&amp;B249&amp;C249,盘货信息!$A:$A&amp;盘货信息!$B:$B&amp;盘货信息!$C:$C,盘货信息!$L:$L)="","",_xlfn.XLOOKUP(A249&amp;B249&amp;C249,盘货信息!$A:$A&amp;盘货信息!$B:$B&amp;盘货信息!$C:$C,盘货信息!$L:$L)&amp;"元限时补贴"))</f>
        <v/>
      </c>
      <c r="L249" s="18" t="str">
        <f t="array" ref="L249">IF(C249="","",IF(_xlfn.XLOOKUP(A249&amp;B249&amp;C249,盘货信息!$A:$A&amp;盘货信息!$B:$B&amp;盘货信息!$C:$C,盘货信息!$M:$M)="","",_xlfn.XLOOKUP(A249&amp;B249&amp;C249,盘货信息!$A:$A&amp;盘货信息!$B:$B&amp;盘货信息!$C:$C,盘货信息!$M:$M)&amp;"元消费券"))</f>
        <v/>
      </c>
      <c r="M249" s="18" t="str">
        <f t="array" ref="M249">IF(C249="","",IF(_xlfn.XLOOKUP(A249&amp;B249&amp;C249,盘货信息!$A:$A&amp;盘货信息!$B:$B&amp;盘货信息!$C:$C,盘货信息!$G:$G)="不参加","","焕新补贴优惠【全民可用，不限地址】"))</f>
        <v/>
      </c>
    </row>
    <row r="250" customHeight="1" spans="1:13">
      <c r="A250" s="17" t="str">
        <f>IF(盘货信息!A250="","",盘货信息!A250)</f>
        <v/>
      </c>
      <c r="B250" s="17" t="str">
        <f>IF(盘货信息!B250="","",盘货信息!B250)</f>
        <v/>
      </c>
      <c r="C250" s="18" t="str">
        <f>IF(盘货信息!C250="","",盘货信息!C250)</f>
        <v/>
      </c>
      <c r="D250" s="18" t="str">
        <f t="shared" si="3"/>
        <v/>
      </c>
      <c r="E250" s="18" t="str">
        <f t="array" ref="E250">IF(C250="","",IF(_xlfn.XLOOKUP(A250&amp;B250&amp;C250,盘货信息!$A:$A&amp;盘货信息!$B:$B&amp;盘货信息!$C:$C,盘货信息!$N:$N)="","【立减到手价"&amp;_xlfn.XLOOKUP(A250&amp;B250&amp;C250,盘货信息!$A:$A&amp;盘货信息!$B:$B&amp;盘货信息!$C:$C,盘货信息!$F:$F)&amp;"元】","【焕新补贴预估价"&amp;_xlfn.XLOOKUP(A250&amp;B250&amp;C250,盘货信息!$A:$A&amp;盘货信息!$B:$B&amp;盘货信息!$C:$C,盘货信息!$N:$N)&amp;"元】"))</f>
        <v/>
      </c>
      <c r="F250" s="18" t="str">
        <f t="array" ref="F250">IF(C250="","",_xlfn.XLOOKUP(A250&amp;B250&amp;C250,盘货信息!$A:$A&amp;盘货信息!$B:$B&amp;盘货信息!$C:$C,盘货信息!$E:$E)&amp;"元到手价")</f>
        <v/>
      </c>
      <c r="G250" s="18" t="str">
        <f t="array" ref="G250">IF(C250="","",IF(_xlfn.XLOOKUP(A250&amp;B250&amp;C250,盘货信息!$A:$A&amp;盘货信息!$B:$B&amp;盘货信息!$C:$C,盘货信息!$I:$I)="","","88VIP95折"))</f>
        <v/>
      </c>
      <c r="H250" s="18" t="str">
        <f t="array" ref="H250">IF(C250="","",IF(_xlfn.XLOOKUP(A250&amp;B250&amp;C250,盘货信息!$A:$A&amp;盘货信息!$B:$B&amp;盘货信息!$C:$C,盘货信息!$J:$J)="","",_xlfn.XLOOKUP(A250&amp;B250&amp;C250,盘货信息!$A:$A&amp;盘货信息!$B:$B&amp;盘货信息!$C:$C,盘货信息!$J:$J)&amp;"元优惠卷"))</f>
        <v/>
      </c>
      <c r="I250" s="18" t="str">
        <f t="array" ref="I250">IF(C250="","",IF(_xlfn.XLOOKUP(A250&amp;B250&amp;C250,盘货信息!$A:$A&amp;盘货信息!$B:$B&amp;盘货信息!$C:$C,盘货信息!$R:$R)="","",_xlfn.XLOOKUP(A250&amp;B250&amp;C250,盘货信息!$A:$A&amp;盘货信息!$B:$B&amp;盘货信息!$C:$C,盘货信息!$R:$R)&amp;"元优惠卷"))</f>
        <v/>
      </c>
      <c r="J250" s="18" t="str">
        <f t="array" ref="J250">IF(C250="","",IF(_xlfn.XLOOKUP(A250&amp;B250&amp;C250,盘货信息!$A:$A&amp;盘货信息!$B:$B&amp;盘货信息!$C:$C,盘货信息!$K:$K)="","",IF(OR(_xlfn.XLOOKUP(A250&amp;B250&amp;C250,盘货信息!$A:$A&amp;盘货信息!$B:$B&amp;盘货信息!$C:$C,盘货信息!$G:$G)="参加",_xlfn.XLOOKUP(A250&amp;B250&amp;C250,盘货信息!$A:$A&amp;盘货信息!$B:$B&amp;盘货信息!$C:$C,盘货信息!$H:$H)="1（纯自补）"),_xlfn.XLOOKUP(A250&amp;B250&amp;C250,盘货信息!$A:$A&amp;盘货信息!$B:$B&amp;盘货信息!$C:$C,盘货信息!$K:$K)&amp;"元以旧换新（可无旧机换新）","")))</f>
        <v/>
      </c>
      <c r="K250" s="18" t="str">
        <f t="array" ref="K250">IF(C250="","",IF(_xlfn.XLOOKUP(A250&amp;B250&amp;C250,盘货信息!$A:$A&amp;盘货信息!$B:$B&amp;盘货信息!$C:$C,盘货信息!$L:$L)="","",_xlfn.XLOOKUP(A250&amp;B250&amp;C250,盘货信息!$A:$A&amp;盘货信息!$B:$B&amp;盘货信息!$C:$C,盘货信息!$L:$L)&amp;"元限时补贴"))</f>
        <v/>
      </c>
      <c r="L250" s="18" t="str">
        <f t="array" ref="L250">IF(C250="","",IF(_xlfn.XLOOKUP(A250&amp;B250&amp;C250,盘货信息!$A:$A&amp;盘货信息!$B:$B&amp;盘货信息!$C:$C,盘货信息!$M:$M)="","",_xlfn.XLOOKUP(A250&amp;B250&amp;C250,盘货信息!$A:$A&amp;盘货信息!$B:$B&amp;盘货信息!$C:$C,盘货信息!$M:$M)&amp;"元消费券"))</f>
        <v/>
      </c>
      <c r="M250" s="18" t="str">
        <f t="array" ref="M250">IF(C250="","",IF(_xlfn.XLOOKUP(A250&amp;B250&amp;C250,盘货信息!$A:$A&amp;盘货信息!$B:$B&amp;盘货信息!$C:$C,盘货信息!$G:$G)="不参加","","焕新补贴优惠【全民可用，不限地址】"))</f>
        <v/>
      </c>
    </row>
    <row r="251" customHeight="1" spans="1:13">
      <c r="A251" s="17" t="str">
        <f>IF(盘货信息!A251="","",盘货信息!A251)</f>
        <v/>
      </c>
      <c r="B251" s="17" t="str">
        <f>IF(盘货信息!B251="","",盘货信息!B251)</f>
        <v/>
      </c>
      <c r="C251" s="18" t="str">
        <f>IF(盘货信息!C251="","",盘货信息!C251)</f>
        <v/>
      </c>
      <c r="D251" s="18" t="str">
        <f t="shared" si="3"/>
        <v/>
      </c>
      <c r="E251" s="18" t="str">
        <f t="array" ref="E251">IF(C251="","",IF(_xlfn.XLOOKUP(A251&amp;B251&amp;C251,盘货信息!$A:$A&amp;盘货信息!$B:$B&amp;盘货信息!$C:$C,盘货信息!$N:$N)="","【立减到手价"&amp;_xlfn.XLOOKUP(A251&amp;B251&amp;C251,盘货信息!$A:$A&amp;盘货信息!$B:$B&amp;盘货信息!$C:$C,盘货信息!$F:$F)&amp;"元】","【焕新补贴预估价"&amp;_xlfn.XLOOKUP(A251&amp;B251&amp;C251,盘货信息!$A:$A&amp;盘货信息!$B:$B&amp;盘货信息!$C:$C,盘货信息!$N:$N)&amp;"元】"))</f>
        <v/>
      </c>
      <c r="F251" s="18" t="str">
        <f t="array" ref="F251">IF(C251="","",_xlfn.XLOOKUP(A251&amp;B251&amp;C251,盘货信息!$A:$A&amp;盘货信息!$B:$B&amp;盘货信息!$C:$C,盘货信息!$E:$E)&amp;"元到手价")</f>
        <v/>
      </c>
      <c r="G251" s="18" t="str">
        <f t="array" ref="G251">IF(C251="","",IF(_xlfn.XLOOKUP(A251&amp;B251&amp;C251,盘货信息!$A:$A&amp;盘货信息!$B:$B&amp;盘货信息!$C:$C,盘货信息!$I:$I)="","","88VIP95折"))</f>
        <v/>
      </c>
      <c r="H251" s="18" t="str">
        <f t="array" ref="H251">IF(C251="","",IF(_xlfn.XLOOKUP(A251&amp;B251&amp;C251,盘货信息!$A:$A&amp;盘货信息!$B:$B&amp;盘货信息!$C:$C,盘货信息!$J:$J)="","",_xlfn.XLOOKUP(A251&amp;B251&amp;C251,盘货信息!$A:$A&amp;盘货信息!$B:$B&amp;盘货信息!$C:$C,盘货信息!$J:$J)&amp;"元优惠卷"))</f>
        <v/>
      </c>
      <c r="I251" s="18" t="str">
        <f t="array" ref="I251">IF(C251="","",IF(_xlfn.XLOOKUP(A251&amp;B251&amp;C251,盘货信息!$A:$A&amp;盘货信息!$B:$B&amp;盘货信息!$C:$C,盘货信息!$R:$R)="","",_xlfn.XLOOKUP(A251&amp;B251&amp;C251,盘货信息!$A:$A&amp;盘货信息!$B:$B&amp;盘货信息!$C:$C,盘货信息!$R:$R)&amp;"元优惠卷"))</f>
        <v/>
      </c>
      <c r="J251" s="18" t="str">
        <f t="array" ref="J251">IF(C251="","",IF(_xlfn.XLOOKUP(A251&amp;B251&amp;C251,盘货信息!$A:$A&amp;盘货信息!$B:$B&amp;盘货信息!$C:$C,盘货信息!$K:$K)="","",IF(OR(_xlfn.XLOOKUP(A251&amp;B251&amp;C251,盘货信息!$A:$A&amp;盘货信息!$B:$B&amp;盘货信息!$C:$C,盘货信息!$G:$G)="参加",_xlfn.XLOOKUP(A251&amp;B251&amp;C251,盘货信息!$A:$A&amp;盘货信息!$B:$B&amp;盘货信息!$C:$C,盘货信息!$H:$H)="1（纯自补）"),_xlfn.XLOOKUP(A251&amp;B251&amp;C251,盘货信息!$A:$A&amp;盘货信息!$B:$B&amp;盘货信息!$C:$C,盘货信息!$K:$K)&amp;"元以旧换新（可无旧机换新）","")))</f>
        <v/>
      </c>
      <c r="K251" s="18" t="str">
        <f t="array" ref="K251">IF(C251="","",IF(_xlfn.XLOOKUP(A251&amp;B251&amp;C251,盘货信息!$A:$A&amp;盘货信息!$B:$B&amp;盘货信息!$C:$C,盘货信息!$L:$L)="","",_xlfn.XLOOKUP(A251&amp;B251&amp;C251,盘货信息!$A:$A&amp;盘货信息!$B:$B&amp;盘货信息!$C:$C,盘货信息!$L:$L)&amp;"元限时补贴"))</f>
        <v/>
      </c>
      <c r="L251" s="18" t="str">
        <f t="array" ref="L251">IF(C251="","",IF(_xlfn.XLOOKUP(A251&amp;B251&amp;C251,盘货信息!$A:$A&amp;盘货信息!$B:$B&amp;盘货信息!$C:$C,盘货信息!$M:$M)="","",_xlfn.XLOOKUP(A251&amp;B251&amp;C251,盘货信息!$A:$A&amp;盘货信息!$B:$B&amp;盘货信息!$C:$C,盘货信息!$M:$M)&amp;"元消费券"))</f>
        <v/>
      </c>
      <c r="M251" s="18" t="str">
        <f t="array" ref="M251">IF(C251="","",IF(_xlfn.XLOOKUP(A251&amp;B251&amp;C251,盘货信息!$A:$A&amp;盘货信息!$B:$B&amp;盘货信息!$C:$C,盘货信息!$G:$G)="不参加","","焕新补贴优惠【全民可用，不限地址】"))</f>
        <v/>
      </c>
    </row>
    <row r="252" customHeight="1" spans="1:13">
      <c r="A252" s="17" t="str">
        <f>IF(盘货信息!A252="","",盘货信息!A252)</f>
        <v/>
      </c>
      <c r="B252" s="17" t="str">
        <f>IF(盘货信息!B252="","",盘货信息!B252)</f>
        <v/>
      </c>
      <c r="C252" s="18" t="str">
        <f>IF(盘货信息!C252="","",盘货信息!C252)</f>
        <v/>
      </c>
      <c r="D252" s="18" t="str">
        <f t="shared" si="3"/>
        <v/>
      </c>
      <c r="E252" s="18" t="str">
        <f t="array" ref="E252">IF(C252="","",IF(_xlfn.XLOOKUP(A252&amp;B252&amp;C252,盘货信息!$A:$A&amp;盘货信息!$B:$B&amp;盘货信息!$C:$C,盘货信息!$N:$N)="","【立减到手价"&amp;_xlfn.XLOOKUP(A252&amp;B252&amp;C252,盘货信息!$A:$A&amp;盘货信息!$B:$B&amp;盘货信息!$C:$C,盘货信息!$F:$F)&amp;"元】","【焕新补贴预估价"&amp;_xlfn.XLOOKUP(A252&amp;B252&amp;C252,盘货信息!$A:$A&amp;盘货信息!$B:$B&amp;盘货信息!$C:$C,盘货信息!$N:$N)&amp;"元】"))</f>
        <v/>
      </c>
      <c r="F252" s="18" t="str">
        <f t="array" ref="F252">IF(C252="","",_xlfn.XLOOKUP(A252&amp;B252&amp;C252,盘货信息!$A:$A&amp;盘货信息!$B:$B&amp;盘货信息!$C:$C,盘货信息!$E:$E)&amp;"元到手价")</f>
        <v/>
      </c>
      <c r="G252" s="18" t="str">
        <f t="array" ref="G252">IF(C252="","",IF(_xlfn.XLOOKUP(A252&amp;B252&amp;C252,盘货信息!$A:$A&amp;盘货信息!$B:$B&amp;盘货信息!$C:$C,盘货信息!$I:$I)="","","88VIP95折"))</f>
        <v/>
      </c>
      <c r="H252" s="18" t="str">
        <f t="array" ref="H252">IF(C252="","",IF(_xlfn.XLOOKUP(A252&amp;B252&amp;C252,盘货信息!$A:$A&amp;盘货信息!$B:$B&amp;盘货信息!$C:$C,盘货信息!$J:$J)="","",_xlfn.XLOOKUP(A252&amp;B252&amp;C252,盘货信息!$A:$A&amp;盘货信息!$B:$B&amp;盘货信息!$C:$C,盘货信息!$J:$J)&amp;"元优惠卷"))</f>
        <v/>
      </c>
      <c r="I252" s="18" t="str">
        <f t="array" ref="I252">IF(C252="","",IF(_xlfn.XLOOKUP(A252&amp;B252&amp;C252,盘货信息!$A:$A&amp;盘货信息!$B:$B&amp;盘货信息!$C:$C,盘货信息!$R:$R)="","",_xlfn.XLOOKUP(A252&amp;B252&amp;C252,盘货信息!$A:$A&amp;盘货信息!$B:$B&amp;盘货信息!$C:$C,盘货信息!$R:$R)&amp;"元优惠卷"))</f>
        <v/>
      </c>
      <c r="J252" s="18" t="str">
        <f t="array" ref="J252">IF(C252="","",IF(_xlfn.XLOOKUP(A252&amp;B252&amp;C252,盘货信息!$A:$A&amp;盘货信息!$B:$B&amp;盘货信息!$C:$C,盘货信息!$K:$K)="","",IF(OR(_xlfn.XLOOKUP(A252&amp;B252&amp;C252,盘货信息!$A:$A&amp;盘货信息!$B:$B&amp;盘货信息!$C:$C,盘货信息!$G:$G)="参加",_xlfn.XLOOKUP(A252&amp;B252&amp;C252,盘货信息!$A:$A&amp;盘货信息!$B:$B&amp;盘货信息!$C:$C,盘货信息!$H:$H)="1（纯自补）"),_xlfn.XLOOKUP(A252&amp;B252&amp;C252,盘货信息!$A:$A&amp;盘货信息!$B:$B&amp;盘货信息!$C:$C,盘货信息!$K:$K)&amp;"元以旧换新（可无旧机换新）","")))</f>
        <v/>
      </c>
      <c r="K252" s="18" t="str">
        <f t="array" ref="K252">IF(C252="","",IF(_xlfn.XLOOKUP(A252&amp;B252&amp;C252,盘货信息!$A:$A&amp;盘货信息!$B:$B&amp;盘货信息!$C:$C,盘货信息!$L:$L)="","",_xlfn.XLOOKUP(A252&amp;B252&amp;C252,盘货信息!$A:$A&amp;盘货信息!$B:$B&amp;盘货信息!$C:$C,盘货信息!$L:$L)&amp;"元限时补贴"))</f>
        <v/>
      </c>
      <c r="L252" s="18" t="str">
        <f t="array" ref="L252">IF(C252="","",IF(_xlfn.XLOOKUP(A252&amp;B252&amp;C252,盘货信息!$A:$A&amp;盘货信息!$B:$B&amp;盘货信息!$C:$C,盘货信息!$M:$M)="","",_xlfn.XLOOKUP(A252&amp;B252&amp;C252,盘货信息!$A:$A&amp;盘货信息!$B:$B&amp;盘货信息!$C:$C,盘货信息!$M:$M)&amp;"元消费券"))</f>
        <v/>
      </c>
      <c r="M252" s="18" t="str">
        <f t="array" ref="M252">IF(C252="","",IF(_xlfn.XLOOKUP(A252&amp;B252&amp;C252,盘货信息!$A:$A&amp;盘货信息!$B:$B&amp;盘货信息!$C:$C,盘货信息!$G:$G)="不参加","","焕新补贴优惠【全民可用，不限地址】"))</f>
        <v/>
      </c>
    </row>
    <row r="253" customHeight="1" spans="1:13">
      <c r="A253" s="17" t="str">
        <f>IF(盘货信息!A253="","",盘货信息!A253)</f>
        <v/>
      </c>
      <c r="B253" s="17" t="str">
        <f>IF(盘货信息!B253="","",盘货信息!B253)</f>
        <v/>
      </c>
      <c r="C253" s="18" t="str">
        <f>IF(盘货信息!C253="","",盘货信息!C253)</f>
        <v/>
      </c>
      <c r="D253" s="18" t="str">
        <f t="shared" si="3"/>
        <v/>
      </c>
      <c r="E253" s="18" t="str">
        <f t="array" ref="E253">IF(C253="","",IF(_xlfn.XLOOKUP(A253&amp;B253&amp;C253,盘货信息!$A:$A&amp;盘货信息!$B:$B&amp;盘货信息!$C:$C,盘货信息!$N:$N)="","【立减到手价"&amp;_xlfn.XLOOKUP(A253&amp;B253&amp;C253,盘货信息!$A:$A&amp;盘货信息!$B:$B&amp;盘货信息!$C:$C,盘货信息!$F:$F)&amp;"元】","【焕新补贴预估价"&amp;_xlfn.XLOOKUP(A253&amp;B253&amp;C253,盘货信息!$A:$A&amp;盘货信息!$B:$B&amp;盘货信息!$C:$C,盘货信息!$N:$N)&amp;"元】"))</f>
        <v/>
      </c>
      <c r="F253" s="18" t="str">
        <f t="array" ref="F253">IF(C253="","",_xlfn.XLOOKUP(A253&amp;B253&amp;C253,盘货信息!$A:$A&amp;盘货信息!$B:$B&amp;盘货信息!$C:$C,盘货信息!$E:$E)&amp;"元到手价")</f>
        <v/>
      </c>
      <c r="G253" s="18" t="str">
        <f t="array" ref="G253">IF(C253="","",IF(_xlfn.XLOOKUP(A253&amp;B253&amp;C253,盘货信息!$A:$A&amp;盘货信息!$B:$B&amp;盘货信息!$C:$C,盘货信息!$I:$I)="","","88VIP95折"))</f>
        <v/>
      </c>
      <c r="H253" s="18" t="str">
        <f t="array" ref="H253">IF(C253="","",IF(_xlfn.XLOOKUP(A253&amp;B253&amp;C253,盘货信息!$A:$A&amp;盘货信息!$B:$B&amp;盘货信息!$C:$C,盘货信息!$J:$J)="","",_xlfn.XLOOKUP(A253&amp;B253&amp;C253,盘货信息!$A:$A&amp;盘货信息!$B:$B&amp;盘货信息!$C:$C,盘货信息!$J:$J)&amp;"元优惠卷"))</f>
        <v/>
      </c>
      <c r="I253" s="18" t="str">
        <f t="array" ref="I253">IF(C253="","",IF(_xlfn.XLOOKUP(A253&amp;B253&amp;C253,盘货信息!$A:$A&amp;盘货信息!$B:$B&amp;盘货信息!$C:$C,盘货信息!$R:$R)="","",_xlfn.XLOOKUP(A253&amp;B253&amp;C253,盘货信息!$A:$A&amp;盘货信息!$B:$B&amp;盘货信息!$C:$C,盘货信息!$R:$R)&amp;"元优惠卷"))</f>
        <v/>
      </c>
      <c r="J253" s="18" t="str">
        <f t="array" ref="J253">IF(C253="","",IF(_xlfn.XLOOKUP(A253&amp;B253&amp;C253,盘货信息!$A:$A&amp;盘货信息!$B:$B&amp;盘货信息!$C:$C,盘货信息!$K:$K)="","",IF(OR(_xlfn.XLOOKUP(A253&amp;B253&amp;C253,盘货信息!$A:$A&amp;盘货信息!$B:$B&amp;盘货信息!$C:$C,盘货信息!$G:$G)="参加",_xlfn.XLOOKUP(A253&amp;B253&amp;C253,盘货信息!$A:$A&amp;盘货信息!$B:$B&amp;盘货信息!$C:$C,盘货信息!$H:$H)="1（纯自补）"),_xlfn.XLOOKUP(A253&amp;B253&amp;C253,盘货信息!$A:$A&amp;盘货信息!$B:$B&amp;盘货信息!$C:$C,盘货信息!$K:$K)&amp;"元以旧换新（可无旧机换新）","")))</f>
        <v/>
      </c>
      <c r="K253" s="18" t="str">
        <f t="array" ref="K253">IF(C253="","",IF(_xlfn.XLOOKUP(A253&amp;B253&amp;C253,盘货信息!$A:$A&amp;盘货信息!$B:$B&amp;盘货信息!$C:$C,盘货信息!$L:$L)="","",_xlfn.XLOOKUP(A253&amp;B253&amp;C253,盘货信息!$A:$A&amp;盘货信息!$B:$B&amp;盘货信息!$C:$C,盘货信息!$L:$L)&amp;"元限时补贴"))</f>
        <v/>
      </c>
      <c r="L253" s="18" t="str">
        <f t="array" ref="L253">IF(C253="","",IF(_xlfn.XLOOKUP(A253&amp;B253&amp;C253,盘货信息!$A:$A&amp;盘货信息!$B:$B&amp;盘货信息!$C:$C,盘货信息!$M:$M)="","",_xlfn.XLOOKUP(A253&amp;B253&amp;C253,盘货信息!$A:$A&amp;盘货信息!$B:$B&amp;盘货信息!$C:$C,盘货信息!$M:$M)&amp;"元消费券"))</f>
        <v/>
      </c>
      <c r="M253" s="18" t="str">
        <f t="array" ref="M253">IF(C253="","",IF(_xlfn.XLOOKUP(A253&amp;B253&amp;C253,盘货信息!$A:$A&amp;盘货信息!$B:$B&amp;盘货信息!$C:$C,盘货信息!$G:$G)="不参加","","焕新补贴优惠【全民可用，不限地址】"))</f>
        <v/>
      </c>
    </row>
    <row r="254" customHeight="1" spans="1:13">
      <c r="A254" s="17" t="str">
        <f>IF(盘货信息!A254="","",盘货信息!A254)</f>
        <v/>
      </c>
      <c r="B254" s="17" t="str">
        <f>IF(盘货信息!B254="","",盘货信息!B254)</f>
        <v/>
      </c>
      <c r="C254" s="18" t="str">
        <f>IF(盘货信息!C254="","",盘货信息!C254)</f>
        <v/>
      </c>
      <c r="D254" s="18" t="str">
        <f t="shared" si="3"/>
        <v/>
      </c>
      <c r="E254" s="18" t="str">
        <f t="array" ref="E254">IF(C254="","",IF(_xlfn.XLOOKUP(A254&amp;B254&amp;C254,盘货信息!$A:$A&amp;盘货信息!$B:$B&amp;盘货信息!$C:$C,盘货信息!$N:$N)="","【立减到手价"&amp;_xlfn.XLOOKUP(A254&amp;B254&amp;C254,盘货信息!$A:$A&amp;盘货信息!$B:$B&amp;盘货信息!$C:$C,盘货信息!$F:$F)&amp;"元】","【焕新补贴预估价"&amp;_xlfn.XLOOKUP(A254&amp;B254&amp;C254,盘货信息!$A:$A&amp;盘货信息!$B:$B&amp;盘货信息!$C:$C,盘货信息!$N:$N)&amp;"元】"))</f>
        <v/>
      </c>
      <c r="F254" s="18" t="str">
        <f t="array" ref="F254">IF(C254="","",_xlfn.XLOOKUP(A254&amp;B254&amp;C254,盘货信息!$A:$A&amp;盘货信息!$B:$B&amp;盘货信息!$C:$C,盘货信息!$E:$E)&amp;"元到手价")</f>
        <v/>
      </c>
      <c r="G254" s="18" t="str">
        <f t="array" ref="G254">IF(C254="","",IF(_xlfn.XLOOKUP(A254&amp;B254&amp;C254,盘货信息!$A:$A&amp;盘货信息!$B:$B&amp;盘货信息!$C:$C,盘货信息!$I:$I)="","","88VIP95折"))</f>
        <v/>
      </c>
      <c r="H254" s="18" t="str">
        <f t="array" ref="H254">IF(C254="","",IF(_xlfn.XLOOKUP(A254&amp;B254&amp;C254,盘货信息!$A:$A&amp;盘货信息!$B:$B&amp;盘货信息!$C:$C,盘货信息!$J:$J)="","",_xlfn.XLOOKUP(A254&amp;B254&amp;C254,盘货信息!$A:$A&amp;盘货信息!$B:$B&amp;盘货信息!$C:$C,盘货信息!$J:$J)&amp;"元优惠卷"))</f>
        <v/>
      </c>
      <c r="I254" s="18" t="str">
        <f t="array" ref="I254">IF(C254="","",IF(_xlfn.XLOOKUP(A254&amp;B254&amp;C254,盘货信息!$A:$A&amp;盘货信息!$B:$B&amp;盘货信息!$C:$C,盘货信息!$R:$R)="","",_xlfn.XLOOKUP(A254&amp;B254&amp;C254,盘货信息!$A:$A&amp;盘货信息!$B:$B&amp;盘货信息!$C:$C,盘货信息!$R:$R)&amp;"元优惠卷"))</f>
        <v/>
      </c>
      <c r="J254" s="18" t="str">
        <f t="array" ref="J254">IF(C254="","",IF(_xlfn.XLOOKUP(A254&amp;B254&amp;C254,盘货信息!$A:$A&amp;盘货信息!$B:$B&amp;盘货信息!$C:$C,盘货信息!$K:$K)="","",IF(OR(_xlfn.XLOOKUP(A254&amp;B254&amp;C254,盘货信息!$A:$A&amp;盘货信息!$B:$B&amp;盘货信息!$C:$C,盘货信息!$G:$G)="参加",_xlfn.XLOOKUP(A254&amp;B254&amp;C254,盘货信息!$A:$A&amp;盘货信息!$B:$B&amp;盘货信息!$C:$C,盘货信息!$H:$H)="1（纯自补）"),_xlfn.XLOOKUP(A254&amp;B254&amp;C254,盘货信息!$A:$A&amp;盘货信息!$B:$B&amp;盘货信息!$C:$C,盘货信息!$K:$K)&amp;"元以旧换新（可无旧机换新）","")))</f>
        <v/>
      </c>
      <c r="K254" s="18" t="str">
        <f t="array" ref="K254">IF(C254="","",IF(_xlfn.XLOOKUP(A254&amp;B254&amp;C254,盘货信息!$A:$A&amp;盘货信息!$B:$B&amp;盘货信息!$C:$C,盘货信息!$L:$L)="","",_xlfn.XLOOKUP(A254&amp;B254&amp;C254,盘货信息!$A:$A&amp;盘货信息!$B:$B&amp;盘货信息!$C:$C,盘货信息!$L:$L)&amp;"元限时补贴"))</f>
        <v/>
      </c>
      <c r="L254" s="18" t="str">
        <f t="array" ref="L254">IF(C254="","",IF(_xlfn.XLOOKUP(A254&amp;B254&amp;C254,盘货信息!$A:$A&amp;盘货信息!$B:$B&amp;盘货信息!$C:$C,盘货信息!$M:$M)="","",_xlfn.XLOOKUP(A254&amp;B254&amp;C254,盘货信息!$A:$A&amp;盘货信息!$B:$B&amp;盘货信息!$C:$C,盘货信息!$M:$M)&amp;"元消费券"))</f>
        <v/>
      </c>
      <c r="M254" s="18" t="str">
        <f t="array" ref="M254">IF(C254="","",IF(_xlfn.XLOOKUP(A254&amp;B254&amp;C254,盘货信息!$A:$A&amp;盘货信息!$B:$B&amp;盘货信息!$C:$C,盘货信息!$G:$G)="不参加","","焕新补贴优惠【全民可用，不限地址】"))</f>
        <v/>
      </c>
    </row>
    <row r="255" customHeight="1" spans="1:13">
      <c r="A255" s="17" t="str">
        <f>IF(盘货信息!A255="","",盘货信息!A255)</f>
        <v/>
      </c>
      <c r="B255" s="17" t="str">
        <f>IF(盘货信息!B255="","",盘货信息!B255)</f>
        <v/>
      </c>
      <c r="C255" s="18" t="str">
        <f>IF(盘货信息!C255="","",盘货信息!C255)</f>
        <v/>
      </c>
      <c r="D255" s="18" t="str">
        <f t="shared" si="3"/>
        <v/>
      </c>
      <c r="E255" s="18" t="str">
        <f t="array" ref="E255">IF(C255="","",IF(_xlfn.XLOOKUP(A255&amp;B255&amp;C255,盘货信息!$A:$A&amp;盘货信息!$B:$B&amp;盘货信息!$C:$C,盘货信息!$N:$N)="","【立减到手价"&amp;_xlfn.XLOOKUP(A255&amp;B255&amp;C255,盘货信息!$A:$A&amp;盘货信息!$B:$B&amp;盘货信息!$C:$C,盘货信息!$F:$F)&amp;"元】","【焕新补贴预估价"&amp;_xlfn.XLOOKUP(A255&amp;B255&amp;C255,盘货信息!$A:$A&amp;盘货信息!$B:$B&amp;盘货信息!$C:$C,盘货信息!$N:$N)&amp;"元】"))</f>
        <v/>
      </c>
      <c r="F255" s="18" t="str">
        <f t="array" ref="F255">IF(C255="","",_xlfn.XLOOKUP(A255&amp;B255&amp;C255,盘货信息!$A:$A&amp;盘货信息!$B:$B&amp;盘货信息!$C:$C,盘货信息!$E:$E)&amp;"元到手价")</f>
        <v/>
      </c>
      <c r="G255" s="18" t="str">
        <f t="array" ref="G255">IF(C255="","",IF(_xlfn.XLOOKUP(A255&amp;B255&amp;C255,盘货信息!$A:$A&amp;盘货信息!$B:$B&amp;盘货信息!$C:$C,盘货信息!$I:$I)="","","88VIP95折"))</f>
        <v/>
      </c>
      <c r="H255" s="18" t="str">
        <f t="array" ref="H255">IF(C255="","",IF(_xlfn.XLOOKUP(A255&amp;B255&amp;C255,盘货信息!$A:$A&amp;盘货信息!$B:$B&amp;盘货信息!$C:$C,盘货信息!$J:$J)="","",_xlfn.XLOOKUP(A255&amp;B255&amp;C255,盘货信息!$A:$A&amp;盘货信息!$B:$B&amp;盘货信息!$C:$C,盘货信息!$J:$J)&amp;"元优惠卷"))</f>
        <v/>
      </c>
      <c r="I255" s="18" t="str">
        <f t="array" ref="I255">IF(C255="","",IF(_xlfn.XLOOKUP(A255&amp;B255&amp;C255,盘货信息!$A:$A&amp;盘货信息!$B:$B&amp;盘货信息!$C:$C,盘货信息!$R:$R)="","",_xlfn.XLOOKUP(A255&amp;B255&amp;C255,盘货信息!$A:$A&amp;盘货信息!$B:$B&amp;盘货信息!$C:$C,盘货信息!$R:$R)&amp;"元优惠卷"))</f>
        <v/>
      </c>
      <c r="J255" s="18" t="str">
        <f t="array" ref="J255">IF(C255="","",IF(_xlfn.XLOOKUP(A255&amp;B255&amp;C255,盘货信息!$A:$A&amp;盘货信息!$B:$B&amp;盘货信息!$C:$C,盘货信息!$K:$K)="","",IF(OR(_xlfn.XLOOKUP(A255&amp;B255&amp;C255,盘货信息!$A:$A&amp;盘货信息!$B:$B&amp;盘货信息!$C:$C,盘货信息!$G:$G)="参加",_xlfn.XLOOKUP(A255&amp;B255&amp;C255,盘货信息!$A:$A&amp;盘货信息!$B:$B&amp;盘货信息!$C:$C,盘货信息!$H:$H)="1（纯自补）"),_xlfn.XLOOKUP(A255&amp;B255&amp;C255,盘货信息!$A:$A&amp;盘货信息!$B:$B&amp;盘货信息!$C:$C,盘货信息!$K:$K)&amp;"元以旧换新（可无旧机换新）","")))</f>
        <v/>
      </c>
      <c r="K255" s="18" t="str">
        <f t="array" ref="K255">IF(C255="","",IF(_xlfn.XLOOKUP(A255&amp;B255&amp;C255,盘货信息!$A:$A&amp;盘货信息!$B:$B&amp;盘货信息!$C:$C,盘货信息!$L:$L)="","",_xlfn.XLOOKUP(A255&amp;B255&amp;C255,盘货信息!$A:$A&amp;盘货信息!$B:$B&amp;盘货信息!$C:$C,盘货信息!$L:$L)&amp;"元限时补贴"))</f>
        <v/>
      </c>
      <c r="L255" s="18" t="str">
        <f t="array" ref="L255">IF(C255="","",IF(_xlfn.XLOOKUP(A255&amp;B255&amp;C255,盘货信息!$A:$A&amp;盘货信息!$B:$B&amp;盘货信息!$C:$C,盘货信息!$M:$M)="","",_xlfn.XLOOKUP(A255&amp;B255&amp;C255,盘货信息!$A:$A&amp;盘货信息!$B:$B&amp;盘货信息!$C:$C,盘货信息!$M:$M)&amp;"元消费券"))</f>
        <v/>
      </c>
      <c r="M255" s="18" t="str">
        <f t="array" ref="M255">IF(C255="","",IF(_xlfn.XLOOKUP(A255&amp;B255&amp;C255,盘货信息!$A:$A&amp;盘货信息!$B:$B&amp;盘货信息!$C:$C,盘货信息!$G:$G)="不参加","","焕新补贴优惠【全民可用，不限地址】"))</f>
        <v/>
      </c>
    </row>
    <row r="256" customHeight="1" spans="1:13">
      <c r="A256" s="17" t="str">
        <f>IF(盘货信息!A256="","",盘货信息!A256)</f>
        <v/>
      </c>
      <c r="B256" s="17" t="str">
        <f>IF(盘货信息!B256="","",盘货信息!B256)</f>
        <v/>
      </c>
      <c r="C256" s="18" t="str">
        <f>IF(盘货信息!C256="","",盘货信息!C256)</f>
        <v/>
      </c>
      <c r="D256" s="18" t="str">
        <f t="shared" si="3"/>
        <v/>
      </c>
      <c r="E256" s="18" t="str">
        <f t="array" ref="E256">IF(C256="","",IF(_xlfn.XLOOKUP(A256&amp;B256&amp;C256,盘货信息!$A:$A&amp;盘货信息!$B:$B&amp;盘货信息!$C:$C,盘货信息!$N:$N)="","【立减到手价"&amp;_xlfn.XLOOKUP(A256&amp;B256&amp;C256,盘货信息!$A:$A&amp;盘货信息!$B:$B&amp;盘货信息!$C:$C,盘货信息!$F:$F)&amp;"元】","【焕新补贴预估价"&amp;_xlfn.XLOOKUP(A256&amp;B256&amp;C256,盘货信息!$A:$A&amp;盘货信息!$B:$B&amp;盘货信息!$C:$C,盘货信息!$N:$N)&amp;"元】"))</f>
        <v/>
      </c>
      <c r="F256" s="18" t="str">
        <f t="array" ref="F256">IF(C256="","",_xlfn.XLOOKUP(A256&amp;B256&amp;C256,盘货信息!$A:$A&amp;盘货信息!$B:$B&amp;盘货信息!$C:$C,盘货信息!$E:$E)&amp;"元到手价")</f>
        <v/>
      </c>
      <c r="G256" s="18" t="str">
        <f t="array" ref="G256">IF(C256="","",IF(_xlfn.XLOOKUP(A256&amp;B256&amp;C256,盘货信息!$A:$A&amp;盘货信息!$B:$B&amp;盘货信息!$C:$C,盘货信息!$I:$I)="","","88VIP95折"))</f>
        <v/>
      </c>
      <c r="H256" s="18" t="str">
        <f t="array" ref="H256">IF(C256="","",IF(_xlfn.XLOOKUP(A256&amp;B256&amp;C256,盘货信息!$A:$A&amp;盘货信息!$B:$B&amp;盘货信息!$C:$C,盘货信息!$J:$J)="","",_xlfn.XLOOKUP(A256&amp;B256&amp;C256,盘货信息!$A:$A&amp;盘货信息!$B:$B&amp;盘货信息!$C:$C,盘货信息!$J:$J)&amp;"元优惠卷"))</f>
        <v/>
      </c>
      <c r="I256" s="18" t="str">
        <f t="array" ref="I256">IF(C256="","",IF(_xlfn.XLOOKUP(A256&amp;B256&amp;C256,盘货信息!$A:$A&amp;盘货信息!$B:$B&amp;盘货信息!$C:$C,盘货信息!$R:$R)="","",_xlfn.XLOOKUP(A256&amp;B256&amp;C256,盘货信息!$A:$A&amp;盘货信息!$B:$B&amp;盘货信息!$C:$C,盘货信息!$R:$R)&amp;"元优惠卷"))</f>
        <v/>
      </c>
      <c r="J256" s="18" t="str">
        <f t="array" ref="J256">IF(C256="","",IF(_xlfn.XLOOKUP(A256&amp;B256&amp;C256,盘货信息!$A:$A&amp;盘货信息!$B:$B&amp;盘货信息!$C:$C,盘货信息!$K:$K)="","",IF(OR(_xlfn.XLOOKUP(A256&amp;B256&amp;C256,盘货信息!$A:$A&amp;盘货信息!$B:$B&amp;盘货信息!$C:$C,盘货信息!$G:$G)="参加",_xlfn.XLOOKUP(A256&amp;B256&amp;C256,盘货信息!$A:$A&amp;盘货信息!$B:$B&amp;盘货信息!$C:$C,盘货信息!$H:$H)="1（纯自补）"),_xlfn.XLOOKUP(A256&amp;B256&amp;C256,盘货信息!$A:$A&amp;盘货信息!$B:$B&amp;盘货信息!$C:$C,盘货信息!$K:$K)&amp;"元以旧换新（可无旧机换新）","")))</f>
        <v/>
      </c>
      <c r="K256" s="18" t="str">
        <f t="array" ref="K256">IF(C256="","",IF(_xlfn.XLOOKUP(A256&amp;B256&amp;C256,盘货信息!$A:$A&amp;盘货信息!$B:$B&amp;盘货信息!$C:$C,盘货信息!$L:$L)="","",_xlfn.XLOOKUP(A256&amp;B256&amp;C256,盘货信息!$A:$A&amp;盘货信息!$B:$B&amp;盘货信息!$C:$C,盘货信息!$L:$L)&amp;"元限时补贴"))</f>
        <v/>
      </c>
      <c r="L256" s="18" t="str">
        <f t="array" ref="L256">IF(C256="","",IF(_xlfn.XLOOKUP(A256&amp;B256&amp;C256,盘货信息!$A:$A&amp;盘货信息!$B:$B&amp;盘货信息!$C:$C,盘货信息!$M:$M)="","",_xlfn.XLOOKUP(A256&amp;B256&amp;C256,盘货信息!$A:$A&amp;盘货信息!$B:$B&amp;盘货信息!$C:$C,盘货信息!$M:$M)&amp;"元消费券"))</f>
        <v/>
      </c>
      <c r="M256" s="18" t="str">
        <f t="array" ref="M256">IF(C256="","",IF(_xlfn.XLOOKUP(A256&amp;B256&amp;C256,盘货信息!$A:$A&amp;盘货信息!$B:$B&amp;盘货信息!$C:$C,盘货信息!$G:$G)="不参加","","焕新补贴优惠【全民可用，不限地址】"))</f>
        <v/>
      </c>
    </row>
    <row r="257" customHeight="1" spans="1:13">
      <c r="A257" s="17" t="str">
        <f>IF(盘货信息!A257="","",盘货信息!A257)</f>
        <v/>
      </c>
      <c r="B257" s="17" t="str">
        <f>IF(盘货信息!B257="","",盘货信息!B257)</f>
        <v/>
      </c>
      <c r="C257" s="18" t="str">
        <f>IF(盘货信息!C257="","",盘货信息!C257)</f>
        <v/>
      </c>
      <c r="D257" s="18" t="str">
        <f t="shared" si="3"/>
        <v/>
      </c>
      <c r="E257" s="18" t="str">
        <f t="array" ref="E257">IF(C257="","",IF(_xlfn.XLOOKUP(A257&amp;B257&amp;C257,盘货信息!$A:$A&amp;盘货信息!$B:$B&amp;盘货信息!$C:$C,盘货信息!$N:$N)="","【立减到手价"&amp;_xlfn.XLOOKUP(A257&amp;B257&amp;C257,盘货信息!$A:$A&amp;盘货信息!$B:$B&amp;盘货信息!$C:$C,盘货信息!$F:$F)&amp;"元】","【焕新补贴预估价"&amp;_xlfn.XLOOKUP(A257&amp;B257&amp;C257,盘货信息!$A:$A&amp;盘货信息!$B:$B&amp;盘货信息!$C:$C,盘货信息!$N:$N)&amp;"元】"))</f>
        <v/>
      </c>
      <c r="F257" s="18" t="str">
        <f t="array" ref="F257">IF(C257="","",_xlfn.XLOOKUP(A257&amp;B257&amp;C257,盘货信息!$A:$A&amp;盘货信息!$B:$B&amp;盘货信息!$C:$C,盘货信息!$E:$E)&amp;"元到手价")</f>
        <v/>
      </c>
      <c r="G257" s="18" t="str">
        <f t="array" ref="G257">IF(C257="","",IF(_xlfn.XLOOKUP(A257&amp;B257&amp;C257,盘货信息!$A:$A&amp;盘货信息!$B:$B&amp;盘货信息!$C:$C,盘货信息!$I:$I)="","","88VIP95折"))</f>
        <v/>
      </c>
      <c r="H257" s="18" t="str">
        <f t="array" ref="H257">IF(C257="","",IF(_xlfn.XLOOKUP(A257&amp;B257&amp;C257,盘货信息!$A:$A&amp;盘货信息!$B:$B&amp;盘货信息!$C:$C,盘货信息!$J:$J)="","",_xlfn.XLOOKUP(A257&amp;B257&amp;C257,盘货信息!$A:$A&amp;盘货信息!$B:$B&amp;盘货信息!$C:$C,盘货信息!$J:$J)&amp;"元优惠卷"))</f>
        <v/>
      </c>
      <c r="I257" s="18" t="str">
        <f t="array" ref="I257">IF(C257="","",IF(_xlfn.XLOOKUP(A257&amp;B257&amp;C257,盘货信息!$A:$A&amp;盘货信息!$B:$B&amp;盘货信息!$C:$C,盘货信息!$R:$R)="","",_xlfn.XLOOKUP(A257&amp;B257&amp;C257,盘货信息!$A:$A&amp;盘货信息!$B:$B&amp;盘货信息!$C:$C,盘货信息!$R:$R)&amp;"元优惠卷"))</f>
        <v/>
      </c>
      <c r="J257" s="18" t="str">
        <f t="array" ref="J257">IF(C257="","",IF(_xlfn.XLOOKUP(A257&amp;B257&amp;C257,盘货信息!$A:$A&amp;盘货信息!$B:$B&amp;盘货信息!$C:$C,盘货信息!$K:$K)="","",IF(OR(_xlfn.XLOOKUP(A257&amp;B257&amp;C257,盘货信息!$A:$A&amp;盘货信息!$B:$B&amp;盘货信息!$C:$C,盘货信息!$G:$G)="参加",_xlfn.XLOOKUP(A257&amp;B257&amp;C257,盘货信息!$A:$A&amp;盘货信息!$B:$B&amp;盘货信息!$C:$C,盘货信息!$H:$H)="1（纯自补）"),_xlfn.XLOOKUP(A257&amp;B257&amp;C257,盘货信息!$A:$A&amp;盘货信息!$B:$B&amp;盘货信息!$C:$C,盘货信息!$K:$K)&amp;"元以旧换新（可无旧机换新）","")))</f>
        <v/>
      </c>
      <c r="K257" s="18" t="str">
        <f t="array" ref="K257">IF(C257="","",IF(_xlfn.XLOOKUP(A257&amp;B257&amp;C257,盘货信息!$A:$A&amp;盘货信息!$B:$B&amp;盘货信息!$C:$C,盘货信息!$L:$L)="","",_xlfn.XLOOKUP(A257&amp;B257&amp;C257,盘货信息!$A:$A&amp;盘货信息!$B:$B&amp;盘货信息!$C:$C,盘货信息!$L:$L)&amp;"元限时补贴"))</f>
        <v/>
      </c>
      <c r="L257" s="18" t="str">
        <f t="array" ref="L257">IF(C257="","",IF(_xlfn.XLOOKUP(A257&amp;B257&amp;C257,盘货信息!$A:$A&amp;盘货信息!$B:$B&amp;盘货信息!$C:$C,盘货信息!$M:$M)="","",_xlfn.XLOOKUP(A257&amp;B257&amp;C257,盘货信息!$A:$A&amp;盘货信息!$B:$B&amp;盘货信息!$C:$C,盘货信息!$M:$M)&amp;"元消费券"))</f>
        <v/>
      </c>
      <c r="M257" s="18" t="str">
        <f t="array" ref="M257">IF(C257="","",IF(_xlfn.XLOOKUP(A257&amp;B257&amp;C257,盘货信息!$A:$A&amp;盘货信息!$B:$B&amp;盘货信息!$C:$C,盘货信息!$G:$G)="不参加","","焕新补贴优惠【全民可用，不限地址】"))</f>
        <v/>
      </c>
    </row>
    <row r="258" customHeight="1" spans="1:13">
      <c r="A258" s="17" t="str">
        <f>IF(盘货信息!A258="","",盘货信息!A258)</f>
        <v/>
      </c>
      <c r="B258" s="17" t="str">
        <f>IF(盘货信息!B258="","",盘货信息!B258)</f>
        <v/>
      </c>
      <c r="C258" s="18" t="str">
        <f>IF(盘货信息!C258="","",盘货信息!C258)</f>
        <v/>
      </c>
      <c r="D258" s="18" t="str">
        <f t="shared" ref="D258:D321" si="4">IF(C258="","",E258&amp;"="&amp;F258&amp;IF(G258="","","-"&amp;G258)&amp;IF(H258="","","-"&amp;H258)&amp;IF(I258="","","-"&amp;I258)&amp;IF(J258="","","-"&amp;J258)&amp;IF(K258="","","-"&amp;K258)&amp;IF(L258="","","-"&amp;L258)&amp;IF(M258="","","-"&amp;M258))</f>
        <v/>
      </c>
      <c r="E258" s="18" t="str">
        <f t="array" ref="E258">IF(C258="","",IF(_xlfn.XLOOKUP(A258&amp;B258&amp;C258,盘货信息!$A:$A&amp;盘货信息!$B:$B&amp;盘货信息!$C:$C,盘货信息!$N:$N)="","【立减到手价"&amp;_xlfn.XLOOKUP(A258&amp;B258&amp;C258,盘货信息!$A:$A&amp;盘货信息!$B:$B&amp;盘货信息!$C:$C,盘货信息!$F:$F)&amp;"元】","【焕新补贴预估价"&amp;_xlfn.XLOOKUP(A258&amp;B258&amp;C258,盘货信息!$A:$A&amp;盘货信息!$B:$B&amp;盘货信息!$C:$C,盘货信息!$N:$N)&amp;"元】"))</f>
        <v/>
      </c>
      <c r="F258" s="18" t="str">
        <f t="array" ref="F258">IF(C258="","",_xlfn.XLOOKUP(A258&amp;B258&amp;C258,盘货信息!$A:$A&amp;盘货信息!$B:$B&amp;盘货信息!$C:$C,盘货信息!$E:$E)&amp;"元到手价")</f>
        <v/>
      </c>
      <c r="G258" s="18" t="str">
        <f t="array" ref="G258">IF(C258="","",IF(_xlfn.XLOOKUP(A258&amp;B258&amp;C258,盘货信息!$A:$A&amp;盘货信息!$B:$B&amp;盘货信息!$C:$C,盘货信息!$I:$I)="","","88VIP95折"))</f>
        <v/>
      </c>
      <c r="H258" s="18" t="str">
        <f t="array" ref="H258">IF(C258="","",IF(_xlfn.XLOOKUP(A258&amp;B258&amp;C258,盘货信息!$A:$A&amp;盘货信息!$B:$B&amp;盘货信息!$C:$C,盘货信息!$J:$J)="","",_xlfn.XLOOKUP(A258&amp;B258&amp;C258,盘货信息!$A:$A&amp;盘货信息!$B:$B&amp;盘货信息!$C:$C,盘货信息!$J:$J)&amp;"元优惠卷"))</f>
        <v/>
      </c>
      <c r="I258" s="18" t="str">
        <f t="array" ref="I258">IF(C258="","",IF(_xlfn.XLOOKUP(A258&amp;B258&amp;C258,盘货信息!$A:$A&amp;盘货信息!$B:$B&amp;盘货信息!$C:$C,盘货信息!$R:$R)="","",_xlfn.XLOOKUP(A258&amp;B258&amp;C258,盘货信息!$A:$A&amp;盘货信息!$B:$B&amp;盘货信息!$C:$C,盘货信息!$R:$R)&amp;"元优惠卷"))</f>
        <v/>
      </c>
      <c r="J258" s="18" t="str">
        <f t="array" ref="J258">IF(C258="","",IF(_xlfn.XLOOKUP(A258&amp;B258&amp;C258,盘货信息!$A:$A&amp;盘货信息!$B:$B&amp;盘货信息!$C:$C,盘货信息!$K:$K)="","",IF(OR(_xlfn.XLOOKUP(A258&amp;B258&amp;C258,盘货信息!$A:$A&amp;盘货信息!$B:$B&amp;盘货信息!$C:$C,盘货信息!$G:$G)="参加",_xlfn.XLOOKUP(A258&amp;B258&amp;C258,盘货信息!$A:$A&amp;盘货信息!$B:$B&amp;盘货信息!$C:$C,盘货信息!$H:$H)="1（纯自补）"),_xlfn.XLOOKUP(A258&amp;B258&amp;C258,盘货信息!$A:$A&amp;盘货信息!$B:$B&amp;盘货信息!$C:$C,盘货信息!$K:$K)&amp;"元以旧换新（可无旧机换新）","")))</f>
        <v/>
      </c>
      <c r="K258" s="18" t="str">
        <f t="array" ref="K258">IF(C258="","",IF(_xlfn.XLOOKUP(A258&amp;B258&amp;C258,盘货信息!$A:$A&amp;盘货信息!$B:$B&amp;盘货信息!$C:$C,盘货信息!$L:$L)="","",_xlfn.XLOOKUP(A258&amp;B258&amp;C258,盘货信息!$A:$A&amp;盘货信息!$B:$B&amp;盘货信息!$C:$C,盘货信息!$L:$L)&amp;"元限时补贴"))</f>
        <v/>
      </c>
      <c r="L258" s="18" t="str">
        <f t="array" ref="L258">IF(C258="","",IF(_xlfn.XLOOKUP(A258&amp;B258&amp;C258,盘货信息!$A:$A&amp;盘货信息!$B:$B&amp;盘货信息!$C:$C,盘货信息!$M:$M)="","",_xlfn.XLOOKUP(A258&amp;B258&amp;C258,盘货信息!$A:$A&amp;盘货信息!$B:$B&amp;盘货信息!$C:$C,盘货信息!$M:$M)&amp;"元消费券"))</f>
        <v/>
      </c>
      <c r="M258" s="18" t="str">
        <f t="array" ref="M258">IF(C258="","",IF(_xlfn.XLOOKUP(A258&amp;B258&amp;C258,盘货信息!$A:$A&amp;盘货信息!$B:$B&amp;盘货信息!$C:$C,盘货信息!$G:$G)="不参加","","焕新补贴优惠【全民可用，不限地址】"))</f>
        <v/>
      </c>
    </row>
    <row r="259" customHeight="1" spans="1:13">
      <c r="A259" s="17" t="str">
        <f>IF(盘货信息!A259="","",盘货信息!A259)</f>
        <v/>
      </c>
      <c r="B259" s="17" t="str">
        <f>IF(盘货信息!B259="","",盘货信息!B259)</f>
        <v/>
      </c>
      <c r="C259" s="18" t="str">
        <f>IF(盘货信息!C259="","",盘货信息!C259)</f>
        <v/>
      </c>
      <c r="D259" s="18" t="str">
        <f t="shared" si="4"/>
        <v/>
      </c>
      <c r="E259" s="18" t="str">
        <f t="array" ref="E259">IF(C259="","",IF(_xlfn.XLOOKUP(A259&amp;B259&amp;C259,盘货信息!$A:$A&amp;盘货信息!$B:$B&amp;盘货信息!$C:$C,盘货信息!$N:$N)="","【立减到手价"&amp;_xlfn.XLOOKUP(A259&amp;B259&amp;C259,盘货信息!$A:$A&amp;盘货信息!$B:$B&amp;盘货信息!$C:$C,盘货信息!$F:$F)&amp;"元】","【焕新补贴预估价"&amp;_xlfn.XLOOKUP(A259&amp;B259&amp;C259,盘货信息!$A:$A&amp;盘货信息!$B:$B&amp;盘货信息!$C:$C,盘货信息!$N:$N)&amp;"元】"))</f>
        <v/>
      </c>
      <c r="F259" s="18" t="str">
        <f t="array" ref="F259">IF(C259="","",_xlfn.XLOOKUP(A259&amp;B259&amp;C259,盘货信息!$A:$A&amp;盘货信息!$B:$B&amp;盘货信息!$C:$C,盘货信息!$E:$E)&amp;"元到手价")</f>
        <v/>
      </c>
      <c r="G259" s="18" t="str">
        <f t="array" ref="G259">IF(C259="","",IF(_xlfn.XLOOKUP(A259&amp;B259&amp;C259,盘货信息!$A:$A&amp;盘货信息!$B:$B&amp;盘货信息!$C:$C,盘货信息!$I:$I)="","","88VIP95折"))</f>
        <v/>
      </c>
      <c r="H259" s="18" t="str">
        <f t="array" ref="H259">IF(C259="","",IF(_xlfn.XLOOKUP(A259&amp;B259&amp;C259,盘货信息!$A:$A&amp;盘货信息!$B:$B&amp;盘货信息!$C:$C,盘货信息!$J:$J)="","",_xlfn.XLOOKUP(A259&amp;B259&amp;C259,盘货信息!$A:$A&amp;盘货信息!$B:$B&amp;盘货信息!$C:$C,盘货信息!$J:$J)&amp;"元优惠卷"))</f>
        <v/>
      </c>
      <c r="I259" s="18" t="str">
        <f t="array" ref="I259">IF(C259="","",IF(_xlfn.XLOOKUP(A259&amp;B259&amp;C259,盘货信息!$A:$A&amp;盘货信息!$B:$B&amp;盘货信息!$C:$C,盘货信息!$R:$R)="","",_xlfn.XLOOKUP(A259&amp;B259&amp;C259,盘货信息!$A:$A&amp;盘货信息!$B:$B&amp;盘货信息!$C:$C,盘货信息!$R:$R)&amp;"元优惠卷"))</f>
        <v/>
      </c>
      <c r="J259" s="18" t="str">
        <f t="array" ref="J259">IF(C259="","",IF(_xlfn.XLOOKUP(A259&amp;B259&amp;C259,盘货信息!$A:$A&amp;盘货信息!$B:$B&amp;盘货信息!$C:$C,盘货信息!$K:$K)="","",IF(OR(_xlfn.XLOOKUP(A259&amp;B259&amp;C259,盘货信息!$A:$A&amp;盘货信息!$B:$B&amp;盘货信息!$C:$C,盘货信息!$G:$G)="参加",_xlfn.XLOOKUP(A259&amp;B259&amp;C259,盘货信息!$A:$A&amp;盘货信息!$B:$B&amp;盘货信息!$C:$C,盘货信息!$H:$H)="1（纯自补）"),_xlfn.XLOOKUP(A259&amp;B259&amp;C259,盘货信息!$A:$A&amp;盘货信息!$B:$B&amp;盘货信息!$C:$C,盘货信息!$K:$K)&amp;"元以旧换新（可无旧机换新）","")))</f>
        <v/>
      </c>
      <c r="K259" s="18" t="str">
        <f t="array" ref="K259">IF(C259="","",IF(_xlfn.XLOOKUP(A259&amp;B259&amp;C259,盘货信息!$A:$A&amp;盘货信息!$B:$B&amp;盘货信息!$C:$C,盘货信息!$L:$L)="","",_xlfn.XLOOKUP(A259&amp;B259&amp;C259,盘货信息!$A:$A&amp;盘货信息!$B:$B&amp;盘货信息!$C:$C,盘货信息!$L:$L)&amp;"元限时补贴"))</f>
        <v/>
      </c>
      <c r="L259" s="18" t="str">
        <f t="array" ref="L259">IF(C259="","",IF(_xlfn.XLOOKUP(A259&amp;B259&amp;C259,盘货信息!$A:$A&amp;盘货信息!$B:$B&amp;盘货信息!$C:$C,盘货信息!$M:$M)="","",_xlfn.XLOOKUP(A259&amp;B259&amp;C259,盘货信息!$A:$A&amp;盘货信息!$B:$B&amp;盘货信息!$C:$C,盘货信息!$M:$M)&amp;"元消费券"))</f>
        <v/>
      </c>
      <c r="M259" s="18" t="str">
        <f t="array" ref="M259">IF(C259="","",IF(_xlfn.XLOOKUP(A259&amp;B259&amp;C259,盘货信息!$A:$A&amp;盘货信息!$B:$B&amp;盘货信息!$C:$C,盘货信息!$G:$G)="不参加","","焕新补贴优惠【全民可用，不限地址】"))</f>
        <v/>
      </c>
    </row>
    <row r="260" customHeight="1" spans="1:13">
      <c r="A260" s="17" t="str">
        <f>IF(盘货信息!A260="","",盘货信息!A260)</f>
        <v/>
      </c>
      <c r="B260" s="17" t="str">
        <f>IF(盘货信息!B260="","",盘货信息!B260)</f>
        <v/>
      </c>
      <c r="C260" s="18" t="str">
        <f>IF(盘货信息!C260="","",盘货信息!C260)</f>
        <v/>
      </c>
      <c r="D260" s="18" t="str">
        <f t="shared" si="4"/>
        <v/>
      </c>
      <c r="E260" s="18" t="str">
        <f t="array" ref="E260">IF(C260="","",IF(_xlfn.XLOOKUP(A260&amp;B260&amp;C260,盘货信息!$A:$A&amp;盘货信息!$B:$B&amp;盘货信息!$C:$C,盘货信息!$N:$N)="","【立减到手价"&amp;_xlfn.XLOOKUP(A260&amp;B260&amp;C260,盘货信息!$A:$A&amp;盘货信息!$B:$B&amp;盘货信息!$C:$C,盘货信息!$F:$F)&amp;"元】","【焕新补贴预估价"&amp;_xlfn.XLOOKUP(A260&amp;B260&amp;C260,盘货信息!$A:$A&amp;盘货信息!$B:$B&amp;盘货信息!$C:$C,盘货信息!$N:$N)&amp;"元】"))</f>
        <v/>
      </c>
      <c r="F260" s="18" t="str">
        <f t="array" ref="F260">IF(C260="","",_xlfn.XLOOKUP(A260&amp;B260&amp;C260,盘货信息!$A:$A&amp;盘货信息!$B:$B&amp;盘货信息!$C:$C,盘货信息!$E:$E)&amp;"元到手价")</f>
        <v/>
      </c>
      <c r="G260" s="18" t="str">
        <f t="array" ref="G260">IF(C260="","",IF(_xlfn.XLOOKUP(A260&amp;B260&amp;C260,盘货信息!$A:$A&amp;盘货信息!$B:$B&amp;盘货信息!$C:$C,盘货信息!$I:$I)="","","88VIP95折"))</f>
        <v/>
      </c>
      <c r="H260" s="18" t="str">
        <f t="array" ref="H260">IF(C260="","",IF(_xlfn.XLOOKUP(A260&amp;B260&amp;C260,盘货信息!$A:$A&amp;盘货信息!$B:$B&amp;盘货信息!$C:$C,盘货信息!$J:$J)="","",_xlfn.XLOOKUP(A260&amp;B260&amp;C260,盘货信息!$A:$A&amp;盘货信息!$B:$B&amp;盘货信息!$C:$C,盘货信息!$J:$J)&amp;"元优惠卷"))</f>
        <v/>
      </c>
      <c r="I260" s="18" t="str">
        <f t="array" ref="I260">IF(C260="","",IF(_xlfn.XLOOKUP(A260&amp;B260&amp;C260,盘货信息!$A:$A&amp;盘货信息!$B:$B&amp;盘货信息!$C:$C,盘货信息!$R:$R)="","",_xlfn.XLOOKUP(A260&amp;B260&amp;C260,盘货信息!$A:$A&amp;盘货信息!$B:$B&amp;盘货信息!$C:$C,盘货信息!$R:$R)&amp;"元优惠卷"))</f>
        <v/>
      </c>
      <c r="J260" s="18" t="str">
        <f t="array" ref="J260">IF(C260="","",IF(_xlfn.XLOOKUP(A260&amp;B260&amp;C260,盘货信息!$A:$A&amp;盘货信息!$B:$B&amp;盘货信息!$C:$C,盘货信息!$K:$K)="","",IF(OR(_xlfn.XLOOKUP(A260&amp;B260&amp;C260,盘货信息!$A:$A&amp;盘货信息!$B:$B&amp;盘货信息!$C:$C,盘货信息!$G:$G)="参加",_xlfn.XLOOKUP(A260&amp;B260&amp;C260,盘货信息!$A:$A&amp;盘货信息!$B:$B&amp;盘货信息!$C:$C,盘货信息!$H:$H)="1（纯自补）"),_xlfn.XLOOKUP(A260&amp;B260&amp;C260,盘货信息!$A:$A&amp;盘货信息!$B:$B&amp;盘货信息!$C:$C,盘货信息!$K:$K)&amp;"元以旧换新（可无旧机换新）","")))</f>
        <v/>
      </c>
      <c r="K260" s="18" t="str">
        <f t="array" ref="K260">IF(C260="","",IF(_xlfn.XLOOKUP(A260&amp;B260&amp;C260,盘货信息!$A:$A&amp;盘货信息!$B:$B&amp;盘货信息!$C:$C,盘货信息!$L:$L)="","",_xlfn.XLOOKUP(A260&amp;B260&amp;C260,盘货信息!$A:$A&amp;盘货信息!$B:$B&amp;盘货信息!$C:$C,盘货信息!$L:$L)&amp;"元限时补贴"))</f>
        <v/>
      </c>
      <c r="L260" s="18" t="str">
        <f t="array" ref="L260">IF(C260="","",IF(_xlfn.XLOOKUP(A260&amp;B260&amp;C260,盘货信息!$A:$A&amp;盘货信息!$B:$B&amp;盘货信息!$C:$C,盘货信息!$M:$M)="","",_xlfn.XLOOKUP(A260&amp;B260&amp;C260,盘货信息!$A:$A&amp;盘货信息!$B:$B&amp;盘货信息!$C:$C,盘货信息!$M:$M)&amp;"元消费券"))</f>
        <v/>
      </c>
      <c r="M260" s="18" t="str">
        <f t="array" ref="M260">IF(C260="","",IF(_xlfn.XLOOKUP(A260&amp;B260&amp;C260,盘货信息!$A:$A&amp;盘货信息!$B:$B&amp;盘货信息!$C:$C,盘货信息!$G:$G)="不参加","","焕新补贴优惠【全民可用，不限地址】"))</f>
        <v/>
      </c>
    </row>
    <row r="261" customHeight="1" spans="1:13">
      <c r="A261" s="17" t="str">
        <f>IF(盘货信息!A261="","",盘货信息!A261)</f>
        <v/>
      </c>
      <c r="B261" s="17" t="str">
        <f>IF(盘货信息!B261="","",盘货信息!B261)</f>
        <v/>
      </c>
      <c r="C261" s="18" t="str">
        <f>IF(盘货信息!C261="","",盘货信息!C261)</f>
        <v/>
      </c>
      <c r="D261" s="18" t="str">
        <f t="shared" si="4"/>
        <v/>
      </c>
      <c r="E261" s="18" t="str">
        <f t="array" ref="E261">IF(C261="","",IF(_xlfn.XLOOKUP(A261&amp;B261&amp;C261,盘货信息!$A:$A&amp;盘货信息!$B:$B&amp;盘货信息!$C:$C,盘货信息!$N:$N)="","【立减到手价"&amp;_xlfn.XLOOKUP(A261&amp;B261&amp;C261,盘货信息!$A:$A&amp;盘货信息!$B:$B&amp;盘货信息!$C:$C,盘货信息!$F:$F)&amp;"元】","【焕新补贴预估价"&amp;_xlfn.XLOOKUP(A261&amp;B261&amp;C261,盘货信息!$A:$A&amp;盘货信息!$B:$B&amp;盘货信息!$C:$C,盘货信息!$N:$N)&amp;"元】"))</f>
        <v/>
      </c>
      <c r="F261" s="18" t="str">
        <f t="array" ref="F261">IF(C261="","",_xlfn.XLOOKUP(A261&amp;B261&amp;C261,盘货信息!$A:$A&amp;盘货信息!$B:$B&amp;盘货信息!$C:$C,盘货信息!$E:$E)&amp;"元到手价")</f>
        <v/>
      </c>
      <c r="G261" s="18" t="str">
        <f t="array" ref="G261">IF(C261="","",IF(_xlfn.XLOOKUP(A261&amp;B261&amp;C261,盘货信息!$A:$A&amp;盘货信息!$B:$B&amp;盘货信息!$C:$C,盘货信息!$I:$I)="","","88VIP95折"))</f>
        <v/>
      </c>
      <c r="H261" s="18" t="str">
        <f t="array" ref="H261">IF(C261="","",IF(_xlfn.XLOOKUP(A261&amp;B261&amp;C261,盘货信息!$A:$A&amp;盘货信息!$B:$B&amp;盘货信息!$C:$C,盘货信息!$J:$J)="","",_xlfn.XLOOKUP(A261&amp;B261&amp;C261,盘货信息!$A:$A&amp;盘货信息!$B:$B&amp;盘货信息!$C:$C,盘货信息!$J:$J)&amp;"元优惠卷"))</f>
        <v/>
      </c>
      <c r="I261" s="18" t="str">
        <f t="array" ref="I261">IF(C261="","",IF(_xlfn.XLOOKUP(A261&amp;B261&amp;C261,盘货信息!$A:$A&amp;盘货信息!$B:$B&amp;盘货信息!$C:$C,盘货信息!$R:$R)="","",_xlfn.XLOOKUP(A261&amp;B261&amp;C261,盘货信息!$A:$A&amp;盘货信息!$B:$B&amp;盘货信息!$C:$C,盘货信息!$R:$R)&amp;"元优惠卷"))</f>
        <v/>
      </c>
      <c r="J261" s="18" t="str">
        <f t="array" ref="J261">IF(C261="","",IF(_xlfn.XLOOKUP(A261&amp;B261&amp;C261,盘货信息!$A:$A&amp;盘货信息!$B:$B&amp;盘货信息!$C:$C,盘货信息!$K:$K)="","",IF(OR(_xlfn.XLOOKUP(A261&amp;B261&amp;C261,盘货信息!$A:$A&amp;盘货信息!$B:$B&amp;盘货信息!$C:$C,盘货信息!$G:$G)="参加",_xlfn.XLOOKUP(A261&amp;B261&amp;C261,盘货信息!$A:$A&amp;盘货信息!$B:$B&amp;盘货信息!$C:$C,盘货信息!$H:$H)="1（纯自补）"),_xlfn.XLOOKUP(A261&amp;B261&amp;C261,盘货信息!$A:$A&amp;盘货信息!$B:$B&amp;盘货信息!$C:$C,盘货信息!$K:$K)&amp;"元以旧换新（可无旧机换新）","")))</f>
        <v/>
      </c>
      <c r="K261" s="18" t="str">
        <f t="array" ref="K261">IF(C261="","",IF(_xlfn.XLOOKUP(A261&amp;B261&amp;C261,盘货信息!$A:$A&amp;盘货信息!$B:$B&amp;盘货信息!$C:$C,盘货信息!$L:$L)="","",_xlfn.XLOOKUP(A261&amp;B261&amp;C261,盘货信息!$A:$A&amp;盘货信息!$B:$B&amp;盘货信息!$C:$C,盘货信息!$L:$L)&amp;"元限时补贴"))</f>
        <v/>
      </c>
      <c r="L261" s="18" t="str">
        <f t="array" ref="L261">IF(C261="","",IF(_xlfn.XLOOKUP(A261&amp;B261&amp;C261,盘货信息!$A:$A&amp;盘货信息!$B:$B&amp;盘货信息!$C:$C,盘货信息!$M:$M)="","",_xlfn.XLOOKUP(A261&amp;B261&amp;C261,盘货信息!$A:$A&amp;盘货信息!$B:$B&amp;盘货信息!$C:$C,盘货信息!$M:$M)&amp;"元消费券"))</f>
        <v/>
      </c>
      <c r="M261" s="18" t="str">
        <f t="array" ref="M261">IF(C261="","",IF(_xlfn.XLOOKUP(A261&amp;B261&amp;C261,盘货信息!$A:$A&amp;盘货信息!$B:$B&amp;盘货信息!$C:$C,盘货信息!$G:$G)="不参加","","焕新补贴优惠【全民可用，不限地址】"))</f>
        <v/>
      </c>
    </row>
    <row r="262" customHeight="1" spans="1:13">
      <c r="A262" s="17" t="str">
        <f>IF(盘货信息!A262="","",盘货信息!A262)</f>
        <v/>
      </c>
      <c r="B262" s="17" t="str">
        <f>IF(盘货信息!B262="","",盘货信息!B262)</f>
        <v/>
      </c>
      <c r="C262" s="18" t="str">
        <f>IF(盘货信息!C262="","",盘货信息!C262)</f>
        <v/>
      </c>
      <c r="D262" s="18" t="str">
        <f t="shared" si="4"/>
        <v/>
      </c>
      <c r="E262" s="18" t="str">
        <f t="array" ref="E262">IF(C262="","",IF(_xlfn.XLOOKUP(A262&amp;B262&amp;C262,盘货信息!$A:$A&amp;盘货信息!$B:$B&amp;盘货信息!$C:$C,盘货信息!$N:$N)="","【立减到手价"&amp;_xlfn.XLOOKUP(A262&amp;B262&amp;C262,盘货信息!$A:$A&amp;盘货信息!$B:$B&amp;盘货信息!$C:$C,盘货信息!$F:$F)&amp;"元】","【焕新补贴预估价"&amp;_xlfn.XLOOKUP(A262&amp;B262&amp;C262,盘货信息!$A:$A&amp;盘货信息!$B:$B&amp;盘货信息!$C:$C,盘货信息!$N:$N)&amp;"元】"))</f>
        <v/>
      </c>
      <c r="F262" s="18" t="str">
        <f t="array" ref="F262">IF(C262="","",_xlfn.XLOOKUP(A262&amp;B262&amp;C262,盘货信息!$A:$A&amp;盘货信息!$B:$B&amp;盘货信息!$C:$C,盘货信息!$E:$E)&amp;"元到手价")</f>
        <v/>
      </c>
      <c r="G262" s="18" t="str">
        <f t="array" ref="G262">IF(C262="","",IF(_xlfn.XLOOKUP(A262&amp;B262&amp;C262,盘货信息!$A:$A&amp;盘货信息!$B:$B&amp;盘货信息!$C:$C,盘货信息!$I:$I)="","","88VIP95折"))</f>
        <v/>
      </c>
      <c r="H262" s="18" t="str">
        <f t="array" ref="H262">IF(C262="","",IF(_xlfn.XLOOKUP(A262&amp;B262&amp;C262,盘货信息!$A:$A&amp;盘货信息!$B:$B&amp;盘货信息!$C:$C,盘货信息!$J:$J)="","",_xlfn.XLOOKUP(A262&amp;B262&amp;C262,盘货信息!$A:$A&amp;盘货信息!$B:$B&amp;盘货信息!$C:$C,盘货信息!$J:$J)&amp;"元优惠卷"))</f>
        <v/>
      </c>
      <c r="I262" s="18" t="str">
        <f t="array" ref="I262">IF(C262="","",IF(_xlfn.XLOOKUP(A262&amp;B262&amp;C262,盘货信息!$A:$A&amp;盘货信息!$B:$B&amp;盘货信息!$C:$C,盘货信息!$R:$R)="","",_xlfn.XLOOKUP(A262&amp;B262&amp;C262,盘货信息!$A:$A&amp;盘货信息!$B:$B&amp;盘货信息!$C:$C,盘货信息!$R:$R)&amp;"元优惠卷"))</f>
        <v/>
      </c>
      <c r="J262" s="18" t="str">
        <f t="array" ref="J262">IF(C262="","",IF(_xlfn.XLOOKUP(A262&amp;B262&amp;C262,盘货信息!$A:$A&amp;盘货信息!$B:$B&amp;盘货信息!$C:$C,盘货信息!$K:$K)="","",IF(OR(_xlfn.XLOOKUP(A262&amp;B262&amp;C262,盘货信息!$A:$A&amp;盘货信息!$B:$B&amp;盘货信息!$C:$C,盘货信息!$G:$G)="参加",_xlfn.XLOOKUP(A262&amp;B262&amp;C262,盘货信息!$A:$A&amp;盘货信息!$B:$B&amp;盘货信息!$C:$C,盘货信息!$H:$H)="1（纯自补）"),_xlfn.XLOOKUP(A262&amp;B262&amp;C262,盘货信息!$A:$A&amp;盘货信息!$B:$B&amp;盘货信息!$C:$C,盘货信息!$K:$K)&amp;"元以旧换新（可无旧机换新）","")))</f>
        <v/>
      </c>
      <c r="K262" s="18" t="str">
        <f t="array" ref="K262">IF(C262="","",IF(_xlfn.XLOOKUP(A262&amp;B262&amp;C262,盘货信息!$A:$A&amp;盘货信息!$B:$B&amp;盘货信息!$C:$C,盘货信息!$L:$L)="","",_xlfn.XLOOKUP(A262&amp;B262&amp;C262,盘货信息!$A:$A&amp;盘货信息!$B:$B&amp;盘货信息!$C:$C,盘货信息!$L:$L)&amp;"元限时补贴"))</f>
        <v/>
      </c>
      <c r="L262" s="18" t="str">
        <f t="array" ref="L262">IF(C262="","",IF(_xlfn.XLOOKUP(A262&amp;B262&amp;C262,盘货信息!$A:$A&amp;盘货信息!$B:$B&amp;盘货信息!$C:$C,盘货信息!$M:$M)="","",_xlfn.XLOOKUP(A262&amp;B262&amp;C262,盘货信息!$A:$A&amp;盘货信息!$B:$B&amp;盘货信息!$C:$C,盘货信息!$M:$M)&amp;"元消费券"))</f>
        <v/>
      </c>
      <c r="M262" s="18" t="str">
        <f t="array" ref="M262">IF(C262="","",IF(_xlfn.XLOOKUP(A262&amp;B262&amp;C262,盘货信息!$A:$A&amp;盘货信息!$B:$B&amp;盘货信息!$C:$C,盘货信息!$G:$G)="不参加","","焕新补贴优惠【全民可用，不限地址】"))</f>
        <v/>
      </c>
    </row>
    <row r="263" customHeight="1" spans="1:13">
      <c r="A263" s="17" t="str">
        <f>IF(盘货信息!A263="","",盘货信息!A263)</f>
        <v/>
      </c>
      <c r="B263" s="17" t="str">
        <f>IF(盘货信息!B263="","",盘货信息!B263)</f>
        <v/>
      </c>
      <c r="C263" s="18" t="str">
        <f>IF(盘货信息!C263="","",盘货信息!C263)</f>
        <v/>
      </c>
      <c r="D263" s="18" t="str">
        <f t="shared" si="4"/>
        <v/>
      </c>
      <c r="E263" s="18" t="str">
        <f t="array" ref="E263">IF(C263="","",IF(_xlfn.XLOOKUP(A263&amp;B263&amp;C263,盘货信息!$A:$A&amp;盘货信息!$B:$B&amp;盘货信息!$C:$C,盘货信息!$N:$N)="","【立减到手价"&amp;_xlfn.XLOOKUP(A263&amp;B263&amp;C263,盘货信息!$A:$A&amp;盘货信息!$B:$B&amp;盘货信息!$C:$C,盘货信息!$F:$F)&amp;"元】","【焕新补贴预估价"&amp;_xlfn.XLOOKUP(A263&amp;B263&amp;C263,盘货信息!$A:$A&amp;盘货信息!$B:$B&amp;盘货信息!$C:$C,盘货信息!$N:$N)&amp;"元】"))</f>
        <v/>
      </c>
      <c r="F263" s="18" t="str">
        <f t="array" ref="F263">IF(C263="","",_xlfn.XLOOKUP(A263&amp;B263&amp;C263,盘货信息!$A:$A&amp;盘货信息!$B:$B&amp;盘货信息!$C:$C,盘货信息!$E:$E)&amp;"元到手价")</f>
        <v/>
      </c>
      <c r="G263" s="18" t="str">
        <f t="array" ref="G263">IF(C263="","",IF(_xlfn.XLOOKUP(A263&amp;B263&amp;C263,盘货信息!$A:$A&amp;盘货信息!$B:$B&amp;盘货信息!$C:$C,盘货信息!$I:$I)="","","88VIP95折"))</f>
        <v/>
      </c>
      <c r="H263" s="18" t="str">
        <f t="array" ref="H263">IF(C263="","",IF(_xlfn.XLOOKUP(A263&amp;B263&amp;C263,盘货信息!$A:$A&amp;盘货信息!$B:$B&amp;盘货信息!$C:$C,盘货信息!$J:$J)="","",_xlfn.XLOOKUP(A263&amp;B263&amp;C263,盘货信息!$A:$A&amp;盘货信息!$B:$B&amp;盘货信息!$C:$C,盘货信息!$J:$J)&amp;"元优惠卷"))</f>
        <v/>
      </c>
      <c r="I263" s="18" t="str">
        <f t="array" ref="I263">IF(C263="","",IF(_xlfn.XLOOKUP(A263&amp;B263&amp;C263,盘货信息!$A:$A&amp;盘货信息!$B:$B&amp;盘货信息!$C:$C,盘货信息!$R:$R)="","",_xlfn.XLOOKUP(A263&amp;B263&amp;C263,盘货信息!$A:$A&amp;盘货信息!$B:$B&amp;盘货信息!$C:$C,盘货信息!$R:$R)&amp;"元优惠卷"))</f>
        <v/>
      </c>
      <c r="J263" s="18" t="str">
        <f t="array" ref="J263">IF(C263="","",IF(_xlfn.XLOOKUP(A263&amp;B263&amp;C263,盘货信息!$A:$A&amp;盘货信息!$B:$B&amp;盘货信息!$C:$C,盘货信息!$K:$K)="","",IF(OR(_xlfn.XLOOKUP(A263&amp;B263&amp;C263,盘货信息!$A:$A&amp;盘货信息!$B:$B&amp;盘货信息!$C:$C,盘货信息!$G:$G)="参加",_xlfn.XLOOKUP(A263&amp;B263&amp;C263,盘货信息!$A:$A&amp;盘货信息!$B:$B&amp;盘货信息!$C:$C,盘货信息!$H:$H)="1（纯自补）"),_xlfn.XLOOKUP(A263&amp;B263&amp;C263,盘货信息!$A:$A&amp;盘货信息!$B:$B&amp;盘货信息!$C:$C,盘货信息!$K:$K)&amp;"元以旧换新（可无旧机换新）","")))</f>
        <v/>
      </c>
      <c r="K263" s="18" t="str">
        <f t="array" ref="K263">IF(C263="","",IF(_xlfn.XLOOKUP(A263&amp;B263&amp;C263,盘货信息!$A:$A&amp;盘货信息!$B:$B&amp;盘货信息!$C:$C,盘货信息!$L:$L)="","",_xlfn.XLOOKUP(A263&amp;B263&amp;C263,盘货信息!$A:$A&amp;盘货信息!$B:$B&amp;盘货信息!$C:$C,盘货信息!$L:$L)&amp;"元限时补贴"))</f>
        <v/>
      </c>
      <c r="L263" s="18" t="str">
        <f t="array" ref="L263">IF(C263="","",IF(_xlfn.XLOOKUP(A263&amp;B263&amp;C263,盘货信息!$A:$A&amp;盘货信息!$B:$B&amp;盘货信息!$C:$C,盘货信息!$M:$M)="","",_xlfn.XLOOKUP(A263&amp;B263&amp;C263,盘货信息!$A:$A&amp;盘货信息!$B:$B&amp;盘货信息!$C:$C,盘货信息!$M:$M)&amp;"元消费券"))</f>
        <v/>
      </c>
      <c r="M263" s="18" t="str">
        <f t="array" ref="M263">IF(C263="","",IF(_xlfn.XLOOKUP(A263&amp;B263&amp;C263,盘货信息!$A:$A&amp;盘货信息!$B:$B&amp;盘货信息!$C:$C,盘货信息!$G:$G)="不参加","","焕新补贴优惠【全民可用，不限地址】"))</f>
        <v/>
      </c>
    </row>
    <row r="264" customHeight="1" spans="1:13">
      <c r="A264" s="17" t="str">
        <f>IF(盘货信息!A264="","",盘货信息!A264)</f>
        <v/>
      </c>
      <c r="B264" s="17" t="str">
        <f>IF(盘货信息!B264="","",盘货信息!B264)</f>
        <v/>
      </c>
      <c r="C264" s="18" t="str">
        <f>IF(盘货信息!C264="","",盘货信息!C264)</f>
        <v/>
      </c>
      <c r="D264" s="18" t="str">
        <f t="shared" si="4"/>
        <v/>
      </c>
      <c r="E264" s="18" t="str">
        <f t="array" ref="E264">IF(C264="","",IF(_xlfn.XLOOKUP(A264&amp;B264&amp;C264,盘货信息!$A:$A&amp;盘货信息!$B:$B&amp;盘货信息!$C:$C,盘货信息!$N:$N)="","【立减到手价"&amp;_xlfn.XLOOKUP(A264&amp;B264&amp;C264,盘货信息!$A:$A&amp;盘货信息!$B:$B&amp;盘货信息!$C:$C,盘货信息!$F:$F)&amp;"元】","【焕新补贴预估价"&amp;_xlfn.XLOOKUP(A264&amp;B264&amp;C264,盘货信息!$A:$A&amp;盘货信息!$B:$B&amp;盘货信息!$C:$C,盘货信息!$N:$N)&amp;"元】"))</f>
        <v/>
      </c>
      <c r="F264" s="18" t="str">
        <f t="array" ref="F264">IF(C264="","",_xlfn.XLOOKUP(A264&amp;B264&amp;C264,盘货信息!$A:$A&amp;盘货信息!$B:$B&amp;盘货信息!$C:$C,盘货信息!$E:$E)&amp;"元到手价")</f>
        <v/>
      </c>
      <c r="G264" s="18" t="str">
        <f t="array" ref="G264">IF(C264="","",IF(_xlfn.XLOOKUP(A264&amp;B264&amp;C264,盘货信息!$A:$A&amp;盘货信息!$B:$B&amp;盘货信息!$C:$C,盘货信息!$I:$I)="","","88VIP95折"))</f>
        <v/>
      </c>
      <c r="H264" s="18" t="str">
        <f t="array" ref="H264">IF(C264="","",IF(_xlfn.XLOOKUP(A264&amp;B264&amp;C264,盘货信息!$A:$A&amp;盘货信息!$B:$B&amp;盘货信息!$C:$C,盘货信息!$J:$J)="","",_xlfn.XLOOKUP(A264&amp;B264&amp;C264,盘货信息!$A:$A&amp;盘货信息!$B:$B&amp;盘货信息!$C:$C,盘货信息!$J:$J)&amp;"元优惠卷"))</f>
        <v/>
      </c>
      <c r="I264" s="18" t="str">
        <f t="array" ref="I264">IF(C264="","",IF(_xlfn.XLOOKUP(A264&amp;B264&amp;C264,盘货信息!$A:$A&amp;盘货信息!$B:$B&amp;盘货信息!$C:$C,盘货信息!$R:$R)="","",_xlfn.XLOOKUP(A264&amp;B264&amp;C264,盘货信息!$A:$A&amp;盘货信息!$B:$B&amp;盘货信息!$C:$C,盘货信息!$R:$R)&amp;"元优惠卷"))</f>
        <v/>
      </c>
      <c r="J264" s="18" t="str">
        <f t="array" ref="J264">IF(C264="","",IF(_xlfn.XLOOKUP(A264&amp;B264&amp;C264,盘货信息!$A:$A&amp;盘货信息!$B:$B&amp;盘货信息!$C:$C,盘货信息!$K:$K)="","",IF(OR(_xlfn.XLOOKUP(A264&amp;B264&amp;C264,盘货信息!$A:$A&amp;盘货信息!$B:$B&amp;盘货信息!$C:$C,盘货信息!$G:$G)="参加",_xlfn.XLOOKUP(A264&amp;B264&amp;C264,盘货信息!$A:$A&amp;盘货信息!$B:$B&amp;盘货信息!$C:$C,盘货信息!$H:$H)="1（纯自补）"),_xlfn.XLOOKUP(A264&amp;B264&amp;C264,盘货信息!$A:$A&amp;盘货信息!$B:$B&amp;盘货信息!$C:$C,盘货信息!$K:$K)&amp;"元以旧换新（可无旧机换新）","")))</f>
        <v/>
      </c>
      <c r="K264" s="18" t="str">
        <f t="array" ref="K264">IF(C264="","",IF(_xlfn.XLOOKUP(A264&amp;B264&amp;C264,盘货信息!$A:$A&amp;盘货信息!$B:$B&amp;盘货信息!$C:$C,盘货信息!$L:$L)="","",_xlfn.XLOOKUP(A264&amp;B264&amp;C264,盘货信息!$A:$A&amp;盘货信息!$B:$B&amp;盘货信息!$C:$C,盘货信息!$L:$L)&amp;"元限时补贴"))</f>
        <v/>
      </c>
      <c r="L264" s="18" t="str">
        <f t="array" ref="L264">IF(C264="","",IF(_xlfn.XLOOKUP(A264&amp;B264&amp;C264,盘货信息!$A:$A&amp;盘货信息!$B:$B&amp;盘货信息!$C:$C,盘货信息!$M:$M)="","",_xlfn.XLOOKUP(A264&amp;B264&amp;C264,盘货信息!$A:$A&amp;盘货信息!$B:$B&amp;盘货信息!$C:$C,盘货信息!$M:$M)&amp;"元消费券"))</f>
        <v/>
      </c>
      <c r="M264" s="18" t="str">
        <f t="array" ref="M264">IF(C264="","",IF(_xlfn.XLOOKUP(A264&amp;B264&amp;C264,盘货信息!$A:$A&amp;盘货信息!$B:$B&amp;盘货信息!$C:$C,盘货信息!$G:$G)="不参加","","焕新补贴优惠【全民可用，不限地址】"))</f>
        <v/>
      </c>
    </row>
    <row r="265" customHeight="1" spans="1:13">
      <c r="A265" s="17" t="str">
        <f>IF(盘货信息!A265="","",盘货信息!A265)</f>
        <v/>
      </c>
      <c r="B265" s="17" t="str">
        <f>IF(盘货信息!B265="","",盘货信息!B265)</f>
        <v/>
      </c>
      <c r="C265" s="18" t="str">
        <f>IF(盘货信息!C265="","",盘货信息!C265)</f>
        <v/>
      </c>
      <c r="D265" s="18" t="str">
        <f t="shared" si="4"/>
        <v/>
      </c>
      <c r="E265" s="18" t="str">
        <f t="array" ref="E265">IF(C265="","",IF(_xlfn.XLOOKUP(A265&amp;B265&amp;C265,盘货信息!$A:$A&amp;盘货信息!$B:$B&amp;盘货信息!$C:$C,盘货信息!$N:$N)="","【立减到手价"&amp;_xlfn.XLOOKUP(A265&amp;B265&amp;C265,盘货信息!$A:$A&amp;盘货信息!$B:$B&amp;盘货信息!$C:$C,盘货信息!$F:$F)&amp;"元】","【焕新补贴预估价"&amp;_xlfn.XLOOKUP(A265&amp;B265&amp;C265,盘货信息!$A:$A&amp;盘货信息!$B:$B&amp;盘货信息!$C:$C,盘货信息!$N:$N)&amp;"元】"))</f>
        <v/>
      </c>
      <c r="F265" s="18" t="str">
        <f t="array" ref="F265">IF(C265="","",_xlfn.XLOOKUP(A265&amp;B265&amp;C265,盘货信息!$A:$A&amp;盘货信息!$B:$B&amp;盘货信息!$C:$C,盘货信息!$E:$E)&amp;"元到手价")</f>
        <v/>
      </c>
      <c r="G265" s="18" t="str">
        <f t="array" ref="G265">IF(C265="","",IF(_xlfn.XLOOKUP(A265&amp;B265&amp;C265,盘货信息!$A:$A&amp;盘货信息!$B:$B&amp;盘货信息!$C:$C,盘货信息!$I:$I)="","","88VIP95折"))</f>
        <v/>
      </c>
      <c r="H265" s="18" t="str">
        <f t="array" ref="H265">IF(C265="","",IF(_xlfn.XLOOKUP(A265&amp;B265&amp;C265,盘货信息!$A:$A&amp;盘货信息!$B:$B&amp;盘货信息!$C:$C,盘货信息!$J:$J)="","",_xlfn.XLOOKUP(A265&amp;B265&amp;C265,盘货信息!$A:$A&amp;盘货信息!$B:$B&amp;盘货信息!$C:$C,盘货信息!$J:$J)&amp;"元优惠卷"))</f>
        <v/>
      </c>
      <c r="I265" s="18" t="str">
        <f t="array" ref="I265">IF(C265="","",IF(_xlfn.XLOOKUP(A265&amp;B265&amp;C265,盘货信息!$A:$A&amp;盘货信息!$B:$B&amp;盘货信息!$C:$C,盘货信息!$R:$R)="","",_xlfn.XLOOKUP(A265&amp;B265&amp;C265,盘货信息!$A:$A&amp;盘货信息!$B:$B&amp;盘货信息!$C:$C,盘货信息!$R:$R)&amp;"元优惠卷"))</f>
        <v/>
      </c>
      <c r="J265" s="18" t="str">
        <f t="array" ref="J265">IF(C265="","",IF(_xlfn.XLOOKUP(A265&amp;B265&amp;C265,盘货信息!$A:$A&amp;盘货信息!$B:$B&amp;盘货信息!$C:$C,盘货信息!$K:$K)="","",IF(OR(_xlfn.XLOOKUP(A265&amp;B265&amp;C265,盘货信息!$A:$A&amp;盘货信息!$B:$B&amp;盘货信息!$C:$C,盘货信息!$G:$G)="参加",_xlfn.XLOOKUP(A265&amp;B265&amp;C265,盘货信息!$A:$A&amp;盘货信息!$B:$B&amp;盘货信息!$C:$C,盘货信息!$H:$H)="1（纯自补）"),_xlfn.XLOOKUP(A265&amp;B265&amp;C265,盘货信息!$A:$A&amp;盘货信息!$B:$B&amp;盘货信息!$C:$C,盘货信息!$K:$K)&amp;"元以旧换新（可无旧机换新）","")))</f>
        <v/>
      </c>
      <c r="K265" s="18" t="str">
        <f t="array" ref="K265">IF(C265="","",IF(_xlfn.XLOOKUP(A265&amp;B265&amp;C265,盘货信息!$A:$A&amp;盘货信息!$B:$B&amp;盘货信息!$C:$C,盘货信息!$L:$L)="","",_xlfn.XLOOKUP(A265&amp;B265&amp;C265,盘货信息!$A:$A&amp;盘货信息!$B:$B&amp;盘货信息!$C:$C,盘货信息!$L:$L)&amp;"元限时补贴"))</f>
        <v/>
      </c>
      <c r="L265" s="18" t="str">
        <f t="array" ref="L265">IF(C265="","",IF(_xlfn.XLOOKUP(A265&amp;B265&amp;C265,盘货信息!$A:$A&amp;盘货信息!$B:$B&amp;盘货信息!$C:$C,盘货信息!$M:$M)="","",_xlfn.XLOOKUP(A265&amp;B265&amp;C265,盘货信息!$A:$A&amp;盘货信息!$B:$B&amp;盘货信息!$C:$C,盘货信息!$M:$M)&amp;"元消费券"))</f>
        <v/>
      </c>
      <c r="M265" s="18" t="str">
        <f t="array" ref="M265">IF(C265="","",IF(_xlfn.XLOOKUP(A265&amp;B265&amp;C265,盘货信息!$A:$A&amp;盘货信息!$B:$B&amp;盘货信息!$C:$C,盘货信息!$G:$G)="不参加","","焕新补贴优惠【全民可用，不限地址】"))</f>
        <v/>
      </c>
    </row>
    <row r="266" customHeight="1" spans="1:13">
      <c r="A266" s="17" t="str">
        <f>IF(盘货信息!A266="","",盘货信息!A266)</f>
        <v/>
      </c>
      <c r="B266" s="17" t="str">
        <f>IF(盘货信息!B266="","",盘货信息!B266)</f>
        <v/>
      </c>
      <c r="C266" s="18" t="str">
        <f>IF(盘货信息!C266="","",盘货信息!C266)</f>
        <v/>
      </c>
      <c r="D266" s="18" t="str">
        <f t="shared" si="4"/>
        <v/>
      </c>
      <c r="E266" s="18" t="str">
        <f t="array" ref="E266">IF(C266="","",IF(_xlfn.XLOOKUP(A266&amp;B266&amp;C266,盘货信息!$A:$A&amp;盘货信息!$B:$B&amp;盘货信息!$C:$C,盘货信息!$N:$N)="","【立减到手价"&amp;_xlfn.XLOOKUP(A266&amp;B266&amp;C266,盘货信息!$A:$A&amp;盘货信息!$B:$B&amp;盘货信息!$C:$C,盘货信息!$F:$F)&amp;"元】","【焕新补贴预估价"&amp;_xlfn.XLOOKUP(A266&amp;B266&amp;C266,盘货信息!$A:$A&amp;盘货信息!$B:$B&amp;盘货信息!$C:$C,盘货信息!$N:$N)&amp;"元】"))</f>
        <v/>
      </c>
      <c r="F266" s="18" t="str">
        <f t="array" ref="F266">IF(C266="","",_xlfn.XLOOKUP(A266&amp;B266&amp;C266,盘货信息!$A:$A&amp;盘货信息!$B:$B&amp;盘货信息!$C:$C,盘货信息!$E:$E)&amp;"元到手价")</f>
        <v/>
      </c>
      <c r="G266" s="18" t="str">
        <f t="array" ref="G266">IF(C266="","",IF(_xlfn.XLOOKUP(A266&amp;B266&amp;C266,盘货信息!$A:$A&amp;盘货信息!$B:$B&amp;盘货信息!$C:$C,盘货信息!$I:$I)="","","88VIP95折"))</f>
        <v/>
      </c>
      <c r="H266" s="18" t="str">
        <f t="array" ref="H266">IF(C266="","",IF(_xlfn.XLOOKUP(A266&amp;B266&amp;C266,盘货信息!$A:$A&amp;盘货信息!$B:$B&amp;盘货信息!$C:$C,盘货信息!$J:$J)="","",_xlfn.XLOOKUP(A266&amp;B266&amp;C266,盘货信息!$A:$A&amp;盘货信息!$B:$B&amp;盘货信息!$C:$C,盘货信息!$J:$J)&amp;"元优惠卷"))</f>
        <v/>
      </c>
      <c r="I266" s="18" t="str">
        <f t="array" ref="I266">IF(C266="","",IF(_xlfn.XLOOKUP(A266&amp;B266&amp;C266,盘货信息!$A:$A&amp;盘货信息!$B:$B&amp;盘货信息!$C:$C,盘货信息!$R:$R)="","",_xlfn.XLOOKUP(A266&amp;B266&amp;C266,盘货信息!$A:$A&amp;盘货信息!$B:$B&amp;盘货信息!$C:$C,盘货信息!$R:$R)&amp;"元优惠卷"))</f>
        <v/>
      </c>
      <c r="J266" s="18" t="str">
        <f t="array" ref="J266">IF(C266="","",IF(_xlfn.XLOOKUP(A266&amp;B266&amp;C266,盘货信息!$A:$A&amp;盘货信息!$B:$B&amp;盘货信息!$C:$C,盘货信息!$K:$K)="","",IF(OR(_xlfn.XLOOKUP(A266&amp;B266&amp;C266,盘货信息!$A:$A&amp;盘货信息!$B:$B&amp;盘货信息!$C:$C,盘货信息!$G:$G)="参加",_xlfn.XLOOKUP(A266&amp;B266&amp;C266,盘货信息!$A:$A&amp;盘货信息!$B:$B&amp;盘货信息!$C:$C,盘货信息!$H:$H)="1（纯自补）"),_xlfn.XLOOKUP(A266&amp;B266&amp;C266,盘货信息!$A:$A&amp;盘货信息!$B:$B&amp;盘货信息!$C:$C,盘货信息!$K:$K)&amp;"元以旧换新（可无旧机换新）","")))</f>
        <v/>
      </c>
      <c r="K266" s="18" t="str">
        <f t="array" ref="K266">IF(C266="","",IF(_xlfn.XLOOKUP(A266&amp;B266&amp;C266,盘货信息!$A:$A&amp;盘货信息!$B:$B&amp;盘货信息!$C:$C,盘货信息!$L:$L)="","",_xlfn.XLOOKUP(A266&amp;B266&amp;C266,盘货信息!$A:$A&amp;盘货信息!$B:$B&amp;盘货信息!$C:$C,盘货信息!$L:$L)&amp;"元限时补贴"))</f>
        <v/>
      </c>
      <c r="L266" s="18" t="str">
        <f t="array" ref="L266">IF(C266="","",IF(_xlfn.XLOOKUP(A266&amp;B266&amp;C266,盘货信息!$A:$A&amp;盘货信息!$B:$B&amp;盘货信息!$C:$C,盘货信息!$M:$M)="","",_xlfn.XLOOKUP(A266&amp;B266&amp;C266,盘货信息!$A:$A&amp;盘货信息!$B:$B&amp;盘货信息!$C:$C,盘货信息!$M:$M)&amp;"元消费券"))</f>
        <v/>
      </c>
      <c r="M266" s="18" t="str">
        <f t="array" ref="M266">IF(C266="","",IF(_xlfn.XLOOKUP(A266&amp;B266&amp;C266,盘货信息!$A:$A&amp;盘货信息!$B:$B&amp;盘货信息!$C:$C,盘货信息!$G:$G)="不参加","","焕新补贴优惠【全民可用，不限地址】"))</f>
        <v/>
      </c>
    </row>
    <row r="267" customHeight="1" spans="1:13">
      <c r="A267" s="17" t="str">
        <f>IF(盘货信息!A267="","",盘货信息!A267)</f>
        <v/>
      </c>
      <c r="B267" s="17" t="str">
        <f>IF(盘货信息!B267="","",盘货信息!B267)</f>
        <v/>
      </c>
      <c r="C267" s="18" t="str">
        <f>IF(盘货信息!C267="","",盘货信息!C267)</f>
        <v/>
      </c>
      <c r="D267" s="18" t="str">
        <f t="shared" si="4"/>
        <v/>
      </c>
      <c r="E267" s="18" t="str">
        <f t="array" ref="E267">IF(C267="","",IF(_xlfn.XLOOKUP(A267&amp;B267&amp;C267,盘货信息!$A:$A&amp;盘货信息!$B:$B&amp;盘货信息!$C:$C,盘货信息!$N:$N)="","【立减到手价"&amp;_xlfn.XLOOKUP(A267&amp;B267&amp;C267,盘货信息!$A:$A&amp;盘货信息!$B:$B&amp;盘货信息!$C:$C,盘货信息!$F:$F)&amp;"元】","【焕新补贴预估价"&amp;_xlfn.XLOOKUP(A267&amp;B267&amp;C267,盘货信息!$A:$A&amp;盘货信息!$B:$B&amp;盘货信息!$C:$C,盘货信息!$N:$N)&amp;"元】"))</f>
        <v/>
      </c>
      <c r="F267" s="18" t="str">
        <f t="array" ref="F267">IF(C267="","",_xlfn.XLOOKUP(A267&amp;B267&amp;C267,盘货信息!$A:$A&amp;盘货信息!$B:$B&amp;盘货信息!$C:$C,盘货信息!$E:$E)&amp;"元到手价")</f>
        <v/>
      </c>
      <c r="G267" s="18" t="str">
        <f t="array" ref="G267">IF(C267="","",IF(_xlfn.XLOOKUP(A267&amp;B267&amp;C267,盘货信息!$A:$A&amp;盘货信息!$B:$B&amp;盘货信息!$C:$C,盘货信息!$I:$I)="","","88VIP95折"))</f>
        <v/>
      </c>
      <c r="H267" s="18" t="str">
        <f t="array" ref="H267">IF(C267="","",IF(_xlfn.XLOOKUP(A267&amp;B267&amp;C267,盘货信息!$A:$A&amp;盘货信息!$B:$B&amp;盘货信息!$C:$C,盘货信息!$J:$J)="","",_xlfn.XLOOKUP(A267&amp;B267&amp;C267,盘货信息!$A:$A&amp;盘货信息!$B:$B&amp;盘货信息!$C:$C,盘货信息!$J:$J)&amp;"元优惠卷"))</f>
        <v/>
      </c>
      <c r="I267" s="18" t="str">
        <f t="array" ref="I267">IF(C267="","",IF(_xlfn.XLOOKUP(A267&amp;B267&amp;C267,盘货信息!$A:$A&amp;盘货信息!$B:$B&amp;盘货信息!$C:$C,盘货信息!$R:$R)="","",_xlfn.XLOOKUP(A267&amp;B267&amp;C267,盘货信息!$A:$A&amp;盘货信息!$B:$B&amp;盘货信息!$C:$C,盘货信息!$R:$R)&amp;"元优惠卷"))</f>
        <v/>
      </c>
      <c r="J267" s="18" t="str">
        <f t="array" ref="J267">IF(C267="","",IF(_xlfn.XLOOKUP(A267&amp;B267&amp;C267,盘货信息!$A:$A&amp;盘货信息!$B:$B&amp;盘货信息!$C:$C,盘货信息!$K:$K)="","",IF(OR(_xlfn.XLOOKUP(A267&amp;B267&amp;C267,盘货信息!$A:$A&amp;盘货信息!$B:$B&amp;盘货信息!$C:$C,盘货信息!$G:$G)="参加",_xlfn.XLOOKUP(A267&amp;B267&amp;C267,盘货信息!$A:$A&amp;盘货信息!$B:$B&amp;盘货信息!$C:$C,盘货信息!$H:$H)="1（纯自补）"),_xlfn.XLOOKUP(A267&amp;B267&amp;C267,盘货信息!$A:$A&amp;盘货信息!$B:$B&amp;盘货信息!$C:$C,盘货信息!$K:$K)&amp;"元以旧换新（可无旧机换新）","")))</f>
        <v/>
      </c>
      <c r="K267" s="18" t="str">
        <f t="array" ref="K267">IF(C267="","",IF(_xlfn.XLOOKUP(A267&amp;B267&amp;C267,盘货信息!$A:$A&amp;盘货信息!$B:$B&amp;盘货信息!$C:$C,盘货信息!$L:$L)="","",_xlfn.XLOOKUP(A267&amp;B267&amp;C267,盘货信息!$A:$A&amp;盘货信息!$B:$B&amp;盘货信息!$C:$C,盘货信息!$L:$L)&amp;"元限时补贴"))</f>
        <v/>
      </c>
      <c r="L267" s="18" t="str">
        <f t="array" ref="L267">IF(C267="","",IF(_xlfn.XLOOKUP(A267&amp;B267&amp;C267,盘货信息!$A:$A&amp;盘货信息!$B:$B&amp;盘货信息!$C:$C,盘货信息!$M:$M)="","",_xlfn.XLOOKUP(A267&amp;B267&amp;C267,盘货信息!$A:$A&amp;盘货信息!$B:$B&amp;盘货信息!$C:$C,盘货信息!$M:$M)&amp;"元消费券"))</f>
        <v/>
      </c>
      <c r="M267" s="18" t="str">
        <f t="array" ref="M267">IF(C267="","",IF(_xlfn.XLOOKUP(A267&amp;B267&amp;C267,盘货信息!$A:$A&amp;盘货信息!$B:$B&amp;盘货信息!$C:$C,盘货信息!$G:$G)="不参加","","焕新补贴优惠【全民可用，不限地址】"))</f>
        <v/>
      </c>
    </row>
    <row r="268" customHeight="1" spans="1:13">
      <c r="A268" s="17" t="str">
        <f>IF(盘货信息!A268="","",盘货信息!A268)</f>
        <v/>
      </c>
      <c r="B268" s="17" t="str">
        <f>IF(盘货信息!B268="","",盘货信息!B268)</f>
        <v/>
      </c>
      <c r="C268" s="18" t="str">
        <f>IF(盘货信息!C268="","",盘货信息!C268)</f>
        <v/>
      </c>
      <c r="D268" s="18" t="str">
        <f t="shared" si="4"/>
        <v/>
      </c>
      <c r="E268" s="18" t="str">
        <f t="array" ref="E268">IF(C268="","",IF(_xlfn.XLOOKUP(A268&amp;B268&amp;C268,盘货信息!$A:$A&amp;盘货信息!$B:$B&amp;盘货信息!$C:$C,盘货信息!$N:$N)="","【立减到手价"&amp;_xlfn.XLOOKUP(A268&amp;B268&amp;C268,盘货信息!$A:$A&amp;盘货信息!$B:$B&amp;盘货信息!$C:$C,盘货信息!$F:$F)&amp;"元】","【焕新补贴预估价"&amp;_xlfn.XLOOKUP(A268&amp;B268&amp;C268,盘货信息!$A:$A&amp;盘货信息!$B:$B&amp;盘货信息!$C:$C,盘货信息!$N:$N)&amp;"元】"))</f>
        <v/>
      </c>
      <c r="F268" s="18" t="str">
        <f t="array" ref="F268">IF(C268="","",_xlfn.XLOOKUP(A268&amp;B268&amp;C268,盘货信息!$A:$A&amp;盘货信息!$B:$B&amp;盘货信息!$C:$C,盘货信息!$E:$E)&amp;"元到手价")</f>
        <v/>
      </c>
      <c r="G268" s="18" t="str">
        <f t="array" ref="G268">IF(C268="","",IF(_xlfn.XLOOKUP(A268&amp;B268&amp;C268,盘货信息!$A:$A&amp;盘货信息!$B:$B&amp;盘货信息!$C:$C,盘货信息!$I:$I)="","","88VIP95折"))</f>
        <v/>
      </c>
      <c r="H268" s="18" t="str">
        <f t="array" ref="H268">IF(C268="","",IF(_xlfn.XLOOKUP(A268&amp;B268&amp;C268,盘货信息!$A:$A&amp;盘货信息!$B:$B&amp;盘货信息!$C:$C,盘货信息!$J:$J)="","",_xlfn.XLOOKUP(A268&amp;B268&amp;C268,盘货信息!$A:$A&amp;盘货信息!$B:$B&amp;盘货信息!$C:$C,盘货信息!$J:$J)&amp;"元优惠卷"))</f>
        <v/>
      </c>
      <c r="I268" s="18" t="str">
        <f t="array" ref="I268">IF(C268="","",IF(_xlfn.XLOOKUP(A268&amp;B268&amp;C268,盘货信息!$A:$A&amp;盘货信息!$B:$B&amp;盘货信息!$C:$C,盘货信息!$R:$R)="","",_xlfn.XLOOKUP(A268&amp;B268&amp;C268,盘货信息!$A:$A&amp;盘货信息!$B:$B&amp;盘货信息!$C:$C,盘货信息!$R:$R)&amp;"元优惠卷"))</f>
        <v/>
      </c>
      <c r="J268" s="18" t="str">
        <f t="array" ref="J268">IF(C268="","",IF(_xlfn.XLOOKUP(A268&amp;B268&amp;C268,盘货信息!$A:$A&amp;盘货信息!$B:$B&amp;盘货信息!$C:$C,盘货信息!$K:$K)="","",IF(OR(_xlfn.XLOOKUP(A268&amp;B268&amp;C268,盘货信息!$A:$A&amp;盘货信息!$B:$B&amp;盘货信息!$C:$C,盘货信息!$G:$G)="参加",_xlfn.XLOOKUP(A268&amp;B268&amp;C268,盘货信息!$A:$A&amp;盘货信息!$B:$B&amp;盘货信息!$C:$C,盘货信息!$H:$H)="1（纯自补）"),_xlfn.XLOOKUP(A268&amp;B268&amp;C268,盘货信息!$A:$A&amp;盘货信息!$B:$B&amp;盘货信息!$C:$C,盘货信息!$K:$K)&amp;"元以旧换新（可无旧机换新）","")))</f>
        <v/>
      </c>
      <c r="K268" s="18" t="str">
        <f t="array" ref="K268">IF(C268="","",IF(_xlfn.XLOOKUP(A268&amp;B268&amp;C268,盘货信息!$A:$A&amp;盘货信息!$B:$B&amp;盘货信息!$C:$C,盘货信息!$L:$L)="","",_xlfn.XLOOKUP(A268&amp;B268&amp;C268,盘货信息!$A:$A&amp;盘货信息!$B:$B&amp;盘货信息!$C:$C,盘货信息!$L:$L)&amp;"元限时补贴"))</f>
        <v/>
      </c>
      <c r="L268" s="18" t="str">
        <f t="array" ref="L268">IF(C268="","",IF(_xlfn.XLOOKUP(A268&amp;B268&amp;C268,盘货信息!$A:$A&amp;盘货信息!$B:$B&amp;盘货信息!$C:$C,盘货信息!$M:$M)="","",_xlfn.XLOOKUP(A268&amp;B268&amp;C268,盘货信息!$A:$A&amp;盘货信息!$B:$B&amp;盘货信息!$C:$C,盘货信息!$M:$M)&amp;"元消费券"))</f>
        <v/>
      </c>
      <c r="M268" s="18" t="str">
        <f t="array" ref="M268">IF(C268="","",IF(_xlfn.XLOOKUP(A268&amp;B268&amp;C268,盘货信息!$A:$A&amp;盘货信息!$B:$B&amp;盘货信息!$C:$C,盘货信息!$G:$G)="不参加","","焕新补贴优惠【全民可用，不限地址】"))</f>
        <v/>
      </c>
    </row>
    <row r="269" customHeight="1" spans="1:13">
      <c r="A269" s="17" t="str">
        <f>IF(盘货信息!A269="","",盘货信息!A269)</f>
        <v/>
      </c>
      <c r="B269" s="17" t="str">
        <f>IF(盘货信息!B269="","",盘货信息!B269)</f>
        <v/>
      </c>
      <c r="C269" s="18" t="str">
        <f>IF(盘货信息!C269="","",盘货信息!C269)</f>
        <v/>
      </c>
      <c r="D269" s="18" t="str">
        <f t="shared" si="4"/>
        <v/>
      </c>
      <c r="E269" s="18" t="str">
        <f t="array" ref="E269">IF(C269="","",IF(_xlfn.XLOOKUP(A269&amp;B269&amp;C269,盘货信息!$A:$A&amp;盘货信息!$B:$B&amp;盘货信息!$C:$C,盘货信息!$N:$N)="","【立减到手价"&amp;_xlfn.XLOOKUP(A269&amp;B269&amp;C269,盘货信息!$A:$A&amp;盘货信息!$B:$B&amp;盘货信息!$C:$C,盘货信息!$F:$F)&amp;"元】","【焕新补贴预估价"&amp;_xlfn.XLOOKUP(A269&amp;B269&amp;C269,盘货信息!$A:$A&amp;盘货信息!$B:$B&amp;盘货信息!$C:$C,盘货信息!$N:$N)&amp;"元】"))</f>
        <v/>
      </c>
      <c r="F269" s="18" t="str">
        <f t="array" ref="F269">IF(C269="","",_xlfn.XLOOKUP(A269&amp;B269&amp;C269,盘货信息!$A:$A&amp;盘货信息!$B:$B&amp;盘货信息!$C:$C,盘货信息!$E:$E)&amp;"元到手价")</f>
        <v/>
      </c>
      <c r="G269" s="18" t="str">
        <f t="array" ref="G269">IF(C269="","",IF(_xlfn.XLOOKUP(A269&amp;B269&amp;C269,盘货信息!$A:$A&amp;盘货信息!$B:$B&amp;盘货信息!$C:$C,盘货信息!$I:$I)="","","88VIP95折"))</f>
        <v/>
      </c>
      <c r="H269" s="18" t="str">
        <f t="array" ref="H269">IF(C269="","",IF(_xlfn.XLOOKUP(A269&amp;B269&amp;C269,盘货信息!$A:$A&amp;盘货信息!$B:$B&amp;盘货信息!$C:$C,盘货信息!$J:$J)="","",_xlfn.XLOOKUP(A269&amp;B269&amp;C269,盘货信息!$A:$A&amp;盘货信息!$B:$B&amp;盘货信息!$C:$C,盘货信息!$J:$J)&amp;"元优惠卷"))</f>
        <v/>
      </c>
      <c r="I269" s="18" t="str">
        <f t="array" ref="I269">IF(C269="","",IF(_xlfn.XLOOKUP(A269&amp;B269&amp;C269,盘货信息!$A:$A&amp;盘货信息!$B:$B&amp;盘货信息!$C:$C,盘货信息!$R:$R)="","",_xlfn.XLOOKUP(A269&amp;B269&amp;C269,盘货信息!$A:$A&amp;盘货信息!$B:$B&amp;盘货信息!$C:$C,盘货信息!$R:$R)&amp;"元优惠卷"))</f>
        <v/>
      </c>
      <c r="J269" s="18" t="str">
        <f t="array" ref="J269">IF(C269="","",IF(_xlfn.XLOOKUP(A269&amp;B269&amp;C269,盘货信息!$A:$A&amp;盘货信息!$B:$B&amp;盘货信息!$C:$C,盘货信息!$K:$K)="","",IF(OR(_xlfn.XLOOKUP(A269&amp;B269&amp;C269,盘货信息!$A:$A&amp;盘货信息!$B:$B&amp;盘货信息!$C:$C,盘货信息!$G:$G)="参加",_xlfn.XLOOKUP(A269&amp;B269&amp;C269,盘货信息!$A:$A&amp;盘货信息!$B:$B&amp;盘货信息!$C:$C,盘货信息!$H:$H)="1（纯自补）"),_xlfn.XLOOKUP(A269&amp;B269&amp;C269,盘货信息!$A:$A&amp;盘货信息!$B:$B&amp;盘货信息!$C:$C,盘货信息!$K:$K)&amp;"元以旧换新（可无旧机换新）","")))</f>
        <v/>
      </c>
      <c r="K269" s="18" t="str">
        <f t="array" ref="K269">IF(C269="","",IF(_xlfn.XLOOKUP(A269&amp;B269&amp;C269,盘货信息!$A:$A&amp;盘货信息!$B:$B&amp;盘货信息!$C:$C,盘货信息!$L:$L)="","",_xlfn.XLOOKUP(A269&amp;B269&amp;C269,盘货信息!$A:$A&amp;盘货信息!$B:$B&amp;盘货信息!$C:$C,盘货信息!$L:$L)&amp;"元限时补贴"))</f>
        <v/>
      </c>
      <c r="L269" s="18" t="str">
        <f t="array" ref="L269">IF(C269="","",IF(_xlfn.XLOOKUP(A269&amp;B269&amp;C269,盘货信息!$A:$A&amp;盘货信息!$B:$B&amp;盘货信息!$C:$C,盘货信息!$M:$M)="","",_xlfn.XLOOKUP(A269&amp;B269&amp;C269,盘货信息!$A:$A&amp;盘货信息!$B:$B&amp;盘货信息!$C:$C,盘货信息!$M:$M)&amp;"元消费券"))</f>
        <v/>
      </c>
      <c r="M269" s="18" t="str">
        <f t="array" ref="M269">IF(C269="","",IF(_xlfn.XLOOKUP(A269&amp;B269&amp;C269,盘货信息!$A:$A&amp;盘货信息!$B:$B&amp;盘货信息!$C:$C,盘货信息!$G:$G)="不参加","","焕新补贴优惠【全民可用，不限地址】"))</f>
        <v/>
      </c>
    </row>
    <row r="270" customHeight="1" spans="1:13">
      <c r="A270" s="17" t="str">
        <f>IF(盘货信息!A270="","",盘货信息!A270)</f>
        <v/>
      </c>
      <c r="B270" s="17" t="str">
        <f>IF(盘货信息!B270="","",盘货信息!B270)</f>
        <v/>
      </c>
      <c r="C270" s="18" t="str">
        <f>IF(盘货信息!C270="","",盘货信息!C270)</f>
        <v/>
      </c>
      <c r="D270" s="18" t="str">
        <f t="shared" si="4"/>
        <v/>
      </c>
      <c r="E270" s="18" t="str">
        <f t="array" ref="E270">IF(C270="","",IF(_xlfn.XLOOKUP(A270&amp;B270&amp;C270,盘货信息!$A:$A&amp;盘货信息!$B:$B&amp;盘货信息!$C:$C,盘货信息!$N:$N)="","【立减到手价"&amp;_xlfn.XLOOKUP(A270&amp;B270&amp;C270,盘货信息!$A:$A&amp;盘货信息!$B:$B&amp;盘货信息!$C:$C,盘货信息!$F:$F)&amp;"元】","【焕新补贴预估价"&amp;_xlfn.XLOOKUP(A270&amp;B270&amp;C270,盘货信息!$A:$A&amp;盘货信息!$B:$B&amp;盘货信息!$C:$C,盘货信息!$N:$N)&amp;"元】"))</f>
        <v/>
      </c>
      <c r="F270" s="18" t="str">
        <f t="array" ref="F270">IF(C270="","",_xlfn.XLOOKUP(A270&amp;B270&amp;C270,盘货信息!$A:$A&amp;盘货信息!$B:$B&amp;盘货信息!$C:$C,盘货信息!$E:$E)&amp;"元到手价")</f>
        <v/>
      </c>
      <c r="G270" s="18" t="str">
        <f t="array" ref="G270">IF(C270="","",IF(_xlfn.XLOOKUP(A270&amp;B270&amp;C270,盘货信息!$A:$A&amp;盘货信息!$B:$B&amp;盘货信息!$C:$C,盘货信息!$I:$I)="","","88VIP95折"))</f>
        <v/>
      </c>
      <c r="H270" s="18" t="str">
        <f t="array" ref="H270">IF(C270="","",IF(_xlfn.XLOOKUP(A270&amp;B270&amp;C270,盘货信息!$A:$A&amp;盘货信息!$B:$B&amp;盘货信息!$C:$C,盘货信息!$J:$J)="","",_xlfn.XLOOKUP(A270&amp;B270&amp;C270,盘货信息!$A:$A&amp;盘货信息!$B:$B&amp;盘货信息!$C:$C,盘货信息!$J:$J)&amp;"元优惠卷"))</f>
        <v/>
      </c>
      <c r="I270" s="18" t="str">
        <f t="array" ref="I270">IF(C270="","",IF(_xlfn.XLOOKUP(A270&amp;B270&amp;C270,盘货信息!$A:$A&amp;盘货信息!$B:$B&amp;盘货信息!$C:$C,盘货信息!$R:$R)="","",_xlfn.XLOOKUP(A270&amp;B270&amp;C270,盘货信息!$A:$A&amp;盘货信息!$B:$B&amp;盘货信息!$C:$C,盘货信息!$R:$R)&amp;"元优惠卷"))</f>
        <v/>
      </c>
      <c r="J270" s="18" t="str">
        <f t="array" ref="J270">IF(C270="","",IF(_xlfn.XLOOKUP(A270&amp;B270&amp;C270,盘货信息!$A:$A&amp;盘货信息!$B:$B&amp;盘货信息!$C:$C,盘货信息!$K:$K)="","",IF(OR(_xlfn.XLOOKUP(A270&amp;B270&amp;C270,盘货信息!$A:$A&amp;盘货信息!$B:$B&amp;盘货信息!$C:$C,盘货信息!$G:$G)="参加",_xlfn.XLOOKUP(A270&amp;B270&amp;C270,盘货信息!$A:$A&amp;盘货信息!$B:$B&amp;盘货信息!$C:$C,盘货信息!$H:$H)="1（纯自补）"),_xlfn.XLOOKUP(A270&amp;B270&amp;C270,盘货信息!$A:$A&amp;盘货信息!$B:$B&amp;盘货信息!$C:$C,盘货信息!$K:$K)&amp;"元以旧换新（可无旧机换新）","")))</f>
        <v/>
      </c>
      <c r="K270" s="18" t="str">
        <f t="array" ref="K270">IF(C270="","",IF(_xlfn.XLOOKUP(A270&amp;B270&amp;C270,盘货信息!$A:$A&amp;盘货信息!$B:$B&amp;盘货信息!$C:$C,盘货信息!$L:$L)="","",_xlfn.XLOOKUP(A270&amp;B270&amp;C270,盘货信息!$A:$A&amp;盘货信息!$B:$B&amp;盘货信息!$C:$C,盘货信息!$L:$L)&amp;"元限时补贴"))</f>
        <v/>
      </c>
      <c r="L270" s="18" t="str">
        <f t="array" ref="L270">IF(C270="","",IF(_xlfn.XLOOKUP(A270&amp;B270&amp;C270,盘货信息!$A:$A&amp;盘货信息!$B:$B&amp;盘货信息!$C:$C,盘货信息!$M:$M)="","",_xlfn.XLOOKUP(A270&amp;B270&amp;C270,盘货信息!$A:$A&amp;盘货信息!$B:$B&amp;盘货信息!$C:$C,盘货信息!$M:$M)&amp;"元消费券"))</f>
        <v/>
      </c>
      <c r="M270" s="18" t="str">
        <f t="array" ref="M270">IF(C270="","",IF(_xlfn.XLOOKUP(A270&amp;B270&amp;C270,盘货信息!$A:$A&amp;盘货信息!$B:$B&amp;盘货信息!$C:$C,盘货信息!$G:$G)="不参加","","焕新补贴优惠【全民可用，不限地址】"))</f>
        <v/>
      </c>
    </row>
    <row r="271" customHeight="1" spans="1:13">
      <c r="A271" s="17" t="str">
        <f>IF(盘货信息!A271="","",盘货信息!A271)</f>
        <v/>
      </c>
      <c r="B271" s="17" t="str">
        <f>IF(盘货信息!B271="","",盘货信息!B271)</f>
        <v/>
      </c>
      <c r="C271" s="18" t="str">
        <f>IF(盘货信息!C271="","",盘货信息!C271)</f>
        <v/>
      </c>
      <c r="D271" s="18" t="str">
        <f t="shared" si="4"/>
        <v/>
      </c>
      <c r="E271" s="18" t="str">
        <f t="array" ref="E271">IF(C271="","",IF(_xlfn.XLOOKUP(A271&amp;B271&amp;C271,盘货信息!$A:$A&amp;盘货信息!$B:$B&amp;盘货信息!$C:$C,盘货信息!$N:$N)="","【立减到手价"&amp;_xlfn.XLOOKUP(A271&amp;B271&amp;C271,盘货信息!$A:$A&amp;盘货信息!$B:$B&amp;盘货信息!$C:$C,盘货信息!$F:$F)&amp;"元】","【焕新补贴预估价"&amp;_xlfn.XLOOKUP(A271&amp;B271&amp;C271,盘货信息!$A:$A&amp;盘货信息!$B:$B&amp;盘货信息!$C:$C,盘货信息!$N:$N)&amp;"元】"))</f>
        <v/>
      </c>
      <c r="F271" s="18" t="str">
        <f t="array" ref="F271">IF(C271="","",_xlfn.XLOOKUP(A271&amp;B271&amp;C271,盘货信息!$A:$A&amp;盘货信息!$B:$B&amp;盘货信息!$C:$C,盘货信息!$E:$E)&amp;"元到手价")</f>
        <v/>
      </c>
      <c r="G271" s="18" t="str">
        <f t="array" ref="G271">IF(C271="","",IF(_xlfn.XLOOKUP(A271&amp;B271&amp;C271,盘货信息!$A:$A&amp;盘货信息!$B:$B&amp;盘货信息!$C:$C,盘货信息!$I:$I)="","","88VIP95折"))</f>
        <v/>
      </c>
      <c r="H271" s="18" t="str">
        <f t="array" ref="H271">IF(C271="","",IF(_xlfn.XLOOKUP(A271&amp;B271&amp;C271,盘货信息!$A:$A&amp;盘货信息!$B:$B&amp;盘货信息!$C:$C,盘货信息!$J:$J)="","",_xlfn.XLOOKUP(A271&amp;B271&amp;C271,盘货信息!$A:$A&amp;盘货信息!$B:$B&amp;盘货信息!$C:$C,盘货信息!$J:$J)&amp;"元优惠卷"))</f>
        <v/>
      </c>
      <c r="I271" s="18" t="str">
        <f t="array" ref="I271">IF(C271="","",IF(_xlfn.XLOOKUP(A271&amp;B271&amp;C271,盘货信息!$A:$A&amp;盘货信息!$B:$B&amp;盘货信息!$C:$C,盘货信息!$R:$R)="","",_xlfn.XLOOKUP(A271&amp;B271&amp;C271,盘货信息!$A:$A&amp;盘货信息!$B:$B&amp;盘货信息!$C:$C,盘货信息!$R:$R)&amp;"元优惠卷"))</f>
        <v/>
      </c>
      <c r="J271" s="18" t="str">
        <f t="array" ref="J271">IF(C271="","",IF(_xlfn.XLOOKUP(A271&amp;B271&amp;C271,盘货信息!$A:$A&amp;盘货信息!$B:$B&amp;盘货信息!$C:$C,盘货信息!$K:$K)="","",IF(OR(_xlfn.XLOOKUP(A271&amp;B271&amp;C271,盘货信息!$A:$A&amp;盘货信息!$B:$B&amp;盘货信息!$C:$C,盘货信息!$G:$G)="参加",_xlfn.XLOOKUP(A271&amp;B271&amp;C271,盘货信息!$A:$A&amp;盘货信息!$B:$B&amp;盘货信息!$C:$C,盘货信息!$H:$H)="1（纯自补）"),_xlfn.XLOOKUP(A271&amp;B271&amp;C271,盘货信息!$A:$A&amp;盘货信息!$B:$B&amp;盘货信息!$C:$C,盘货信息!$K:$K)&amp;"元以旧换新（可无旧机换新）","")))</f>
        <v/>
      </c>
      <c r="K271" s="18" t="str">
        <f t="array" ref="K271">IF(C271="","",IF(_xlfn.XLOOKUP(A271&amp;B271&amp;C271,盘货信息!$A:$A&amp;盘货信息!$B:$B&amp;盘货信息!$C:$C,盘货信息!$L:$L)="","",_xlfn.XLOOKUP(A271&amp;B271&amp;C271,盘货信息!$A:$A&amp;盘货信息!$B:$B&amp;盘货信息!$C:$C,盘货信息!$L:$L)&amp;"元限时补贴"))</f>
        <v/>
      </c>
      <c r="L271" s="18" t="str">
        <f t="array" ref="L271">IF(C271="","",IF(_xlfn.XLOOKUP(A271&amp;B271&amp;C271,盘货信息!$A:$A&amp;盘货信息!$B:$B&amp;盘货信息!$C:$C,盘货信息!$M:$M)="","",_xlfn.XLOOKUP(A271&amp;B271&amp;C271,盘货信息!$A:$A&amp;盘货信息!$B:$B&amp;盘货信息!$C:$C,盘货信息!$M:$M)&amp;"元消费券"))</f>
        <v/>
      </c>
      <c r="M271" s="18" t="str">
        <f t="array" ref="M271">IF(C271="","",IF(_xlfn.XLOOKUP(A271&amp;B271&amp;C271,盘货信息!$A:$A&amp;盘货信息!$B:$B&amp;盘货信息!$C:$C,盘货信息!$G:$G)="不参加","","焕新补贴优惠【全民可用，不限地址】"))</f>
        <v/>
      </c>
    </row>
    <row r="272" customHeight="1" spans="1:13">
      <c r="A272" s="17" t="str">
        <f>IF(盘货信息!A272="","",盘货信息!A272)</f>
        <v/>
      </c>
      <c r="B272" s="17" t="str">
        <f>IF(盘货信息!B272="","",盘货信息!B272)</f>
        <v/>
      </c>
      <c r="C272" s="18" t="str">
        <f>IF(盘货信息!C272="","",盘货信息!C272)</f>
        <v/>
      </c>
      <c r="D272" s="18" t="str">
        <f t="shared" si="4"/>
        <v/>
      </c>
      <c r="E272" s="18" t="str">
        <f t="array" ref="E272">IF(C272="","",IF(_xlfn.XLOOKUP(A272&amp;B272&amp;C272,盘货信息!$A:$A&amp;盘货信息!$B:$B&amp;盘货信息!$C:$C,盘货信息!$N:$N)="","【立减到手价"&amp;_xlfn.XLOOKUP(A272&amp;B272&amp;C272,盘货信息!$A:$A&amp;盘货信息!$B:$B&amp;盘货信息!$C:$C,盘货信息!$F:$F)&amp;"元】","【焕新补贴预估价"&amp;_xlfn.XLOOKUP(A272&amp;B272&amp;C272,盘货信息!$A:$A&amp;盘货信息!$B:$B&amp;盘货信息!$C:$C,盘货信息!$N:$N)&amp;"元】"))</f>
        <v/>
      </c>
      <c r="F272" s="18" t="str">
        <f t="array" ref="F272">IF(C272="","",_xlfn.XLOOKUP(A272&amp;B272&amp;C272,盘货信息!$A:$A&amp;盘货信息!$B:$B&amp;盘货信息!$C:$C,盘货信息!$E:$E)&amp;"元到手价")</f>
        <v/>
      </c>
      <c r="G272" s="18" t="str">
        <f t="array" ref="G272">IF(C272="","",IF(_xlfn.XLOOKUP(A272&amp;B272&amp;C272,盘货信息!$A:$A&amp;盘货信息!$B:$B&amp;盘货信息!$C:$C,盘货信息!$I:$I)="","","88VIP95折"))</f>
        <v/>
      </c>
      <c r="H272" s="18" t="str">
        <f t="array" ref="H272">IF(C272="","",IF(_xlfn.XLOOKUP(A272&amp;B272&amp;C272,盘货信息!$A:$A&amp;盘货信息!$B:$B&amp;盘货信息!$C:$C,盘货信息!$J:$J)="","",_xlfn.XLOOKUP(A272&amp;B272&amp;C272,盘货信息!$A:$A&amp;盘货信息!$B:$B&amp;盘货信息!$C:$C,盘货信息!$J:$J)&amp;"元优惠卷"))</f>
        <v/>
      </c>
      <c r="I272" s="18" t="str">
        <f t="array" ref="I272">IF(C272="","",IF(_xlfn.XLOOKUP(A272&amp;B272&amp;C272,盘货信息!$A:$A&amp;盘货信息!$B:$B&amp;盘货信息!$C:$C,盘货信息!$R:$R)="","",_xlfn.XLOOKUP(A272&amp;B272&amp;C272,盘货信息!$A:$A&amp;盘货信息!$B:$B&amp;盘货信息!$C:$C,盘货信息!$R:$R)&amp;"元优惠卷"))</f>
        <v/>
      </c>
      <c r="J272" s="18" t="str">
        <f t="array" ref="J272">IF(C272="","",IF(_xlfn.XLOOKUP(A272&amp;B272&amp;C272,盘货信息!$A:$A&amp;盘货信息!$B:$B&amp;盘货信息!$C:$C,盘货信息!$K:$K)="","",IF(OR(_xlfn.XLOOKUP(A272&amp;B272&amp;C272,盘货信息!$A:$A&amp;盘货信息!$B:$B&amp;盘货信息!$C:$C,盘货信息!$G:$G)="参加",_xlfn.XLOOKUP(A272&amp;B272&amp;C272,盘货信息!$A:$A&amp;盘货信息!$B:$B&amp;盘货信息!$C:$C,盘货信息!$H:$H)="1（纯自补）"),_xlfn.XLOOKUP(A272&amp;B272&amp;C272,盘货信息!$A:$A&amp;盘货信息!$B:$B&amp;盘货信息!$C:$C,盘货信息!$K:$K)&amp;"元以旧换新（可无旧机换新）","")))</f>
        <v/>
      </c>
      <c r="K272" s="18" t="str">
        <f t="array" ref="K272">IF(C272="","",IF(_xlfn.XLOOKUP(A272&amp;B272&amp;C272,盘货信息!$A:$A&amp;盘货信息!$B:$B&amp;盘货信息!$C:$C,盘货信息!$L:$L)="","",_xlfn.XLOOKUP(A272&amp;B272&amp;C272,盘货信息!$A:$A&amp;盘货信息!$B:$B&amp;盘货信息!$C:$C,盘货信息!$L:$L)&amp;"元限时补贴"))</f>
        <v/>
      </c>
      <c r="L272" s="18" t="str">
        <f t="array" ref="L272">IF(C272="","",IF(_xlfn.XLOOKUP(A272&amp;B272&amp;C272,盘货信息!$A:$A&amp;盘货信息!$B:$B&amp;盘货信息!$C:$C,盘货信息!$M:$M)="","",_xlfn.XLOOKUP(A272&amp;B272&amp;C272,盘货信息!$A:$A&amp;盘货信息!$B:$B&amp;盘货信息!$C:$C,盘货信息!$M:$M)&amp;"元消费券"))</f>
        <v/>
      </c>
      <c r="M272" s="18" t="str">
        <f t="array" ref="M272">IF(C272="","",IF(_xlfn.XLOOKUP(A272&amp;B272&amp;C272,盘货信息!$A:$A&amp;盘货信息!$B:$B&amp;盘货信息!$C:$C,盘货信息!$G:$G)="不参加","","焕新补贴优惠【全民可用，不限地址】"))</f>
        <v/>
      </c>
    </row>
    <row r="273" customHeight="1" spans="1:13">
      <c r="A273" s="17" t="str">
        <f>IF(盘货信息!A273="","",盘货信息!A273)</f>
        <v/>
      </c>
      <c r="B273" s="17" t="str">
        <f>IF(盘货信息!B273="","",盘货信息!B273)</f>
        <v/>
      </c>
      <c r="C273" s="18" t="str">
        <f>IF(盘货信息!C273="","",盘货信息!C273)</f>
        <v/>
      </c>
      <c r="D273" s="18" t="str">
        <f t="shared" si="4"/>
        <v/>
      </c>
      <c r="E273" s="18" t="str">
        <f t="array" ref="E273">IF(C273="","",IF(_xlfn.XLOOKUP(A273&amp;B273&amp;C273,盘货信息!$A:$A&amp;盘货信息!$B:$B&amp;盘货信息!$C:$C,盘货信息!$N:$N)="","【立减到手价"&amp;_xlfn.XLOOKUP(A273&amp;B273&amp;C273,盘货信息!$A:$A&amp;盘货信息!$B:$B&amp;盘货信息!$C:$C,盘货信息!$F:$F)&amp;"元】","【焕新补贴预估价"&amp;_xlfn.XLOOKUP(A273&amp;B273&amp;C273,盘货信息!$A:$A&amp;盘货信息!$B:$B&amp;盘货信息!$C:$C,盘货信息!$N:$N)&amp;"元】"))</f>
        <v/>
      </c>
      <c r="F273" s="18" t="str">
        <f t="array" ref="F273">IF(C273="","",_xlfn.XLOOKUP(A273&amp;B273&amp;C273,盘货信息!$A:$A&amp;盘货信息!$B:$B&amp;盘货信息!$C:$C,盘货信息!$E:$E)&amp;"元到手价")</f>
        <v/>
      </c>
      <c r="G273" s="18" t="str">
        <f t="array" ref="G273">IF(C273="","",IF(_xlfn.XLOOKUP(A273&amp;B273&amp;C273,盘货信息!$A:$A&amp;盘货信息!$B:$B&amp;盘货信息!$C:$C,盘货信息!$I:$I)="","","88VIP95折"))</f>
        <v/>
      </c>
      <c r="H273" s="18" t="str">
        <f t="array" ref="H273">IF(C273="","",IF(_xlfn.XLOOKUP(A273&amp;B273&amp;C273,盘货信息!$A:$A&amp;盘货信息!$B:$B&amp;盘货信息!$C:$C,盘货信息!$J:$J)="","",_xlfn.XLOOKUP(A273&amp;B273&amp;C273,盘货信息!$A:$A&amp;盘货信息!$B:$B&amp;盘货信息!$C:$C,盘货信息!$J:$J)&amp;"元优惠卷"))</f>
        <v/>
      </c>
      <c r="I273" s="18" t="str">
        <f t="array" ref="I273">IF(C273="","",IF(_xlfn.XLOOKUP(A273&amp;B273&amp;C273,盘货信息!$A:$A&amp;盘货信息!$B:$B&amp;盘货信息!$C:$C,盘货信息!$R:$R)="","",_xlfn.XLOOKUP(A273&amp;B273&amp;C273,盘货信息!$A:$A&amp;盘货信息!$B:$B&amp;盘货信息!$C:$C,盘货信息!$R:$R)&amp;"元优惠卷"))</f>
        <v/>
      </c>
      <c r="J273" s="18" t="str">
        <f t="array" ref="J273">IF(C273="","",IF(_xlfn.XLOOKUP(A273&amp;B273&amp;C273,盘货信息!$A:$A&amp;盘货信息!$B:$B&amp;盘货信息!$C:$C,盘货信息!$K:$K)="","",IF(OR(_xlfn.XLOOKUP(A273&amp;B273&amp;C273,盘货信息!$A:$A&amp;盘货信息!$B:$B&amp;盘货信息!$C:$C,盘货信息!$G:$G)="参加",_xlfn.XLOOKUP(A273&amp;B273&amp;C273,盘货信息!$A:$A&amp;盘货信息!$B:$B&amp;盘货信息!$C:$C,盘货信息!$H:$H)="1（纯自补）"),_xlfn.XLOOKUP(A273&amp;B273&amp;C273,盘货信息!$A:$A&amp;盘货信息!$B:$B&amp;盘货信息!$C:$C,盘货信息!$K:$K)&amp;"元以旧换新（可无旧机换新）","")))</f>
        <v/>
      </c>
      <c r="K273" s="18" t="str">
        <f t="array" ref="K273">IF(C273="","",IF(_xlfn.XLOOKUP(A273&amp;B273&amp;C273,盘货信息!$A:$A&amp;盘货信息!$B:$B&amp;盘货信息!$C:$C,盘货信息!$L:$L)="","",_xlfn.XLOOKUP(A273&amp;B273&amp;C273,盘货信息!$A:$A&amp;盘货信息!$B:$B&amp;盘货信息!$C:$C,盘货信息!$L:$L)&amp;"元限时补贴"))</f>
        <v/>
      </c>
      <c r="L273" s="18" t="str">
        <f t="array" ref="L273">IF(C273="","",IF(_xlfn.XLOOKUP(A273&amp;B273&amp;C273,盘货信息!$A:$A&amp;盘货信息!$B:$B&amp;盘货信息!$C:$C,盘货信息!$M:$M)="","",_xlfn.XLOOKUP(A273&amp;B273&amp;C273,盘货信息!$A:$A&amp;盘货信息!$B:$B&amp;盘货信息!$C:$C,盘货信息!$M:$M)&amp;"元消费券"))</f>
        <v/>
      </c>
      <c r="M273" s="18" t="str">
        <f t="array" ref="M273">IF(C273="","",IF(_xlfn.XLOOKUP(A273&amp;B273&amp;C273,盘货信息!$A:$A&amp;盘货信息!$B:$B&amp;盘货信息!$C:$C,盘货信息!$G:$G)="不参加","","焕新补贴优惠【全民可用，不限地址】"))</f>
        <v/>
      </c>
    </row>
    <row r="274" customHeight="1" spans="1:13">
      <c r="A274" s="17" t="str">
        <f>IF(盘货信息!A274="","",盘货信息!A274)</f>
        <v/>
      </c>
      <c r="B274" s="17" t="str">
        <f>IF(盘货信息!B274="","",盘货信息!B274)</f>
        <v/>
      </c>
      <c r="C274" s="18" t="str">
        <f>IF(盘货信息!C274="","",盘货信息!C274)</f>
        <v/>
      </c>
      <c r="D274" s="18" t="str">
        <f t="shared" si="4"/>
        <v/>
      </c>
      <c r="E274" s="18" t="str">
        <f t="array" ref="E274">IF(C274="","",IF(_xlfn.XLOOKUP(A274&amp;B274&amp;C274,盘货信息!$A:$A&amp;盘货信息!$B:$B&amp;盘货信息!$C:$C,盘货信息!$N:$N)="","【立减到手价"&amp;_xlfn.XLOOKUP(A274&amp;B274&amp;C274,盘货信息!$A:$A&amp;盘货信息!$B:$B&amp;盘货信息!$C:$C,盘货信息!$F:$F)&amp;"元】","【焕新补贴预估价"&amp;_xlfn.XLOOKUP(A274&amp;B274&amp;C274,盘货信息!$A:$A&amp;盘货信息!$B:$B&amp;盘货信息!$C:$C,盘货信息!$N:$N)&amp;"元】"))</f>
        <v/>
      </c>
      <c r="F274" s="18" t="str">
        <f t="array" ref="F274">IF(C274="","",_xlfn.XLOOKUP(A274&amp;B274&amp;C274,盘货信息!$A:$A&amp;盘货信息!$B:$B&amp;盘货信息!$C:$C,盘货信息!$E:$E)&amp;"元到手价")</f>
        <v/>
      </c>
      <c r="G274" s="18" t="str">
        <f t="array" ref="G274">IF(C274="","",IF(_xlfn.XLOOKUP(A274&amp;B274&amp;C274,盘货信息!$A:$A&amp;盘货信息!$B:$B&amp;盘货信息!$C:$C,盘货信息!$I:$I)="","","88VIP95折"))</f>
        <v/>
      </c>
      <c r="H274" s="18" t="str">
        <f t="array" ref="H274">IF(C274="","",IF(_xlfn.XLOOKUP(A274&amp;B274&amp;C274,盘货信息!$A:$A&amp;盘货信息!$B:$B&amp;盘货信息!$C:$C,盘货信息!$J:$J)="","",_xlfn.XLOOKUP(A274&amp;B274&amp;C274,盘货信息!$A:$A&amp;盘货信息!$B:$B&amp;盘货信息!$C:$C,盘货信息!$J:$J)&amp;"元优惠卷"))</f>
        <v/>
      </c>
      <c r="I274" s="18" t="str">
        <f t="array" ref="I274">IF(C274="","",IF(_xlfn.XLOOKUP(A274&amp;B274&amp;C274,盘货信息!$A:$A&amp;盘货信息!$B:$B&amp;盘货信息!$C:$C,盘货信息!$R:$R)="","",_xlfn.XLOOKUP(A274&amp;B274&amp;C274,盘货信息!$A:$A&amp;盘货信息!$B:$B&amp;盘货信息!$C:$C,盘货信息!$R:$R)&amp;"元优惠卷"))</f>
        <v/>
      </c>
      <c r="J274" s="18" t="str">
        <f t="array" ref="J274">IF(C274="","",IF(_xlfn.XLOOKUP(A274&amp;B274&amp;C274,盘货信息!$A:$A&amp;盘货信息!$B:$B&amp;盘货信息!$C:$C,盘货信息!$K:$K)="","",IF(OR(_xlfn.XLOOKUP(A274&amp;B274&amp;C274,盘货信息!$A:$A&amp;盘货信息!$B:$B&amp;盘货信息!$C:$C,盘货信息!$G:$G)="参加",_xlfn.XLOOKUP(A274&amp;B274&amp;C274,盘货信息!$A:$A&amp;盘货信息!$B:$B&amp;盘货信息!$C:$C,盘货信息!$H:$H)="1（纯自补）"),_xlfn.XLOOKUP(A274&amp;B274&amp;C274,盘货信息!$A:$A&amp;盘货信息!$B:$B&amp;盘货信息!$C:$C,盘货信息!$K:$K)&amp;"元以旧换新（可无旧机换新）","")))</f>
        <v/>
      </c>
      <c r="K274" s="18" t="str">
        <f t="array" ref="K274">IF(C274="","",IF(_xlfn.XLOOKUP(A274&amp;B274&amp;C274,盘货信息!$A:$A&amp;盘货信息!$B:$B&amp;盘货信息!$C:$C,盘货信息!$L:$L)="","",_xlfn.XLOOKUP(A274&amp;B274&amp;C274,盘货信息!$A:$A&amp;盘货信息!$B:$B&amp;盘货信息!$C:$C,盘货信息!$L:$L)&amp;"元限时补贴"))</f>
        <v/>
      </c>
      <c r="L274" s="18" t="str">
        <f t="array" ref="L274">IF(C274="","",IF(_xlfn.XLOOKUP(A274&amp;B274&amp;C274,盘货信息!$A:$A&amp;盘货信息!$B:$B&amp;盘货信息!$C:$C,盘货信息!$M:$M)="","",_xlfn.XLOOKUP(A274&amp;B274&amp;C274,盘货信息!$A:$A&amp;盘货信息!$B:$B&amp;盘货信息!$C:$C,盘货信息!$M:$M)&amp;"元消费券"))</f>
        <v/>
      </c>
      <c r="M274" s="18" t="str">
        <f t="array" ref="M274">IF(C274="","",IF(_xlfn.XLOOKUP(A274&amp;B274&amp;C274,盘货信息!$A:$A&amp;盘货信息!$B:$B&amp;盘货信息!$C:$C,盘货信息!$G:$G)="不参加","","焕新补贴优惠【全民可用，不限地址】"))</f>
        <v/>
      </c>
    </row>
    <row r="275" customHeight="1" spans="1:13">
      <c r="A275" s="17" t="str">
        <f>IF(盘货信息!A275="","",盘货信息!A275)</f>
        <v/>
      </c>
      <c r="B275" s="17" t="str">
        <f>IF(盘货信息!B275="","",盘货信息!B275)</f>
        <v/>
      </c>
      <c r="C275" s="18" t="str">
        <f>IF(盘货信息!C275="","",盘货信息!C275)</f>
        <v/>
      </c>
      <c r="D275" s="18" t="str">
        <f t="shared" si="4"/>
        <v/>
      </c>
      <c r="E275" s="18" t="str">
        <f t="array" ref="E275">IF(C275="","",IF(_xlfn.XLOOKUP(A275&amp;B275&amp;C275,盘货信息!$A:$A&amp;盘货信息!$B:$B&amp;盘货信息!$C:$C,盘货信息!$N:$N)="","【立减到手价"&amp;_xlfn.XLOOKUP(A275&amp;B275&amp;C275,盘货信息!$A:$A&amp;盘货信息!$B:$B&amp;盘货信息!$C:$C,盘货信息!$F:$F)&amp;"元】","【焕新补贴预估价"&amp;_xlfn.XLOOKUP(A275&amp;B275&amp;C275,盘货信息!$A:$A&amp;盘货信息!$B:$B&amp;盘货信息!$C:$C,盘货信息!$N:$N)&amp;"元】"))</f>
        <v/>
      </c>
      <c r="F275" s="18" t="str">
        <f t="array" ref="F275">IF(C275="","",_xlfn.XLOOKUP(A275&amp;B275&amp;C275,盘货信息!$A:$A&amp;盘货信息!$B:$B&amp;盘货信息!$C:$C,盘货信息!$E:$E)&amp;"元到手价")</f>
        <v/>
      </c>
      <c r="G275" s="18" t="str">
        <f t="array" ref="G275">IF(C275="","",IF(_xlfn.XLOOKUP(A275&amp;B275&amp;C275,盘货信息!$A:$A&amp;盘货信息!$B:$B&amp;盘货信息!$C:$C,盘货信息!$I:$I)="","","88VIP95折"))</f>
        <v/>
      </c>
      <c r="H275" s="18" t="str">
        <f t="array" ref="H275">IF(C275="","",IF(_xlfn.XLOOKUP(A275&amp;B275&amp;C275,盘货信息!$A:$A&amp;盘货信息!$B:$B&amp;盘货信息!$C:$C,盘货信息!$J:$J)="","",_xlfn.XLOOKUP(A275&amp;B275&amp;C275,盘货信息!$A:$A&amp;盘货信息!$B:$B&amp;盘货信息!$C:$C,盘货信息!$J:$J)&amp;"元优惠卷"))</f>
        <v/>
      </c>
      <c r="I275" s="18" t="str">
        <f t="array" ref="I275">IF(C275="","",IF(_xlfn.XLOOKUP(A275&amp;B275&amp;C275,盘货信息!$A:$A&amp;盘货信息!$B:$B&amp;盘货信息!$C:$C,盘货信息!$R:$R)="","",_xlfn.XLOOKUP(A275&amp;B275&amp;C275,盘货信息!$A:$A&amp;盘货信息!$B:$B&amp;盘货信息!$C:$C,盘货信息!$R:$R)&amp;"元优惠卷"))</f>
        <v/>
      </c>
      <c r="J275" s="18" t="str">
        <f t="array" ref="J275">IF(C275="","",IF(_xlfn.XLOOKUP(A275&amp;B275&amp;C275,盘货信息!$A:$A&amp;盘货信息!$B:$B&amp;盘货信息!$C:$C,盘货信息!$K:$K)="","",IF(OR(_xlfn.XLOOKUP(A275&amp;B275&amp;C275,盘货信息!$A:$A&amp;盘货信息!$B:$B&amp;盘货信息!$C:$C,盘货信息!$G:$G)="参加",_xlfn.XLOOKUP(A275&amp;B275&amp;C275,盘货信息!$A:$A&amp;盘货信息!$B:$B&amp;盘货信息!$C:$C,盘货信息!$H:$H)="1（纯自补）"),_xlfn.XLOOKUP(A275&amp;B275&amp;C275,盘货信息!$A:$A&amp;盘货信息!$B:$B&amp;盘货信息!$C:$C,盘货信息!$K:$K)&amp;"元以旧换新（可无旧机换新）","")))</f>
        <v/>
      </c>
      <c r="K275" s="18" t="str">
        <f t="array" ref="K275">IF(C275="","",IF(_xlfn.XLOOKUP(A275&amp;B275&amp;C275,盘货信息!$A:$A&amp;盘货信息!$B:$B&amp;盘货信息!$C:$C,盘货信息!$L:$L)="","",_xlfn.XLOOKUP(A275&amp;B275&amp;C275,盘货信息!$A:$A&amp;盘货信息!$B:$B&amp;盘货信息!$C:$C,盘货信息!$L:$L)&amp;"元限时补贴"))</f>
        <v/>
      </c>
      <c r="L275" s="18" t="str">
        <f t="array" ref="L275">IF(C275="","",IF(_xlfn.XLOOKUP(A275&amp;B275&amp;C275,盘货信息!$A:$A&amp;盘货信息!$B:$B&amp;盘货信息!$C:$C,盘货信息!$M:$M)="","",_xlfn.XLOOKUP(A275&amp;B275&amp;C275,盘货信息!$A:$A&amp;盘货信息!$B:$B&amp;盘货信息!$C:$C,盘货信息!$M:$M)&amp;"元消费券"))</f>
        <v/>
      </c>
      <c r="M275" s="18" t="str">
        <f t="array" ref="M275">IF(C275="","",IF(_xlfn.XLOOKUP(A275&amp;B275&amp;C275,盘货信息!$A:$A&amp;盘货信息!$B:$B&amp;盘货信息!$C:$C,盘货信息!$G:$G)="不参加","","焕新补贴优惠【全民可用，不限地址】"))</f>
        <v/>
      </c>
    </row>
    <row r="276" customHeight="1" spans="1:13">
      <c r="A276" s="17" t="str">
        <f>IF(盘货信息!A276="","",盘货信息!A276)</f>
        <v/>
      </c>
      <c r="B276" s="17" t="str">
        <f>IF(盘货信息!B276="","",盘货信息!B276)</f>
        <v/>
      </c>
      <c r="C276" s="18" t="str">
        <f>IF(盘货信息!C276="","",盘货信息!C276)</f>
        <v/>
      </c>
      <c r="D276" s="18" t="str">
        <f t="shared" si="4"/>
        <v/>
      </c>
      <c r="E276" s="18" t="str">
        <f t="array" ref="E276">IF(C276="","",IF(_xlfn.XLOOKUP(A276&amp;B276&amp;C276,盘货信息!$A:$A&amp;盘货信息!$B:$B&amp;盘货信息!$C:$C,盘货信息!$N:$N)="","【立减到手价"&amp;_xlfn.XLOOKUP(A276&amp;B276&amp;C276,盘货信息!$A:$A&amp;盘货信息!$B:$B&amp;盘货信息!$C:$C,盘货信息!$F:$F)&amp;"元】","【焕新补贴预估价"&amp;_xlfn.XLOOKUP(A276&amp;B276&amp;C276,盘货信息!$A:$A&amp;盘货信息!$B:$B&amp;盘货信息!$C:$C,盘货信息!$N:$N)&amp;"元】"))</f>
        <v/>
      </c>
      <c r="F276" s="18" t="str">
        <f t="array" ref="F276">IF(C276="","",_xlfn.XLOOKUP(A276&amp;B276&amp;C276,盘货信息!$A:$A&amp;盘货信息!$B:$B&amp;盘货信息!$C:$C,盘货信息!$E:$E)&amp;"元到手价")</f>
        <v/>
      </c>
      <c r="G276" s="18" t="str">
        <f t="array" ref="G276">IF(C276="","",IF(_xlfn.XLOOKUP(A276&amp;B276&amp;C276,盘货信息!$A:$A&amp;盘货信息!$B:$B&amp;盘货信息!$C:$C,盘货信息!$I:$I)="","","88VIP95折"))</f>
        <v/>
      </c>
      <c r="H276" s="18" t="str">
        <f t="array" ref="H276">IF(C276="","",IF(_xlfn.XLOOKUP(A276&amp;B276&amp;C276,盘货信息!$A:$A&amp;盘货信息!$B:$B&amp;盘货信息!$C:$C,盘货信息!$J:$J)="","",_xlfn.XLOOKUP(A276&amp;B276&amp;C276,盘货信息!$A:$A&amp;盘货信息!$B:$B&amp;盘货信息!$C:$C,盘货信息!$J:$J)&amp;"元优惠卷"))</f>
        <v/>
      </c>
      <c r="I276" s="18" t="str">
        <f t="array" ref="I276">IF(C276="","",IF(_xlfn.XLOOKUP(A276&amp;B276&amp;C276,盘货信息!$A:$A&amp;盘货信息!$B:$B&amp;盘货信息!$C:$C,盘货信息!$R:$R)="","",_xlfn.XLOOKUP(A276&amp;B276&amp;C276,盘货信息!$A:$A&amp;盘货信息!$B:$B&amp;盘货信息!$C:$C,盘货信息!$R:$R)&amp;"元优惠卷"))</f>
        <v/>
      </c>
      <c r="J276" s="18" t="str">
        <f t="array" ref="J276">IF(C276="","",IF(_xlfn.XLOOKUP(A276&amp;B276&amp;C276,盘货信息!$A:$A&amp;盘货信息!$B:$B&amp;盘货信息!$C:$C,盘货信息!$K:$K)="","",IF(OR(_xlfn.XLOOKUP(A276&amp;B276&amp;C276,盘货信息!$A:$A&amp;盘货信息!$B:$B&amp;盘货信息!$C:$C,盘货信息!$G:$G)="参加",_xlfn.XLOOKUP(A276&amp;B276&amp;C276,盘货信息!$A:$A&amp;盘货信息!$B:$B&amp;盘货信息!$C:$C,盘货信息!$H:$H)="1（纯自补）"),_xlfn.XLOOKUP(A276&amp;B276&amp;C276,盘货信息!$A:$A&amp;盘货信息!$B:$B&amp;盘货信息!$C:$C,盘货信息!$K:$K)&amp;"元以旧换新（可无旧机换新）","")))</f>
        <v/>
      </c>
      <c r="K276" s="18" t="str">
        <f t="array" ref="K276">IF(C276="","",IF(_xlfn.XLOOKUP(A276&amp;B276&amp;C276,盘货信息!$A:$A&amp;盘货信息!$B:$B&amp;盘货信息!$C:$C,盘货信息!$L:$L)="","",_xlfn.XLOOKUP(A276&amp;B276&amp;C276,盘货信息!$A:$A&amp;盘货信息!$B:$B&amp;盘货信息!$C:$C,盘货信息!$L:$L)&amp;"元限时补贴"))</f>
        <v/>
      </c>
      <c r="L276" s="18" t="str">
        <f t="array" ref="L276">IF(C276="","",IF(_xlfn.XLOOKUP(A276&amp;B276&amp;C276,盘货信息!$A:$A&amp;盘货信息!$B:$B&amp;盘货信息!$C:$C,盘货信息!$M:$M)="","",_xlfn.XLOOKUP(A276&amp;B276&amp;C276,盘货信息!$A:$A&amp;盘货信息!$B:$B&amp;盘货信息!$C:$C,盘货信息!$M:$M)&amp;"元消费券"))</f>
        <v/>
      </c>
      <c r="M276" s="18" t="str">
        <f t="array" ref="M276">IF(C276="","",IF(_xlfn.XLOOKUP(A276&amp;B276&amp;C276,盘货信息!$A:$A&amp;盘货信息!$B:$B&amp;盘货信息!$C:$C,盘货信息!$G:$G)="不参加","","焕新补贴优惠【全民可用，不限地址】"))</f>
        <v/>
      </c>
    </row>
    <row r="277" customHeight="1" spans="1:13">
      <c r="A277" s="17" t="str">
        <f>IF(盘货信息!A277="","",盘货信息!A277)</f>
        <v/>
      </c>
      <c r="B277" s="17" t="str">
        <f>IF(盘货信息!B277="","",盘货信息!B277)</f>
        <v/>
      </c>
      <c r="C277" s="18" t="str">
        <f>IF(盘货信息!C277="","",盘货信息!C277)</f>
        <v/>
      </c>
      <c r="D277" s="18" t="str">
        <f t="shared" si="4"/>
        <v/>
      </c>
      <c r="E277" s="18" t="str">
        <f t="array" ref="E277">IF(C277="","",IF(_xlfn.XLOOKUP(A277&amp;B277&amp;C277,盘货信息!$A:$A&amp;盘货信息!$B:$B&amp;盘货信息!$C:$C,盘货信息!$N:$N)="","【立减到手价"&amp;_xlfn.XLOOKUP(A277&amp;B277&amp;C277,盘货信息!$A:$A&amp;盘货信息!$B:$B&amp;盘货信息!$C:$C,盘货信息!$F:$F)&amp;"元】","【焕新补贴预估价"&amp;_xlfn.XLOOKUP(A277&amp;B277&amp;C277,盘货信息!$A:$A&amp;盘货信息!$B:$B&amp;盘货信息!$C:$C,盘货信息!$N:$N)&amp;"元】"))</f>
        <v/>
      </c>
      <c r="F277" s="18" t="str">
        <f t="array" ref="F277">IF(C277="","",_xlfn.XLOOKUP(A277&amp;B277&amp;C277,盘货信息!$A:$A&amp;盘货信息!$B:$B&amp;盘货信息!$C:$C,盘货信息!$E:$E)&amp;"元到手价")</f>
        <v/>
      </c>
      <c r="G277" s="18" t="str">
        <f t="array" ref="G277">IF(C277="","",IF(_xlfn.XLOOKUP(A277&amp;B277&amp;C277,盘货信息!$A:$A&amp;盘货信息!$B:$B&amp;盘货信息!$C:$C,盘货信息!$I:$I)="","","88VIP95折"))</f>
        <v/>
      </c>
      <c r="H277" s="18" t="str">
        <f t="array" ref="H277">IF(C277="","",IF(_xlfn.XLOOKUP(A277&amp;B277&amp;C277,盘货信息!$A:$A&amp;盘货信息!$B:$B&amp;盘货信息!$C:$C,盘货信息!$J:$J)="","",_xlfn.XLOOKUP(A277&amp;B277&amp;C277,盘货信息!$A:$A&amp;盘货信息!$B:$B&amp;盘货信息!$C:$C,盘货信息!$J:$J)&amp;"元优惠卷"))</f>
        <v/>
      </c>
      <c r="I277" s="18" t="str">
        <f t="array" ref="I277">IF(C277="","",IF(_xlfn.XLOOKUP(A277&amp;B277&amp;C277,盘货信息!$A:$A&amp;盘货信息!$B:$B&amp;盘货信息!$C:$C,盘货信息!$R:$R)="","",_xlfn.XLOOKUP(A277&amp;B277&amp;C277,盘货信息!$A:$A&amp;盘货信息!$B:$B&amp;盘货信息!$C:$C,盘货信息!$R:$R)&amp;"元优惠卷"))</f>
        <v/>
      </c>
      <c r="J277" s="18" t="str">
        <f t="array" ref="J277">IF(C277="","",IF(_xlfn.XLOOKUP(A277&amp;B277&amp;C277,盘货信息!$A:$A&amp;盘货信息!$B:$B&amp;盘货信息!$C:$C,盘货信息!$K:$K)="","",IF(OR(_xlfn.XLOOKUP(A277&amp;B277&amp;C277,盘货信息!$A:$A&amp;盘货信息!$B:$B&amp;盘货信息!$C:$C,盘货信息!$G:$G)="参加",_xlfn.XLOOKUP(A277&amp;B277&amp;C277,盘货信息!$A:$A&amp;盘货信息!$B:$B&amp;盘货信息!$C:$C,盘货信息!$H:$H)="1（纯自补）"),_xlfn.XLOOKUP(A277&amp;B277&amp;C277,盘货信息!$A:$A&amp;盘货信息!$B:$B&amp;盘货信息!$C:$C,盘货信息!$K:$K)&amp;"元以旧换新（可无旧机换新）","")))</f>
        <v/>
      </c>
      <c r="K277" s="18" t="str">
        <f t="array" ref="K277">IF(C277="","",IF(_xlfn.XLOOKUP(A277&amp;B277&amp;C277,盘货信息!$A:$A&amp;盘货信息!$B:$B&amp;盘货信息!$C:$C,盘货信息!$L:$L)="","",_xlfn.XLOOKUP(A277&amp;B277&amp;C277,盘货信息!$A:$A&amp;盘货信息!$B:$B&amp;盘货信息!$C:$C,盘货信息!$L:$L)&amp;"元限时补贴"))</f>
        <v/>
      </c>
      <c r="L277" s="18" t="str">
        <f t="array" ref="L277">IF(C277="","",IF(_xlfn.XLOOKUP(A277&amp;B277&amp;C277,盘货信息!$A:$A&amp;盘货信息!$B:$B&amp;盘货信息!$C:$C,盘货信息!$M:$M)="","",_xlfn.XLOOKUP(A277&amp;B277&amp;C277,盘货信息!$A:$A&amp;盘货信息!$B:$B&amp;盘货信息!$C:$C,盘货信息!$M:$M)&amp;"元消费券"))</f>
        <v/>
      </c>
      <c r="M277" s="18" t="str">
        <f t="array" ref="M277">IF(C277="","",IF(_xlfn.XLOOKUP(A277&amp;B277&amp;C277,盘货信息!$A:$A&amp;盘货信息!$B:$B&amp;盘货信息!$C:$C,盘货信息!$G:$G)="不参加","","焕新补贴优惠【全民可用，不限地址】"))</f>
        <v/>
      </c>
    </row>
    <row r="278" customHeight="1" spans="1:13">
      <c r="A278" s="17" t="str">
        <f>IF(盘货信息!A278="","",盘货信息!A278)</f>
        <v/>
      </c>
      <c r="B278" s="17" t="str">
        <f>IF(盘货信息!B278="","",盘货信息!B278)</f>
        <v/>
      </c>
      <c r="C278" s="18" t="str">
        <f>IF(盘货信息!C278="","",盘货信息!C278)</f>
        <v/>
      </c>
      <c r="D278" s="18" t="str">
        <f t="shared" si="4"/>
        <v/>
      </c>
      <c r="E278" s="18" t="str">
        <f t="array" ref="E278">IF(C278="","",IF(_xlfn.XLOOKUP(A278&amp;B278&amp;C278,盘货信息!$A:$A&amp;盘货信息!$B:$B&amp;盘货信息!$C:$C,盘货信息!$N:$N)="","【立减到手价"&amp;_xlfn.XLOOKUP(A278&amp;B278&amp;C278,盘货信息!$A:$A&amp;盘货信息!$B:$B&amp;盘货信息!$C:$C,盘货信息!$F:$F)&amp;"元】","【焕新补贴预估价"&amp;_xlfn.XLOOKUP(A278&amp;B278&amp;C278,盘货信息!$A:$A&amp;盘货信息!$B:$B&amp;盘货信息!$C:$C,盘货信息!$N:$N)&amp;"元】"))</f>
        <v/>
      </c>
      <c r="F278" s="18" t="str">
        <f t="array" ref="F278">IF(C278="","",_xlfn.XLOOKUP(A278&amp;B278&amp;C278,盘货信息!$A:$A&amp;盘货信息!$B:$B&amp;盘货信息!$C:$C,盘货信息!$E:$E)&amp;"元到手价")</f>
        <v/>
      </c>
      <c r="G278" s="18" t="str">
        <f t="array" ref="G278">IF(C278="","",IF(_xlfn.XLOOKUP(A278&amp;B278&amp;C278,盘货信息!$A:$A&amp;盘货信息!$B:$B&amp;盘货信息!$C:$C,盘货信息!$I:$I)="","","88VIP95折"))</f>
        <v/>
      </c>
      <c r="H278" s="18" t="str">
        <f t="array" ref="H278">IF(C278="","",IF(_xlfn.XLOOKUP(A278&amp;B278&amp;C278,盘货信息!$A:$A&amp;盘货信息!$B:$B&amp;盘货信息!$C:$C,盘货信息!$J:$J)="","",_xlfn.XLOOKUP(A278&amp;B278&amp;C278,盘货信息!$A:$A&amp;盘货信息!$B:$B&amp;盘货信息!$C:$C,盘货信息!$J:$J)&amp;"元优惠卷"))</f>
        <v/>
      </c>
      <c r="I278" s="18" t="str">
        <f t="array" ref="I278">IF(C278="","",IF(_xlfn.XLOOKUP(A278&amp;B278&amp;C278,盘货信息!$A:$A&amp;盘货信息!$B:$B&amp;盘货信息!$C:$C,盘货信息!$R:$R)="","",_xlfn.XLOOKUP(A278&amp;B278&amp;C278,盘货信息!$A:$A&amp;盘货信息!$B:$B&amp;盘货信息!$C:$C,盘货信息!$R:$R)&amp;"元优惠卷"))</f>
        <v/>
      </c>
      <c r="J278" s="18" t="str">
        <f t="array" ref="J278">IF(C278="","",IF(_xlfn.XLOOKUP(A278&amp;B278&amp;C278,盘货信息!$A:$A&amp;盘货信息!$B:$B&amp;盘货信息!$C:$C,盘货信息!$K:$K)="","",IF(OR(_xlfn.XLOOKUP(A278&amp;B278&amp;C278,盘货信息!$A:$A&amp;盘货信息!$B:$B&amp;盘货信息!$C:$C,盘货信息!$G:$G)="参加",_xlfn.XLOOKUP(A278&amp;B278&amp;C278,盘货信息!$A:$A&amp;盘货信息!$B:$B&amp;盘货信息!$C:$C,盘货信息!$H:$H)="1（纯自补）"),_xlfn.XLOOKUP(A278&amp;B278&amp;C278,盘货信息!$A:$A&amp;盘货信息!$B:$B&amp;盘货信息!$C:$C,盘货信息!$K:$K)&amp;"元以旧换新（可无旧机换新）","")))</f>
        <v/>
      </c>
      <c r="K278" s="18" t="str">
        <f t="array" ref="K278">IF(C278="","",IF(_xlfn.XLOOKUP(A278&amp;B278&amp;C278,盘货信息!$A:$A&amp;盘货信息!$B:$B&amp;盘货信息!$C:$C,盘货信息!$L:$L)="","",_xlfn.XLOOKUP(A278&amp;B278&amp;C278,盘货信息!$A:$A&amp;盘货信息!$B:$B&amp;盘货信息!$C:$C,盘货信息!$L:$L)&amp;"元限时补贴"))</f>
        <v/>
      </c>
      <c r="L278" s="18" t="str">
        <f t="array" ref="L278">IF(C278="","",IF(_xlfn.XLOOKUP(A278&amp;B278&amp;C278,盘货信息!$A:$A&amp;盘货信息!$B:$B&amp;盘货信息!$C:$C,盘货信息!$M:$M)="","",_xlfn.XLOOKUP(A278&amp;B278&amp;C278,盘货信息!$A:$A&amp;盘货信息!$B:$B&amp;盘货信息!$C:$C,盘货信息!$M:$M)&amp;"元消费券"))</f>
        <v/>
      </c>
      <c r="M278" s="18" t="str">
        <f t="array" ref="M278">IF(C278="","",IF(_xlfn.XLOOKUP(A278&amp;B278&amp;C278,盘货信息!$A:$A&amp;盘货信息!$B:$B&amp;盘货信息!$C:$C,盘货信息!$G:$G)="不参加","","焕新补贴优惠【全民可用，不限地址】"))</f>
        <v/>
      </c>
    </row>
    <row r="279" customHeight="1" spans="1:13">
      <c r="A279" s="17" t="str">
        <f>IF(盘货信息!A279="","",盘货信息!A279)</f>
        <v/>
      </c>
      <c r="B279" s="17" t="str">
        <f>IF(盘货信息!B279="","",盘货信息!B279)</f>
        <v/>
      </c>
      <c r="C279" s="18" t="str">
        <f>IF(盘货信息!C279="","",盘货信息!C279)</f>
        <v/>
      </c>
      <c r="D279" s="18" t="str">
        <f t="shared" si="4"/>
        <v/>
      </c>
      <c r="E279" s="18" t="str">
        <f t="array" ref="E279">IF(C279="","",IF(_xlfn.XLOOKUP(A279&amp;B279&amp;C279,盘货信息!$A:$A&amp;盘货信息!$B:$B&amp;盘货信息!$C:$C,盘货信息!$N:$N)="","【立减到手价"&amp;_xlfn.XLOOKUP(A279&amp;B279&amp;C279,盘货信息!$A:$A&amp;盘货信息!$B:$B&amp;盘货信息!$C:$C,盘货信息!$F:$F)&amp;"元】","【焕新补贴预估价"&amp;_xlfn.XLOOKUP(A279&amp;B279&amp;C279,盘货信息!$A:$A&amp;盘货信息!$B:$B&amp;盘货信息!$C:$C,盘货信息!$N:$N)&amp;"元】"))</f>
        <v/>
      </c>
      <c r="F279" s="18" t="str">
        <f t="array" ref="F279">IF(C279="","",_xlfn.XLOOKUP(A279&amp;B279&amp;C279,盘货信息!$A:$A&amp;盘货信息!$B:$B&amp;盘货信息!$C:$C,盘货信息!$E:$E)&amp;"元到手价")</f>
        <v/>
      </c>
      <c r="G279" s="18" t="str">
        <f t="array" ref="G279">IF(C279="","",IF(_xlfn.XLOOKUP(A279&amp;B279&amp;C279,盘货信息!$A:$A&amp;盘货信息!$B:$B&amp;盘货信息!$C:$C,盘货信息!$I:$I)="","","88VIP95折"))</f>
        <v/>
      </c>
      <c r="H279" s="18" t="str">
        <f t="array" ref="H279">IF(C279="","",IF(_xlfn.XLOOKUP(A279&amp;B279&amp;C279,盘货信息!$A:$A&amp;盘货信息!$B:$B&amp;盘货信息!$C:$C,盘货信息!$J:$J)="","",_xlfn.XLOOKUP(A279&amp;B279&amp;C279,盘货信息!$A:$A&amp;盘货信息!$B:$B&amp;盘货信息!$C:$C,盘货信息!$J:$J)&amp;"元优惠卷"))</f>
        <v/>
      </c>
      <c r="I279" s="18" t="str">
        <f t="array" ref="I279">IF(C279="","",IF(_xlfn.XLOOKUP(A279&amp;B279&amp;C279,盘货信息!$A:$A&amp;盘货信息!$B:$B&amp;盘货信息!$C:$C,盘货信息!$R:$R)="","",_xlfn.XLOOKUP(A279&amp;B279&amp;C279,盘货信息!$A:$A&amp;盘货信息!$B:$B&amp;盘货信息!$C:$C,盘货信息!$R:$R)&amp;"元优惠卷"))</f>
        <v/>
      </c>
      <c r="J279" s="18" t="str">
        <f t="array" ref="J279">IF(C279="","",IF(_xlfn.XLOOKUP(A279&amp;B279&amp;C279,盘货信息!$A:$A&amp;盘货信息!$B:$B&amp;盘货信息!$C:$C,盘货信息!$K:$K)="","",IF(OR(_xlfn.XLOOKUP(A279&amp;B279&amp;C279,盘货信息!$A:$A&amp;盘货信息!$B:$B&amp;盘货信息!$C:$C,盘货信息!$G:$G)="参加",_xlfn.XLOOKUP(A279&amp;B279&amp;C279,盘货信息!$A:$A&amp;盘货信息!$B:$B&amp;盘货信息!$C:$C,盘货信息!$H:$H)="1（纯自补）"),_xlfn.XLOOKUP(A279&amp;B279&amp;C279,盘货信息!$A:$A&amp;盘货信息!$B:$B&amp;盘货信息!$C:$C,盘货信息!$K:$K)&amp;"元以旧换新（可无旧机换新）","")))</f>
        <v/>
      </c>
      <c r="K279" s="18" t="str">
        <f t="array" ref="K279">IF(C279="","",IF(_xlfn.XLOOKUP(A279&amp;B279&amp;C279,盘货信息!$A:$A&amp;盘货信息!$B:$B&amp;盘货信息!$C:$C,盘货信息!$L:$L)="","",_xlfn.XLOOKUP(A279&amp;B279&amp;C279,盘货信息!$A:$A&amp;盘货信息!$B:$B&amp;盘货信息!$C:$C,盘货信息!$L:$L)&amp;"元限时补贴"))</f>
        <v/>
      </c>
      <c r="L279" s="18" t="str">
        <f t="array" ref="L279">IF(C279="","",IF(_xlfn.XLOOKUP(A279&amp;B279&amp;C279,盘货信息!$A:$A&amp;盘货信息!$B:$B&amp;盘货信息!$C:$C,盘货信息!$M:$M)="","",_xlfn.XLOOKUP(A279&amp;B279&amp;C279,盘货信息!$A:$A&amp;盘货信息!$B:$B&amp;盘货信息!$C:$C,盘货信息!$M:$M)&amp;"元消费券"))</f>
        <v/>
      </c>
      <c r="M279" s="18" t="str">
        <f t="array" ref="M279">IF(C279="","",IF(_xlfn.XLOOKUP(A279&amp;B279&amp;C279,盘货信息!$A:$A&amp;盘货信息!$B:$B&amp;盘货信息!$C:$C,盘货信息!$G:$G)="不参加","","焕新补贴优惠【全民可用，不限地址】"))</f>
        <v/>
      </c>
    </row>
    <row r="280" customHeight="1" spans="1:13">
      <c r="A280" s="17" t="str">
        <f>IF(盘货信息!A280="","",盘货信息!A280)</f>
        <v/>
      </c>
      <c r="B280" s="17" t="str">
        <f>IF(盘货信息!B280="","",盘货信息!B280)</f>
        <v/>
      </c>
      <c r="C280" s="18" t="str">
        <f>IF(盘货信息!C280="","",盘货信息!C280)</f>
        <v/>
      </c>
      <c r="D280" s="18" t="str">
        <f t="shared" si="4"/>
        <v/>
      </c>
      <c r="E280" s="18" t="str">
        <f t="array" ref="E280">IF(C280="","",IF(_xlfn.XLOOKUP(A280&amp;B280&amp;C280,盘货信息!$A:$A&amp;盘货信息!$B:$B&amp;盘货信息!$C:$C,盘货信息!$N:$N)="","【立减到手价"&amp;_xlfn.XLOOKUP(A280&amp;B280&amp;C280,盘货信息!$A:$A&amp;盘货信息!$B:$B&amp;盘货信息!$C:$C,盘货信息!$F:$F)&amp;"元】","【焕新补贴预估价"&amp;_xlfn.XLOOKUP(A280&amp;B280&amp;C280,盘货信息!$A:$A&amp;盘货信息!$B:$B&amp;盘货信息!$C:$C,盘货信息!$N:$N)&amp;"元】"))</f>
        <v/>
      </c>
      <c r="F280" s="18" t="str">
        <f t="array" ref="F280">IF(C280="","",_xlfn.XLOOKUP(A280&amp;B280&amp;C280,盘货信息!$A:$A&amp;盘货信息!$B:$B&amp;盘货信息!$C:$C,盘货信息!$E:$E)&amp;"元到手价")</f>
        <v/>
      </c>
      <c r="G280" s="18" t="str">
        <f t="array" ref="G280">IF(C280="","",IF(_xlfn.XLOOKUP(A280&amp;B280&amp;C280,盘货信息!$A:$A&amp;盘货信息!$B:$B&amp;盘货信息!$C:$C,盘货信息!$I:$I)="","","88VIP95折"))</f>
        <v/>
      </c>
      <c r="H280" s="18" t="str">
        <f t="array" ref="H280">IF(C280="","",IF(_xlfn.XLOOKUP(A280&amp;B280&amp;C280,盘货信息!$A:$A&amp;盘货信息!$B:$B&amp;盘货信息!$C:$C,盘货信息!$J:$J)="","",_xlfn.XLOOKUP(A280&amp;B280&amp;C280,盘货信息!$A:$A&amp;盘货信息!$B:$B&amp;盘货信息!$C:$C,盘货信息!$J:$J)&amp;"元优惠卷"))</f>
        <v/>
      </c>
      <c r="I280" s="18" t="str">
        <f t="array" ref="I280">IF(C280="","",IF(_xlfn.XLOOKUP(A280&amp;B280&amp;C280,盘货信息!$A:$A&amp;盘货信息!$B:$B&amp;盘货信息!$C:$C,盘货信息!$R:$R)="","",_xlfn.XLOOKUP(A280&amp;B280&amp;C280,盘货信息!$A:$A&amp;盘货信息!$B:$B&amp;盘货信息!$C:$C,盘货信息!$R:$R)&amp;"元优惠卷"))</f>
        <v/>
      </c>
      <c r="J280" s="18" t="str">
        <f t="array" ref="J280">IF(C280="","",IF(_xlfn.XLOOKUP(A280&amp;B280&amp;C280,盘货信息!$A:$A&amp;盘货信息!$B:$B&amp;盘货信息!$C:$C,盘货信息!$K:$K)="","",IF(OR(_xlfn.XLOOKUP(A280&amp;B280&amp;C280,盘货信息!$A:$A&amp;盘货信息!$B:$B&amp;盘货信息!$C:$C,盘货信息!$G:$G)="参加",_xlfn.XLOOKUP(A280&amp;B280&amp;C280,盘货信息!$A:$A&amp;盘货信息!$B:$B&amp;盘货信息!$C:$C,盘货信息!$H:$H)="1（纯自补）"),_xlfn.XLOOKUP(A280&amp;B280&amp;C280,盘货信息!$A:$A&amp;盘货信息!$B:$B&amp;盘货信息!$C:$C,盘货信息!$K:$K)&amp;"元以旧换新（可无旧机换新）","")))</f>
        <v/>
      </c>
      <c r="K280" s="18" t="str">
        <f t="array" ref="K280">IF(C280="","",IF(_xlfn.XLOOKUP(A280&amp;B280&amp;C280,盘货信息!$A:$A&amp;盘货信息!$B:$B&amp;盘货信息!$C:$C,盘货信息!$L:$L)="","",_xlfn.XLOOKUP(A280&amp;B280&amp;C280,盘货信息!$A:$A&amp;盘货信息!$B:$B&amp;盘货信息!$C:$C,盘货信息!$L:$L)&amp;"元限时补贴"))</f>
        <v/>
      </c>
      <c r="L280" s="18" t="str">
        <f t="array" ref="L280">IF(C280="","",IF(_xlfn.XLOOKUP(A280&amp;B280&amp;C280,盘货信息!$A:$A&amp;盘货信息!$B:$B&amp;盘货信息!$C:$C,盘货信息!$M:$M)="","",_xlfn.XLOOKUP(A280&amp;B280&amp;C280,盘货信息!$A:$A&amp;盘货信息!$B:$B&amp;盘货信息!$C:$C,盘货信息!$M:$M)&amp;"元消费券"))</f>
        <v/>
      </c>
      <c r="M280" s="18" t="str">
        <f t="array" ref="M280">IF(C280="","",IF(_xlfn.XLOOKUP(A280&amp;B280&amp;C280,盘货信息!$A:$A&amp;盘货信息!$B:$B&amp;盘货信息!$C:$C,盘货信息!$G:$G)="不参加","","焕新补贴优惠【全民可用，不限地址】"))</f>
        <v/>
      </c>
    </row>
    <row r="281" customHeight="1" spans="1:13">
      <c r="A281" s="17" t="str">
        <f>IF(盘货信息!A281="","",盘货信息!A281)</f>
        <v/>
      </c>
      <c r="B281" s="17" t="str">
        <f>IF(盘货信息!B281="","",盘货信息!B281)</f>
        <v/>
      </c>
      <c r="C281" s="18" t="str">
        <f>IF(盘货信息!C281="","",盘货信息!C281)</f>
        <v/>
      </c>
      <c r="D281" s="18" t="str">
        <f t="shared" si="4"/>
        <v/>
      </c>
      <c r="E281" s="18" t="str">
        <f t="array" ref="E281">IF(C281="","",IF(_xlfn.XLOOKUP(A281&amp;B281&amp;C281,盘货信息!$A:$A&amp;盘货信息!$B:$B&amp;盘货信息!$C:$C,盘货信息!$N:$N)="","【立减到手价"&amp;_xlfn.XLOOKUP(A281&amp;B281&amp;C281,盘货信息!$A:$A&amp;盘货信息!$B:$B&amp;盘货信息!$C:$C,盘货信息!$F:$F)&amp;"元】","【焕新补贴预估价"&amp;_xlfn.XLOOKUP(A281&amp;B281&amp;C281,盘货信息!$A:$A&amp;盘货信息!$B:$B&amp;盘货信息!$C:$C,盘货信息!$N:$N)&amp;"元】"))</f>
        <v/>
      </c>
      <c r="F281" s="18" t="str">
        <f t="array" ref="F281">IF(C281="","",_xlfn.XLOOKUP(A281&amp;B281&amp;C281,盘货信息!$A:$A&amp;盘货信息!$B:$B&amp;盘货信息!$C:$C,盘货信息!$E:$E)&amp;"元到手价")</f>
        <v/>
      </c>
      <c r="G281" s="18" t="str">
        <f t="array" ref="G281">IF(C281="","",IF(_xlfn.XLOOKUP(A281&amp;B281&amp;C281,盘货信息!$A:$A&amp;盘货信息!$B:$B&amp;盘货信息!$C:$C,盘货信息!$I:$I)="","","88VIP95折"))</f>
        <v/>
      </c>
      <c r="H281" s="18" t="str">
        <f t="array" ref="H281">IF(C281="","",IF(_xlfn.XLOOKUP(A281&amp;B281&amp;C281,盘货信息!$A:$A&amp;盘货信息!$B:$B&amp;盘货信息!$C:$C,盘货信息!$J:$J)="","",_xlfn.XLOOKUP(A281&amp;B281&amp;C281,盘货信息!$A:$A&amp;盘货信息!$B:$B&amp;盘货信息!$C:$C,盘货信息!$J:$J)&amp;"元优惠卷"))</f>
        <v/>
      </c>
      <c r="I281" s="18" t="str">
        <f t="array" ref="I281">IF(C281="","",IF(_xlfn.XLOOKUP(A281&amp;B281&amp;C281,盘货信息!$A:$A&amp;盘货信息!$B:$B&amp;盘货信息!$C:$C,盘货信息!$R:$R)="","",_xlfn.XLOOKUP(A281&amp;B281&amp;C281,盘货信息!$A:$A&amp;盘货信息!$B:$B&amp;盘货信息!$C:$C,盘货信息!$R:$R)&amp;"元优惠卷"))</f>
        <v/>
      </c>
      <c r="J281" s="18" t="str">
        <f t="array" ref="J281">IF(C281="","",IF(_xlfn.XLOOKUP(A281&amp;B281&amp;C281,盘货信息!$A:$A&amp;盘货信息!$B:$B&amp;盘货信息!$C:$C,盘货信息!$K:$K)="","",IF(OR(_xlfn.XLOOKUP(A281&amp;B281&amp;C281,盘货信息!$A:$A&amp;盘货信息!$B:$B&amp;盘货信息!$C:$C,盘货信息!$G:$G)="参加",_xlfn.XLOOKUP(A281&amp;B281&amp;C281,盘货信息!$A:$A&amp;盘货信息!$B:$B&amp;盘货信息!$C:$C,盘货信息!$H:$H)="1（纯自补）"),_xlfn.XLOOKUP(A281&amp;B281&amp;C281,盘货信息!$A:$A&amp;盘货信息!$B:$B&amp;盘货信息!$C:$C,盘货信息!$K:$K)&amp;"元以旧换新（可无旧机换新）","")))</f>
        <v/>
      </c>
      <c r="K281" s="18" t="str">
        <f t="array" ref="K281">IF(C281="","",IF(_xlfn.XLOOKUP(A281&amp;B281&amp;C281,盘货信息!$A:$A&amp;盘货信息!$B:$B&amp;盘货信息!$C:$C,盘货信息!$L:$L)="","",_xlfn.XLOOKUP(A281&amp;B281&amp;C281,盘货信息!$A:$A&amp;盘货信息!$B:$B&amp;盘货信息!$C:$C,盘货信息!$L:$L)&amp;"元限时补贴"))</f>
        <v/>
      </c>
      <c r="L281" s="18" t="str">
        <f t="array" ref="L281">IF(C281="","",IF(_xlfn.XLOOKUP(A281&amp;B281&amp;C281,盘货信息!$A:$A&amp;盘货信息!$B:$B&amp;盘货信息!$C:$C,盘货信息!$M:$M)="","",_xlfn.XLOOKUP(A281&amp;B281&amp;C281,盘货信息!$A:$A&amp;盘货信息!$B:$B&amp;盘货信息!$C:$C,盘货信息!$M:$M)&amp;"元消费券"))</f>
        <v/>
      </c>
      <c r="M281" s="18" t="str">
        <f t="array" ref="M281">IF(C281="","",IF(_xlfn.XLOOKUP(A281&amp;B281&amp;C281,盘货信息!$A:$A&amp;盘货信息!$B:$B&amp;盘货信息!$C:$C,盘货信息!$G:$G)="不参加","","焕新补贴优惠【全民可用，不限地址】"))</f>
        <v/>
      </c>
    </row>
    <row r="282" customHeight="1" spans="1:13">
      <c r="A282" s="17" t="str">
        <f>IF(盘货信息!A282="","",盘货信息!A282)</f>
        <v/>
      </c>
      <c r="B282" s="17" t="str">
        <f>IF(盘货信息!B282="","",盘货信息!B282)</f>
        <v/>
      </c>
      <c r="C282" s="18" t="str">
        <f>IF(盘货信息!C282="","",盘货信息!C282)</f>
        <v/>
      </c>
      <c r="D282" s="18" t="str">
        <f t="shared" si="4"/>
        <v/>
      </c>
      <c r="E282" s="18" t="str">
        <f t="array" ref="E282">IF(C282="","",IF(_xlfn.XLOOKUP(A282&amp;B282&amp;C282,盘货信息!$A:$A&amp;盘货信息!$B:$B&amp;盘货信息!$C:$C,盘货信息!$N:$N)="","【立减到手价"&amp;_xlfn.XLOOKUP(A282&amp;B282&amp;C282,盘货信息!$A:$A&amp;盘货信息!$B:$B&amp;盘货信息!$C:$C,盘货信息!$F:$F)&amp;"元】","【焕新补贴预估价"&amp;_xlfn.XLOOKUP(A282&amp;B282&amp;C282,盘货信息!$A:$A&amp;盘货信息!$B:$B&amp;盘货信息!$C:$C,盘货信息!$N:$N)&amp;"元】"))</f>
        <v/>
      </c>
      <c r="F282" s="18" t="str">
        <f t="array" ref="F282">IF(C282="","",_xlfn.XLOOKUP(A282&amp;B282&amp;C282,盘货信息!$A:$A&amp;盘货信息!$B:$B&amp;盘货信息!$C:$C,盘货信息!$E:$E)&amp;"元到手价")</f>
        <v/>
      </c>
      <c r="G282" s="18" t="str">
        <f t="array" ref="G282">IF(C282="","",IF(_xlfn.XLOOKUP(A282&amp;B282&amp;C282,盘货信息!$A:$A&amp;盘货信息!$B:$B&amp;盘货信息!$C:$C,盘货信息!$I:$I)="","","88VIP95折"))</f>
        <v/>
      </c>
      <c r="H282" s="18" t="str">
        <f t="array" ref="H282">IF(C282="","",IF(_xlfn.XLOOKUP(A282&amp;B282&amp;C282,盘货信息!$A:$A&amp;盘货信息!$B:$B&amp;盘货信息!$C:$C,盘货信息!$J:$J)="","",_xlfn.XLOOKUP(A282&amp;B282&amp;C282,盘货信息!$A:$A&amp;盘货信息!$B:$B&amp;盘货信息!$C:$C,盘货信息!$J:$J)&amp;"元优惠卷"))</f>
        <v/>
      </c>
      <c r="I282" s="18" t="str">
        <f t="array" ref="I282">IF(C282="","",IF(_xlfn.XLOOKUP(A282&amp;B282&amp;C282,盘货信息!$A:$A&amp;盘货信息!$B:$B&amp;盘货信息!$C:$C,盘货信息!$R:$R)="","",_xlfn.XLOOKUP(A282&amp;B282&amp;C282,盘货信息!$A:$A&amp;盘货信息!$B:$B&amp;盘货信息!$C:$C,盘货信息!$R:$R)&amp;"元优惠卷"))</f>
        <v/>
      </c>
      <c r="J282" s="18" t="str">
        <f t="array" ref="J282">IF(C282="","",IF(_xlfn.XLOOKUP(A282&amp;B282&amp;C282,盘货信息!$A:$A&amp;盘货信息!$B:$B&amp;盘货信息!$C:$C,盘货信息!$K:$K)="","",IF(OR(_xlfn.XLOOKUP(A282&amp;B282&amp;C282,盘货信息!$A:$A&amp;盘货信息!$B:$B&amp;盘货信息!$C:$C,盘货信息!$G:$G)="参加",_xlfn.XLOOKUP(A282&amp;B282&amp;C282,盘货信息!$A:$A&amp;盘货信息!$B:$B&amp;盘货信息!$C:$C,盘货信息!$H:$H)="1（纯自补）"),_xlfn.XLOOKUP(A282&amp;B282&amp;C282,盘货信息!$A:$A&amp;盘货信息!$B:$B&amp;盘货信息!$C:$C,盘货信息!$K:$K)&amp;"元以旧换新（可无旧机换新）","")))</f>
        <v/>
      </c>
      <c r="K282" s="18" t="str">
        <f t="array" ref="K282">IF(C282="","",IF(_xlfn.XLOOKUP(A282&amp;B282&amp;C282,盘货信息!$A:$A&amp;盘货信息!$B:$B&amp;盘货信息!$C:$C,盘货信息!$L:$L)="","",_xlfn.XLOOKUP(A282&amp;B282&amp;C282,盘货信息!$A:$A&amp;盘货信息!$B:$B&amp;盘货信息!$C:$C,盘货信息!$L:$L)&amp;"元限时补贴"))</f>
        <v/>
      </c>
      <c r="L282" s="18" t="str">
        <f t="array" ref="L282">IF(C282="","",IF(_xlfn.XLOOKUP(A282&amp;B282&amp;C282,盘货信息!$A:$A&amp;盘货信息!$B:$B&amp;盘货信息!$C:$C,盘货信息!$M:$M)="","",_xlfn.XLOOKUP(A282&amp;B282&amp;C282,盘货信息!$A:$A&amp;盘货信息!$B:$B&amp;盘货信息!$C:$C,盘货信息!$M:$M)&amp;"元消费券"))</f>
        <v/>
      </c>
      <c r="M282" s="18" t="str">
        <f t="array" ref="M282">IF(C282="","",IF(_xlfn.XLOOKUP(A282&amp;B282&amp;C282,盘货信息!$A:$A&amp;盘货信息!$B:$B&amp;盘货信息!$C:$C,盘货信息!$G:$G)="不参加","","焕新补贴优惠【全民可用，不限地址】"))</f>
        <v/>
      </c>
    </row>
    <row r="283" customHeight="1" spans="1:13">
      <c r="A283" s="17" t="str">
        <f>IF(盘货信息!A283="","",盘货信息!A283)</f>
        <v/>
      </c>
      <c r="B283" s="17" t="str">
        <f>IF(盘货信息!B283="","",盘货信息!B283)</f>
        <v/>
      </c>
      <c r="C283" s="18" t="str">
        <f>IF(盘货信息!C283="","",盘货信息!C283)</f>
        <v/>
      </c>
      <c r="D283" s="18" t="str">
        <f t="shared" si="4"/>
        <v/>
      </c>
      <c r="E283" s="18" t="str">
        <f t="array" ref="E283">IF(C283="","",IF(_xlfn.XLOOKUP(A283&amp;B283&amp;C283,盘货信息!$A:$A&amp;盘货信息!$B:$B&amp;盘货信息!$C:$C,盘货信息!$N:$N)="","【立减到手价"&amp;_xlfn.XLOOKUP(A283&amp;B283&amp;C283,盘货信息!$A:$A&amp;盘货信息!$B:$B&amp;盘货信息!$C:$C,盘货信息!$F:$F)&amp;"元】","【焕新补贴预估价"&amp;_xlfn.XLOOKUP(A283&amp;B283&amp;C283,盘货信息!$A:$A&amp;盘货信息!$B:$B&amp;盘货信息!$C:$C,盘货信息!$N:$N)&amp;"元】"))</f>
        <v/>
      </c>
      <c r="F283" s="18" t="str">
        <f t="array" ref="F283">IF(C283="","",_xlfn.XLOOKUP(A283&amp;B283&amp;C283,盘货信息!$A:$A&amp;盘货信息!$B:$B&amp;盘货信息!$C:$C,盘货信息!$E:$E)&amp;"元到手价")</f>
        <v/>
      </c>
      <c r="G283" s="18" t="str">
        <f t="array" ref="G283">IF(C283="","",IF(_xlfn.XLOOKUP(A283&amp;B283&amp;C283,盘货信息!$A:$A&amp;盘货信息!$B:$B&amp;盘货信息!$C:$C,盘货信息!$I:$I)="","","88VIP95折"))</f>
        <v/>
      </c>
      <c r="H283" s="18" t="str">
        <f t="array" ref="H283">IF(C283="","",IF(_xlfn.XLOOKUP(A283&amp;B283&amp;C283,盘货信息!$A:$A&amp;盘货信息!$B:$B&amp;盘货信息!$C:$C,盘货信息!$J:$J)="","",_xlfn.XLOOKUP(A283&amp;B283&amp;C283,盘货信息!$A:$A&amp;盘货信息!$B:$B&amp;盘货信息!$C:$C,盘货信息!$J:$J)&amp;"元优惠卷"))</f>
        <v/>
      </c>
      <c r="I283" s="18" t="str">
        <f t="array" ref="I283">IF(C283="","",IF(_xlfn.XLOOKUP(A283&amp;B283&amp;C283,盘货信息!$A:$A&amp;盘货信息!$B:$B&amp;盘货信息!$C:$C,盘货信息!$R:$R)="","",_xlfn.XLOOKUP(A283&amp;B283&amp;C283,盘货信息!$A:$A&amp;盘货信息!$B:$B&amp;盘货信息!$C:$C,盘货信息!$R:$R)&amp;"元优惠卷"))</f>
        <v/>
      </c>
      <c r="J283" s="18" t="str">
        <f t="array" ref="J283">IF(C283="","",IF(_xlfn.XLOOKUP(A283&amp;B283&amp;C283,盘货信息!$A:$A&amp;盘货信息!$B:$B&amp;盘货信息!$C:$C,盘货信息!$K:$K)="","",IF(OR(_xlfn.XLOOKUP(A283&amp;B283&amp;C283,盘货信息!$A:$A&amp;盘货信息!$B:$B&amp;盘货信息!$C:$C,盘货信息!$G:$G)="参加",_xlfn.XLOOKUP(A283&amp;B283&amp;C283,盘货信息!$A:$A&amp;盘货信息!$B:$B&amp;盘货信息!$C:$C,盘货信息!$H:$H)="1（纯自补）"),_xlfn.XLOOKUP(A283&amp;B283&amp;C283,盘货信息!$A:$A&amp;盘货信息!$B:$B&amp;盘货信息!$C:$C,盘货信息!$K:$K)&amp;"元以旧换新（可无旧机换新）","")))</f>
        <v/>
      </c>
      <c r="K283" s="18" t="str">
        <f t="array" ref="K283">IF(C283="","",IF(_xlfn.XLOOKUP(A283&amp;B283&amp;C283,盘货信息!$A:$A&amp;盘货信息!$B:$B&amp;盘货信息!$C:$C,盘货信息!$L:$L)="","",_xlfn.XLOOKUP(A283&amp;B283&amp;C283,盘货信息!$A:$A&amp;盘货信息!$B:$B&amp;盘货信息!$C:$C,盘货信息!$L:$L)&amp;"元限时补贴"))</f>
        <v/>
      </c>
      <c r="L283" s="18" t="str">
        <f t="array" ref="L283">IF(C283="","",IF(_xlfn.XLOOKUP(A283&amp;B283&amp;C283,盘货信息!$A:$A&amp;盘货信息!$B:$B&amp;盘货信息!$C:$C,盘货信息!$M:$M)="","",_xlfn.XLOOKUP(A283&amp;B283&amp;C283,盘货信息!$A:$A&amp;盘货信息!$B:$B&amp;盘货信息!$C:$C,盘货信息!$M:$M)&amp;"元消费券"))</f>
        <v/>
      </c>
      <c r="M283" s="18" t="str">
        <f t="array" ref="M283">IF(C283="","",IF(_xlfn.XLOOKUP(A283&amp;B283&amp;C283,盘货信息!$A:$A&amp;盘货信息!$B:$B&amp;盘货信息!$C:$C,盘货信息!$G:$G)="不参加","","焕新补贴优惠【全民可用，不限地址】"))</f>
        <v/>
      </c>
    </row>
    <row r="284" customHeight="1" spans="1:13">
      <c r="A284" s="17" t="str">
        <f>IF(盘货信息!A284="","",盘货信息!A284)</f>
        <v/>
      </c>
      <c r="B284" s="17" t="str">
        <f>IF(盘货信息!B284="","",盘货信息!B284)</f>
        <v/>
      </c>
      <c r="C284" s="18" t="str">
        <f>IF(盘货信息!C284="","",盘货信息!C284)</f>
        <v/>
      </c>
      <c r="D284" s="18" t="str">
        <f t="shared" si="4"/>
        <v/>
      </c>
      <c r="E284" s="18" t="str">
        <f t="array" ref="E284">IF(C284="","",IF(_xlfn.XLOOKUP(A284&amp;B284&amp;C284,盘货信息!$A:$A&amp;盘货信息!$B:$B&amp;盘货信息!$C:$C,盘货信息!$N:$N)="","【立减到手价"&amp;_xlfn.XLOOKUP(A284&amp;B284&amp;C284,盘货信息!$A:$A&amp;盘货信息!$B:$B&amp;盘货信息!$C:$C,盘货信息!$F:$F)&amp;"元】","【焕新补贴预估价"&amp;_xlfn.XLOOKUP(A284&amp;B284&amp;C284,盘货信息!$A:$A&amp;盘货信息!$B:$B&amp;盘货信息!$C:$C,盘货信息!$N:$N)&amp;"元】"))</f>
        <v/>
      </c>
      <c r="F284" s="18" t="str">
        <f t="array" ref="F284">IF(C284="","",_xlfn.XLOOKUP(A284&amp;B284&amp;C284,盘货信息!$A:$A&amp;盘货信息!$B:$B&amp;盘货信息!$C:$C,盘货信息!$E:$E)&amp;"元到手价")</f>
        <v/>
      </c>
      <c r="G284" s="18" t="str">
        <f t="array" ref="G284">IF(C284="","",IF(_xlfn.XLOOKUP(A284&amp;B284&amp;C284,盘货信息!$A:$A&amp;盘货信息!$B:$B&amp;盘货信息!$C:$C,盘货信息!$I:$I)="","","88VIP95折"))</f>
        <v/>
      </c>
      <c r="H284" s="18" t="str">
        <f t="array" ref="H284">IF(C284="","",IF(_xlfn.XLOOKUP(A284&amp;B284&amp;C284,盘货信息!$A:$A&amp;盘货信息!$B:$B&amp;盘货信息!$C:$C,盘货信息!$J:$J)="","",_xlfn.XLOOKUP(A284&amp;B284&amp;C284,盘货信息!$A:$A&amp;盘货信息!$B:$B&amp;盘货信息!$C:$C,盘货信息!$J:$J)&amp;"元优惠卷"))</f>
        <v/>
      </c>
      <c r="I284" s="18" t="str">
        <f t="array" ref="I284">IF(C284="","",IF(_xlfn.XLOOKUP(A284&amp;B284&amp;C284,盘货信息!$A:$A&amp;盘货信息!$B:$B&amp;盘货信息!$C:$C,盘货信息!$R:$R)="","",_xlfn.XLOOKUP(A284&amp;B284&amp;C284,盘货信息!$A:$A&amp;盘货信息!$B:$B&amp;盘货信息!$C:$C,盘货信息!$R:$R)&amp;"元优惠卷"))</f>
        <v/>
      </c>
      <c r="J284" s="18" t="str">
        <f t="array" ref="J284">IF(C284="","",IF(_xlfn.XLOOKUP(A284&amp;B284&amp;C284,盘货信息!$A:$A&amp;盘货信息!$B:$B&amp;盘货信息!$C:$C,盘货信息!$K:$K)="","",IF(OR(_xlfn.XLOOKUP(A284&amp;B284&amp;C284,盘货信息!$A:$A&amp;盘货信息!$B:$B&amp;盘货信息!$C:$C,盘货信息!$G:$G)="参加",_xlfn.XLOOKUP(A284&amp;B284&amp;C284,盘货信息!$A:$A&amp;盘货信息!$B:$B&amp;盘货信息!$C:$C,盘货信息!$H:$H)="1（纯自补）"),_xlfn.XLOOKUP(A284&amp;B284&amp;C284,盘货信息!$A:$A&amp;盘货信息!$B:$B&amp;盘货信息!$C:$C,盘货信息!$K:$K)&amp;"元以旧换新（可无旧机换新）","")))</f>
        <v/>
      </c>
      <c r="K284" s="18" t="str">
        <f t="array" ref="K284">IF(C284="","",IF(_xlfn.XLOOKUP(A284&amp;B284&amp;C284,盘货信息!$A:$A&amp;盘货信息!$B:$B&amp;盘货信息!$C:$C,盘货信息!$L:$L)="","",_xlfn.XLOOKUP(A284&amp;B284&amp;C284,盘货信息!$A:$A&amp;盘货信息!$B:$B&amp;盘货信息!$C:$C,盘货信息!$L:$L)&amp;"元限时补贴"))</f>
        <v/>
      </c>
      <c r="L284" s="18" t="str">
        <f t="array" ref="L284">IF(C284="","",IF(_xlfn.XLOOKUP(A284&amp;B284&amp;C284,盘货信息!$A:$A&amp;盘货信息!$B:$B&amp;盘货信息!$C:$C,盘货信息!$M:$M)="","",_xlfn.XLOOKUP(A284&amp;B284&amp;C284,盘货信息!$A:$A&amp;盘货信息!$B:$B&amp;盘货信息!$C:$C,盘货信息!$M:$M)&amp;"元消费券"))</f>
        <v/>
      </c>
      <c r="M284" s="18" t="str">
        <f t="array" ref="M284">IF(C284="","",IF(_xlfn.XLOOKUP(A284&amp;B284&amp;C284,盘货信息!$A:$A&amp;盘货信息!$B:$B&amp;盘货信息!$C:$C,盘货信息!$G:$G)="不参加","","焕新补贴优惠【全民可用，不限地址】"))</f>
        <v/>
      </c>
    </row>
    <row r="285" customHeight="1" spans="1:13">
      <c r="A285" s="17" t="str">
        <f>IF(盘货信息!A285="","",盘货信息!A285)</f>
        <v/>
      </c>
      <c r="B285" s="17" t="str">
        <f>IF(盘货信息!B285="","",盘货信息!B285)</f>
        <v/>
      </c>
      <c r="C285" s="18" t="str">
        <f>IF(盘货信息!C285="","",盘货信息!C285)</f>
        <v/>
      </c>
      <c r="D285" s="18" t="str">
        <f t="shared" si="4"/>
        <v/>
      </c>
      <c r="E285" s="18" t="str">
        <f t="array" ref="E285">IF(C285="","",IF(_xlfn.XLOOKUP(A285&amp;B285&amp;C285,盘货信息!$A:$A&amp;盘货信息!$B:$B&amp;盘货信息!$C:$C,盘货信息!$N:$N)="","【立减到手价"&amp;_xlfn.XLOOKUP(A285&amp;B285&amp;C285,盘货信息!$A:$A&amp;盘货信息!$B:$B&amp;盘货信息!$C:$C,盘货信息!$F:$F)&amp;"元】","【焕新补贴预估价"&amp;_xlfn.XLOOKUP(A285&amp;B285&amp;C285,盘货信息!$A:$A&amp;盘货信息!$B:$B&amp;盘货信息!$C:$C,盘货信息!$N:$N)&amp;"元】"))</f>
        <v/>
      </c>
      <c r="F285" s="18" t="str">
        <f t="array" ref="F285">IF(C285="","",_xlfn.XLOOKUP(A285&amp;B285&amp;C285,盘货信息!$A:$A&amp;盘货信息!$B:$B&amp;盘货信息!$C:$C,盘货信息!$E:$E)&amp;"元到手价")</f>
        <v/>
      </c>
      <c r="G285" s="18" t="str">
        <f t="array" ref="G285">IF(C285="","",IF(_xlfn.XLOOKUP(A285&amp;B285&amp;C285,盘货信息!$A:$A&amp;盘货信息!$B:$B&amp;盘货信息!$C:$C,盘货信息!$I:$I)="","","88VIP95折"))</f>
        <v/>
      </c>
      <c r="H285" s="18" t="str">
        <f t="array" ref="H285">IF(C285="","",IF(_xlfn.XLOOKUP(A285&amp;B285&amp;C285,盘货信息!$A:$A&amp;盘货信息!$B:$B&amp;盘货信息!$C:$C,盘货信息!$J:$J)="","",_xlfn.XLOOKUP(A285&amp;B285&amp;C285,盘货信息!$A:$A&amp;盘货信息!$B:$B&amp;盘货信息!$C:$C,盘货信息!$J:$J)&amp;"元优惠卷"))</f>
        <v/>
      </c>
      <c r="I285" s="18" t="str">
        <f t="array" ref="I285">IF(C285="","",IF(_xlfn.XLOOKUP(A285&amp;B285&amp;C285,盘货信息!$A:$A&amp;盘货信息!$B:$B&amp;盘货信息!$C:$C,盘货信息!$R:$R)="","",_xlfn.XLOOKUP(A285&amp;B285&amp;C285,盘货信息!$A:$A&amp;盘货信息!$B:$B&amp;盘货信息!$C:$C,盘货信息!$R:$R)&amp;"元优惠卷"))</f>
        <v/>
      </c>
      <c r="J285" s="18" t="str">
        <f t="array" ref="J285">IF(C285="","",IF(_xlfn.XLOOKUP(A285&amp;B285&amp;C285,盘货信息!$A:$A&amp;盘货信息!$B:$B&amp;盘货信息!$C:$C,盘货信息!$K:$K)="","",IF(OR(_xlfn.XLOOKUP(A285&amp;B285&amp;C285,盘货信息!$A:$A&amp;盘货信息!$B:$B&amp;盘货信息!$C:$C,盘货信息!$G:$G)="参加",_xlfn.XLOOKUP(A285&amp;B285&amp;C285,盘货信息!$A:$A&amp;盘货信息!$B:$B&amp;盘货信息!$C:$C,盘货信息!$H:$H)="1（纯自补）"),_xlfn.XLOOKUP(A285&amp;B285&amp;C285,盘货信息!$A:$A&amp;盘货信息!$B:$B&amp;盘货信息!$C:$C,盘货信息!$K:$K)&amp;"元以旧换新（可无旧机换新）","")))</f>
        <v/>
      </c>
      <c r="K285" s="18" t="str">
        <f t="array" ref="K285">IF(C285="","",IF(_xlfn.XLOOKUP(A285&amp;B285&amp;C285,盘货信息!$A:$A&amp;盘货信息!$B:$B&amp;盘货信息!$C:$C,盘货信息!$L:$L)="","",_xlfn.XLOOKUP(A285&amp;B285&amp;C285,盘货信息!$A:$A&amp;盘货信息!$B:$B&amp;盘货信息!$C:$C,盘货信息!$L:$L)&amp;"元限时补贴"))</f>
        <v/>
      </c>
      <c r="L285" s="18" t="str">
        <f t="array" ref="L285">IF(C285="","",IF(_xlfn.XLOOKUP(A285&amp;B285&amp;C285,盘货信息!$A:$A&amp;盘货信息!$B:$B&amp;盘货信息!$C:$C,盘货信息!$M:$M)="","",_xlfn.XLOOKUP(A285&amp;B285&amp;C285,盘货信息!$A:$A&amp;盘货信息!$B:$B&amp;盘货信息!$C:$C,盘货信息!$M:$M)&amp;"元消费券"))</f>
        <v/>
      </c>
      <c r="M285" s="18" t="str">
        <f t="array" ref="M285">IF(C285="","",IF(_xlfn.XLOOKUP(A285&amp;B285&amp;C285,盘货信息!$A:$A&amp;盘货信息!$B:$B&amp;盘货信息!$C:$C,盘货信息!$G:$G)="不参加","","焕新补贴优惠【全民可用，不限地址】"))</f>
        <v/>
      </c>
    </row>
    <row r="286" customHeight="1" spans="1:13">
      <c r="A286" s="17" t="str">
        <f>IF(盘货信息!A286="","",盘货信息!A286)</f>
        <v/>
      </c>
      <c r="B286" s="17" t="str">
        <f>IF(盘货信息!B286="","",盘货信息!B286)</f>
        <v/>
      </c>
      <c r="C286" s="18" t="str">
        <f>IF(盘货信息!C286="","",盘货信息!C286)</f>
        <v/>
      </c>
      <c r="D286" s="18" t="str">
        <f t="shared" si="4"/>
        <v/>
      </c>
      <c r="E286" s="18" t="str">
        <f t="array" ref="E286">IF(C286="","",IF(_xlfn.XLOOKUP(A286&amp;B286&amp;C286,盘货信息!$A:$A&amp;盘货信息!$B:$B&amp;盘货信息!$C:$C,盘货信息!$N:$N)="","【立减到手价"&amp;_xlfn.XLOOKUP(A286&amp;B286&amp;C286,盘货信息!$A:$A&amp;盘货信息!$B:$B&amp;盘货信息!$C:$C,盘货信息!$F:$F)&amp;"元】","【焕新补贴预估价"&amp;_xlfn.XLOOKUP(A286&amp;B286&amp;C286,盘货信息!$A:$A&amp;盘货信息!$B:$B&amp;盘货信息!$C:$C,盘货信息!$N:$N)&amp;"元】"))</f>
        <v/>
      </c>
      <c r="F286" s="18" t="str">
        <f t="array" ref="F286">IF(C286="","",_xlfn.XLOOKUP(A286&amp;B286&amp;C286,盘货信息!$A:$A&amp;盘货信息!$B:$B&amp;盘货信息!$C:$C,盘货信息!$E:$E)&amp;"元到手价")</f>
        <v/>
      </c>
      <c r="G286" s="18" t="str">
        <f t="array" ref="G286">IF(C286="","",IF(_xlfn.XLOOKUP(A286&amp;B286&amp;C286,盘货信息!$A:$A&amp;盘货信息!$B:$B&amp;盘货信息!$C:$C,盘货信息!$I:$I)="","","88VIP95折"))</f>
        <v/>
      </c>
      <c r="H286" s="18" t="str">
        <f t="array" ref="H286">IF(C286="","",IF(_xlfn.XLOOKUP(A286&amp;B286&amp;C286,盘货信息!$A:$A&amp;盘货信息!$B:$B&amp;盘货信息!$C:$C,盘货信息!$J:$J)="","",_xlfn.XLOOKUP(A286&amp;B286&amp;C286,盘货信息!$A:$A&amp;盘货信息!$B:$B&amp;盘货信息!$C:$C,盘货信息!$J:$J)&amp;"元优惠卷"))</f>
        <v/>
      </c>
      <c r="I286" s="18" t="str">
        <f t="array" ref="I286">IF(C286="","",IF(_xlfn.XLOOKUP(A286&amp;B286&amp;C286,盘货信息!$A:$A&amp;盘货信息!$B:$B&amp;盘货信息!$C:$C,盘货信息!$R:$R)="","",_xlfn.XLOOKUP(A286&amp;B286&amp;C286,盘货信息!$A:$A&amp;盘货信息!$B:$B&amp;盘货信息!$C:$C,盘货信息!$R:$R)&amp;"元优惠卷"))</f>
        <v/>
      </c>
      <c r="J286" s="18" t="str">
        <f t="array" ref="J286">IF(C286="","",IF(_xlfn.XLOOKUP(A286&amp;B286&amp;C286,盘货信息!$A:$A&amp;盘货信息!$B:$B&amp;盘货信息!$C:$C,盘货信息!$K:$K)="","",IF(OR(_xlfn.XLOOKUP(A286&amp;B286&amp;C286,盘货信息!$A:$A&amp;盘货信息!$B:$B&amp;盘货信息!$C:$C,盘货信息!$G:$G)="参加",_xlfn.XLOOKUP(A286&amp;B286&amp;C286,盘货信息!$A:$A&amp;盘货信息!$B:$B&amp;盘货信息!$C:$C,盘货信息!$H:$H)="1（纯自补）"),_xlfn.XLOOKUP(A286&amp;B286&amp;C286,盘货信息!$A:$A&amp;盘货信息!$B:$B&amp;盘货信息!$C:$C,盘货信息!$K:$K)&amp;"元以旧换新（可无旧机换新）","")))</f>
        <v/>
      </c>
      <c r="K286" s="18" t="str">
        <f t="array" ref="K286">IF(C286="","",IF(_xlfn.XLOOKUP(A286&amp;B286&amp;C286,盘货信息!$A:$A&amp;盘货信息!$B:$B&amp;盘货信息!$C:$C,盘货信息!$L:$L)="","",_xlfn.XLOOKUP(A286&amp;B286&amp;C286,盘货信息!$A:$A&amp;盘货信息!$B:$B&amp;盘货信息!$C:$C,盘货信息!$L:$L)&amp;"元限时补贴"))</f>
        <v/>
      </c>
      <c r="L286" s="18" t="str">
        <f t="array" ref="L286">IF(C286="","",IF(_xlfn.XLOOKUP(A286&amp;B286&amp;C286,盘货信息!$A:$A&amp;盘货信息!$B:$B&amp;盘货信息!$C:$C,盘货信息!$M:$M)="","",_xlfn.XLOOKUP(A286&amp;B286&amp;C286,盘货信息!$A:$A&amp;盘货信息!$B:$B&amp;盘货信息!$C:$C,盘货信息!$M:$M)&amp;"元消费券"))</f>
        <v/>
      </c>
      <c r="M286" s="18" t="str">
        <f t="array" ref="M286">IF(C286="","",IF(_xlfn.XLOOKUP(A286&amp;B286&amp;C286,盘货信息!$A:$A&amp;盘货信息!$B:$B&amp;盘货信息!$C:$C,盘货信息!$G:$G)="不参加","","焕新补贴优惠【全民可用，不限地址】"))</f>
        <v/>
      </c>
    </row>
    <row r="287" customHeight="1" spans="1:13">
      <c r="A287" s="17" t="str">
        <f>IF(盘货信息!A287="","",盘货信息!A287)</f>
        <v/>
      </c>
      <c r="B287" s="17" t="str">
        <f>IF(盘货信息!B287="","",盘货信息!B287)</f>
        <v/>
      </c>
      <c r="C287" s="18" t="str">
        <f>IF(盘货信息!C287="","",盘货信息!C287)</f>
        <v/>
      </c>
      <c r="D287" s="18" t="str">
        <f t="shared" si="4"/>
        <v/>
      </c>
      <c r="E287" s="18" t="str">
        <f t="array" ref="E287">IF(C287="","",IF(_xlfn.XLOOKUP(A287&amp;B287&amp;C287,盘货信息!$A:$A&amp;盘货信息!$B:$B&amp;盘货信息!$C:$C,盘货信息!$N:$N)="","【立减到手价"&amp;_xlfn.XLOOKUP(A287&amp;B287&amp;C287,盘货信息!$A:$A&amp;盘货信息!$B:$B&amp;盘货信息!$C:$C,盘货信息!$F:$F)&amp;"元】","【焕新补贴预估价"&amp;_xlfn.XLOOKUP(A287&amp;B287&amp;C287,盘货信息!$A:$A&amp;盘货信息!$B:$B&amp;盘货信息!$C:$C,盘货信息!$N:$N)&amp;"元】"))</f>
        <v/>
      </c>
      <c r="F287" s="18" t="str">
        <f t="array" ref="F287">IF(C287="","",_xlfn.XLOOKUP(A287&amp;B287&amp;C287,盘货信息!$A:$A&amp;盘货信息!$B:$B&amp;盘货信息!$C:$C,盘货信息!$E:$E)&amp;"元到手价")</f>
        <v/>
      </c>
      <c r="G287" s="18" t="str">
        <f t="array" ref="G287">IF(C287="","",IF(_xlfn.XLOOKUP(A287&amp;B287&amp;C287,盘货信息!$A:$A&amp;盘货信息!$B:$B&amp;盘货信息!$C:$C,盘货信息!$I:$I)="","","88VIP95折"))</f>
        <v/>
      </c>
      <c r="H287" s="18" t="str">
        <f t="array" ref="H287">IF(C287="","",IF(_xlfn.XLOOKUP(A287&amp;B287&amp;C287,盘货信息!$A:$A&amp;盘货信息!$B:$B&amp;盘货信息!$C:$C,盘货信息!$J:$J)="","",_xlfn.XLOOKUP(A287&amp;B287&amp;C287,盘货信息!$A:$A&amp;盘货信息!$B:$B&amp;盘货信息!$C:$C,盘货信息!$J:$J)&amp;"元优惠卷"))</f>
        <v/>
      </c>
      <c r="I287" s="18" t="str">
        <f t="array" ref="I287">IF(C287="","",IF(_xlfn.XLOOKUP(A287&amp;B287&amp;C287,盘货信息!$A:$A&amp;盘货信息!$B:$B&amp;盘货信息!$C:$C,盘货信息!$R:$R)="","",_xlfn.XLOOKUP(A287&amp;B287&amp;C287,盘货信息!$A:$A&amp;盘货信息!$B:$B&amp;盘货信息!$C:$C,盘货信息!$R:$R)&amp;"元优惠卷"))</f>
        <v/>
      </c>
      <c r="J287" s="18" t="str">
        <f t="array" ref="J287">IF(C287="","",IF(_xlfn.XLOOKUP(A287&amp;B287&amp;C287,盘货信息!$A:$A&amp;盘货信息!$B:$B&amp;盘货信息!$C:$C,盘货信息!$K:$K)="","",IF(OR(_xlfn.XLOOKUP(A287&amp;B287&amp;C287,盘货信息!$A:$A&amp;盘货信息!$B:$B&amp;盘货信息!$C:$C,盘货信息!$G:$G)="参加",_xlfn.XLOOKUP(A287&amp;B287&amp;C287,盘货信息!$A:$A&amp;盘货信息!$B:$B&amp;盘货信息!$C:$C,盘货信息!$H:$H)="1（纯自补）"),_xlfn.XLOOKUP(A287&amp;B287&amp;C287,盘货信息!$A:$A&amp;盘货信息!$B:$B&amp;盘货信息!$C:$C,盘货信息!$K:$K)&amp;"元以旧换新（可无旧机换新）","")))</f>
        <v/>
      </c>
      <c r="K287" s="18" t="str">
        <f t="array" ref="K287">IF(C287="","",IF(_xlfn.XLOOKUP(A287&amp;B287&amp;C287,盘货信息!$A:$A&amp;盘货信息!$B:$B&amp;盘货信息!$C:$C,盘货信息!$L:$L)="","",_xlfn.XLOOKUP(A287&amp;B287&amp;C287,盘货信息!$A:$A&amp;盘货信息!$B:$B&amp;盘货信息!$C:$C,盘货信息!$L:$L)&amp;"元限时补贴"))</f>
        <v/>
      </c>
      <c r="L287" s="18" t="str">
        <f t="array" ref="L287">IF(C287="","",IF(_xlfn.XLOOKUP(A287&amp;B287&amp;C287,盘货信息!$A:$A&amp;盘货信息!$B:$B&amp;盘货信息!$C:$C,盘货信息!$M:$M)="","",_xlfn.XLOOKUP(A287&amp;B287&amp;C287,盘货信息!$A:$A&amp;盘货信息!$B:$B&amp;盘货信息!$C:$C,盘货信息!$M:$M)&amp;"元消费券"))</f>
        <v/>
      </c>
      <c r="M287" s="18" t="str">
        <f t="array" ref="M287">IF(C287="","",IF(_xlfn.XLOOKUP(A287&amp;B287&amp;C287,盘货信息!$A:$A&amp;盘货信息!$B:$B&amp;盘货信息!$C:$C,盘货信息!$G:$G)="不参加","","焕新补贴优惠【全民可用，不限地址】"))</f>
        <v/>
      </c>
    </row>
    <row r="288" customHeight="1" spans="1:13">
      <c r="A288" s="17" t="str">
        <f>IF(盘货信息!A288="","",盘货信息!A288)</f>
        <v/>
      </c>
      <c r="B288" s="17" t="str">
        <f>IF(盘货信息!B288="","",盘货信息!B288)</f>
        <v/>
      </c>
      <c r="C288" s="18" t="str">
        <f>IF(盘货信息!C288="","",盘货信息!C288)</f>
        <v/>
      </c>
      <c r="D288" s="18" t="str">
        <f t="shared" si="4"/>
        <v/>
      </c>
      <c r="E288" s="18" t="str">
        <f t="array" ref="E288">IF(C288="","",IF(_xlfn.XLOOKUP(A288&amp;B288&amp;C288,盘货信息!$A:$A&amp;盘货信息!$B:$B&amp;盘货信息!$C:$C,盘货信息!$N:$N)="","【立减到手价"&amp;_xlfn.XLOOKUP(A288&amp;B288&amp;C288,盘货信息!$A:$A&amp;盘货信息!$B:$B&amp;盘货信息!$C:$C,盘货信息!$F:$F)&amp;"元】","【焕新补贴预估价"&amp;_xlfn.XLOOKUP(A288&amp;B288&amp;C288,盘货信息!$A:$A&amp;盘货信息!$B:$B&amp;盘货信息!$C:$C,盘货信息!$N:$N)&amp;"元】"))</f>
        <v/>
      </c>
      <c r="F288" s="18" t="str">
        <f t="array" ref="F288">IF(C288="","",_xlfn.XLOOKUP(A288&amp;B288&amp;C288,盘货信息!$A:$A&amp;盘货信息!$B:$B&amp;盘货信息!$C:$C,盘货信息!$E:$E)&amp;"元到手价")</f>
        <v/>
      </c>
      <c r="G288" s="18" t="str">
        <f t="array" ref="G288">IF(C288="","",IF(_xlfn.XLOOKUP(A288&amp;B288&amp;C288,盘货信息!$A:$A&amp;盘货信息!$B:$B&amp;盘货信息!$C:$C,盘货信息!$I:$I)="","","88VIP95折"))</f>
        <v/>
      </c>
      <c r="H288" s="18" t="str">
        <f t="array" ref="H288">IF(C288="","",IF(_xlfn.XLOOKUP(A288&amp;B288&amp;C288,盘货信息!$A:$A&amp;盘货信息!$B:$B&amp;盘货信息!$C:$C,盘货信息!$J:$J)="","",_xlfn.XLOOKUP(A288&amp;B288&amp;C288,盘货信息!$A:$A&amp;盘货信息!$B:$B&amp;盘货信息!$C:$C,盘货信息!$J:$J)&amp;"元优惠卷"))</f>
        <v/>
      </c>
      <c r="I288" s="18" t="str">
        <f t="array" ref="I288">IF(C288="","",IF(_xlfn.XLOOKUP(A288&amp;B288&amp;C288,盘货信息!$A:$A&amp;盘货信息!$B:$B&amp;盘货信息!$C:$C,盘货信息!$R:$R)="","",_xlfn.XLOOKUP(A288&amp;B288&amp;C288,盘货信息!$A:$A&amp;盘货信息!$B:$B&amp;盘货信息!$C:$C,盘货信息!$R:$R)&amp;"元优惠卷"))</f>
        <v/>
      </c>
      <c r="J288" s="18" t="str">
        <f t="array" ref="J288">IF(C288="","",IF(_xlfn.XLOOKUP(A288&amp;B288&amp;C288,盘货信息!$A:$A&amp;盘货信息!$B:$B&amp;盘货信息!$C:$C,盘货信息!$K:$K)="","",IF(OR(_xlfn.XLOOKUP(A288&amp;B288&amp;C288,盘货信息!$A:$A&amp;盘货信息!$B:$B&amp;盘货信息!$C:$C,盘货信息!$G:$G)="参加",_xlfn.XLOOKUP(A288&amp;B288&amp;C288,盘货信息!$A:$A&amp;盘货信息!$B:$B&amp;盘货信息!$C:$C,盘货信息!$H:$H)="1（纯自补）"),_xlfn.XLOOKUP(A288&amp;B288&amp;C288,盘货信息!$A:$A&amp;盘货信息!$B:$B&amp;盘货信息!$C:$C,盘货信息!$K:$K)&amp;"元以旧换新（可无旧机换新）","")))</f>
        <v/>
      </c>
      <c r="K288" s="18" t="str">
        <f t="array" ref="K288">IF(C288="","",IF(_xlfn.XLOOKUP(A288&amp;B288&amp;C288,盘货信息!$A:$A&amp;盘货信息!$B:$B&amp;盘货信息!$C:$C,盘货信息!$L:$L)="","",_xlfn.XLOOKUP(A288&amp;B288&amp;C288,盘货信息!$A:$A&amp;盘货信息!$B:$B&amp;盘货信息!$C:$C,盘货信息!$L:$L)&amp;"元限时补贴"))</f>
        <v/>
      </c>
      <c r="L288" s="18" t="str">
        <f t="array" ref="L288">IF(C288="","",IF(_xlfn.XLOOKUP(A288&amp;B288&amp;C288,盘货信息!$A:$A&amp;盘货信息!$B:$B&amp;盘货信息!$C:$C,盘货信息!$M:$M)="","",_xlfn.XLOOKUP(A288&amp;B288&amp;C288,盘货信息!$A:$A&amp;盘货信息!$B:$B&amp;盘货信息!$C:$C,盘货信息!$M:$M)&amp;"元消费券"))</f>
        <v/>
      </c>
      <c r="M288" s="18" t="str">
        <f t="array" ref="M288">IF(C288="","",IF(_xlfn.XLOOKUP(A288&amp;B288&amp;C288,盘货信息!$A:$A&amp;盘货信息!$B:$B&amp;盘货信息!$C:$C,盘货信息!$G:$G)="不参加","","焕新补贴优惠【全民可用，不限地址】"))</f>
        <v/>
      </c>
    </row>
    <row r="289" customHeight="1" spans="1:13">
      <c r="A289" s="17" t="str">
        <f>IF(盘货信息!A289="","",盘货信息!A289)</f>
        <v/>
      </c>
      <c r="B289" s="17" t="str">
        <f>IF(盘货信息!B289="","",盘货信息!B289)</f>
        <v/>
      </c>
      <c r="C289" s="18" t="str">
        <f>IF(盘货信息!C289="","",盘货信息!C289)</f>
        <v/>
      </c>
      <c r="D289" s="18" t="str">
        <f t="shared" si="4"/>
        <v/>
      </c>
      <c r="E289" s="18" t="str">
        <f t="array" ref="E289">IF(C289="","",IF(_xlfn.XLOOKUP(A289&amp;B289&amp;C289,盘货信息!$A:$A&amp;盘货信息!$B:$B&amp;盘货信息!$C:$C,盘货信息!$N:$N)="","【立减到手价"&amp;_xlfn.XLOOKUP(A289&amp;B289&amp;C289,盘货信息!$A:$A&amp;盘货信息!$B:$B&amp;盘货信息!$C:$C,盘货信息!$F:$F)&amp;"元】","【焕新补贴预估价"&amp;_xlfn.XLOOKUP(A289&amp;B289&amp;C289,盘货信息!$A:$A&amp;盘货信息!$B:$B&amp;盘货信息!$C:$C,盘货信息!$N:$N)&amp;"元】"))</f>
        <v/>
      </c>
      <c r="F289" s="18" t="str">
        <f t="array" ref="F289">IF(C289="","",_xlfn.XLOOKUP(A289&amp;B289&amp;C289,盘货信息!$A:$A&amp;盘货信息!$B:$B&amp;盘货信息!$C:$C,盘货信息!$E:$E)&amp;"元到手价")</f>
        <v/>
      </c>
      <c r="G289" s="18" t="str">
        <f t="array" ref="G289">IF(C289="","",IF(_xlfn.XLOOKUP(A289&amp;B289&amp;C289,盘货信息!$A:$A&amp;盘货信息!$B:$B&amp;盘货信息!$C:$C,盘货信息!$I:$I)="","","88VIP95折"))</f>
        <v/>
      </c>
      <c r="H289" s="18" t="str">
        <f t="array" ref="H289">IF(C289="","",IF(_xlfn.XLOOKUP(A289&amp;B289&amp;C289,盘货信息!$A:$A&amp;盘货信息!$B:$B&amp;盘货信息!$C:$C,盘货信息!$J:$J)="","",_xlfn.XLOOKUP(A289&amp;B289&amp;C289,盘货信息!$A:$A&amp;盘货信息!$B:$B&amp;盘货信息!$C:$C,盘货信息!$J:$J)&amp;"元优惠卷"))</f>
        <v/>
      </c>
      <c r="I289" s="18" t="str">
        <f t="array" ref="I289">IF(C289="","",IF(_xlfn.XLOOKUP(A289&amp;B289&amp;C289,盘货信息!$A:$A&amp;盘货信息!$B:$B&amp;盘货信息!$C:$C,盘货信息!$R:$R)="","",_xlfn.XLOOKUP(A289&amp;B289&amp;C289,盘货信息!$A:$A&amp;盘货信息!$B:$B&amp;盘货信息!$C:$C,盘货信息!$R:$R)&amp;"元优惠卷"))</f>
        <v/>
      </c>
      <c r="J289" s="18" t="str">
        <f t="array" ref="J289">IF(C289="","",IF(_xlfn.XLOOKUP(A289&amp;B289&amp;C289,盘货信息!$A:$A&amp;盘货信息!$B:$B&amp;盘货信息!$C:$C,盘货信息!$K:$K)="","",IF(OR(_xlfn.XLOOKUP(A289&amp;B289&amp;C289,盘货信息!$A:$A&amp;盘货信息!$B:$B&amp;盘货信息!$C:$C,盘货信息!$G:$G)="参加",_xlfn.XLOOKUP(A289&amp;B289&amp;C289,盘货信息!$A:$A&amp;盘货信息!$B:$B&amp;盘货信息!$C:$C,盘货信息!$H:$H)="1（纯自补）"),_xlfn.XLOOKUP(A289&amp;B289&amp;C289,盘货信息!$A:$A&amp;盘货信息!$B:$B&amp;盘货信息!$C:$C,盘货信息!$K:$K)&amp;"元以旧换新（可无旧机换新）","")))</f>
        <v/>
      </c>
      <c r="K289" s="18" t="str">
        <f t="array" ref="K289">IF(C289="","",IF(_xlfn.XLOOKUP(A289&amp;B289&amp;C289,盘货信息!$A:$A&amp;盘货信息!$B:$B&amp;盘货信息!$C:$C,盘货信息!$L:$L)="","",_xlfn.XLOOKUP(A289&amp;B289&amp;C289,盘货信息!$A:$A&amp;盘货信息!$B:$B&amp;盘货信息!$C:$C,盘货信息!$L:$L)&amp;"元限时补贴"))</f>
        <v/>
      </c>
      <c r="L289" s="18" t="str">
        <f t="array" ref="L289">IF(C289="","",IF(_xlfn.XLOOKUP(A289&amp;B289&amp;C289,盘货信息!$A:$A&amp;盘货信息!$B:$B&amp;盘货信息!$C:$C,盘货信息!$M:$M)="","",_xlfn.XLOOKUP(A289&amp;B289&amp;C289,盘货信息!$A:$A&amp;盘货信息!$B:$B&amp;盘货信息!$C:$C,盘货信息!$M:$M)&amp;"元消费券"))</f>
        <v/>
      </c>
      <c r="M289" s="18" t="str">
        <f t="array" ref="M289">IF(C289="","",IF(_xlfn.XLOOKUP(A289&amp;B289&amp;C289,盘货信息!$A:$A&amp;盘货信息!$B:$B&amp;盘货信息!$C:$C,盘货信息!$G:$G)="不参加","","焕新补贴优惠【全民可用，不限地址】"))</f>
        <v/>
      </c>
    </row>
    <row r="290" customHeight="1" spans="1:13">
      <c r="A290" s="17" t="str">
        <f>IF(盘货信息!A290="","",盘货信息!A290)</f>
        <v/>
      </c>
      <c r="B290" s="17" t="str">
        <f>IF(盘货信息!B290="","",盘货信息!B290)</f>
        <v/>
      </c>
      <c r="C290" s="18" t="str">
        <f>IF(盘货信息!C290="","",盘货信息!C290)</f>
        <v/>
      </c>
      <c r="D290" s="18" t="str">
        <f t="shared" si="4"/>
        <v/>
      </c>
      <c r="E290" s="18" t="str">
        <f t="array" ref="E290">IF(C290="","",IF(_xlfn.XLOOKUP(A290&amp;B290&amp;C290,盘货信息!$A:$A&amp;盘货信息!$B:$B&amp;盘货信息!$C:$C,盘货信息!$N:$N)="","【立减到手价"&amp;_xlfn.XLOOKUP(A290&amp;B290&amp;C290,盘货信息!$A:$A&amp;盘货信息!$B:$B&amp;盘货信息!$C:$C,盘货信息!$F:$F)&amp;"元】","【焕新补贴预估价"&amp;_xlfn.XLOOKUP(A290&amp;B290&amp;C290,盘货信息!$A:$A&amp;盘货信息!$B:$B&amp;盘货信息!$C:$C,盘货信息!$N:$N)&amp;"元】"))</f>
        <v/>
      </c>
      <c r="F290" s="18" t="str">
        <f t="array" ref="F290">IF(C290="","",_xlfn.XLOOKUP(A290&amp;B290&amp;C290,盘货信息!$A:$A&amp;盘货信息!$B:$B&amp;盘货信息!$C:$C,盘货信息!$E:$E)&amp;"元到手价")</f>
        <v/>
      </c>
      <c r="G290" s="18" t="str">
        <f t="array" ref="G290">IF(C290="","",IF(_xlfn.XLOOKUP(A290&amp;B290&amp;C290,盘货信息!$A:$A&amp;盘货信息!$B:$B&amp;盘货信息!$C:$C,盘货信息!$I:$I)="","","88VIP95折"))</f>
        <v/>
      </c>
      <c r="H290" s="18" t="str">
        <f t="array" ref="H290">IF(C290="","",IF(_xlfn.XLOOKUP(A290&amp;B290&amp;C290,盘货信息!$A:$A&amp;盘货信息!$B:$B&amp;盘货信息!$C:$C,盘货信息!$J:$J)="","",_xlfn.XLOOKUP(A290&amp;B290&amp;C290,盘货信息!$A:$A&amp;盘货信息!$B:$B&amp;盘货信息!$C:$C,盘货信息!$J:$J)&amp;"元优惠卷"))</f>
        <v/>
      </c>
      <c r="I290" s="18" t="str">
        <f t="array" ref="I290">IF(C290="","",IF(_xlfn.XLOOKUP(A290&amp;B290&amp;C290,盘货信息!$A:$A&amp;盘货信息!$B:$B&amp;盘货信息!$C:$C,盘货信息!$R:$R)="","",_xlfn.XLOOKUP(A290&amp;B290&amp;C290,盘货信息!$A:$A&amp;盘货信息!$B:$B&amp;盘货信息!$C:$C,盘货信息!$R:$R)&amp;"元优惠卷"))</f>
        <v/>
      </c>
      <c r="J290" s="18" t="str">
        <f t="array" ref="J290">IF(C290="","",IF(_xlfn.XLOOKUP(A290&amp;B290&amp;C290,盘货信息!$A:$A&amp;盘货信息!$B:$B&amp;盘货信息!$C:$C,盘货信息!$K:$K)="","",IF(OR(_xlfn.XLOOKUP(A290&amp;B290&amp;C290,盘货信息!$A:$A&amp;盘货信息!$B:$B&amp;盘货信息!$C:$C,盘货信息!$G:$G)="参加",_xlfn.XLOOKUP(A290&amp;B290&amp;C290,盘货信息!$A:$A&amp;盘货信息!$B:$B&amp;盘货信息!$C:$C,盘货信息!$H:$H)="1（纯自补）"),_xlfn.XLOOKUP(A290&amp;B290&amp;C290,盘货信息!$A:$A&amp;盘货信息!$B:$B&amp;盘货信息!$C:$C,盘货信息!$K:$K)&amp;"元以旧换新（可无旧机换新）","")))</f>
        <v/>
      </c>
      <c r="K290" s="18" t="str">
        <f t="array" ref="K290">IF(C290="","",IF(_xlfn.XLOOKUP(A290&amp;B290&amp;C290,盘货信息!$A:$A&amp;盘货信息!$B:$B&amp;盘货信息!$C:$C,盘货信息!$L:$L)="","",_xlfn.XLOOKUP(A290&amp;B290&amp;C290,盘货信息!$A:$A&amp;盘货信息!$B:$B&amp;盘货信息!$C:$C,盘货信息!$L:$L)&amp;"元限时补贴"))</f>
        <v/>
      </c>
      <c r="L290" s="18" t="str">
        <f t="array" ref="L290">IF(C290="","",IF(_xlfn.XLOOKUP(A290&amp;B290&amp;C290,盘货信息!$A:$A&amp;盘货信息!$B:$B&amp;盘货信息!$C:$C,盘货信息!$M:$M)="","",_xlfn.XLOOKUP(A290&amp;B290&amp;C290,盘货信息!$A:$A&amp;盘货信息!$B:$B&amp;盘货信息!$C:$C,盘货信息!$M:$M)&amp;"元消费券"))</f>
        <v/>
      </c>
      <c r="M290" s="18" t="str">
        <f t="array" ref="M290">IF(C290="","",IF(_xlfn.XLOOKUP(A290&amp;B290&amp;C290,盘货信息!$A:$A&amp;盘货信息!$B:$B&amp;盘货信息!$C:$C,盘货信息!$G:$G)="不参加","","焕新补贴优惠【全民可用，不限地址】"))</f>
        <v/>
      </c>
    </row>
    <row r="291" customHeight="1" spans="1:13">
      <c r="A291" s="17" t="str">
        <f>IF(盘货信息!A291="","",盘货信息!A291)</f>
        <v/>
      </c>
      <c r="B291" s="17" t="str">
        <f>IF(盘货信息!B291="","",盘货信息!B291)</f>
        <v/>
      </c>
      <c r="C291" s="18" t="str">
        <f>IF(盘货信息!C291="","",盘货信息!C291)</f>
        <v/>
      </c>
      <c r="D291" s="18" t="str">
        <f t="shared" si="4"/>
        <v/>
      </c>
      <c r="E291" s="18" t="str">
        <f t="array" ref="E291">IF(C291="","",IF(_xlfn.XLOOKUP(A291&amp;B291&amp;C291,盘货信息!$A:$A&amp;盘货信息!$B:$B&amp;盘货信息!$C:$C,盘货信息!$N:$N)="","【立减到手价"&amp;_xlfn.XLOOKUP(A291&amp;B291&amp;C291,盘货信息!$A:$A&amp;盘货信息!$B:$B&amp;盘货信息!$C:$C,盘货信息!$F:$F)&amp;"元】","【焕新补贴预估价"&amp;_xlfn.XLOOKUP(A291&amp;B291&amp;C291,盘货信息!$A:$A&amp;盘货信息!$B:$B&amp;盘货信息!$C:$C,盘货信息!$N:$N)&amp;"元】"))</f>
        <v/>
      </c>
      <c r="F291" s="18" t="str">
        <f t="array" ref="F291">IF(C291="","",_xlfn.XLOOKUP(A291&amp;B291&amp;C291,盘货信息!$A:$A&amp;盘货信息!$B:$B&amp;盘货信息!$C:$C,盘货信息!$E:$E)&amp;"元到手价")</f>
        <v/>
      </c>
      <c r="G291" s="18" t="str">
        <f t="array" ref="G291">IF(C291="","",IF(_xlfn.XLOOKUP(A291&amp;B291&amp;C291,盘货信息!$A:$A&amp;盘货信息!$B:$B&amp;盘货信息!$C:$C,盘货信息!$I:$I)="","","88VIP95折"))</f>
        <v/>
      </c>
      <c r="H291" s="18" t="str">
        <f t="array" ref="H291">IF(C291="","",IF(_xlfn.XLOOKUP(A291&amp;B291&amp;C291,盘货信息!$A:$A&amp;盘货信息!$B:$B&amp;盘货信息!$C:$C,盘货信息!$J:$J)="","",_xlfn.XLOOKUP(A291&amp;B291&amp;C291,盘货信息!$A:$A&amp;盘货信息!$B:$B&amp;盘货信息!$C:$C,盘货信息!$J:$J)&amp;"元优惠卷"))</f>
        <v/>
      </c>
      <c r="I291" s="18" t="str">
        <f t="array" ref="I291">IF(C291="","",IF(_xlfn.XLOOKUP(A291&amp;B291&amp;C291,盘货信息!$A:$A&amp;盘货信息!$B:$B&amp;盘货信息!$C:$C,盘货信息!$R:$R)="","",_xlfn.XLOOKUP(A291&amp;B291&amp;C291,盘货信息!$A:$A&amp;盘货信息!$B:$B&amp;盘货信息!$C:$C,盘货信息!$R:$R)&amp;"元优惠卷"))</f>
        <v/>
      </c>
      <c r="J291" s="18" t="str">
        <f t="array" ref="J291">IF(C291="","",IF(_xlfn.XLOOKUP(A291&amp;B291&amp;C291,盘货信息!$A:$A&amp;盘货信息!$B:$B&amp;盘货信息!$C:$C,盘货信息!$K:$K)="","",IF(OR(_xlfn.XLOOKUP(A291&amp;B291&amp;C291,盘货信息!$A:$A&amp;盘货信息!$B:$B&amp;盘货信息!$C:$C,盘货信息!$G:$G)="参加",_xlfn.XLOOKUP(A291&amp;B291&amp;C291,盘货信息!$A:$A&amp;盘货信息!$B:$B&amp;盘货信息!$C:$C,盘货信息!$H:$H)="1（纯自补）"),_xlfn.XLOOKUP(A291&amp;B291&amp;C291,盘货信息!$A:$A&amp;盘货信息!$B:$B&amp;盘货信息!$C:$C,盘货信息!$K:$K)&amp;"元以旧换新（可无旧机换新）","")))</f>
        <v/>
      </c>
      <c r="K291" s="18" t="str">
        <f t="array" ref="K291">IF(C291="","",IF(_xlfn.XLOOKUP(A291&amp;B291&amp;C291,盘货信息!$A:$A&amp;盘货信息!$B:$B&amp;盘货信息!$C:$C,盘货信息!$L:$L)="","",_xlfn.XLOOKUP(A291&amp;B291&amp;C291,盘货信息!$A:$A&amp;盘货信息!$B:$B&amp;盘货信息!$C:$C,盘货信息!$L:$L)&amp;"元限时补贴"))</f>
        <v/>
      </c>
      <c r="L291" s="18" t="str">
        <f t="array" ref="L291">IF(C291="","",IF(_xlfn.XLOOKUP(A291&amp;B291&amp;C291,盘货信息!$A:$A&amp;盘货信息!$B:$B&amp;盘货信息!$C:$C,盘货信息!$M:$M)="","",_xlfn.XLOOKUP(A291&amp;B291&amp;C291,盘货信息!$A:$A&amp;盘货信息!$B:$B&amp;盘货信息!$C:$C,盘货信息!$M:$M)&amp;"元消费券"))</f>
        <v/>
      </c>
      <c r="M291" s="18" t="str">
        <f t="array" ref="M291">IF(C291="","",IF(_xlfn.XLOOKUP(A291&amp;B291&amp;C291,盘货信息!$A:$A&amp;盘货信息!$B:$B&amp;盘货信息!$C:$C,盘货信息!$G:$G)="不参加","","焕新补贴优惠【全民可用，不限地址】"))</f>
        <v/>
      </c>
    </row>
    <row r="292" customHeight="1" spans="1:13">
      <c r="A292" s="17" t="str">
        <f>IF(盘货信息!A292="","",盘货信息!A292)</f>
        <v/>
      </c>
      <c r="B292" s="17" t="str">
        <f>IF(盘货信息!B292="","",盘货信息!B292)</f>
        <v/>
      </c>
      <c r="C292" s="18" t="str">
        <f>IF(盘货信息!C292="","",盘货信息!C292)</f>
        <v/>
      </c>
      <c r="D292" s="18" t="str">
        <f t="shared" si="4"/>
        <v/>
      </c>
      <c r="E292" s="18" t="str">
        <f t="array" ref="E292">IF(C292="","",IF(_xlfn.XLOOKUP(A292&amp;B292&amp;C292,盘货信息!$A:$A&amp;盘货信息!$B:$B&amp;盘货信息!$C:$C,盘货信息!$N:$N)="","【立减到手价"&amp;_xlfn.XLOOKUP(A292&amp;B292&amp;C292,盘货信息!$A:$A&amp;盘货信息!$B:$B&amp;盘货信息!$C:$C,盘货信息!$F:$F)&amp;"元】","【焕新补贴预估价"&amp;_xlfn.XLOOKUP(A292&amp;B292&amp;C292,盘货信息!$A:$A&amp;盘货信息!$B:$B&amp;盘货信息!$C:$C,盘货信息!$N:$N)&amp;"元】"))</f>
        <v/>
      </c>
      <c r="F292" s="18" t="str">
        <f t="array" ref="F292">IF(C292="","",_xlfn.XLOOKUP(A292&amp;B292&amp;C292,盘货信息!$A:$A&amp;盘货信息!$B:$B&amp;盘货信息!$C:$C,盘货信息!$E:$E)&amp;"元到手价")</f>
        <v/>
      </c>
      <c r="G292" s="18" t="str">
        <f t="array" ref="G292">IF(C292="","",IF(_xlfn.XLOOKUP(A292&amp;B292&amp;C292,盘货信息!$A:$A&amp;盘货信息!$B:$B&amp;盘货信息!$C:$C,盘货信息!$I:$I)="","","88VIP95折"))</f>
        <v/>
      </c>
      <c r="H292" s="18" t="str">
        <f t="array" ref="H292">IF(C292="","",IF(_xlfn.XLOOKUP(A292&amp;B292&amp;C292,盘货信息!$A:$A&amp;盘货信息!$B:$B&amp;盘货信息!$C:$C,盘货信息!$J:$J)="","",_xlfn.XLOOKUP(A292&amp;B292&amp;C292,盘货信息!$A:$A&amp;盘货信息!$B:$B&amp;盘货信息!$C:$C,盘货信息!$J:$J)&amp;"元优惠卷"))</f>
        <v/>
      </c>
      <c r="I292" s="18" t="str">
        <f t="array" ref="I292">IF(C292="","",IF(_xlfn.XLOOKUP(A292&amp;B292&amp;C292,盘货信息!$A:$A&amp;盘货信息!$B:$B&amp;盘货信息!$C:$C,盘货信息!$R:$R)="","",_xlfn.XLOOKUP(A292&amp;B292&amp;C292,盘货信息!$A:$A&amp;盘货信息!$B:$B&amp;盘货信息!$C:$C,盘货信息!$R:$R)&amp;"元优惠卷"))</f>
        <v/>
      </c>
      <c r="J292" s="18" t="str">
        <f t="array" ref="J292">IF(C292="","",IF(_xlfn.XLOOKUP(A292&amp;B292&amp;C292,盘货信息!$A:$A&amp;盘货信息!$B:$B&amp;盘货信息!$C:$C,盘货信息!$K:$K)="","",IF(OR(_xlfn.XLOOKUP(A292&amp;B292&amp;C292,盘货信息!$A:$A&amp;盘货信息!$B:$B&amp;盘货信息!$C:$C,盘货信息!$G:$G)="参加",_xlfn.XLOOKUP(A292&amp;B292&amp;C292,盘货信息!$A:$A&amp;盘货信息!$B:$B&amp;盘货信息!$C:$C,盘货信息!$H:$H)="1（纯自补）"),_xlfn.XLOOKUP(A292&amp;B292&amp;C292,盘货信息!$A:$A&amp;盘货信息!$B:$B&amp;盘货信息!$C:$C,盘货信息!$K:$K)&amp;"元以旧换新（可无旧机换新）","")))</f>
        <v/>
      </c>
      <c r="K292" s="18" t="str">
        <f t="array" ref="K292">IF(C292="","",IF(_xlfn.XLOOKUP(A292&amp;B292&amp;C292,盘货信息!$A:$A&amp;盘货信息!$B:$B&amp;盘货信息!$C:$C,盘货信息!$L:$L)="","",_xlfn.XLOOKUP(A292&amp;B292&amp;C292,盘货信息!$A:$A&amp;盘货信息!$B:$B&amp;盘货信息!$C:$C,盘货信息!$L:$L)&amp;"元限时补贴"))</f>
        <v/>
      </c>
      <c r="L292" s="18" t="str">
        <f t="array" ref="L292">IF(C292="","",IF(_xlfn.XLOOKUP(A292&amp;B292&amp;C292,盘货信息!$A:$A&amp;盘货信息!$B:$B&amp;盘货信息!$C:$C,盘货信息!$M:$M)="","",_xlfn.XLOOKUP(A292&amp;B292&amp;C292,盘货信息!$A:$A&amp;盘货信息!$B:$B&amp;盘货信息!$C:$C,盘货信息!$M:$M)&amp;"元消费券"))</f>
        <v/>
      </c>
      <c r="M292" s="18" t="str">
        <f t="array" ref="M292">IF(C292="","",IF(_xlfn.XLOOKUP(A292&amp;B292&amp;C292,盘货信息!$A:$A&amp;盘货信息!$B:$B&amp;盘货信息!$C:$C,盘货信息!$G:$G)="不参加","","焕新补贴优惠【全民可用，不限地址】"))</f>
        <v/>
      </c>
    </row>
    <row r="293" customHeight="1" spans="1:13">
      <c r="A293" s="17" t="str">
        <f>IF(盘货信息!A293="","",盘货信息!A293)</f>
        <v/>
      </c>
      <c r="B293" s="17" t="str">
        <f>IF(盘货信息!B293="","",盘货信息!B293)</f>
        <v/>
      </c>
      <c r="C293" s="18" t="str">
        <f>IF(盘货信息!C293="","",盘货信息!C293)</f>
        <v/>
      </c>
      <c r="D293" s="18" t="str">
        <f t="shared" si="4"/>
        <v/>
      </c>
      <c r="E293" s="18" t="str">
        <f t="array" ref="E293">IF(C293="","",IF(_xlfn.XLOOKUP(A293&amp;B293&amp;C293,盘货信息!$A:$A&amp;盘货信息!$B:$B&amp;盘货信息!$C:$C,盘货信息!$N:$N)="","【立减到手价"&amp;_xlfn.XLOOKUP(A293&amp;B293&amp;C293,盘货信息!$A:$A&amp;盘货信息!$B:$B&amp;盘货信息!$C:$C,盘货信息!$F:$F)&amp;"元】","【焕新补贴预估价"&amp;_xlfn.XLOOKUP(A293&amp;B293&amp;C293,盘货信息!$A:$A&amp;盘货信息!$B:$B&amp;盘货信息!$C:$C,盘货信息!$N:$N)&amp;"元】"))</f>
        <v/>
      </c>
      <c r="F293" s="18" t="str">
        <f t="array" ref="F293">IF(C293="","",_xlfn.XLOOKUP(A293&amp;B293&amp;C293,盘货信息!$A:$A&amp;盘货信息!$B:$B&amp;盘货信息!$C:$C,盘货信息!$E:$E)&amp;"元到手价")</f>
        <v/>
      </c>
      <c r="G293" s="18" t="str">
        <f t="array" ref="G293">IF(C293="","",IF(_xlfn.XLOOKUP(A293&amp;B293&amp;C293,盘货信息!$A:$A&amp;盘货信息!$B:$B&amp;盘货信息!$C:$C,盘货信息!$I:$I)="","","88VIP95折"))</f>
        <v/>
      </c>
      <c r="H293" s="18" t="str">
        <f t="array" ref="H293">IF(C293="","",IF(_xlfn.XLOOKUP(A293&amp;B293&amp;C293,盘货信息!$A:$A&amp;盘货信息!$B:$B&amp;盘货信息!$C:$C,盘货信息!$J:$J)="","",_xlfn.XLOOKUP(A293&amp;B293&amp;C293,盘货信息!$A:$A&amp;盘货信息!$B:$B&amp;盘货信息!$C:$C,盘货信息!$J:$J)&amp;"元优惠卷"))</f>
        <v/>
      </c>
      <c r="I293" s="18" t="str">
        <f t="array" ref="I293">IF(C293="","",IF(_xlfn.XLOOKUP(A293&amp;B293&amp;C293,盘货信息!$A:$A&amp;盘货信息!$B:$B&amp;盘货信息!$C:$C,盘货信息!$R:$R)="","",_xlfn.XLOOKUP(A293&amp;B293&amp;C293,盘货信息!$A:$A&amp;盘货信息!$B:$B&amp;盘货信息!$C:$C,盘货信息!$R:$R)&amp;"元优惠卷"))</f>
        <v/>
      </c>
      <c r="J293" s="18" t="str">
        <f t="array" ref="J293">IF(C293="","",IF(_xlfn.XLOOKUP(A293&amp;B293&amp;C293,盘货信息!$A:$A&amp;盘货信息!$B:$B&amp;盘货信息!$C:$C,盘货信息!$K:$K)="","",IF(OR(_xlfn.XLOOKUP(A293&amp;B293&amp;C293,盘货信息!$A:$A&amp;盘货信息!$B:$B&amp;盘货信息!$C:$C,盘货信息!$G:$G)="参加",_xlfn.XLOOKUP(A293&amp;B293&amp;C293,盘货信息!$A:$A&amp;盘货信息!$B:$B&amp;盘货信息!$C:$C,盘货信息!$H:$H)="1（纯自补）"),_xlfn.XLOOKUP(A293&amp;B293&amp;C293,盘货信息!$A:$A&amp;盘货信息!$B:$B&amp;盘货信息!$C:$C,盘货信息!$K:$K)&amp;"元以旧换新（可无旧机换新）","")))</f>
        <v/>
      </c>
      <c r="K293" s="18" t="str">
        <f t="array" ref="K293">IF(C293="","",IF(_xlfn.XLOOKUP(A293&amp;B293&amp;C293,盘货信息!$A:$A&amp;盘货信息!$B:$B&amp;盘货信息!$C:$C,盘货信息!$L:$L)="","",_xlfn.XLOOKUP(A293&amp;B293&amp;C293,盘货信息!$A:$A&amp;盘货信息!$B:$B&amp;盘货信息!$C:$C,盘货信息!$L:$L)&amp;"元限时补贴"))</f>
        <v/>
      </c>
      <c r="L293" s="18" t="str">
        <f t="array" ref="L293">IF(C293="","",IF(_xlfn.XLOOKUP(A293&amp;B293&amp;C293,盘货信息!$A:$A&amp;盘货信息!$B:$B&amp;盘货信息!$C:$C,盘货信息!$M:$M)="","",_xlfn.XLOOKUP(A293&amp;B293&amp;C293,盘货信息!$A:$A&amp;盘货信息!$B:$B&amp;盘货信息!$C:$C,盘货信息!$M:$M)&amp;"元消费券"))</f>
        <v/>
      </c>
      <c r="M293" s="18" t="str">
        <f t="array" ref="M293">IF(C293="","",IF(_xlfn.XLOOKUP(A293&amp;B293&amp;C293,盘货信息!$A:$A&amp;盘货信息!$B:$B&amp;盘货信息!$C:$C,盘货信息!$G:$G)="不参加","","焕新补贴优惠【全民可用，不限地址】"))</f>
        <v/>
      </c>
    </row>
    <row r="294" customHeight="1" spans="1:13">
      <c r="A294" s="17" t="str">
        <f>IF(盘货信息!A294="","",盘货信息!A294)</f>
        <v/>
      </c>
      <c r="B294" s="17" t="str">
        <f>IF(盘货信息!B294="","",盘货信息!B294)</f>
        <v/>
      </c>
      <c r="C294" s="18" t="str">
        <f>IF(盘货信息!C294="","",盘货信息!C294)</f>
        <v/>
      </c>
      <c r="D294" s="18" t="str">
        <f t="shared" si="4"/>
        <v/>
      </c>
      <c r="E294" s="18" t="str">
        <f t="array" ref="E294">IF(C294="","",IF(_xlfn.XLOOKUP(A294&amp;B294&amp;C294,盘货信息!$A:$A&amp;盘货信息!$B:$B&amp;盘货信息!$C:$C,盘货信息!$N:$N)="","【立减到手价"&amp;_xlfn.XLOOKUP(A294&amp;B294&amp;C294,盘货信息!$A:$A&amp;盘货信息!$B:$B&amp;盘货信息!$C:$C,盘货信息!$F:$F)&amp;"元】","【焕新补贴预估价"&amp;_xlfn.XLOOKUP(A294&amp;B294&amp;C294,盘货信息!$A:$A&amp;盘货信息!$B:$B&amp;盘货信息!$C:$C,盘货信息!$N:$N)&amp;"元】"))</f>
        <v/>
      </c>
      <c r="F294" s="18" t="str">
        <f t="array" ref="F294">IF(C294="","",_xlfn.XLOOKUP(A294&amp;B294&amp;C294,盘货信息!$A:$A&amp;盘货信息!$B:$B&amp;盘货信息!$C:$C,盘货信息!$E:$E)&amp;"元到手价")</f>
        <v/>
      </c>
      <c r="G294" s="18" t="str">
        <f t="array" ref="G294">IF(C294="","",IF(_xlfn.XLOOKUP(A294&amp;B294&amp;C294,盘货信息!$A:$A&amp;盘货信息!$B:$B&amp;盘货信息!$C:$C,盘货信息!$I:$I)="","","88VIP95折"))</f>
        <v/>
      </c>
      <c r="H294" s="18" t="str">
        <f t="array" ref="H294">IF(C294="","",IF(_xlfn.XLOOKUP(A294&amp;B294&amp;C294,盘货信息!$A:$A&amp;盘货信息!$B:$B&amp;盘货信息!$C:$C,盘货信息!$J:$J)="","",_xlfn.XLOOKUP(A294&amp;B294&amp;C294,盘货信息!$A:$A&amp;盘货信息!$B:$B&amp;盘货信息!$C:$C,盘货信息!$J:$J)&amp;"元优惠卷"))</f>
        <v/>
      </c>
      <c r="I294" s="18" t="str">
        <f t="array" ref="I294">IF(C294="","",IF(_xlfn.XLOOKUP(A294&amp;B294&amp;C294,盘货信息!$A:$A&amp;盘货信息!$B:$B&amp;盘货信息!$C:$C,盘货信息!$R:$R)="","",_xlfn.XLOOKUP(A294&amp;B294&amp;C294,盘货信息!$A:$A&amp;盘货信息!$B:$B&amp;盘货信息!$C:$C,盘货信息!$R:$R)&amp;"元优惠卷"))</f>
        <v/>
      </c>
      <c r="J294" s="18" t="str">
        <f t="array" ref="J294">IF(C294="","",IF(_xlfn.XLOOKUP(A294&amp;B294&amp;C294,盘货信息!$A:$A&amp;盘货信息!$B:$B&amp;盘货信息!$C:$C,盘货信息!$K:$K)="","",IF(OR(_xlfn.XLOOKUP(A294&amp;B294&amp;C294,盘货信息!$A:$A&amp;盘货信息!$B:$B&amp;盘货信息!$C:$C,盘货信息!$G:$G)="参加",_xlfn.XLOOKUP(A294&amp;B294&amp;C294,盘货信息!$A:$A&amp;盘货信息!$B:$B&amp;盘货信息!$C:$C,盘货信息!$H:$H)="1（纯自补）"),_xlfn.XLOOKUP(A294&amp;B294&amp;C294,盘货信息!$A:$A&amp;盘货信息!$B:$B&amp;盘货信息!$C:$C,盘货信息!$K:$K)&amp;"元以旧换新（可无旧机换新）","")))</f>
        <v/>
      </c>
      <c r="K294" s="18" t="str">
        <f t="array" ref="K294">IF(C294="","",IF(_xlfn.XLOOKUP(A294&amp;B294&amp;C294,盘货信息!$A:$A&amp;盘货信息!$B:$B&amp;盘货信息!$C:$C,盘货信息!$L:$L)="","",_xlfn.XLOOKUP(A294&amp;B294&amp;C294,盘货信息!$A:$A&amp;盘货信息!$B:$B&amp;盘货信息!$C:$C,盘货信息!$L:$L)&amp;"元限时补贴"))</f>
        <v/>
      </c>
      <c r="L294" s="18" t="str">
        <f t="array" ref="L294">IF(C294="","",IF(_xlfn.XLOOKUP(A294&amp;B294&amp;C294,盘货信息!$A:$A&amp;盘货信息!$B:$B&amp;盘货信息!$C:$C,盘货信息!$M:$M)="","",_xlfn.XLOOKUP(A294&amp;B294&amp;C294,盘货信息!$A:$A&amp;盘货信息!$B:$B&amp;盘货信息!$C:$C,盘货信息!$M:$M)&amp;"元消费券"))</f>
        <v/>
      </c>
      <c r="M294" s="18" t="str">
        <f t="array" ref="M294">IF(C294="","",IF(_xlfn.XLOOKUP(A294&amp;B294&amp;C294,盘货信息!$A:$A&amp;盘货信息!$B:$B&amp;盘货信息!$C:$C,盘货信息!$G:$G)="不参加","","焕新补贴优惠【全民可用，不限地址】"))</f>
        <v/>
      </c>
    </row>
    <row r="295" customHeight="1" spans="1:13">
      <c r="A295" s="17" t="str">
        <f>IF(盘货信息!A295="","",盘货信息!A295)</f>
        <v/>
      </c>
      <c r="B295" s="17" t="str">
        <f>IF(盘货信息!B295="","",盘货信息!B295)</f>
        <v/>
      </c>
      <c r="C295" s="18" t="str">
        <f>IF(盘货信息!C295="","",盘货信息!C295)</f>
        <v/>
      </c>
      <c r="D295" s="18" t="str">
        <f t="shared" si="4"/>
        <v/>
      </c>
      <c r="E295" s="18" t="str">
        <f t="array" ref="E295">IF(C295="","",IF(_xlfn.XLOOKUP(A295&amp;B295&amp;C295,盘货信息!$A:$A&amp;盘货信息!$B:$B&amp;盘货信息!$C:$C,盘货信息!$N:$N)="","【立减到手价"&amp;_xlfn.XLOOKUP(A295&amp;B295&amp;C295,盘货信息!$A:$A&amp;盘货信息!$B:$B&amp;盘货信息!$C:$C,盘货信息!$F:$F)&amp;"元】","【焕新补贴预估价"&amp;_xlfn.XLOOKUP(A295&amp;B295&amp;C295,盘货信息!$A:$A&amp;盘货信息!$B:$B&amp;盘货信息!$C:$C,盘货信息!$N:$N)&amp;"元】"))</f>
        <v/>
      </c>
      <c r="F295" s="18" t="str">
        <f t="array" ref="F295">IF(C295="","",_xlfn.XLOOKUP(A295&amp;B295&amp;C295,盘货信息!$A:$A&amp;盘货信息!$B:$B&amp;盘货信息!$C:$C,盘货信息!$E:$E)&amp;"元到手价")</f>
        <v/>
      </c>
      <c r="G295" s="18" t="str">
        <f t="array" ref="G295">IF(C295="","",IF(_xlfn.XLOOKUP(A295&amp;B295&amp;C295,盘货信息!$A:$A&amp;盘货信息!$B:$B&amp;盘货信息!$C:$C,盘货信息!$I:$I)="","","88VIP95折"))</f>
        <v/>
      </c>
      <c r="H295" s="18" t="str">
        <f t="array" ref="H295">IF(C295="","",IF(_xlfn.XLOOKUP(A295&amp;B295&amp;C295,盘货信息!$A:$A&amp;盘货信息!$B:$B&amp;盘货信息!$C:$C,盘货信息!$J:$J)="","",_xlfn.XLOOKUP(A295&amp;B295&amp;C295,盘货信息!$A:$A&amp;盘货信息!$B:$B&amp;盘货信息!$C:$C,盘货信息!$J:$J)&amp;"元优惠卷"))</f>
        <v/>
      </c>
      <c r="I295" s="18" t="str">
        <f t="array" ref="I295">IF(C295="","",IF(_xlfn.XLOOKUP(A295&amp;B295&amp;C295,盘货信息!$A:$A&amp;盘货信息!$B:$B&amp;盘货信息!$C:$C,盘货信息!$R:$R)="","",_xlfn.XLOOKUP(A295&amp;B295&amp;C295,盘货信息!$A:$A&amp;盘货信息!$B:$B&amp;盘货信息!$C:$C,盘货信息!$R:$R)&amp;"元优惠卷"))</f>
        <v/>
      </c>
      <c r="J295" s="18" t="str">
        <f t="array" ref="J295">IF(C295="","",IF(_xlfn.XLOOKUP(A295&amp;B295&amp;C295,盘货信息!$A:$A&amp;盘货信息!$B:$B&amp;盘货信息!$C:$C,盘货信息!$K:$K)="","",IF(OR(_xlfn.XLOOKUP(A295&amp;B295&amp;C295,盘货信息!$A:$A&amp;盘货信息!$B:$B&amp;盘货信息!$C:$C,盘货信息!$G:$G)="参加",_xlfn.XLOOKUP(A295&amp;B295&amp;C295,盘货信息!$A:$A&amp;盘货信息!$B:$B&amp;盘货信息!$C:$C,盘货信息!$H:$H)="1（纯自补）"),_xlfn.XLOOKUP(A295&amp;B295&amp;C295,盘货信息!$A:$A&amp;盘货信息!$B:$B&amp;盘货信息!$C:$C,盘货信息!$K:$K)&amp;"元以旧换新（可无旧机换新）","")))</f>
        <v/>
      </c>
      <c r="K295" s="18" t="str">
        <f t="array" ref="K295">IF(C295="","",IF(_xlfn.XLOOKUP(A295&amp;B295&amp;C295,盘货信息!$A:$A&amp;盘货信息!$B:$B&amp;盘货信息!$C:$C,盘货信息!$L:$L)="","",_xlfn.XLOOKUP(A295&amp;B295&amp;C295,盘货信息!$A:$A&amp;盘货信息!$B:$B&amp;盘货信息!$C:$C,盘货信息!$L:$L)&amp;"元限时补贴"))</f>
        <v/>
      </c>
      <c r="L295" s="18" t="str">
        <f t="array" ref="L295">IF(C295="","",IF(_xlfn.XLOOKUP(A295&amp;B295&amp;C295,盘货信息!$A:$A&amp;盘货信息!$B:$B&amp;盘货信息!$C:$C,盘货信息!$M:$M)="","",_xlfn.XLOOKUP(A295&amp;B295&amp;C295,盘货信息!$A:$A&amp;盘货信息!$B:$B&amp;盘货信息!$C:$C,盘货信息!$M:$M)&amp;"元消费券"))</f>
        <v/>
      </c>
      <c r="M295" s="18" t="str">
        <f t="array" ref="M295">IF(C295="","",IF(_xlfn.XLOOKUP(A295&amp;B295&amp;C295,盘货信息!$A:$A&amp;盘货信息!$B:$B&amp;盘货信息!$C:$C,盘货信息!$G:$G)="不参加","","焕新补贴优惠【全民可用，不限地址】"))</f>
        <v/>
      </c>
    </row>
    <row r="296" customHeight="1" spans="1:13">
      <c r="A296" s="17" t="str">
        <f>IF(盘货信息!A296="","",盘货信息!A296)</f>
        <v/>
      </c>
      <c r="B296" s="17" t="str">
        <f>IF(盘货信息!B296="","",盘货信息!B296)</f>
        <v/>
      </c>
      <c r="C296" s="18" t="str">
        <f>IF(盘货信息!C296="","",盘货信息!C296)</f>
        <v/>
      </c>
      <c r="D296" s="18" t="str">
        <f t="shared" si="4"/>
        <v/>
      </c>
      <c r="E296" s="18" t="str">
        <f t="array" ref="E296">IF(C296="","",IF(_xlfn.XLOOKUP(A296&amp;B296&amp;C296,盘货信息!$A:$A&amp;盘货信息!$B:$B&amp;盘货信息!$C:$C,盘货信息!$N:$N)="","【立减到手价"&amp;_xlfn.XLOOKUP(A296&amp;B296&amp;C296,盘货信息!$A:$A&amp;盘货信息!$B:$B&amp;盘货信息!$C:$C,盘货信息!$F:$F)&amp;"元】","【焕新补贴预估价"&amp;_xlfn.XLOOKUP(A296&amp;B296&amp;C296,盘货信息!$A:$A&amp;盘货信息!$B:$B&amp;盘货信息!$C:$C,盘货信息!$N:$N)&amp;"元】"))</f>
        <v/>
      </c>
      <c r="F296" s="18" t="str">
        <f t="array" ref="F296">IF(C296="","",_xlfn.XLOOKUP(A296&amp;B296&amp;C296,盘货信息!$A:$A&amp;盘货信息!$B:$B&amp;盘货信息!$C:$C,盘货信息!$E:$E)&amp;"元到手价")</f>
        <v/>
      </c>
      <c r="G296" s="18" t="str">
        <f t="array" ref="G296">IF(C296="","",IF(_xlfn.XLOOKUP(A296&amp;B296&amp;C296,盘货信息!$A:$A&amp;盘货信息!$B:$B&amp;盘货信息!$C:$C,盘货信息!$I:$I)="","","88VIP95折"))</f>
        <v/>
      </c>
      <c r="H296" s="18" t="str">
        <f t="array" ref="H296">IF(C296="","",IF(_xlfn.XLOOKUP(A296&amp;B296&amp;C296,盘货信息!$A:$A&amp;盘货信息!$B:$B&amp;盘货信息!$C:$C,盘货信息!$J:$J)="","",_xlfn.XLOOKUP(A296&amp;B296&amp;C296,盘货信息!$A:$A&amp;盘货信息!$B:$B&amp;盘货信息!$C:$C,盘货信息!$J:$J)&amp;"元优惠卷"))</f>
        <v/>
      </c>
      <c r="I296" s="18" t="str">
        <f t="array" ref="I296">IF(C296="","",IF(_xlfn.XLOOKUP(A296&amp;B296&amp;C296,盘货信息!$A:$A&amp;盘货信息!$B:$B&amp;盘货信息!$C:$C,盘货信息!$R:$R)="","",_xlfn.XLOOKUP(A296&amp;B296&amp;C296,盘货信息!$A:$A&amp;盘货信息!$B:$B&amp;盘货信息!$C:$C,盘货信息!$R:$R)&amp;"元优惠卷"))</f>
        <v/>
      </c>
      <c r="J296" s="18" t="str">
        <f t="array" ref="J296">IF(C296="","",IF(_xlfn.XLOOKUP(A296&amp;B296&amp;C296,盘货信息!$A:$A&amp;盘货信息!$B:$B&amp;盘货信息!$C:$C,盘货信息!$K:$K)="","",IF(OR(_xlfn.XLOOKUP(A296&amp;B296&amp;C296,盘货信息!$A:$A&amp;盘货信息!$B:$B&amp;盘货信息!$C:$C,盘货信息!$G:$G)="参加",_xlfn.XLOOKUP(A296&amp;B296&amp;C296,盘货信息!$A:$A&amp;盘货信息!$B:$B&amp;盘货信息!$C:$C,盘货信息!$H:$H)="1（纯自补）"),_xlfn.XLOOKUP(A296&amp;B296&amp;C296,盘货信息!$A:$A&amp;盘货信息!$B:$B&amp;盘货信息!$C:$C,盘货信息!$K:$K)&amp;"元以旧换新（可无旧机换新）","")))</f>
        <v/>
      </c>
      <c r="K296" s="18" t="str">
        <f t="array" ref="K296">IF(C296="","",IF(_xlfn.XLOOKUP(A296&amp;B296&amp;C296,盘货信息!$A:$A&amp;盘货信息!$B:$B&amp;盘货信息!$C:$C,盘货信息!$L:$L)="","",_xlfn.XLOOKUP(A296&amp;B296&amp;C296,盘货信息!$A:$A&amp;盘货信息!$B:$B&amp;盘货信息!$C:$C,盘货信息!$L:$L)&amp;"元限时补贴"))</f>
        <v/>
      </c>
      <c r="L296" s="18" t="str">
        <f t="array" ref="L296">IF(C296="","",IF(_xlfn.XLOOKUP(A296&amp;B296&amp;C296,盘货信息!$A:$A&amp;盘货信息!$B:$B&amp;盘货信息!$C:$C,盘货信息!$M:$M)="","",_xlfn.XLOOKUP(A296&amp;B296&amp;C296,盘货信息!$A:$A&amp;盘货信息!$B:$B&amp;盘货信息!$C:$C,盘货信息!$M:$M)&amp;"元消费券"))</f>
        <v/>
      </c>
      <c r="M296" s="18" t="str">
        <f t="array" ref="M296">IF(C296="","",IF(_xlfn.XLOOKUP(A296&amp;B296&amp;C296,盘货信息!$A:$A&amp;盘货信息!$B:$B&amp;盘货信息!$C:$C,盘货信息!$G:$G)="不参加","","焕新补贴优惠【全民可用，不限地址】"))</f>
        <v/>
      </c>
    </row>
    <row r="297" customHeight="1" spans="1:13">
      <c r="A297" s="17" t="str">
        <f>IF(盘货信息!A297="","",盘货信息!A297)</f>
        <v/>
      </c>
      <c r="B297" s="17" t="str">
        <f>IF(盘货信息!B297="","",盘货信息!B297)</f>
        <v/>
      </c>
      <c r="C297" s="18" t="str">
        <f>IF(盘货信息!C297="","",盘货信息!C297)</f>
        <v/>
      </c>
      <c r="D297" s="18" t="str">
        <f t="shared" si="4"/>
        <v/>
      </c>
      <c r="E297" s="18" t="str">
        <f t="array" ref="E297">IF(C297="","",IF(_xlfn.XLOOKUP(A297&amp;B297&amp;C297,盘货信息!$A:$A&amp;盘货信息!$B:$B&amp;盘货信息!$C:$C,盘货信息!$N:$N)="","【立减到手价"&amp;_xlfn.XLOOKUP(A297&amp;B297&amp;C297,盘货信息!$A:$A&amp;盘货信息!$B:$B&amp;盘货信息!$C:$C,盘货信息!$F:$F)&amp;"元】","【焕新补贴预估价"&amp;_xlfn.XLOOKUP(A297&amp;B297&amp;C297,盘货信息!$A:$A&amp;盘货信息!$B:$B&amp;盘货信息!$C:$C,盘货信息!$N:$N)&amp;"元】"))</f>
        <v/>
      </c>
      <c r="F297" s="18" t="str">
        <f t="array" ref="F297">IF(C297="","",_xlfn.XLOOKUP(A297&amp;B297&amp;C297,盘货信息!$A:$A&amp;盘货信息!$B:$B&amp;盘货信息!$C:$C,盘货信息!$E:$E)&amp;"元到手价")</f>
        <v/>
      </c>
      <c r="G297" s="18" t="str">
        <f t="array" ref="G297">IF(C297="","",IF(_xlfn.XLOOKUP(A297&amp;B297&amp;C297,盘货信息!$A:$A&amp;盘货信息!$B:$B&amp;盘货信息!$C:$C,盘货信息!$I:$I)="","","88VIP95折"))</f>
        <v/>
      </c>
      <c r="H297" s="18" t="str">
        <f t="array" ref="H297">IF(C297="","",IF(_xlfn.XLOOKUP(A297&amp;B297&amp;C297,盘货信息!$A:$A&amp;盘货信息!$B:$B&amp;盘货信息!$C:$C,盘货信息!$J:$J)="","",_xlfn.XLOOKUP(A297&amp;B297&amp;C297,盘货信息!$A:$A&amp;盘货信息!$B:$B&amp;盘货信息!$C:$C,盘货信息!$J:$J)&amp;"元优惠卷"))</f>
        <v/>
      </c>
      <c r="I297" s="18" t="str">
        <f t="array" ref="I297">IF(C297="","",IF(_xlfn.XLOOKUP(A297&amp;B297&amp;C297,盘货信息!$A:$A&amp;盘货信息!$B:$B&amp;盘货信息!$C:$C,盘货信息!$R:$R)="","",_xlfn.XLOOKUP(A297&amp;B297&amp;C297,盘货信息!$A:$A&amp;盘货信息!$B:$B&amp;盘货信息!$C:$C,盘货信息!$R:$R)&amp;"元优惠卷"))</f>
        <v/>
      </c>
      <c r="J297" s="18" t="str">
        <f t="array" ref="J297">IF(C297="","",IF(_xlfn.XLOOKUP(A297&amp;B297&amp;C297,盘货信息!$A:$A&amp;盘货信息!$B:$B&amp;盘货信息!$C:$C,盘货信息!$K:$K)="","",IF(OR(_xlfn.XLOOKUP(A297&amp;B297&amp;C297,盘货信息!$A:$A&amp;盘货信息!$B:$B&amp;盘货信息!$C:$C,盘货信息!$G:$G)="参加",_xlfn.XLOOKUP(A297&amp;B297&amp;C297,盘货信息!$A:$A&amp;盘货信息!$B:$B&amp;盘货信息!$C:$C,盘货信息!$H:$H)="1（纯自补）"),_xlfn.XLOOKUP(A297&amp;B297&amp;C297,盘货信息!$A:$A&amp;盘货信息!$B:$B&amp;盘货信息!$C:$C,盘货信息!$K:$K)&amp;"元以旧换新（可无旧机换新）","")))</f>
        <v/>
      </c>
      <c r="K297" s="18" t="str">
        <f t="array" ref="K297">IF(C297="","",IF(_xlfn.XLOOKUP(A297&amp;B297&amp;C297,盘货信息!$A:$A&amp;盘货信息!$B:$B&amp;盘货信息!$C:$C,盘货信息!$L:$L)="","",_xlfn.XLOOKUP(A297&amp;B297&amp;C297,盘货信息!$A:$A&amp;盘货信息!$B:$B&amp;盘货信息!$C:$C,盘货信息!$L:$L)&amp;"元限时补贴"))</f>
        <v/>
      </c>
      <c r="L297" s="18" t="str">
        <f t="array" ref="L297">IF(C297="","",IF(_xlfn.XLOOKUP(A297&amp;B297&amp;C297,盘货信息!$A:$A&amp;盘货信息!$B:$B&amp;盘货信息!$C:$C,盘货信息!$M:$M)="","",_xlfn.XLOOKUP(A297&amp;B297&amp;C297,盘货信息!$A:$A&amp;盘货信息!$B:$B&amp;盘货信息!$C:$C,盘货信息!$M:$M)&amp;"元消费券"))</f>
        <v/>
      </c>
      <c r="M297" s="18" t="str">
        <f t="array" ref="M297">IF(C297="","",IF(_xlfn.XLOOKUP(A297&amp;B297&amp;C297,盘货信息!$A:$A&amp;盘货信息!$B:$B&amp;盘货信息!$C:$C,盘货信息!$G:$G)="不参加","","焕新补贴优惠【全民可用，不限地址】"))</f>
        <v/>
      </c>
    </row>
    <row r="298" customHeight="1" spans="1:13">
      <c r="A298" s="17" t="str">
        <f>IF(盘货信息!A298="","",盘货信息!A298)</f>
        <v/>
      </c>
      <c r="B298" s="17" t="str">
        <f>IF(盘货信息!B298="","",盘货信息!B298)</f>
        <v/>
      </c>
      <c r="C298" s="18" t="str">
        <f>IF(盘货信息!C298="","",盘货信息!C298)</f>
        <v/>
      </c>
      <c r="D298" s="18" t="str">
        <f t="shared" si="4"/>
        <v/>
      </c>
      <c r="E298" s="18" t="str">
        <f t="array" ref="E298">IF(C298="","",IF(_xlfn.XLOOKUP(A298&amp;B298&amp;C298,盘货信息!$A:$A&amp;盘货信息!$B:$B&amp;盘货信息!$C:$C,盘货信息!$N:$N)="","【立减到手价"&amp;_xlfn.XLOOKUP(A298&amp;B298&amp;C298,盘货信息!$A:$A&amp;盘货信息!$B:$B&amp;盘货信息!$C:$C,盘货信息!$F:$F)&amp;"元】","【焕新补贴预估价"&amp;_xlfn.XLOOKUP(A298&amp;B298&amp;C298,盘货信息!$A:$A&amp;盘货信息!$B:$B&amp;盘货信息!$C:$C,盘货信息!$N:$N)&amp;"元】"))</f>
        <v/>
      </c>
      <c r="F298" s="18" t="str">
        <f t="array" ref="F298">IF(C298="","",_xlfn.XLOOKUP(A298&amp;B298&amp;C298,盘货信息!$A:$A&amp;盘货信息!$B:$B&amp;盘货信息!$C:$C,盘货信息!$E:$E)&amp;"元到手价")</f>
        <v/>
      </c>
      <c r="G298" s="18" t="str">
        <f t="array" ref="G298">IF(C298="","",IF(_xlfn.XLOOKUP(A298&amp;B298&amp;C298,盘货信息!$A:$A&amp;盘货信息!$B:$B&amp;盘货信息!$C:$C,盘货信息!$I:$I)="","","88VIP95折"))</f>
        <v/>
      </c>
      <c r="H298" s="18" t="str">
        <f t="array" ref="H298">IF(C298="","",IF(_xlfn.XLOOKUP(A298&amp;B298&amp;C298,盘货信息!$A:$A&amp;盘货信息!$B:$B&amp;盘货信息!$C:$C,盘货信息!$J:$J)="","",_xlfn.XLOOKUP(A298&amp;B298&amp;C298,盘货信息!$A:$A&amp;盘货信息!$B:$B&amp;盘货信息!$C:$C,盘货信息!$J:$J)&amp;"元优惠卷"))</f>
        <v/>
      </c>
      <c r="I298" s="18" t="str">
        <f t="array" ref="I298">IF(C298="","",IF(_xlfn.XLOOKUP(A298&amp;B298&amp;C298,盘货信息!$A:$A&amp;盘货信息!$B:$B&amp;盘货信息!$C:$C,盘货信息!$R:$R)="","",_xlfn.XLOOKUP(A298&amp;B298&amp;C298,盘货信息!$A:$A&amp;盘货信息!$B:$B&amp;盘货信息!$C:$C,盘货信息!$R:$R)&amp;"元优惠卷"))</f>
        <v/>
      </c>
      <c r="J298" s="18" t="str">
        <f t="array" ref="J298">IF(C298="","",IF(_xlfn.XLOOKUP(A298&amp;B298&amp;C298,盘货信息!$A:$A&amp;盘货信息!$B:$B&amp;盘货信息!$C:$C,盘货信息!$K:$K)="","",IF(OR(_xlfn.XLOOKUP(A298&amp;B298&amp;C298,盘货信息!$A:$A&amp;盘货信息!$B:$B&amp;盘货信息!$C:$C,盘货信息!$G:$G)="参加",_xlfn.XLOOKUP(A298&amp;B298&amp;C298,盘货信息!$A:$A&amp;盘货信息!$B:$B&amp;盘货信息!$C:$C,盘货信息!$H:$H)="1（纯自补）"),_xlfn.XLOOKUP(A298&amp;B298&amp;C298,盘货信息!$A:$A&amp;盘货信息!$B:$B&amp;盘货信息!$C:$C,盘货信息!$K:$K)&amp;"元以旧换新（可无旧机换新）","")))</f>
        <v/>
      </c>
      <c r="K298" s="18" t="str">
        <f t="array" ref="K298">IF(C298="","",IF(_xlfn.XLOOKUP(A298&amp;B298&amp;C298,盘货信息!$A:$A&amp;盘货信息!$B:$B&amp;盘货信息!$C:$C,盘货信息!$L:$L)="","",_xlfn.XLOOKUP(A298&amp;B298&amp;C298,盘货信息!$A:$A&amp;盘货信息!$B:$B&amp;盘货信息!$C:$C,盘货信息!$L:$L)&amp;"元限时补贴"))</f>
        <v/>
      </c>
      <c r="L298" s="18" t="str">
        <f t="array" ref="L298">IF(C298="","",IF(_xlfn.XLOOKUP(A298&amp;B298&amp;C298,盘货信息!$A:$A&amp;盘货信息!$B:$B&amp;盘货信息!$C:$C,盘货信息!$M:$M)="","",_xlfn.XLOOKUP(A298&amp;B298&amp;C298,盘货信息!$A:$A&amp;盘货信息!$B:$B&amp;盘货信息!$C:$C,盘货信息!$M:$M)&amp;"元消费券"))</f>
        <v/>
      </c>
      <c r="M298" s="18" t="str">
        <f t="array" ref="M298">IF(C298="","",IF(_xlfn.XLOOKUP(A298&amp;B298&amp;C298,盘货信息!$A:$A&amp;盘货信息!$B:$B&amp;盘货信息!$C:$C,盘货信息!$G:$G)="不参加","","焕新补贴优惠【全民可用，不限地址】"))</f>
        <v/>
      </c>
    </row>
    <row r="299" customHeight="1" spans="1:13">
      <c r="A299" s="17" t="str">
        <f>IF(盘货信息!A299="","",盘货信息!A299)</f>
        <v/>
      </c>
      <c r="B299" s="17" t="str">
        <f>IF(盘货信息!B299="","",盘货信息!B299)</f>
        <v/>
      </c>
      <c r="C299" s="18" t="str">
        <f>IF(盘货信息!C299="","",盘货信息!C299)</f>
        <v/>
      </c>
      <c r="D299" s="18" t="str">
        <f t="shared" si="4"/>
        <v/>
      </c>
      <c r="E299" s="18" t="str">
        <f t="array" ref="E299">IF(C299="","",IF(_xlfn.XLOOKUP(A299&amp;B299&amp;C299,盘货信息!$A:$A&amp;盘货信息!$B:$B&amp;盘货信息!$C:$C,盘货信息!$N:$N)="","【立减到手价"&amp;_xlfn.XLOOKUP(A299&amp;B299&amp;C299,盘货信息!$A:$A&amp;盘货信息!$B:$B&amp;盘货信息!$C:$C,盘货信息!$F:$F)&amp;"元】","【焕新补贴预估价"&amp;_xlfn.XLOOKUP(A299&amp;B299&amp;C299,盘货信息!$A:$A&amp;盘货信息!$B:$B&amp;盘货信息!$C:$C,盘货信息!$N:$N)&amp;"元】"))</f>
        <v/>
      </c>
      <c r="F299" s="18" t="str">
        <f t="array" ref="F299">IF(C299="","",_xlfn.XLOOKUP(A299&amp;B299&amp;C299,盘货信息!$A:$A&amp;盘货信息!$B:$B&amp;盘货信息!$C:$C,盘货信息!$E:$E)&amp;"元到手价")</f>
        <v/>
      </c>
      <c r="G299" s="18" t="str">
        <f t="array" ref="G299">IF(C299="","",IF(_xlfn.XLOOKUP(A299&amp;B299&amp;C299,盘货信息!$A:$A&amp;盘货信息!$B:$B&amp;盘货信息!$C:$C,盘货信息!$I:$I)="","","88VIP95折"))</f>
        <v/>
      </c>
      <c r="H299" s="18" t="str">
        <f t="array" ref="H299">IF(C299="","",IF(_xlfn.XLOOKUP(A299&amp;B299&amp;C299,盘货信息!$A:$A&amp;盘货信息!$B:$B&amp;盘货信息!$C:$C,盘货信息!$J:$J)="","",_xlfn.XLOOKUP(A299&amp;B299&amp;C299,盘货信息!$A:$A&amp;盘货信息!$B:$B&amp;盘货信息!$C:$C,盘货信息!$J:$J)&amp;"元优惠卷"))</f>
        <v/>
      </c>
      <c r="I299" s="18" t="str">
        <f t="array" ref="I299">IF(C299="","",IF(_xlfn.XLOOKUP(A299&amp;B299&amp;C299,盘货信息!$A:$A&amp;盘货信息!$B:$B&amp;盘货信息!$C:$C,盘货信息!$R:$R)="","",_xlfn.XLOOKUP(A299&amp;B299&amp;C299,盘货信息!$A:$A&amp;盘货信息!$B:$B&amp;盘货信息!$C:$C,盘货信息!$R:$R)&amp;"元优惠卷"))</f>
        <v/>
      </c>
      <c r="J299" s="18" t="str">
        <f t="array" ref="J299">IF(C299="","",IF(_xlfn.XLOOKUP(A299&amp;B299&amp;C299,盘货信息!$A:$A&amp;盘货信息!$B:$B&amp;盘货信息!$C:$C,盘货信息!$K:$K)="","",IF(OR(_xlfn.XLOOKUP(A299&amp;B299&amp;C299,盘货信息!$A:$A&amp;盘货信息!$B:$B&amp;盘货信息!$C:$C,盘货信息!$G:$G)="参加",_xlfn.XLOOKUP(A299&amp;B299&amp;C299,盘货信息!$A:$A&amp;盘货信息!$B:$B&amp;盘货信息!$C:$C,盘货信息!$H:$H)="1（纯自补）"),_xlfn.XLOOKUP(A299&amp;B299&amp;C299,盘货信息!$A:$A&amp;盘货信息!$B:$B&amp;盘货信息!$C:$C,盘货信息!$K:$K)&amp;"元以旧换新（可无旧机换新）","")))</f>
        <v/>
      </c>
      <c r="K299" s="18" t="str">
        <f t="array" ref="K299">IF(C299="","",IF(_xlfn.XLOOKUP(A299&amp;B299&amp;C299,盘货信息!$A:$A&amp;盘货信息!$B:$B&amp;盘货信息!$C:$C,盘货信息!$L:$L)="","",_xlfn.XLOOKUP(A299&amp;B299&amp;C299,盘货信息!$A:$A&amp;盘货信息!$B:$B&amp;盘货信息!$C:$C,盘货信息!$L:$L)&amp;"元限时补贴"))</f>
        <v/>
      </c>
      <c r="L299" s="18" t="str">
        <f t="array" ref="L299">IF(C299="","",IF(_xlfn.XLOOKUP(A299&amp;B299&amp;C299,盘货信息!$A:$A&amp;盘货信息!$B:$B&amp;盘货信息!$C:$C,盘货信息!$M:$M)="","",_xlfn.XLOOKUP(A299&amp;B299&amp;C299,盘货信息!$A:$A&amp;盘货信息!$B:$B&amp;盘货信息!$C:$C,盘货信息!$M:$M)&amp;"元消费券"))</f>
        <v/>
      </c>
      <c r="M299" s="18" t="str">
        <f t="array" ref="M299">IF(C299="","",IF(_xlfn.XLOOKUP(A299&amp;B299&amp;C299,盘货信息!$A:$A&amp;盘货信息!$B:$B&amp;盘货信息!$C:$C,盘货信息!$G:$G)="不参加","","焕新补贴优惠【全民可用，不限地址】"))</f>
        <v/>
      </c>
    </row>
    <row r="300" customHeight="1" spans="1:13">
      <c r="A300" s="17" t="str">
        <f>IF(盘货信息!A300="","",盘货信息!A300)</f>
        <v/>
      </c>
      <c r="B300" s="17" t="str">
        <f>IF(盘货信息!B300="","",盘货信息!B300)</f>
        <v/>
      </c>
      <c r="C300" s="18" t="str">
        <f>IF(盘货信息!C300="","",盘货信息!C300)</f>
        <v/>
      </c>
      <c r="D300" s="18" t="str">
        <f t="shared" si="4"/>
        <v/>
      </c>
      <c r="E300" s="18" t="str">
        <f t="array" ref="E300">IF(C300="","",IF(_xlfn.XLOOKUP(A300&amp;B300&amp;C300,盘货信息!$A:$A&amp;盘货信息!$B:$B&amp;盘货信息!$C:$C,盘货信息!$N:$N)="","【立减到手价"&amp;_xlfn.XLOOKUP(A300&amp;B300&amp;C300,盘货信息!$A:$A&amp;盘货信息!$B:$B&amp;盘货信息!$C:$C,盘货信息!$F:$F)&amp;"元】","【焕新补贴预估价"&amp;_xlfn.XLOOKUP(A300&amp;B300&amp;C300,盘货信息!$A:$A&amp;盘货信息!$B:$B&amp;盘货信息!$C:$C,盘货信息!$N:$N)&amp;"元】"))</f>
        <v/>
      </c>
      <c r="F300" s="18" t="str">
        <f t="array" ref="F300">IF(C300="","",_xlfn.XLOOKUP(A300&amp;B300&amp;C300,盘货信息!$A:$A&amp;盘货信息!$B:$B&amp;盘货信息!$C:$C,盘货信息!$E:$E)&amp;"元到手价")</f>
        <v/>
      </c>
      <c r="G300" s="18" t="str">
        <f t="array" ref="G300">IF(C300="","",IF(_xlfn.XLOOKUP(A300&amp;B300&amp;C300,盘货信息!$A:$A&amp;盘货信息!$B:$B&amp;盘货信息!$C:$C,盘货信息!$I:$I)="","","88VIP95折"))</f>
        <v/>
      </c>
      <c r="H300" s="18" t="str">
        <f t="array" ref="H300">IF(C300="","",IF(_xlfn.XLOOKUP(A300&amp;B300&amp;C300,盘货信息!$A:$A&amp;盘货信息!$B:$B&amp;盘货信息!$C:$C,盘货信息!$J:$J)="","",_xlfn.XLOOKUP(A300&amp;B300&amp;C300,盘货信息!$A:$A&amp;盘货信息!$B:$B&amp;盘货信息!$C:$C,盘货信息!$J:$J)&amp;"元优惠卷"))</f>
        <v/>
      </c>
      <c r="I300" s="18" t="str">
        <f t="array" ref="I300">IF(C300="","",IF(_xlfn.XLOOKUP(A300&amp;B300&amp;C300,盘货信息!$A:$A&amp;盘货信息!$B:$B&amp;盘货信息!$C:$C,盘货信息!$R:$R)="","",_xlfn.XLOOKUP(A300&amp;B300&amp;C300,盘货信息!$A:$A&amp;盘货信息!$B:$B&amp;盘货信息!$C:$C,盘货信息!$R:$R)&amp;"元优惠卷"))</f>
        <v/>
      </c>
      <c r="J300" s="18" t="str">
        <f t="array" ref="J300">IF(C300="","",IF(_xlfn.XLOOKUP(A300&amp;B300&amp;C300,盘货信息!$A:$A&amp;盘货信息!$B:$B&amp;盘货信息!$C:$C,盘货信息!$K:$K)="","",IF(OR(_xlfn.XLOOKUP(A300&amp;B300&amp;C300,盘货信息!$A:$A&amp;盘货信息!$B:$B&amp;盘货信息!$C:$C,盘货信息!$G:$G)="参加",_xlfn.XLOOKUP(A300&amp;B300&amp;C300,盘货信息!$A:$A&amp;盘货信息!$B:$B&amp;盘货信息!$C:$C,盘货信息!$H:$H)="1（纯自补）"),_xlfn.XLOOKUP(A300&amp;B300&amp;C300,盘货信息!$A:$A&amp;盘货信息!$B:$B&amp;盘货信息!$C:$C,盘货信息!$K:$K)&amp;"元以旧换新（可无旧机换新）","")))</f>
        <v/>
      </c>
      <c r="K300" s="18" t="str">
        <f t="array" ref="K300">IF(C300="","",IF(_xlfn.XLOOKUP(A300&amp;B300&amp;C300,盘货信息!$A:$A&amp;盘货信息!$B:$B&amp;盘货信息!$C:$C,盘货信息!$L:$L)="","",_xlfn.XLOOKUP(A300&amp;B300&amp;C300,盘货信息!$A:$A&amp;盘货信息!$B:$B&amp;盘货信息!$C:$C,盘货信息!$L:$L)&amp;"元限时补贴"))</f>
        <v/>
      </c>
      <c r="L300" s="18" t="str">
        <f t="array" ref="L300">IF(C300="","",IF(_xlfn.XLOOKUP(A300&amp;B300&amp;C300,盘货信息!$A:$A&amp;盘货信息!$B:$B&amp;盘货信息!$C:$C,盘货信息!$M:$M)="","",_xlfn.XLOOKUP(A300&amp;B300&amp;C300,盘货信息!$A:$A&amp;盘货信息!$B:$B&amp;盘货信息!$C:$C,盘货信息!$M:$M)&amp;"元消费券"))</f>
        <v/>
      </c>
      <c r="M300" s="18" t="str">
        <f t="array" ref="M300">IF(C300="","",IF(_xlfn.XLOOKUP(A300&amp;B300&amp;C300,盘货信息!$A:$A&amp;盘货信息!$B:$B&amp;盘货信息!$C:$C,盘货信息!$G:$G)="不参加","","焕新补贴优惠【全民可用，不限地址】"))</f>
        <v/>
      </c>
    </row>
    <row r="301" customHeight="1" spans="1:13">
      <c r="A301" s="17" t="str">
        <f>IF(盘货信息!A301="","",盘货信息!A301)</f>
        <v/>
      </c>
      <c r="B301" s="17" t="str">
        <f>IF(盘货信息!B301="","",盘货信息!B301)</f>
        <v/>
      </c>
      <c r="C301" s="18" t="str">
        <f>IF(盘货信息!C301="","",盘货信息!C301)</f>
        <v/>
      </c>
      <c r="D301" s="18" t="str">
        <f t="shared" si="4"/>
        <v/>
      </c>
      <c r="E301" s="18" t="str">
        <f t="array" ref="E301">IF(C301="","",IF(_xlfn.XLOOKUP(A301&amp;B301&amp;C301,盘货信息!$A:$A&amp;盘货信息!$B:$B&amp;盘货信息!$C:$C,盘货信息!$N:$N)="","【立减到手价"&amp;_xlfn.XLOOKUP(A301&amp;B301&amp;C301,盘货信息!$A:$A&amp;盘货信息!$B:$B&amp;盘货信息!$C:$C,盘货信息!$F:$F)&amp;"元】","【焕新补贴预估价"&amp;_xlfn.XLOOKUP(A301&amp;B301&amp;C301,盘货信息!$A:$A&amp;盘货信息!$B:$B&amp;盘货信息!$C:$C,盘货信息!$N:$N)&amp;"元】"))</f>
        <v/>
      </c>
      <c r="F301" s="18" t="str">
        <f t="array" ref="F301">IF(C301="","",_xlfn.XLOOKUP(A301&amp;B301&amp;C301,盘货信息!$A:$A&amp;盘货信息!$B:$B&amp;盘货信息!$C:$C,盘货信息!$E:$E)&amp;"元到手价")</f>
        <v/>
      </c>
      <c r="G301" s="18" t="str">
        <f t="array" ref="G301">IF(C301="","",IF(_xlfn.XLOOKUP(A301&amp;B301&amp;C301,盘货信息!$A:$A&amp;盘货信息!$B:$B&amp;盘货信息!$C:$C,盘货信息!$I:$I)="","","88VIP95折"))</f>
        <v/>
      </c>
      <c r="H301" s="18" t="str">
        <f t="array" ref="H301">IF(C301="","",IF(_xlfn.XLOOKUP(A301&amp;B301&amp;C301,盘货信息!$A:$A&amp;盘货信息!$B:$B&amp;盘货信息!$C:$C,盘货信息!$J:$J)="","",_xlfn.XLOOKUP(A301&amp;B301&amp;C301,盘货信息!$A:$A&amp;盘货信息!$B:$B&amp;盘货信息!$C:$C,盘货信息!$J:$J)&amp;"元优惠卷"))</f>
        <v/>
      </c>
      <c r="I301" s="18" t="str">
        <f t="array" ref="I301">IF(C301="","",IF(_xlfn.XLOOKUP(A301&amp;B301&amp;C301,盘货信息!$A:$A&amp;盘货信息!$B:$B&amp;盘货信息!$C:$C,盘货信息!$R:$R)="","",_xlfn.XLOOKUP(A301&amp;B301&amp;C301,盘货信息!$A:$A&amp;盘货信息!$B:$B&amp;盘货信息!$C:$C,盘货信息!$R:$R)&amp;"元优惠卷"))</f>
        <v/>
      </c>
      <c r="J301" s="18" t="str">
        <f t="array" ref="J301">IF(C301="","",IF(_xlfn.XLOOKUP(A301&amp;B301&amp;C301,盘货信息!$A:$A&amp;盘货信息!$B:$B&amp;盘货信息!$C:$C,盘货信息!$K:$K)="","",IF(OR(_xlfn.XLOOKUP(A301&amp;B301&amp;C301,盘货信息!$A:$A&amp;盘货信息!$B:$B&amp;盘货信息!$C:$C,盘货信息!$G:$G)="参加",_xlfn.XLOOKUP(A301&amp;B301&amp;C301,盘货信息!$A:$A&amp;盘货信息!$B:$B&amp;盘货信息!$C:$C,盘货信息!$H:$H)="1（纯自补）"),_xlfn.XLOOKUP(A301&amp;B301&amp;C301,盘货信息!$A:$A&amp;盘货信息!$B:$B&amp;盘货信息!$C:$C,盘货信息!$K:$K)&amp;"元以旧换新（可无旧机换新）","")))</f>
        <v/>
      </c>
      <c r="K301" s="18" t="str">
        <f t="array" ref="K301">IF(C301="","",IF(_xlfn.XLOOKUP(A301&amp;B301&amp;C301,盘货信息!$A:$A&amp;盘货信息!$B:$B&amp;盘货信息!$C:$C,盘货信息!$L:$L)="","",_xlfn.XLOOKUP(A301&amp;B301&amp;C301,盘货信息!$A:$A&amp;盘货信息!$B:$B&amp;盘货信息!$C:$C,盘货信息!$L:$L)&amp;"元限时补贴"))</f>
        <v/>
      </c>
      <c r="L301" s="18" t="str">
        <f t="array" ref="L301">IF(C301="","",IF(_xlfn.XLOOKUP(A301&amp;B301&amp;C301,盘货信息!$A:$A&amp;盘货信息!$B:$B&amp;盘货信息!$C:$C,盘货信息!$M:$M)="","",_xlfn.XLOOKUP(A301&amp;B301&amp;C301,盘货信息!$A:$A&amp;盘货信息!$B:$B&amp;盘货信息!$C:$C,盘货信息!$M:$M)&amp;"元消费券"))</f>
        <v/>
      </c>
      <c r="M301" s="18" t="str">
        <f t="array" ref="M301">IF(C301="","",IF(_xlfn.XLOOKUP(A301&amp;B301&amp;C301,盘货信息!$A:$A&amp;盘货信息!$B:$B&amp;盘货信息!$C:$C,盘货信息!$G:$G)="不参加","","焕新补贴优惠【全民可用，不限地址】"))</f>
        <v/>
      </c>
    </row>
    <row r="302" customHeight="1" spans="1:13">
      <c r="A302" s="17" t="str">
        <f>IF(盘货信息!A302="","",盘货信息!A302)</f>
        <v/>
      </c>
      <c r="B302" s="17" t="str">
        <f>IF(盘货信息!B302="","",盘货信息!B302)</f>
        <v/>
      </c>
      <c r="C302" s="18" t="str">
        <f>IF(盘货信息!C302="","",盘货信息!C302)</f>
        <v/>
      </c>
      <c r="D302" s="18" t="str">
        <f t="shared" si="4"/>
        <v/>
      </c>
      <c r="E302" s="18" t="str">
        <f t="array" ref="E302">IF(C302="","",IF(_xlfn.XLOOKUP(A302&amp;B302&amp;C302,盘货信息!$A:$A&amp;盘货信息!$B:$B&amp;盘货信息!$C:$C,盘货信息!$N:$N)="","【立减到手价"&amp;_xlfn.XLOOKUP(A302&amp;B302&amp;C302,盘货信息!$A:$A&amp;盘货信息!$B:$B&amp;盘货信息!$C:$C,盘货信息!$F:$F)&amp;"元】","【焕新补贴预估价"&amp;_xlfn.XLOOKUP(A302&amp;B302&amp;C302,盘货信息!$A:$A&amp;盘货信息!$B:$B&amp;盘货信息!$C:$C,盘货信息!$N:$N)&amp;"元】"))</f>
        <v/>
      </c>
      <c r="F302" s="18" t="str">
        <f t="array" ref="F302">IF(C302="","",_xlfn.XLOOKUP(A302&amp;B302&amp;C302,盘货信息!$A:$A&amp;盘货信息!$B:$B&amp;盘货信息!$C:$C,盘货信息!$E:$E)&amp;"元到手价")</f>
        <v/>
      </c>
      <c r="G302" s="18" t="str">
        <f t="array" ref="G302">IF(C302="","",IF(_xlfn.XLOOKUP(A302&amp;B302&amp;C302,盘货信息!$A:$A&amp;盘货信息!$B:$B&amp;盘货信息!$C:$C,盘货信息!$I:$I)="","","88VIP95折"))</f>
        <v/>
      </c>
      <c r="H302" s="18" t="str">
        <f t="array" ref="H302">IF(C302="","",IF(_xlfn.XLOOKUP(A302&amp;B302&amp;C302,盘货信息!$A:$A&amp;盘货信息!$B:$B&amp;盘货信息!$C:$C,盘货信息!$J:$J)="","",_xlfn.XLOOKUP(A302&amp;B302&amp;C302,盘货信息!$A:$A&amp;盘货信息!$B:$B&amp;盘货信息!$C:$C,盘货信息!$J:$J)&amp;"元优惠卷"))</f>
        <v/>
      </c>
      <c r="I302" s="18" t="str">
        <f t="array" ref="I302">IF(C302="","",IF(_xlfn.XLOOKUP(A302&amp;B302&amp;C302,盘货信息!$A:$A&amp;盘货信息!$B:$B&amp;盘货信息!$C:$C,盘货信息!$R:$R)="","",_xlfn.XLOOKUP(A302&amp;B302&amp;C302,盘货信息!$A:$A&amp;盘货信息!$B:$B&amp;盘货信息!$C:$C,盘货信息!$R:$R)&amp;"元优惠卷"))</f>
        <v/>
      </c>
      <c r="J302" s="18" t="str">
        <f t="array" ref="J302">IF(C302="","",IF(_xlfn.XLOOKUP(A302&amp;B302&amp;C302,盘货信息!$A:$A&amp;盘货信息!$B:$B&amp;盘货信息!$C:$C,盘货信息!$K:$K)="","",IF(OR(_xlfn.XLOOKUP(A302&amp;B302&amp;C302,盘货信息!$A:$A&amp;盘货信息!$B:$B&amp;盘货信息!$C:$C,盘货信息!$G:$G)="参加",_xlfn.XLOOKUP(A302&amp;B302&amp;C302,盘货信息!$A:$A&amp;盘货信息!$B:$B&amp;盘货信息!$C:$C,盘货信息!$H:$H)="1（纯自补）"),_xlfn.XLOOKUP(A302&amp;B302&amp;C302,盘货信息!$A:$A&amp;盘货信息!$B:$B&amp;盘货信息!$C:$C,盘货信息!$K:$K)&amp;"元以旧换新（可无旧机换新）","")))</f>
        <v/>
      </c>
      <c r="K302" s="18" t="str">
        <f t="array" ref="K302">IF(C302="","",IF(_xlfn.XLOOKUP(A302&amp;B302&amp;C302,盘货信息!$A:$A&amp;盘货信息!$B:$B&amp;盘货信息!$C:$C,盘货信息!$L:$L)="","",_xlfn.XLOOKUP(A302&amp;B302&amp;C302,盘货信息!$A:$A&amp;盘货信息!$B:$B&amp;盘货信息!$C:$C,盘货信息!$L:$L)&amp;"元限时补贴"))</f>
        <v/>
      </c>
      <c r="L302" s="18" t="str">
        <f t="array" ref="L302">IF(C302="","",IF(_xlfn.XLOOKUP(A302&amp;B302&amp;C302,盘货信息!$A:$A&amp;盘货信息!$B:$B&amp;盘货信息!$C:$C,盘货信息!$M:$M)="","",_xlfn.XLOOKUP(A302&amp;B302&amp;C302,盘货信息!$A:$A&amp;盘货信息!$B:$B&amp;盘货信息!$C:$C,盘货信息!$M:$M)&amp;"元消费券"))</f>
        <v/>
      </c>
      <c r="M302" s="18" t="str">
        <f t="array" ref="M302">IF(C302="","",IF(_xlfn.XLOOKUP(A302&amp;B302&amp;C302,盘货信息!$A:$A&amp;盘货信息!$B:$B&amp;盘货信息!$C:$C,盘货信息!$G:$G)="不参加","","焕新补贴优惠【全民可用，不限地址】"))</f>
        <v/>
      </c>
    </row>
    <row r="303" customHeight="1" spans="1:13">
      <c r="A303" s="17" t="str">
        <f>IF(盘货信息!A303="","",盘货信息!A303)</f>
        <v/>
      </c>
      <c r="B303" s="17" t="str">
        <f>IF(盘货信息!B303="","",盘货信息!B303)</f>
        <v/>
      </c>
      <c r="C303" s="18" t="str">
        <f>IF(盘货信息!C303="","",盘货信息!C303)</f>
        <v/>
      </c>
      <c r="D303" s="18" t="str">
        <f t="shared" si="4"/>
        <v/>
      </c>
      <c r="E303" s="18" t="str">
        <f t="array" ref="E303">IF(C303="","",IF(_xlfn.XLOOKUP(A303&amp;B303&amp;C303,盘货信息!$A:$A&amp;盘货信息!$B:$B&amp;盘货信息!$C:$C,盘货信息!$N:$N)="","【立减到手价"&amp;_xlfn.XLOOKUP(A303&amp;B303&amp;C303,盘货信息!$A:$A&amp;盘货信息!$B:$B&amp;盘货信息!$C:$C,盘货信息!$F:$F)&amp;"元】","【焕新补贴预估价"&amp;_xlfn.XLOOKUP(A303&amp;B303&amp;C303,盘货信息!$A:$A&amp;盘货信息!$B:$B&amp;盘货信息!$C:$C,盘货信息!$N:$N)&amp;"元】"))</f>
        <v/>
      </c>
      <c r="F303" s="18" t="str">
        <f t="array" ref="F303">IF(C303="","",_xlfn.XLOOKUP(A303&amp;B303&amp;C303,盘货信息!$A:$A&amp;盘货信息!$B:$B&amp;盘货信息!$C:$C,盘货信息!$E:$E)&amp;"元到手价")</f>
        <v/>
      </c>
      <c r="G303" s="18" t="str">
        <f t="array" ref="G303">IF(C303="","",IF(_xlfn.XLOOKUP(A303&amp;B303&amp;C303,盘货信息!$A:$A&amp;盘货信息!$B:$B&amp;盘货信息!$C:$C,盘货信息!$I:$I)="","","88VIP95折"))</f>
        <v/>
      </c>
      <c r="H303" s="18" t="str">
        <f t="array" ref="H303">IF(C303="","",IF(_xlfn.XLOOKUP(A303&amp;B303&amp;C303,盘货信息!$A:$A&amp;盘货信息!$B:$B&amp;盘货信息!$C:$C,盘货信息!$J:$J)="","",_xlfn.XLOOKUP(A303&amp;B303&amp;C303,盘货信息!$A:$A&amp;盘货信息!$B:$B&amp;盘货信息!$C:$C,盘货信息!$J:$J)&amp;"元优惠卷"))</f>
        <v/>
      </c>
      <c r="I303" s="18" t="str">
        <f t="array" ref="I303">IF(C303="","",IF(_xlfn.XLOOKUP(A303&amp;B303&amp;C303,盘货信息!$A:$A&amp;盘货信息!$B:$B&amp;盘货信息!$C:$C,盘货信息!$R:$R)="","",_xlfn.XLOOKUP(A303&amp;B303&amp;C303,盘货信息!$A:$A&amp;盘货信息!$B:$B&amp;盘货信息!$C:$C,盘货信息!$R:$R)&amp;"元优惠卷"))</f>
        <v/>
      </c>
      <c r="J303" s="18" t="str">
        <f t="array" ref="J303">IF(C303="","",IF(_xlfn.XLOOKUP(A303&amp;B303&amp;C303,盘货信息!$A:$A&amp;盘货信息!$B:$B&amp;盘货信息!$C:$C,盘货信息!$K:$K)="","",IF(OR(_xlfn.XLOOKUP(A303&amp;B303&amp;C303,盘货信息!$A:$A&amp;盘货信息!$B:$B&amp;盘货信息!$C:$C,盘货信息!$G:$G)="参加",_xlfn.XLOOKUP(A303&amp;B303&amp;C303,盘货信息!$A:$A&amp;盘货信息!$B:$B&amp;盘货信息!$C:$C,盘货信息!$H:$H)="1（纯自补）"),_xlfn.XLOOKUP(A303&amp;B303&amp;C303,盘货信息!$A:$A&amp;盘货信息!$B:$B&amp;盘货信息!$C:$C,盘货信息!$K:$K)&amp;"元以旧换新（可无旧机换新）","")))</f>
        <v/>
      </c>
      <c r="K303" s="18" t="str">
        <f t="array" ref="K303">IF(C303="","",IF(_xlfn.XLOOKUP(A303&amp;B303&amp;C303,盘货信息!$A:$A&amp;盘货信息!$B:$B&amp;盘货信息!$C:$C,盘货信息!$L:$L)="","",_xlfn.XLOOKUP(A303&amp;B303&amp;C303,盘货信息!$A:$A&amp;盘货信息!$B:$B&amp;盘货信息!$C:$C,盘货信息!$L:$L)&amp;"元限时补贴"))</f>
        <v/>
      </c>
      <c r="L303" s="18" t="str">
        <f t="array" ref="L303">IF(C303="","",IF(_xlfn.XLOOKUP(A303&amp;B303&amp;C303,盘货信息!$A:$A&amp;盘货信息!$B:$B&amp;盘货信息!$C:$C,盘货信息!$M:$M)="","",_xlfn.XLOOKUP(A303&amp;B303&amp;C303,盘货信息!$A:$A&amp;盘货信息!$B:$B&amp;盘货信息!$C:$C,盘货信息!$M:$M)&amp;"元消费券"))</f>
        <v/>
      </c>
      <c r="M303" s="18" t="str">
        <f t="array" ref="M303">IF(C303="","",IF(_xlfn.XLOOKUP(A303&amp;B303&amp;C303,盘货信息!$A:$A&amp;盘货信息!$B:$B&amp;盘货信息!$C:$C,盘货信息!$G:$G)="不参加","","焕新补贴优惠【全民可用，不限地址】"))</f>
        <v/>
      </c>
    </row>
    <row r="304" customHeight="1" spans="1:13">
      <c r="A304" s="17" t="str">
        <f>IF(盘货信息!A304="","",盘货信息!A304)</f>
        <v/>
      </c>
      <c r="B304" s="17" t="str">
        <f>IF(盘货信息!B304="","",盘货信息!B304)</f>
        <v/>
      </c>
      <c r="C304" s="18" t="str">
        <f>IF(盘货信息!C304="","",盘货信息!C304)</f>
        <v/>
      </c>
      <c r="D304" s="18" t="str">
        <f t="shared" si="4"/>
        <v/>
      </c>
      <c r="E304" s="18" t="str">
        <f t="array" ref="E304">IF(C304="","",IF(_xlfn.XLOOKUP(A304&amp;B304&amp;C304,盘货信息!$A:$A&amp;盘货信息!$B:$B&amp;盘货信息!$C:$C,盘货信息!$N:$N)="","【立减到手价"&amp;_xlfn.XLOOKUP(A304&amp;B304&amp;C304,盘货信息!$A:$A&amp;盘货信息!$B:$B&amp;盘货信息!$C:$C,盘货信息!$F:$F)&amp;"元】","【焕新补贴预估价"&amp;_xlfn.XLOOKUP(A304&amp;B304&amp;C304,盘货信息!$A:$A&amp;盘货信息!$B:$B&amp;盘货信息!$C:$C,盘货信息!$N:$N)&amp;"元】"))</f>
        <v/>
      </c>
      <c r="F304" s="18" t="str">
        <f t="array" ref="F304">IF(C304="","",_xlfn.XLOOKUP(A304&amp;B304&amp;C304,盘货信息!$A:$A&amp;盘货信息!$B:$B&amp;盘货信息!$C:$C,盘货信息!$E:$E)&amp;"元到手价")</f>
        <v/>
      </c>
      <c r="G304" s="18" t="str">
        <f t="array" ref="G304">IF(C304="","",IF(_xlfn.XLOOKUP(A304&amp;B304&amp;C304,盘货信息!$A:$A&amp;盘货信息!$B:$B&amp;盘货信息!$C:$C,盘货信息!$I:$I)="","","88VIP95折"))</f>
        <v/>
      </c>
      <c r="H304" s="18" t="str">
        <f t="array" ref="H304">IF(C304="","",IF(_xlfn.XLOOKUP(A304&amp;B304&amp;C304,盘货信息!$A:$A&amp;盘货信息!$B:$B&amp;盘货信息!$C:$C,盘货信息!$J:$J)="","",_xlfn.XLOOKUP(A304&amp;B304&amp;C304,盘货信息!$A:$A&amp;盘货信息!$B:$B&amp;盘货信息!$C:$C,盘货信息!$J:$J)&amp;"元优惠卷"))</f>
        <v/>
      </c>
      <c r="I304" s="18" t="str">
        <f t="array" ref="I304">IF(C304="","",IF(_xlfn.XLOOKUP(A304&amp;B304&amp;C304,盘货信息!$A:$A&amp;盘货信息!$B:$B&amp;盘货信息!$C:$C,盘货信息!$R:$R)="","",_xlfn.XLOOKUP(A304&amp;B304&amp;C304,盘货信息!$A:$A&amp;盘货信息!$B:$B&amp;盘货信息!$C:$C,盘货信息!$R:$R)&amp;"元优惠卷"))</f>
        <v/>
      </c>
      <c r="J304" s="18" t="str">
        <f t="array" ref="J304">IF(C304="","",IF(_xlfn.XLOOKUP(A304&amp;B304&amp;C304,盘货信息!$A:$A&amp;盘货信息!$B:$B&amp;盘货信息!$C:$C,盘货信息!$K:$K)="","",IF(OR(_xlfn.XLOOKUP(A304&amp;B304&amp;C304,盘货信息!$A:$A&amp;盘货信息!$B:$B&amp;盘货信息!$C:$C,盘货信息!$G:$G)="参加",_xlfn.XLOOKUP(A304&amp;B304&amp;C304,盘货信息!$A:$A&amp;盘货信息!$B:$B&amp;盘货信息!$C:$C,盘货信息!$H:$H)="1（纯自补）"),_xlfn.XLOOKUP(A304&amp;B304&amp;C304,盘货信息!$A:$A&amp;盘货信息!$B:$B&amp;盘货信息!$C:$C,盘货信息!$K:$K)&amp;"元以旧换新（可无旧机换新）","")))</f>
        <v/>
      </c>
      <c r="K304" s="18" t="str">
        <f t="array" ref="K304">IF(C304="","",IF(_xlfn.XLOOKUP(A304&amp;B304&amp;C304,盘货信息!$A:$A&amp;盘货信息!$B:$B&amp;盘货信息!$C:$C,盘货信息!$L:$L)="","",_xlfn.XLOOKUP(A304&amp;B304&amp;C304,盘货信息!$A:$A&amp;盘货信息!$B:$B&amp;盘货信息!$C:$C,盘货信息!$L:$L)&amp;"元限时补贴"))</f>
        <v/>
      </c>
      <c r="L304" s="18" t="str">
        <f t="array" ref="L304">IF(C304="","",IF(_xlfn.XLOOKUP(A304&amp;B304&amp;C304,盘货信息!$A:$A&amp;盘货信息!$B:$B&amp;盘货信息!$C:$C,盘货信息!$M:$M)="","",_xlfn.XLOOKUP(A304&amp;B304&amp;C304,盘货信息!$A:$A&amp;盘货信息!$B:$B&amp;盘货信息!$C:$C,盘货信息!$M:$M)&amp;"元消费券"))</f>
        <v/>
      </c>
      <c r="M304" s="18" t="str">
        <f t="array" ref="M304">IF(C304="","",IF(_xlfn.XLOOKUP(A304&amp;B304&amp;C304,盘货信息!$A:$A&amp;盘货信息!$B:$B&amp;盘货信息!$C:$C,盘货信息!$G:$G)="不参加","","焕新补贴优惠【全民可用，不限地址】"))</f>
        <v/>
      </c>
    </row>
    <row r="305" customHeight="1" spans="1:13">
      <c r="A305" s="17" t="str">
        <f>IF(盘货信息!A305="","",盘货信息!A305)</f>
        <v/>
      </c>
      <c r="B305" s="17" t="str">
        <f>IF(盘货信息!B305="","",盘货信息!B305)</f>
        <v/>
      </c>
      <c r="C305" s="18" t="str">
        <f>IF(盘货信息!C305="","",盘货信息!C305)</f>
        <v/>
      </c>
      <c r="D305" s="18" t="str">
        <f t="shared" si="4"/>
        <v/>
      </c>
      <c r="E305" s="18" t="str">
        <f t="array" ref="E305">IF(C305="","",IF(_xlfn.XLOOKUP(A305&amp;B305&amp;C305,盘货信息!$A:$A&amp;盘货信息!$B:$B&amp;盘货信息!$C:$C,盘货信息!$N:$N)="","【立减到手价"&amp;_xlfn.XLOOKUP(A305&amp;B305&amp;C305,盘货信息!$A:$A&amp;盘货信息!$B:$B&amp;盘货信息!$C:$C,盘货信息!$F:$F)&amp;"元】","【焕新补贴预估价"&amp;_xlfn.XLOOKUP(A305&amp;B305&amp;C305,盘货信息!$A:$A&amp;盘货信息!$B:$B&amp;盘货信息!$C:$C,盘货信息!$N:$N)&amp;"元】"))</f>
        <v/>
      </c>
      <c r="F305" s="18" t="str">
        <f t="array" ref="F305">IF(C305="","",_xlfn.XLOOKUP(A305&amp;B305&amp;C305,盘货信息!$A:$A&amp;盘货信息!$B:$B&amp;盘货信息!$C:$C,盘货信息!$E:$E)&amp;"元到手价")</f>
        <v/>
      </c>
      <c r="G305" s="18" t="str">
        <f t="array" ref="G305">IF(C305="","",IF(_xlfn.XLOOKUP(A305&amp;B305&amp;C305,盘货信息!$A:$A&amp;盘货信息!$B:$B&amp;盘货信息!$C:$C,盘货信息!$I:$I)="","","88VIP95折"))</f>
        <v/>
      </c>
      <c r="H305" s="18" t="str">
        <f t="array" ref="H305">IF(C305="","",IF(_xlfn.XLOOKUP(A305&amp;B305&amp;C305,盘货信息!$A:$A&amp;盘货信息!$B:$B&amp;盘货信息!$C:$C,盘货信息!$J:$J)="","",_xlfn.XLOOKUP(A305&amp;B305&amp;C305,盘货信息!$A:$A&amp;盘货信息!$B:$B&amp;盘货信息!$C:$C,盘货信息!$J:$J)&amp;"元优惠卷"))</f>
        <v/>
      </c>
      <c r="I305" s="18" t="str">
        <f t="array" ref="I305">IF(C305="","",IF(_xlfn.XLOOKUP(A305&amp;B305&amp;C305,盘货信息!$A:$A&amp;盘货信息!$B:$B&amp;盘货信息!$C:$C,盘货信息!$R:$R)="","",_xlfn.XLOOKUP(A305&amp;B305&amp;C305,盘货信息!$A:$A&amp;盘货信息!$B:$B&amp;盘货信息!$C:$C,盘货信息!$R:$R)&amp;"元优惠卷"))</f>
        <v/>
      </c>
      <c r="J305" s="18" t="str">
        <f t="array" ref="J305">IF(C305="","",IF(_xlfn.XLOOKUP(A305&amp;B305&amp;C305,盘货信息!$A:$A&amp;盘货信息!$B:$B&amp;盘货信息!$C:$C,盘货信息!$K:$K)="","",IF(OR(_xlfn.XLOOKUP(A305&amp;B305&amp;C305,盘货信息!$A:$A&amp;盘货信息!$B:$B&amp;盘货信息!$C:$C,盘货信息!$G:$G)="参加",_xlfn.XLOOKUP(A305&amp;B305&amp;C305,盘货信息!$A:$A&amp;盘货信息!$B:$B&amp;盘货信息!$C:$C,盘货信息!$H:$H)="1（纯自补）"),_xlfn.XLOOKUP(A305&amp;B305&amp;C305,盘货信息!$A:$A&amp;盘货信息!$B:$B&amp;盘货信息!$C:$C,盘货信息!$K:$K)&amp;"元以旧换新（可无旧机换新）","")))</f>
        <v/>
      </c>
      <c r="K305" s="18" t="str">
        <f t="array" ref="K305">IF(C305="","",IF(_xlfn.XLOOKUP(A305&amp;B305&amp;C305,盘货信息!$A:$A&amp;盘货信息!$B:$B&amp;盘货信息!$C:$C,盘货信息!$L:$L)="","",_xlfn.XLOOKUP(A305&amp;B305&amp;C305,盘货信息!$A:$A&amp;盘货信息!$B:$B&amp;盘货信息!$C:$C,盘货信息!$L:$L)&amp;"元限时补贴"))</f>
        <v/>
      </c>
      <c r="L305" s="18" t="str">
        <f t="array" ref="L305">IF(C305="","",IF(_xlfn.XLOOKUP(A305&amp;B305&amp;C305,盘货信息!$A:$A&amp;盘货信息!$B:$B&amp;盘货信息!$C:$C,盘货信息!$M:$M)="","",_xlfn.XLOOKUP(A305&amp;B305&amp;C305,盘货信息!$A:$A&amp;盘货信息!$B:$B&amp;盘货信息!$C:$C,盘货信息!$M:$M)&amp;"元消费券"))</f>
        <v/>
      </c>
      <c r="M305" s="18" t="str">
        <f t="array" ref="M305">IF(C305="","",IF(_xlfn.XLOOKUP(A305&amp;B305&amp;C305,盘货信息!$A:$A&amp;盘货信息!$B:$B&amp;盘货信息!$C:$C,盘货信息!$G:$G)="不参加","","焕新补贴优惠【全民可用，不限地址】"))</f>
        <v/>
      </c>
    </row>
    <row r="306" customHeight="1" spans="1:13">
      <c r="A306" s="17" t="str">
        <f>IF(盘货信息!A306="","",盘货信息!A306)</f>
        <v/>
      </c>
      <c r="B306" s="17" t="str">
        <f>IF(盘货信息!B306="","",盘货信息!B306)</f>
        <v/>
      </c>
      <c r="C306" s="18" t="str">
        <f>IF(盘货信息!C306="","",盘货信息!C306)</f>
        <v/>
      </c>
      <c r="D306" s="18" t="str">
        <f t="shared" si="4"/>
        <v/>
      </c>
      <c r="E306" s="18" t="str">
        <f t="array" ref="E306">IF(C306="","",IF(_xlfn.XLOOKUP(A306&amp;B306&amp;C306,盘货信息!$A:$A&amp;盘货信息!$B:$B&amp;盘货信息!$C:$C,盘货信息!$N:$N)="","【立减到手价"&amp;_xlfn.XLOOKUP(A306&amp;B306&amp;C306,盘货信息!$A:$A&amp;盘货信息!$B:$B&amp;盘货信息!$C:$C,盘货信息!$F:$F)&amp;"元】","【焕新补贴预估价"&amp;_xlfn.XLOOKUP(A306&amp;B306&amp;C306,盘货信息!$A:$A&amp;盘货信息!$B:$B&amp;盘货信息!$C:$C,盘货信息!$N:$N)&amp;"元】"))</f>
        <v/>
      </c>
      <c r="F306" s="18" t="str">
        <f t="array" ref="F306">IF(C306="","",_xlfn.XLOOKUP(A306&amp;B306&amp;C306,盘货信息!$A:$A&amp;盘货信息!$B:$B&amp;盘货信息!$C:$C,盘货信息!$E:$E)&amp;"元到手价")</f>
        <v/>
      </c>
      <c r="G306" s="18" t="str">
        <f t="array" ref="G306">IF(C306="","",IF(_xlfn.XLOOKUP(A306&amp;B306&amp;C306,盘货信息!$A:$A&amp;盘货信息!$B:$B&amp;盘货信息!$C:$C,盘货信息!$I:$I)="","","88VIP95折"))</f>
        <v/>
      </c>
      <c r="H306" s="18" t="str">
        <f t="array" ref="H306">IF(C306="","",IF(_xlfn.XLOOKUP(A306&amp;B306&amp;C306,盘货信息!$A:$A&amp;盘货信息!$B:$B&amp;盘货信息!$C:$C,盘货信息!$J:$J)="","",_xlfn.XLOOKUP(A306&amp;B306&amp;C306,盘货信息!$A:$A&amp;盘货信息!$B:$B&amp;盘货信息!$C:$C,盘货信息!$J:$J)&amp;"元优惠卷"))</f>
        <v/>
      </c>
      <c r="I306" s="18" t="str">
        <f t="array" ref="I306">IF(C306="","",IF(_xlfn.XLOOKUP(A306&amp;B306&amp;C306,盘货信息!$A:$A&amp;盘货信息!$B:$B&amp;盘货信息!$C:$C,盘货信息!$R:$R)="","",_xlfn.XLOOKUP(A306&amp;B306&amp;C306,盘货信息!$A:$A&amp;盘货信息!$B:$B&amp;盘货信息!$C:$C,盘货信息!$R:$R)&amp;"元优惠卷"))</f>
        <v/>
      </c>
      <c r="J306" s="18" t="str">
        <f t="array" ref="J306">IF(C306="","",IF(_xlfn.XLOOKUP(A306&amp;B306&amp;C306,盘货信息!$A:$A&amp;盘货信息!$B:$B&amp;盘货信息!$C:$C,盘货信息!$K:$K)="","",IF(OR(_xlfn.XLOOKUP(A306&amp;B306&amp;C306,盘货信息!$A:$A&amp;盘货信息!$B:$B&amp;盘货信息!$C:$C,盘货信息!$G:$G)="参加",_xlfn.XLOOKUP(A306&amp;B306&amp;C306,盘货信息!$A:$A&amp;盘货信息!$B:$B&amp;盘货信息!$C:$C,盘货信息!$H:$H)="1（纯自补）"),_xlfn.XLOOKUP(A306&amp;B306&amp;C306,盘货信息!$A:$A&amp;盘货信息!$B:$B&amp;盘货信息!$C:$C,盘货信息!$K:$K)&amp;"元以旧换新（可无旧机换新）","")))</f>
        <v/>
      </c>
      <c r="K306" s="18" t="str">
        <f t="array" ref="K306">IF(C306="","",IF(_xlfn.XLOOKUP(A306&amp;B306&amp;C306,盘货信息!$A:$A&amp;盘货信息!$B:$B&amp;盘货信息!$C:$C,盘货信息!$L:$L)="","",_xlfn.XLOOKUP(A306&amp;B306&amp;C306,盘货信息!$A:$A&amp;盘货信息!$B:$B&amp;盘货信息!$C:$C,盘货信息!$L:$L)&amp;"元限时补贴"))</f>
        <v/>
      </c>
      <c r="L306" s="18" t="str">
        <f t="array" ref="L306">IF(C306="","",IF(_xlfn.XLOOKUP(A306&amp;B306&amp;C306,盘货信息!$A:$A&amp;盘货信息!$B:$B&amp;盘货信息!$C:$C,盘货信息!$M:$M)="","",_xlfn.XLOOKUP(A306&amp;B306&amp;C306,盘货信息!$A:$A&amp;盘货信息!$B:$B&amp;盘货信息!$C:$C,盘货信息!$M:$M)&amp;"元消费券"))</f>
        <v/>
      </c>
      <c r="M306" s="18" t="str">
        <f t="array" ref="M306">IF(C306="","",IF(_xlfn.XLOOKUP(A306&amp;B306&amp;C306,盘货信息!$A:$A&amp;盘货信息!$B:$B&amp;盘货信息!$C:$C,盘货信息!$G:$G)="不参加","","焕新补贴优惠【全民可用，不限地址】"))</f>
        <v/>
      </c>
    </row>
    <row r="307" customHeight="1" spans="1:13">
      <c r="A307" s="17" t="str">
        <f>IF(盘货信息!A307="","",盘货信息!A307)</f>
        <v/>
      </c>
      <c r="B307" s="17" t="str">
        <f>IF(盘货信息!B307="","",盘货信息!B307)</f>
        <v/>
      </c>
      <c r="C307" s="18" t="str">
        <f>IF(盘货信息!C307="","",盘货信息!C307)</f>
        <v/>
      </c>
      <c r="D307" s="18" t="str">
        <f t="shared" si="4"/>
        <v/>
      </c>
      <c r="E307" s="18" t="str">
        <f t="array" ref="E307">IF(C307="","",IF(_xlfn.XLOOKUP(A307&amp;B307&amp;C307,盘货信息!$A:$A&amp;盘货信息!$B:$B&amp;盘货信息!$C:$C,盘货信息!$N:$N)="","【立减到手价"&amp;_xlfn.XLOOKUP(A307&amp;B307&amp;C307,盘货信息!$A:$A&amp;盘货信息!$B:$B&amp;盘货信息!$C:$C,盘货信息!$F:$F)&amp;"元】","【焕新补贴预估价"&amp;_xlfn.XLOOKUP(A307&amp;B307&amp;C307,盘货信息!$A:$A&amp;盘货信息!$B:$B&amp;盘货信息!$C:$C,盘货信息!$N:$N)&amp;"元】"))</f>
        <v/>
      </c>
      <c r="F307" s="18" t="str">
        <f t="array" ref="F307">IF(C307="","",_xlfn.XLOOKUP(A307&amp;B307&amp;C307,盘货信息!$A:$A&amp;盘货信息!$B:$B&amp;盘货信息!$C:$C,盘货信息!$E:$E)&amp;"元到手价")</f>
        <v/>
      </c>
      <c r="G307" s="18" t="str">
        <f t="array" ref="G307">IF(C307="","",IF(_xlfn.XLOOKUP(A307&amp;B307&amp;C307,盘货信息!$A:$A&amp;盘货信息!$B:$B&amp;盘货信息!$C:$C,盘货信息!$I:$I)="","","88VIP95折"))</f>
        <v/>
      </c>
      <c r="H307" s="18" t="str">
        <f t="array" ref="H307">IF(C307="","",IF(_xlfn.XLOOKUP(A307&amp;B307&amp;C307,盘货信息!$A:$A&amp;盘货信息!$B:$B&amp;盘货信息!$C:$C,盘货信息!$J:$J)="","",_xlfn.XLOOKUP(A307&amp;B307&amp;C307,盘货信息!$A:$A&amp;盘货信息!$B:$B&amp;盘货信息!$C:$C,盘货信息!$J:$J)&amp;"元优惠卷"))</f>
        <v/>
      </c>
      <c r="I307" s="18" t="str">
        <f t="array" ref="I307">IF(C307="","",IF(_xlfn.XLOOKUP(A307&amp;B307&amp;C307,盘货信息!$A:$A&amp;盘货信息!$B:$B&amp;盘货信息!$C:$C,盘货信息!$R:$R)="","",_xlfn.XLOOKUP(A307&amp;B307&amp;C307,盘货信息!$A:$A&amp;盘货信息!$B:$B&amp;盘货信息!$C:$C,盘货信息!$R:$R)&amp;"元优惠卷"))</f>
        <v/>
      </c>
      <c r="J307" s="18" t="str">
        <f t="array" ref="J307">IF(C307="","",IF(_xlfn.XLOOKUP(A307&amp;B307&amp;C307,盘货信息!$A:$A&amp;盘货信息!$B:$B&amp;盘货信息!$C:$C,盘货信息!$K:$K)="","",IF(OR(_xlfn.XLOOKUP(A307&amp;B307&amp;C307,盘货信息!$A:$A&amp;盘货信息!$B:$B&amp;盘货信息!$C:$C,盘货信息!$G:$G)="参加",_xlfn.XLOOKUP(A307&amp;B307&amp;C307,盘货信息!$A:$A&amp;盘货信息!$B:$B&amp;盘货信息!$C:$C,盘货信息!$H:$H)="1（纯自补）"),_xlfn.XLOOKUP(A307&amp;B307&amp;C307,盘货信息!$A:$A&amp;盘货信息!$B:$B&amp;盘货信息!$C:$C,盘货信息!$K:$K)&amp;"元以旧换新（可无旧机换新）","")))</f>
        <v/>
      </c>
      <c r="K307" s="18" t="str">
        <f t="array" ref="K307">IF(C307="","",IF(_xlfn.XLOOKUP(A307&amp;B307&amp;C307,盘货信息!$A:$A&amp;盘货信息!$B:$B&amp;盘货信息!$C:$C,盘货信息!$L:$L)="","",_xlfn.XLOOKUP(A307&amp;B307&amp;C307,盘货信息!$A:$A&amp;盘货信息!$B:$B&amp;盘货信息!$C:$C,盘货信息!$L:$L)&amp;"元限时补贴"))</f>
        <v/>
      </c>
      <c r="L307" s="18" t="str">
        <f t="array" ref="L307">IF(C307="","",IF(_xlfn.XLOOKUP(A307&amp;B307&amp;C307,盘货信息!$A:$A&amp;盘货信息!$B:$B&amp;盘货信息!$C:$C,盘货信息!$M:$M)="","",_xlfn.XLOOKUP(A307&amp;B307&amp;C307,盘货信息!$A:$A&amp;盘货信息!$B:$B&amp;盘货信息!$C:$C,盘货信息!$M:$M)&amp;"元消费券"))</f>
        <v/>
      </c>
      <c r="M307" s="18" t="str">
        <f t="array" ref="M307">IF(C307="","",IF(_xlfn.XLOOKUP(A307&amp;B307&amp;C307,盘货信息!$A:$A&amp;盘货信息!$B:$B&amp;盘货信息!$C:$C,盘货信息!$G:$G)="不参加","","焕新补贴优惠【全民可用，不限地址】"))</f>
        <v/>
      </c>
    </row>
    <row r="308" customHeight="1" spans="1:13">
      <c r="A308" s="17" t="str">
        <f>IF(盘货信息!A308="","",盘货信息!A308)</f>
        <v/>
      </c>
      <c r="B308" s="17" t="str">
        <f>IF(盘货信息!B308="","",盘货信息!B308)</f>
        <v/>
      </c>
      <c r="C308" s="18" t="str">
        <f>IF(盘货信息!C308="","",盘货信息!C308)</f>
        <v/>
      </c>
      <c r="D308" s="18" t="str">
        <f t="shared" si="4"/>
        <v/>
      </c>
      <c r="E308" s="18" t="str">
        <f t="array" ref="E308">IF(C308="","",IF(_xlfn.XLOOKUP(A308&amp;B308&amp;C308,盘货信息!$A:$A&amp;盘货信息!$B:$B&amp;盘货信息!$C:$C,盘货信息!$N:$N)="","【立减到手价"&amp;_xlfn.XLOOKUP(A308&amp;B308&amp;C308,盘货信息!$A:$A&amp;盘货信息!$B:$B&amp;盘货信息!$C:$C,盘货信息!$F:$F)&amp;"元】","【焕新补贴预估价"&amp;_xlfn.XLOOKUP(A308&amp;B308&amp;C308,盘货信息!$A:$A&amp;盘货信息!$B:$B&amp;盘货信息!$C:$C,盘货信息!$N:$N)&amp;"元】"))</f>
        <v/>
      </c>
      <c r="F308" s="18" t="str">
        <f t="array" ref="F308">IF(C308="","",_xlfn.XLOOKUP(A308&amp;B308&amp;C308,盘货信息!$A:$A&amp;盘货信息!$B:$B&amp;盘货信息!$C:$C,盘货信息!$E:$E)&amp;"元到手价")</f>
        <v/>
      </c>
      <c r="G308" s="18" t="str">
        <f t="array" ref="G308">IF(C308="","",IF(_xlfn.XLOOKUP(A308&amp;B308&amp;C308,盘货信息!$A:$A&amp;盘货信息!$B:$B&amp;盘货信息!$C:$C,盘货信息!$I:$I)="","","88VIP95折"))</f>
        <v/>
      </c>
      <c r="H308" s="18" t="str">
        <f t="array" ref="H308">IF(C308="","",IF(_xlfn.XLOOKUP(A308&amp;B308&amp;C308,盘货信息!$A:$A&amp;盘货信息!$B:$B&amp;盘货信息!$C:$C,盘货信息!$J:$J)="","",_xlfn.XLOOKUP(A308&amp;B308&amp;C308,盘货信息!$A:$A&amp;盘货信息!$B:$B&amp;盘货信息!$C:$C,盘货信息!$J:$J)&amp;"元优惠卷"))</f>
        <v/>
      </c>
      <c r="I308" s="18" t="str">
        <f t="array" ref="I308">IF(C308="","",IF(_xlfn.XLOOKUP(A308&amp;B308&amp;C308,盘货信息!$A:$A&amp;盘货信息!$B:$B&amp;盘货信息!$C:$C,盘货信息!$R:$R)="","",_xlfn.XLOOKUP(A308&amp;B308&amp;C308,盘货信息!$A:$A&amp;盘货信息!$B:$B&amp;盘货信息!$C:$C,盘货信息!$R:$R)&amp;"元优惠卷"))</f>
        <v/>
      </c>
      <c r="J308" s="18" t="str">
        <f t="array" ref="J308">IF(C308="","",IF(_xlfn.XLOOKUP(A308&amp;B308&amp;C308,盘货信息!$A:$A&amp;盘货信息!$B:$B&amp;盘货信息!$C:$C,盘货信息!$K:$K)="","",IF(OR(_xlfn.XLOOKUP(A308&amp;B308&amp;C308,盘货信息!$A:$A&amp;盘货信息!$B:$B&amp;盘货信息!$C:$C,盘货信息!$G:$G)="参加",_xlfn.XLOOKUP(A308&amp;B308&amp;C308,盘货信息!$A:$A&amp;盘货信息!$B:$B&amp;盘货信息!$C:$C,盘货信息!$H:$H)="1（纯自补）"),_xlfn.XLOOKUP(A308&amp;B308&amp;C308,盘货信息!$A:$A&amp;盘货信息!$B:$B&amp;盘货信息!$C:$C,盘货信息!$K:$K)&amp;"元以旧换新（可无旧机换新）","")))</f>
        <v/>
      </c>
      <c r="K308" s="18" t="str">
        <f t="array" ref="K308">IF(C308="","",IF(_xlfn.XLOOKUP(A308&amp;B308&amp;C308,盘货信息!$A:$A&amp;盘货信息!$B:$B&amp;盘货信息!$C:$C,盘货信息!$L:$L)="","",_xlfn.XLOOKUP(A308&amp;B308&amp;C308,盘货信息!$A:$A&amp;盘货信息!$B:$B&amp;盘货信息!$C:$C,盘货信息!$L:$L)&amp;"元限时补贴"))</f>
        <v/>
      </c>
      <c r="L308" s="18" t="str">
        <f t="array" ref="L308">IF(C308="","",IF(_xlfn.XLOOKUP(A308&amp;B308&amp;C308,盘货信息!$A:$A&amp;盘货信息!$B:$B&amp;盘货信息!$C:$C,盘货信息!$M:$M)="","",_xlfn.XLOOKUP(A308&amp;B308&amp;C308,盘货信息!$A:$A&amp;盘货信息!$B:$B&amp;盘货信息!$C:$C,盘货信息!$M:$M)&amp;"元消费券"))</f>
        <v/>
      </c>
      <c r="M308" s="18" t="str">
        <f t="array" ref="M308">IF(C308="","",IF(_xlfn.XLOOKUP(A308&amp;B308&amp;C308,盘货信息!$A:$A&amp;盘货信息!$B:$B&amp;盘货信息!$C:$C,盘货信息!$G:$G)="不参加","","焕新补贴优惠【全民可用，不限地址】"))</f>
        <v/>
      </c>
    </row>
    <row r="309" customHeight="1" spans="1:13">
      <c r="A309" s="17" t="str">
        <f>IF(盘货信息!A309="","",盘货信息!A309)</f>
        <v/>
      </c>
      <c r="B309" s="17" t="str">
        <f>IF(盘货信息!B309="","",盘货信息!B309)</f>
        <v/>
      </c>
      <c r="C309" s="18" t="str">
        <f>IF(盘货信息!C309="","",盘货信息!C309)</f>
        <v/>
      </c>
      <c r="D309" s="18" t="str">
        <f t="shared" si="4"/>
        <v/>
      </c>
      <c r="E309" s="18" t="str">
        <f t="array" ref="E309">IF(C309="","",IF(_xlfn.XLOOKUP(A309&amp;B309&amp;C309,盘货信息!$A:$A&amp;盘货信息!$B:$B&amp;盘货信息!$C:$C,盘货信息!$N:$N)="","【立减到手价"&amp;_xlfn.XLOOKUP(A309&amp;B309&amp;C309,盘货信息!$A:$A&amp;盘货信息!$B:$B&amp;盘货信息!$C:$C,盘货信息!$F:$F)&amp;"元】","【焕新补贴预估价"&amp;_xlfn.XLOOKUP(A309&amp;B309&amp;C309,盘货信息!$A:$A&amp;盘货信息!$B:$B&amp;盘货信息!$C:$C,盘货信息!$N:$N)&amp;"元】"))</f>
        <v/>
      </c>
      <c r="F309" s="18" t="str">
        <f t="array" ref="F309">IF(C309="","",_xlfn.XLOOKUP(A309&amp;B309&amp;C309,盘货信息!$A:$A&amp;盘货信息!$B:$B&amp;盘货信息!$C:$C,盘货信息!$E:$E)&amp;"元到手价")</f>
        <v/>
      </c>
      <c r="G309" s="18" t="str">
        <f t="array" ref="G309">IF(C309="","",IF(_xlfn.XLOOKUP(A309&amp;B309&amp;C309,盘货信息!$A:$A&amp;盘货信息!$B:$B&amp;盘货信息!$C:$C,盘货信息!$I:$I)="","","88VIP95折"))</f>
        <v/>
      </c>
      <c r="H309" s="18" t="str">
        <f t="array" ref="H309">IF(C309="","",IF(_xlfn.XLOOKUP(A309&amp;B309&amp;C309,盘货信息!$A:$A&amp;盘货信息!$B:$B&amp;盘货信息!$C:$C,盘货信息!$J:$J)="","",_xlfn.XLOOKUP(A309&amp;B309&amp;C309,盘货信息!$A:$A&amp;盘货信息!$B:$B&amp;盘货信息!$C:$C,盘货信息!$J:$J)&amp;"元优惠卷"))</f>
        <v/>
      </c>
      <c r="I309" s="18" t="str">
        <f t="array" ref="I309">IF(C309="","",IF(_xlfn.XLOOKUP(A309&amp;B309&amp;C309,盘货信息!$A:$A&amp;盘货信息!$B:$B&amp;盘货信息!$C:$C,盘货信息!$R:$R)="","",_xlfn.XLOOKUP(A309&amp;B309&amp;C309,盘货信息!$A:$A&amp;盘货信息!$B:$B&amp;盘货信息!$C:$C,盘货信息!$R:$R)&amp;"元优惠卷"))</f>
        <v/>
      </c>
      <c r="J309" s="18" t="str">
        <f t="array" ref="J309">IF(C309="","",IF(_xlfn.XLOOKUP(A309&amp;B309&amp;C309,盘货信息!$A:$A&amp;盘货信息!$B:$B&amp;盘货信息!$C:$C,盘货信息!$K:$K)="","",IF(OR(_xlfn.XLOOKUP(A309&amp;B309&amp;C309,盘货信息!$A:$A&amp;盘货信息!$B:$B&amp;盘货信息!$C:$C,盘货信息!$G:$G)="参加",_xlfn.XLOOKUP(A309&amp;B309&amp;C309,盘货信息!$A:$A&amp;盘货信息!$B:$B&amp;盘货信息!$C:$C,盘货信息!$H:$H)="1（纯自补）"),_xlfn.XLOOKUP(A309&amp;B309&amp;C309,盘货信息!$A:$A&amp;盘货信息!$B:$B&amp;盘货信息!$C:$C,盘货信息!$K:$K)&amp;"元以旧换新（可无旧机换新）","")))</f>
        <v/>
      </c>
      <c r="K309" s="18" t="str">
        <f t="array" ref="K309">IF(C309="","",IF(_xlfn.XLOOKUP(A309&amp;B309&amp;C309,盘货信息!$A:$A&amp;盘货信息!$B:$B&amp;盘货信息!$C:$C,盘货信息!$L:$L)="","",_xlfn.XLOOKUP(A309&amp;B309&amp;C309,盘货信息!$A:$A&amp;盘货信息!$B:$B&amp;盘货信息!$C:$C,盘货信息!$L:$L)&amp;"元限时补贴"))</f>
        <v/>
      </c>
      <c r="L309" s="18" t="str">
        <f t="array" ref="L309">IF(C309="","",IF(_xlfn.XLOOKUP(A309&amp;B309&amp;C309,盘货信息!$A:$A&amp;盘货信息!$B:$B&amp;盘货信息!$C:$C,盘货信息!$M:$M)="","",_xlfn.XLOOKUP(A309&amp;B309&amp;C309,盘货信息!$A:$A&amp;盘货信息!$B:$B&amp;盘货信息!$C:$C,盘货信息!$M:$M)&amp;"元消费券"))</f>
        <v/>
      </c>
      <c r="M309" s="18" t="str">
        <f t="array" ref="M309">IF(C309="","",IF(_xlfn.XLOOKUP(A309&amp;B309&amp;C309,盘货信息!$A:$A&amp;盘货信息!$B:$B&amp;盘货信息!$C:$C,盘货信息!$G:$G)="不参加","","焕新补贴优惠【全民可用，不限地址】"))</f>
        <v/>
      </c>
    </row>
    <row r="310" customHeight="1" spans="1:13">
      <c r="A310" s="17" t="str">
        <f>IF(盘货信息!A310="","",盘货信息!A310)</f>
        <v/>
      </c>
      <c r="B310" s="17" t="str">
        <f>IF(盘货信息!B310="","",盘货信息!B310)</f>
        <v/>
      </c>
      <c r="C310" s="18" t="str">
        <f>IF(盘货信息!C310="","",盘货信息!C310)</f>
        <v/>
      </c>
      <c r="D310" s="18" t="str">
        <f t="shared" si="4"/>
        <v/>
      </c>
      <c r="E310" s="18" t="str">
        <f t="array" ref="E310">IF(C310="","",IF(_xlfn.XLOOKUP(A310&amp;B310&amp;C310,盘货信息!$A:$A&amp;盘货信息!$B:$B&amp;盘货信息!$C:$C,盘货信息!$N:$N)="","【立减到手价"&amp;_xlfn.XLOOKUP(A310&amp;B310&amp;C310,盘货信息!$A:$A&amp;盘货信息!$B:$B&amp;盘货信息!$C:$C,盘货信息!$F:$F)&amp;"元】","【焕新补贴预估价"&amp;_xlfn.XLOOKUP(A310&amp;B310&amp;C310,盘货信息!$A:$A&amp;盘货信息!$B:$B&amp;盘货信息!$C:$C,盘货信息!$N:$N)&amp;"元】"))</f>
        <v/>
      </c>
      <c r="F310" s="18" t="str">
        <f t="array" ref="F310">IF(C310="","",_xlfn.XLOOKUP(A310&amp;B310&amp;C310,盘货信息!$A:$A&amp;盘货信息!$B:$B&amp;盘货信息!$C:$C,盘货信息!$E:$E)&amp;"元到手价")</f>
        <v/>
      </c>
      <c r="G310" s="18" t="str">
        <f t="array" ref="G310">IF(C310="","",IF(_xlfn.XLOOKUP(A310&amp;B310&amp;C310,盘货信息!$A:$A&amp;盘货信息!$B:$B&amp;盘货信息!$C:$C,盘货信息!$I:$I)="","","88VIP95折"))</f>
        <v/>
      </c>
      <c r="H310" s="18" t="str">
        <f t="array" ref="H310">IF(C310="","",IF(_xlfn.XLOOKUP(A310&amp;B310&amp;C310,盘货信息!$A:$A&amp;盘货信息!$B:$B&amp;盘货信息!$C:$C,盘货信息!$J:$J)="","",_xlfn.XLOOKUP(A310&amp;B310&amp;C310,盘货信息!$A:$A&amp;盘货信息!$B:$B&amp;盘货信息!$C:$C,盘货信息!$J:$J)&amp;"元优惠卷"))</f>
        <v/>
      </c>
      <c r="I310" s="18" t="str">
        <f t="array" ref="I310">IF(C310="","",IF(_xlfn.XLOOKUP(A310&amp;B310&amp;C310,盘货信息!$A:$A&amp;盘货信息!$B:$B&amp;盘货信息!$C:$C,盘货信息!$R:$R)="","",_xlfn.XLOOKUP(A310&amp;B310&amp;C310,盘货信息!$A:$A&amp;盘货信息!$B:$B&amp;盘货信息!$C:$C,盘货信息!$R:$R)&amp;"元优惠卷"))</f>
        <v/>
      </c>
      <c r="J310" s="18" t="str">
        <f t="array" ref="J310">IF(C310="","",IF(_xlfn.XLOOKUP(A310&amp;B310&amp;C310,盘货信息!$A:$A&amp;盘货信息!$B:$B&amp;盘货信息!$C:$C,盘货信息!$K:$K)="","",IF(OR(_xlfn.XLOOKUP(A310&amp;B310&amp;C310,盘货信息!$A:$A&amp;盘货信息!$B:$B&amp;盘货信息!$C:$C,盘货信息!$G:$G)="参加",_xlfn.XLOOKUP(A310&amp;B310&amp;C310,盘货信息!$A:$A&amp;盘货信息!$B:$B&amp;盘货信息!$C:$C,盘货信息!$H:$H)="1（纯自补）"),_xlfn.XLOOKUP(A310&amp;B310&amp;C310,盘货信息!$A:$A&amp;盘货信息!$B:$B&amp;盘货信息!$C:$C,盘货信息!$K:$K)&amp;"元以旧换新（可无旧机换新）","")))</f>
        <v/>
      </c>
      <c r="K310" s="18" t="str">
        <f t="array" ref="K310">IF(C310="","",IF(_xlfn.XLOOKUP(A310&amp;B310&amp;C310,盘货信息!$A:$A&amp;盘货信息!$B:$B&amp;盘货信息!$C:$C,盘货信息!$L:$L)="","",_xlfn.XLOOKUP(A310&amp;B310&amp;C310,盘货信息!$A:$A&amp;盘货信息!$B:$B&amp;盘货信息!$C:$C,盘货信息!$L:$L)&amp;"元限时补贴"))</f>
        <v/>
      </c>
      <c r="L310" s="18" t="str">
        <f t="array" ref="L310">IF(C310="","",IF(_xlfn.XLOOKUP(A310&amp;B310&amp;C310,盘货信息!$A:$A&amp;盘货信息!$B:$B&amp;盘货信息!$C:$C,盘货信息!$M:$M)="","",_xlfn.XLOOKUP(A310&amp;B310&amp;C310,盘货信息!$A:$A&amp;盘货信息!$B:$B&amp;盘货信息!$C:$C,盘货信息!$M:$M)&amp;"元消费券"))</f>
        <v/>
      </c>
      <c r="M310" s="18" t="str">
        <f t="array" ref="M310">IF(C310="","",IF(_xlfn.XLOOKUP(A310&amp;B310&amp;C310,盘货信息!$A:$A&amp;盘货信息!$B:$B&amp;盘货信息!$C:$C,盘货信息!$G:$G)="不参加","","焕新补贴优惠【全民可用，不限地址】"))</f>
        <v/>
      </c>
    </row>
    <row r="311" customHeight="1" spans="1:13">
      <c r="A311" s="17" t="str">
        <f>IF(盘货信息!A311="","",盘货信息!A311)</f>
        <v/>
      </c>
      <c r="B311" s="17" t="str">
        <f>IF(盘货信息!B311="","",盘货信息!B311)</f>
        <v/>
      </c>
      <c r="C311" s="18" t="str">
        <f>IF(盘货信息!C311="","",盘货信息!C311)</f>
        <v/>
      </c>
      <c r="D311" s="18" t="str">
        <f t="shared" si="4"/>
        <v/>
      </c>
      <c r="E311" s="18" t="str">
        <f t="array" ref="E311">IF(C311="","",IF(_xlfn.XLOOKUP(A311&amp;B311&amp;C311,盘货信息!$A:$A&amp;盘货信息!$B:$B&amp;盘货信息!$C:$C,盘货信息!$N:$N)="","【立减到手价"&amp;_xlfn.XLOOKUP(A311&amp;B311&amp;C311,盘货信息!$A:$A&amp;盘货信息!$B:$B&amp;盘货信息!$C:$C,盘货信息!$F:$F)&amp;"元】","【焕新补贴预估价"&amp;_xlfn.XLOOKUP(A311&amp;B311&amp;C311,盘货信息!$A:$A&amp;盘货信息!$B:$B&amp;盘货信息!$C:$C,盘货信息!$N:$N)&amp;"元】"))</f>
        <v/>
      </c>
      <c r="F311" s="18" t="str">
        <f t="array" ref="F311">IF(C311="","",_xlfn.XLOOKUP(A311&amp;B311&amp;C311,盘货信息!$A:$A&amp;盘货信息!$B:$B&amp;盘货信息!$C:$C,盘货信息!$E:$E)&amp;"元到手价")</f>
        <v/>
      </c>
      <c r="G311" s="18" t="str">
        <f t="array" ref="G311">IF(C311="","",IF(_xlfn.XLOOKUP(A311&amp;B311&amp;C311,盘货信息!$A:$A&amp;盘货信息!$B:$B&amp;盘货信息!$C:$C,盘货信息!$I:$I)="","","88VIP95折"))</f>
        <v/>
      </c>
      <c r="H311" s="18" t="str">
        <f t="array" ref="H311">IF(C311="","",IF(_xlfn.XLOOKUP(A311&amp;B311&amp;C311,盘货信息!$A:$A&amp;盘货信息!$B:$B&amp;盘货信息!$C:$C,盘货信息!$J:$J)="","",_xlfn.XLOOKUP(A311&amp;B311&amp;C311,盘货信息!$A:$A&amp;盘货信息!$B:$B&amp;盘货信息!$C:$C,盘货信息!$J:$J)&amp;"元优惠卷"))</f>
        <v/>
      </c>
      <c r="I311" s="18" t="str">
        <f t="array" ref="I311">IF(C311="","",IF(_xlfn.XLOOKUP(A311&amp;B311&amp;C311,盘货信息!$A:$A&amp;盘货信息!$B:$B&amp;盘货信息!$C:$C,盘货信息!$R:$R)="","",_xlfn.XLOOKUP(A311&amp;B311&amp;C311,盘货信息!$A:$A&amp;盘货信息!$B:$B&amp;盘货信息!$C:$C,盘货信息!$R:$R)&amp;"元优惠卷"))</f>
        <v/>
      </c>
      <c r="J311" s="18" t="str">
        <f t="array" ref="J311">IF(C311="","",IF(_xlfn.XLOOKUP(A311&amp;B311&amp;C311,盘货信息!$A:$A&amp;盘货信息!$B:$B&amp;盘货信息!$C:$C,盘货信息!$K:$K)="","",IF(OR(_xlfn.XLOOKUP(A311&amp;B311&amp;C311,盘货信息!$A:$A&amp;盘货信息!$B:$B&amp;盘货信息!$C:$C,盘货信息!$G:$G)="参加",_xlfn.XLOOKUP(A311&amp;B311&amp;C311,盘货信息!$A:$A&amp;盘货信息!$B:$B&amp;盘货信息!$C:$C,盘货信息!$H:$H)="1（纯自补）"),_xlfn.XLOOKUP(A311&amp;B311&amp;C311,盘货信息!$A:$A&amp;盘货信息!$B:$B&amp;盘货信息!$C:$C,盘货信息!$K:$K)&amp;"元以旧换新（可无旧机换新）","")))</f>
        <v/>
      </c>
      <c r="K311" s="18" t="str">
        <f t="array" ref="K311">IF(C311="","",IF(_xlfn.XLOOKUP(A311&amp;B311&amp;C311,盘货信息!$A:$A&amp;盘货信息!$B:$B&amp;盘货信息!$C:$C,盘货信息!$L:$L)="","",_xlfn.XLOOKUP(A311&amp;B311&amp;C311,盘货信息!$A:$A&amp;盘货信息!$B:$B&amp;盘货信息!$C:$C,盘货信息!$L:$L)&amp;"元限时补贴"))</f>
        <v/>
      </c>
      <c r="L311" s="18" t="str">
        <f t="array" ref="L311">IF(C311="","",IF(_xlfn.XLOOKUP(A311&amp;B311&amp;C311,盘货信息!$A:$A&amp;盘货信息!$B:$B&amp;盘货信息!$C:$C,盘货信息!$M:$M)="","",_xlfn.XLOOKUP(A311&amp;B311&amp;C311,盘货信息!$A:$A&amp;盘货信息!$B:$B&amp;盘货信息!$C:$C,盘货信息!$M:$M)&amp;"元消费券"))</f>
        <v/>
      </c>
      <c r="M311" s="18" t="str">
        <f t="array" ref="M311">IF(C311="","",IF(_xlfn.XLOOKUP(A311&amp;B311&amp;C311,盘货信息!$A:$A&amp;盘货信息!$B:$B&amp;盘货信息!$C:$C,盘货信息!$G:$G)="不参加","","焕新补贴优惠【全民可用，不限地址】"))</f>
        <v/>
      </c>
    </row>
    <row r="312" customHeight="1" spans="1:13">
      <c r="A312" s="17" t="str">
        <f>IF(盘货信息!A312="","",盘货信息!A312)</f>
        <v/>
      </c>
      <c r="B312" s="17" t="str">
        <f>IF(盘货信息!B312="","",盘货信息!B312)</f>
        <v/>
      </c>
      <c r="C312" s="18" t="str">
        <f>IF(盘货信息!C312="","",盘货信息!C312)</f>
        <v/>
      </c>
      <c r="D312" s="18" t="str">
        <f t="shared" si="4"/>
        <v/>
      </c>
      <c r="E312" s="18" t="str">
        <f t="array" ref="E312">IF(C312="","",IF(_xlfn.XLOOKUP(A312&amp;B312&amp;C312,盘货信息!$A:$A&amp;盘货信息!$B:$B&amp;盘货信息!$C:$C,盘货信息!$N:$N)="","【立减到手价"&amp;_xlfn.XLOOKUP(A312&amp;B312&amp;C312,盘货信息!$A:$A&amp;盘货信息!$B:$B&amp;盘货信息!$C:$C,盘货信息!$F:$F)&amp;"元】","【焕新补贴预估价"&amp;_xlfn.XLOOKUP(A312&amp;B312&amp;C312,盘货信息!$A:$A&amp;盘货信息!$B:$B&amp;盘货信息!$C:$C,盘货信息!$N:$N)&amp;"元】"))</f>
        <v/>
      </c>
      <c r="F312" s="18" t="str">
        <f t="array" ref="F312">IF(C312="","",_xlfn.XLOOKUP(A312&amp;B312&amp;C312,盘货信息!$A:$A&amp;盘货信息!$B:$B&amp;盘货信息!$C:$C,盘货信息!$E:$E)&amp;"元到手价")</f>
        <v/>
      </c>
      <c r="G312" s="18" t="str">
        <f t="array" ref="G312">IF(C312="","",IF(_xlfn.XLOOKUP(A312&amp;B312&amp;C312,盘货信息!$A:$A&amp;盘货信息!$B:$B&amp;盘货信息!$C:$C,盘货信息!$I:$I)="","","88VIP95折"))</f>
        <v/>
      </c>
      <c r="H312" s="18" t="str">
        <f t="array" ref="H312">IF(C312="","",IF(_xlfn.XLOOKUP(A312&amp;B312&amp;C312,盘货信息!$A:$A&amp;盘货信息!$B:$B&amp;盘货信息!$C:$C,盘货信息!$J:$J)="","",_xlfn.XLOOKUP(A312&amp;B312&amp;C312,盘货信息!$A:$A&amp;盘货信息!$B:$B&amp;盘货信息!$C:$C,盘货信息!$J:$J)&amp;"元优惠卷"))</f>
        <v/>
      </c>
      <c r="I312" s="18" t="str">
        <f t="array" ref="I312">IF(C312="","",IF(_xlfn.XLOOKUP(A312&amp;B312&amp;C312,盘货信息!$A:$A&amp;盘货信息!$B:$B&amp;盘货信息!$C:$C,盘货信息!$R:$R)="","",_xlfn.XLOOKUP(A312&amp;B312&amp;C312,盘货信息!$A:$A&amp;盘货信息!$B:$B&amp;盘货信息!$C:$C,盘货信息!$R:$R)&amp;"元优惠卷"))</f>
        <v/>
      </c>
      <c r="J312" s="18" t="str">
        <f t="array" ref="J312">IF(C312="","",IF(_xlfn.XLOOKUP(A312&amp;B312&amp;C312,盘货信息!$A:$A&amp;盘货信息!$B:$B&amp;盘货信息!$C:$C,盘货信息!$K:$K)="","",IF(OR(_xlfn.XLOOKUP(A312&amp;B312&amp;C312,盘货信息!$A:$A&amp;盘货信息!$B:$B&amp;盘货信息!$C:$C,盘货信息!$G:$G)="参加",_xlfn.XLOOKUP(A312&amp;B312&amp;C312,盘货信息!$A:$A&amp;盘货信息!$B:$B&amp;盘货信息!$C:$C,盘货信息!$H:$H)="1（纯自补）"),_xlfn.XLOOKUP(A312&amp;B312&amp;C312,盘货信息!$A:$A&amp;盘货信息!$B:$B&amp;盘货信息!$C:$C,盘货信息!$K:$K)&amp;"元以旧换新（可无旧机换新）","")))</f>
        <v/>
      </c>
      <c r="K312" s="18" t="str">
        <f t="array" ref="K312">IF(C312="","",IF(_xlfn.XLOOKUP(A312&amp;B312&amp;C312,盘货信息!$A:$A&amp;盘货信息!$B:$B&amp;盘货信息!$C:$C,盘货信息!$L:$L)="","",_xlfn.XLOOKUP(A312&amp;B312&amp;C312,盘货信息!$A:$A&amp;盘货信息!$B:$B&amp;盘货信息!$C:$C,盘货信息!$L:$L)&amp;"元限时补贴"))</f>
        <v/>
      </c>
      <c r="L312" s="18" t="str">
        <f t="array" ref="L312">IF(C312="","",IF(_xlfn.XLOOKUP(A312&amp;B312&amp;C312,盘货信息!$A:$A&amp;盘货信息!$B:$B&amp;盘货信息!$C:$C,盘货信息!$M:$M)="","",_xlfn.XLOOKUP(A312&amp;B312&amp;C312,盘货信息!$A:$A&amp;盘货信息!$B:$B&amp;盘货信息!$C:$C,盘货信息!$M:$M)&amp;"元消费券"))</f>
        <v/>
      </c>
      <c r="M312" s="18" t="str">
        <f t="array" ref="M312">IF(C312="","",IF(_xlfn.XLOOKUP(A312&amp;B312&amp;C312,盘货信息!$A:$A&amp;盘货信息!$B:$B&amp;盘货信息!$C:$C,盘货信息!$G:$G)="不参加","","焕新补贴优惠【全民可用，不限地址】"))</f>
        <v/>
      </c>
    </row>
    <row r="313" customHeight="1" spans="1:13">
      <c r="A313" s="17" t="str">
        <f>IF(盘货信息!A313="","",盘货信息!A313)</f>
        <v/>
      </c>
      <c r="B313" s="17" t="str">
        <f>IF(盘货信息!B313="","",盘货信息!B313)</f>
        <v/>
      </c>
      <c r="C313" s="18" t="str">
        <f>IF(盘货信息!C313="","",盘货信息!C313)</f>
        <v/>
      </c>
      <c r="D313" s="18" t="str">
        <f t="shared" si="4"/>
        <v/>
      </c>
      <c r="E313" s="18" t="str">
        <f t="array" ref="E313">IF(C313="","",IF(_xlfn.XLOOKUP(A313&amp;B313&amp;C313,盘货信息!$A:$A&amp;盘货信息!$B:$B&amp;盘货信息!$C:$C,盘货信息!$N:$N)="","【立减到手价"&amp;_xlfn.XLOOKUP(A313&amp;B313&amp;C313,盘货信息!$A:$A&amp;盘货信息!$B:$B&amp;盘货信息!$C:$C,盘货信息!$F:$F)&amp;"元】","【焕新补贴预估价"&amp;_xlfn.XLOOKUP(A313&amp;B313&amp;C313,盘货信息!$A:$A&amp;盘货信息!$B:$B&amp;盘货信息!$C:$C,盘货信息!$N:$N)&amp;"元】"))</f>
        <v/>
      </c>
      <c r="F313" s="18" t="str">
        <f t="array" ref="F313">IF(C313="","",_xlfn.XLOOKUP(A313&amp;B313&amp;C313,盘货信息!$A:$A&amp;盘货信息!$B:$B&amp;盘货信息!$C:$C,盘货信息!$E:$E)&amp;"元到手价")</f>
        <v/>
      </c>
      <c r="G313" s="18" t="str">
        <f t="array" ref="G313">IF(C313="","",IF(_xlfn.XLOOKUP(A313&amp;B313&amp;C313,盘货信息!$A:$A&amp;盘货信息!$B:$B&amp;盘货信息!$C:$C,盘货信息!$I:$I)="","","88VIP95折"))</f>
        <v/>
      </c>
      <c r="H313" s="18" t="str">
        <f t="array" ref="H313">IF(C313="","",IF(_xlfn.XLOOKUP(A313&amp;B313&amp;C313,盘货信息!$A:$A&amp;盘货信息!$B:$B&amp;盘货信息!$C:$C,盘货信息!$J:$J)="","",_xlfn.XLOOKUP(A313&amp;B313&amp;C313,盘货信息!$A:$A&amp;盘货信息!$B:$B&amp;盘货信息!$C:$C,盘货信息!$J:$J)&amp;"元优惠卷"))</f>
        <v/>
      </c>
      <c r="I313" s="18" t="str">
        <f t="array" ref="I313">IF(C313="","",IF(_xlfn.XLOOKUP(A313&amp;B313&amp;C313,盘货信息!$A:$A&amp;盘货信息!$B:$B&amp;盘货信息!$C:$C,盘货信息!$R:$R)="","",_xlfn.XLOOKUP(A313&amp;B313&amp;C313,盘货信息!$A:$A&amp;盘货信息!$B:$B&amp;盘货信息!$C:$C,盘货信息!$R:$R)&amp;"元优惠卷"))</f>
        <v/>
      </c>
      <c r="J313" s="18" t="str">
        <f t="array" ref="J313">IF(C313="","",IF(_xlfn.XLOOKUP(A313&amp;B313&amp;C313,盘货信息!$A:$A&amp;盘货信息!$B:$B&amp;盘货信息!$C:$C,盘货信息!$K:$K)="","",IF(OR(_xlfn.XLOOKUP(A313&amp;B313&amp;C313,盘货信息!$A:$A&amp;盘货信息!$B:$B&amp;盘货信息!$C:$C,盘货信息!$G:$G)="参加",_xlfn.XLOOKUP(A313&amp;B313&amp;C313,盘货信息!$A:$A&amp;盘货信息!$B:$B&amp;盘货信息!$C:$C,盘货信息!$H:$H)="1（纯自补）"),_xlfn.XLOOKUP(A313&amp;B313&amp;C313,盘货信息!$A:$A&amp;盘货信息!$B:$B&amp;盘货信息!$C:$C,盘货信息!$K:$K)&amp;"元以旧换新（可无旧机换新）","")))</f>
        <v/>
      </c>
      <c r="K313" s="18" t="str">
        <f t="array" ref="K313">IF(C313="","",IF(_xlfn.XLOOKUP(A313&amp;B313&amp;C313,盘货信息!$A:$A&amp;盘货信息!$B:$B&amp;盘货信息!$C:$C,盘货信息!$L:$L)="","",_xlfn.XLOOKUP(A313&amp;B313&amp;C313,盘货信息!$A:$A&amp;盘货信息!$B:$B&amp;盘货信息!$C:$C,盘货信息!$L:$L)&amp;"元限时补贴"))</f>
        <v/>
      </c>
      <c r="L313" s="18" t="str">
        <f t="array" ref="L313">IF(C313="","",IF(_xlfn.XLOOKUP(A313&amp;B313&amp;C313,盘货信息!$A:$A&amp;盘货信息!$B:$B&amp;盘货信息!$C:$C,盘货信息!$M:$M)="","",_xlfn.XLOOKUP(A313&amp;B313&amp;C313,盘货信息!$A:$A&amp;盘货信息!$B:$B&amp;盘货信息!$C:$C,盘货信息!$M:$M)&amp;"元消费券"))</f>
        <v/>
      </c>
      <c r="M313" s="18" t="str">
        <f t="array" ref="M313">IF(C313="","",IF(_xlfn.XLOOKUP(A313&amp;B313&amp;C313,盘货信息!$A:$A&amp;盘货信息!$B:$B&amp;盘货信息!$C:$C,盘货信息!$G:$G)="不参加","","焕新补贴优惠【全民可用，不限地址】"))</f>
        <v/>
      </c>
    </row>
    <row r="314" customHeight="1" spans="1:13">
      <c r="A314" s="17" t="str">
        <f>IF(盘货信息!A314="","",盘货信息!A314)</f>
        <v/>
      </c>
      <c r="B314" s="17" t="str">
        <f>IF(盘货信息!B314="","",盘货信息!B314)</f>
        <v/>
      </c>
      <c r="C314" s="18" t="str">
        <f>IF(盘货信息!C314="","",盘货信息!C314)</f>
        <v/>
      </c>
      <c r="D314" s="18" t="str">
        <f t="shared" si="4"/>
        <v/>
      </c>
      <c r="E314" s="18" t="str">
        <f t="array" ref="E314">IF(C314="","",IF(_xlfn.XLOOKUP(A314&amp;B314&amp;C314,盘货信息!$A:$A&amp;盘货信息!$B:$B&amp;盘货信息!$C:$C,盘货信息!$N:$N)="","【立减到手价"&amp;_xlfn.XLOOKUP(A314&amp;B314&amp;C314,盘货信息!$A:$A&amp;盘货信息!$B:$B&amp;盘货信息!$C:$C,盘货信息!$F:$F)&amp;"元】","【焕新补贴预估价"&amp;_xlfn.XLOOKUP(A314&amp;B314&amp;C314,盘货信息!$A:$A&amp;盘货信息!$B:$B&amp;盘货信息!$C:$C,盘货信息!$N:$N)&amp;"元】"))</f>
        <v/>
      </c>
      <c r="F314" s="18" t="str">
        <f t="array" ref="F314">IF(C314="","",_xlfn.XLOOKUP(A314&amp;B314&amp;C314,盘货信息!$A:$A&amp;盘货信息!$B:$B&amp;盘货信息!$C:$C,盘货信息!$E:$E)&amp;"元到手价")</f>
        <v/>
      </c>
      <c r="G314" s="18" t="str">
        <f t="array" ref="G314">IF(C314="","",IF(_xlfn.XLOOKUP(A314&amp;B314&amp;C314,盘货信息!$A:$A&amp;盘货信息!$B:$B&amp;盘货信息!$C:$C,盘货信息!$I:$I)="","","88VIP95折"))</f>
        <v/>
      </c>
      <c r="H314" s="18" t="str">
        <f t="array" ref="H314">IF(C314="","",IF(_xlfn.XLOOKUP(A314&amp;B314&amp;C314,盘货信息!$A:$A&amp;盘货信息!$B:$B&amp;盘货信息!$C:$C,盘货信息!$J:$J)="","",_xlfn.XLOOKUP(A314&amp;B314&amp;C314,盘货信息!$A:$A&amp;盘货信息!$B:$B&amp;盘货信息!$C:$C,盘货信息!$J:$J)&amp;"元优惠卷"))</f>
        <v/>
      </c>
      <c r="I314" s="18" t="str">
        <f t="array" ref="I314">IF(C314="","",IF(_xlfn.XLOOKUP(A314&amp;B314&amp;C314,盘货信息!$A:$A&amp;盘货信息!$B:$B&amp;盘货信息!$C:$C,盘货信息!$R:$R)="","",_xlfn.XLOOKUP(A314&amp;B314&amp;C314,盘货信息!$A:$A&amp;盘货信息!$B:$B&amp;盘货信息!$C:$C,盘货信息!$R:$R)&amp;"元优惠卷"))</f>
        <v/>
      </c>
      <c r="J314" s="18" t="str">
        <f t="array" ref="J314">IF(C314="","",IF(_xlfn.XLOOKUP(A314&amp;B314&amp;C314,盘货信息!$A:$A&amp;盘货信息!$B:$B&amp;盘货信息!$C:$C,盘货信息!$K:$K)="","",IF(OR(_xlfn.XLOOKUP(A314&amp;B314&amp;C314,盘货信息!$A:$A&amp;盘货信息!$B:$B&amp;盘货信息!$C:$C,盘货信息!$G:$G)="参加",_xlfn.XLOOKUP(A314&amp;B314&amp;C314,盘货信息!$A:$A&amp;盘货信息!$B:$B&amp;盘货信息!$C:$C,盘货信息!$H:$H)="1（纯自补）"),_xlfn.XLOOKUP(A314&amp;B314&amp;C314,盘货信息!$A:$A&amp;盘货信息!$B:$B&amp;盘货信息!$C:$C,盘货信息!$K:$K)&amp;"元以旧换新（可无旧机换新）","")))</f>
        <v/>
      </c>
      <c r="K314" s="18" t="str">
        <f t="array" ref="K314">IF(C314="","",IF(_xlfn.XLOOKUP(A314&amp;B314&amp;C314,盘货信息!$A:$A&amp;盘货信息!$B:$B&amp;盘货信息!$C:$C,盘货信息!$L:$L)="","",_xlfn.XLOOKUP(A314&amp;B314&amp;C314,盘货信息!$A:$A&amp;盘货信息!$B:$B&amp;盘货信息!$C:$C,盘货信息!$L:$L)&amp;"元限时补贴"))</f>
        <v/>
      </c>
      <c r="L314" s="18" t="str">
        <f t="array" ref="L314">IF(C314="","",IF(_xlfn.XLOOKUP(A314&amp;B314&amp;C314,盘货信息!$A:$A&amp;盘货信息!$B:$B&amp;盘货信息!$C:$C,盘货信息!$M:$M)="","",_xlfn.XLOOKUP(A314&amp;B314&amp;C314,盘货信息!$A:$A&amp;盘货信息!$B:$B&amp;盘货信息!$C:$C,盘货信息!$M:$M)&amp;"元消费券"))</f>
        <v/>
      </c>
      <c r="M314" s="18" t="str">
        <f t="array" ref="M314">IF(C314="","",IF(_xlfn.XLOOKUP(A314&amp;B314&amp;C314,盘货信息!$A:$A&amp;盘货信息!$B:$B&amp;盘货信息!$C:$C,盘货信息!$G:$G)="不参加","","焕新补贴优惠【全民可用，不限地址】"))</f>
        <v/>
      </c>
    </row>
    <row r="315" customHeight="1" spans="1:13">
      <c r="A315" s="17" t="str">
        <f>IF(盘货信息!A315="","",盘货信息!A315)</f>
        <v/>
      </c>
      <c r="B315" s="17" t="str">
        <f>IF(盘货信息!B315="","",盘货信息!B315)</f>
        <v/>
      </c>
      <c r="C315" s="18" t="str">
        <f>IF(盘货信息!C315="","",盘货信息!C315)</f>
        <v/>
      </c>
      <c r="D315" s="18" t="str">
        <f t="shared" si="4"/>
        <v/>
      </c>
      <c r="E315" s="18" t="str">
        <f t="array" ref="E315">IF(C315="","",IF(_xlfn.XLOOKUP(A315&amp;B315&amp;C315,盘货信息!$A:$A&amp;盘货信息!$B:$B&amp;盘货信息!$C:$C,盘货信息!$N:$N)="","【立减到手价"&amp;_xlfn.XLOOKUP(A315&amp;B315&amp;C315,盘货信息!$A:$A&amp;盘货信息!$B:$B&amp;盘货信息!$C:$C,盘货信息!$F:$F)&amp;"元】","【焕新补贴预估价"&amp;_xlfn.XLOOKUP(A315&amp;B315&amp;C315,盘货信息!$A:$A&amp;盘货信息!$B:$B&amp;盘货信息!$C:$C,盘货信息!$N:$N)&amp;"元】"))</f>
        <v/>
      </c>
      <c r="F315" s="18" t="str">
        <f t="array" ref="F315">IF(C315="","",_xlfn.XLOOKUP(A315&amp;B315&amp;C315,盘货信息!$A:$A&amp;盘货信息!$B:$B&amp;盘货信息!$C:$C,盘货信息!$E:$E)&amp;"元到手价")</f>
        <v/>
      </c>
      <c r="G315" s="18" t="str">
        <f t="array" ref="G315">IF(C315="","",IF(_xlfn.XLOOKUP(A315&amp;B315&amp;C315,盘货信息!$A:$A&amp;盘货信息!$B:$B&amp;盘货信息!$C:$C,盘货信息!$I:$I)="","","88VIP95折"))</f>
        <v/>
      </c>
      <c r="H315" s="18" t="str">
        <f t="array" ref="H315">IF(C315="","",IF(_xlfn.XLOOKUP(A315&amp;B315&amp;C315,盘货信息!$A:$A&amp;盘货信息!$B:$B&amp;盘货信息!$C:$C,盘货信息!$J:$J)="","",_xlfn.XLOOKUP(A315&amp;B315&amp;C315,盘货信息!$A:$A&amp;盘货信息!$B:$B&amp;盘货信息!$C:$C,盘货信息!$J:$J)&amp;"元优惠卷"))</f>
        <v/>
      </c>
      <c r="I315" s="18" t="str">
        <f t="array" ref="I315">IF(C315="","",IF(_xlfn.XLOOKUP(A315&amp;B315&amp;C315,盘货信息!$A:$A&amp;盘货信息!$B:$B&amp;盘货信息!$C:$C,盘货信息!$R:$R)="","",_xlfn.XLOOKUP(A315&amp;B315&amp;C315,盘货信息!$A:$A&amp;盘货信息!$B:$B&amp;盘货信息!$C:$C,盘货信息!$R:$R)&amp;"元优惠卷"))</f>
        <v/>
      </c>
      <c r="J315" s="18" t="str">
        <f t="array" ref="J315">IF(C315="","",IF(_xlfn.XLOOKUP(A315&amp;B315&amp;C315,盘货信息!$A:$A&amp;盘货信息!$B:$B&amp;盘货信息!$C:$C,盘货信息!$K:$K)="","",IF(OR(_xlfn.XLOOKUP(A315&amp;B315&amp;C315,盘货信息!$A:$A&amp;盘货信息!$B:$B&amp;盘货信息!$C:$C,盘货信息!$G:$G)="参加",_xlfn.XLOOKUP(A315&amp;B315&amp;C315,盘货信息!$A:$A&amp;盘货信息!$B:$B&amp;盘货信息!$C:$C,盘货信息!$H:$H)="1（纯自补）"),_xlfn.XLOOKUP(A315&amp;B315&amp;C315,盘货信息!$A:$A&amp;盘货信息!$B:$B&amp;盘货信息!$C:$C,盘货信息!$K:$K)&amp;"元以旧换新（可无旧机换新）","")))</f>
        <v/>
      </c>
      <c r="K315" s="18" t="str">
        <f t="array" ref="K315">IF(C315="","",IF(_xlfn.XLOOKUP(A315&amp;B315&amp;C315,盘货信息!$A:$A&amp;盘货信息!$B:$B&amp;盘货信息!$C:$C,盘货信息!$L:$L)="","",_xlfn.XLOOKUP(A315&amp;B315&amp;C315,盘货信息!$A:$A&amp;盘货信息!$B:$B&amp;盘货信息!$C:$C,盘货信息!$L:$L)&amp;"元限时补贴"))</f>
        <v/>
      </c>
      <c r="L315" s="18" t="str">
        <f t="array" ref="L315">IF(C315="","",IF(_xlfn.XLOOKUP(A315&amp;B315&amp;C315,盘货信息!$A:$A&amp;盘货信息!$B:$B&amp;盘货信息!$C:$C,盘货信息!$M:$M)="","",_xlfn.XLOOKUP(A315&amp;B315&amp;C315,盘货信息!$A:$A&amp;盘货信息!$B:$B&amp;盘货信息!$C:$C,盘货信息!$M:$M)&amp;"元消费券"))</f>
        <v/>
      </c>
      <c r="M315" s="18" t="str">
        <f t="array" ref="M315">IF(C315="","",IF(_xlfn.XLOOKUP(A315&amp;B315&amp;C315,盘货信息!$A:$A&amp;盘货信息!$B:$B&amp;盘货信息!$C:$C,盘货信息!$G:$G)="不参加","","焕新补贴优惠【全民可用，不限地址】"))</f>
        <v/>
      </c>
    </row>
    <row r="316" customHeight="1" spans="1:13">
      <c r="A316" s="17" t="str">
        <f>IF(盘货信息!A316="","",盘货信息!A316)</f>
        <v/>
      </c>
      <c r="B316" s="17" t="str">
        <f>IF(盘货信息!B316="","",盘货信息!B316)</f>
        <v/>
      </c>
      <c r="C316" s="18" t="str">
        <f>IF(盘货信息!C316="","",盘货信息!C316)</f>
        <v/>
      </c>
      <c r="D316" s="18" t="str">
        <f t="shared" si="4"/>
        <v/>
      </c>
      <c r="E316" s="18" t="str">
        <f t="array" ref="E316">IF(C316="","",IF(_xlfn.XLOOKUP(A316&amp;B316&amp;C316,盘货信息!$A:$A&amp;盘货信息!$B:$B&amp;盘货信息!$C:$C,盘货信息!$N:$N)="","【立减到手价"&amp;_xlfn.XLOOKUP(A316&amp;B316&amp;C316,盘货信息!$A:$A&amp;盘货信息!$B:$B&amp;盘货信息!$C:$C,盘货信息!$F:$F)&amp;"元】","【焕新补贴预估价"&amp;_xlfn.XLOOKUP(A316&amp;B316&amp;C316,盘货信息!$A:$A&amp;盘货信息!$B:$B&amp;盘货信息!$C:$C,盘货信息!$N:$N)&amp;"元】"))</f>
        <v/>
      </c>
      <c r="F316" s="18" t="str">
        <f t="array" ref="F316">IF(C316="","",_xlfn.XLOOKUP(A316&amp;B316&amp;C316,盘货信息!$A:$A&amp;盘货信息!$B:$B&amp;盘货信息!$C:$C,盘货信息!$E:$E)&amp;"元到手价")</f>
        <v/>
      </c>
      <c r="G316" s="18" t="str">
        <f t="array" ref="G316">IF(C316="","",IF(_xlfn.XLOOKUP(A316&amp;B316&amp;C316,盘货信息!$A:$A&amp;盘货信息!$B:$B&amp;盘货信息!$C:$C,盘货信息!$I:$I)="","","88VIP95折"))</f>
        <v/>
      </c>
      <c r="H316" s="18" t="str">
        <f t="array" ref="H316">IF(C316="","",IF(_xlfn.XLOOKUP(A316&amp;B316&amp;C316,盘货信息!$A:$A&amp;盘货信息!$B:$B&amp;盘货信息!$C:$C,盘货信息!$J:$J)="","",_xlfn.XLOOKUP(A316&amp;B316&amp;C316,盘货信息!$A:$A&amp;盘货信息!$B:$B&amp;盘货信息!$C:$C,盘货信息!$J:$J)&amp;"元优惠卷"))</f>
        <v/>
      </c>
      <c r="I316" s="18" t="str">
        <f t="array" ref="I316">IF(C316="","",IF(_xlfn.XLOOKUP(A316&amp;B316&amp;C316,盘货信息!$A:$A&amp;盘货信息!$B:$B&amp;盘货信息!$C:$C,盘货信息!$R:$R)="","",_xlfn.XLOOKUP(A316&amp;B316&amp;C316,盘货信息!$A:$A&amp;盘货信息!$B:$B&amp;盘货信息!$C:$C,盘货信息!$R:$R)&amp;"元优惠卷"))</f>
        <v/>
      </c>
      <c r="J316" s="18" t="str">
        <f t="array" ref="J316">IF(C316="","",IF(_xlfn.XLOOKUP(A316&amp;B316&amp;C316,盘货信息!$A:$A&amp;盘货信息!$B:$B&amp;盘货信息!$C:$C,盘货信息!$K:$K)="","",IF(OR(_xlfn.XLOOKUP(A316&amp;B316&amp;C316,盘货信息!$A:$A&amp;盘货信息!$B:$B&amp;盘货信息!$C:$C,盘货信息!$G:$G)="参加",_xlfn.XLOOKUP(A316&amp;B316&amp;C316,盘货信息!$A:$A&amp;盘货信息!$B:$B&amp;盘货信息!$C:$C,盘货信息!$H:$H)="1（纯自补）"),_xlfn.XLOOKUP(A316&amp;B316&amp;C316,盘货信息!$A:$A&amp;盘货信息!$B:$B&amp;盘货信息!$C:$C,盘货信息!$K:$K)&amp;"元以旧换新（可无旧机换新）","")))</f>
        <v/>
      </c>
      <c r="K316" s="18" t="str">
        <f t="array" ref="K316">IF(C316="","",IF(_xlfn.XLOOKUP(A316&amp;B316&amp;C316,盘货信息!$A:$A&amp;盘货信息!$B:$B&amp;盘货信息!$C:$C,盘货信息!$L:$L)="","",_xlfn.XLOOKUP(A316&amp;B316&amp;C316,盘货信息!$A:$A&amp;盘货信息!$B:$B&amp;盘货信息!$C:$C,盘货信息!$L:$L)&amp;"元限时补贴"))</f>
        <v/>
      </c>
      <c r="L316" s="18" t="str">
        <f t="array" ref="L316">IF(C316="","",IF(_xlfn.XLOOKUP(A316&amp;B316&amp;C316,盘货信息!$A:$A&amp;盘货信息!$B:$B&amp;盘货信息!$C:$C,盘货信息!$M:$M)="","",_xlfn.XLOOKUP(A316&amp;B316&amp;C316,盘货信息!$A:$A&amp;盘货信息!$B:$B&amp;盘货信息!$C:$C,盘货信息!$M:$M)&amp;"元消费券"))</f>
        <v/>
      </c>
      <c r="M316" s="18" t="str">
        <f t="array" ref="M316">IF(C316="","",IF(_xlfn.XLOOKUP(A316&amp;B316&amp;C316,盘货信息!$A:$A&amp;盘货信息!$B:$B&amp;盘货信息!$C:$C,盘货信息!$G:$G)="不参加","","焕新补贴优惠【全民可用，不限地址】"))</f>
        <v/>
      </c>
    </row>
    <row r="317" customHeight="1" spans="1:13">
      <c r="A317" s="17" t="str">
        <f>IF(盘货信息!A317="","",盘货信息!A317)</f>
        <v/>
      </c>
      <c r="B317" s="17" t="str">
        <f>IF(盘货信息!B317="","",盘货信息!B317)</f>
        <v/>
      </c>
      <c r="C317" s="18" t="str">
        <f>IF(盘货信息!C317="","",盘货信息!C317)</f>
        <v/>
      </c>
      <c r="D317" s="18" t="str">
        <f t="shared" si="4"/>
        <v/>
      </c>
      <c r="E317" s="18" t="str">
        <f t="array" ref="E317">IF(C317="","",IF(_xlfn.XLOOKUP(A317&amp;B317&amp;C317,盘货信息!$A:$A&amp;盘货信息!$B:$B&amp;盘货信息!$C:$C,盘货信息!$N:$N)="","【立减到手价"&amp;_xlfn.XLOOKUP(A317&amp;B317&amp;C317,盘货信息!$A:$A&amp;盘货信息!$B:$B&amp;盘货信息!$C:$C,盘货信息!$F:$F)&amp;"元】","【焕新补贴预估价"&amp;_xlfn.XLOOKUP(A317&amp;B317&amp;C317,盘货信息!$A:$A&amp;盘货信息!$B:$B&amp;盘货信息!$C:$C,盘货信息!$N:$N)&amp;"元】"))</f>
        <v/>
      </c>
      <c r="F317" s="18" t="str">
        <f t="array" ref="F317">IF(C317="","",_xlfn.XLOOKUP(A317&amp;B317&amp;C317,盘货信息!$A:$A&amp;盘货信息!$B:$B&amp;盘货信息!$C:$C,盘货信息!$E:$E)&amp;"元到手价")</f>
        <v/>
      </c>
      <c r="G317" s="18" t="str">
        <f t="array" ref="G317">IF(C317="","",IF(_xlfn.XLOOKUP(A317&amp;B317&amp;C317,盘货信息!$A:$A&amp;盘货信息!$B:$B&amp;盘货信息!$C:$C,盘货信息!$I:$I)="","","88VIP95折"))</f>
        <v/>
      </c>
      <c r="H317" s="18" t="str">
        <f t="array" ref="H317">IF(C317="","",IF(_xlfn.XLOOKUP(A317&amp;B317&amp;C317,盘货信息!$A:$A&amp;盘货信息!$B:$B&amp;盘货信息!$C:$C,盘货信息!$J:$J)="","",_xlfn.XLOOKUP(A317&amp;B317&amp;C317,盘货信息!$A:$A&amp;盘货信息!$B:$B&amp;盘货信息!$C:$C,盘货信息!$J:$J)&amp;"元优惠卷"))</f>
        <v/>
      </c>
      <c r="I317" s="18" t="str">
        <f t="array" ref="I317">IF(C317="","",IF(_xlfn.XLOOKUP(A317&amp;B317&amp;C317,盘货信息!$A:$A&amp;盘货信息!$B:$B&amp;盘货信息!$C:$C,盘货信息!$R:$R)="","",_xlfn.XLOOKUP(A317&amp;B317&amp;C317,盘货信息!$A:$A&amp;盘货信息!$B:$B&amp;盘货信息!$C:$C,盘货信息!$R:$R)&amp;"元优惠卷"))</f>
        <v/>
      </c>
      <c r="J317" s="18" t="str">
        <f t="array" ref="J317">IF(C317="","",IF(_xlfn.XLOOKUP(A317&amp;B317&amp;C317,盘货信息!$A:$A&amp;盘货信息!$B:$B&amp;盘货信息!$C:$C,盘货信息!$K:$K)="","",IF(OR(_xlfn.XLOOKUP(A317&amp;B317&amp;C317,盘货信息!$A:$A&amp;盘货信息!$B:$B&amp;盘货信息!$C:$C,盘货信息!$G:$G)="参加",_xlfn.XLOOKUP(A317&amp;B317&amp;C317,盘货信息!$A:$A&amp;盘货信息!$B:$B&amp;盘货信息!$C:$C,盘货信息!$H:$H)="1（纯自补）"),_xlfn.XLOOKUP(A317&amp;B317&amp;C317,盘货信息!$A:$A&amp;盘货信息!$B:$B&amp;盘货信息!$C:$C,盘货信息!$K:$K)&amp;"元以旧换新（可无旧机换新）","")))</f>
        <v/>
      </c>
      <c r="K317" s="18" t="str">
        <f t="array" ref="K317">IF(C317="","",IF(_xlfn.XLOOKUP(A317&amp;B317&amp;C317,盘货信息!$A:$A&amp;盘货信息!$B:$B&amp;盘货信息!$C:$C,盘货信息!$L:$L)="","",_xlfn.XLOOKUP(A317&amp;B317&amp;C317,盘货信息!$A:$A&amp;盘货信息!$B:$B&amp;盘货信息!$C:$C,盘货信息!$L:$L)&amp;"元限时补贴"))</f>
        <v/>
      </c>
      <c r="L317" s="18" t="str">
        <f t="array" ref="L317">IF(C317="","",IF(_xlfn.XLOOKUP(A317&amp;B317&amp;C317,盘货信息!$A:$A&amp;盘货信息!$B:$B&amp;盘货信息!$C:$C,盘货信息!$M:$M)="","",_xlfn.XLOOKUP(A317&amp;B317&amp;C317,盘货信息!$A:$A&amp;盘货信息!$B:$B&amp;盘货信息!$C:$C,盘货信息!$M:$M)&amp;"元消费券"))</f>
        <v/>
      </c>
      <c r="M317" s="18" t="str">
        <f t="array" ref="M317">IF(C317="","",IF(_xlfn.XLOOKUP(A317&amp;B317&amp;C317,盘货信息!$A:$A&amp;盘货信息!$B:$B&amp;盘货信息!$C:$C,盘货信息!$G:$G)="不参加","","焕新补贴优惠【全民可用，不限地址】"))</f>
        <v/>
      </c>
    </row>
    <row r="318" customHeight="1" spans="1:13">
      <c r="A318" s="17" t="str">
        <f>IF(盘货信息!A318="","",盘货信息!A318)</f>
        <v/>
      </c>
      <c r="B318" s="17" t="str">
        <f>IF(盘货信息!B318="","",盘货信息!B318)</f>
        <v/>
      </c>
      <c r="C318" s="18" t="str">
        <f>IF(盘货信息!C318="","",盘货信息!C318)</f>
        <v/>
      </c>
      <c r="D318" s="18" t="str">
        <f t="shared" si="4"/>
        <v/>
      </c>
      <c r="E318" s="18" t="str">
        <f t="array" ref="E318">IF(C318="","",IF(_xlfn.XLOOKUP(A318&amp;B318&amp;C318,盘货信息!$A:$A&amp;盘货信息!$B:$B&amp;盘货信息!$C:$C,盘货信息!$N:$N)="","【立减到手价"&amp;_xlfn.XLOOKUP(A318&amp;B318&amp;C318,盘货信息!$A:$A&amp;盘货信息!$B:$B&amp;盘货信息!$C:$C,盘货信息!$F:$F)&amp;"元】","【焕新补贴预估价"&amp;_xlfn.XLOOKUP(A318&amp;B318&amp;C318,盘货信息!$A:$A&amp;盘货信息!$B:$B&amp;盘货信息!$C:$C,盘货信息!$N:$N)&amp;"元】"))</f>
        <v/>
      </c>
      <c r="F318" s="18" t="str">
        <f t="array" ref="F318">IF(C318="","",_xlfn.XLOOKUP(A318&amp;B318&amp;C318,盘货信息!$A:$A&amp;盘货信息!$B:$B&amp;盘货信息!$C:$C,盘货信息!$E:$E)&amp;"元到手价")</f>
        <v/>
      </c>
      <c r="G318" s="18" t="str">
        <f t="array" ref="G318">IF(C318="","",IF(_xlfn.XLOOKUP(A318&amp;B318&amp;C318,盘货信息!$A:$A&amp;盘货信息!$B:$B&amp;盘货信息!$C:$C,盘货信息!$I:$I)="","","88VIP95折"))</f>
        <v/>
      </c>
      <c r="H318" s="18" t="str">
        <f t="array" ref="H318">IF(C318="","",IF(_xlfn.XLOOKUP(A318&amp;B318&amp;C318,盘货信息!$A:$A&amp;盘货信息!$B:$B&amp;盘货信息!$C:$C,盘货信息!$J:$J)="","",_xlfn.XLOOKUP(A318&amp;B318&amp;C318,盘货信息!$A:$A&amp;盘货信息!$B:$B&amp;盘货信息!$C:$C,盘货信息!$J:$J)&amp;"元优惠卷"))</f>
        <v/>
      </c>
      <c r="I318" s="18" t="str">
        <f t="array" ref="I318">IF(C318="","",IF(_xlfn.XLOOKUP(A318&amp;B318&amp;C318,盘货信息!$A:$A&amp;盘货信息!$B:$B&amp;盘货信息!$C:$C,盘货信息!$R:$R)="","",_xlfn.XLOOKUP(A318&amp;B318&amp;C318,盘货信息!$A:$A&amp;盘货信息!$B:$B&amp;盘货信息!$C:$C,盘货信息!$R:$R)&amp;"元优惠卷"))</f>
        <v/>
      </c>
      <c r="J318" s="18" t="str">
        <f t="array" ref="J318">IF(C318="","",IF(_xlfn.XLOOKUP(A318&amp;B318&amp;C318,盘货信息!$A:$A&amp;盘货信息!$B:$B&amp;盘货信息!$C:$C,盘货信息!$K:$K)="","",IF(OR(_xlfn.XLOOKUP(A318&amp;B318&amp;C318,盘货信息!$A:$A&amp;盘货信息!$B:$B&amp;盘货信息!$C:$C,盘货信息!$G:$G)="参加",_xlfn.XLOOKUP(A318&amp;B318&amp;C318,盘货信息!$A:$A&amp;盘货信息!$B:$B&amp;盘货信息!$C:$C,盘货信息!$H:$H)="1（纯自补）"),_xlfn.XLOOKUP(A318&amp;B318&amp;C318,盘货信息!$A:$A&amp;盘货信息!$B:$B&amp;盘货信息!$C:$C,盘货信息!$K:$K)&amp;"元以旧换新（可无旧机换新）","")))</f>
        <v/>
      </c>
      <c r="K318" s="18" t="str">
        <f t="array" ref="K318">IF(C318="","",IF(_xlfn.XLOOKUP(A318&amp;B318&amp;C318,盘货信息!$A:$A&amp;盘货信息!$B:$B&amp;盘货信息!$C:$C,盘货信息!$L:$L)="","",_xlfn.XLOOKUP(A318&amp;B318&amp;C318,盘货信息!$A:$A&amp;盘货信息!$B:$B&amp;盘货信息!$C:$C,盘货信息!$L:$L)&amp;"元限时补贴"))</f>
        <v/>
      </c>
      <c r="L318" s="18" t="str">
        <f t="array" ref="L318">IF(C318="","",IF(_xlfn.XLOOKUP(A318&amp;B318&amp;C318,盘货信息!$A:$A&amp;盘货信息!$B:$B&amp;盘货信息!$C:$C,盘货信息!$M:$M)="","",_xlfn.XLOOKUP(A318&amp;B318&amp;C318,盘货信息!$A:$A&amp;盘货信息!$B:$B&amp;盘货信息!$C:$C,盘货信息!$M:$M)&amp;"元消费券"))</f>
        <v/>
      </c>
      <c r="M318" s="18" t="str">
        <f t="array" ref="M318">IF(C318="","",IF(_xlfn.XLOOKUP(A318&amp;B318&amp;C318,盘货信息!$A:$A&amp;盘货信息!$B:$B&amp;盘货信息!$C:$C,盘货信息!$G:$G)="不参加","","焕新补贴优惠【全民可用，不限地址】"))</f>
        <v/>
      </c>
    </row>
    <row r="319" customHeight="1" spans="1:13">
      <c r="A319" s="17" t="str">
        <f>IF(盘货信息!A319="","",盘货信息!A319)</f>
        <v/>
      </c>
      <c r="B319" s="17" t="str">
        <f>IF(盘货信息!B319="","",盘货信息!B319)</f>
        <v/>
      </c>
      <c r="C319" s="18" t="str">
        <f>IF(盘货信息!C319="","",盘货信息!C319)</f>
        <v/>
      </c>
      <c r="D319" s="18" t="str">
        <f t="shared" si="4"/>
        <v/>
      </c>
      <c r="E319" s="18" t="str">
        <f t="array" ref="E319">IF(C319="","",IF(_xlfn.XLOOKUP(A319&amp;B319&amp;C319,盘货信息!$A:$A&amp;盘货信息!$B:$B&amp;盘货信息!$C:$C,盘货信息!$N:$N)="","【立减到手价"&amp;_xlfn.XLOOKUP(A319&amp;B319&amp;C319,盘货信息!$A:$A&amp;盘货信息!$B:$B&amp;盘货信息!$C:$C,盘货信息!$F:$F)&amp;"元】","【焕新补贴预估价"&amp;_xlfn.XLOOKUP(A319&amp;B319&amp;C319,盘货信息!$A:$A&amp;盘货信息!$B:$B&amp;盘货信息!$C:$C,盘货信息!$N:$N)&amp;"元】"))</f>
        <v/>
      </c>
      <c r="F319" s="18" t="str">
        <f t="array" ref="F319">IF(C319="","",_xlfn.XLOOKUP(A319&amp;B319&amp;C319,盘货信息!$A:$A&amp;盘货信息!$B:$B&amp;盘货信息!$C:$C,盘货信息!$E:$E)&amp;"元到手价")</f>
        <v/>
      </c>
      <c r="G319" s="18" t="str">
        <f t="array" ref="G319">IF(C319="","",IF(_xlfn.XLOOKUP(A319&amp;B319&amp;C319,盘货信息!$A:$A&amp;盘货信息!$B:$B&amp;盘货信息!$C:$C,盘货信息!$I:$I)="","","88VIP95折"))</f>
        <v/>
      </c>
      <c r="H319" s="18" t="str">
        <f t="array" ref="H319">IF(C319="","",IF(_xlfn.XLOOKUP(A319&amp;B319&amp;C319,盘货信息!$A:$A&amp;盘货信息!$B:$B&amp;盘货信息!$C:$C,盘货信息!$J:$J)="","",_xlfn.XLOOKUP(A319&amp;B319&amp;C319,盘货信息!$A:$A&amp;盘货信息!$B:$B&amp;盘货信息!$C:$C,盘货信息!$J:$J)&amp;"元优惠卷"))</f>
        <v/>
      </c>
      <c r="I319" s="18" t="str">
        <f t="array" ref="I319">IF(C319="","",IF(_xlfn.XLOOKUP(A319&amp;B319&amp;C319,盘货信息!$A:$A&amp;盘货信息!$B:$B&amp;盘货信息!$C:$C,盘货信息!$R:$R)="","",_xlfn.XLOOKUP(A319&amp;B319&amp;C319,盘货信息!$A:$A&amp;盘货信息!$B:$B&amp;盘货信息!$C:$C,盘货信息!$R:$R)&amp;"元优惠卷"))</f>
        <v/>
      </c>
      <c r="J319" s="18" t="str">
        <f t="array" ref="J319">IF(C319="","",IF(_xlfn.XLOOKUP(A319&amp;B319&amp;C319,盘货信息!$A:$A&amp;盘货信息!$B:$B&amp;盘货信息!$C:$C,盘货信息!$K:$K)="","",IF(OR(_xlfn.XLOOKUP(A319&amp;B319&amp;C319,盘货信息!$A:$A&amp;盘货信息!$B:$B&amp;盘货信息!$C:$C,盘货信息!$G:$G)="参加",_xlfn.XLOOKUP(A319&amp;B319&amp;C319,盘货信息!$A:$A&amp;盘货信息!$B:$B&amp;盘货信息!$C:$C,盘货信息!$H:$H)="1（纯自补）"),_xlfn.XLOOKUP(A319&amp;B319&amp;C319,盘货信息!$A:$A&amp;盘货信息!$B:$B&amp;盘货信息!$C:$C,盘货信息!$K:$K)&amp;"元以旧换新（可无旧机换新）","")))</f>
        <v/>
      </c>
      <c r="K319" s="18" t="str">
        <f t="array" ref="K319">IF(C319="","",IF(_xlfn.XLOOKUP(A319&amp;B319&amp;C319,盘货信息!$A:$A&amp;盘货信息!$B:$B&amp;盘货信息!$C:$C,盘货信息!$L:$L)="","",_xlfn.XLOOKUP(A319&amp;B319&amp;C319,盘货信息!$A:$A&amp;盘货信息!$B:$B&amp;盘货信息!$C:$C,盘货信息!$L:$L)&amp;"元限时补贴"))</f>
        <v/>
      </c>
      <c r="L319" s="18" t="str">
        <f t="array" ref="L319">IF(C319="","",IF(_xlfn.XLOOKUP(A319&amp;B319&amp;C319,盘货信息!$A:$A&amp;盘货信息!$B:$B&amp;盘货信息!$C:$C,盘货信息!$M:$M)="","",_xlfn.XLOOKUP(A319&amp;B319&amp;C319,盘货信息!$A:$A&amp;盘货信息!$B:$B&amp;盘货信息!$C:$C,盘货信息!$M:$M)&amp;"元消费券"))</f>
        <v/>
      </c>
      <c r="M319" s="18" t="str">
        <f t="array" ref="M319">IF(C319="","",IF(_xlfn.XLOOKUP(A319&amp;B319&amp;C319,盘货信息!$A:$A&amp;盘货信息!$B:$B&amp;盘货信息!$C:$C,盘货信息!$G:$G)="不参加","","焕新补贴优惠【全民可用，不限地址】"))</f>
        <v/>
      </c>
    </row>
    <row r="320" customHeight="1" spans="1:13">
      <c r="A320" s="17" t="str">
        <f>IF(盘货信息!A320="","",盘货信息!A320)</f>
        <v/>
      </c>
      <c r="B320" s="17" t="str">
        <f>IF(盘货信息!B320="","",盘货信息!B320)</f>
        <v/>
      </c>
      <c r="C320" s="18" t="str">
        <f>IF(盘货信息!C320="","",盘货信息!C320)</f>
        <v/>
      </c>
      <c r="D320" s="18" t="str">
        <f t="shared" si="4"/>
        <v/>
      </c>
      <c r="E320" s="18" t="str">
        <f t="array" ref="E320">IF(C320="","",IF(_xlfn.XLOOKUP(A320&amp;B320&amp;C320,盘货信息!$A:$A&amp;盘货信息!$B:$B&amp;盘货信息!$C:$C,盘货信息!$N:$N)="","【立减到手价"&amp;_xlfn.XLOOKUP(A320&amp;B320&amp;C320,盘货信息!$A:$A&amp;盘货信息!$B:$B&amp;盘货信息!$C:$C,盘货信息!$F:$F)&amp;"元】","【焕新补贴预估价"&amp;_xlfn.XLOOKUP(A320&amp;B320&amp;C320,盘货信息!$A:$A&amp;盘货信息!$B:$B&amp;盘货信息!$C:$C,盘货信息!$N:$N)&amp;"元】"))</f>
        <v/>
      </c>
      <c r="F320" s="18" t="str">
        <f t="array" ref="F320">IF(C320="","",_xlfn.XLOOKUP(A320&amp;B320&amp;C320,盘货信息!$A:$A&amp;盘货信息!$B:$B&amp;盘货信息!$C:$C,盘货信息!$E:$E)&amp;"元到手价")</f>
        <v/>
      </c>
      <c r="G320" s="18" t="str">
        <f t="array" ref="G320">IF(C320="","",IF(_xlfn.XLOOKUP(A320&amp;B320&amp;C320,盘货信息!$A:$A&amp;盘货信息!$B:$B&amp;盘货信息!$C:$C,盘货信息!$I:$I)="","","88VIP95折"))</f>
        <v/>
      </c>
      <c r="H320" s="18" t="str">
        <f t="array" ref="H320">IF(C320="","",IF(_xlfn.XLOOKUP(A320&amp;B320&amp;C320,盘货信息!$A:$A&amp;盘货信息!$B:$B&amp;盘货信息!$C:$C,盘货信息!$J:$J)="","",_xlfn.XLOOKUP(A320&amp;B320&amp;C320,盘货信息!$A:$A&amp;盘货信息!$B:$B&amp;盘货信息!$C:$C,盘货信息!$J:$J)&amp;"元优惠卷"))</f>
        <v/>
      </c>
      <c r="I320" s="18" t="str">
        <f t="array" ref="I320">IF(C320="","",IF(_xlfn.XLOOKUP(A320&amp;B320&amp;C320,盘货信息!$A:$A&amp;盘货信息!$B:$B&amp;盘货信息!$C:$C,盘货信息!$R:$R)="","",_xlfn.XLOOKUP(A320&amp;B320&amp;C320,盘货信息!$A:$A&amp;盘货信息!$B:$B&amp;盘货信息!$C:$C,盘货信息!$R:$R)&amp;"元优惠卷"))</f>
        <v/>
      </c>
      <c r="J320" s="18" t="str">
        <f t="array" ref="J320">IF(C320="","",IF(_xlfn.XLOOKUP(A320&amp;B320&amp;C320,盘货信息!$A:$A&amp;盘货信息!$B:$B&amp;盘货信息!$C:$C,盘货信息!$K:$K)="","",IF(OR(_xlfn.XLOOKUP(A320&amp;B320&amp;C320,盘货信息!$A:$A&amp;盘货信息!$B:$B&amp;盘货信息!$C:$C,盘货信息!$G:$G)="参加",_xlfn.XLOOKUP(A320&amp;B320&amp;C320,盘货信息!$A:$A&amp;盘货信息!$B:$B&amp;盘货信息!$C:$C,盘货信息!$H:$H)="1（纯自补）"),_xlfn.XLOOKUP(A320&amp;B320&amp;C320,盘货信息!$A:$A&amp;盘货信息!$B:$B&amp;盘货信息!$C:$C,盘货信息!$K:$K)&amp;"元以旧换新（可无旧机换新）","")))</f>
        <v/>
      </c>
      <c r="K320" s="18" t="str">
        <f t="array" ref="K320">IF(C320="","",IF(_xlfn.XLOOKUP(A320&amp;B320&amp;C320,盘货信息!$A:$A&amp;盘货信息!$B:$B&amp;盘货信息!$C:$C,盘货信息!$L:$L)="","",_xlfn.XLOOKUP(A320&amp;B320&amp;C320,盘货信息!$A:$A&amp;盘货信息!$B:$B&amp;盘货信息!$C:$C,盘货信息!$L:$L)&amp;"元限时补贴"))</f>
        <v/>
      </c>
      <c r="L320" s="18" t="str">
        <f t="array" ref="L320">IF(C320="","",IF(_xlfn.XLOOKUP(A320&amp;B320&amp;C320,盘货信息!$A:$A&amp;盘货信息!$B:$B&amp;盘货信息!$C:$C,盘货信息!$M:$M)="","",_xlfn.XLOOKUP(A320&amp;B320&amp;C320,盘货信息!$A:$A&amp;盘货信息!$B:$B&amp;盘货信息!$C:$C,盘货信息!$M:$M)&amp;"元消费券"))</f>
        <v/>
      </c>
      <c r="M320" s="18" t="str">
        <f t="array" ref="M320">IF(C320="","",IF(_xlfn.XLOOKUP(A320&amp;B320&amp;C320,盘货信息!$A:$A&amp;盘货信息!$B:$B&amp;盘货信息!$C:$C,盘货信息!$G:$G)="不参加","","焕新补贴优惠【全民可用，不限地址】"))</f>
        <v/>
      </c>
    </row>
    <row r="321" customHeight="1" spans="1:13">
      <c r="A321" s="17" t="str">
        <f>IF(盘货信息!A321="","",盘货信息!A321)</f>
        <v/>
      </c>
      <c r="B321" s="17" t="str">
        <f>IF(盘货信息!B321="","",盘货信息!B321)</f>
        <v/>
      </c>
      <c r="C321" s="18" t="str">
        <f>IF(盘货信息!C321="","",盘货信息!C321)</f>
        <v/>
      </c>
      <c r="D321" s="18" t="str">
        <f t="shared" si="4"/>
        <v/>
      </c>
      <c r="E321" s="18" t="str">
        <f t="array" ref="E321">IF(C321="","",IF(_xlfn.XLOOKUP(A321&amp;B321&amp;C321,盘货信息!$A:$A&amp;盘货信息!$B:$B&amp;盘货信息!$C:$C,盘货信息!$N:$N)="","【立减到手价"&amp;_xlfn.XLOOKUP(A321&amp;B321&amp;C321,盘货信息!$A:$A&amp;盘货信息!$B:$B&amp;盘货信息!$C:$C,盘货信息!$F:$F)&amp;"元】","【焕新补贴预估价"&amp;_xlfn.XLOOKUP(A321&amp;B321&amp;C321,盘货信息!$A:$A&amp;盘货信息!$B:$B&amp;盘货信息!$C:$C,盘货信息!$N:$N)&amp;"元】"))</f>
        <v/>
      </c>
      <c r="F321" s="18" t="str">
        <f t="array" ref="F321">IF(C321="","",_xlfn.XLOOKUP(A321&amp;B321&amp;C321,盘货信息!$A:$A&amp;盘货信息!$B:$B&amp;盘货信息!$C:$C,盘货信息!$E:$E)&amp;"元到手价")</f>
        <v/>
      </c>
      <c r="G321" s="18" t="str">
        <f t="array" ref="G321">IF(C321="","",IF(_xlfn.XLOOKUP(A321&amp;B321&amp;C321,盘货信息!$A:$A&amp;盘货信息!$B:$B&amp;盘货信息!$C:$C,盘货信息!$I:$I)="","","88VIP95折"))</f>
        <v/>
      </c>
      <c r="H321" s="18" t="str">
        <f t="array" ref="H321">IF(C321="","",IF(_xlfn.XLOOKUP(A321&amp;B321&amp;C321,盘货信息!$A:$A&amp;盘货信息!$B:$B&amp;盘货信息!$C:$C,盘货信息!$J:$J)="","",_xlfn.XLOOKUP(A321&amp;B321&amp;C321,盘货信息!$A:$A&amp;盘货信息!$B:$B&amp;盘货信息!$C:$C,盘货信息!$J:$J)&amp;"元优惠卷"))</f>
        <v/>
      </c>
      <c r="I321" s="18" t="str">
        <f t="array" ref="I321">IF(C321="","",IF(_xlfn.XLOOKUP(A321&amp;B321&amp;C321,盘货信息!$A:$A&amp;盘货信息!$B:$B&amp;盘货信息!$C:$C,盘货信息!$R:$R)="","",_xlfn.XLOOKUP(A321&amp;B321&amp;C321,盘货信息!$A:$A&amp;盘货信息!$B:$B&amp;盘货信息!$C:$C,盘货信息!$R:$R)&amp;"元优惠卷"))</f>
        <v/>
      </c>
      <c r="J321" s="18" t="str">
        <f t="array" ref="J321">IF(C321="","",IF(_xlfn.XLOOKUP(A321&amp;B321&amp;C321,盘货信息!$A:$A&amp;盘货信息!$B:$B&amp;盘货信息!$C:$C,盘货信息!$K:$K)="","",IF(OR(_xlfn.XLOOKUP(A321&amp;B321&amp;C321,盘货信息!$A:$A&amp;盘货信息!$B:$B&amp;盘货信息!$C:$C,盘货信息!$G:$G)="参加",_xlfn.XLOOKUP(A321&amp;B321&amp;C321,盘货信息!$A:$A&amp;盘货信息!$B:$B&amp;盘货信息!$C:$C,盘货信息!$H:$H)="1（纯自补）"),_xlfn.XLOOKUP(A321&amp;B321&amp;C321,盘货信息!$A:$A&amp;盘货信息!$B:$B&amp;盘货信息!$C:$C,盘货信息!$K:$K)&amp;"元以旧换新（可无旧机换新）","")))</f>
        <v/>
      </c>
      <c r="K321" s="18" t="str">
        <f t="array" ref="K321">IF(C321="","",IF(_xlfn.XLOOKUP(A321&amp;B321&amp;C321,盘货信息!$A:$A&amp;盘货信息!$B:$B&amp;盘货信息!$C:$C,盘货信息!$L:$L)="","",_xlfn.XLOOKUP(A321&amp;B321&amp;C321,盘货信息!$A:$A&amp;盘货信息!$B:$B&amp;盘货信息!$C:$C,盘货信息!$L:$L)&amp;"元限时补贴"))</f>
        <v/>
      </c>
      <c r="L321" s="18" t="str">
        <f t="array" ref="L321">IF(C321="","",IF(_xlfn.XLOOKUP(A321&amp;B321&amp;C321,盘货信息!$A:$A&amp;盘货信息!$B:$B&amp;盘货信息!$C:$C,盘货信息!$M:$M)="","",_xlfn.XLOOKUP(A321&amp;B321&amp;C321,盘货信息!$A:$A&amp;盘货信息!$B:$B&amp;盘货信息!$C:$C,盘货信息!$M:$M)&amp;"元消费券"))</f>
        <v/>
      </c>
      <c r="M321" s="18" t="str">
        <f t="array" ref="M321">IF(C321="","",IF(_xlfn.XLOOKUP(A321&amp;B321&amp;C321,盘货信息!$A:$A&amp;盘货信息!$B:$B&amp;盘货信息!$C:$C,盘货信息!$G:$G)="不参加","","焕新补贴优惠【全民可用，不限地址】"))</f>
        <v/>
      </c>
    </row>
    <row r="322" customHeight="1" spans="1:13">
      <c r="A322" s="17" t="str">
        <f>IF(盘货信息!A322="","",盘货信息!A322)</f>
        <v/>
      </c>
      <c r="B322" s="17" t="str">
        <f>IF(盘货信息!B322="","",盘货信息!B322)</f>
        <v/>
      </c>
      <c r="C322" s="18" t="str">
        <f>IF(盘货信息!C322="","",盘货信息!C322)</f>
        <v/>
      </c>
      <c r="D322" s="18" t="str">
        <f t="shared" ref="D322:D385" si="5">IF(C322="","",E322&amp;"="&amp;F322&amp;IF(G322="","","-"&amp;G322)&amp;IF(H322="","","-"&amp;H322)&amp;IF(I322="","","-"&amp;I322)&amp;IF(J322="","","-"&amp;J322)&amp;IF(K322="","","-"&amp;K322)&amp;IF(L322="","","-"&amp;L322)&amp;IF(M322="","","-"&amp;M322))</f>
        <v/>
      </c>
      <c r="E322" s="18" t="str">
        <f t="array" ref="E322">IF(C322="","",IF(_xlfn.XLOOKUP(A322&amp;B322&amp;C322,盘货信息!$A:$A&amp;盘货信息!$B:$B&amp;盘货信息!$C:$C,盘货信息!$N:$N)="","【立减到手价"&amp;_xlfn.XLOOKUP(A322&amp;B322&amp;C322,盘货信息!$A:$A&amp;盘货信息!$B:$B&amp;盘货信息!$C:$C,盘货信息!$F:$F)&amp;"元】","【焕新补贴预估价"&amp;_xlfn.XLOOKUP(A322&amp;B322&amp;C322,盘货信息!$A:$A&amp;盘货信息!$B:$B&amp;盘货信息!$C:$C,盘货信息!$N:$N)&amp;"元】"))</f>
        <v/>
      </c>
      <c r="F322" s="18" t="str">
        <f t="array" ref="F322">IF(C322="","",_xlfn.XLOOKUP(A322&amp;B322&amp;C322,盘货信息!$A:$A&amp;盘货信息!$B:$B&amp;盘货信息!$C:$C,盘货信息!$E:$E)&amp;"元到手价")</f>
        <v/>
      </c>
      <c r="G322" s="18" t="str">
        <f t="array" ref="G322">IF(C322="","",IF(_xlfn.XLOOKUP(A322&amp;B322&amp;C322,盘货信息!$A:$A&amp;盘货信息!$B:$B&amp;盘货信息!$C:$C,盘货信息!$I:$I)="","","88VIP95折"))</f>
        <v/>
      </c>
      <c r="H322" s="18" t="str">
        <f t="array" ref="H322">IF(C322="","",IF(_xlfn.XLOOKUP(A322&amp;B322&amp;C322,盘货信息!$A:$A&amp;盘货信息!$B:$B&amp;盘货信息!$C:$C,盘货信息!$J:$J)="","",_xlfn.XLOOKUP(A322&amp;B322&amp;C322,盘货信息!$A:$A&amp;盘货信息!$B:$B&amp;盘货信息!$C:$C,盘货信息!$J:$J)&amp;"元优惠卷"))</f>
        <v/>
      </c>
      <c r="I322" s="18" t="str">
        <f t="array" ref="I322">IF(C322="","",IF(_xlfn.XLOOKUP(A322&amp;B322&amp;C322,盘货信息!$A:$A&amp;盘货信息!$B:$B&amp;盘货信息!$C:$C,盘货信息!$R:$R)="","",_xlfn.XLOOKUP(A322&amp;B322&amp;C322,盘货信息!$A:$A&amp;盘货信息!$B:$B&amp;盘货信息!$C:$C,盘货信息!$R:$R)&amp;"元优惠卷"))</f>
        <v/>
      </c>
      <c r="J322" s="18" t="str">
        <f t="array" ref="J322">IF(C322="","",IF(_xlfn.XLOOKUP(A322&amp;B322&amp;C322,盘货信息!$A:$A&amp;盘货信息!$B:$B&amp;盘货信息!$C:$C,盘货信息!$K:$K)="","",IF(OR(_xlfn.XLOOKUP(A322&amp;B322&amp;C322,盘货信息!$A:$A&amp;盘货信息!$B:$B&amp;盘货信息!$C:$C,盘货信息!$G:$G)="参加",_xlfn.XLOOKUP(A322&amp;B322&amp;C322,盘货信息!$A:$A&amp;盘货信息!$B:$B&amp;盘货信息!$C:$C,盘货信息!$H:$H)="1（纯自补）"),_xlfn.XLOOKUP(A322&amp;B322&amp;C322,盘货信息!$A:$A&amp;盘货信息!$B:$B&amp;盘货信息!$C:$C,盘货信息!$K:$K)&amp;"元以旧换新（可无旧机换新）","")))</f>
        <v/>
      </c>
      <c r="K322" s="18" t="str">
        <f t="array" ref="K322">IF(C322="","",IF(_xlfn.XLOOKUP(A322&amp;B322&amp;C322,盘货信息!$A:$A&amp;盘货信息!$B:$B&amp;盘货信息!$C:$C,盘货信息!$L:$L)="","",_xlfn.XLOOKUP(A322&amp;B322&amp;C322,盘货信息!$A:$A&amp;盘货信息!$B:$B&amp;盘货信息!$C:$C,盘货信息!$L:$L)&amp;"元限时补贴"))</f>
        <v/>
      </c>
      <c r="L322" s="18" t="str">
        <f t="array" ref="L322">IF(C322="","",IF(_xlfn.XLOOKUP(A322&amp;B322&amp;C322,盘货信息!$A:$A&amp;盘货信息!$B:$B&amp;盘货信息!$C:$C,盘货信息!$M:$M)="","",_xlfn.XLOOKUP(A322&amp;B322&amp;C322,盘货信息!$A:$A&amp;盘货信息!$B:$B&amp;盘货信息!$C:$C,盘货信息!$M:$M)&amp;"元消费券"))</f>
        <v/>
      </c>
      <c r="M322" s="18" t="str">
        <f t="array" ref="M322">IF(C322="","",IF(_xlfn.XLOOKUP(A322&amp;B322&amp;C322,盘货信息!$A:$A&amp;盘货信息!$B:$B&amp;盘货信息!$C:$C,盘货信息!$G:$G)="不参加","","焕新补贴优惠【全民可用，不限地址】"))</f>
        <v/>
      </c>
    </row>
    <row r="323" customHeight="1" spans="1:13">
      <c r="A323" s="17" t="str">
        <f>IF(盘货信息!A323="","",盘货信息!A323)</f>
        <v/>
      </c>
      <c r="B323" s="17" t="str">
        <f>IF(盘货信息!B323="","",盘货信息!B323)</f>
        <v/>
      </c>
      <c r="C323" s="18" t="str">
        <f>IF(盘货信息!C323="","",盘货信息!C323)</f>
        <v/>
      </c>
      <c r="D323" s="18" t="str">
        <f t="shared" si="5"/>
        <v/>
      </c>
      <c r="E323" s="18" t="str">
        <f t="array" ref="E323">IF(C323="","",IF(_xlfn.XLOOKUP(A323&amp;B323&amp;C323,盘货信息!$A:$A&amp;盘货信息!$B:$B&amp;盘货信息!$C:$C,盘货信息!$N:$N)="","【立减到手价"&amp;_xlfn.XLOOKUP(A323&amp;B323&amp;C323,盘货信息!$A:$A&amp;盘货信息!$B:$B&amp;盘货信息!$C:$C,盘货信息!$F:$F)&amp;"元】","【焕新补贴预估价"&amp;_xlfn.XLOOKUP(A323&amp;B323&amp;C323,盘货信息!$A:$A&amp;盘货信息!$B:$B&amp;盘货信息!$C:$C,盘货信息!$N:$N)&amp;"元】"))</f>
        <v/>
      </c>
      <c r="F323" s="18" t="str">
        <f t="array" ref="F323">IF(C323="","",_xlfn.XLOOKUP(A323&amp;B323&amp;C323,盘货信息!$A:$A&amp;盘货信息!$B:$B&amp;盘货信息!$C:$C,盘货信息!$E:$E)&amp;"元到手价")</f>
        <v/>
      </c>
      <c r="G323" s="18" t="str">
        <f t="array" ref="G323">IF(C323="","",IF(_xlfn.XLOOKUP(A323&amp;B323&amp;C323,盘货信息!$A:$A&amp;盘货信息!$B:$B&amp;盘货信息!$C:$C,盘货信息!$I:$I)="","","88VIP95折"))</f>
        <v/>
      </c>
      <c r="H323" s="18" t="str">
        <f t="array" ref="H323">IF(C323="","",IF(_xlfn.XLOOKUP(A323&amp;B323&amp;C323,盘货信息!$A:$A&amp;盘货信息!$B:$B&amp;盘货信息!$C:$C,盘货信息!$J:$J)="","",_xlfn.XLOOKUP(A323&amp;B323&amp;C323,盘货信息!$A:$A&amp;盘货信息!$B:$B&amp;盘货信息!$C:$C,盘货信息!$J:$J)&amp;"元优惠卷"))</f>
        <v/>
      </c>
      <c r="I323" s="18" t="str">
        <f t="array" ref="I323">IF(C323="","",IF(_xlfn.XLOOKUP(A323&amp;B323&amp;C323,盘货信息!$A:$A&amp;盘货信息!$B:$B&amp;盘货信息!$C:$C,盘货信息!$R:$R)="","",_xlfn.XLOOKUP(A323&amp;B323&amp;C323,盘货信息!$A:$A&amp;盘货信息!$B:$B&amp;盘货信息!$C:$C,盘货信息!$R:$R)&amp;"元优惠卷"))</f>
        <v/>
      </c>
      <c r="J323" s="18" t="str">
        <f t="array" ref="J323">IF(C323="","",IF(_xlfn.XLOOKUP(A323&amp;B323&amp;C323,盘货信息!$A:$A&amp;盘货信息!$B:$B&amp;盘货信息!$C:$C,盘货信息!$K:$K)="","",IF(OR(_xlfn.XLOOKUP(A323&amp;B323&amp;C323,盘货信息!$A:$A&amp;盘货信息!$B:$B&amp;盘货信息!$C:$C,盘货信息!$G:$G)="参加",_xlfn.XLOOKUP(A323&amp;B323&amp;C323,盘货信息!$A:$A&amp;盘货信息!$B:$B&amp;盘货信息!$C:$C,盘货信息!$H:$H)="1（纯自补）"),_xlfn.XLOOKUP(A323&amp;B323&amp;C323,盘货信息!$A:$A&amp;盘货信息!$B:$B&amp;盘货信息!$C:$C,盘货信息!$K:$K)&amp;"元以旧换新（可无旧机换新）","")))</f>
        <v/>
      </c>
      <c r="K323" s="18" t="str">
        <f t="array" ref="K323">IF(C323="","",IF(_xlfn.XLOOKUP(A323&amp;B323&amp;C323,盘货信息!$A:$A&amp;盘货信息!$B:$B&amp;盘货信息!$C:$C,盘货信息!$L:$L)="","",_xlfn.XLOOKUP(A323&amp;B323&amp;C323,盘货信息!$A:$A&amp;盘货信息!$B:$B&amp;盘货信息!$C:$C,盘货信息!$L:$L)&amp;"元限时补贴"))</f>
        <v/>
      </c>
      <c r="L323" s="18" t="str">
        <f t="array" ref="L323">IF(C323="","",IF(_xlfn.XLOOKUP(A323&amp;B323&amp;C323,盘货信息!$A:$A&amp;盘货信息!$B:$B&amp;盘货信息!$C:$C,盘货信息!$M:$M)="","",_xlfn.XLOOKUP(A323&amp;B323&amp;C323,盘货信息!$A:$A&amp;盘货信息!$B:$B&amp;盘货信息!$C:$C,盘货信息!$M:$M)&amp;"元消费券"))</f>
        <v/>
      </c>
      <c r="M323" s="18" t="str">
        <f t="array" ref="M323">IF(C323="","",IF(_xlfn.XLOOKUP(A323&amp;B323&amp;C323,盘货信息!$A:$A&amp;盘货信息!$B:$B&amp;盘货信息!$C:$C,盘货信息!$G:$G)="不参加","","焕新补贴优惠【全民可用，不限地址】"))</f>
        <v/>
      </c>
    </row>
    <row r="324" customHeight="1" spans="1:13">
      <c r="A324" s="17" t="str">
        <f>IF(盘货信息!A324="","",盘货信息!A324)</f>
        <v/>
      </c>
      <c r="B324" s="17" t="str">
        <f>IF(盘货信息!B324="","",盘货信息!B324)</f>
        <v/>
      </c>
      <c r="C324" s="18" t="str">
        <f>IF(盘货信息!C324="","",盘货信息!C324)</f>
        <v/>
      </c>
      <c r="D324" s="18" t="str">
        <f t="shared" si="5"/>
        <v/>
      </c>
      <c r="E324" s="18" t="str">
        <f t="array" ref="E324">IF(C324="","",IF(_xlfn.XLOOKUP(A324&amp;B324&amp;C324,盘货信息!$A:$A&amp;盘货信息!$B:$B&amp;盘货信息!$C:$C,盘货信息!$N:$N)="","【立减到手价"&amp;_xlfn.XLOOKUP(A324&amp;B324&amp;C324,盘货信息!$A:$A&amp;盘货信息!$B:$B&amp;盘货信息!$C:$C,盘货信息!$F:$F)&amp;"元】","【焕新补贴预估价"&amp;_xlfn.XLOOKUP(A324&amp;B324&amp;C324,盘货信息!$A:$A&amp;盘货信息!$B:$B&amp;盘货信息!$C:$C,盘货信息!$N:$N)&amp;"元】"))</f>
        <v/>
      </c>
      <c r="F324" s="18" t="str">
        <f t="array" ref="F324">IF(C324="","",_xlfn.XLOOKUP(A324&amp;B324&amp;C324,盘货信息!$A:$A&amp;盘货信息!$B:$B&amp;盘货信息!$C:$C,盘货信息!$E:$E)&amp;"元到手价")</f>
        <v/>
      </c>
      <c r="G324" s="18" t="str">
        <f t="array" ref="G324">IF(C324="","",IF(_xlfn.XLOOKUP(A324&amp;B324&amp;C324,盘货信息!$A:$A&amp;盘货信息!$B:$B&amp;盘货信息!$C:$C,盘货信息!$I:$I)="","","88VIP95折"))</f>
        <v/>
      </c>
      <c r="H324" s="18" t="str">
        <f t="array" ref="H324">IF(C324="","",IF(_xlfn.XLOOKUP(A324&amp;B324&amp;C324,盘货信息!$A:$A&amp;盘货信息!$B:$B&amp;盘货信息!$C:$C,盘货信息!$J:$J)="","",_xlfn.XLOOKUP(A324&amp;B324&amp;C324,盘货信息!$A:$A&amp;盘货信息!$B:$B&amp;盘货信息!$C:$C,盘货信息!$J:$J)&amp;"元优惠卷"))</f>
        <v/>
      </c>
      <c r="I324" s="18" t="str">
        <f t="array" ref="I324">IF(C324="","",IF(_xlfn.XLOOKUP(A324&amp;B324&amp;C324,盘货信息!$A:$A&amp;盘货信息!$B:$B&amp;盘货信息!$C:$C,盘货信息!$R:$R)="","",_xlfn.XLOOKUP(A324&amp;B324&amp;C324,盘货信息!$A:$A&amp;盘货信息!$B:$B&amp;盘货信息!$C:$C,盘货信息!$R:$R)&amp;"元优惠卷"))</f>
        <v/>
      </c>
      <c r="J324" s="18" t="str">
        <f t="array" ref="J324">IF(C324="","",IF(_xlfn.XLOOKUP(A324&amp;B324&amp;C324,盘货信息!$A:$A&amp;盘货信息!$B:$B&amp;盘货信息!$C:$C,盘货信息!$K:$K)="","",IF(OR(_xlfn.XLOOKUP(A324&amp;B324&amp;C324,盘货信息!$A:$A&amp;盘货信息!$B:$B&amp;盘货信息!$C:$C,盘货信息!$G:$G)="参加",_xlfn.XLOOKUP(A324&amp;B324&amp;C324,盘货信息!$A:$A&amp;盘货信息!$B:$B&amp;盘货信息!$C:$C,盘货信息!$H:$H)="1（纯自补）"),_xlfn.XLOOKUP(A324&amp;B324&amp;C324,盘货信息!$A:$A&amp;盘货信息!$B:$B&amp;盘货信息!$C:$C,盘货信息!$K:$K)&amp;"元以旧换新（可无旧机换新）","")))</f>
        <v/>
      </c>
      <c r="K324" s="18" t="str">
        <f t="array" ref="K324">IF(C324="","",IF(_xlfn.XLOOKUP(A324&amp;B324&amp;C324,盘货信息!$A:$A&amp;盘货信息!$B:$B&amp;盘货信息!$C:$C,盘货信息!$L:$L)="","",_xlfn.XLOOKUP(A324&amp;B324&amp;C324,盘货信息!$A:$A&amp;盘货信息!$B:$B&amp;盘货信息!$C:$C,盘货信息!$L:$L)&amp;"元限时补贴"))</f>
        <v/>
      </c>
      <c r="L324" s="18" t="str">
        <f t="array" ref="L324">IF(C324="","",IF(_xlfn.XLOOKUP(A324&amp;B324&amp;C324,盘货信息!$A:$A&amp;盘货信息!$B:$B&amp;盘货信息!$C:$C,盘货信息!$M:$M)="","",_xlfn.XLOOKUP(A324&amp;B324&amp;C324,盘货信息!$A:$A&amp;盘货信息!$B:$B&amp;盘货信息!$C:$C,盘货信息!$M:$M)&amp;"元消费券"))</f>
        <v/>
      </c>
      <c r="M324" s="18" t="str">
        <f t="array" ref="M324">IF(C324="","",IF(_xlfn.XLOOKUP(A324&amp;B324&amp;C324,盘货信息!$A:$A&amp;盘货信息!$B:$B&amp;盘货信息!$C:$C,盘货信息!$G:$G)="不参加","","焕新补贴优惠【全民可用，不限地址】"))</f>
        <v/>
      </c>
    </row>
    <row r="325" customHeight="1" spans="1:13">
      <c r="A325" s="17" t="str">
        <f>IF(盘货信息!A325="","",盘货信息!A325)</f>
        <v/>
      </c>
      <c r="B325" s="17" t="str">
        <f>IF(盘货信息!B325="","",盘货信息!B325)</f>
        <v/>
      </c>
      <c r="C325" s="18" t="str">
        <f>IF(盘货信息!C325="","",盘货信息!C325)</f>
        <v/>
      </c>
      <c r="D325" s="18" t="str">
        <f t="shared" si="5"/>
        <v/>
      </c>
      <c r="E325" s="18" t="str">
        <f t="array" ref="E325">IF(C325="","",IF(_xlfn.XLOOKUP(A325&amp;B325&amp;C325,盘货信息!$A:$A&amp;盘货信息!$B:$B&amp;盘货信息!$C:$C,盘货信息!$N:$N)="","【立减到手价"&amp;_xlfn.XLOOKUP(A325&amp;B325&amp;C325,盘货信息!$A:$A&amp;盘货信息!$B:$B&amp;盘货信息!$C:$C,盘货信息!$F:$F)&amp;"元】","【焕新补贴预估价"&amp;_xlfn.XLOOKUP(A325&amp;B325&amp;C325,盘货信息!$A:$A&amp;盘货信息!$B:$B&amp;盘货信息!$C:$C,盘货信息!$N:$N)&amp;"元】"))</f>
        <v/>
      </c>
      <c r="F325" s="18" t="str">
        <f t="array" ref="F325">IF(C325="","",_xlfn.XLOOKUP(A325&amp;B325&amp;C325,盘货信息!$A:$A&amp;盘货信息!$B:$B&amp;盘货信息!$C:$C,盘货信息!$E:$E)&amp;"元到手价")</f>
        <v/>
      </c>
      <c r="G325" s="18" t="str">
        <f t="array" ref="G325">IF(C325="","",IF(_xlfn.XLOOKUP(A325&amp;B325&amp;C325,盘货信息!$A:$A&amp;盘货信息!$B:$B&amp;盘货信息!$C:$C,盘货信息!$I:$I)="","","88VIP95折"))</f>
        <v/>
      </c>
      <c r="H325" s="18" t="str">
        <f t="array" ref="H325">IF(C325="","",IF(_xlfn.XLOOKUP(A325&amp;B325&amp;C325,盘货信息!$A:$A&amp;盘货信息!$B:$B&amp;盘货信息!$C:$C,盘货信息!$J:$J)="","",_xlfn.XLOOKUP(A325&amp;B325&amp;C325,盘货信息!$A:$A&amp;盘货信息!$B:$B&amp;盘货信息!$C:$C,盘货信息!$J:$J)&amp;"元优惠卷"))</f>
        <v/>
      </c>
      <c r="I325" s="18" t="str">
        <f t="array" ref="I325">IF(C325="","",IF(_xlfn.XLOOKUP(A325&amp;B325&amp;C325,盘货信息!$A:$A&amp;盘货信息!$B:$B&amp;盘货信息!$C:$C,盘货信息!$R:$R)="","",_xlfn.XLOOKUP(A325&amp;B325&amp;C325,盘货信息!$A:$A&amp;盘货信息!$B:$B&amp;盘货信息!$C:$C,盘货信息!$R:$R)&amp;"元优惠卷"))</f>
        <v/>
      </c>
      <c r="J325" s="18" t="str">
        <f t="array" ref="J325">IF(C325="","",IF(_xlfn.XLOOKUP(A325&amp;B325&amp;C325,盘货信息!$A:$A&amp;盘货信息!$B:$B&amp;盘货信息!$C:$C,盘货信息!$K:$K)="","",IF(OR(_xlfn.XLOOKUP(A325&amp;B325&amp;C325,盘货信息!$A:$A&amp;盘货信息!$B:$B&amp;盘货信息!$C:$C,盘货信息!$G:$G)="参加",_xlfn.XLOOKUP(A325&amp;B325&amp;C325,盘货信息!$A:$A&amp;盘货信息!$B:$B&amp;盘货信息!$C:$C,盘货信息!$H:$H)="1（纯自补）"),_xlfn.XLOOKUP(A325&amp;B325&amp;C325,盘货信息!$A:$A&amp;盘货信息!$B:$B&amp;盘货信息!$C:$C,盘货信息!$K:$K)&amp;"元以旧换新（可无旧机换新）","")))</f>
        <v/>
      </c>
      <c r="K325" s="18" t="str">
        <f t="array" ref="K325">IF(C325="","",IF(_xlfn.XLOOKUP(A325&amp;B325&amp;C325,盘货信息!$A:$A&amp;盘货信息!$B:$B&amp;盘货信息!$C:$C,盘货信息!$L:$L)="","",_xlfn.XLOOKUP(A325&amp;B325&amp;C325,盘货信息!$A:$A&amp;盘货信息!$B:$B&amp;盘货信息!$C:$C,盘货信息!$L:$L)&amp;"元限时补贴"))</f>
        <v/>
      </c>
      <c r="L325" s="18" t="str">
        <f t="array" ref="L325">IF(C325="","",IF(_xlfn.XLOOKUP(A325&amp;B325&amp;C325,盘货信息!$A:$A&amp;盘货信息!$B:$B&amp;盘货信息!$C:$C,盘货信息!$M:$M)="","",_xlfn.XLOOKUP(A325&amp;B325&amp;C325,盘货信息!$A:$A&amp;盘货信息!$B:$B&amp;盘货信息!$C:$C,盘货信息!$M:$M)&amp;"元消费券"))</f>
        <v/>
      </c>
      <c r="M325" s="18" t="str">
        <f t="array" ref="M325">IF(C325="","",IF(_xlfn.XLOOKUP(A325&amp;B325&amp;C325,盘货信息!$A:$A&amp;盘货信息!$B:$B&amp;盘货信息!$C:$C,盘货信息!$G:$G)="不参加","","焕新补贴优惠【全民可用，不限地址】"))</f>
        <v/>
      </c>
    </row>
    <row r="326" customHeight="1" spans="1:13">
      <c r="A326" s="17" t="str">
        <f>IF(盘货信息!A326="","",盘货信息!A326)</f>
        <v/>
      </c>
      <c r="B326" s="17" t="str">
        <f>IF(盘货信息!B326="","",盘货信息!B326)</f>
        <v/>
      </c>
      <c r="C326" s="18" t="str">
        <f>IF(盘货信息!C326="","",盘货信息!C326)</f>
        <v/>
      </c>
      <c r="D326" s="18" t="str">
        <f t="shared" si="5"/>
        <v/>
      </c>
      <c r="E326" s="18" t="str">
        <f t="array" ref="E326">IF(C326="","",IF(_xlfn.XLOOKUP(A326&amp;B326&amp;C326,盘货信息!$A:$A&amp;盘货信息!$B:$B&amp;盘货信息!$C:$C,盘货信息!$N:$N)="","【立减到手价"&amp;_xlfn.XLOOKUP(A326&amp;B326&amp;C326,盘货信息!$A:$A&amp;盘货信息!$B:$B&amp;盘货信息!$C:$C,盘货信息!$F:$F)&amp;"元】","【焕新补贴预估价"&amp;_xlfn.XLOOKUP(A326&amp;B326&amp;C326,盘货信息!$A:$A&amp;盘货信息!$B:$B&amp;盘货信息!$C:$C,盘货信息!$N:$N)&amp;"元】"))</f>
        <v/>
      </c>
      <c r="F326" s="18" t="str">
        <f t="array" ref="F326">IF(C326="","",_xlfn.XLOOKUP(A326&amp;B326&amp;C326,盘货信息!$A:$A&amp;盘货信息!$B:$B&amp;盘货信息!$C:$C,盘货信息!$E:$E)&amp;"元到手价")</f>
        <v/>
      </c>
      <c r="G326" s="18" t="str">
        <f t="array" ref="G326">IF(C326="","",IF(_xlfn.XLOOKUP(A326&amp;B326&amp;C326,盘货信息!$A:$A&amp;盘货信息!$B:$B&amp;盘货信息!$C:$C,盘货信息!$I:$I)="","","88VIP95折"))</f>
        <v/>
      </c>
      <c r="H326" s="18" t="str">
        <f t="array" ref="H326">IF(C326="","",IF(_xlfn.XLOOKUP(A326&amp;B326&amp;C326,盘货信息!$A:$A&amp;盘货信息!$B:$B&amp;盘货信息!$C:$C,盘货信息!$J:$J)="","",_xlfn.XLOOKUP(A326&amp;B326&amp;C326,盘货信息!$A:$A&amp;盘货信息!$B:$B&amp;盘货信息!$C:$C,盘货信息!$J:$J)&amp;"元优惠卷"))</f>
        <v/>
      </c>
      <c r="I326" s="18" t="str">
        <f t="array" ref="I326">IF(C326="","",IF(_xlfn.XLOOKUP(A326&amp;B326&amp;C326,盘货信息!$A:$A&amp;盘货信息!$B:$B&amp;盘货信息!$C:$C,盘货信息!$R:$R)="","",_xlfn.XLOOKUP(A326&amp;B326&amp;C326,盘货信息!$A:$A&amp;盘货信息!$B:$B&amp;盘货信息!$C:$C,盘货信息!$R:$R)&amp;"元优惠卷"))</f>
        <v/>
      </c>
      <c r="J326" s="18" t="str">
        <f t="array" ref="J326">IF(C326="","",IF(_xlfn.XLOOKUP(A326&amp;B326&amp;C326,盘货信息!$A:$A&amp;盘货信息!$B:$B&amp;盘货信息!$C:$C,盘货信息!$K:$K)="","",IF(OR(_xlfn.XLOOKUP(A326&amp;B326&amp;C326,盘货信息!$A:$A&amp;盘货信息!$B:$B&amp;盘货信息!$C:$C,盘货信息!$G:$G)="参加",_xlfn.XLOOKUP(A326&amp;B326&amp;C326,盘货信息!$A:$A&amp;盘货信息!$B:$B&amp;盘货信息!$C:$C,盘货信息!$H:$H)="1（纯自补）"),_xlfn.XLOOKUP(A326&amp;B326&amp;C326,盘货信息!$A:$A&amp;盘货信息!$B:$B&amp;盘货信息!$C:$C,盘货信息!$K:$K)&amp;"元以旧换新（可无旧机换新）","")))</f>
        <v/>
      </c>
      <c r="K326" s="18" t="str">
        <f t="array" ref="K326">IF(C326="","",IF(_xlfn.XLOOKUP(A326&amp;B326&amp;C326,盘货信息!$A:$A&amp;盘货信息!$B:$B&amp;盘货信息!$C:$C,盘货信息!$L:$L)="","",_xlfn.XLOOKUP(A326&amp;B326&amp;C326,盘货信息!$A:$A&amp;盘货信息!$B:$B&amp;盘货信息!$C:$C,盘货信息!$L:$L)&amp;"元限时补贴"))</f>
        <v/>
      </c>
      <c r="L326" s="18" t="str">
        <f t="array" ref="L326">IF(C326="","",IF(_xlfn.XLOOKUP(A326&amp;B326&amp;C326,盘货信息!$A:$A&amp;盘货信息!$B:$B&amp;盘货信息!$C:$C,盘货信息!$M:$M)="","",_xlfn.XLOOKUP(A326&amp;B326&amp;C326,盘货信息!$A:$A&amp;盘货信息!$B:$B&amp;盘货信息!$C:$C,盘货信息!$M:$M)&amp;"元消费券"))</f>
        <v/>
      </c>
      <c r="M326" s="18" t="str">
        <f t="array" ref="M326">IF(C326="","",IF(_xlfn.XLOOKUP(A326&amp;B326&amp;C326,盘货信息!$A:$A&amp;盘货信息!$B:$B&amp;盘货信息!$C:$C,盘货信息!$G:$G)="不参加","","焕新补贴优惠【全民可用，不限地址】"))</f>
        <v/>
      </c>
    </row>
    <row r="327" customHeight="1" spans="1:13">
      <c r="A327" s="17" t="str">
        <f>IF(盘货信息!A327="","",盘货信息!A327)</f>
        <v/>
      </c>
      <c r="B327" s="17" t="str">
        <f>IF(盘货信息!B327="","",盘货信息!B327)</f>
        <v/>
      </c>
      <c r="C327" s="18" t="str">
        <f>IF(盘货信息!C327="","",盘货信息!C327)</f>
        <v/>
      </c>
      <c r="D327" s="18" t="str">
        <f t="shared" si="5"/>
        <v/>
      </c>
      <c r="E327" s="18" t="str">
        <f t="array" ref="E327">IF(C327="","",IF(_xlfn.XLOOKUP(A327&amp;B327&amp;C327,盘货信息!$A:$A&amp;盘货信息!$B:$B&amp;盘货信息!$C:$C,盘货信息!$N:$N)="","【立减到手价"&amp;_xlfn.XLOOKUP(A327&amp;B327&amp;C327,盘货信息!$A:$A&amp;盘货信息!$B:$B&amp;盘货信息!$C:$C,盘货信息!$F:$F)&amp;"元】","【焕新补贴预估价"&amp;_xlfn.XLOOKUP(A327&amp;B327&amp;C327,盘货信息!$A:$A&amp;盘货信息!$B:$B&amp;盘货信息!$C:$C,盘货信息!$N:$N)&amp;"元】"))</f>
        <v/>
      </c>
      <c r="F327" s="18" t="str">
        <f t="array" ref="F327">IF(C327="","",_xlfn.XLOOKUP(A327&amp;B327&amp;C327,盘货信息!$A:$A&amp;盘货信息!$B:$B&amp;盘货信息!$C:$C,盘货信息!$E:$E)&amp;"元到手价")</f>
        <v/>
      </c>
      <c r="G327" s="18" t="str">
        <f t="array" ref="G327">IF(C327="","",IF(_xlfn.XLOOKUP(A327&amp;B327&amp;C327,盘货信息!$A:$A&amp;盘货信息!$B:$B&amp;盘货信息!$C:$C,盘货信息!$I:$I)="","","88VIP95折"))</f>
        <v/>
      </c>
      <c r="H327" s="18" t="str">
        <f t="array" ref="H327">IF(C327="","",IF(_xlfn.XLOOKUP(A327&amp;B327&amp;C327,盘货信息!$A:$A&amp;盘货信息!$B:$B&amp;盘货信息!$C:$C,盘货信息!$J:$J)="","",_xlfn.XLOOKUP(A327&amp;B327&amp;C327,盘货信息!$A:$A&amp;盘货信息!$B:$B&amp;盘货信息!$C:$C,盘货信息!$J:$J)&amp;"元优惠卷"))</f>
        <v/>
      </c>
      <c r="I327" s="18" t="str">
        <f t="array" ref="I327">IF(C327="","",IF(_xlfn.XLOOKUP(A327&amp;B327&amp;C327,盘货信息!$A:$A&amp;盘货信息!$B:$B&amp;盘货信息!$C:$C,盘货信息!$R:$R)="","",_xlfn.XLOOKUP(A327&amp;B327&amp;C327,盘货信息!$A:$A&amp;盘货信息!$B:$B&amp;盘货信息!$C:$C,盘货信息!$R:$R)&amp;"元优惠卷"))</f>
        <v/>
      </c>
      <c r="J327" s="18" t="str">
        <f t="array" ref="J327">IF(C327="","",IF(_xlfn.XLOOKUP(A327&amp;B327&amp;C327,盘货信息!$A:$A&amp;盘货信息!$B:$B&amp;盘货信息!$C:$C,盘货信息!$K:$K)="","",IF(OR(_xlfn.XLOOKUP(A327&amp;B327&amp;C327,盘货信息!$A:$A&amp;盘货信息!$B:$B&amp;盘货信息!$C:$C,盘货信息!$G:$G)="参加",_xlfn.XLOOKUP(A327&amp;B327&amp;C327,盘货信息!$A:$A&amp;盘货信息!$B:$B&amp;盘货信息!$C:$C,盘货信息!$H:$H)="1（纯自补）"),_xlfn.XLOOKUP(A327&amp;B327&amp;C327,盘货信息!$A:$A&amp;盘货信息!$B:$B&amp;盘货信息!$C:$C,盘货信息!$K:$K)&amp;"元以旧换新（可无旧机换新）","")))</f>
        <v/>
      </c>
      <c r="K327" s="18" t="str">
        <f t="array" ref="K327">IF(C327="","",IF(_xlfn.XLOOKUP(A327&amp;B327&amp;C327,盘货信息!$A:$A&amp;盘货信息!$B:$B&amp;盘货信息!$C:$C,盘货信息!$L:$L)="","",_xlfn.XLOOKUP(A327&amp;B327&amp;C327,盘货信息!$A:$A&amp;盘货信息!$B:$B&amp;盘货信息!$C:$C,盘货信息!$L:$L)&amp;"元限时补贴"))</f>
        <v/>
      </c>
      <c r="L327" s="18" t="str">
        <f t="array" ref="L327">IF(C327="","",IF(_xlfn.XLOOKUP(A327&amp;B327&amp;C327,盘货信息!$A:$A&amp;盘货信息!$B:$B&amp;盘货信息!$C:$C,盘货信息!$M:$M)="","",_xlfn.XLOOKUP(A327&amp;B327&amp;C327,盘货信息!$A:$A&amp;盘货信息!$B:$B&amp;盘货信息!$C:$C,盘货信息!$M:$M)&amp;"元消费券"))</f>
        <v/>
      </c>
      <c r="M327" s="18" t="str">
        <f t="array" ref="M327">IF(C327="","",IF(_xlfn.XLOOKUP(A327&amp;B327&amp;C327,盘货信息!$A:$A&amp;盘货信息!$B:$B&amp;盘货信息!$C:$C,盘货信息!$G:$G)="不参加","","焕新补贴优惠【全民可用，不限地址】"))</f>
        <v/>
      </c>
    </row>
    <row r="328" customHeight="1" spans="1:13">
      <c r="A328" s="17" t="str">
        <f>IF(盘货信息!A328="","",盘货信息!A328)</f>
        <v/>
      </c>
      <c r="B328" s="17" t="str">
        <f>IF(盘货信息!B328="","",盘货信息!B328)</f>
        <v/>
      </c>
      <c r="C328" s="18" t="str">
        <f>IF(盘货信息!C328="","",盘货信息!C328)</f>
        <v/>
      </c>
      <c r="D328" s="18" t="str">
        <f t="shared" si="5"/>
        <v/>
      </c>
      <c r="E328" s="18" t="str">
        <f t="array" ref="E328">IF(C328="","",IF(_xlfn.XLOOKUP(A328&amp;B328&amp;C328,盘货信息!$A:$A&amp;盘货信息!$B:$B&amp;盘货信息!$C:$C,盘货信息!$N:$N)="","【立减到手价"&amp;_xlfn.XLOOKUP(A328&amp;B328&amp;C328,盘货信息!$A:$A&amp;盘货信息!$B:$B&amp;盘货信息!$C:$C,盘货信息!$F:$F)&amp;"元】","【焕新补贴预估价"&amp;_xlfn.XLOOKUP(A328&amp;B328&amp;C328,盘货信息!$A:$A&amp;盘货信息!$B:$B&amp;盘货信息!$C:$C,盘货信息!$N:$N)&amp;"元】"))</f>
        <v/>
      </c>
      <c r="F328" s="18" t="str">
        <f t="array" ref="F328">IF(C328="","",_xlfn.XLOOKUP(A328&amp;B328&amp;C328,盘货信息!$A:$A&amp;盘货信息!$B:$B&amp;盘货信息!$C:$C,盘货信息!$E:$E)&amp;"元到手价")</f>
        <v/>
      </c>
      <c r="G328" s="18" t="str">
        <f t="array" ref="G328">IF(C328="","",IF(_xlfn.XLOOKUP(A328&amp;B328&amp;C328,盘货信息!$A:$A&amp;盘货信息!$B:$B&amp;盘货信息!$C:$C,盘货信息!$I:$I)="","","88VIP95折"))</f>
        <v/>
      </c>
      <c r="H328" s="18" t="str">
        <f t="array" ref="H328">IF(C328="","",IF(_xlfn.XLOOKUP(A328&amp;B328&amp;C328,盘货信息!$A:$A&amp;盘货信息!$B:$B&amp;盘货信息!$C:$C,盘货信息!$J:$J)="","",_xlfn.XLOOKUP(A328&amp;B328&amp;C328,盘货信息!$A:$A&amp;盘货信息!$B:$B&amp;盘货信息!$C:$C,盘货信息!$J:$J)&amp;"元优惠卷"))</f>
        <v/>
      </c>
      <c r="I328" s="18" t="str">
        <f t="array" ref="I328">IF(C328="","",IF(_xlfn.XLOOKUP(A328&amp;B328&amp;C328,盘货信息!$A:$A&amp;盘货信息!$B:$B&amp;盘货信息!$C:$C,盘货信息!$R:$R)="","",_xlfn.XLOOKUP(A328&amp;B328&amp;C328,盘货信息!$A:$A&amp;盘货信息!$B:$B&amp;盘货信息!$C:$C,盘货信息!$R:$R)&amp;"元优惠卷"))</f>
        <v/>
      </c>
      <c r="J328" s="18" t="str">
        <f t="array" ref="J328">IF(C328="","",IF(_xlfn.XLOOKUP(A328&amp;B328&amp;C328,盘货信息!$A:$A&amp;盘货信息!$B:$B&amp;盘货信息!$C:$C,盘货信息!$K:$K)="","",IF(OR(_xlfn.XLOOKUP(A328&amp;B328&amp;C328,盘货信息!$A:$A&amp;盘货信息!$B:$B&amp;盘货信息!$C:$C,盘货信息!$G:$G)="参加",_xlfn.XLOOKUP(A328&amp;B328&amp;C328,盘货信息!$A:$A&amp;盘货信息!$B:$B&amp;盘货信息!$C:$C,盘货信息!$H:$H)="1（纯自补）"),_xlfn.XLOOKUP(A328&amp;B328&amp;C328,盘货信息!$A:$A&amp;盘货信息!$B:$B&amp;盘货信息!$C:$C,盘货信息!$K:$K)&amp;"元以旧换新（可无旧机换新）","")))</f>
        <v/>
      </c>
      <c r="K328" s="18" t="str">
        <f t="array" ref="K328">IF(C328="","",IF(_xlfn.XLOOKUP(A328&amp;B328&amp;C328,盘货信息!$A:$A&amp;盘货信息!$B:$B&amp;盘货信息!$C:$C,盘货信息!$L:$L)="","",_xlfn.XLOOKUP(A328&amp;B328&amp;C328,盘货信息!$A:$A&amp;盘货信息!$B:$B&amp;盘货信息!$C:$C,盘货信息!$L:$L)&amp;"元限时补贴"))</f>
        <v/>
      </c>
      <c r="L328" s="18" t="str">
        <f t="array" ref="L328">IF(C328="","",IF(_xlfn.XLOOKUP(A328&amp;B328&amp;C328,盘货信息!$A:$A&amp;盘货信息!$B:$B&amp;盘货信息!$C:$C,盘货信息!$M:$M)="","",_xlfn.XLOOKUP(A328&amp;B328&amp;C328,盘货信息!$A:$A&amp;盘货信息!$B:$B&amp;盘货信息!$C:$C,盘货信息!$M:$M)&amp;"元消费券"))</f>
        <v/>
      </c>
      <c r="M328" s="18" t="str">
        <f t="array" ref="M328">IF(C328="","",IF(_xlfn.XLOOKUP(A328&amp;B328&amp;C328,盘货信息!$A:$A&amp;盘货信息!$B:$B&amp;盘货信息!$C:$C,盘货信息!$G:$G)="不参加","","焕新补贴优惠【全民可用，不限地址】"))</f>
        <v/>
      </c>
    </row>
    <row r="329" customHeight="1" spans="1:13">
      <c r="A329" s="17" t="str">
        <f>IF(盘货信息!A329="","",盘货信息!A329)</f>
        <v/>
      </c>
      <c r="B329" s="17" t="str">
        <f>IF(盘货信息!B329="","",盘货信息!B329)</f>
        <v/>
      </c>
      <c r="C329" s="18" t="str">
        <f>IF(盘货信息!C329="","",盘货信息!C329)</f>
        <v/>
      </c>
      <c r="D329" s="18" t="str">
        <f t="shared" si="5"/>
        <v/>
      </c>
      <c r="E329" s="18" t="str">
        <f t="array" ref="E329">IF(C329="","",IF(_xlfn.XLOOKUP(A329&amp;B329&amp;C329,盘货信息!$A:$A&amp;盘货信息!$B:$B&amp;盘货信息!$C:$C,盘货信息!$N:$N)="","【立减到手价"&amp;_xlfn.XLOOKUP(A329&amp;B329&amp;C329,盘货信息!$A:$A&amp;盘货信息!$B:$B&amp;盘货信息!$C:$C,盘货信息!$F:$F)&amp;"元】","【焕新补贴预估价"&amp;_xlfn.XLOOKUP(A329&amp;B329&amp;C329,盘货信息!$A:$A&amp;盘货信息!$B:$B&amp;盘货信息!$C:$C,盘货信息!$N:$N)&amp;"元】"))</f>
        <v/>
      </c>
      <c r="F329" s="18" t="str">
        <f t="array" ref="F329">IF(C329="","",_xlfn.XLOOKUP(A329&amp;B329&amp;C329,盘货信息!$A:$A&amp;盘货信息!$B:$B&amp;盘货信息!$C:$C,盘货信息!$E:$E)&amp;"元到手价")</f>
        <v/>
      </c>
      <c r="G329" s="18" t="str">
        <f t="array" ref="G329">IF(C329="","",IF(_xlfn.XLOOKUP(A329&amp;B329&amp;C329,盘货信息!$A:$A&amp;盘货信息!$B:$B&amp;盘货信息!$C:$C,盘货信息!$I:$I)="","","88VIP95折"))</f>
        <v/>
      </c>
      <c r="H329" s="18" t="str">
        <f t="array" ref="H329">IF(C329="","",IF(_xlfn.XLOOKUP(A329&amp;B329&amp;C329,盘货信息!$A:$A&amp;盘货信息!$B:$B&amp;盘货信息!$C:$C,盘货信息!$J:$J)="","",_xlfn.XLOOKUP(A329&amp;B329&amp;C329,盘货信息!$A:$A&amp;盘货信息!$B:$B&amp;盘货信息!$C:$C,盘货信息!$J:$J)&amp;"元优惠卷"))</f>
        <v/>
      </c>
      <c r="I329" s="18" t="str">
        <f t="array" ref="I329">IF(C329="","",IF(_xlfn.XLOOKUP(A329&amp;B329&amp;C329,盘货信息!$A:$A&amp;盘货信息!$B:$B&amp;盘货信息!$C:$C,盘货信息!$R:$R)="","",_xlfn.XLOOKUP(A329&amp;B329&amp;C329,盘货信息!$A:$A&amp;盘货信息!$B:$B&amp;盘货信息!$C:$C,盘货信息!$R:$R)&amp;"元优惠卷"))</f>
        <v/>
      </c>
      <c r="J329" s="18" t="str">
        <f t="array" ref="J329">IF(C329="","",IF(_xlfn.XLOOKUP(A329&amp;B329&amp;C329,盘货信息!$A:$A&amp;盘货信息!$B:$B&amp;盘货信息!$C:$C,盘货信息!$K:$K)="","",IF(OR(_xlfn.XLOOKUP(A329&amp;B329&amp;C329,盘货信息!$A:$A&amp;盘货信息!$B:$B&amp;盘货信息!$C:$C,盘货信息!$G:$G)="参加",_xlfn.XLOOKUP(A329&amp;B329&amp;C329,盘货信息!$A:$A&amp;盘货信息!$B:$B&amp;盘货信息!$C:$C,盘货信息!$H:$H)="1（纯自补）"),_xlfn.XLOOKUP(A329&amp;B329&amp;C329,盘货信息!$A:$A&amp;盘货信息!$B:$B&amp;盘货信息!$C:$C,盘货信息!$K:$K)&amp;"元以旧换新（可无旧机换新）","")))</f>
        <v/>
      </c>
      <c r="K329" s="18" t="str">
        <f t="array" ref="K329">IF(C329="","",IF(_xlfn.XLOOKUP(A329&amp;B329&amp;C329,盘货信息!$A:$A&amp;盘货信息!$B:$B&amp;盘货信息!$C:$C,盘货信息!$L:$L)="","",_xlfn.XLOOKUP(A329&amp;B329&amp;C329,盘货信息!$A:$A&amp;盘货信息!$B:$B&amp;盘货信息!$C:$C,盘货信息!$L:$L)&amp;"元限时补贴"))</f>
        <v/>
      </c>
      <c r="L329" s="18" t="str">
        <f t="array" ref="L329">IF(C329="","",IF(_xlfn.XLOOKUP(A329&amp;B329&amp;C329,盘货信息!$A:$A&amp;盘货信息!$B:$B&amp;盘货信息!$C:$C,盘货信息!$M:$M)="","",_xlfn.XLOOKUP(A329&amp;B329&amp;C329,盘货信息!$A:$A&amp;盘货信息!$B:$B&amp;盘货信息!$C:$C,盘货信息!$M:$M)&amp;"元消费券"))</f>
        <v/>
      </c>
      <c r="M329" s="18" t="str">
        <f t="array" ref="M329">IF(C329="","",IF(_xlfn.XLOOKUP(A329&amp;B329&amp;C329,盘货信息!$A:$A&amp;盘货信息!$B:$B&amp;盘货信息!$C:$C,盘货信息!$G:$G)="不参加","","焕新补贴优惠【全民可用，不限地址】"))</f>
        <v/>
      </c>
    </row>
    <row r="330" customHeight="1" spans="1:13">
      <c r="A330" s="17" t="str">
        <f>IF(盘货信息!A330="","",盘货信息!A330)</f>
        <v/>
      </c>
      <c r="B330" s="17" t="str">
        <f>IF(盘货信息!B330="","",盘货信息!B330)</f>
        <v/>
      </c>
      <c r="C330" s="18" t="str">
        <f>IF(盘货信息!C330="","",盘货信息!C330)</f>
        <v/>
      </c>
      <c r="D330" s="18" t="str">
        <f t="shared" si="5"/>
        <v/>
      </c>
      <c r="E330" s="18" t="str">
        <f t="array" ref="E330">IF(C330="","",IF(_xlfn.XLOOKUP(A330&amp;B330&amp;C330,盘货信息!$A:$A&amp;盘货信息!$B:$B&amp;盘货信息!$C:$C,盘货信息!$N:$N)="","【立减到手价"&amp;_xlfn.XLOOKUP(A330&amp;B330&amp;C330,盘货信息!$A:$A&amp;盘货信息!$B:$B&amp;盘货信息!$C:$C,盘货信息!$F:$F)&amp;"元】","【焕新补贴预估价"&amp;_xlfn.XLOOKUP(A330&amp;B330&amp;C330,盘货信息!$A:$A&amp;盘货信息!$B:$B&amp;盘货信息!$C:$C,盘货信息!$N:$N)&amp;"元】"))</f>
        <v/>
      </c>
      <c r="F330" s="18" t="str">
        <f t="array" ref="F330">IF(C330="","",_xlfn.XLOOKUP(A330&amp;B330&amp;C330,盘货信息!$A:$A&amp;盘货信息!$B:$B&amp;盘货信息!$C:$C,盘货信息!$E:$E)&amp;"元到手价")</f>
        <v/>
      </c>
      <c r="G330" s="18" t="str">
        <f t="array" ref="G330">IF(C330="","",IF(_xlfn.XLOOKUP(A330&amp;B330&amp;C330,盘货信息!$A:$A&amp;盘货信息!$B:$B&amp;盘货信息!$C:$C,盘货信息!$I:$I)="","","88VIP95折"))</f>
        <v/>
      </c>
      <c r="H330" s="18" t="str">
        <f t="array" ref="H330">IF(C330="","",IF(_xlfn.XLOOKUP(A330&amp;B330&amp;C330,盘货信息!$A:$A&amp;盘货信息!$B:$B&amp;盘货信息!$C:$C,盘货信息!$J:$J)="","",_xlfn.XLOOKUP(A330&amp;B330&amp;C330,盘货信息!$A:$A&amp;盘货信息!$B:$B&amp;盘货信息!$C:$C,盘货信息!$J:$J)&amp;"元优惠卷"))</f>
        <v/>
      </c>
      <c r="I330" s="18" t="str">
        <f t="array" ref="I330">IF(C330="","",IF(_xlfn.XLOOKUP(A330&amp;B330&amp;C330,盘货信息!$A:$A&amp;盘货信息!$B:$B&amp;盘货信息!$C:$C,盘货信息!$R:$R)="","",_xlfn.XLOOKUP(A330&amp;B330&amp;C330,盘货信息!$A:$A&amp;盘货信息!$B:$B&amp;盘货信息!$C:$C,盘货信息!$R:$R)&amp;"元优惠卷"))</f>
        <v/>
      </c>
      <c r="J330" s="18" t="str">
        <f t="array" ref="J330">IF(C330="","",IF(_xlfn.XLOOKUP(A330&amp;B330&amp;C330,盘货信息!$A:$A&amp;盘货信息!$B:$B&amp;盘货信息!$C:$C,盘货信息!$K:$K)="","",IF(OR(_xlfn.XLOOKUP(A330&amp;B330&amp;C330,盘货信息!$A:$A&amp;盘货信息!$B:$B&amp;盘货信息!$C:$C,盘货信息!$G:$G)="参加",_xlfn.XLOOKUP(A330&amp;B330&amp;C330,盘货信息!$A:$A&amp;盘货信息!$B:$B&amp;盘货信息!$C:$C,盘货信息!$H:$H)="1（纯自补）"),_xlfn.XLOOKUP(A330&amp;B330&amp;C330,盘货信息!$A:$A&amp;盘货信息!$B:$B&amp;盘货信息!$C:$C,盘货信息!$K:$K)&amp;"元以旧换新（可无旧机换新）","")))</f>
        <v/>
      </c>
      <c r="K330" s="18" t="str">
        <f t="array" ref="K330">IF(C330="","",IF(_xlfn.XLOOKUP(A330&amp;B330&amp;C330,盘货信息!$A:$A&amp;盘货信息!$B:$B&amp;盘货信息!$C:$C,盘货信息!$L:$L)="","",_xlfn.XLOOKUP(A330&amp;B330&amp;C330,盘货信息!$A:$A&amp;盘货信息!$B:$B&amp;盘货信息!$C:$C,盘货信息!$L:$L)&amp;"元限时补贴"))</f>
        <v/>
      </c>
      <c r="L330" s="18" t="str">
        <f t="array" ref="L330">IF(C330="","",IF(_xlfn.XLOOKUP(A330&amp;B330&amp;C330,盘货信息!$A:$A&amp;盘货信息!$B:$B&amp;盘货信息!$C:$C,盘货信息!$M:$M)="","",_xlfn.XLOOKUP(A330&amp;B330&amp;C330,盘货信息!$A:$A&amp;盘货信息!$B:$B&amp;盘货信息!$C:$C,盘货信息!$M:$M)&amp;"元消费券"))</f>
        <v/>
      </c>
      <c r="M330" s="18" t="str">
        <f t="array" ref="M330">IF(C330="","",IF(_xlfn.XLOOKUP(A330&amp;B330&amp;C330,盘货信息!$A:$A&amp;盘货信息!$B:$B&amp;盘货信息!$C:$C,盘货信息!$G:$G)="不参加","","焕新补贴优惠【全民可用，不限地址】"))</f>
        <v/>
      </c>
    </row>
    <row r="331" customHeight="1" spans="1:13">
      <c r="A331" s="17" t="str">
        <f>IF(盘货信息!A331="","",盘货信息!A331)</f>
        <v/>
      </c>
      <c r="B331" s="17" t="str">
        <f>IF(盘货信息!B331="","",盘货信息!B331)</f>
        <v/>
      </c>
      <c r="C331" s="18" t="str">
        <f>IF(盘货信息!C331="","",盘货信息!C331)</f>
        <v/>
      </c>
      <c r="D331" s="18" t="str">
        <f t="shared" si="5"/>
        <v/>
      </c>
      <c r="E331" s="18" t="str">
        <f t="array" ref="E331">IF(C331="","",IF(_xlfn.XLOOKUP(A331&amp;B331&amp;C331,盘货信息!$A:$A&amp;盘货信息!$B:$B&amp;盘货信息!$C:$C,盘货信息!$N:$N)="","【立减到手价"&amp;_xlfn.XLOOKUP(A331&amp;B331&amp;C331,盘货信息!$A:$A&amp;盘货信息!$B:$B&amp;盘货信息!$C:$C,盘货信息!$F:$F)&amp;"元】","【焕新补贴预估价"&amp;_xlfn.XLOOKUP(A331&amp;B331&amp;C331,盘货信息!$A:$A&amp;盘货信息!$B:$B&amp;盘货信息!$C:$C,盘货信息!$N:$N)&amp;"元】"))</f>
        <v/>
      </c>
      <c r="F331" s="18" t="str">
        <f t="array" ref="F331">IF(C331="","",_xlfn.XLOOKUP(A331&amp;B331&amp;C331,盘货信息!$A:$A&amp;盘货信息!$B:$B&amp;盘货信息!$C:$C,盘货信息!$E:$E)&amp;"元到手价")</f>
        <v/>
      </c>
      <c r="G331" s="18" t="str">
        <f t="array" ref="G331">IF(C331="","",IF(_xlfn.XLOOKUP(A331&amp;B331&amp;C331,盘货信息!$A:$A&amp;盘货信息!$B:$B&amp;盘货信息!$C:$C,盘货信息!$I:$I)="","","88VIP95折"))</f>
        <v/>
      </c>
      <c r="H331" s="18" t="str">
        <f t="array" ref="H331">IF(C331="","",IF(_xlfn.XLOOKUP(A331&amp;B331&amp;C331,盘货信息!$A:$A&amp;盘货信息!$B:$B&amp;盘货信息!$C:$C,盘货信息!$J:$J)="","",_xlfn.XLOOKUP(A331&amp;B331&amp;C331,盘货信息!$A:$A&amp;盘货信息!$B:$B&amp;盘货信息!$C:$C,盘货信息!$J:$J)&amp;"元优惠卷"))</f>
        <v/>
      </c>
      <c r="I331" s="18" t="str">
        <f t="array" ref="I331">IF(C331="","",IF(_xlfn.XLOOKUP(A331&amp;B331&amp;C331,盘货信息!$A:$A&amp;盘货信息!$B:$B&amp;盘货信息!$C:$C,盘货信息!$R:$R)="","",_xlfn.XLOOKUP(A331&amp;B331&amp;C331,盘货信息!$A:$A&amp;盘货信息!$B:$B&amp;盘货信息!$C:$C,盘货信息!$R:$R)&amp;"元优惠卷"))</f>
        <v/>
      </c>
      <c r="J331" s="18" t="str">
        <f t="array" ref="J331">IF(C331="","",IF(_xlfn.XLOOKUP(A331&amp;B331&amp;C331,盘货信息!$A:$A&amp;盘货信息!$B:$B&amp;盘货信息!$C:$C,盘货信息!$K:$K)="","",IF(OR(_xlfn.XLOOKUP(A331&amp;B331&amp;C331,盘货信息!$A:$A&amp;盘货信息!$B:$B&amp;盘货信息!$C:$C,盘货信息!$G:$G)="参加",_xlfn.XLOOKUP(A331&amp;B331&amp;C331,盘货信息!$A:$A&amp;盘货信息!$B:$B&amp;盘货信息!$C:$C,盘货信息!$H:$H)="1（纯自补）"),_xlfn.XLOOKUP(A331&amp;B331&amp;C331,盘货信息!$A:$A&amp;盘货信息!$B:$B&amp;盘货信息!$C:$C,盘货信息!$K:$K)&amp;"元以旧换新（可无旧机换新）","")))</f>
        <v/>
      </c>
      <c r="K331" s="18" t="str">
        <f t="array" ref="K331">IF(C331="","",IF(_xlfn.XLOOKUP(A331&amp;B331&amp;C331,盘货信息!$A:$A&amp;盘货信息!$B:$B&amp;盘货信息!$C:$C,盘货信息!$L:$L)="","",_xlfn.XLOOKUP(A331&amp;B331&amp;C331,盘货信息!$A:$A&amp;盘货信息!$B:$B&amp;盘货信息!$C:$C,盘货信息!$L:$L)&amp;"元限时补贴"))</f>
        <v/>
      </c>
      <c r="L331" s="18" t="str">
        <f t="array" ref="L331">IF(C331="","",IF(_xlfn.XLOOKUP(A331&amp;B331&amp;C331,盘货信息!$A:$A&amp;盘货信息!$B:$B&amp;盘货信息!$C:$C,盘货信息!$M:$M)="","",_xlfn.XLOOKUP(A331&amp;B331&amp;C331,盘货信息!$A:$A&amp;盘货信息!$B:$B&amp;盘货信息!$C:$C,盘货信息!$M:$M)&amp;"元消费券"))</f>
        <v/>
      </c>
      <c r="M331" s="18" t="str">
        <f t="array" ref="M331">IF(C331="","",IF(_xlfn.XLOOKUP(A331&amp;B331&amp;C331,盘货信息!$A:$A&amp;盘货信息!$B:$B&amp;盘货信息!$C:$C,盘货信息!$G:$G)="不参加","","焕新补贴优惠【全民可用，不限地址】"))</f>
        <v/>
      </c>
    </row>
    <row r="332" customHeight="1" spans="1:13">
      <c r="A332" s="17" t="str">
        <f>IF(盘货信息!A332="","",盘货信息!A332)</f>
        <v/>
      </c>
      <c r="B332" s="17" t="str">
        <f>IF(盘货信息!B332="","",盘货信息!B332)</f>
        <v/>
      </c>
      <c r="C332" s="18" t="str">
        <f>IF(盘货信息!C332="","",盘货信息!C332)</f>
        <v/>
      </c>
      <c r="D332" s="18" t="str">
        <f t="shared" si="5"/>
        <v/>
      </c>
      <c r="E332" s="18" t="str">
        <f t="array" ref="E332">IF(C332="","",IF(_xlfn.XLOOKUP(A332&amp;B332&amp;C332,盘货信息!$A:$A&amp;盘货信息!$B:$B&amp;盘货信息!$C:$C,盘货信息!$N:$N)="","【立减到手价"&amp;_xlfn.XLOOKUP(A332&amp;B332&amp;C332,盘货信息!$A:$A&amp;盘货信息!$B:$B&amp;盘货信息!$C:$C,盘货信息!$F:$F)&amp;"元】","【焕新补贴预估价"&amp;_xlfn.XLOOKUP(A332&amp;B332&amp;C332,盘货信息!$A:$A&amp;盘货信息!$B:$B&amp;盘货信息!$C:$C,盘货信息!$N:$N)&amp;"元】"))</f>
        <v/>
      </c>
      <c r="F332" s="18" t="str">
        <f t="array" ref="F332">IF(C332="","",_xlfn.XLOOKUP(A332&amp;B332&amp;C332,盘货信息!$A:$A&amp;盘货信息!$B:$B&amp;盘货信息!$C:$C,盘货信息!$E:$E)&amp;"元到手价")</f>
        <v/>
      </c>
      <c r="G332" s="18" t="str">
        <f t="array" ref="G332">IF(C332="","",IF(_xlfn.XLOOKUP(A332&amp;B332&amp;C332,盘货信息!$A:$A&amp;盘货信息!$B:$B&amp;盘货信息!$C:$C,盘货信息!$I:$I)="","","88VIP95折"))</f>
        <v/>
      </c>
      <c r="H332" s="18" t="str">
        <f t="array" ref="H332">IF(C332="","",IF(_xlfn.XLOOKUP(A332&amp;B332&amp;C332,盘货信息!$A:$A&amp;盘货信息!$B:$B&amp;盘货信息!$C:$C,盘货信息!$J:$J)="","",_xlfn.XLOOKUP(A332&amp;B332&amp;C332,盘货信息!$A:$A&amp;盘货信息!$B:$B&amp;盘货信息!$C:$C,盘货信息!$J:$J)&amp;"元优惠卷"))</f>
        <v/>
      </c>
      <c r="I332" s="18" t="str">
        <f t="array" ref="I332">IF(C332="","",IF(_xlfn.XLOOKUP(A332&amp;B332&amp;C332,盘货信息!$A:$A&amp;盘货信息!$B:$B&amp;盘货信息!$C:$C,盘货信息!$R:$R)="","",_xlfn.XLOOKUP(A332&amp;B332&amp;C332,盘货信息!$A:$A&amp;盘货信息!$B:$B&amp;盘货信息!$C:$C,盘货信息!$R:$R)&amp;"元优惠卷"))</f>
        <v/>
      </c>
      <c r="J332" s="18" t="str">
        <f t="array" ref="J332">IF(C332="","",IF(_xlfn.XLOOKUP(A332&amp;B332&amp;C332,盘货信息!$A:$A&amp;盘货信息!$B:$B&amp;盘货信息!$C:$C,盘货信息!$K:$K)="","",IF(OR(_xlfn.XLOOKUP(A332&amp;B332&amp;C332,盘货信息!$A:$A&amp;盘货信息!$B:$B&amp;盘货信息!$C:$C,盘货信息!$G:$G)="参加",_xlfn.XLOOKUP(A332&amp;B332&amp;C332,盘货信息!$A:$A&amp;盘货信息!$B:$B&amp;盘货信息!$C:$C,盘货信息!$H:$H)="1（纯自补）"),_xlfn.XLOOKUP(A332&amp;B332&amp;C332,盘货信息!$A:$A&amp;盘货信息!$B:$B&amp;盘货信息!$C:$C,盘货信息!$K:$K)&amp;"元以旧换新（可无旧机换新）","")))</f>
        <v/>
      </c>
      <c r="K332" s="18" t="str">
        <f t="array" ref="K332">IF(C332="","",IF(_xlfn.XLOOKUP(A332&amp;B332&amp;C332,盘货信息!$A:$A&amp;盘货信息!$B:$B&amp;盘货信息!$C:$C,盘货信息!$L:$L)="","",_xlfn.XLOOKUP(A332&amp;B332&amp;C332,盘货信息!$A:$A&amp;盘货信息!$B:$B&amp;盘货信息!$C:$C,盘货信息!$L:$L)&amp;"元限时补贴"))</f>
        <v/>
      </c>
      <c r="L332" s="18" t="str">
        <f t="array" ref="L332">IF(C332="","",IF(_xlfn.XLOOKUP(A332&amp;B332&amp;C332,盘货信息!$A:$A&amp;盘货信息!$B:$B&amp;盘货信息!$C:$C,盘货信息!$M:$M)="","",_xlfn.XLOOKUP(A332&amp;B332&amp;C332,盘货信息!$A:$A&amp;盘货信息!$B:$B&amp;盘货信息!$C:$C,盘货信息!$M:$M)&amp;"元消费券"))</f>
        <v/>
      </c>
      <c r="M332" s="18" t="str">
        <f t="array" ref="M332">IF(C332="","",IF(_xlfn.XLOOKUP(A332&amp;B332&amp;C332,盘货信息!$A:$A&amp;盘货信息!$B:$B&amp;盘货信息!$C:$C,盘货信息!$G:$G)="不参加","","焕新补贴优惠【全民可用，不限地址】"))</f>
        <v/>
      </c>
    </row>
    <row r="333" customHeight="1" spans="1:13">
      <c r="A333" s="17" t="str">
        <f>IF(盘货信息!A333="","",盘货信息!A333)</f>
        <v/>
      </c>
      <c r="B333" s="17" t="str">
        <f>IF(盘货信息!B333="","",盘货信息!B333)</f>
        <v/>
      </c>
      <c r="C333" s="18" t="str">
        <f>IF(盘货信息!C333="","",盘货信息!C333)</f>
        <v/>
      </c>
      <c r="D333" s="18" t="str">
        <f t="shared" si="5"/>
        <v/>
      </c>
      <c r="E333" s="18" t="str">
        <f t="array" ref="E333">IF(C333="","",IF(_xlfn.XLOOKUP(A333&amp;B333&amp;C333,盘货信息!$A:$A&amp;盘货信息!$B:$B&amp;盘货信息!$C:$C,盘货信息!$N:$N)="","【立减到手价"&amp;_xlfn.XLOOKUP(A333&amp;B333&amp;C333,盘货信息!$A:$A&amp;盘货信息!$B:$B&amp;盘货信息!$C:$C,盘货信息!$F:$F)&amp;"元】","【焕新补贴预估价"&amp;_xlfn.XLOOKUP(A333&amp;B333&amp;C333,盘货信息!$A:$A&amp;盘货信息!$B:$B&amp;盘货信息!$C:$C,盘货信息!$N:$N)&amp;"元】"))</f>
        <v/>
      </c>
      <c r="F333" s="18" t="str">
        <f t="array" ref="F333">IF(C333="","",_xlfn.XLOOKUP(A333&amp;B333&amp;C333,盘货信息!$A:$A&amp;盘货信息!$B:$B&amp;盘货信息!$C:$C,盘货信息!$E:$E)&amp;"元到手价")</f>
        <v/>
      </c>
      <c r="G333" s="18" t="str">
        <f t="array" ref="G333">IF(C333="","",IF(_xlfn.XLOOKUP(A333&amp;B333&amp;C333,盘货信息!$A:$A&amp;盘货信息!$B:$B&amp;盘货信息!$C:$C,盘货信息!$I:$I)="","","88VIP95折"))</f>
        <v/>
      </c>
      <c r="H333" s="18" t="str">
        <f t="array" ref="H333">IF(C333="","",IF(_xlfn.XLOOKUP(A333&amp;B333&amp;C333,盘货信息!$A:$A&amp;盘货信息!$B:$B&amp;盘货信息!$C:$C,盘货信息!$J:$J)="","",_xlfn.XLOOKUP(A333&amp;B333&amp;C333,盘货信息!$A:$A&amp;盘货信息!$B:$B&amp;盘货信息!$C:$C,盘货信息!$J:$J)&amp;"元优惠卷"))</f>
        <v/>
      </c>
      <c r="I333" s="18" t="str">
        <f t="array" ref="I333">IF(C333="","",IF(_xlfn.XLOOKUP(A333&amp;B333&amp;C333,盘货信息!$A:$A&amp;盘货信息!$B:$B&amp;盘货信息!$C:$C,盘货信息!$R:$R)="","",_xlfn.XLOOKUP(A333&amp;B333&amp;C333,盘货信息!$A:$A&amp;盘货信息!$B:$B&amp;盘货信息!$C:$C,盘货信息!$R:$R)&amp;"元优惠卷"))</f>
        <v/>
      </c>
      <c r="J333" s="18" t="str">
        <f t="array" ref="J333">IF(C333="","",IF(_xlfn.XLOOKUP(A333&amp;B333&amp;C333,盘货信息!$A:$A&amp;盘货信息!$B:$B&amp;盘货信息!$C:$C,盘货信息!$K:$K)="","",IF(OR(_xlfn.XLOOKUP(A333&amp;B333&amp;C333,盘货信息!$A:$A&amp;盘货信息!$B:$B&amp;盘货信息!$C:$C,盘货信息!$G:$G)="参加",_xlfn.XLOOKUP(A333&amp;B333&amp;C333,盘货信息!$A:$A&amp;盘货信息!$B:$B&amp;盘货信息!$C:$C,盘货信息!$H:$H)="1（纯自补）"),_xlfn.XLOOKUP(A333&amp;B333&amp;C333,盘货信息!$A:$A&amp;盘货信息!$B:$B&amp;盘货信息!$C:$C,盘货信息!$K:$K)&amp;"元以旧换新（可无旧机换新）","")))</f>
        <v/>
      </c>
      <c r="K333" s="18" t="str">
        <f t="array" ref="K333">IF(C333="","",IF(_xlfn.XLOOKUP(A333&amp;B333&amp;C333,盘货信息!$A:$A&amp;盘货信息!$B:$B&amp;盘货信息!$C:$C,盘货信息!$L:$L)="","",_xlfn.XLOOKUP(A333&amp;B333&amp;C333,盘货信息!$A:$A&amp;盘货信息!$B:$B&amp;盘货信息!$C:$C,盘货信息!$L:$L)&amp;"元限时补贴"))</f>
        <v/>
      </c>
      <c r="L333" s="18" t="str">
        <f t="array" ref="L333">IF(C333="","",IF(_xlfn.XLOOKUP(A333&amp;B333&amp;C333,盘货信息!$A:$A&amp;盘货信息!$B:$B&amp;盘货信息!$C:$C,盘货信息!$M:$M)="","",_xlfn.XLOOKUP(A333&amp;B333&amp;C333,盘货信息!$A:$A&amp;盘货信息!$B:$B&amp;盘货信息!$C:$C,盘货信息!$M:$M)&amp;"元消费券"))</f>
        <v/>
      </c>
      <c r="M333" s="18" t="str">
        <f t="array" ref="M333">IF(C333="","",IF(_xlfn.XLOOKUP(A333&amp;B333&amp;C333,盘货信息!$A:$A&amp;盘货信息!$B:$B&amp;盘货信息!$C:$C,盘货信息!$G:$G)="不参加","","焕新补贴优惠【全民可用，不限地址】"))</f>
        <v/>
      </c>
    </row>
    <row r="334" customHeight="1" spans="1:13">
      <c r="A334" s="17" t="str">
        <f>IF(盘货信息!A334="","",盘货信息!A334)</f>
        <v/>
      </c>
      <c r="B334" s="17" t="str">
        <f>IF(盘货信息!B334="","",盘货信息!B334)</f>
        <v/>
      </c>
      <c r="C334" s="18" t="str">
        <f>IF(盘货信息!C334="","",盘货信息!C334)</f>
        <v/>
      </c>
      <c r="D334" s="18" t="str">
        <f t="shared" si="5"/>
        <v/>
      </c>
      <c r="E334" s="18" t="str">
        <f t="array" ref="E334">IF(C334="","",IF(_xlfn.XLOOKUP(A334&amp;B334&amp;C334,盘货信息!$A:$A&amp;盘货信息!$B:$B&amp;盘货信息!$C:$C,盘货信息!$N:$N)="","【立减到手价"&amp;_xlfn.XLOOKUP(A334&amp;B334&amp;C334,盘货信息!$A:$A&amp;盘货信息!$B:$B&amp;盘货信息!$C:$C,盘货信息!$F:$F)&amp;"元】","【焕新补贴预估价"&amp;_xlfn.XLOOKUP(A334&amp;B334&amp;C334,盘货信息!$A:$A&amp;盘货信息!$B:$B&amp;盘货信息!$C:$C,盘货信息!$N:$N)&amp;"元】"))</f>
        <v/>
      </c>
      <c r="F334" s="18" t="str">
        <f t="array" ref="F334">IF(C334="","",_xlfn.XLOOKUP(A334&amp;B334&amp;C334,盘货信息!$A:$A&amp;盘货信息!$B:$B&amp;盘货信息!$C:$C,盘货信息!$E:$E)&amp;"元到手价")</f>
        <v/>
      </c>
      <c r="G334" s="18" t="str">
        <f t="array" ref="G334">IF(C334="","",IF(_xlfn.XLOOKUP(A334&amp;B334&amp;C334,盘货信息!$A:$A&amp;盘货信息!$B:$B&amp;盘货信息!$C:$C,盘货信息!$I:$I)="","","88VIP95折"))</f>
        <v/>
      </c>
      <c r="H334" s="18" t="str">
        <f t="array" ref="H334">IF(C334="","",IF(_xlfn.XLOOKUP(A334&amp;B334&amp;C334,盘货信息!$A:$A&amp;盘货信息!$B:$B&amp;盘货信息!$C:$C,盘货信息!$J:$J)="","",_xlfn.XLOOKUP(A334&amp;B334&amp;C334,盘货信息!$A:$A&amp;盘货信息!$B:$B&amp;盘货信息!$C:$C,盘货信息!$J:$J)&amp;"元优惠卷"))</f>
        <v/>
      </c>
      <c r="I334" s="18" t="str">
        <f t="array" ref="I334">IF(C334="","",IF(_xlfn.XLOOKUP(A334&amp;B334&amp;C334,盘货信息!$A:$A&amp;盘货信息!$B:$B&amp;盘货信息!$C:$C,盘货信息!$R:$R)="","",_xlfn.XLOOKUP(A334&amp;B334&amp;C334,盘货信息!$A:$A&amp;盘货信息!$B:$B&amp;盘货信息!$C:$C,盘货信息!$R:$R)&amp;"元优惠卷"))</f>
        <v/>
      </c>
      <c r="J334" s="18" t="str">
        <f t="array" ref="J334">IF(C334="","",IF(_xlfn.XLOOKUP(A334&amp;B334&amp;C334,盘货信息!$A:$A&amp;盘货信息!$B:$B&amp;盘货信息!$C:$C,盘货信息!$K:$K)="","",IF(OR(_xlfn.XLOOKUP(A334&amp;B334&amp;C334,盘货信息!$A:$A&amp;盘货信息!$B:$B&amp;盘货信息!$C:$C,盘货信息!$G:$G)="参加",_xlfn.XLOOKUP(A334&amp;B334&amp;C334,盘货信息!$A:$A&amp;盘货信息!$B:$B&amp;盘货信息!$C:$C,盘货信息!$H:$H)="1（纯自补）"),_xlfn.XLOOKUP(A334&amp;B334&amp;C334,盘货信息!$A:$A&amp;盘货信息!$B:$B&amp;盘货信息!$C:$C,盘货信息!$K:$K)&amp;"元以旧换新（可无旧机换新）","")))</f>
        <v/>
      </c>
      <c r="K334" s="18" t="str">
        <f t="array" ref="K334">IF(C334="","",IF(_xlfn.XLOOKUP(A334&amp;B334&amp;C334,盘货信息!$A:$A&amp;盘货信息!$B:$B&amp;盘货信息!$C:$C,盘货信息!$L:$L)="","",_xlfn.XLOOKUP(A334&amp;B334&amp;C334,盘货信息!$A:$A&amp;盘货信息!$B:$B&amp;盘货信息!$C:$C,盘货信息!$L:$L)&amp;"元限时补贴"))</f>
        <v/>
      </c>
      <c r="L334" s="18" t="str">
        <f t="array" ref="L334">IF(C334="","",IF(_xlfn.XLOOKUP(A334&amp;B334&amp;C334,盘货信息!$A:$A&amp;盘货信息!$B:$B&amp;盘货信息!$C:$C,盘货信息!$M:$M)="","",_xlfn.XLOOKUP(A334&amp;B334&amp;C334,盘货信息!$A:$A&amp;盘货信息!$B:$B&amp;盘货信息!$C:$C,盘货信息!$M:$M)&amp;"元消费券"))</f>
        <v/>
      </c>
      <c r="M334" s="18" t="str">
        <f t="array" ref="M334">IF(C334="","",IF(_xlfn.XLOOKUP(A334&amp;B334&amp;C334,盘货信息!$A:$A&amp;盘货信息!$B:$B&amp;盘货信息!$C:$C,盘货信息!$G:$G)="不参加","","焕新补贴优惠【全民可用，不限地址】"))</f>
        <v/>
      </c>
    </row>
    <row r="335" customHeight="1" spans="1:13">
      <c r="A335" s="17" t="str">
        <f>IF(盘货信息!A335="","",盘货信息!A335)</f>
        <v/>
      </c>
      <c r="B335" s="17" t="str">
        <f>IF(盘货信息!B335="","",盘货信息!B335)</f>
        <v/>
      </c>
      <c r="C335" s="18" t="str">
        <f>IF(盘货信息!C335="","",盘货信息!C335)</f>
        <v/>
      </c>
      <c r="D335" s="18" t="str">
        <f t="shared" si="5"/>
        <v/>
      </c>
      <c r="E335" s="18" t="str">
        <f t="array" ref="E335">IF(C335="","",IF(_xlfn.XLOOKUP(A335&amp;B335&amp;C335,盘货信息!$A:$A&amp;盘货信息!$B:$B&amp;盘货信息!$C:$C,盘货信息!$N:$N)="","【立减到手价"&amp;_xlfn.XLOOKUP(A335&amp;B335&amp;C335,盘货信息!$A:$A&amp;盘货信息!$B:$B&amp;盘货信息!$C:$C,盘货信息!$F:$F)&amp;"元】","【焕新补贴预估价"&amp;_xlfn.XLOOKUP(A335&amp;B335&amp;C335,盘货信息!$A:$A&amp;盘货信息!$B:$B&amp;盘货信息!$C:$C,盘货信息!$N:$N)&amp;"元】"))</f>
        <v/>
      </c>
      <c r="F335" s="18" t="str">
        <f t="array" ref="F335">IF(C335="","",_xlfn.XLOOKUP(A335&amp;B335&amp;C335,盘货信息!$A:$A&amp;盘货信息!$B:$B&amp;盘货信息!$C:$C,盘货信息!$E:$E)&amp;"元到手价")</f>
        <v/>
      </c>
      <c r="G335" s="18" t="str">
        <f t="array" ref="G335">IF(C335="","",IF(_xlfn.XLOOKUP(A335&amp;B335&amp;C335,盘货信息!$A:$A&amp;盘货信息!$B:$B&amp;盘货信息!$C:$C,盘货信息!$I:$I)="","","88VIP95折"))</f>
        <v/>
      </c>
      <c r="H335" s="18" t="str">
        <f t="array" ref="H335">IF(C335="","",IF(_xlfn.XLOOKUP(A335&amp;B335&amp;C335,盘货信息!$A:$A&amp;盘货信息!$B:$B&amp;盘货信息!$C:$C,盘货信息!$J:$J)="","",_xlfn.XLOOKUP(A335&amp;B335&amp;C335,盘货信息!$A:$A&amp;盘货信息!$B:$B&amp;盘货信息!$C:$C,盘货信息!$J:$J)&amp;"元优惠卷"))</f>
        <v/>
      </c>
      <c r="I335" s="18" t="str">
        <f t="array" ref="I335">IF(C335="","",IF(_xlfn.XLOOKUP(A335&amp;B335&amp;C335,盘货信息!$A:$A&amp;盘货信息!$B:$B&amp;盘货信息!$C:$C,盘货信息!$R:$R)="","",_xlfn.XLOOKUP(A335&amp;B335&amp;C335,盘货信息!$A:$A&amp;盘货信息!$B:$B&amp;盘货信息!$C:$C,盘货信息!$R:$R)&amp;"元优惠卷"))</f>
        <v/>
      </c>
      <c r="J335" s="18" t="str">
        <f t="array" ref="J335">IF(C335="","",IF(_xlfn.XLOOKUP(A335&amp;B335&amp;C335,盘货信息!$A:$A&amp;盘货信息!$B:$B&amp;盘货信息!$C:$C,盘货信息!$K:$K)="","",IF(OR(_xlfn.XLOOKUP(A335&amp;B335&amp;C335,盘货信息!$A:$A&amp;盘货信息!$B:$B&amp;盘货信息!$C:$C,盘货信息!$G:$G)="参加",_xlfn.XLOOKUP(A335&amp;B335&amp;C335,盘货信息!$A:$A&amp;盘货信息!$B:$B&amp;盘货信息!$C:$C,盘货信息!$H:$H)="1（纯自补）"),_xlfn.XLOOKUP(A335&amp;B335&amp;C335,盘货信息!$A:$A&amp;盘货信息!$B:$B&amp;盘货信息!$C:$C,盘货信息!$K:$K)&amp;"元以旧换新（可无旧机换新）","")))</f>
        <v/>
      </c>
      <c r="K335" s="18" t="str">
        <f t="array" ref="K335">IF(C335="","",IF(_xlfn.XLOOKUP(A335&amp;B335&amp;C335,盘货信息!$A:$A&amp;盘货信息!$B:$B&amp;盘货信息!$C:$C,盘货信息!$L:$L)="","",_xlfn.XLOOKUP(A335&amp;B335&amp;C335,盘货信息!$A:$A&amp;盘货信息!$B:$B&amp;盘货信息!$C:$C,盘货信息!$L:$L)&amp;"元限时补贴"))</f>
        <v/>
      </c>
      <c r="L335" s="18" t="str">
        <f t="array" ref="L335">IF(C335="","",IF(_xlfn.XLOOKUP(A335&amp;B335&amp;C335,盘货信息!$A:$A&amp;盘货信息!$B:$B&amp;盘货信息!$C:$C,盘货信息!$M:$M)="","",_xlfn.XLOOKUP(A335&amp;B335&amp;C335,盘货信息!$A:$A&amp;盘货信息!$B:$B&amp;盘货信息!$C:$C,盘货信息!$M:$M)&amp;"元消费券"))</f>
        <v/>
      </c>
      <c r="M335" s="18" t="str">
        <f t="array" ref="M335">IF(C335="","",IF(_xlfn.XLOOKUP(A335&amp;B335&amp;C335,盘货信息!$A:$A&amp;盘货信息!$B:$B&amp;盘货信息!$C:$C,盘货信息!$G:$G)="不参加","","焕新补贴优惠【全民可用，不限地址】"))</f>
        <v/>
      </c>
    </row>
    <row r="336" customHeight="1" spans="1:13">
      <c r="A336" s="17" t="str">
        <f>IF(盘货信息!A336="","",盘货信息!A336)</f>
        <v/>
      </c>
      <c r="B336" s="17" t="str">
        <f>IF(盘货信息!B336="","",盘货信息!B336)</f>
        <v/>
      </c>
      <c r="C336" s="18" t="str">
        <f>IF(盘货信息!C336="","",盘货信息!C336)</f>
        <v/>
      </c>
      <c r="D336" s="18" t="str">
        <f t="shared" si="5"/>
        <v/>
      </c>
      <c r="E336" s="18" t="str">
        <f t="array" ref="E336">IF(C336="","",IF(_xlfn.XLOOKUP(A336&amp;B336&amp;C336,盘货信息!$A:$A&amp;盘货信息!$B:$B&amp;盘货信息!$C:$C,盘货信息!$N:$N)="","【立减到手价"&amp;_xlfn.XLOOKUP(A336&amp;B336&amp;C336,盘货信息!$A:$A&amp;盘货信息!$B:$B&amp;盘货信息!$C:$C,盘货信息!$F:$F)&amp;"元】","【焕新补贴预估价"&amp;_xlfn.XLOOKUP(A336&amp;B336&amp;C336,盘货信息!$A:$A&amp;盘货信息!$B:$B&amp;盘货信息!$C:$C,盘货信息!$N:$N)&amp;"元】"))</f>
        <v/>
      </c>
      <c r="F336" s="18" t="str">
        <f t="array" ref="F336">IF(C336="","",_xlfn.XLOOKUP(A336&amp;B336&amp;C336,盘货信息!$A:$A&amp;盘货信息!$B:$B&amp;盘货信息!$C:$C,盘货信息!$E:$E)&amp;"元到手价")</f>
        <v/>
      </c>
      <c r="G336" s="18" t="str">
        <f t="array" ref="G336">IF(C336="","",IF(_xlfn.XLOOKUP(A336&amp;B336&amp;C336,盘货信息!$A:$A&amp;盘货信息!$B:$B&amp;盘货信息!$C:$C,盘货信息!$I:$I)="","","88VIP95折"))</f>
        <v/>
      </c>
      <c r="H336" s="18" t="str">
        <f t="array" ref="H336">IF(C336="","",IF(_xlfn.XLOOKUP(A336&amp;B336&amp;C336,盘货信息!$A:$A&amp;盘货信息!$B:$B&amp;盘货信息!$C:$C,盘货信息!$J:$J)="","",_xlfn.XLOOKUP(A336&amp;B336&amp;C336,盘货信息!$A:$A&amp;盘货信息!$B:$B&amp;盘货信息!$C:$C,盘货信息!$J:$J)&amp;"元优惠卷"))</f>
        <v/>
      </c>
      <c r="I336" s="18" t="str">
        <f t="array" ref="I336">IF(C336="","",IF(_xlfn.XLOOKUP(A336&amp;B336&amp;C336,盘货信息!$A:$A&amp;盘货信息!$B:$B&amp;盘货信息!$C:$C,盘货信息!$R:$R)="","",_xlfn.XLOOKUP(A336&amp;B336&amp;C336,盘货信息!$A:$A&amp;盘货信息!$B:$B&amp;盘货信息!$C:$C,盘货信息!$R:$R)&amp;"元优惠卷"))</f>
        <v/>
      </c>
      <c r="J336" s="18" t="str">
        <f t="array" ref="J336">IF(C336="","",IF(_xlfn.XLOOKUP(A336&amp;B336&amp;C336,盘货信息!$A:$A&amp;盘货信息!$B:$B&amp;盘货信息!$C:$C,盘货信息!$K:$K)="","",IF(OR(_xlfn.XLOOKUP(A336&amp;B336&amp;C336,盘货信息!$A:$A&amp;盘货信息!$B:$B&amp;盘货信息!$C:$C,盘货信息!$G:$G)="参加",_xlfn.XLOOKUP(A336&amp;B336&amp;C336,盘货信息!$A:$A&amp;盘货信息!$B:$B&amp;盘货信息!$C:$C,盘货信息!$H:$H)="1（纯自补）"),_xlfn.XLOOKUP(A336&amp;B336&amp;C336,盘货信息!$A:$A&amp;盘货信息!$B:$B&amp;盘货信息!$C:$C,盘货信息!$K:$K)&amp;"元以旧换新（可无旧机换新）","")))</f>
        <v/>
      </c>
      <c r="K336" s="18" t="str">
        <f t="array" ref="K336">IF(C336="","",IF(_xlfn.XLOOKUP(A336&amp;B336&amp;C336,盘货信息!$A:$A&amp;盘货信息!$B:$B&amp;盘货信息!$C:$C,盘货信息!$L:$L)="","",_xlfn.XLOOKUP(A336&amp;B336&amp;C336,盘货信息!$A:$A&amp;盘货信息!$B:$B&amp;盘货信息!$C:$C,盘货信息!$L:$L)&amp;"元限时补贴"))</f>
        <v/>
      </c>
      <c r="L336" s="18" t="str">
        <f t="array" ref="L336">IF(C336="","",IF(_xlfn.XLOOKUP(A336&amp;B336&amp;C336,盘货信息!$A:$A&amp;盘货信息!$B:$B&amp;盘货信息!$C:$C,盘货信息!$M:$M)="","",_xlfn.XLOOKUP(A336&amp;B336&amp;C336,盘货信息!$A:$A&amp;盘货信息!$B:$B&amp;盘货信息!$C:$C,盘货信息!$M:$M)&amp;"元消费券"))</f>
        <v/>
      </c>
      <c r="M336" s="18" t="str">
        <f t="array" ref="M336">IF(C336="","",IF(_xlfn.XLOOKUP(A336&amp;B336&amp;C336,盘货信息!$A:$A&amp;盘货信息!$B:$B&amp;盘货信息!$C:$C,盘货信息!$G:$G)="不参加","","焕新补贴优惠【全民可用，不限地址】"))</f>
        <v/>
      </c>
    </row>
    <row r="337" customHeight="1" spans="1:13">
      <c r="A337" s="17" t="str">
        <f>IF(盘货信息!A337="","",盘货信息!A337)</f>
        <v/>
      </c>
      <c r="B337" s="17" t="str">
        <f>IF(盘货信息!B337="","",盘货信息!B337)</f>
        <v/>
      </c>
      <c r="C337" s="18" t="str">
        <f>IF(盘货信息!C337="","",盘货信息!C337)</f>
        <v/>
      </c>
      <c r="D337" s="18" t="str">
        <f t="shared" si="5"/>
        <v/>
      </c>
      <c r="E337" s="18" t="str">
        <f t="array" ref="E337">IF(C337="","",IF(_xlfn.XLOOKUP(A337&amp;B337&amp;C337,盘货信息!$A:$A&amp;盘货信息!$B:$B&amp;盘货信息!$C:$C,盘货信息!$N:$N)="","【立减到手价"&amp;_xlfn.XLOOKUP(A337&amp;B337&amp;C337,盘货信息!$A:$A&amp;盘货信息!$B:$B&amp;盘货信息!$C:$C,盘货信息!$F:$F)&amp;"元】","【焕新补贴预估价"&amp;_xlfn.XLOOKUP(A337&amp;B337&amp;C337,盘货信息!$A:$A&amp;盘货信息!$B:$B&amp;盘货信息!$C:$C,盘货信息!$N:$N)&amp;"元】"))</f>
        <v/>
      </c>
      <c r="F337" s="18" t="str">
        <f t="array" ref="F337">IF(C337="","",_xlfn.XLOOKUP(A337&amp;B337&amp;C337,盘货信息!$A:$A&amp;盘货信息!$B:$B&amp;盘货信息!$C:$C,盘货信息!$E:$E)&amp;"元到手价")</f>
        <v/>
      </c>
      <c r="G337" s="18" t="str">
        <f t="array" ref="G337">IF(C337="","",IF(_xlfn.XLOOKUP(A337&amp;B337&amp;C337,盘货信息!$A:$A&amp;盘货信息!$B:$B&amp;盘货信息!$C:$C,盘货信息!$I:$I)="","","88VIP95折"))</f>
        <v/>
      </c>
      <c r="H337" s="18" t="str">
        <f t="array" ref="H337">IF(C337="","",IF(_xlfn.XLOOKUP(A337&amp;B337&amp;C337,盘货信息!$A:$A&amp;盘货信息!$B:$B&amp;盘货信息!$C:$C,盘货信息!$J:$J)="","",_xlfn.XLOOKUP(A337&amp;B337&amp;C337,盘货信息!$A:$A&amp;盘货信息!$B:$B&amp;盘货信息!$C:$C,盘货信息!$J:$J)&amp;"元优惠卷"))</f>
        <v/>
      </c>
      <c r="I337" s="18" t="str">
        <f t="array" ref="I337">IF(C337="","",IF(_xlfn.XLOOKUP(A337&amp;B337&amp;C337,盘货信息!$A:$A&amp;盘货信息!$B:$B&amp;盘货信息!$C:$C,盘货信息!$R:$R)="","",_xlfn.XLOOKUP(A337&amp;B337&amp;C337,盘货信息!$A:$A&amp;盘货信息!$B:$B&amp;盘货信息!$C:$C,盘货信息!$R:$R)&amp;"元优惠卷"))</f>
        <v/>
      </c>
      <c r="J337" s="18" t="str">
        <f t="array" ref="J337">IF(C337="","",IF(_xlfn.XLOOKUP(A337&amp;B337&amp;C337,盘货信息!$A:$A&amp;盘货信息!$B:$B&amp;盘货信息!$C:$C,盘货信息!$K:$K)="","",IF(OR(_xlfn.XLOOKUP(A337&amp;B337&amp;C337,盘货信息!$A:$A&amp;盘货信息!$B:$B&amp;盘货信息!$C:$C,盘货信息!$G:$G)="参加",_xlfn.XLOOKUP(A337&amp;B337&amp;C337,盘货信息!$A:$A&amp;盘货信息!$B:$B&amp;盘货信息!$C:$C,盘货信息!$H:$H)="1（纯自补）"),_xlfn.XLOOKUP(A337&amp;B337&amp;C337,盘货信息!$A:$A&amp;盘货信息!$B:$B&amp;盘货信息!$C:$C,盘货信息!$K:$K)&amp;"元以旧换新（可无旧机换新）","")))</f>
        <v/>
      </c>
      <c r="K337" s="18" t="str">
        <f t="array" ref="K337">IF(C337="","",IF(_xlfn.XLOOKUP(A337&amp;B337&amp;C337,盘货信息!$A:$A&amp;盘货信息!$B:$B&amp;盘货信息!$C:$C,盘货信息!$L:$L)="","",_xlfn.XLOOKUP(A337&amp;B337&amp;C337,盘货信息!$A:$A&amp;盘货信息!$B:$B&amp;盘货信息!$C:$C,盘货信息!$L:$L)&amp;"元限时补贴"))</f>
        <v/>
      </c>
      <c r="L337" s="18" t="str">
        <f t="array" ref="L337">IF(C337="","",IF(_xlfn.XLOOKUP(A337&amp;B337&amp;C337,盘货信息!$A:$A&amp;盘货信息!$B:$B&amp;盘货信息!$C:$C,盘货信息!$M:$M)="","",_xlfn.XLOOKUP(A337&amp;B337&amp;C337,盘货信息!$A:$A&amp;盘货信息!$B:$B&amp;盘货信息!$C:$C,盘货信息!$M:$M)&amp;"元消费券"))</f>
        <v/>
      </c>
      <c r="M337" s="18" t="str">
        <f t="array" ref="M337">IF(C337="","",IF(_xlfn.XLOOKUP(A337&amp;B337&amp;C337,盘货信息!$A:$A&amp;盘货信息!$B:$B&amp;盘货信息!$C:$C,盘货信息!$G:$G)="不参加","","焕新补贴优惠【全民可用，不限地址】"))</f>
        <v/>
      </c>
    </row>
    <row r="338" customHeight="1" spans="1:13">
      <c r="A338" s="17" t="str">
        <f>IF(盘货信息!A338="","",盘货信息!A338)</f>
        <v/>
      </c>
      <c r="B338" s="17" t="str">
        <f>IF(盘货信息!B338="","",盘货信息!B338)</f>
        <v/>
      </c>
      <c r="C338" s="18" t="str">
        <f>IF(盘货信息!C338="","",盘货信息!C338)</f>
        <v/>
      </c>
      <c r="D338" s="18" t="str">
        <f t="shared" si="5"/>
        <v/>
      </c>
      <c r="E338" s="18" t="str">
        <f t="array" ref="E338">IF(C338="","",IF(_xlfn.XLOOKUP(A338&amp;B338&amp;C338,盘货信息!$A:$A&amp;盘货信息!$B:$B&amp;盘货信息!$C:$C,盘货信息!$N:$N)="","【立减到手价"&amp;_xlfn.XLOOKUP(A338&amp;B338&amp;C338,盘货信息!$A:$A&amp;盘货信息!$B:$B&amp;盘货信息!$C:$C,盘货信息!$F:$F)&amp;"元】","【焕新补贴预估价"&amp;_xlfn.XLOOKUP(A338&amp;B338&amp;C338,盘货信息!$A:$A&amp;盘货信息!$B:$B&amp;盘货信息!$C:$C,盘货信息!$N:$N)&amp;"元】"))</f>
        <v/>
      </c>
      <c r="F338" s="18" t="str">
        <f t="array" ref="F338">IF(C338="","",_xlfn.XLOOKUP(A338&amp;B338&amp;C338,盘货信息!$A:$A&amp;盘货信息!$B:$B&amp;盘货信息!$C:$C,盘货信息!$E:$E)&amp;"元到手价")</f>
        <v/>
      </c>
      <c r="G338" s="18" t="str">
        <f t="array" ref="G338">IF(C338="","",IF(_xlfn.XLOOKUP(A338&amp;B338&amp;C338,盘货信息!$A:$A&amp;盘货信息!$B:$B&amp;盘货信息!$C:$C,盘货信息!$I:$I)="","","88VIP95折"))</f>
        <v/>
      </c>
      <c r="H338" s="18" t="str">
        <f t="array" ref="H338">IF(C338="","",IF(_xlfn.XLOOKUP(A338&amp;B338&amp;C338,盘货信息!$A:$A&amp;盘货信息!$B:$B&amp;盘货信息!$C:$C,盘货信息!$J:$J)="","",_xlfn.XLOOKUP(A338&amp;B338&amp;C338,盘货信息!$A:$A&amp;盘货信息!$B:$B&amp;盘货信息!$C:$C,盘货信息!$J:$J)&amp;"元优惠卷"))</f>
        <v/>
      </c>
      <c r="I338" s="18" t="str">
        <f t="array" ref="I338">IF(C338="","",IF(_xlfn.XLOOKUP(A338&amp;B338&amp;C338,盘货信息!$A:$A&amp;盘货信息!$B:$B&amp;盘货信息!$C:$C,盘货信息!$R:$R)="","",_xlfn.XLOOKUP(A338&amp;B338&amp;C338,盘货信息!$A:$A&amp;盘货信息!$B:$B&amp;盘货信息!$C:$C,盘货信息!$R:$R)&amp;"元优惠卷"))</f>
        <v/>
      </c>
      <c r="J338" s="18" t="str">
        <f t="array" ref="J338">IF(C338="","",IF(_xlfn.XLOOKUP(A338&amp;B338&amp;C338,盘货信息!$A:$A&amp;盘货信息!$B:$B&amp;盘货信息!$C:$C,盘货信息!$K:$K)="","",IF(OR(_xlfn.XLOOKUP(A338&amp;B338&amp;C338,盘货信息!$A:$A&amp;盘货信息!$B:$B&amp;盘货信息!$C:$C,盘货信息!$G:$G)="参加",_xlfn.XLOOKUP(A338&amp;B338&amp;C338,盘货信息!$A:$A&amp;盘货信息!$B:$B&amp;盘货信息!$C:$C,盘货信息!$H:$H)="1（纯自补）"),_xlfn.XLOOKUP(A338&amp;B338&amp;C338,盘货信息!$A:$A&amp;盘货信息!$B:$B&amp;盘货信息!$C:$C,盘货信息!$K:$K)&amp;"元以旧换新（可无旧机换新）","")))</f>
        <v/>
      </c>
      <c r="K338" s="18" t="str">
        <f t="array" ref="K338">IF(C338="","",IF(_xlfn.XLOOKUP(A338&amp;B338&amp;C338,盘货信息!$A:$A&amp;盘货信息!$B:$B&amp;盘货信息!$C:$C,盘货信息!$L:$L)="","",_xlfn.XLOOKUP(A338&amp;B338&amp;C338,盘货信息!$A:$A&amp;盘货信息!$B:$B&amp;盘货信息!$C:$C,盘货信息!$L:$L)&amp;"元限时补贴"))</f>
        <v/>
      </c>
      <c r="L338" s="18" t="str">
        <f t="array" ref="L338">IF(C338="","",IF(_xlfn.XLOOKUP(A338&amp;B338&amp;C338,盘货信息!$A:$A&amp;盘货信息!$B:$B&amp;盘货信息!$C:$C,盘货信息!$M:$M)="","",_xlfn.XLOOKUP(A338&amp;B338&amp;C338,盘货信息!$A:$A&amp;盘货信息!$B:$B&amp;盘货信息!$C:$C,盘货信息!$M:$M)&amp;"元消费券"))</f>
        <v/>
      </c>
      <c r="M338" s="18" t="str">
        <f t="array" ref="M338">IF(C338="","",IF(_xlfn.XLOOKUP(A338&amp;B338&amp;C338,盘货信息!$A:$A&amp;盘货信息!$B:$B&amp;盘货信息!$C:$C,盘货信息!$G:$G)="不参加","","焕新补贴优惠【全民可用，不限地址】"))</f>
        <v/>
      </c>
    </row>
    <row r="339" customHeight="1" spans="1:13">
      <c r="A339" s="17" t="str">
        <f>IF(盘货信息!A339="","",盘货信息!A339)</f>
        <v/>
      </c>
      <c r="B339" s="17" t="str">
        <f>IF(盘货信息!B339="","",盘货信息!B339)</f>
        <v/>
      </c>
      <c r="C339" s="18" t="str">
        <f>IF(盘货信息!C339="","",盘货信息!C339)</f>
        <v/>
      </c>
      <c r="D339" s="18" t="str">
        <f t="shared" si="5"/>
        <v/>
      </c>
      <c r="E339" s="18" t="str">
        <f t="array" ref="E339">IF(C339="","",IF(_xlfn.XLOOKUP(A339&amp;B339&amp;C339,盘货信息!$A:$A&amp;盘货信息!$B:$B&amp;盘货信息!$C:$C,盘货信息!$N:$N)="","【立减到手价"&amp;_xlfn.XLOOKUP(A339&amp;B339&amp;C339,盘货信息!$A:$A&amp;盘货信息!$B:$B&amp;盘货信息!$C:$C,盘货信息!$F:$F)&amp;"元】","【焕新补贴预估价"&amp;_xlfn.XLOOKUP(A339&amp;B339&amp;C339,盘货信息!$A:$A&amp;盘货信息!$B:$B&amp;盘货信息!$C:$C,盘货信息!$N:$N)&amp;"元】"))</f>
        <v/>
      </c>
      <c r="F339" s="18" t="str">
        <f t="array" ref="F339">IF(C339="","",_xlfn.XLOOKUP(A339&amp;B339&amp;C339,盘货信息!$A:$A&amp;盘货信息!$B:$B&amp;盘货信息!$C:$C,盘货信息!$E:$E)&amp;"元到手价")</f>
        <v/>
      </c>
      <c r="G339" s="18" t="str">
        <f t="array" ref="G339">IF(C339="","",IF(_xlfn.XLOOKUP(A339&amp;B339&amp;C339,盘货信息!$A:$A&amp;盘货信息!$B:$B&amp;盘货信息!$C:$C,盘货信息!$I:$I)="","","88VIP95折"))</f>
        <v/>
      </c>
      <c r="H339" s="18" t="str">
        <f t="array" ref="H339">IF(C339="","",IF(_xlfn.XLOOKUP(A339&amp;B339&amp;C339,盘货信息!$A:$A&amp;盘货信息!$B:$B&amp;盘货信息!$C:$C,盘货信息!$J:$J)="","",_xlfn.XLOOKUP(A339&amp;B339&amp;C339,盘货信息!$A:$A&amp;盘货信息!$B:$B&amp;盘货信息!$C:$C,盘货信息!$J:$J)&amp;"元优惠卷"))</f>
        <v/>
      </c>
      <c r="I339" s="18" t="str">
        <f t="array" ref="I339">IF(C339="","",IF(_xlfn.XLOOKUP(A339&amp;B339&amp;C339,盘货信息!$A:$A&amp;盘货信息!$B:$B&amp;盘货信息!$C:$C,盘货信息!$R:$R)="","",_xlfn.XLOOKUP(A339&amp;B339&amp;C339,盘货信息!$A:$A&amp;盘货信息!$B:$B&amp;盘货信息!$C:$C,盘货信息!$R:$R)&amp;"元优惠卷"))</f>
        <v/>
      </c>
      <c r="J339" s="18" t="str">
        <f t="array" ref="J339">IF(C339="","",IF(_xlfn.XLOOKUP(A339&amp;B339&amp;C339,盘货信息!$A:$A&amp;盘货信息!$B:$B&amp;盘货信息!$C:$C,盘货信息!$K:$K)="","",IF(OR(_xlfn.XLOOKUP(A339&amp;B339&amp;C339,盘货信息!$A:$A&amp;盘货信息!$B:$B&amp;盘货信息!$C:$C,盘货信息!$G:$G)="参加",_xlfn.XLOOKUP(A339&amp;B339&amp;C339,盘货信息!$A:$A&amp;盘货信息!$B:$B&amp;盘货信息!$C:$C,盘货信息!$H:$H)="1（纯自补）"),_xlfn.XLOOKUP(A339&amp;B339&amp;C339,盘货信息!$A:$A&amp;盘货信息!$B:$B&amp;盘货信息!$C:$C,盘货信息!$K:$K)&amp;"元以旧换新（可无旧机换新）","")))</f>
        <v/>
      </c>
      <c r="K339" s="18" t="str">
        <f t="array" ref="K339">IF(C339="","",IF(_xlfn.XLOOKUP(A339&amp;B339&amp;C339,盘货信息!$A:$A&amp;盘货信息!$B:$B&amp;盘货信息!$C:$C,盘货信息!$L:$L)="","",_xlfn.XLOOKUP(A339&amp;B339&amp;C339,盘货信息!$A:$A&amp;盘货信息!$B:$B&amp;盘货信息!$C:$C,盘货信息!$L:$L)&amp;"元限时补贴"))</f>
        <v/>
      </c>
      <c r="L339" s="18" t="str">
        <f t="array" ref="L339">IF(C339="","",IF(_xlfn.XLOOKUP(A339&amp;B339&amp;C339,盘货信息!$A:$A&amp;盘货信息!$B:$B&amp;盘货信息!$C:$C,盘货信息!$M:$M)="","",_xlfn.XLOOKUP(A339&amp;B339&amp;C339,盘货信息!$A:$A&amp;盘货信息!$B:$B&amp;盘货信息!$C:$C,盘货信息!$M:$M)&amp;"元消费券"))</f>
        <v/>
      </c>
      <c r="M339" s="18" t="str">
        <f t="array" ref="M339">IF(C339="","",IF(_xlfn.XLOOKUP(A339&amp;B339&amp;C339,盘货信息!$A:$A&amp;盘货信息!$B:$B&amp;盘货信息!$C:$C,盘货信息!$G:$G)="不参加","","焕新补贴优惠【全民可用，不限地址】"))</f>
        <v/>
      </c>
    </row>
    <row r="340" customHeight="1" spans="1:13">
      <c r="A340" s="17" t="str">
        <f>IF(盘货信息!A340="","",盘货信息!A340)</f>
        <v/>
      </c>
      <c r="B340" s="17" t="str">
        <f>IF(盘货信息!B340="","",盘货信息!B340)</f>
        <v/>
      </c>
      <c r="C340" s="18" t="str">
        <f>IF(盘货信息!C340="","",盘货信息!C340)</f>
        <v/>
      </c>
      <c r="D340" s="18" t="str">
        <f t="shared" si="5"/>
        <v/>
      </c>
      <c r="E340" s="18" t="str">
        <f t="array" ref="E340">IF(C340="","",IF(_xlfn.XLOOKUP(A340&amp;B340&amp;C340,盘货信息!$A:$A&amp;盘货信息!$B:$B&amp;盘货信息!$C:$C,盘货信息!$N:$N)="","【立减到手价"&amp;_xlfn.XLOOKUP(A340&amp;B340&amp;C340,盘货信息!$A:$A&amp;盘货信息!$B:$B&amp;盘货信息!$C:$C,盘货信息!$F:$F)&amp;"元】","【焕新补贴预估价"&amp;_xlfn.XLOOKUP(A340&amp;B340&amp;C340,盘货信息!$A:$A&amp;盘货信息!$B:$B&amp;盘货信息!$C:$C,盘货信息!$N:$N)&amp;"元】"))</f>
        <v/>
      </c>
      <c r="F340" s="18" t="str">
        <f t="array" ref="F340">IF(C340="","",_xlfn.XLOOKUP(A340&amp;B340&amp;C340,盘货信息!$A:$A&amp;盘货信息!$B:$B&amp;盘货信息!$C:$C,盘货信息!$E:$E)&amp;"元到手价")</f>
        <v/>
      </c>
      <c r="G340" s="18" t="str">
        <f t="array" ref="G340">IF(C340="","",IF(_xlfn.XLOOKUP(A340&amp;B340&amp;C340,盘货信息!$A:$A&amp;盘货信息!$B:$B&amp;盘货信息!$C:$C,盘货信息!$I:$I)="","","88VIP95折"))</f>
        <v/>
      </c>
      <c r="H340" s="18" t="str">
        <f t="array" ref="H340">IF(C340="","",IF(_xlfn.XLOOKUP(A340&amp;B340&amp;C340,盘货信息!$A:$A&amp;盘货信息!$B:$B&amp;盘货信息!$C:$C,盘货信息!$J:$J)="","",_xlfn.XLOOKUP(A340&amp;B340&amp;C340,盘货信息!$A:$A&amp;盘货信息!$B:$B&amp;盘货信息!$C:$C,盘货信息!$J:$J)&amp;"元优惠卷"))</f>
        <v/>
      </c>
      <c r="I340" s="18" t="str">
        <f t="array" ref="I340">IF(C340="","",IF(_xlfn.XLOOKUP(A340&amp;B340&amp;C340,盘货信息!$A:$A&amp;盘货信息!$B:$B&amp;盘货信息!$C:$C,盘货信息!$R:$R)="","",_xlfn.XLOOKUP(A340&amp;B340&amp;C340,盘货信息!$A:$A&amp;盘货信息!$B:$B&amp;盘货信息!$C:$C,盘货信息!$R:$R)&amp;"元优惠卷"))</f>
        <v/>
      </c>
      <c r="J340" s="18" t="str">
        <f t="array" ref="J340">IF(C340="","",IF(_xlfn.XLOOKUP(A340&amp;B340&amp;C340,盘货信息!$A:$A&amp;盘货信息!$B:$B&amp;盘货信息!$C:$C,盘货信息!$K:$K)="","",IF(OR(_xlfn.XLOOKUP(A340&amp;B340&amp;C340,盘货信息!$A:$A&amp;盘货信息!$B:$B&amp;盘货信息!$C:$C,盘货信息!$G:$G)="参加",_xlfn.XLOOKUP(A340&amp;B340&amp;C340,盘货信息!$A:$A&amp;盘货信息!$B:$B&amp;盘货信息!$C:$C,盘货信息!$H:$H)="1（纯自补）"),_xlfn.XLOOKUP(A340&amp;B340&amp;C340,盘货信息!$A:$A&amp;盘货信息!$B:$B&amp;盘货信息!$C:$C,盘货信息!$K:$K)&amp;"元以旧换新（可无旧机换新）","")))</f>
        <v/>
      </c>
      <c r="K340" s="18" t="str">
        <f t="array" ref="K340">IF(C340="","",IF(_xlfn.XLOOKUP(A340&amp;B340&amp;C340,盘货信息!$A:$A&amp;盘货信息!$B:$B&amp;盘货信息!$C:$C,盘货信息!$L:$L)="","",_xlfn.XLOOKUP(A340&amp;B340&amp;C340,盘货信息!$A:$A&amp;盘货信息!$B:$B&amp;盘货信息!$C:$C,盘货信息!$L:$L)&amp;"元限时补贴"))</f>
        <v/>
      </c>
      <c r="L340" s="18" t="str">
        <f t="array" ref="L340">IF(C340="","",IF(_xlfn.XLOOKUP(A340&amp;B340&amp;C340,盘货信息!$A:$A&amp;盘货信息!$B:$B&amp;盘货信息!$C:$C,盘货信息!$M:$M)="","",_xlfn.XLOOKUP(A340&amp;B340&amp;C340,盘货信息!$A:$A&amp;盘货信息!$B:$B&amp;盘货信息!$C:$C,盘货信息!$M:$M)&amp;"元消费券"))</f>
        <v/>
      </c>
      <c r="M340" s="18" t="str">
        <f t="array" ref="M340">IF(C340="","",IF(_xlfn.XLOOKUP(A340&amp;B340&amp;C340,盘货信息!$A:$A&amp;盘货信息!$B:$B&amp;盘货信息!$C:$C,盘货信息!$G:$G)="不参加","","焕新补贴优惠【全民可用，不限地址】"))</f>
        <v/>
      </c>
    </row>
    <row r="341" customHeight="1" spans="1:13">
      <c r="A341" s="17" t="str">
        <f>IF(盘货信息!A341="","",盘货信息!A341)</f>
        <v/>
      </c>
      <c r="B341" s="17" t="str">
        <f>IF(盘货信息!B341="","",盘货信息!B341)</f>
        <v/>
      </c>
      <c r="C341" s="18" t="str">
        <f>IF(盘货信息!C341="","",盘货信息!C341)</f>
        <v/>
      </c>
      <c r="D341" s="18" t="str">
        <f t="shared" si="5"/>
        <v/>
      </c>
      <c r="E341" s="18" t="str">
        <f t="array" ref="E341">IF(C341="","",IF(_xlfn.XLOOKUP(A341&amp;B341&amp;C341,盘货信息!$A:$A&amp;盘货信息!$B:$B&amp;盘货信息!$C:$C,盘货信息!$N:$N)="","【立减到手价"&amp;_xlfn.XLOOKUP(A341&amp;B341&amp;C341,盘货信息!$A:$A&amp;盘货信息!$B:$B&amp;盘货信息!$C:$C,盘货信息!$F:$F)&amp;"元】","【焕新补贴预估价"&amp;_xlfn.XLOOKUP(A341&amp;B341&amp;C341,盘货信息!$A:$A&amp;盘货信息!$B:$B&amp;盘货信息!$C:$C,盘货信息!$N:$N)&amp;"元】"))</f>
        <v/>
      </c>
      <c r="F341" s="18" t="str">
        <f t="array" ref="F341">IF(C341="","",_xlfn.XLOOKUP(A341&amp;B341&amp;C341,盘货信息!$A:$A&amp;盘货信息!$B:$B&amp;盘货信息!$C:$C,盘货信息!$E:$E)&amp;"元到手价")</f>
        <v/>
      </c>
      <c r="G341" s="18" t="str">
        <f t="array" ref="G341">IF(C341="","",IF(_xlfn.XLOOKUP(A341&amp;B341&amp;C341,盘货信息!$A:$A&amp;盘货信息!$B:$B&amp;盘货信息!$C:$C,盘货信息!$I:$I)="","","88VIP95折"))</f>
        <v/>
      </c>
      <c r="H341" s="18" t="str">
        <f t="array" ref="H341">IF(C341="","",IF(_xlfn.XLOOKUP(A341&amp;B341&amp;C341,盘货信息!$A:$A&amp;盘货信息!$B:$B&amp;盘货信息!$C:$C,盘货信息!$J:$J)="","",_xlfn.XLOOKUP(A341&amp;B341&amp;C341,盘货信息!$A:$A&amp;盘货信息!$B:$B&amp;盘货信息!$C:$C,盘货信息!$J:$J)&amp;"元优惠卷"))</f>
        <v/>
      </c>
      <c r="I341" s="18" t="str">
        <f t="array" ref="I341">IF(C341="","",IF(_xlfn.XLOOKUP(A341&amp;B341&amp;C341,盘货信息!$A:$A&amp;盘货信息!$B:$B&amp;盘货信息!$C:$C,盘货信息!$R:$R)="","",_xlfn.XLOOKUP(A341&amp;B341&amp;C341,盘货信息!$A:$A&amp;盘货信息!$B:$B&amp;盘货信息!$C:$C,盘货信息!$R:$R)&amp;"元优惠卷"))</f>
        <v/>
      </c>
      <c r="J341" s="18" t="str">
        <f t="array" ref="J341">IF(C341="","",IF(_xlfn.XLOOKUP(A341&amp;B341&amp;C341,盘货信息!$A:$A&amp;盘货信息!$B:$B&amp;盘货信息!$C:$C,盘货信息!$K:$K)="","",IF(OR(_xlfn.XLOOKUP(A341&amp;B341&amp;C341,盘货信息!$A:$A&amp;盘货信息!$B:$B&amp;盘货信息!$C:$C,盘货信息!$G:$G)="参加",_xlfn.XLOOKUP(A341&amp;B341&amp;C341,盘货信息!$A:$A&amp;盘货信息!$B:$B&amp;盘货信息!$C:$C,盘货信息!$H:$H)="1（纯自补）"),_xlfn.XLOOKUP(A341&amp;B341&amp;C341,盘货信息!$A:$A&amp;盘货信息!$B:$B&amp;盘货信息!$C:$C,盘货信息!$K:$K)&amp;"元以旧换新（可无旧机换新）","")))</f>
        <v/>
      </c>
      <c r="K341" s="18" t="str">
        <f t="array" ref="K341">IF(C341="","",IF(_xlfn.XLOOKUP(A341&amp;B341&amp;C341,盘货信息!$A:$A&amp;盘货信息!$B:$B&amp;盘货信息!$C:$C,盘货信息!$L:$L)="","",_xlfn.XLOOKUP(A341&amp;B341&amp;C341,盘货信息!$A:$A&amp;盘货信息!$B:$B&amp;盘货信息!$C:$C,盘货信息!$L:$L)&amp;"元限时补贴"))</f>
        <v/>
      </c>
      <c r="L341" s="18" t="str">
        <f t="array" ref="L341">IF(C341="","",IF(_xlfn.XLOOKUP(A341&amp;B341&amp;C341,盘货信息!$A:$A&amp;盘货信息!$B:$B&amp;盘货信息!$C:$C,盘货信息!$M:$M)="","",_xlfn.XLOOKUP(A341&amp;B341&amp;C341,盘货信息!$A:$A&amp;盘货信息!$B:$B&amp;盘货信息!$C:$C,盘货信息!$M:$M)&amp;"元消费券"))</f>
        <v/>
      </c>
      <c r="M341" s="18" t="str">
        <f t="array" ref="M341">IF(C341="","",IF(_xlfn.XLOOKUP(A341&amp;B341&amp;C341,盘货信息!$A:$A&amp;盘货信息!$B:$B&amp;盘货信息!$C:$C,盘货信息!$G:$G)="不参加","","焕新补贴优惠【全民可用，不限地址】"))</f>
        <v/>
      </c>
    </row>
    <row r="342" customHeight="1" spans="1:13">
      <c r="A342" s="17" t="str">
        <f>IF(盘货信息!A342="","",盘货信息!A342)</f>
        <v/>
      </c>
      <c r="B342" s="17" t="str">
        <f>IF(盘货信息!B342="","",盘货信息!B342)</f>
        <v/>
      </c>
      <c r="C342" s="18" t="str">
        <f>IF(盘货信息!C342="","",盘货信息!C342)</f>
        <v/>
      </c>
      <c r="D342" s="18" t="str">
        <f t="shared" si="5"/>
        <v/>
      </c>
      <c r="E342" s="18" t="str">
        <f t="array" ref="E342">IF(C342="","",IF(_xlfn.XLOOKUP(A342&amp;B342&amp;C342,盘货信息!$A:$A&amp;盘货信息!$B:$B&amp;盘货信息!$C:$C,盘货信息!$N:$N)="","【立减到手价"&amp;_xlfn.XLOOKUP(A342&amp;B342&amp;C342,盘货信息!$A:$A&amp;盘货信息!$B:$B&amp;盘货信息!$C:$C,盘货信息!$F:$F)&amp;"元】","【焕新补贴预估价"&amp;_xlfn.XLOOKUP(A342&amp;B342&amp;C342,盘货信息!$A:$A&amp;盘货信息!$B:$B&amp;盘货信息!$C:$C,盘货信息!$N:$N)&amp;"元】"))</f>
        <v/>
      </c>
      <c r="F342" s="18" t="str">
        <f t="array" ref="F342">IF(C342="","",_xlfn.XLOOKUP(A342&amp;B342&amp;C342,盘货信息!$A:$A&amp;盘货信息!$B:$B&amp;盘货信息!$C:$C,盘货信息!$E:$E)&amp;"元到手价")</f>
        <v/>
      </c>
      <c r="G342" s="18" t="str">
        <f t="array" ref="G342">IF(C342="","",IF(_xlfn.XLOOKUP(A342&amp;B342&amp;C342,盘货信息!$A:$A&amp;盘货信息!$B:$B&amp;盘货信息!$C:$C,盘货信息!$I:$I)="","","88VIP95折"))</f>
        <v/>
      </c>
      <c r="H342" s="18" t="str">
        <f t="array" ref="H342">IF(C342="","",IF(_xlfn.XLOOKUP(A342&amp;B342&amp;C342,盘货信息!$A:$A&amp;盘货信息!$B:$B&amp;盘货信息!$C:$C,盘货信息!$J:$J)="","",_xlfn.XLOOKUP(A342&amp;B342&amp;C342,盘货信息!$A:$A&amp;盘货信息!$B:$B&amp;盘货信息!$C:$C,盘货信息!$J:$J)&amp;"元优惠卷"))</f>
        <v/>
      </c>
      <c r="I342" s="18" t="str">
        <f t="array" ref="I342">IF(C342="","",IF(_xlfn.XLOOKUP(A342&amp;B342&amp;C342,盘货信息!$A:$A&amp;盘货信息!$B:$B&amp;盘货信息!$C:$C,盘货信息!$R:$R)="","",_xlfn.XLOOKUP(A342&amp;B342&amp;C342,盘货信息!$A:$A&amp;盘货信息!$B:$B&amp;盘货信息!$C:$C,盘货信息!$R:$R)&amp;"元优惠卷"))</f>
        <v/>
      </c>
      <c r="J342" s="18" t="str">
        <f t="array" ref="J342">IF(C342="","",IF(_xlfn.XLOOKUP(A342&amp;B342&amp;C342,盘货信息!$A:$A&amp;盘货信息!$B:$B&amp;盘货信息!$C:$C,盘货信息!$K:$K)="","",IF(OR(_xlfn.XLOOKUP(A342&amp;B342&amp;C342,盘货信息!$A:$A&amp;盘货信息!$B:$B&amp;盘货信息!$C:$C,盘货信息!$G:$G)="参加",_xlfn.XLOOKUP(A342&amp;B342&amp;C342,盘货信息!$A:$A&amp;盘货信息!$B:$B&amp;盘货信息!$C:$C,盘货信息!$H:$H)="1（纯自补）"),_xlfn.XLOOKUP(A342&amp;B342&amp;C342,盘货信息!$A:$A&amp;盘货信息!$B:$B&amp;盘货信息!$C:$C,盘货信息!$K:$K)&amp;"元以旧换新（可无旧机换新）","")))</f>
        <v/>
      </c>
      <c r="K342" s="18" t="str">
        <f t="array" ref="K342">IF(C342="","",IF(_xlfn.XLOOKUP(A342&amp;B342&amp;C342,盘货信息!$A:$A&amp;盘货信息!$B:$B&amp;盘货信息!$C:$C,盘货信息!$L:$L)="","",_xlfn.XLOOKUP(A342&amp;B342&amp;C342,盘货信息!$A:$A&amp;盘货信息!$B:$B&amp;盘货信息!$C:$C,盘货信息!$L:$L)&amp;"元限时补贴"))</f>
        <v/>
      </c>
      <c r="L342" s="18" t="str">
        <f t="array" ref="L342">IF(C342="","",IF(_xlfn.XLOOKUP(A342&amp;B342&amp;C342,盘货信息!$A:$A&amp;盘货信息!$B:$B&amp;盘货信息!$C:$C,盘货信息!$M:$M)="","",_xlfn.XLOOKUP(A342&amp;B342&amp;C342,盘货信息!$A:$A&amp;盘货信息!$B:$B&amp;盘货信息!$C:$C,盘货信息!$M:$M)&amp;"元消费券"))</f>
        <v/>
      </c>
      <c r="M342" s="18" t="str">
        <f t="array" ref="M342">IF(C342="","",IF(_xlfn.XLOOKUP(A342&amp;B342&amp;C342,盘货信息!$A:$A&amp;盘货信息!$B:$B&amp;盘货信息!$C:$C,盘货信息!$G:$G)="不参加","","焕新补贴优惠【全民可用，不限地址】"))</f>
        <v/>
      </c>
    </row>
    <row r="343" customHeight="1" spans="1:13">
      <c r="A343" s="17" t="str">
        <f>IF(盘货信息!A343="","",盘货信息!A343)</f>
        <v/>
      </c>
      <c r="B343" s="17" t="str">
        <f>IF(盘货信息!B343="","",盘货信息!B343)</f>
        <v/>
      </c>
      <c r="C343" s="18" t="str">
        <f>IF(盘货信息!C343="","",盘货信息!C343)</f>
        <v/>
      </c>
      <c r="D343" s="18" t="str">
        <f t="shared" si="5"/>
        <v/>
      </c>
      <c r="E343" s="18" t="str">
        <f t="array" ref="E343">IF(C343="","",IF(_xlfn.XLOOKUP(A343&amp;B343&amp;C343,盘货信息!$A:$A&amp;盘货信息!$B:$B&amp;盘货信息!$C:$C,盘货信息!$N:$N)="","【立减到手价"&amp;_xlfn.XLOOKUP(A343&amp;B343&amp;C343,盘货信息!$A:$A&amp;盘货信息!$B:$B&amp;盘货信息!$C:$C,盘货信息!$F:$F)&amp;"元】","【焕新补贴预估价"&amp;_xlfn.XLOOKUP(A343&amp;B343&amp;C343,盘货信息!$A:$A&amp;盘货信息!$B:$B&amp;盘货信息!$C:$C,盘货信息!$N:$N)&amp;"元】"))</f>
        <v/>
      </c>
      <c r="F343" s="18" t="str">
        <f t="array" ref="F343">IF(C343="","",_xlfn.XLOOKUP(A343&amp;B343&amp;C343,盘货信息!$A:$A&amp;盘货信息!$B:$B&amp;盘货信息!$C:$C,盘货信息!$E:$E)&amp;"元到手价")</f>
        <v/>
      </c>
      <c r="G343" s="18" t="str">
        <f t="array" ref="G343">IF(C343="","",IF(_xlfn.XLOOKUP(A343&amp;B343&amp;C343,盘货信息!$A:$A&amp;盘货信息!$B:$B&amp;盘货信息!$C:$C,盘货信息!$I:$I)="","","88VIP95折"))</f>
        <v/>
      </c>
      <c r="H343" s="18" t="str">
        <f t="array" ref="H343">IF(C343="","",IF(_xlfn.XLOOKUP(A343&amp;B343&amp;C343,盘货信息!$A:$A&amp;盘货信息!$B:$B&amp;盘货信息!$C:$C,盘货信息!$J:$J)="","",_xlfn.XLOOKUP(A343&amp;B343&amp;C343,盘货信息!$A:$A&amp;盘货信息!$B:$B&amp;盘货信息!$C:$C,盘货信息!$J:$J)&amp;"元优惠卷"))</f>
        <v/>
      </c>
      <c r="I343" s="18" t="str">
        <f t="array" ref="I343">IF(C343="","",IF(_xlfn.XLOOKUP(A343&amp;B343&amp;C343,盘货信息!$A:$A&amp;盘货信息!$B:$B&amp;盘货信息!$C:$C,盘货信息!$R:$R)="","",_xlfn.XLOOKUP(A343&amp;B343&amp;C343,盘货信息!$A:$A&amp;盘货信息!$B:$B&amp;盘货信息!$C:$C,盘货信息!$R:$R)&amp;"元优惠卷"))</f>
        <v/>
      </c>
      <c r="J343" s="18" t="str">
        <f t="array" ref="J343">IF(C343="","",IF(_xlfn.XLOOKUP(A343&amp;B343&amp;C343,盘货信息!$A:$A&amp;盘货信息!$B:$B&amp;盘货信息!$C:$C,盘货信息!$K:$K)="","",IF(OR(_xlfn.XLOOKUP(A343&amp;B343&amp;C343,盘货信息!$A:$A&amp;盘货信息!$B:$B&amp;盘货信息!$C:$C,盘货信息!$G:$G)="参加",_xlfn.XLOOKUP(A343&amp;B343&amp;C343,盘货信息!$A:$A&amp;盘货信息!$B:$B&amp;盘货信息!$C:$C,盘货信息!$H:$H)="1（纯自补）"),_xlfn.XLOOKUP(A343&amp;B343&amp;C343,盘货信息!$A:$A&amp;盘货信息!$B:$B&amp;盘货信息!$C:$C,盘货信息!$K:$K)&amp;"元以旧换新（可无旧机换新）","")))</f>
        <v/>
      </c>
      <c r="K343" s="18" t="str">
        <f t="array" ref="K343">IF(C343="","",IF(_xlfn.XLOOKUP(A343&amp;B343&amp;C343,盘货信息!$A:$A&amp;盘货信息!$B:$B&amp;盘货信息!$C:$C,盘货信息!$L:$L)="","",_xlfn.XLOOKUP(A343&amp;B343&amp;C343,盘货信息!$A:$A&amp;盘货信息!$B:$B&amp;盘货信息!$C:$C,盘货信息!$L:$L)&amp;"元限时补贴"))</f>
        <v/>
      </c>
      <c r="L343" s="18" t="str">
        <f t="array" ref="L343">IF(C343="","",IF(_xlfn.XLOOKUP(A343&amp;B343&amp;C343,盘货信息!$A:$A&amp;盘货信息!$B:$B&amp;盘货信息!$C:$C,盘货信息!$M:$M)="","",_xlfn.XLOOKUP(A343&amp;B343&amp;C343,盘货信息!$A:$A&amp;盘货信息!$B:$B&amp;盘货信息!$C:$C,盘货信息!$M:$M)&amp;"元消费券"))</f>
        <v/>
      </c>
      <c r="M343" s="18" t="str">
        <f t="array" ref="M343">IF(C343="","",IF(_xlfn.XLOOKUP(A343&amp;B343&amp;C343,盘货信息!$A:$A&amp;盘货信息!$B:$B&amp;盘货信息!$C:$C,盘货信息!$G:$G)="不参加","","焕新补贴优惠【全民可用，不限地址】"))</f>
        <v/>
      </c>
    </row>
    <row r="344" customHeight="1" spans="1:13">
      <c r="A344" s="17" t="str">
        <f>IF(盘货信息!A344="","",盘货信息!A344)</f>
        <v/>
      </c>
      <c r="B344" s="17" t="str">
        <f>IF(盘货信息!B344="","",盘货信息!B344)</f>
        <v/>
      </c>
      <c r="C344" s="18" t="str">
        <f>IF(盘货信息!C344="","",盘货信息!C344)</f>
        <v/>
      </c>
      <c r="D344" s="18" t="str">
        <f t="shared" si="5"/>
        <v/>
      </c>
      <c r="E344" s="18" t="str">
        <f t="array" ref="E344">IF(C344="","",IF(_xlfn.XLOOKUP(A344&amp;B344&amp;C344,盘货信息!$A:$A&amp;盘货信息!$B:$B&amp;盘货信息!$C:$C,盘货信息!$N:$N)="","【立减到手价"&amp;_xlfn.XLOOKUP(A344&amp;B344&amp;C344,盘货信息!$A:$A&amp;盘货信息!$B:$B&amp;盘货信息!$C:$C,盘货信息!$F:$F)&amp;"元】","【焕新补贴预估价"&amp;_xlfn.XLOOKUP(A344&amp;B344&amp;C344,盘货信息!$A:$A&amp;盘货信息!$B:$B&amp;盘货信息!$C:$C,盘货信息!$N:$N)&amp;"元】"))</f>
        <v/>
      </c>
      <c r="F344" s="18" t="str">
        <f t="array" ref="F344">IF(C344="","",_xlfn.XLOOKUP(A344&amp;B344&amp;C344,盘货信息!$A:$A&amp;盘货信息!$B:$B&amp;盘货信息!$C:$C,盘货信息!$E:$E)&amp;"元到手价")</f>
        <v/>
      </c>
      <c r="G344" s="18" t="str">
        <f t="array" ref="G344">IF(C344="","",IF(_xlfn.XLOOKUP(A344&amp;B344&amp;C344,盘货信息!$A:$A&amp;盘货信息!$B:$B&amp;盘货信息!$C:$C,盘货信息!$I:$I)="","","88VIP95折"))</f>
        <v/>
      </c>
      <c r="H344" s="18" t="str">
        <f t="array" ref="H344">IF(C344="","",IF(_xlfn.XLOOKUP(A344&amp;B344&amp;C344,盘货信息!$A:$A&amp;盘货信息!$B:$B&amp;盘货信息!$C:$C,盘货信息!$J:$J)="","",_xlfn.XLOOKUP(A344&amp;B344&amp;C344,盘货信息!$A:$A&amp;盘货信息!$B:$B&amp;盘货信息!$C:$C,盘货信息!$J:$J)&amp;"元优惠卷"))</f>
        <v/>
      </c>
      <c r="I344" s="18" t="str">
        <f t="array" ref="I344">IF(C344="","",IF(_xlfn.XLOOKUP(A344&amp;B344&amp;C344,盘货信息!$A:$A&amp;盘货信息!$B:$B&amp;盘货信息!$C:$C,盘货信息!$R:$R)="","",_xlfn.XLOOKUP(A344&amp;B344&amp;C344,盘货信息!$A:$A&amp;盘货信息!$B:$B&amp;盘货信息!$C:$C,盘货信息!$R:$R)&amp;"元优惠卷"))</f>
        <v/>
      </c>
      <c r="J344" s="18" t="str">
        <f t="array" ref="J344">IF(C344="","",IF(_xlfn.XLOOKUP(A344&amp;B344&amp;C344,盘货信息!$A:$A&amp;盘货信息!$B:$B&amp;盘货信息!$C:$C,盘货信息!$K:$K)="","",IF(OR(_xlfn.XLOOKUP(A344&amp;B344&amp;C344,盘货信息!$A:$A&amp;盘货信息!$B:$B&amp;盘货信息!$C:$C,盘货信息!$G:$G)="参加",_xlfn.XLOOKUP(A344&amp;B344&amp;C344,盘货信息!$A:$A&amp;盘货信息!$B:$B&amp;盘货信息!$C:$C,盘货信息!$H:$H)="1（纯自补）"),_xlfn.XLOOKUP(A344&amp;B344&amp;C344,盘货信息!$A:$A&amp;盘货信息!$B:$B&amp;盘货信息!$C:$C,盘货信息!$K:$K)&amp;"元以旧换新（可无旧机换新）","")))</f>
        <v/>
      </c>
      <c r="K344" s="18" t="str">
        <f t="array" ref="K344">IF(C344="","",IF(_xlfn.XLOOKUP(A344&amp;B344&amp;C344,盘货信息!$A:$A&amp;盘货信息!$B:$B&amp;盘货信息!$C:$C,盘货信息!$L:$L)="","",_xlfn.XLOOKUP(A344&amp;B344&amp;C344,盘货信息!$A:$A&amp;盘货信息!$B:$B&amp;盘货信息!$C:$C,盘货信息!$L:$L)&amp;"元限时补贴"))</f>
        <v/>
      </c>
      <c r="L344" s="18" t="str">
        <f t="array" ref="L344">IF(C344="","",IF(_xlfn.XLOOKUP(A344&amp;B344&amp;C344,盘货信息!$A:$A&amp;盘货信息!$B:$B&amp;盘货信息!$C:$C,盘货信息!$M:$M)="","",_xlfn.XLOOKUP(A344&amp;B344&amp;C344,盘货信息!$A:$A&amp;盘货信息!$B:$B&amp;盘货信息!$C:$C,盘货信息!$M:$M)&amp;"元消费券"))</f>
        <v/>
      </c>
      <c r="M344" s="18" t="str">
        <f t="array" ref="M344">IF(C344="","",IF(_xlfn.XLOOKUP(A344&amp;B344&amp;C344,盘货信息!$A:$A&amp;盘货信息!$B:$B&amp;盘货信息!$C:$C,盘货信息!$G:$G)="不参加","","焕新补贴优惠【全民可用，不限地址】"))</f>
        <v/>
      </c>
    </row>
    <row r="345" customHeight="1" spans="1:13">
      <c r="A345" s="17" t="str">
        <f>IF(盘货信息!A345="","",盘货信息!A345)</f>
        <v/>
      </c>
      <c r="B345" s="17" t="str">
        <f>IF(盘货信息!B345="","",盘货信息!B345)</f>
        <v/>
      </c>
      <c r="C345" s="18" t="str">
        <f>IF(盘货信息!C345="","",盘货信息!C345)</f>
        <v/>
      </c>
      <c r="D345" s="18" t="str">
        <f t="shared" si="5"/>
        <v/>
      </c>
      <c r="E345" s="18" t="str">
        <f t="array" ref="E345">IF(C345="","",IF(_xlfn.XLOOKUP(A345&amp;B345&amp;C345,盘货信息!$A:$A&amp;盘货信息!$B:$B&amp;盘货信息!$C:$C,盘货信息!$N:$N)="","【立减到手价"&amp;_xlfn.XLOOKUP(A345&amp;B345&amp;C345,盘货信息!$A:$A&amp;盘货信息!$B:$B&amp;盘货信息!$C:$C,盘货信息!$F:$F)&amp;"元】","【焕新补贴预估价"&amp;_xlfn.XLOOKUP(A345&amp;B345&amp;C345,盘货信息!$A:$A&amp;盘货信息!$B:$B&amp;盘货信息!$C:$C,盘货信息!$N:$N)&amp;"元】"))</f>
        <v/>
      </c>
      <c r="F345" s="18" t="str">
        <f t="array" ref="F345">IF(C345="","",_xlfn.XLOOKUP(A345&amp;B345&amp;C345,盘货信息!$A:$A&amp;盘货信息!$B:$B&amp;盘货信息!$C:$C,盘货信息!$E:$E)&amp;"元到手价")</f>
        <v/>
      </c>
      <c r="G345" s="18" t="str">
        <f t="array" ref="G345">IF(C345="","",IF(_xlfn.XLOOKUP(A345&amp;B345&amp;C345,盘货信息!$A:$A&amp;盘货信息!$B:$B&amp;盘货信息!$C:$C,盘货信息!$I:$I)="","","88VIP95折"))</f>
        <v/>
      </c>
      <c r="H345" s="18" t="str">
        <f t="array" ref="H345">IF(C345="","",IF(_xlfn.XLOOKUP(A345&amp;B345&amp;C345,盘货信息!$A:$A&amp;盘货信息!$B:$B&amp;盘货信息!$C:$C,盘货信息!$J:$J)="","",_xlfn.XLOOKUP(A345&amp;B345&amp;C345,盘货信息!$A:$A&amp;盘货信息!$B:$B&amp;盘货信息!$C:$C,盘货信息!$J:$J)&amp;"元优惠卷"))</f>
        <v/>
      </c>
      <c r="I345" s="18" t="str">
        <f t="array" ref="I345">IF(C345="","",IF(_xlfn.XLOOKUP(A345&amp;B345&amp;C345,盘货信息!$A:$A&amp;盘货信息!$B:$B&amp;盘货信息!$C:$C,盘货信息!$R:$R)="","",_xlfn.XLOOKUP(A345&amp;B345&amp;C345,盘货信息!$A:$A&amp;盘货信息!$B:$B&amp;盘货信息!$C:$C,盘货信息!$R:$R)&amp;"元优惠卷"))</f>
        <v/>
      </c>
      <c r="J345" s="18" t="str">
        <f t="array" ref="J345">IF(C345="","",IF(_xlfn.XLOOKUP(A345&amp;B345&amp;C345,盘货信息!$A:$A&amp;盘货信息!$B:$B&amp;盘货信息!$C:$C,盘货信息!$K:$K)="","",IF(OR(_xlfn.XLOOKUP(A345&amp;B345&amp;C345,盘货信息!$A:$A&amp;盘货信息!$B:$B&amp;盘货信息!$C:$C,盘货信息!$G:$G)="参加",_xlfn.XLOOKUP(A345&amp;B345&amp;C345,盘货信息!$A:$A&amp;盘货信息!$B:$B&amp;盘货信息!$C:$C,盘货信息!$H:$H)="1（纯自补）"),_xlfn.XLOOKUP(A345&amp;B345&amp;C345,盘货信息!$A:$A&amp;盘货信息!$B:$B&amp;盘货信息!$C:$C,盘货信息!$K:$K)&amp;"元以旧换新（可无旧机换新）","")))</f>
        <v/>
      </c>
      <c r="K345" s="18" t="str">
        <f t="array" ref="K345">IF(C345="","",IF(_xlfn.XLOOKUP(A345&amp;B345&amp;C345,盘货信息!$A:$A&amp;盘货信息!$B:$B&amp;盘货信息!$C:$C,盘货信息!$L:$L)="","",_xlfn.XLOOKUP(A345&amp;B345&amp;C345,盘货信息!$A:$A&amp;盘货信息!$B:$B&amp;盘货信息!$C:$C,盘货信息!$L:$L)&amp;"元限时补贴"))</f>
        <v/>
      </c>
      <c r="L345" s="18" t="str">
        <f t="array" ref="L345">IF(C345="","",IF(_xlfn.XLOOKUP(A345&amp;B345&amp;C345,盘货信息!$A:$A&amp;盘货信息!$B:$B&amp;盘货信息!$C:$C,盘货信息!$M:$M)="","",_xlfn.XLOOKUP(A345&amp;B345&amp;C345,盘货信息!$A:$A&amp;盘货信息!$B:$B&amp;盘货信息!$C:$C,盘货信息!$M:$M)&amp;"元消费券"))</f>
        <v/>
      </c>
      <c r="M345" s="18" t="str">
        <f t="array" ref="M345">IF(C345="","",IF(_xlfn.XLOOKUP(A345&amp;B345&amp;C345,盘货信息!$A:$A&amp;盘货信息!$B:$B&amp;盘货信息!$C:$C,盘货信息!$G:$G)="不参加","","焕新补贴优惠【全民可用，不限地址】"))</f>
        <v/>
      </c>
    </row>
    <row r="346" customHeight="1" spans="1:13">
      <c r="A346" s="17" t="str">
        <f>IF(盘货信息!A346="","",盘货信息!A346)</f>
        <v/>
      </c>
      <c r="B346" s="17" t="str">
        <f>IF(盘货信息!B346="","",盘货信息!B346)</f>
        <v/>
      </c>
      <c r="C346" s="18" t="str">
        <f>IF(盘货信息!C346="","",盘货信息!C346)</f>
        <v/>
      </c>
      <c r="D346" s="18" t="str">
        <f t="shared" si="5"/>
        <v/>
      </c>
      <c r="E346" s="18" t="str">
        <f t="array" ref="E346">IF(C346="","",IF(_xlfn.XLOOKUP(A346&amp;B346&amp;C346,盘货信息!$A:$A&amp;盘货信息!$B:$B&amp;盘货信息!$C:$C,盘货信息!$N:$N)="","【立减到手价"&amp;_xlfn.XLOOKUP(A346&amp;B346&amp;C346,盘货信息!$A:$A&amp;盘货信息!$B:$B&amp;盘货信息!$C:$C,盘货信息!$F:$F)&amp;"元】","【焕新补贴预估价"&amp;_xlfn.XLOOKUP(A346&amp;B346&amp;C346,盘货信息!$A:$A&amp;盘货信息!$B:$B&amp;盘货信息!$C:$C,盘货信息!$N:$N)&amp;"元】"))</f>
        <v/>
      </c>
      <c r="F346" s="18" t="str">
        <f t="array" ref="F346">IF(C346="","",_xlfn.XLOOKUP(A346&amp;B346&amp;C346,盘货信息!$A:$A&amp;盘货信息!$B:$B&amp;盘货信息!$C:$C,盘货信息!$E:$E)&amp;"元到手价")</f>
        <v/>
      </c>
      <c r="G346" s="18" t="str">
        <f t="array" ref="G346">IF(C346="","",IF(_xlfn.XLOOKUP(A346&amp;B346&amp;C346,盘货信息!$A:$A&amp;盘货信息!$B:$B&amp;盘货信息!$C:$C,盘货信息!$I:$I)="","","88VIP95折"))</f>
        <v/>
      </c>
      <c r="H346" s="18" t="str">
        <f t="array" ref="H346">IF(C346="","",IF(_xlfn.XLOOKUP(A346&amp;B346&amp;C346,盘货信息!$A:$A&amp;盘货信息!$B:$B&amp;盘货信息!$C:$C,盘货信息!$J:$J)="","",_xlfn.XLOOKUP(A346&amp;B346&amp;C346,盘货信息!$A:$A&amp;盘货信息!$B:$B&amp;盘货信息!$C:$C,盘货信息!$J:$J)&amp;"元优惠卷"))</f>
        <v/>
      </c>
      <c r="I346" s="18" t="str">
        <f t="array" ref="I346">IF(C346="","",IF(_xlfn.XLOOKUP(A346&amp;B346&amp;C346,盘货信息!$A:$A&amp;盘货信息!$B:$B&amp;盘货信息!$C:$C,盘货信息!$R:$R)="","",_xlfn.XLOOKUP(A346&amp;B346&amp;C346,盘货信息!$A:$A&amp;盘货信息!$B:$B&amp;盘货信息!$C:$C,盘货信息!$R:$R)&amp;"元优惠卷"))</f>
        <v/>
      </c>
      <c r="J346" s="18" t="str">
        <f t="array" ref="J346">IF(C346="","",IF(_xlfn.XLOOKUP(A346&amp;B346&amp;C346,盘货信息!$A:$A&amp;盘货信息!$B:$B&amp;盘货信息!$C:$C,盘货信息!$K:$K)="","",IF(OR(_xlfn.XLOOKUP(A346&amp;B346&amp;C346,盘货信息!$A:$A&amp;盘货信息!$B:$B&amp;盘货信息!$C:$C,盘货信息!$G:$G)="参加",_xlfn.XLOOKUP(A346&amp;B346&amp;C346,盘货信息!$A:$A&amp;盘货信息!$B:$B&amp;盘货信息!$C:$C,盘货信息!$H:$H)="1（纯自补）"),_xlfn.XLOOKUP(A346&amp;B346&amp;C346,盘货信息!$A:$A&amp;盘货信息!$B:$B&amp;盘货信息!$C:$C,盘货信息!$K:$K)&amp;"元以旧换新（可无旧机换新）","")))</f>
        <v/>
      </c>
      <c r="K346" s="18" t="str">
        <f t="array" ref="K346">IF(C346="","",IF(_xlfn.XLOOKUP(A346&amp;B346&amp;C346,盘货信息!$A:$A&amp;盘货信息!$B:$B&amp;盘货信息!$C:$C,盘货信息!$L:$L)="","",_xlfn.XLOOKUP(A346&amp;B346&amp;C346,盘货信息!$A:$A&amp;盘货信息!$B:$B&amp;盘货信息!$C:$C,盘货信息!$L:$L)&amp;"元限时补贴"))</f>
        <v/>
      </c>
      <c r="L346" s="18" t="str">
        <f t="array" ref="L346">IF(C346="","",IF(_xlfn.XLOOKUP(A346&amp;B346&amp;C346,盘货信息!$A:$A&amp;盘货信息!$B:$B&amp;盘货信息!$C:$C,盘货信息!$M:$M)="","",_xlfn.XLOOKUP(A346&amp;B346&amp;C346,盘货信息!$A:$A&amp;盘货信息!$B:$B&amp;盘货信息!$C:$C,盘货信息!$M:$M)&amp;"元消费券"))</f>
        <v/>
      </c>
      <c r="M346" s="18" t="str">
        <f t="array" ref="M346">IF(C346="","",IF(_xlfn.XLOOKUP(A346&amp;B346&amp;C346,盘货信息!$A:$A&amp;盘货信息!$B:$B&amp;盘货信息!$C:$C,盘货信息!$G:$G)="不参加","","焕新补贴优惠【全民可用，不限地址】"))</f>
        <v/>
      </c>
    </row>
    <row r="347" customHeight="1" spans="1:13">
      <c r="A347" s="17" t="str">
        <f>IF(盘货信息!A347="","",盘货信息!A347)</f>
        <v/>
      </c>
      <c r="B347" s="17" t="str">
        <f>IF(盘货信息!B347="","",盘货信息!B347)</f>
        <v/>
      </c>
      <c r="C347" s="18" t="str">
        <f>IF(盘货信息!C347="","",盘货信息!C347)</f>
        <v/>
      </c>
      <c r="D347" s="18" t="str">
        <f t="shared" si="5"/>
        <v/>
      </c>
      <c r="E347" s="18" t="str">
        <f t="array" ref="E347">IF(C347="","",IF(_xlfn.XLOOKUP(A347&amp;B347&amp;C347,盘货信息!$A:$A&amp;盘货信息!$B:$B&amp;盘货信息!$C:$C,盘货信息!$N:$N)="","【立减到手价"&amp;_xlfn.XLOOKUP(A347&amp;B347&amp;C347,盘货信息!$A:$A&amp;盘货信息!$B:$B&amp;盘货信息!$C:$C,盘货信息!$F:$F)&amp;"元】","【焕新补贴预估价"&amp;_xlfn.XLOOKUP(A347&amp;B347&amp;C347,盘货信息!$A:$A&amp;盘货信息!$B:$B&amp;盘货信息!$C:$C,盘货信息!$N:$N)&amp;"元】"))</f>
        <v/>
      </c>
      <c r="F347" s="18" t="str">
        <f t="array" ref="F347">IF(C347="","",_xlfn.XLOOKUP(A347&amp;B347&amp;C347,盘货信息!$A:$A&amp;盘货信息!$B:$B&amp;盘货信息!$C:$C,盘货信息!$E:$E)&amp;"元到手价")</f>
        <v/>
      </c>
      <c r="G347" s="18" t="str">
        <f t="array" ref="G347">IF(C347="","",IF(_xlfn.XLOOKUP(A347&amp;B347&amp;C347,盘货信息!$A:$A&amp;盘货信息!$B:$B&amp;盘货信息!$C:$C,盘货信息!$I:$I)="","","88VIP95折"))</f>
        <v/>
      </c>
      <c r="H347" s="18" t="str">
        <f t="array" ref="H347">IF(C347="","",IF(_xlfn.XLOOKUP(A347&amp;B347&amp;C347,盘货信息!$A:$A&amp;盘货信息!$B:$B&amp;盘货信息!$C:$C,盘货信息!$J:$J)="","",_xlfn.XLOOKUP(A347&amp;B347&amp;C347,盘货信息!$A:$A&amp;盘货信息!$B:$B&amp;盘货信息!$C:$C,盘货信息!$J:$J)&amp;"元优惠卷"))</f>
        <v/>
      </c>
      <c r="I347" s="18" t="str">
        <f t="array" ref="I347">IF(C347="","",IF(_xlfn.XLOOKUP(A347&amp;B347&amp;C347,盘货信息!$A:$A&amp;盘货信息!$B:$B&amp;盘货信息!$C:$C,盘货信息!$R:$R)="","",_xlfn.XLOOKUP(A347&amp;B347&amp;C347,盘货信息!$A:$A&amp;盘货信息!$B:$B&amp;盘货信息!$C:$C,盘货信息!$R:$R)&amp;"元优惠卷"))</f>
        <v/>
      </c>
      <c r="J347" s="18" t="str">
        <f t="array" ref="J347">IF(C347="","",IF(_xlfn.XLOOKUP(A347&amp;B347&amp;C347,盘货信息!$A:$A&amp;盘货信息!$B:$B&amp;盘货信息!$C:$C,盘货信息!$K:$K)="","",IF(OR(_xlfn.XLOOKUP(A347&amp;B347&amp;C347,盘货信息!$A:$A&amp;盘货信息!$B:$B&amp;盘货信息!$C:$C,盘货信息!$G:$G)="参加",_xlfn.XLOOKUP(A347&amp;B347&amp;C347,盘货信息!$A:$A&amp;盘货信息!$B:$B&amp;盘货信息!$C:$C,盘货信息!$H:$H)="1（纯自补）"),_xlfn.XLOOKUP(A347&amp;B347&amp;C347,盘货信息!$A:$A&amp;盘货信息!$B:$B&amp;盘货信息!$C:$C,盘货信息!$K:$K)&amp;"元以旧换新（可无旧机换新）","")))</f>
        <v/>
      </c>
      <c r="K347" s="18" t="str">
        <f t="array" ref="K347">IF(C347="","",IF(_xlfn.XLOOKUP(A347&amp;B347&amp;C347,盘货信息!$A:$A&amp;盘货信息!$B:$B&amp;盘货信息!$C:$C,盘货信息!$L:$L)="","",_xlfn.XLOOKUP(A347&amp;B347&amp;C347,盘货信息!$A:$A&amp;盘货信息!$B:$B&amp;盘货信息!$C:$C,盘货信息!$L:$L)&amp;"元限时补贴"))</f>
        <v/>
      </c>
      <c r="L347" s="18" t="str">
        <f t="array" ref="L347">IF(C347="","",IF(_xlfn.XLOOKUP(A347&amp;B347&amp;C347,盘货信息!$A:$A&amp;盘货信息!$B:$B&amp;盘货信息!$C:$C,盘货信息!$M:$M)="","",_xlfn.XLOOKUP(A347&amp;B347&amp;C347,盘货信息!$A:$A&amp;盘货信息!$B:$B&amp;盘货信息!$C:$C,盘货信息!$M:$M)&amp;"元消费券"))</f>
        <v/>
      </c>
      <c r="M347" s="18" t="str">
        <f t="array" ref="M347">IF(C347="","",IF(_xlfn.XLOOKUP(A347&amp;B347&amp;C347,盘货信息!$A:$A&amp;盘货信息!$B:$B&amp;盘货信息!$C:$C,盘货信息!$G:$G)="不参加","","焕新补贴优惠【全民可用，不限地址】"))</f>
        <v/>
      </c>
    </row>
    <row r="348" customHeight="1" spans="1:13">
      <c r="A348" s="17" t="str">
        <f>IF(盘货信息!A348="","",盘货信息!A348)</f>
        <v/>
      </c>
      <c r="B348" s="17" t="str">
        <f>IF(盘货信息!B348="","",盘货信息!B348)</f>
        <v/>
      </c>
      <c r="C348" s="18" t="str">
        <f>IF(盘货信息!C348="","",盘货信息!C348)</f>
        <v/>
      </c>
      <c r="D348" s="18" t="str">
        <f t="shared" si="5"/>
        <v/>
      </c>
      <c r="E348" s="18" t="str">
        <f t="array" ref="E348">IF(C348="","",IF(_xlfn.XLOOKUP(A348&amp;B348&amp;C348,盘货信息!$A:$A&amp;盘货信息!$B:$B&amp;盘货信息!$C:$C,盘货信息!$N:$N)="","【立减到手价"&amp;_xlfn.XLOOKUP(A348&amp;B348&amp;C348,盘货信息!$A:$A&amp;盘货信息!$B:$B&amp;盘货信息!$C:$C,盘货信息!$F:$F)&amp;"元】","【焕新补贴预估价"&amp;_xlfn.XLOOKUP(A348&amp;B348&amp;C348,盘货信息!$A:$A&amp;盘货信息!$B:$B&amp;盘货信息!$C:$C,盘货信息!$N:$N)&amp;"元】"))</f>
        <v/>
      </c>
      <c r="F348" s="18" t="str">
        <f t="array" ref="F348">IF(C348="","",_xlfn.XLOOKUP(A348&amp;B348&amp;C348,盘货信息!$A:$A&amp;盘货信息!$B:$B&amp;盘货信息!$C:$C,盘货信息!$E:$E)&amp;"元到手价")</f>
        <v/>
      </c>
      <c r="G348" s="18" t="str">
        <f t="array" ref="G348">IF(C348="","",IF(_xlfn.XLOOKUP(A348&amp;B348&amp;C348,盘货信息!$A:$A&amp;盘货信息!$B:$B&amp;盘货信息!$C:$C,盘货信息!$I:$I)="","","88VIP95折"))</f>
        <v/>
      </c>
      <c r="H348" s="18" t="str">
        <f t="array" ref="H348">IF(C348="","",IF(_xlfn.XLOOKUP(A348&amp;B348&amp;C348,盘货信息!$A:$A&amp;盘货信息!$B:$B&amp;盘货信息!$C:$C,盘货信息!$J:$J)="","",_xlfn.XLOOKUP(A348&amp;B348&amp;C348,盘货信息!$A:$A&amp;盘货信息!$B:$B&amp;盘货信息!$C:$C,盘货信息!$J:$J)&amp;"元优惠卷"))</f>
        <v/>
      </c>
      <c r="I348" s="18" t="str">
        <f t="array" ref="I348">IF(C348="","",IF(_xlfn.XLOOKUP(A348&amp;B348&amp;C348,盘货信息!$A:$A&amp;盘货信息!$B:$B&amp;盘货信息!$C:$C,盘货信息!$R:$R)="","",_xlfn.XLOOKUP(A348&amp;B348&amp;C348,盘货信息!$A:$A&amp;盘货信息!$B:$B&amp;盘货信息!$C:$C,盘货信息!$R:$R)&amp;"元优惠卷"))</f>
        <v/>
      </c>
      <c r="J348" s="18" t="str">
        <f t="array" ref="J348">IF(C348="","",IF(_xlfn.XLOOKUP(A348&amp;B348&amp;C348,盘货信息!$A:$A&amp;盘货信息!$B:$B&amp;盘货信息!$C:$C,盘货信息!$K:$K)="","",IF(OR(_xlfn.XLOOKUP(A348&amp;B348&amp;C348,盘货信息!$A:$A&amp;盘货信息!$B:$B&amp;盘货信息!$C:$C,盘货信息!$G:$G)="参加",_xlfn.XLOOKUP(A348&amp;B348&amp;C348,盘货信息!$A:$A&amp;盘货信息!$B:$B&amp;盘货信息!$C:$C,盘货信息!$H:$H)="1（纯自补）"),_xlfn.XLOOKUP(A348&amp;B348&amp;C348,盘货信息!$A:$A&amp;盘货信息!$B:$B&amp;盘货信息!$C:$C,盘货信息!$K:$K)&amp;"元以旧换新（可无旧机换新）","")))</f>
        <v/>
      </c>
      <c r="K348" s="18" t="str">
        <f t="array" ref="K348">IF(C348="","",IF(_xlfn.XLOOKUP(A348&amp;B348&amp;C348,盘货信息!$A:$A&amp;盘货信息!$B:$B&amp;盘货信息!$C:$C,盘货信息!$L:$L)="","",_xlfn.XLOOKUP(A348&amp;B348&amp;C348,盘货信息!$A:$A&amp;盘货信息!$B:$B&amp;盘货信息!$C:$C,盘货信息!$L:$L)&amp;"元限时补贴"))</f>
        <v/>
      </c>
      <c r="L348" s="18" t="str">
        <f t="array" ref="L348">IF(C348="","",IF(_xlfn.XLOOKUP(A348&amp;B348&amp;C348,盘货信息!$A:$A&amp;盘货信息!$B:$B&amp;盘货信息!$C:$C,盘货信息!$M:$M)="","",_xlfn.XLOOKUP(A348&amp;B348&amp;C348,盘货信息!$A:$A&amp;盘货信息!$B:$B&amp;盘货信息!$C:$C,盘货信息!$M:$M)&amp;"元消费券"))</f>
        <v/>
      </c>
      <c r="M348" s="18" t="str">
        <f t="array" ref="M348">IF(C348="","",IF(_xlfn.XLOOKUP(A348&amp;B348&amp;C348,盘货信息!$A:$A&amp;盘货信息!$B:$B&amp;盘货信息!$C:$C,盘货信息!$G:$G)="不参加","","焕新补贴优惠【全民可用，不限地址】"))</f>
        <v/>
      </c>
    </row>
    <row r="349" customHeight="1" spans="1:13">
      <c r="A349" s="17" t="str">
        <f>IF(盘货信息!A349="","",盘货信息!A349)</f>
        <v/>
      </c>
      <c r="B349" s="17" t="str">
        <f>IF(盘货信息!B349="","",盘货信息!B349)</f>
        <v/>
      </c>
      <c r="C349" s="18" t="str">
        <f>IF(盘货信息!C349="","",盘货信息!C349)</f>
        <v/>
      </c>
      <c r="D349" s="18" t="str">
        <f t="shared" si="5"/>
        <v/>
      </c>
      <c r="E349" s="18" t="str">
        <f t="array" ref="E349">IF(C349="","",IF(_xlfn.XLOOKUP(A349&amp;B349&amp;C349,盘货信息!$A:$A&amp;盘货信息!$B:$B&amp;盘货信息!$C:$C,盘货信息!$N:$N)="","【立减到手价"&amp;_xlfn.XLOOKUP(A349&amp;B349&amp;C349,盘货信息!$A:$A&amp;盘货信息!$B:$B&amp;盘货信息!$C:$C,盘货信息!$F:$F)&amp;"元】","【焕新补贴预估价"&amp;_xlfn.XLOOKUP(A349&amp;B349&amp;C349,盘货信息!$A:$A&amp;盘货信息!$B:$B&amp;盘货信息!$C:$C,盘货信息!$N:$N)&amp;"元】"))</f>
        <v/>
      </c>
      <c r="F349" s="18" t="str">
        <f t="array" ref="F349">IF(C349="","",_xlfn.XLOOKUP(A349&amp;B349&amp;C349,盘货信息!$A:$A&amp;盘货信息!$B:$B&amp;盘货信息!$C:$C,盘货信息!$E:$E)&amp;"元到手价")</f>
        <v/>
      </c>
      <c r="G349" s="18" t="str">
        <f t="array" ref="G349">IF(C349="","",IF(_xlfn.XLOOKUP(A349&amp;B349&amp;C349,盘货信息!$A:$A&amp;盘货信息!$B:$B&amp;盘货信息!$C:$C,盘货信息!$I:$I)="","","88VIP95折"))</f>
        <v/>
      </c>
      <c r="H349" s="18" t="str">
        <f t="array" ref="H349">IF(C349="","",IF(_xlfn.XLOOKUP(A349&amp;B349&amp;C349,盘货信息!$A:$A&amp;盘货信息!$B:$B&amp;盘货信息!$C:$C,盘货信息!$J:$J)="","",_xlfn.XLOOKUP(A349&amp;B349&amp;C349,盘货信息!$A:$A&amp;盘货信息!$B:$B&amp;盘货信息!$C:$C,盘货信息!$J:$J)&amp;"元优惠卷"))</f>
        <v/>
      </c>
      <c r="I349" s="18" t="str">
        <f t="array" ref="I349">IF(C349="","",IF(_xlfn.XLOOKUP(A349&amp;B349&amp;C349,盘货信息!$A:$A&amp;盘货信息!$B:$B&amp;盘货信息!$C:$C,盘货信息!$R:$R)="","",_xlfn.XLOOKUP(A349&amp;B349&amp;C349,盘货信息!$A:$A&amp;盘货信息!$B:$B&amp;盘货信息!$C:$C,盘货信息!$R:$R)&amp;"元优惠卷"))</f>
        <v/>
      </c>
      <c r="J349" s="18" t="str">
        <f t="array" ref="J349">IF(C349="","",IF(_xlfn.XLOOKUP(A349&amp;B349&amp;C349,盘货信息!$A:$A&amp;盘货信息!$B:$B&amp;盘货信息!$C:$C,盘货信息!$K:$K)="","",IF(OR(_xlfn.XLOOKUP(A349&amp;B349&amp;C349,盘货信息!$A:$A&amp;盘货信息!$B:$B&amp;盘货信息!$C:$C,盘货信息!$G:$G)="参加",_xlfn.XLOOKUP(A349&amp;B349&amp;C349,盘货信息!$A:$A&amp;盘货信息!$B:$B&amp;盘货信息!$C:$C,盘货信息!$H:$H)="1（纯自补）"),_xlfn.XLOOKUP(A349&amp;B349&amp;C349,盘货信息!$A:$A&amp;盘货信息!$B:$B&amp;盘货信息!$C:$C,盘货信息!$K:$K)&amp;"元以旧换新（可无旧机换新）","")))</f>
        <v/>
      </c>
      <c r="K349" s="18" t="str">
        <f t="array" ref="K349">IF(C349="","",IF(_xlfn.XLOOKUP(A349&amp;B349&amp;C349,盘货信息!$A:$A&amp;盘货信息!$B:$B&amp;盘货信息!$C:$C,盘货信息!$L:$L)="","",_xlfn.XLOOKUP(A349&amp;B349&amp;C349,盘货信息!$A:$A&amp;盘货信息!$B:$B&amp;盘货信息!$C:$C,盘货信息!$L:$L)&amp;"元限时补贴"))</f>
        <v/>
      </c>
      <c r="L349" s="18" t="str">
        <f t="array" ref="L349">IF(C349="","",IF(_xlfn.XLOOKUP(A349&amp;B349&amp;C349,盘货信息!$A:$A&amp;盘货信息!$B:$B&amp;盘货信息!$C:$C,盘货信息!$M:$M)="","",_xlfn.XLOOKUP(A349&amp;B349&amp;C349,盘货信息!$A:$A&amp;盘货信息!$B:$B&amp;盘货信息!$C:$C,盘货信息!$M:$M)&amp;"元消费券"))</f>
        <v/>
      </c>
      <c r="M349" s="18" t="str">
        <f t="array" ref="M349">IF(C349="","",IF(_xlfn.XLOOKUP(A349&amp;B349&amp;C349,盘货信息!$A:$A&amp;盘货信息!$B:$B&amp;盘货信息!$C:$C,盘货信息!$G:$G)="不参加","","焕新补贴优惠【全民可用，不限地址】"))</f>
        <v/>
      </c>
    </row>
    <row r="350" customHeight="1" spans="1:13">
      <c r="A350" s="17" t="str">
        <f>IF(盘货信息!A350="","",盘货信息!A350)</f>
        <v/>
      </c>
      <c r="B350" s="17" t="str">
        <f>IF(盘货信息!B350="","",盘货信息!B350)</f>
        <v/>
      </c>
      <c r="C350" s="18" t="str">
        <f>IF(盘货信息!C350="","",盘货信息!C350)</f>
        <v/>
      </c>
      <c r="D350" s="18" t="str">
        <f t="shared" si="5"/>
        <v/>
      </c>
      <c r="E350" s="18" t="str">
        <f t="array" ref="E350">IF(C350="","",IF(_xlfn.XLOOKUP(A350&amp;B350&amp;C350,盘货信息!$A:$A&amp;盘货信息!$B:$B&amp;盘货信息!$C:$C,盘货信息!$N:$N)="","【立减到手价"&amp;_xlfn.XLOOKUP(A350&amp;B350&amp;C350,盘货信息!$A:$A&amp;盘货信息!$B:$B&amp;盘货信息!$C:$C,盘货信息!$F:$F)&amp;"元】","【焕新补贴预估价"&amp;_xlfn.XLOOKUP(A350&amp;B350&amp;C350,盘货信息!$A:$A&amp;盘货信息!$B:$B&amp;盘货信息!$C:$C,盘货信息!$N:$N)&amp;"元】"))</f>
        <v/>
      </c>
      <c r="F350" s="18" t="str">
        <f t="array" ref="F350">IF(C350="","",_xlfn.XLOOKUP(A350&amp;B350&amp;C350,盘货信息!$A:$A&amp;盘货信息!$B:$B&amp;盘货信息!$C:$C,盘货信息!$E:$E)&amp;"元到手价")</f>
        <v/>
      </c>
      <c r="G350" s="18" t="str">
        <f t="array" ref="G350">IF(C350="","",IF(_xlfn.XLOOKUP(A350&amp;B350&amp;C350,盘货信息!$A:$A&amp;盘货信息!$B:$B&amp;盘货信息!$C:$C,盘货信息!$I:$I)="","","88VIP95折"))</f>
        <v/>
      </c>
      <c r="H350" s="18" t="str">
        <f t="array" ref="H350">IF(C350="","",IF(_xlfn.XLOOKUP(A350&amp;B350&amp;C350,盘货信息!$A:$A&amp;盘货信息!$B:$B&amp;盘货信息!$C:$C,盘货信息!$J:$J)="","",_xlfn.XLOOKUP(A350&amp;B350&amp;C350,盘货信息!$A:$A&amp;盘货信息!$B:$B&amp;盘货信息!$C:$C,盘货信息!$J:$J)&amp;"元优惠卷"))</f>
        <v/>
      </c>
      <c r="I350" s="18" t="str">
        <f t="array" ref="I350">IF(C350="","",IF(_xlfn.XLOOKUP(A350&amp;B350&amp;C350,盘货信息!$A:$A&amp;盘货信息!$B:$B&amp;盘货信息!$C:$C,盘货信息!$R:$R)="","",_xlfn.XLOOKUP(A350&amp;B350&amp;C350,盘货信息!$A:$A&amp;盘货信息!$B:$B&amp;盘货信息!$C:$C,盘货信息!$R:$R)&amp;"元优惠卷"))</f>
        <v/>
      </c>
      <c r="J350" s="18" t="str">
        <f t="array" ref="J350">IF(C350="","",IF(_xlfn.XLOOKUP(A350&amp;B350&amp;C350,盘货信息!$A:$A&amp;盘货信息!$B:$B&amp;盘货信息!$C:$C,盘货信息!$K:$K)="","",IF(OR(_xlfn.XLOOKUP(A350&amp;B350&amp;C350,盘货信息!$A:$A&amp;盘货信息!$B:$B&amp;盘货信息!$C:$C,盘货信息!$G:$G)="参加",_xlfn.XLOOKUP(A350&amp;B350&amp;C350,盘货信息!$A:$A&amp;盘货信息!$B:$B&amp;盘货信息!$C:$C,盘货信息!$H:$H)="1（纯自补）"),_xlfn.XLOOKUP(A350&amp;B350&amp;C350,盘货信息!$A:$A&amp;盘货信息!$B:$B&amp;盘货信息!$C:$C,盘货信息!$K:$K)&amp;"元以旧换新（可无旧机换新）","")))</f>
        <v/>
      </c>
      <c r="K350" s="18" t="str">
        <f t="array" ref="K350">IF(C350="","",IF(_xlfn.XLOOKUP(A350&amp;B350&amp;C350,盘货信息!$A:$A&amp;盘货信息!$B:$B&amp;盘货信息!$C:$C,盘货信息!$L:$L)="","",_xlfn.XLOOKUP(A350&amp;B350&amp;C350,盘货信息!$A:$A&amp;盘货信息!$B:$B&amp;盘货信息!$C:$C,盘货信息!$L:$L)&amp;"元限时补贴"))</f>
        <v/>
      </c>
      <c r="L350" s="18" t="str">
        <f t="array" ref="L350">IF(C350="","",IF(_xlfn.XLOOKUP(A350&amp;B350&amp;C350,盘货信息!$A:$A&amp;盘货信息!$B:$B&amp;盘货信息!$C:$C,盘货信息!$M:$M)="","",_xlfn.XLOOKUP(A350&amp;B350&amp;C350,盘货信息!$A:$A&amp;盘货信息!$B:$B&amp;盘货信息!$C:$C,盘货信息!$M:$M)&amp;"元消费券"))</f>
        <v/>
      </c>
      <c r="M350" s="18" t="str">
        <f t="array" ref="M350">IF(C350="","",IF(_xlfn.XLOOKUP(A350&amp;B350&amp;C350,盘货信息!$A:$A&amp;盘货信息!$B:$B&amp;盘货信息!$C:$C,盘货信息!$G:$G)="不参加","","焕新补贴优惠【全民可用，不限地址】"))</f>
        <v/>
      </c>
    </row>
    <row r="351" customHeight="1" spans="1:13">
      <c r="A351" s="17" t="str">
        <f>IF(盘货信息!A351="","",盘货信息!A351)</f>
        <v/>
      </c>
      <c r="B351" s="17" t="str">
        <f>IF(盘货信息!B351="","",盘货信息!B351)</f>
        <v/>
      </c>
      <c r="C351" s="18" t="str">
        <f>IF(盘货信息!C351="","",盘货信息!C351)</f>
        <v/>
      </c>
      <c r="D351" s="18" t="str">
        <f t="shared" si="5"/>
        <v/>
      </c>
      <c r="E351" s="18" t="str">
        <f t="array" ref="E351">IF(C351="","",IF(_xlfn.XLOOKUP(A351&amp;B351&amp;C351,盘货信息!$A:$A&amp;盘货信息!$B:$B&amp;盘货信息!$C:$C,盘货信息!$N:$N)="","【立减到手价"&amp;_xlfn.XLOOKUP(A351&amp;B351&amp;C351,盘货信息!$A:$A&amp;盘货信息!$B:$B&amp;盘货信息!$C:$C,盘货信息!$F:$F)&amp;"元】","【焕新补贴预估价"&amp;_xlfn.XLOOKUP(A351&amp;B351&amp;C351,盘货信息!$A:$A&amp;盘货信息!$B:$B&amp;盘货信息!$C:$C,盘货信息!$N:$N)&amp;"元】"))</f>
        <v/>
      </c>
      <c r="F351" s="18" t="str">
        <f t="array" ref="F351">IF(C351="","",_xlfn.XLOOKUP(A351&amp;B351&amp;C351,盘货信息!$A:$A&amp;盘货信息!$B:$B&amp;盘货信息!$C:$C,盘货信息!$E:$E)&amp;"元到手价")</f>
        <v/>
      </c>
      <c r="G351" s="18" t="str">
        <f t="array" ref="G351">IF(C351="","",IF(_xlfn.XLOOKUP(A351&amp;B351&amp;C351,盘货信息!$A:$A&amp;盘货信息!$B:$B&amp;盘货信息!$C:$C,盘货信息!$I:$I)="","","88VIP95折"))</f>
        <v/>
      </c>
      <c r="H351" s="18" t="str">
        <f t="array" ref="H351">IF(C351="","",IF(_xlfn.XLOOKUP(A351&amp;B351&amp;C351,盘货信息!$A:$A&amp;盘货信息!$B:$B&amp;盘货信息!$C:$C,盘货信息!$J:$J)="","",_xlfn.XLOOKUP(A351&amp;B351&amp;C351,盘货信息!$A:$A&amp;盘货信息!$B:$B&amp;盘货信息!$C:$C,盘货信息!$J:$J)&amp;"元优惠卷"))</f>
        <v/>
      </c>
      <c r="I351" s="18" t="str">
        <f t="array" ref="I351">IF(C351="","",IF(_xlfn.XLOOKUP(A351&amp;B351&amp;C351,盘货信息!$A:$A&amp;盘货信息!$B:$B&amp;盘货信息!$C:$C,盘货信息!$R:$R)="","",_xlfn.XLOOKUP(A351&amp;B351&amp;C351,盘货信息!$A:$A&amp;盘货信息!$B:$B&amp;盘货信息!$C:$C,盘货信息!$R:$R)&amp;"元优惠卷"))</f>
        <v/>
      </c>
      <c r="J351" s="18" t="str">
        <f t="array" ref="J351">IF(C351="","",IF(_xlfn.XLOOKUP(A351&amp;B351&amp;C351,盘货信息!$A:$A&amp;盘货信息!$B:$B&amp;盘货信息!$C:$C,盘货信息!$K:$K)="","",IF(OR(_xlfn.XLOOKUP(A351&amp;B351&amp;C351,盘货信息!$A:$A&amp;盘货信息!$B:$B&amp;盘货信息!$C:$C,盘货信息!$G:$G)="参加",_xlfn.XLOOKUP(A351&amp;B351&amp;C351,盘货信息!$A:$A&amp;盘货信息!$B:$B&amp;盘货信息!$C:$C,盘货信息!$H:$H)="1（纯自补）"),_xlfn.XLOOKUP(A351&amp;B351&amp;C351,盘货信息!$A:$A&amp;盘货信息!$B:$B&amp;盘货信息!$C:$C,盘货信息!$K:$K)&amp;"元以旧换新（可无旧机换新）","")))</f>
        <v/>
      </c>
      <c r="K351" s="18" t="str">
        <f t="array" ref="K351">IF(C351="","",IF(_xlfn.XLOOKUP(A351&amp;B351&amp;C351,盘货信息!$A:$A&amp;盘货信息!$B:$B&amp;盘货信息!$C:$C,盘货信息!$L:$L)="","",_xlfn.XLOOKUP(A351&amp;B351&amp;C351,盘货信息!$A:$A&amp;盘货信息!$B:$B&amp;盘货信息!$C:$C,盘货信息!$L:$L)&amp;"元限时补贴"))</f>
        <v/>
      </c>
      <c r="L351" s="18" t="str">
        <f t="array" ref="L351">IF(C351="","",IF(_xlfn.XLOOKUP(A351&amp;B351&amp;C351,盘货信息!$A:$A&amp;盘货信息!$B:$B&amp;盘货信息!$C:$C,盘货信息!$M:$M)="","",_xlfn.XLOOKUP(A351&amp;B351&amp;C351,盘货信息!$A:$A&amp;盘货信息!$B:$B&amp;盘货信息!$C:$C,盘货信息!$M:$M)&amp;"元消费券"))</f>
        <v/>
      </c>
      <c r="M351" s="18" t="str">
        <f t="array" ref="M351">IF(C351="","",IF(_xlfn.XLOOKUP(A351&amp;B351&amp;C351,盘货信息!$A:$A&amp;盘货信息!$B:$B&amp;盘货信息!$C:$C,盘货信息!$G:$G)="不参加","","焕新补贴优惠【全民可用，不限地址】"))</f>
        <v/>
      </c>
    </row>
    <row r="352" customHeight="1" spans="1:13">
      <c r="A352" s="17" t="str">
        <f>IF(盘货信息!A352="","",盘货信息!A352)</f>
        <v/>
      </c>
      <c r="B352" s="17" t="str">
        <f>IF(盘货信息!B352="","",盘货信息!B352)</f>
        <v/>
      </c>
      <c r="C352" s="18" t="str">
        <f>IF(盘货信息!C352="","",盘货信息!C352)</f>
        <v/>
      </c>
      <c r="D352" s="18" t="str">
        <f t="shared" si="5"/>
        <v/>
      </c>
      <c r="E352" s="18" t="str">
        <f t="array" ref="E352">IF(C352="","",IF(_xlfn.XLOOKUP(A352&amp;B352&amp;C352,盘货信息!$A:$A&amp;盘货信息!$B:$B&amp;盘货信息!$C:$C,盘货信息!$N:$N)="","【立减到手价"&amp;_xlfn.XLOOKUP(A352&amp;B352&amp;C352,盘货信息!$A:$A&amp;盘货信息!$B:$B&amp;盘货信息!$C:$C,盘货信息!$F:$F)&amp;"元】","【焕新补贴预估价"&amp;_xlfn.XLOOKUP(A352&amp;B352&amp;C352,盘货信息!$A:$A&amp;盘货信息!$B:$B&amp;盘货信息!$C:$C,盘货信息!$N:$N)&amp;"元】"))</f>
        <v/>
      </c>
      <c r="F352" s="18" t="str">
        <f t="array" ref="F352">IF(C352="","",_xlfn.XLOOKUP(A352&amp;B352&amp;C352,盘货信息!$A:$A&amp;盘货信息!$B:$B&amp;盘货信息!$C:$C,盘货信息!$E:$E)&amp;"元到手价")</f>
        <v/>
      </c>
      <c r="G352" s="18" t="str">
        <f t="array" ref="G352">IF(C352="","",IF(_xlfn.XLOOKUP(A352&amp;B352&amp;C352,盘货信息!$A:$A&amp;盘货信息!$B:$B&amp;盘货信息!$C:$C,盘货信息!$I:$I)="","","88VIP95折"))</f>
        <v/>
      </c>
      <c r="H352" s="18" t="str">
        <f t="array" ref="H352">IF(C352="","",IF(_xlfn.XLOOKUP(A352&amp;B352&amp;C352,盘货信息!$A:$A&amp;盘货信息!$B:$B&amp;盘货信息!$C:$C,盘货信息!$J:$J)="","",_xlfn.XLOOKUP(A352&amp;B352&amp;C352,盘货信息!$A:$A&amp;盘货信息!$B:$B&amp;盘货信息!$C:$C,盘货信息!$J:$J)&amp;"元优惠卷"))</f>
        <v/>
      </c>
      <c r="I352" s="18" t="str">
        <f t="array" ref="I352">IF(C352="","",IF(_xlfn.XLOOKUP(A352&amp;B352&amp;C352,盘货信息!$A:$A&amp;盘货信息!$B:$B&amp;盘货信息!$C:$C,盘货信息!$R:$R)="","",_xlfn.XLOOKUP(A352&amp;B352&amp;C352,盘货信息!$A:$A&amp;盘货信息!$B:$B&amp;盘货信息!$C:$C,盘货信息!$R:$R)&amp;"元优惠卷"))</f>
        <v/>
      </c>
      <c r="J352" s="18" t="str">
        <f t="array" ref="J352">IF(C352="","",IF(_xlfn.XLOOKUP(A352&amp;B352&amp;C352,盘货信息!$A:$A&amp;盘货信息!$B:$B&amp;盘货信息!$C:$C,盘货信息!$K:$K)="","",IF(OR(_xlfn.XLOOKUP(A352&amp;B352&amp;C352,盘货信息!$A:$A&amp;盘货信息!$B:$B&amp;盘货信息!$C:$C,盘货信息!$G:$G)="参加",_xlfn.XLOOKUP(A352&amp;B352&amp;C352,盘货信息!$A:$A&amp;盘货信息!$B:$B&amp;盘货信息!$C:$C,盘货信息!$H:$H)="1（纯自补）"),_xlfn.XLOOKUP(A352&amp;B352&amp;C352,盘货信息!$A:$A&amp;盘货信息!$B:$B&amp;盘货信息!$C:$C,盘货信息!$K:$K)&amp;"元以旧换新（可无旧机换新）","")))</f>
        <v/>
      </c>
      <c r="K352" s="18" t="str">
        <f t="array" ref="K352">IF(C352="","",IF(_xlfn.XLOOKUP(A352&amp;B352&amp;C352,盘货信息!$A:$A&amp;盘货信息!$B:$B&amp;盘货信息!$C:$C,盘货信息!$L:$L)="","",_xlfn.XLOOKUP(A352&amp;B352&amp;C352,盘货信息!$A:$A&amp;盘货信息!$B:$B&amp;盘货信息!$C:$C,盘货信息!$L:$L)&amp;"元限时补贴"))</f>
        <v/>
      </c>
      <c r="L352" s="18" t="str">
        <f t="array" ref="L352">IF(C352="","",IF(_xlfn.XLOOKUP(A352&amp;B352&amp;C352,盘货信息!$A:$A&amp;盘货信息!$B:$B&amp;盘货信息!$C:$C,盘货信息!$M:$M)="","",_xlfn.XLOOKUP(A352&amp;B352&amp;C352,盘货信息!$A:$A&amp;盘货信息!$B:$B&amp;盘货信息!$C:$C,盘货信息!$M:$M)&amp;"元消费券"))</f>
        <v/>
      </c>
      <c r="M352" s="18" t="str">
        <f t="array" ref="M352">IF(C352="","",IF(_xlfn.XLOOKUP(A352&amp;B352&amp;C352,盘货信息!$A:$A&amp;盘货信息!$B:$B&amp;盘货信息!$C:$C,盘货信息!$G:$G)="不参加","","焕新补贴优惠【全民可用，不限地址】"))</f>
        <v/>
      </c>
    </row>
    <row r="353" customHeight="1" spans="1:13">
      <c r="A353" s="17" t="str">
        <f>IF(盘货信息!A353="","",盘货信息!A353)</f>
        <v/>
      </c>
      <c r="B353" s="17" t="str">
        <f>IF(盘货信息!B353="","",盘货信息!B353)</f>
        <v/>
      </c>
      <c r="C353" s="18" t="str">
        <f>IF(盘货信息!C353="","",盘货信息!C353)</f>
        <v/>
      </c>
      <c r="D353" s="18" t="str">
        <f t="shared" si="5"/>
        <v/>
      </c>
      <c r="E353" s="18" t="str">
        <f t="array" ref="E353">IF(C353="","",IF(_xlfn.XLOOKUP(A353&amp;B353&amp;C353,盘货信息!$A:$A&amp;盘货信息!$B:$B&amp;盘货信息!$C:$C,盘货信息!$N:$N)="","【立减到手价"&amp;_xlfn.XLOOKUP(A353&amp;B353&amp;C353,盘货信息!$A:$A&amp;盘货信息!$B:$B&amp;盘货信息!$C:$C,盘货信息!$F:$F)&amp;"元】","【焕新补贴预估价"&amp;_xlfn.XLOOKUP(A353&amp;B353&amp;C353,盘货信息!$A:$A&amp;盘货信息!$B:$B&amp;盘货信息!$C:$C,盘货信息!$N:$N)&amp;"元】"))</f>
        <v/>
      </c>
      <c r="F353" s="18" t="str">
        <f t="array" ref="F353">IF(C353="","",_xlfn.XLOOKUP(A353&amp;B353&amp;C353,盘货信息!$A:$A&amp;盘货信息!$B:$B&amp;盘货信息!$C:$C,盘货信息!$E:$E)&amp;"元到手价")</f>
        <v/>
      </c>
      <c r="G353" s="18" t="str">
        <f t="array" ref="G353">IF(C353="","",IF(_xlfn.XLOOKUP(A353&amp;B353&amp;C353,盘货信息!$A:$A&amp;盘货信息!$B:$B&amp;盘货信息!$C:$C,盘货信息!$I:$I)="","","88VIP95折"))</f>
        <v/>
      </c>
      <c r="H353" s="18" t="str">
        <f t="array" ref="H353">IF(C353="","",IF(_xlfn.XLOOKUP(A353&amp;B353&amp;C353,盘货信息!$A:$A&amp;盘货信息!$B:$B&amp;盘货信息!$C:$C,盘货信息!$J:$J)="","",_xlfn.XLOOKUP(A353&amp;B353&amp;C353,盘货信息!$A:$A&amp;盘货信息!$B:$B&amp;盘货信息!$C:$C,盘货信息!$J:$J)&amp;"元优惠卷"))</f>
        <v/>
      </c>
      <c r="I353" s="18" t="str">
        <f t="array" ref="I353">IF(C353="","",IF(_xlfn.XLOOKUP(A353&amp;B353&amp;C353,盘货信息!$A:$A&amp;盘货信息!$B:$B&amp;盘货信息!$C:$C,盘货信息!$R:$R)="","",_xlfn.XLOOKUP(A353&amp;B353&amp;C353,盘货信息!$A:$A&amp;盘货信息!$B:$B&amp;盘货信息!$C:$C,盘货信息!$R:$R)&amp;"元优惠卷"))</f>
        <v/>
      </c>
      <c r="J353" s="18" t="str">
        <f t="array" ref="J353">IF(C353="","",IF(_xlfn.XLOOKUP(A353&amp;B353&amp;C353,盘货信息!$A:$A&amp;盘货信息!$B:$B&amp;盘货信息!$C:$C,盘货信息!$K:$K)="","",IF(OR(_xlfn.XLOOKUP(A353&amp;B353&amp;C353,盘货信息!$A:$A&amp;盘货信息!$B:$B&amp;盘货信息!$C:$C,盘货信息!$G:$G)="参加",_xlfn.XLOOKUP(A353&amp;B353&amp;C353,盘货信息!$A:$A&amp;盘货信息!$B:$B&amp;盘货信息!$C:$C,盘货信息!$H:$H)="1（纯自补）"),_xlfn.XLOOKUP(A353&amp;B353&amp;C353,盘货信息!$A:$A&amp;盘货信息!$B:$B&amp;盘货信息!$C:$C,盘货信息!$K:$K)&amp;"元以旧换新（可无旧机换新）","")))</f>
        <v/>
      </c>
      <c r="K353" s="18" t="str">
        <f t="array" ref="K353">IF(C353="","",IF(_xlfn.XLOOKUP(A353&amp;B353&amp;C353,盘货信息!$A:$A&amp;盘货信息!$B:$B&amp;盘货信息!$C:$C,盘货信息!$L:$L)="","",_xlfn.XLOOKUP(A353&amp;B353&amp;C353,盘货信息!$A:$A&amp;盘货信息!$B:$B&amp;盘货信息!$C:$C,盘货信息!$L:$L)&amp;"元限时补贴"))</f>
        <v/>
      </c>
      <c r="L353" s="18" t="str">
        <f t="array" ref="L353">IF(C353="","",IF(_xlfn.XLOOKUP(A353&amp;B353&amp;C353,盘货信息!$A:$A&amp;盘货信息!$B:$B&amp;盘货信息!$C:$C,盘货信息!$M:$M)="","",_xlfn.XLOOKUP(A353&amp;B353&amp;C353,盘货信息!$A:$A&amp;盘货信息!$B:$B&amp;盘货信息!$C:$C,盘货信息!$M:$M)&amp;"元消费券"))</f>
        <v/>
      </c>
      <c r="M353" s="18" t="str">
        <f t="array" ref="M353">IF(C353="","",IF(_xlfn.XLOOKUP(A353&amp;B353&amp;C353,盘货信息!$A:$A&amp;盘货信息!$B:$B&amp;盘货信息!$C:$C,盘货信息!$G:$G)="不参加","","焕新补贴优惠【全民可用，不限地址】"))</f>
        <v/>
      </c>
    </row>
    <row r="354" customHeight="1" spans="1:13">
      <c r="A354" s="17" t="str">
        <f>IF(盘货信息!A354="","",盘货信息!A354)</f>
        <v/>
      </c>
      <c r="B354" s="17" t="str">
        <f>IF(盘货信息!B354="","",盘货信息!B354)</f>
        <v/>
      </c>
      <c r="C354" s="18" t="str">
        <f>IF(盘货信息!C354="","",盘货信息!C354)</f>
        <v/>
      </c>
      <c r="D354" s="18" t="str">
        <f t="shared" si="5"/>
        <v/>
      </c>
      <c r="E354" s="18" t="str">
        <f t="array" ref="E354">IF(C354="","",IF(_xlfn.XLOOKUP(A354&amp;B354&amp;C354,盘货信息!$A:$A&amp;盘货信息!$B:$B&amp;盘货信息!$C:$C,盘货信息!$N:$N)="","【立减到手价"&amp;_xlfn.XLOOKUP(A354&amp;B354&amp;C354,盘货信息!$A:$A&amp;盘货信息!$B:$B&amp;盘货信息!$C:$C,盘货信息!$F:$F)&amp;"元】","【焕新补贴预估价"&amp;_xlfn.XLOOKUP(A354&amp;B354&amp;C354,盘货信息!$A:$A&amp;盘货信息!$B:$B&amp;盘货信息!$C:$C,盘货信息!$N:$N)&amp;"元】"))</f>
        <v/>
      </c>
      <c r="F354" s="18" t="str">
        <f t="array" ref="F354">IF(C354="","",_xlfn.XLOOKUP(A354&amp;B354&amp;C354,盘货信息!$A:$A&amp;盘货信息!$B:$B&amp;盘货信息!$C:$C,盘货信息!$E:$E)&amp;"元到手价")</f>
        <v/>
      </c>
      <c r="G354" s="18" t="str">
        <f t="array" ref="G354">IF(C354="","",IF(_xlfn.XLOOKUP(A354&amp;B354&amp;C354,盘货信息!$A:$A&amp;盘货信息!$B:$B&amp;盘货信息!$C:$C,盘货信息!$I:$I)="","","88VIP95折"))</f>
        <v/>
      </c>
      <c r="H354" s="18" t="str">
        <f t="array" ref="H354">IF(C354="","",IF(_xlfn.XLOOKUP(A354&amp;B354&amp;C354,盘货信息!$A:$A&amp;盘货信息!$B:$B&amp;盘货信息!$C:$C,盘货信息!$J:$J)="","",_xlfn.XLOOKUP(A354&amp;B354&amp;C354,盘货信息!$A:$A&amp;盘货信息!$B:$B&amp;盘货信息!$C:$C,盘货信息!$J:$J)&amp;"元优惠卷"))</f>
        <v/>
      </c>
      <c r="I354" s="18" t="str">
        <f t="array" ref="I354">IF(C354="","",IF(_xlfn.XLOOKUP(A354&amp;B354&amp;C354,盘货信息!$A:$A&amp;盘货信息!$B:$B&amp;盘货信息!$C:$C,盘货信息!$R:$R)="","",_xlfn.XLOOKUP(A354&amp;B354&amp;C354,盘货信息!$A:$A&amp;盘货信息!$B:$B&amp;盘货信息!$C:$C,盘货信息!$R:$R)&amp;"元优惠卷"))</f>
        <v/>
      </c>
      <c r="J354" s="18" t="str">
        <f t="array" ref="J354">IF(C354="","",IF(_xlfn.XLOOKUP(A354&amp;B354&amp;C354,盘货信息!$A:$A&amp;盘货信息!$B:$B&amp;盘货信息!$C:$C,盘货信息!$K:$K)="","",IF(OR(_xlfn.XLOOKUP(A354&amp;B354&amp;C354,盘货信息!$A:$A&amp;盘货信息!$B:$B&amp;盘货信息!$C:$C,盘货信息!$G:$G)="参加",_xlfn.XLOOKUP(A354&amp;B354&amp;C354,盘货信息!$A:$A&amp;盘货信息!$B:$B&amp;盘货信息!$C:$C,盘货信息!$H:$H)="1（纯自补）"),_xlfn.XLOOKUP(A354&amp;B354&amp;C354,盘货信息!$A:$A&amp;盘货信息!$B:$B&amp;盘货信息!$C:$C,盘货信息!$K:$K)&amp;"元以旧换新（可无旧机换新）","")))</f>
        <v/>
      </c>
      <c r="K354" s="18" t="str">
        <f t="array" ref="K354">IF(C354="","",IF(_xlfn.XLOOKUP(A354&amp;B354&amp;C354,盘货信息!$A:$A&amp;盘货信息!$B:$B&amp;盘货信息!$C:$C,盘货信息!$L:$L)="","",_xlfn.XLOOKUP(A354&amp;B354&amp;C354,盘货信息!$A:$A&amp;盘货信息!$B:$B&amp;盘货信息!$C:$C,盘货信息!$L:$L)&amp;"元限时补贴"))</f>
        <v/>
      </c>
      <c r="L354" s="18" t="str">
        <f t="array" ref="L354">IF(C354="","",IF(_xlfn.XLOOKUP(A354&amp;B354&amp;C354,盘货信息!$A:$A&amp;盘货信息!$B:$B&amp;盘货信息!$C:$C,盘货信息!$M:$M)="","",_xlfn.XLOOKUP(A354&amp;B354&amp;C354,盘货信息!$A:$A&amp;盘货信息!$B:$B&amp;盘货信息!$C:$C,盘货信息!$M:$M)&amp;"元消费券"))</f>
        <v/>
      </c>
      <c r="M354" s="18" t="str">
        <f t="array" ref="M354">IF(C354="","",IF(_xlfn.XLOOKUP(A354&amp;B354&amp;C354,盘货信息!$A:$A&amp;盘货信息!$B:$B&amp;盘货信息!$C:$C,盘货信息!$G:$G)="不参加","","焕新补贴优惠【全民可用，不限地址】"))</f>
        <v/>
      </c>
    </row>
    <row r="355" customHeight="1" spans="1:13">
      <c r="A355" s="17" t="str">
        <f>IF(盘货信息!A355="","",盘货信息!A355)</f>
        <v/>
      </c>
      <c r="B355" s="17" t="str">
        <f>IF(盘货信息!B355="","",盘货信息!B355)</f>
        <v/>
      </c>
      <c r="C355" s="18" t="str">
        <f>IF(盘货信息!C355="","",盘货信息!C355)</f>
        <v/>
      </c>
      <c r="D355" s="18" t="str">
        <f t="shared" si="5"/>
        <v/>
      </c>
      <c r="E355" s="18" t="str">
        <f t="array" ref="E355">IF(C355="","",IF(_xlfn.XLOOKUP(A355&amp;B355&amp;C355,盘货信息!$A:$A&amp;盘货信息!$B:$B&amp;盘货信息!$C:$C,盘货信息!$N:$N)="","【立减到手价"&amp;_xlfn.XLOOKUP(A355&amp;B355&amp;C355,盘货信息!$A:$A&amp;盘货信息!$B:$B&amp;盘货信息!$C:$C,盘货信息!$F:$F)&amp;"元】","【焕新补贴预估价"&amp;_xlfn.XLOOKUP(A355&amp;B355&amp;C355,盘货信息!$A:$A&amp;盘货信息!$B:$B&amp;盘货信息!$C:$C,盘货信息!$N:$N)&amp;"元】"))</f>
        <v/>
      </c>
      <c r="F355" s="18" t="str">
        <f t="array" ref="F355">IF(C355="","",_xlfn.XLOOKUP(A355&amp;B355&amp;C355,盘货信息!$A:$A&amp;盘货信息!$B:$B&amp;盘货信息!$C:$C,盘货信息!$E:$E)&amp;"元到手价")</f>
        <v/>
      </c>
      <c r="G355" s="18" t="str">
        <f t="array" ref="G355">IF(C355="","",IF(_xlfn.XLOOKUP(A355&amp;B355&amp;C355,盘货信息!$A:$A&amp;盘货信息!$B:$B&amp;盘货信息!$C:$C,盘货信息!$I:$I)="","","88VIP95折"))</f>
        <v/>
      </c>
      <c r="H355" s="18" t="str">
        <f t="array" ref="H355">IF(C355="","",IF(_xlfn.XLOOKUP(A355&amp;B355&amp;C355,盘货信息!$A:$A&amp;盘货信息!$B:$B&amp;盘货信息!$C:$C,盘货信息!$J:$J)="","",_xlfn.XLOOKUP(A355&amp;B355&amp;C355,盘货信息!$A:$A&amp;盘货信息!$B:$B&amp;盘货信息!$C:$C,盘货信息!$J:$J)&amp;"元优惠卷"))</f>
        <v/>
      </c>
      <c r="I355" s="18" t="str">
        <f t="array" ref="I355">IF(C355="","",IF(_xlfn.XLOOKUP(A355&amp;B355&amp;C355,盘货信息!$A:$A&amp;盘货信息!$B:$B&amp;盘货信息!$C:$C,盘货信息!$R:$R)="","",_xlfn.XLOOKUP(A355&amp;B355&amp;C355,盘货信息!$A:$A&amp;盘货信息!$B:$B&amp;盘货信息!$C:$C,盘货信息!$R:$R)&amp;"元优惠卷"))</f>
        <v/>
      </c>
      <c r="J355" s="18" t="str">
        <f t="array" ref="J355">IF(C355="","",IF(_xlfn.XLOOKUP(A355&amp;B355&amp;C355,盘货信息!$A:$A&amp;盘货信息!$B:$B&amp;盘货信息!$C:$C,盘货信息!$K:$K)="","",IF(OR(_xlfn.XLOOKUP(A355&amp;B355&amp;C355,盘货信息!$A:$A&amp;盘货信息!$B:$B&amp;盘货信息!$C:$C,盘货信息!$G:$G)="参加",_xlfn.XLOOKUP(A355&amp;B355&amp;C355,盘货信息!$A:$A&amp;盘货信息!$B:$B&amp;盘货信息!$C:$C,盘货信息!$H:$H)="1（纯自补）"),_xlfn.XLOOKUP(A355&amp;B355&amp;C355,盘货信息!$A:$A&amp;盘货信息!$B:$B&amp;盘货信息!$C:$C,盘货信息!$K:$K)&amp;"元以旧换新（可无旧机换新）","")))</f>
        <v/>
      </c>
      <c r="K355" s="18" t="str">
        <f t="array" ref="K355">IF(C355="","",IF(_xlfn.XLOOKUP(A355&amp;B355&amp;C355,盘货信息!$A:$A&amp;盘货信息!$B:$B&amp;盘货信息!$C:$C,盘货信息!$L:$L)="","",_xlfn.XLOOKUP(A355&amp;B355&amp;C355,盘货信息!$A:$A&amp;盘货信息!$B:$B&amp;盘货信息!$C:$C,盘货信息!$L:$L)&amp;"元限时补贴"))</f>
        <v/>
      </c>
      <c r="L355" s="18" t="str">
        <f t="array" ref="L355">IF(C355="","",IF(_xlfn.XLOOKUP(A355&amp;B355&amp;C355,盘货信息!$A:$A&amp;盘货信息!$B:$B&amp;盘货信息!$C:$C,盘货信息!$M:$M)="","",_xlfn.XLOOKUP(A355&amp;B355&amp;C355,盘货信息!$A:$A&amp;盘货信息!$B:$B&amp;盘货信息!$C:$C,盘货信息!$M:$M)&amp;"元消费券"))</f>
        <v/>
      </c>
      <c r="M355" s="18" t="str">
        <f t="array" ref="M355">IF(C355="","",IF(_xlfn.XLOOKUP(A355&amp;B355&amp;C355,盘货信息!$A:$A&amp;盘货信息!$B:$B&amp;盘货信息!$C:$C,盘货信息!$G:$G)="不参加","","焕新补贴优惠【全民可用，不限地址】"))</f>
        <v/>
      </c>
    </row>
    <row r="356" customHeight="1" spans="1:13">
      <c r="A356" s="17" t="str">
        <f>IF(盘货信息!A356="","",盘货信息!A356)</f>
        <v/>
      </c>
      <c r="B356" s="17" t="str">
        <f>IF(盘货信息!B356="","",盘货信息!B356)</f>
        <v/>
      </c>
      <c r="C356" s="18" t="str">
        <f>IF(盘货信息!C356="","",盘货信息!C356)</f>
        <v/>
      </c>
      <c r="D356" s="18" t="str">
        <f t="shared" si="5"/>
        <v/>
      </c>
      <c r="E356" s="18" t="str">
        <f t="array" ref="E356">IF(C356="","",IF(_xlfn.XLOOKUP(A356&amp;B356&amp;C356,盘货信息!$A:$A&amp;盘货信息!$B:$B&amp;盘货信息!$C:$C,盘货信息!$N:$N)="","【立减到手价"&amp;_xlfn.XLOOKUP(A356&amp;B356&amp;C356,盘货信息!$A:$A&amp;盘货信息!$B:$B&amp;盘货信息!$C:$C,盘货信息!$F:$F)&amp;"元】","【焕新补贴预估价"&amp;_xlfn.XLOOKUP(A356&amp;B356&amp;C356,盘货信息!$A:$A&amp;盘货信息!$B:$B&amp;盘货信息!$C:$C,盘货信息!$N:$N)&amp;"元】"))</f>
        <v/>
      </c>
      <c r="F356" s="18" t="str">
        <f t="array" ref="F356">IF(C356="","",_xlfn.XLOOKUP(A356&amp;B356&amp;C356,盘货信息!$A:$A&amp;盘货信息!$B:$B&amp;盘货信息!$C:$C,盘货信息!$E:$E)&amp;"元到手价")</f>
        <v/>
      </c>
      <c r="G356" s="18" t="str">
        <f t="array" ref="G356">IF(C356="","",IF(_xlfn.XLOOKUP(A356&amp;B356&amp;C356,盘货信息!$A:$A&amp;盘货信息!$B:$B&amp;盘货信息!$C:$C,盘货信息!$I:$I)="","","88VIP95折"))</f>
        <v/>
      </c>
      <c r="H356" s="18" t="str">
        <f t="array" ref="H356">IF(C356="","",IF(_xlfn.XLOOKUP(A356&amp;B356&amp;C356,盘货信息!$A:$A&amp;盘货信息!$B:$B&amp;盘货信息!$C:$C,盘货信息!$J:$J)="","",_xlfn.XLOOKUP(A356&amp;B356&amp;C356,盘货信息!$A:$A&amp;盘货信息!$B:$B&amp;盘货信息!$C:$C,盘货信息!$J:$J)&amp;"元优惠卷"))</f>
        <v/>
      </c>
      <c r="I356" s="18" t="str">
        <f t="array" ref="I356">IF(C356="","",IF(_xlfn.XLOOKUP(A356&amp;B356&amp;C356,盘货信息!$A:$A&amp;盘货信息!$B:$B&amp;盘货信息!$C:$C,盘货信息!$R:$R)="","",_xlfn.XLOOKUP(A356&amp;B356&amp;C356,盘货信息!$A:$A&amp;盘货信息!$B:$B&amp;盘货信息!$C:$C,盘货信息!$R:$R)&amp;"元优惠卷"))</f>
        <v/>
      </c>
      <c r="J356" s="18" t="str">
        <f t="array" ref="J356">IF(C356="","",IF(_xlfn.XLOOKUP(A356&amp;B356&amp;C356,盘货信息!$A:$A&amp;盘货信息!$B:$B&amp;盘货信息!$C:$C,盘货信息!$K:$K)="","",IF(OR(_xlfn.XLOOKUP(A356&amp;B356&amp;C356,盘货信息!$A:$A&amp;盘货信息!$B:$B&amp;盘货信息!$C:$C,盘货信息!$G:$G)="参加",_xlfn.XLOOKUP(A356&amp;B356&amp;C356,盘货信息!$A:$A&amp;盘货信息!$B:$B&amp;盘货信息!$C:$C,盘货信息!$H:$H)="1（纯自补）"),_xlfn.XLOOKUP(A356&amp;B356&amp;C356,盘货信息!$A:$A&amp;盘货信息!$B:$B&amp;盘货信息!$C:$C,盘货信息!$K:$K)&amp;"元以旧换新（可无旧机换新）","")))</f>
        <v/>
      </c>
      <c r="K356" s="18" t="str">
        <f t="array" ref="K356">IF(C356="","",IF(_xlfn.XLOOKUP(A356&amp;B356&amp;C356,盘货信息!$A:$A&amp;盘货信息!$B:$B&amp;盘货信息!$C:$C,盘货信息!$L:$L)="","",_xlfn.XLOOKUP(A356&amp;B356&amp;C356,盘货信息!$A:$A&amp;盘货信息!$B:$B&amp;盘货信息!$C:$C,盘货信息!$L:$L)&amp;"元限时补贴"))</f>
        <v/>
      </c>
      <c r="L356" s="18" t="str">
        <f t="array" ref="L356">IF(C356="","",IF(_xlfn.XLOOKUP(A356&amp;B356&amp;C356,盘货信息!$A:$A&amp;盘货信息!$B:$B&amp;盘货信息!$C:$C,盘货信息!$M:$M)="","",_xlfn.XLOOKUP(A356&amp;B356&amp;C356,盘货信息!$A:$A&amp;盘货信息!$B:$B&amp;盘货信息!$C:$C,盘货信息!$M:$M)&amp;"元消费券"))</f>
        <v/>
      </c>
      <c r="M356" s="18" t="str">
        <f t="array" ref="M356">IF(C356="","",IF(_xlfn.XLOOKUP(A356&amp;B356&amp;C356,盘货信息!$A:$A&amp;盘货信息!$B:$B&amp;盘货信息!$C:$C,盘货信息!$G:$G)="不参加","","焕新补贴优惠【全民可用，不限地址】"))</f>
        <v/>
      </c>
    </row>
    <row r="357" customHeight="1" spans="1:13">
      <c r="A357" s="17" t="str">
        <f>IF(盘货信息!A357="","",盘货信息!A357)</f>
        <v/>
      </c>
      <c r="B357" s="17" t="str">
        <f>IF(盘货信息!B357="","",盘货信息!B357)</f>
        <v/>
      </c>
      <c r="C357" s="18" t="str">
        <f>IF(盘货信息!C357="","",盘货信息!C357)</f>
        <v/>
      </c>
      <c r="D357" s="18" t="str">
        <f t="shared" si="5"/>
        <v/>
      </c>
      <c r="E357" s="18" t="str">
        <f t="array" ref="E357">IF(C357="","",IF(_xlfn.XLOOKUP(A357&amp;B357&amp;C357,盘货信息!$A:$A&amp;盘货信息!$B:$B&amp;盘货信息!$C:$C,盘货信息!$N:$N)="","【立减到手价"&amp;_xlfn.XLOOKUP(A357&amp;B357&amp;C357,盘货信息!$A:$A&amp;盘货信息!$B:$B&amp;盘货信息!$C:$C,盘货信息!$F:$F)&amp;"元】","【焕新补贴预估价"&amp;_xlfn.XLOOKUP(A357&amp;B357&amp;C357,盘货信息!$A:$A&amp;盘货信息!$B:$B&amp;盘货信息!$C:$C,盘货信息!$N:$N)&amp;"元】"))</f>
        <v/>
      </c>
      <c r="F357" s="18" t="str">
        <f t="array" ref="F357">IF(C357="","",_xlfn.XLOOKUP(A357&amp;B357&amp;C357,盘货信息!$A:$A&amp;盘货信息!$B:$B&amp;盘货信息!$C:$C,盘货信息!$E:$E)&amp;"元到手价")</f>
        <v/>
      </c>
      <c r="G357" s="18" t="str">
        <f t="array" ref="G357">IF(C357="","",IF(_xlfn.XLOOKUP(A357&amp;B357&amp;C357,盘货信息!$A:$A&amp;盘货信息!$B:$B&amp;盘货信息!$C:$C,盘货信息!$I:$I)="","","88VIP95折"))</f>
        <v/>
      </c>
      <c r="H357" s="18" t="str">
        <f t="array" ref="H357">IF(C357="","",IF(_xlfn.XLOOKUP(A357&amp;B357&amp;C357,盘货信息!$A:$A&amp;盘货信息!$B:$B&amp;盘货信息!$C:$C,盘货信息!$J:$J)="","",_xlfn.XLOOKUP(A357&amp;B357&amp;C357,盘货信息!$A:$A&amp;盘货信息!$B:$B&amp;盘货信息!$C:$C,盘货信息!$J:$J)&amp;"元优惠卷"))</f>
        <v/>
      </c>
      <c r="I357" s="18" t="str">
        <f t="array" ref="I357">IF(C357="","",IF(_xlfn.XLOOKUP(A357&amp;B357&amp;C357,盘货信息!$A:$A&amp;盘货信息!$B:$B&amp;盘货信息!$C:$C,盘货信息!$R:$R)="","",_xlfn.XLOOKUP(A357&amp;B357&amp;C357,盘货信息!$A:$A&amp;盘货信息!$B:$B&amp;盘货信息!$C:$C,盘货信息!$R:$R)&amp;"元优惠卷"))</f>
        <v/>
      </c>
      <c r="J357" s="18" t="str">
        <f t="array" ref="J357">IF(C357="","",IF(_xlfn.XLOOKUP(A357&amp;B357&amp;C357,盘货信息!$A:$A&amp;盘货信息!$B:$B&amp;盘货信息!$C:$C,盘货信息!$K:$K)="","",IF(OR(_xlfn.XLOOKUP(A357&amp;B357&amp;C357,盘货信息!$A:$A&amp;盘货信息!$B:$B&amp;盘货信息!$C:$C,盘货信息!$G:$G)="参加",_xlfn.XLOOKUP(A357&amp;B357&amp;C357,盘货信息!$A:$A&amp;盘货信息!$B:$B&amp;盘货信息!$C:$C,盘货信息!$H:$H)="1（纯自补）"),_xlfn.XLOOKUP(A357&amp;B357&amp;C357,盘货信息!$A:$A&amp;盘货信息!$B:$B&amp;盘货信息!$C:$C,盘货信息!$K:$K)&amp;"元以旧换新（可无旧机换新）","")))</f>
        <v/>
      </c>
      <c r="K357" s="18" t="str">
        <f t="array" ref="K357">IF(C357="","",IF(_xlfn.XLOOKUP(A357&amp;B357&amp;C357,盘货信息!$A:$A&amp;盘货信息!$B:$B&amp;盘货信息!$C:$C,盘货信息!$L:$L)="","",_xlfn.XLOOKUP(A357&amp;B357&amp;C357,盘货信息!$A:$A&amp;盘货信息!$B:$B&amp;盘货信息!$C:$C,盘货信息!$L:$L)&amp;"元限时补贴"))</f>
        <v/>
      </c>
      <c r="L357" s="18" t="str">
        <f t="array" ref="L357">IF(C357="","",IF(_xlfn.XLOOKUP(A357&amp;B357&amp;C357,盘货信息!$A:$A&amp;盘货信息!$B:$B&amp;盘货信息!$C:$C,盘货信息!$M:$M)="","",_xlfn.XLOOKUP(A357&amp;B357&amp;C357,盘货信息!$A:$A&amp;盘货信息!$B:$B&amp;盘货信息!$C:$C,盘货信息!$M:$M)&amp;"元消费券"))</f>
        <v/>
      </c>
      <c r="M357" s="18" t="str">
        <f t="array" ref="M357">IF(C357="","",IF(_xlfn.XLOOKUP(A357&amp;B357&amp;C357,盘货信息!$A:$A&amp;盘货信息!$B:$B&amp;盘货信息!$C:$C,盘货信息!$G:$G)="不参加","","焕新补贴优惠【全民可用，不限地址】"))</f>
        <v/>
      </c>
    </row>
    <row r="358" customHeight="1" spans="1:13">
      <c r="A358" s="17" t="str">
        <f>IF(盘货信息!A358="","",盘货信息!A358)</f>
        <v/>
      </c>
      <c r="B358" s="17" t="str">
        <f>IF(盘货信息!B358="","",盘货信息!B358)</f>
        <v/>
      </c>
      <c r="C358" s="18" t="str">
        <f>IF(盘货信息!C358="","",盘货信息!C358)</f>
        <v/>
      </c>
      <c r="D358" s="18" t="str">
        <f t="shared" si="5"/>
        <v/>
      </c>
      <c r="E358" s="18" t="str">
        <f t="array" ref="E358">IF(C358="","",IF(_xlfn.XLOOKUP(A358&amp;B358&amp;C358,盘货信息!$A:$A&amp;盘货信息!$B:$B&amp;盘货信息!$C:$C,盘货信息!$N:$N)="","【立减到手价"&amp;_xlfn.XLOOKUP(A358&amp;B358&amp;C358,盘货信息!$A:$A&amp;盘货信息!$B:$B&amp;盘货信息!$C:$C,盘货信息!$F:$F)&amp;"元】","【焕新补贴预估价"&amp;_xlfn.XLOOKUP(A358&amp;B358&amp;C358,盘货信息!$A:$A&amp;盘货信息!$B:$B&amp;盘货信息!$C:$C,盘货信息!$N:$N)&amp;"元】"))</f>
        <v/>
      </c>
      <c r="F358" s="18" t="str">
        <f t="array" ref="F358">IF(C358="","",_xlfn.XLOOKUP(A358&amp;B358&amp;C358,盘货信息!$A:$A&amp;盘货信息!$B:$B&amp;盘货信息!$C:$C,盘货信息!$E:$E)&amp;"元到手价")</f>
        <v/>
      </c>
      <c r="G358" s="18" t="str">
        <f t="array" ref="G358">IF(C358="","",IF(_xlfn.XLOOKUP(A358&amp;B358&amp;C358,盘货信息!$A:$A&amp;盘货信息!$B:$B&amp;盘货信息!$C:$C,盘货信息!$I:$I)="","","88VIP95折"))</f>
        <v/>
      </c>
      <c r="H358" s="18" t="str">
        <f t="array" ref="H358">IF(C358="","",IF(_xlfn.XLOOKUP(A358&amp;B358&amp;C358,盘货信息!$A:$A&amp;盘货信息!$B:$B&amp;盘货信息!$C:$C,盘货信息!$J:$J)="","",_xlfn.XLOOKUP(A358&amp;B358&amp;C358,盘货信息!$A:$A&amp;盘货信息!$B:$B&amp;盘货信息!$C:$C,盘货信息!$J:$J)&amp;"元优惠卷"))</f>
        <v/>
      </c>
      <c r="I358" s="18" t="str">
        <f t="array" ref="I358">IF(C358="","",IF(_xlfn.XLOOKUP(A358&amp;B358&amp;C358,盘货信息!$A:$A&amp;盘货信息!$B:$B&amp;盘货信息!$C:$C,盘货信息!$R:$R)="","",_xlfn.XLOOKUP(A358&amp;B358&amp;C358,盘货信息!$A:$A&amp;盘货信息!$B:$B&amp;盘货信息!$C:$C,盘货信息!$R:$R)&amp;"元优惠卷"))</f>
        <v/>
      </c>
      <c r="J358" s="18" t="str">
        <f t="array" ref="J358">IF(C358="","",IF(_xlfn.XLOOKUP(A358&amp;B358&amp;C358,盘货信息!$A:$A&amp;盘货信息!$B:$B&amp;盘货信息!$C:$C,盘货信息!$K:$K)="","",IF(OR(_xlfn.XLOOKUP(A358&amp;B358&amp;C358,盘货信息!$A:$A&amp;盘货信息!$B:$B&amp;盘货信息!$C:$C,盘货信息!$G:$G)="参加",_xlfn.XLOOKUP(A358&amp;B358&amp;C358,盘货信息!$A:$A&amp;盘货信息!$B:$B&amp;盘货信息!$C:$C,盘货信息!$H:$H)="1（纯自补）"),_xlfn.XLOOKUP(A358&amp;B358&amp;C358,盘货信息!$A:$A&amp;盘货信息!$B:$B&amp;盘货信息!$C:$C,盘货信息!$K:$K)&amp;"元以旧换新（可无旧机换新）","")))</f>
        <v/>
      </c>
      <c r="K358" s="18" t="str">
        <f t="array" ref="K358">IF(C358="","",IF(_xlfn.XLOOKUP(A358&amp;B358&amp;C358,盘货信息!$A:$A&amp;盘货信息!$B:$B&amp;盘货信息!$C:$C,盘货信息!$L:$L)="","",_xlfn.XLOOKUP(A358&amp;B358&amp;C358,盘货信息!$A:$A&amp;盘货信息!$B:$B&amp;盘货信息!$C:$C,盘货信息!$L:$L)&amp;"元限时补贴"))</f>
        <v/>
      </c>
      <c r="L358" s="18" t="str">
        <f t="array" ref="L358">IF(C358="","",IF(_xlfn.XLOOKUP(A358&amp;B358&amp;C358,盘货信息!$A:$A&amp;盘货信息!$B:$B&amp;盘货信息!$C:$C,盘货信息!$M:$M)="","",_xlfn.XLOOKUP(A358&amp;B358&amp;C358,盘货信息!$A:$A&amp;盘货信息!$B:$B&amp;盘货信息!$C:$C,盘货信息!$M:$M)&amp;"元消费券"))</f>
        <v/>
      </c>
      <c r="M358" s="18" t="str">
        <f t="array" ref="M358">IF(C358="","",IF(_xlfn.XLOOKUP(A358&amp;B358&amp;C358,盘货信息!$A:$A&amp;盘货信息!$B:$B&amp;盘货信息!$C:$C,盘货信息!$G:$G)="不参加","","焕新补贴优惠【全民可用，不限地址】"))</f>
        <v/>
      </c>
    </row>
    <row r="359" customHeight="1" spans="1:13">
      <c r="A359" s="17" t="str">
        <f>IF(盘货信息!A359="","",盘货信息!A359)</f>
        <v/>
      </c>
      <c r="B359" s="17" t="str">
        <f>IF(盘货信息!B359="","",盘货信息!B359)</f>
        <v/>
      </c>
      <c r="C359" s="18" t="str">
        <f>IF(盘货信息!C359="","",盘货信息!C359)</f>
        <v/>
      </c>
      <c r="D359" s="18" t="str">
        <f t="shared" si="5"/>
        <v/>
      </c>
      <c r="E359" s="18" t="str">
        <f t="array" ref="E359">IF(C359="","",IF(_xlfn.XLOOKUP(A359&amp;B359&amp;C359,盘货信息!$A:$A&amp;盘货信息!$B:$B&amp;盘货信息!$C:$C,盘货信息!$N:$N)="","【立减到手价"&amp;_xlfn.XLOOKUP(A359&amp;B359&amp;C359,盘货信息!$A:$A&amp;盘货信息!$B:$B&amp;盘货信息!$C:$C,盘货信息!$F:$F)&amp;"元】","【焕新补贴预估价"&amp;_xlfn.XLOOKUP(A359&amp;B359&amp;C359,盘货信息!$A:$A&amp;盘货信息!$B:$B&amp;盘货信息!$C:$C,盘货信息!$N:$N)&amp;"元】"))</f>
        <v/>
      </c>
      <c r="F359" s="18" t="str">
        <f t="array" ref="F359">IF(C359="","",_xlfn.XLOOKUP(A359&amp;B359&amp;C359,盘货信息!$A:$A&amp;盘货信息!$B:$B&amp;盘货信息!$C:$C,盘货信息!$E:$E)&amp;"元到手价")</f>
        <v/>
      </c>
      <c r="G359" s="18" t="str">
        <f t="array" ref="G359">IF(C359="","",IF(_xlfn.XLOOKUP(A359&amp;B359&amp;C359,盘货信息!$A:$A&amp;盘货信息!$B:$B&amp;盘货信息!$C:$C,盘货信息!$I:$I)="","","88VIP95折"))</f>
        <v/>
      </c>
      <c r="H359" s="18" t="str">
        <f t="array" ref="H359">IF(C359="","",IF(_xlfn.XLOOKUP(A359&amp;B359&amp;C359,盘货信息!$A:$A&amp;盘货信息!$B:$B&amp;盘货信息!$C:$C,盘货信息!$J:$J)="","",_xlfn.XLOOKUP(A359&amp;B359&amp;C359,盘货信息!$A:$A&amp;盘货信息!$B:$B&amp;盘货信息!$C:$C,盘货信息!$J:$J)&amp;"元优惠卷"))</f>
        <v/>
      </c>
      <c r="I359" s="18" t="str">
        <f t="array" ref="I359">IF(C359="","",IF(_xlfn.XLOOKUP(A359&amp;B359&amp;C359,盘货信息!$A:$A&amp;盘货信息!$B:$B&amp;盘货信息!$C:$C,盘货信息!$R:$R)="","",_xlfn.XLOOKUP(A359&amp;B359&amp;C359,盘货信息!$A:$A&amp;盘货信息!$B:$B&amp;盘货信息!$C:$C,盘货信息!$R:$R)&amp;"元优惠卷"))</f>
        <v/>
      </c>
      <c r="J359" s="18" t="str">
        <f t="array" ref="J359">IF(C359="","",IF(_xlfn.XLOOKUP(A359&amp;B359&amp;C359,盘货信息!$A:$A&amp;盘货信息!$B:$B&amp;盘货信息!$C:$C,盘货信息!$K:$K)="","",IF(OR(_xlfn.XLOOKUP(A359&amp;B359&amp;C359,盘货信息!$A:$A&amp;盘货信息!$B:$B&amp;盘货信息!$C:$C,盘货信息!$G:$G)="参加",_xlfn.XLOOKUP(A359&amp;B359&amp;C359,盘货信息!$A:$A&amp;盘货信息!$B:$B&amp;盘货信息!$C:$C,盘货信息!$H:$H)="1（纯自补）"),_xlfn.XLOOKUP(A359&amp;B359&amp;C359,盘货信息!$A:$A&amp;盘货信息!$B:$B&amp;盘货信息!$C:$C,盘货信息!$K:$K)&amp;"元以旧换新（可无旧机换新）","")))</f>
        <v/>
      </c>
      <c r="K359" s="18" t="str">
        <f t="array" ref="K359">IF(C359="","",IF(_xlfn.XLOOKUP(A359&amp;B359&amp;C359,盘货信息!$A:$A&amp;盘货信息!$B:$B&amp;盘货信息!$C:$C,盘货信息!$L:$L)="","",_xlfn.XLOOKUP(A359&amp;B359&amp;C359,盘货信息!$A:$A&amp;盘货信息!$B:$B&amp;盘货信息!$C:$C,盘货信息!$L:$L)&amp;"元限时补贴"))</f>
        <v/>
      </c>
      <c r="L359" s="18" t="str">
        <f t="array" ref="L359">IF(C359="","",IF(_xlfn.XLOOKUP(A359&amp;B359&amp;C359,盘货信息!$A:$A&amp;盘货信息!$B:$B&amp;盘货信息!$C:$C,盘货信息!$M:$M)="","",_xlfn.XLOOKUP(A359&amp;B359&amp;C359,盘货信息!$A:$A&amp;盘货信息!$B:$B&amp;盘货信息!$C:$C,盘货信息!$M:$M)&amp;"元消费券"))</f>
        <v/>
      </c>
      <c r="M359" s="18" t="str">
        <f t="array" ref="M359">IF(C359="","",IF(_xlfn.XLOOKUP(A359&amp;B359&amp;C359,盘货信息!$A:$A&amp;盘货信息!$B:$B&amp;盘货信息!$C:$C,盘货信息!$G:$G)="不参加","","焕新补贴优惠【全民可用，不限地址】"))</f>
        <v/>
      </c>
    </row>
    <row r="360" customHeight="1" spans="1:13">
      <c r="A360" s="17" t="str">
        <f>IF(盘货信息!A360="","",盘货信息!A360)</f>
        <v/>
      </c>
      <c r="B360" s="17" t="str">
        <f>IF(盘货信息!B360="","",盘货信息!B360)</f>
        <v/>
      </c>
      <c r="C360" s="18" t="str">
        <f>IF(盘货信息!C360="","",盘货信息!C360)</f>
        <v/>
      </c>
      <c r="D360" s="18" t="str">
        <f t="shared" si="5"/>
        <v/>
      </c>
      <c r="E360" s="18" t="str">
        <f t="array" ref="E360">IF(C360="","",IF(_xlfn.XLOOKUP(A360&amp;B360&amp;C360,盘货信息!$A:$A&amp;盘货信息!$B:$B&amp;盘货信息!$C:$C,盘货信息!$N:$N)="","【立减到手价"&amp;_xlfn.XLOOKUP(A360&amp;B360&amp;C360,盘货信息!$A:$A&amp;盘货信息!$B:$B&amp;盘货信息!$C:$C,盘货信息!$F:$F)&amp;"元】","【焕新补贴预估价"&amp;_xlfn.XLOOKUP(A360&amp;B360&amp;C360,盘货信息!$A:$A&amp;盘货信息!$B:$B&amp;盘货信息!$C:$C,盘货信息!$N:$N)&amp;"元】"))</f>
        <v/>
      </c>
      <c r="F360" s="18" t="str">
        <f t="array" ref="F360">IF(C360="","",_xlfn.XLOOKUP(A360&amp;B360&amp;C360,盘货信息!$A:$A&amp;盘货信息!$B:$B&amp;盘货信息!$C:$C,盘货信息!$E:$E)&amp;"元到手价")</f>
        <v/>
      </c>
      <c r="G360" s="18" t="str">
        <f t="array" ref="G360">IF(C360="","",IF(_xlfn.XLOOKUP(A360&amp;B360&amp;C360,盘货信息!$A:$A&amp;盘货信息!$B:$B&amp;盘货信息!$C:$C,盘货信息!$I:$I)="","","88VIP95折"))</f>
        <v/>
      </c>
      <c r="H360" s="18" t="str">
        <f t="array" ref="H360">IF(C360="","",IF(_xlfn.XLOOKUP(A360&amp;B360&amp;C360,盘货信息!$A:$A&amp;盘货信息!$B:$B&amp;盘货信息!$C:$C,盘货信息!$J:$J)="","",_xlfn.XLOOKUP(A360&amp;B360&amp;C360,盘货信息!$A:$A&amp;盘货信息!$B:$B&amp;盘货信息!$C:$C,盘货信息!$J:$J)&amp;"元优惠卷"))</f>
        <v/>
      </c>
      <c r="I360" s="18" t="str">
        <f t="array" ref="I360">IF(C360="","",IF(_xlfn.XLOOKUP(A360&amp;B360&amp;C360,盘货信息!$A:$A&amp;盘货信息!$B:$B&amp;盘货信息!$C:$C,盘货信息!$R:$R)="","",_xlfn.XLOOKUP(A360&amp;B360&amp;C360,盘货信息!$A:$A&amp;盘货信息!$B:$B&amp;盘货信息!$C:$C,盘货信息!$R:$R)&amp;"元优惠卷"))</f>
        <v/>
      </c>
      <c r="J360" s="18" t="str">
        <f t="array" ref="J360">IF(C360="","",IF(_xlfn.XLOOKUP(A360&amp;B360&amp;C360,盘货信息!$A:$A&amp;盘货信息!$B:$B&amp;盘货信息!$C:$C,盘货信息!$K:$K)="","",IF(OR(_xlfn.XLOOKUP(A360&amp;B360&amp;C360,盘货信息!$A:$A&amp;盘货信息!$B:$B&amp;盘货信息!$C:$C,盘货信息!$G:$G)="参加",_xlfn.XLOOKUP(A360&amp;B360&amp;C360,盘货信息!$A:$A&amp;盘货信息!$B:$B&amp;盘货信息!$C:$C,盘货信息!$H:$H)="1（纯自补）"),_xlfn.XLOOKUP(A360&amp;B360&amp;C360,盘货信息!$A:$A&amp;盘货信息!$B:$B&amp;盘货信息!$C:$C,盘货信息!$K:$K)&amp;"元以旧换新（可无旧机换新）","")))</f>
        <v/>
      </c>
      <c r="K360" s="18" t="str">
        <f t="array" ref="K360">IF(C360="","",IF(_xlfn.XLOOKUP(A360&amp;B360&amp;C360,盘货信息!$A:$A&amp;盘货信息!$B:$B&amp;盘货信息!$C:$C,盘货信息!$L:$L)="","",_xlfn.XLOOKUP(A360&amp;B360&amp;C360,盘货信息!$A:$A&amp;盘货信息!$B:$B&amp;盘货信息!$C:$C,盘货信息!$L:$L)&amp;"元限时补贴"))</f>
        <v/>
      </c>
      <c r="L360" s="18" t="str">
        <f t="array" ref="L360">IF(C360="","",IF(_xlfn.XLOOKUP(A360&amp;B360&amp;C360,盘货信息!$A:$A&amp;盘货信息!$B:$B&amp;盘货信息!$C:$C,盘货信息!$M:$M)="","",_xlfn.XLOOKUP(A360&amp;B360&amp;C360,盘货信息!$A:$A&amp;盘货信息!$B:$B&amp;盘货信息!$C:$C,盘货信息!$M:$M)&amp;"元消费券"))</f>
        <v/>
      </c>
      <c r="M360" s="18" t="str">
        <f t="array" ref="M360">IF(C360="","",IF(_xlfn.XLOOKUP(A360&amp;B360&amp;C360,盘货信息!$A:$A&amp;盘货信息!$B:$B&amp;盘货信息!$C:$C,盘货信息!$G:$G)="不参加","","焕新补贴优惠【全民可用，不限地址】"))</f>
        <v/>
      </c>
    </row>
    <row r="361" customHeight="1" spans="1:13">
      <c r="A361" s="17" t="str">
        <f>IF(盘货信息!A361="","",盘货信息!A361)</f>
        <v/>
      </c>
      <c r="B361" s="17" t="str">
        <f>IF(盘货信息!B361="","",盘货信息!B361)</f>
        <v/>
      </c>
      <c r="C361" s="18" t="str">
        <f>IF(盘货信息!C361="","",盘货信息!C361)</f>
        <v/>
      </c>
      <c r="D361" s="18" t="str">
        <f t="shared" si="5"/>
        <v/>
      </c>
      <c r="E361" s="18" t="str">
        <f t="array" ref="E361">IF(C361="","",IF(_xlfn.XLOOKUP(A361&amp;B361&amp;C361,盘货信息!$A:$A&amp;盘货信息!$B:$B&amp;盘货信息!$C:$C,盘货信息!$N:$N)="","【立减到手价"&amp;_xlfn.XLOOKUP(A361&amp;B361&amp;C361,盘货信息!$A:$A&amp;盘货信息!$B:$B&amp;盘货信息!$C:$C,盘货信息!$F:$F)&amp;"元】","【焕新补贴预估价"&amp;_xlfn.XLOOKUP(A361&amp;B361&amp;C361,盘货信息!$A:$A&amp;盘货信息!$B:$B&amp;盘货信息!$C:$C,盘货信息!$N:$N)&amp;"元】"))</f>
        <v/>
      </c>
      <c r="F361" s="18" t="str">
        <f t="array" ref="F361">IF(C361="","",_xlfn.XLOOKUP(A361&amp;B361&amp;C361,盘货信息!$A:$A&amp;盘货信息!$B:$B&amp;盘货信息!$C:$C,盘货信息!$E:$E)&amp;"元到手价")</f>
        <v/>
      </c>
      <c r="G361" s="18" t="str">
        <f t="array" ref="G361">IF(C361="","",IF(_xlfn.XLOOKUP(A361&amp;B361&amp;C361,盘货信息!$A:$A&amp;盘货信息!$B:$B&amp;盘货信息!$C:$C,盘货信息!$I:$I)="","","88VIP95折"))</f>
        <v/>
      </c>
      <c r="H361" s="18" t="str">
        <f t="array" ref="H361">IF(C361="","",IF(_xlfn.XLOOKUP(A361&amp;B361&amp;C361,盘货信息!$A:$A&amp;盘货信息!$B:$B&amp;盘货信息!$C:$C,盘货信息!$J:$J)="","",_xlfn.XLOOKUP(A361&amp;B361&amp;C361,盘货信息!$A:$A&amp;盘货信息!$B:$B&amp;盘货信息!$C:$C,盘货信息!$J:$J)&amp;"元优惠卷"))</f>
        <v/>
      </c>
      <c r="I361" s="18" t="str">
        <f t="array" ref="I361">IF(C361="","",IF(_xlfn.XLOOKUP(A361&amp;B361&amp;C361,盘货信息!$A:$A&amp;盘货信息!$B:$B&amp;盘货信息!$C:$C,盘货信息!$R:$R)="","",_xlfn.XLOOKUP(A361&amp;B361&amp;C361,盘货信息!$A:$A&amp;盘货信息!$B:$B&amp;盘货信息!$C:$C,盘货信息!$R:$R)&amp;"元优惠卷"))</f>
        <v/>
      </c>
      <c r="J361" s="18" t="str">
        <f t="array" ref="J361">IF(C361="","",IF(_xlfn.XLOOKUP(A361&amp;B361&amp;C361,盘货信息!$A:$A&amp;盘货信息!$B:$B&amp;盘货信息!$C:$C,盘货信息!$K:$K)="","",IF(OR(_xlfn.XLOOKUP(A361&amp;B361&amp;C361,盘货信息!$A:$A&amp;盘货信息!$B:$B&amp;盘货信息!$C:$C,盘货信息!$G:$G)="参加",_xlfn.XLOOKUP(A361&amp;B361&amp;C361,盘货信息!$A:$A&amp;盘货信息!$B:$B&amp;盘货信息!$C:$C,盘货信息!$H:$H)="1（纯自补）"),_xlfn.XLOOKUP(A361&amp;B361&amp;C361,盘货信息!$A:$A&amp;盘货信息!$B:$B&amp;盘货信息!$C:$C,盘货信息!$K:$K)&amp;"元以旧换新（可无旧机换新）","")))</f>
        <v/>
      </c>
      <c r="K361" s="18" t="str">
        <f t="array" ref="K361">IF(C361="","",IF(_xlfn.XLOOKUP(A361&amp;B361&amp;C361,盘货信息!$A:$A&amp;盘货信息!$B:$B&amp;盘货信息!$C:$C,盘货信息!$L:$L)="","",_xlfn.XLOOKUP(A361&amp;B361&amp;C361,盘货信息!$A:$A&amp;盘货信息!$B:$B&amp;盘货信息!$C:$C,盘货信息!$L:$L)&amp;"元限时补贴"))</f>
        <v/>
      </c>
      <c r="L361" s="18" t="str">
        <f t="array" ref="L361">IF(C361="","",IF(_xlfn.XLOOKUP(A361&amp;B361&amp;C361,盘货信息!$A:$A&amp;盘货信息!$B:$B&amp;盘货信息!$C:$C,盘货信息!$M:$M)="","",_xlfn.XLOOKUP(A361&amp;B361&amp;C361,盘货信息!$A:$A&amp;盘货信息!$B:$B&amp;盘货信息!$C:$C,盘货信息!$M:$M)&amp;"元消费券"))</f>
        <v/>
      </c>
      <c r="M361" s="18" t="str">
        <f t="array" ref="M361">IF(C361="","",IF(_xlfn.XLOOKUP(A361&amp;B361&amp;C361,盘货信息!$A:$A&amp;盘货信息!$B:$B&amp;盘货信息!$C:$C,盘货信息!$G:$G)="不参加","","焕新补贴优惠【全民可用，不限地址】"))</f>
        <v/>
      </c>
    </row>
    <row r="362" customHeight="1" spans="1:13">
      <c r="A362" s="17" t="str">
        <f>IF(盘货信息!A362="","",盘货信息!A362)</f>
        <v/>
      </c>
      <c r="B362" s="17" t="str">
        <f>IF(盘货信息!B362="","",盘货信息!B362)</f>
        <v/>
      </c>
      <c r="C362" s="18" t="str">
        <f>IF(盘货信息!C362="","",盘货信息!C362)</f>
        <v/>
      </c>
      <c r="D362" s="18" t="str">
        <f t="shared" si="5"/>
        <v/>
      </c>
      <c r="E362" s="18" t="str">
        <f t="array" ref="E362">IF(C362="","",IF(_xlfn.XLOOKUP(A362&amp;B362&amp;C362,盘货信息!$A:$A&amp;盘货信息!$B:$B&amp;盘货信息!$C:$C,盘货信息!$N:$N)="","【立减到手价"&amp;_xlfn.XLOOKUP(A362&amp;B362&amp;C362,盘货信息!$A:$A&amp;盘货信息!$B:$B&amp;盘货信息!$C:$C,盘货信息!$F:$F)&amp;"元】","【焕新补贴预估价"&amp;_xlfn.XLOOKUP(A362&amp;B362&amp;C362,盘货信息!$A:$A&amp;盘货信息!$B:$B&amp;盘货信息!$C:$C,盘货信息!$N:$N)&amp;"元】"))</f>
        <v/>
      </c>
      <c r="F362" s="18" t="str">
        <f t="array" ref="F362">IF(C362="","",_xlfn.XLOOKUP(A362&amp;B362&amp;C362,盘货信息!$A:$A&amp;盘货信息!$B:$B&amp;盘货信息!$C:$C,盘货信息!$E:$E)&amp;"元到手价")</f>
        <v/>
      </c>
      <c r="G362" s="18" t="str">
        <f t="array" ref="G362">IF(C362="","",IF(_xlfn.XLOOKUP(A362&amp;B362&amp;C362,盘货信息!$A:$A&amp;盘货信息!$B:$B&amp;盘货信息!$C:$C,盘货信息!$I:$I)="","","88VIP95折"))</f>
        <v/>
      </c>
      <c r="H362" s="18" t="str">
        <f t="array" ref="H362">IF(C362="","",IF(_xlfn.XLOOKUP(A362&amp;B362&amp;C362,盘货信息!$A:$A&amp;盘货信息!$B:$B&amp;盘货信息!$C:$C,盘货信息!$J:$J)="","",_xlfn.XLOOKUP(A362&amp;B362&amp;C362,盘货信息!$A:$A&amp;盘货信息!$B:$B&amp;盘货信息!$C:$C,盘货信息!$J:$J)&amp;"元优惠卷"))</f>
        <v/>
      </c>
      <c r="I362" s="18" t="str">
        <f t="array" ref="I362">IF(C362="","",IF(_xlfn.XLOOKUP(A362&amp;B362&amp;C362,盘货信息!$A:$A&amp;盘货信息!$B:$B&amp;盘货信息!$C:$C,盘货信息!$R:$R)="","",_xlfn.XLOOKUP(A362&amp;B362&amp;C362,盘货信息!$A:$A&amp;盘货信息!$B:$B&amp;盘货信息!$C:$C,盘货信息!$R:$R)&amp;"元优惠卷"))</f>
        <v/>
      </c>
      <c r="J362" s="18" t="str">
        <f t="array" ref="J362">IF(C362="","",IF(_xlfn.XLOOKUP(A362&amp;B362&amp;C362,盘货信息!$A:$A&amp;盘货信息!$B:$B&amp;盘货信息!$C:$C,盘货信息!$K:$K)="","",IF(OR(_xlfn.XLOOKUP(A362&amp;B362&amp;C362,盘货信息!$A:$A&amp;盘货信息!$B:$B&amp;盘货信息!$C:$C,盘货信息!$G:$G)="参加",_xlfn.XLOOKUP(A362&amp;B362&amp;C362,盘货信息!$A:$A&amp;盘货信息!$B:$B&amp;盘货信息!$C:$C,盘货信息!$H:$H)="1（纯自补）"),_xlfn.XLOOKUP(A362&amp;B362&amp;C362,盘货信息!$A:$A&amp;盘货信息!$B:$B&amp;盘货信息!$C:$C,盘货信息!$K:$K)&amp;"元以旧换新（可无旧机换新）","")))</f>
        <v/>
      </c>
      <c r="K362" s="18" t="str">
        <f t="array" ref="K362">IF(C362="","",IF(_xlfn.XLOOKUP(A362&amp;B362&amp;C362,盘货信息!$A:$A&amp;盘货信息!$B:$B&amp;盘货信息!$C:$C,盘货信息!$L:$L)="","",_xlfn.XLOOKUP(A362&amp;B362&amp;C362,盘货信息!$A:$A&amp;盘货信息!$B:$B&amp;盘货信息!$C:$C,盘货信息!$L:$L)&amp;"元限时补贴"))</f>
        <v/>
      </c>
      <c r="L362" s="18" t="str">
        <f t="array" ref="L362">IF(C362="","",IF(_xlfn.XLOOKUP(A362&amp;B362&amp;C362,盘货信息!$A:$A&amp;盘货信息!$B:$B&amp;盘货信息!$C:$C,盘货信息!$M:$M)="","",_xlfn.XLOOKUP(A362&amp;B362&amp;C362,盘货信息!$A:$A&amp;盘货信息!$B:$B&amp;盘货信息!$C:$C,盘货信息!$M:$M)&amp;"元消费券"))</f>
        <v/>
      </c>
      <c r="M362" s="18" t="str">
        <f t="array" ref="M362">IF(C362="","",IF(_xlfn.XLOOKUP(A362&amp;B362&amp;C362,盘货信息!$A:$A&amp;盘货信息!$B:$B&amp;盘货信息!$C:$C,盘货信息!$G:$G)="不参加","","焕新补贴优惠【全民可用，不限地址】"))</f>
        <v/>
      </c>
    </row>
    <row r="363" customHeight="1" spans="1:13">
      <c r="A363" s="17" t="str">
        <f>IF(盘货信息!A363="","",盘货信息!A363)</f>
        <v/>
      </c>
      <c r="B363" s="17" t="str">
        <f>IF(盘货信息!B363="","",盘货信息!B363)</f>
        <v/>
      </c>
      <c r="C363" s="18" t="str">
        <f>IF(盘货信息!C363="","",盘货信息!C363)</f>
        <v/>
      </c>
      <c r="D363" s="18" t="str">
        <f t="shared" si="5"/>
        <v/>
      </c>
      <c r="E363" s="18" t="str">
        <f t="array" ref="E363">IF(C363="","",IF(_xlfn.XLOOKUP(A363&amp;B363&amp;C363,盘货信息!$A:$A&amp;盘货信息!$B:$B&amp;盘货信息!$C:$C,盘货信息!$N:$N)="","【立减到手价"&amp;_xlfn.XLOOKUP(A363&amp;B363&amp;C363,盘货信息!$A:$A&amp;盘货信息!$B:$B&amp;盘货信息!$C:$C,盘货信息!$F:$F)&amp;"元】","【焕新补贴预估价"&amp;_xlfn.XLOOKUP(A363&amp;B363&amp;C363,盘货信息!$A:$A&amp;盘货信息!$B:$B&amp;盘货信息!$C:$C,盘货信息!$N:$N)&amp;"元】"))</f>
        <v/>
      </c>
      <c r="F363" s="18" t="str">
        <f t="array" ref="F363">IF(C363="","",_xlfn.XLOOKUP(A363&amp;B363&amp;C363,盘货信息!$A:$A&amp;盘货信息!$B:$B&amp;盘货信息!$C:$C,盘货信息!$E:$E)&amp;"元到手价")</f>
        <v/>
      </c>
      <c r="G363" s="18" t="str">
        <f t="array" ref="G363">IF(C363="","",IF(_xlfn.XLOOKUP(A363&amp;B363&amp;C363,盘货信息!$A:$A&amp;盘货信息!$B:$B&amp;盘货信息!$C:$C,盘货信息!$I:$I)="","","88VIP95折"))</f>
        <v/>
      </c>
      <c r="H363" s="18" t="str">
        <f t="array" ref="H363">IF(C363="","",IF(_xlfn.XLOOKUP(A363&amp;B363&amp;C363,盘货信息!$A:$A&amp;盘货信息!$B:$B&amp;盘货信息!$C:$C,盘货信息!$J:$J)="","",_xlfn.XLOOKUP(A363&amp;B363&amp;C363,盘货信息!$A:$A&amp;盘货信息!$B:$B&amp;盘货信息!$C:$C,盘货信息!$J:$J)&amp;"元优惠卷"))</f>
        <v/>
      </c>
      <c r="I363" s="18" t="str">
        <f t="array" ref="I363">IF(C363="","",IF(_xlfn.XLOOKUP(A363&amp;B363&amp;C363,盘货信息!$A:$A&amp;盘货信息!$B:$B&amp;盘货信息!$C:$C,盘货信息!$R:$R)="","",_xlfn.XLOOKUP(A363&amp;B363&amp;C363,盘货信息!$A:$A&amp;盘货信息!$B:$B&amp;盘货信息!$C:$C,盘货信息!$R:$R)&amp;"元优惠卷"))</f>
        <v/>
      </c>
      <c r="J363" s="18" t="str">
        <f t="array" ref="J363">IF(C363="","",IF(_xlfn.XLOOKUP(A363&amp;B363&amp;C363,盘货信息!$A:$A&amp;盘货信息!$B:$B&amp;盘货信息!$C:$C,盘货信息!$K:$K)="","",IF(OR(_xlfn.XLOOKUP(A363&amp;B363&amp;C363,盘货信息!$A:$A&amp;盘货信息!$B:$B&amp;盘货信息!$C:$C,盘货信息!$G:$G)="参加",_xlfn.XLOOKUP(A363&amp;B363&amp;C363,盘货信息!$A:$A&amp;盘货信息!$B:$B&amp;盘货信息!$C:$C,盘货信息!$H:$H)="1（纯自补）"),_xlfn.XLOOKUP(A363&amp;B363&amp;C363,盘货信息!$A:$A&amp;盘货信息!$B:$B&amp;盘货信息!$C:$C,盘货信息!$K:$K)&amp;"元以旧换新（可无旧机换新）","")))</f>
        <v/>
      </c>
      <c r="K363" s="18" t="str">
        <f t="array" ref="K363">IF(C363="","",IF(_xlfn.XLOOKUP(A363&amp;B363&amp;C363,盘货信息!$A:$A&amp;盘货信息!$B:$B&amp;盘货信息!$C:$C,盘货信息!$L:$L)="","",_xlfn.XLOOKUP(A363&amp;B363&amp;C363,盘货信息!$A:$A&amp;盘货信息!$B:$B&amp;盘货信息!$C:$C,盘货信息!$L:$L)&amp;"元限时补贴"))</f>
        <v/>
      </c>
      <c r="L363" s="18" t="str">
        <f t="array" ref="L363">IF(C363="","",IF(_xlfn.XLOOKUP(A363&amp;B363&amp;C363,盘货信息!$A:$A&amp;盘货信息!$B:$B&amp;盘货信息!$C:$C,盘货信息!$M:$M)="","",_xlfn.XLOOKUP(A363&amp;B363&amp;C363,盘货信息!$A:$A&amp;盘货信息!$B:$B&amp;盘货信息!$C:$C,盘货信息!$M:$M)&amp;"元消费券"))</f>
        <v/>
      </c>
      <c r="M363" s="18" t="str">
        <f t="array" ref="M363">IF(C363="","",IF(_xlfn.XLOOKUP(A363&amp;B363&amp;C363,盘货信息!$A:$A&amp;盘货信息!$B:$B&amp;盘货信息!$C:$C,盘货信息!$G:$G)="不参加","","焕新补贴优惠【全民可用，不限地址】"))</f>
        <v/>
      </c>
    </row>
    <row r="364" customHeight="1" spans="1:13">
      <c r="A364" s="17" t="str">
        <f>IF(盘货信息!A364="","",盘货信息!A364)</f>
        <v/>
      </c>
      <c r="B364" s="17" t="str">
        <f>IF(盘货信息!B364="","",盘货信息!B364)</f>
        <v/>
      </c>
      <c r="C364" s="18" t="str">
        <f>IF(盘货信息!C364="","",盘货信息!C364)</f>
        <v/>
      </c>
      <c r="D364" s="18" t="str">
        <f t="shared" si="5"/>
        <v/>
      </c>
      <c r="E364" s="18" t="str">
        <f t="array" ref="E364">IF(C364="","",IF(_xlfn.XLOOKUP(A364&amp;B364&amp;C364,盘货信息!$A:$A&amp;盘货信息!$B:$B&amp;盘货信息!$C:$C,盘货信息!$N:$N)="","【立减到手价"&amp;_xlfn.XLOOKUP(A364&amp;B364&amp;C364,盘货信息!$A:$A&amp;盘货信息!$B:$B&amp;盘货信息!$C:$C,盘货信息!$F:$F)&amp;"元】","【焕新补贴预估价"&amp;_xlfn.XLOOKUP(A364&amp;B364&amp;C364,盘货信息!$A:$A&amp;盘货信息!$B:$B&amp;盘货信息!$C:$C,盘货信息!$N:$N)&amp;"元】"))</f>
        <v/>
      </c>
      <c r="F364" s="18" t="str">
        <f t="array" ref="F364">IF(C364="","",_xlfn.XLOOKUP(A364&amp;B364&amp;C364,盘货信息!$A:$A&amp;盘货信息!$B:$B&amp;盘货信息!$C:$C,盘货信息!$E:$E)&amp;"元到手价")</f>
        <v/>
      </c>
      <c r="G364" s="18" t="str">
        <f t="array" ref="G364">IF(C364="","",IF(_xlfn.XLOOKUP(A364&amp;B364&amp;C364,盘货信息!$A:$A&amp;盘货信息!$B:$B&amp;盘货信息!$C:$C,盘货信息!$I:$I)="","","88VIP95折"))</f>
        <v/>
      </c>
      <c r="H364" s="18" t="str">
        <f t="array" ref="H364">IF(C364="","",IF(_xlfn.XLOOKUP(A364&amp;B364&amp;C364,盘货信息!$A:$A&amp;盘货信息!$B:$B&amp;盘货信息!$C:$C,盘货信息!$J:$J)="","",_xlfn.XLOOKUP(A364&amp;B364&amp;C364,盘货信息!$A:$A&amp;盘货信息!$B:$B&amp;盘货信息!$C:$C,盘货信息!$J:$J)&amp;"元优惠卷"))</f>
        <v/>
      </c>
      <c r="I364" s="18" t="str">
        <f t="array" ref="I364">IF(C364="","",IF(_xlfn.XLOOKUP(A364&amp;B364&amp;C364,盘货信息!$A:$A&amp;盘货信息!$B:$B&amp;盘货信息!$C:$C,盘货信息!$R:$R)="","",_xlfn.XLOOKUP(A364&amp;B364&amp;C364,盘货信息!$A:$A&amp;盘货信息!$B:$B&amp;盘货信息!$C:$C,盘货信息!$R:$R)&amp;"元优惠卷"))</f>
        <v/>
      </c>
      <c r="J364" s="18" t="str">
        <f t="array" ref="J364">IF(C364="","",IF(_xlfn.XLOOKUP(A364&amp;B364&amp;C364,盘货信息!$A:$A&amp;盘货信息!$B:$B&amp;盘货信息!$C:$C,盘货信息!$K:$K)="","",IF(OR(_xlfn.XLOOKUP(A364&amp;B364&amp;C364,盘货信息!$A:$A&amp;盘货信息!$B:$B&amp;盘货信息!$C:$C,盘货信息!$G:$G)="参加",_xlfn.XLOOKUP(A364&amp;B364&amp;C364,盘货信息!$A:$A&amp;盘货信息!$B:$B&amp;盘货信息!$C:$C,盘货信息!$H:$H)="1（纯自补）"),_xlfn.XLOOKUP(A364&amp;B364&amp;C364,盘货信息!$A:$A&amp;盘货信息!$B:$B&amp;盘货信息!$C:$C,盘货信息!$K:$K)&amp;"元以旧换新（可无旧机换新）","")))</f>
        <v/>
      </c>
      <c r="K364" s="18" t="str">
        <f t="array" ref="K364">IF(C364="","",IF(_xlfn.XLOOKUP(A364&amp;B364&amp;C364,盘货信息!$A:$A&amp;盘货信息!$B:$B&amp;盘货信息!$C:$C,盘货信息!$L:$L)="","",_xlfn.XLOOKUP(A364&amp;B364&amp;C364,盘货信息!$A:$A&amp;盘货信息!$B:$B&amp;盘货信息!$C:$C,盘货信息!$L:$L)&amp;"元限时补贴"))</f>
        <v/>
      </c>
      <c r="L364" s="18" t="str">
        <f t="array" ref="L364">IF(C364="","",IF(_xlfn.XLOOKUP(A364&amp;B364&amp;C364,盘货信息!$A:$A&amp;盘货信息!$B:$B&amp;盘货信息!$C:$C,盘货信息!$M:$M)="","",_xlfn.XLOOKUP(A364&amp;B364&amp;C364,盘货信息!$A:$A&amp;盘货信息!$B:$B&amp;盘货信息!$C:$C,盘货信息!$M:$M)&amp;"元消费券"))</f>
        <v/>
      </c>
      <c r="M364" s="18" t="str">
        <f t="array" ref="M364">IF(C364="","",IF(_xlfn.XLOOKUP(A364&amp;B364&amp;C364,盘货信息!$A:$A&amp;盘货信息!$B:$B&amp;盘货信息!$C:$C,盘货信息!$G:$G)="不参加","","焕新补贴优惠【全民可用，不限地址】"))</f>
        <v/>
      </c>
    </row>
    <row r="365" customHeight="1" spans="1:13">
      <c r="A365" s="17" t="str">
        <f>IF(盘货信息!A365="","",盘货信息!A365)</f>
        <v/>
      </c>
      <c r="B365" s="17" t="str">
        <f>IF(盘货信息!B365="","",盘货信息!B365)</f>
        <v/>
      </c>
      <c r="C365" s="18" t="str">
        <f>IF(盘货信息!C365="","",盘货信息!C365)</f>
        <v/>
      </c>
      <c r="D365" s="18" t="str">
        <f t="shared" si="5"/>
        <v/>
      </c>
      <c r="E365" s="18" t="str">
        <f t="array" ref="E365">IF(C365="","",IF(_xlfn.XLOOKUP(A365&amp;B365&amp;C365,盘货信息!$A:$A&amp;盘货信息!$B:$B&amp;盘货信息!$C:$C,盘货信息!$N:$N)="","【立减到手价"&amp;_xlfn.XLOOKUP(A365&amp;B365&amp;C365,盘货信息!$A:$A&amp;盘货信息!$B:$B&amp;盘货信息!$C:$C,盘货信息!$F:$F)&amp;"元】","【焕新补贴预估价"&amp;_xlfn.XLOOKUP(A365&amp;B365&amp;C365,盘货信息!$A:$A&amp;盘货信息!$B:$B&amp;盘货信息!$C:$C,盘货信息!$N:$N)&amp;"元】"))</f>
        <v/>
      </c>
      <c r="F365" s="18" t="str">
        <f t="array" ref="F365">IF(C365="","",_xlfn.XLOOKUP(A365&amp;B365&amp;C365,盘货信息!$A:$A&amp;盘货信息!$B:$B&amp;盘货信息!$C:$C,盘货信息!$E:$E)&amp;"元到手价")</f>
        <v/>
      </c>
      <c r="G365" s="18" t="str">
        <f t="array" ref="G365">IF(C365="","",IF(_xlfn.XLOOKUP(A365&amp;B365&amp;C365,盘货信息!$A:$A&amp;盘货信息!$B:$B&amp;盘货信息!$C:$C,盘货信息!$I:$I)="","","88VIP95折"))</f>
        <v/>
      </c>
      <c r="H365" s="18" t="str">
        <f t="array" ref="H365">IF(C365="","",IF(_xlfn.XLOOKUP(A365&amp;B365&amp;C365,盘货信息!$A:$A&amp;盘货信息!$B:$B&amp;盘货信息!$C:$C,盘货信息!$J:$J)="","",_xlfn.XLOOKUP(A365&amp;B365&amp;C365,盘货信息!$A:$A&amp;盘货信息!$B:$B&amp;盘货信息!$C:$C,盘货信息!$J:$J)&amp;"元优惠卷"))</f>
        <v/>
      </c>
      <c r="I365" s="18" t="str">
        <f t="array" ref="I365">IF(C365="","",IF(_xlfn.XLOOKUP(A365&amp;B365&amp;C365,盘货信息!$A:$A&amp;盘货信息!$B:$B&amp;盘货信息!$C:$C,盘货信息!$R:$R)="","",_xlfn.XLOOKUP(A365&amp;B365&amp;C365,盘货信息!$A:$A&amp;盘货信息!$B:$B&amp;盘货信息!$C:$C,盘货信息!$R:$R)&amp;"元优惠卷"))</f>
        <v/>
      </c>
      <c r="J365" s="18" t="str">
        <f t="array" ref="J365">IF(C365="","",IF(_xlfn.XLOOKUP(A365&amp;B365&amp;C365,盘货信息!$A:$A&amp;盘货信息!$B:$B&amp;盘货信息!$C:$C,盘货信息!$K:$K)="","",IF(OR(_xlfn.XLOOKUP(A365&amp;B365&amp;C365,盘货信息!$A:$A&amp;盘货信息!$B:$B&amp;盘货信息!$C:$C,盘货信息!$G:$G)="参加",_xlfn.XLOOKUP(A365&amp;B365&amp;C365,盘货信息!$A:$A&amp;盘货信息!$B:$B&amp;盘货信息!$C:$C,盘货信息!$H:$H)="1（纯自补）"),_xlfn.XLOOKUP(A365&amp;B365&amp;C365,盘货信息!$A:$A&amp;盘货信息!$B:$B&amp;盘货信息!$C:$C,盘货信息!$K:$K)&amp;"元以旧换新（可无旧机换新）","")))</f>
        <v/>
      </c>
      <c r="K365" s="18" t="str">
        <f t="array" ref="K365">IF(C365="","",IF(_xlfn.XLOOKUP(A365&amp;B365&amp;C365,盘货信息!$A:$A&amp;盘货信息!$B:$B&amp;盘货信息!$C:$C,盘货信息!$L:$L)="","",_xlfn.XLOOKUP(A365&amp;B365&amp;C365,盘货信息!$A:$A&amp;盘货信息!$B:$B&amp;盘货信息!$C:$C,盘货信息!$L:$L)&amp;"元限时补贴"))</f>
        <v/>
      </c>
      <c r="L365" s="18" t="str">
        <f t="array" ref="L365">IF(C365="","",IF(_xlfn.XLOOKUP(A365&amp;B365&amp;C365,盘货信息!$A:$A&amp;盘货信息!$B:$B&amp;盘货信息!$C:$C,盘货信息!$M:$M)="","",_xlfn.XLOOKUP(A365&amp;B365&amp;C365,盘货信息!$A:$A&amp;盘货信息!$B:$B&amp;盘货信息!$C:$C,盘货信息!$M:$M)&amp;"元消费券"))</f>
        <v/>
      </c>
      <c r="M365" s="18" t="str">
        <f t="array" ref="M365">IF(C365="","",IF(_xlfn.XLOOKUP(A365&amp;B365&amp;C365,盘货信息!$A:$A&amp;盘货信息!$B:$B&amp;盘货信息!$C:$C,盘货信息!$G:$G)="不参加","","焕新补贴优惠【全民可用，不限地址】"))</f>
        <v/>
      </c>
    </row>
    <row r="366" customHeight="1" spans="1:13">
      <c r="A366" s="17" t="str">
        <f>IF(盘货信息!A366="","",盘货信息!A366)</f>
        <v/>
      </c>
      <c r="B366" s="17" t="str">
        <f>IF(盘货信息!B366="","",盘货信息!B366)</f>
        <v/>
      </c>
      <c r="C366" s="18" t="str">
        <f>IF(盘货信息!C366="","",盘货信息!C366)</f>
        <v/>
      </c>
      <c r="D366" s="18" t="str">
        <f t="shared" si="5"/>
        <v/>
      </c>
      <c r="E366" s="18" t="str">
        <f t="array" ref="E366">IF(C366="","",IF(_xlfn.XLOOKUP(A366&amp;B366&amp;C366,盘货信息!$A:$A&amp;盘货信息!$B:$B&amp;盘货信息!$C:$C,盘货信息!$N:$N)="","【立减到手价"&amp;_xlfn.XLOOKUP(A366&amp;B366&amp;C366,盘货信息!$A:$A&amp;盘货信息!$B:$B&amp;盘货信息!$C:$C,盘货信息!$F:$F)&amp;"元】","【焕新补贴预估价"&amp;_xlfn.XLOOKUP(A366&amp;B366&amp;C366,盘货信息!$A:$A&amp;盘货信息!$B:$B&amp;盘货信息!$C:$C,盘货信息!$N:$N)&amp;"元】"))</f>
        <v/>
      </c>
      <c r="F366" s="18" t="str">
        <f t="array" ref="F366">IF(C366="","",_xlfn.XLOOKUP(A366&amp;B366&amp;C366,盘货信息!$A:$A&amp;盘货信息!$B:$B&amp;盘货信息!$C:$C,盘货信息!$E:$E)&amp;"元到手价")</f>
        <v/>
      </c>
      <c r="G366" s="18" t="str">
        <f t="array" ref="G366">IF(C366="","",IF(_xlfn.XLOOKUP(A366&amp;B366&amp;C366,盘货信息!$A:$A&amp;盘货信息!$B:$B&amp;盘货信息!$C:$C,盘货信息!$I:$I)="","","88VIP95折"))</f>
        <v/>
      </c>
      <c r="H366" s="18" t="str">
        <f t="array" ref="H366">IF(C366="","",IF(_xlfn.XLOOKUP(A366&amp;B366&amp;C366,盘货信息!$A:$A&amp;盘货信息!$B:$B&amp;盘货信息!$C:$C,盘货信息!$J:$J)="","",_xlfn.XLOOKUP(A366&amp;B366&amp;C366,盘货信息!$A:$A&amp;盘货信息!$B:$B&amp;盘货信息!$C:$C,盘货信息!$J:$J)&amp;"元优惠卷"))</f>
        <v/>
      </c>
      <c r="I366" s="18" t="str">
        <f t="array" ref="I366">IF(C366="","",IF(_xlfn.XLOOKUP(A366&amp;B366&amp;C366,盘货信息!$A:$A&amp;盘货信息!$B:$B&amp;盘货信息!$C:$C,盘货信息!$R:$R)="","",_xlfn.XLOOKUP(A366&amp;B366&amp;C366,盘货信息!$A:$A&amp;盘货信息!$B:$B&amp;盘货信息!$C:$C,盘货信息!$R:$R)&amp;"元优惠卷"))</f>
        <v/>
      </c>
      <c r="J366" s="18" t="str">
        <f t="array" ref="J366">IF(C366="","",IF(_xlfn.XLOOKUP(A366&amp;B366&amp;C366,盘货信息!$A:$A&amp;盘货信息!$B:$B&amp;盘货信息!$C:$C,盘货信息!$K:$K)="","",IF(OR(_xlfn.XLOOKUP(A366&amp;B366&amp;C366,盘货信息!$A:$A&amp;盘货信息!$B:$B&amp;盘货信息!$C:$C,盘货信息!$G:$G)="参加",_xlfn.XLOOKUP(A366&amp;B366&amp;C366,盘货信息!$A:$A&amp;盘货信息!$B:$B&amp;盘货信息!$C:$C,盘货信息!$H:$H)="1（纯自补）"),_xlfn.XLOOKUP(A366&amp;B366&amp;C366,盘货信息!$A:$A&amp;盘货信息!$B:$B&amp;盘货信息!$C:$C,盘货信息!$K:$K)&amp;"元以旧换新（可无旧机换新）","")))</f>
        <v/>
      </c>
      <c r="K366" s="18" t="str">
        <f t="array" ref="K366">IF(C366="","",IF(_xlfn.XLOOKUP(A366&amp;B366&amp;C366,盘货信息!$A:$A&amp;盘货信息!$B:$B&amp;盘货信息!$C:$C,盘货信息!$L:$L)="","",_xlfn.XLOOKUP(A366&amp;B366&amp;C366,盘货信息!$A:$A&amp;盘货信息!$B:$B&amp;盘货信息!$C:$C,盘货信息!$L:$L)&amp;"元限时补贴"))</f>
        <v/>
      </c>
      <c r="L366" s="18" t="str">
        <f t="array" ref="L366">IF(C366="","",IF(_xlfn.XLOOKUP(A366&amp;B366&amp;C366,盘货信息!$A:$A&amp;盘货信息!$B:$B&amp;盘货信息!$C:$C,盘货信息!$M:$M)="","",_xlfn.XLOOKUP(A366&amp;B366&amp;C366,盘货信息!$A:$A&amp;盘货信息!$B:$B&amp;盘货信息!$C:$C,盘货信息!$M:$M)&amp;"元消费券"))</f>
        <v/>
      </c>
      <c r="M366" s="18" t="str">
        <f t="array" ref="M366">IF(C366="","",IF(_xlfn.XLOOKUP(A366&amp;B366&amp;C366,盘货信息!$A:$A&amp;盘货信息!$B:$B&amp;盘货信息!$C:$C,盘货信息!$G:$G)="不参加","","焕新补贴优惠【全民可用，不限地址】"))</f>
        <v/>
      </c>
    </row>
    <row r="367" customHeight="1" spans="1:13">
      <c r="A367" s="17" t="str">
        <f>IF(盘货信息!A367="","",盘货信息!A367)</f>
        <v/>
      </c>
      <c r="B367" s="17" t="str">
        <f>IF(盘货信息!B367="","",盘货信息!B367)</f>
        <v/>
      </c>
      <c r="C367" s="18" t="str">
        <f>IF(盘货信息!C367="","",盘货信息!C367)</f>
        <v/>
      </c>
      <c r="D367" s="18" t="str">
        <f t="shared" si="5"/>
        <v/>
      </c>
      <c r="E367" s="18" t="str">
        <f t="array" ref="E367">IF(C367="","",IF(_xlfn.XLOOKUP(A367&amp;B367&amp;C367,盘货信息!$A:$A&amp;盘货信息!$B:$B&amp;盘货信息!$C:$C,盘货信息!$N:$N)="","【立减到手价"&amp;_xlfn.XLOOKUP(A367&amp;B367&amp;C367,盘货信息!$A:$A&amp;盘货信息!$B:$B&amp;盘货信息!$C:$C,盘货信息!$F:$F)&amp;"元】","【焕新补贴预估价"&amp;_xlfn.XLOOKUP(A367&amp;B367&amp;C367,盘货信息!$A:$A&amp;盘货信息!$B:$B&amp;盘货信息!$C:$C,盘货信息!$N:$N)&amp;"元】"))</f>
        <v/>
      </c>
      <c r="F367" s="18" t="str">
        <f t="array" ref="F367">IF(C367="","",_xlfn.XLOOKUP(A367&amp;B367&amp;C367,盘货信息!$A:$A&amp;盘货信息!$B:$B&amp;盘货信息!$C:$C,盘货信息!$E:$E)&amp;"元到手价")</f>
        <v/>
      </c>
      <c r="G367" s="18" t="str">
        <f t="array" ref="G367">IF(C367="","",IF(_xlfn.XLOOKUP(A367&amp;B367&amp;C367,盘货信息!$A:$A&amp;盘货信息!$B:$B&amp;盘货信息!$C:$C,盘货信息!$I:$I)="","","88VIP95折"))</f>
        <v/>
      </c>
      <c r="H367" s="18" t="str">
        <f t="array" ref="H367">IF(C367="","",IF(_xlfn.XLOOKUP(A367&amp;B367&amp;C367,盘货信息!$A:$A&amp;盘货信息!$B:$B&amp;盘货信息!$C:$C,盘货信息!$J:$J)="","",_xlfn.XLOOKUP(A367&amp;B367&amp;C367,盘货信息!$A:$A&amp;盘货信息!$B:$B&amp;盘货信息!$C:$C,盘货信息!$J:$J)&amp;"元优惠卷"))</f>
        <v/>
      </c>
      <c r="I367" s="18" t="str">
        <f t="array" ref="I367">IF(C367="","",IF(_xlfn.XLOOKUP(A367&amp;B367&amp;C367,盘货信息!$A:$A&amp;盘货信息!$B:$B&amp;盘货信息!$C:$C,盘货信息!$R:$R)="","",_xlfn.XLOOKUP(A367&amp;B367&amp;C367,盘货信息!$A:$A&amp;盘货信息!$B:$B&amp;盘货信息!$C:$C,盘货信息!$R:$R)&amp;"元优惠卷"))</f>
        <v/>
      </c>
      <c r="J367" s="18" t="str">
        <f t="array" ref="J367">IF(C367="","",IF(_xlfn.XLOOKUP(A367&amp;B367&amp;C367,盘货信息!$A:$A&amp;盘货信息!$B:$B&amp;盘货信息!$C:$C,盘货信息!$K:$K)="","",IF(OR(_xlfn.XLOOKUP(A367&amp;B367&amp;C367,盘货信息!$A:$A&amp;盘货信息!$B:$B&amp;盘货信息!$C:$C,盘货信息!$G:$G)="参加",_xlfn.XLOOKUP(A367&amp;B367&amp;C367,盘货信息!$A:$A&amp;盘货信息!$B:$B&amp;盘货信息!$C:$C,盘货信息!$H:$H)="1（纯自补）"),_xlfn.XLOOKUP(A367&amp;B367&amp;C367,盘货信息!$A:$A&amp;盘货信息!$B:$B&amp;盘货信息!$C:$C,盘货信息!$K:$K)&amp;"元以旧换新（可无旧机换新）","")))</f>
        <v/>
      </c>
      <c r="K367" s="18" t="str">
        <f t="array" ref="K367">IF(C367="","",IF(_xlfn.XLOOKUP(A367&amp;B367&amp;C367,盘货信息!$A:$A&amp;盘货信息!$B:$B&amp;盘货信息!$C:$C,盘货信息!$L:$L)="","",_xlfn.XLOOKUP(A367&amp;B367&amp;C367,盘货信息!$A:$A&amp;盘货信息!$B:$B&amp;盘货信息!$C:$C,盘货信息!$L:$L)&amp;"元限时补贴"))</f>
        <v/>
      </c>
      <c r="L367" s="18" t="str">
        <f t="array" ref="L367">IF(C367="","",IF(_xlfn.XLOOKUP(A367&amp;B367&amp;C367,盘货信息!$A:$A&amp;盘货信息!$B:$B&amp;盘货信息!$C:$C,盘货信息!$M:$M)="","",_xlfn.XLOOKUP(A367&amp;B367&amp;C367,盘货信息!$A:$A&amp;盘货信息!$B:$B&amp;盘货信息!$C:$C,盘货信息!$M:$M)&amp;"元消费券"))</f>
        <v/>
      </c>
      <c r="M367" s="18" t="str">
        <f t="array" ref="M367">IF(C367="","",IF(_xlfn.XLOOKUP(A367&amp;B367&amp;C367,盘货信息!$A:$A&amp;盘货信息!$B:$B&amp;盘货信息!$C:$C,盘货信息!$G:$G)="不参加","","焕新补贴优惠【全民可用，不限地址】"))</f>
        <v/>
      </c>
    </row>
    <row r="368" customHeight="1" spans="1:13">
      <c r="A368" s="17" t="str">
        <f>IF(盘货信息!A368="","",盘货信息!A368)</f>
        <v/>
      </c>
      <c r="B368" s="17" t="str">
        <f>IF(盘货信息!B368="","",盘货信息!B368)</f>
        <v/>
      </c>
      <c r="C368" s="18" t="str">
        <f>IF(盘货信息!C368="","",盘货信息!C368)</f>
        <v/>
      </c>
      <c r="D368" s="18" t="str">
        <f t="shared" si="5"/>
        <v/>
      </c>
      <c r="E368" s="18" t="str">
        <f t="array" ref="E368">IF(C368="","",IF(_xlfn.XLOOKUP(A368&amp;B368&amp;C368,盘货信息!$A:$A&amp;盘货信息!$B:$B&amp;盘货信息!$C:$C,盘货信息!$N:$N)="","【立减到手价"&amp;_xlfn.XLOOKUP(A368&amp;B368&amp;C368,盘货信息!$A:$A&amp;盘货信息!$B:$B&amp;盘货信息!$C:$C,盘货信息!$F:$F)&amp;"元】","【焕新补贴预估价"&amp;_xlfn.XLOOKUP(A368&amp;B368&amp;C368,盘货信息!$A:$A&amp;盘货信息!$B:$B&amp;盘货信息!$C:$C,盘货信息!$N:$N)&amp;"元】"))</f>
        <v/>
      </c>
      <c r="F368" s="18" t="str">
        <f t="array" ref="F368">IF(C368="","",_xlfn.XLOOKUP(A368&amp;B368&amp;C368,盘货信息!$A:$A&amp;盘货信息!$B:$B&amp;盘货信息!$C:$C,盘货信息!$E:$E)&amp;"元到手价")</f>
        <v/>
      </c>
      <c r="G368" s="18" t="str">
        <f t="array" ref="G368">IF(C368="","",IF(_xlfn.XLOOKUP(A368&amp;B368&amp;C368,盘货信息!$A:$A&amp;盘货信息!$B:$B&amp;盘货信息!$C:$C,盘货信息!$I:$I)="","","88VIP95折"))</f>
        <v/>
      </c>
      <c r="H368" s="18" t="str">
        <f t="array" ref="H368">IF(C368="","",IF(_xlfn.XLOOKUP(A368&amp;B368&amp;C368,盘货信息!$A:$A&amp;盘货信息!$B:$B&amp;盘货信息!$C:$C,盘货信息!$J:$J)="","",_xlfn.XLOOKUP(A368&amp;B368&amp;C368,盘货信息!$A:$A&amp;盘货信息!$B:$B&amp;盘货信息!$C:$C,盘货信息!$J:$J)&amp;"元优惠卷"))</f>
        <v/>
      </c>
      <c r="I368" s="18" t="str">
        <f t="array" ref="I368">IF(C368="","",IF(_xlfn.XLOOKUP(A368&amp;B368&amp;C368,盘货信息!$A:$A&amp;盘货信息!$B:$B&amp;盘货信息!$C:$C,盘货信息!$R:$R)="","",_xlfn.XLOOKUP(A368&amp;B368&amp;C368,盘货信息!$A:$A&amp;盘货信息!$B:$B&amp;盘货信息!$C:$C,盘货信息!$R:$R)&amp;"元优惠卷"))</f>
        <v/>
      </c>
      <c r="J368" s="18" t="str">
        <f t="array" ref="J368">IF(C368="","",IF(_xlfn.XLOOKUP(A368&amp;B368&amp;C368,盘货信息!$A:$A&amp;盘货信息!$B:$B&amp;盘货信息!$C:$C,盘货信息!$K:$K)="","",IF(OR(_xlfn.XLOOKUP(A368&amp;B368&amp;C368,盘货信息!$A:$A&amp;盘货信息!$B:$B&amp;盘货信息!$C:$C,盘货信息!$G:$G)="参加",_xlfn.XLOOKUP(A368&amp;B368&amp;C368,盘货信息!$A:$A&amp;盘货信息!$B:$B&amp;盘货信息!$C:$C,盘货信息!$H:$H)="1（纯自补）"),_xlfn.XLOOKUP(A368&amp;B368&amp;C368,盘货信息!$A:$A&amp;盘货信息!$B:$B&amp;盘货信息!$C:$C,盘货信息!$K:$K)&amp;"元以旧换新（可无旧机换新）","")))</f>
        <v/>
      </c>
      <c r="K368" s="18" t="str">
        <f t="array" ref="K368">IF(C368="","",IF(_xlfn.XLOOKUP(A368&amp;B368&amp;C368,盘货信息!$A:$A&amp;盘货信息!$B:$B&amp;盘货信息!$C:$C,盘货信息!$L:$L)="","",_xlfn.XLOOKUP(A368&amp;B368&amp;C368,盘货信息!$A:$A&amp;盘货信息!$B:$B&amp;盘货信息!$C:$C,盘货信息!$L:$L)&amp;"元限时补贴"))</f>
        <v/>
      </c>
      <c r="L368" s="18" t="str">
        <f t="array" ref="L368">IF(C368="","",IF(_xlfn.XLOOKUP(A368&amp;B368&amp;C368,盘货信息!$A:$A&amp;盘货信息!$B:$B&amp;盘货信息!$C:$C,盘货信息!$M:$M)="","",_xlfn.XLOOKUP(A368&amp;B368&amp;C368,盘货信息!$A:$A&amp;盘货信息!$B:$B&amp;盘货信息!$C:$C,盘货信息!$M:$M)&amp;"元消费券"))</f>
        <v/>
      </c>
      <c r="M368" s="18" t="str">
        <f t="array" ref="M368">IF(C368="","",IF(_xlfn.XLOOKUP(A368&amp;B368&amp;C368,盘货信息!$A:$A&amp;盘货信息!$B:$B&amp;盘货信息!$C:$C,盘货信息!$G:$G)="不参加","","焕新补贴优惠【全民可用，不限地址】"))</f>
        <v/>
      </c>
    </row>
    <row r="369" customHeight="1" spans="1:13">
      <c r="A369" s="17" t="str">
        <f>IF(盘货信息!A369="","",盘货信息!A369)</f>
        <v/>
      </c>
      <c r="B369" s="17" t="str">
        <f>IF(盘货信息!B369="","",盘货信息!B369)</f>
        <v/>
      </c>
      <c r="C369" s="18" t="str">
        <f>IF(盘货信息!C369="","",盘货信息!C369)</f>
        <v/>
      </c>
      <c r="D369" s="18" t="str">
        <f t="shared" si="5"/>
        <v/>
      </c>
      <c r="E369" s="18" t="str">
        <f t="array" ref="E369">IF(C369="","",IF(_xlfn.XLOOKUP(A369&amp;B369&amp;C369,盘货信息!$A:$A&amp;盘货信息!$B:$B&amp;盘货信息!$C:$C,盘货信息!$N:$N)="","【立减到手价"&amp;_xlfn.XLOOKUP(A369&amp;B369&amp;C369,盘货信息!$A:$A&amp;盘货信息!$B:$B&amp;盘货信息!$C:$C,盘货信息!$F:$F)&amp;"元】","【焕新补贴预估价"&amp;_xlfn.XLOOKUP(A369&amp;B369&amp;C369,盘货信息!$A:$A&amp;盘货信息!$B:$B&amp;盘货信息!$C:$C,盘货信息!$N:$N)&amp;"元】"))</f>
        <v/>
      </c>
      <c r="F369" s="18" t="str">
        <f t="array" ref="F369">IF(C369="","",_xlfn.XLOOKUP(A369&amp;B369&amp;C369,盘货信息!$A:$A&amp;盘货信息!$B:$B&amp;盘货信息!$C:$C,盘货信息!$E:$E)&amp;"元到手价")</f>
        <v/>
      </c>
      <c r="G369" s="18" t="str">
        <f t="array" ref="G369">IF(C369="","",IF(_xlfn.XLOOKUP(A369&amp;B369&amp;C369,盘货信息!$A:$A&amp;盘货信息!$B:$B&amp;盘货信息!$C:$C,盘货信息!$I:$I)="","","88VIP95折"))</f>
        <v/>
      </c>
      <c r="H369" s="18" t="str">
        <f t="array" ref="H369">IF(C369="","",IF(_xlfn.XLOOKUP(A369&amp;B369&amp;C369,盘货信息!$A:$A&amp;盘货信息!$B:$B&amp;盘货信息!$C:$C,盘货信息!$J:$J)="","",_xlfn.XLOOKUP(A369&amp;B369&amp;C369,盘货信息!$A:$A&amp;盘货信息!$B:$B&amp;盘货信息!$C:$C,盘货信息!$J:$J)&amp;"元优惠卷"))</f>
        <v/>
      </c>
      <c r="I369" s="18" t="str">
        <f t="array" ref="I369">IF(C369="","",IF(_xlfn.XLOOKUP(A369&amp;B369&amp;C369,盘货信息!$A:$A&amp;盘货信息!$B:$B&amp;盘货信息!$C:$C,盘货信息!$R:$R)="","",_xlfn.XLOOKUP(A369&amp;B369&amp;C369,盘货信息!$A:$A&amp;盘货信息!$B:$B&amp;盘货信息!$C:$C,盘货信息!$R:$R)&amp;"元优惠卷"))</f>
        <v/>
      </c>
      <c r="J369" s="18" t="str">
        <f t="array" ref="J369">IF(C369="","",IF(_xlfn.XLOOKUP(A369&amp;B369&amp;C369,盘货信息!$A:$A&amp;盘货信息!$B:$B&amp;盘货信息!$C:$C,盘货信息!$K:$K)="","",IF(OR(_xlfn.XLOOKUP(A369&amp;B369&amp;C369,盘货信息!$A:$A&amp;盘货信息!$B:$B&amp;盘货信息!$C:$C,盘货信息!$G:$G)="参加",_xlfn.XLOOKUP(A369&amp;B369&amp;C369,盘货信息!$A:$A&amp;盘货信息!$B:$B&amp;盘货信息!$C:$C,盘货信息!$H:$H)="1（纯自补）"),_xlfn.XLOOKUP(A369&amp;B369&amp;C369,盘货信息!$A:$A&amp;盘货信息!$B:$B&amp;盘货信息!$C:$C,盘货信息!$K:$K)&amp;"元以旧换新（可无旧机换新）","")))</f>
        <v/>
      </c>
      <c r="K369" s="18" t="str">
        <f t="array" ref="K369">IF(C369="","",IF(_xlfn.XLOOKUP(A369&amp;B369&amp;C369,盘货信息!$A:$A&amp;盘货信息!$B:$B&amp;盘货信息!$C:$C,盘货信息!$L:$L)="","",_xlfn.XLOOKUP(A369&amp;B369&amp;C369,盘货信息!$A:$A&amp;盘货信息!$B:$B&amp;盘货信息!$C:$C,盘货信息!$L:$L)&amp;"元限时补贴"))</f>
        <v/>
      </c>
      <c r="L369" s="18" t="str">
        <f t="array" ref="L369">IF(C369="","",IF(_xlfn.XLOOKUP(A369&amp;B369&amp;C369,盘货信息!$A:$A&amp;盘货信息!$B:$B&amp;盘货信息!$C:$C,盘货信息!$M:$M)="","",_xlfn.XLOOKUP(A369&amp;B369&amp;C369,盘货信息!$A:$A&amp;盘货信息!$B:$B&amp;盘货信息!$C:$C,盘货信息!$M:$M)&amp;"元消费券"))</f>
        <v/>
      </c>
      <c r="M369" s="18" t="str">
        <f t="array" ref="M369">IF(C369="","",IF(_xlfn.XLOOKUP(A369&amp;B369&amp;C369,盘货信息!$A:$A&amp;盘货信息!$B:$B&amp;盘货信息!$C:$C,盘货信息!$G:$G)="不参加","","焕新补贴优惠【全民可用，不限地址】"))</f>
        <v/>
      </c>
    </row>
    <row r="370" customHeight="1" spans="1:13">
      <c r="A370" s="17" t="str">
        <f>IF(盘货信息!A370="","",盘货信息!A370)</f>
        <v/>
      </c>
      <c r="B370" s="17" t="str">
        <f>IF(盘货信息!B370="","",盘货信息!B370)</f>
        <v/>
      </c>
      <c r="C370" s="18" t="str">
        <f>IF(盘货信息!C370="","",盘货信息!C370)</f>
        <v/>
      </c>
      <c r="D370" s="18" t="str">
        <f t="shared" si="5"/>
        <v/>
      </c>
      <c r="E370" s="18" t="str">
        <f t="array" ref="E370">IF(C370="","",IF(_xlfn.XLOOKUP(A370&amp;B370&amp;C370,盘货信息!$A:$A&amp;盘货信息!$B:$B&amp;盘货信息!$C:$C,盘货信息!$N:$N)="","【立减到手价"&amp;_xlfn.XLOOKUP(A370&amp;B370&amp;C370,盘货信息!$A:$A&amp;盘货信息!$B:$B&amp;盘货信息!$C:$C,盘货信息!$F:$F)&amp;"元】","【焕新补贴预估价"&amp;_xlfn.XLOOKUP(A370&amp;B370&amp;C370,盘货信息!$A:$A&amp;盘货信息!$B:$B&amp;盘货信息!$C:$C,盘货信息!$N:$N)&amp;"元】"))</f>
        <v/>
      </c>
      <c r="F370" s="18" t="str">
        <f t="array" ref="F370">IF(C370="","",_xlfn.XLOOKUP(A370&amp;B370&amp;C370,盘货信息!$A:$A&amp;盘货信息!$B:$B&amp;盘货信息!$C:$C,盘货信息!$E:$E)&amp;"元到手价")</f>
        <v/>
      </c>
      <c r="G370" s="18" t="str">
        <f t="array" ref="G370">IF(C370="","",IF(_xlfn.XLOOKUP(A370&amp;B370&amp;C370,盘货信息!$A:$A&amp;盘货信息!$B:$B&amp;盘货信息!$C:$C,盘货信息!$I:$I)="","","88VIP95折"))</f>
        <v/>
      </c>
      <c r="H370" s="18" t="str">
        <f t="array" ref="H370">IF(C370="","",IF(_xlfn.XLOOKUP(A370&amp;B370&amp;C370,盘货信息!$A:$A&amp;盘货信息!$B:$B&amp;盘货信息!$C:$C,盘货信息!$J:$J)="","",_xlfn.XLOOKUP(A370&amp;B370&amp;C370,盘货信息!$A:$A&amp;盘货信息!$B:$B&amp;盘货信息!$C:$C,盘货信息!$J:$J)&amp;"元优惠卷"))</f>
        <v/>
      </c>
      <c r="I370" s="18" t="str">
        <f t="array" ref="I370">IF(C370="","",IF(_xlfn.XLOOKUP(A370&amp;B370&amp;C370,盘货信息!$A:$A&amp;盘货信息!$B:$B&amp;盘货信息!$C:$C,盘货信息!$R:$R)="","",_xlfn.XLOOKUP(A370&amp;B370&amp;C370,盘货信息!$A:$A&amp;盘货信息!$B:$B&amp;盘货信息!$C:$C,盘货信息!$R:$R)&amp;"元优惠卷"))</f>
        <v/>
      </c>
      <c r="J370" s="18" t="str">
        <f t="array" ref="J370">IF(C370="","",IF(_xlfn.XLOOKUP(A370&amp;B370&amp;C370,盘货信息!$A:$A&amp;盘货信息!$B:$B&amp;盘货信息!$C:$C,盘货信息!$K:$K)="","",IF(OR(_xlfn.XLOOKUP(A370&amp;B370&amp;C370,盘货信息!$A:$A&amp;盘货信息!$B:$B&amp;盘货信息!$C:$C,盘货信息!$G:$G)="参加",_xlfn.XLOOKUP(A370&amp;B370&amp;C370,盘货信息!$A:$A&amp;盘货信息!$B:$B&amp;盘货信息!$C:$C,盘货信息!$H:$H)="1（纯自补）"),_xlfn.XLOOKUP(A370&amp;B370&amp;C370,盘货信息!$A:$A&amp;盘货信息!$B:$B&amp;盘货信息!$C:$C,盘货信息!$K:$K)&amp;"元以旧换新（可无旧机换新）","")))</f>
        <v/>
      </c>
      <c r="K370" s="18" t="str">
        <f t="array" ref="K370">IF(C370="","",IF(_xlfn.XLOOKUP(A370&amp;B370&amp;C370,盘货信息!$A:$A&amp;盘货信息!$B:$B&amp;盘货信息!$C:$C,盘货信息!$L:$L)="","",_xlfn.XLOOKUP(A370&amp;B370&amp;C370,盘货信息!$A:$A&amp;盘货信息!$B:$B&amp;盘货信息!$C:$C,盘货信息!$L:$L)&amp;"元限时补贴"))</f>
        <v/>
      </c>
      <c r="L370" s="18" t="str">
        <f t="array" ref="L370">IF(C370="","",IF(_xlfn.XLOOKUP(A370&amp;B370&amp;C370,盘货信息!$A:$A&amp;盘货信息!$B:$B&amp;盘货信息!$C:$C,盘货信息!$M:$M)="","",_xlfn.XLOOKUP(A370&amp;B370&amp;C370,盘货信息!$A:$A&amp;盘货信息!$B:$B&amp;盘货信息!$C:$C,盘货信息!$M:$M)&amp;"元消费券"))</f>
        <v/>
      </c>
      <c r="M370" s="18" t="str">
        <f t="array" ref="M370">IF(C370="","",IF(_xlfn.XLOOKUP(A370&amp;B370&amp;C370,盘货信息!$A:$A&amp;盘货信息!$B:$B&amp;盘货信息!$C:$C,盘货信息!$G:$G)="不参加","","焕新补贴优惠【全民可用，不限地址】"))</f>
        <v/>
      </c>
    </row>
    <row r="371" customHeight="1" spans="1:13">
      <c r="A371" s="17" t="str">
        <f>IF(盘货信息!A371="","",盘货信息!A371)</f>
        <v/>
      </c>
      <c r="B371" s="17" t="str">
        <f>IF(盘货信息!B371="","",盘货信息!B371)</f>
        <v/>
      </c>
      <c r="C371" s="18" t="str">
        <f>IF(盘货信息!C371="","",盘货信息!C371)</f>
        <v/>
      </c>
      <c r="D371" s="18" t="str">
        <f t="shared" si="5"/>
        <v/>
      </c>
      <c r="E371" s="18" t="str">
        <f t="array" ref="E371">IF(C371="","",IF(_xlfn.XLOOKUP(A371&amp;B371&amp;C371,盘货信息!$A:$A&amp;盘货信息!$B:$B&amp;盘货信息!$C:$C,盘货信息!$N:$N)="","【立减到手价"&amp;_xlfn.XLOOKUP(A371&amp;B371&amp;C371,盘货信息!$A:$A&amp;盘货信息!$B:$B&amp;盘货信息!$C:$C,盘货信息!$F:$F)&amp;"元】","【焕新补贴预估价"&amp;_xlfn.XLOOKUP(A371&amp;B371&amp;C371,盘货信息!$A:$A&amp;盘货信息!$B:$B&amp;盘货信息!$C:$C,盘货信息!$N:$N)&amp;"元】"))</f>
        <v/>
      </c>
      <c r="F371" s="18" t="str">
        <f t="array" ref="F371">IF(C371="","",_xlfn.XLOOKUP(A371&amp;B371&amp;C371,盘货信息!$A:$A&amp;盘货信息!$B:$B&amp;盘货信息!$C:$C,盘货信息!$E:$E)&amp;"元到手价")</f>
        <v/>
      </c>
      <c r="G371" s="18" t="str">
        <f t="array" ref="G371">IF(C371="","",IF(_xlfn.XLOOKUP(A371&amp;B371&amp;C371,盘货信息!$A:$A&amp;盘货信息!$B:$B&amp;盘货信息!$C:$C,盘货信息!$I:$I)="","","88VIP95折"))</f>
        <v/>
      </c>
      <c r="H371" s="18" t="str">
        <f t="array" ref="H371">IF(C371="","",IF(_xlfn.XLOOKUP(A371&amp;B371&amp;C371,盘货信息!$A:$A&amp;盘货信息!$B:$B&amp;盘货信息!$C:$C,盘货信息!$J:$J)="","",_xlfn.XLOOKUP(A371&amp;B371&amp;C371,盘货信息!$A:$A&amp;盘货信息!$B:$B&amp;盘货信息!$C:$C,盘货信息!$J:$J)&amp;"元优惠卷"))</f>
        <v/>
      </c>
      <c r="I371" s="18" t="str">
        <f t="array" ref="I371">IF(C371="","",IF(_xlfn.XLOOKUP(A371&amp;B371&amp;C371,盘货信息!$A:$A&amp;盘货信息!$B:$B&amp;盘货信息!$C:$C,盘货信息!$R:$R)="","",_xlfn.XLOOKUP(A371&amp;B371&amp;C371,盘货信息!$A:$A&amp;盘货信息!$B:$B&amp;盘货信息!$C:$C,盘货信息!$R:$R)&amp;"元优惠卷"))</f>
        <v/>
      </c>
      <c r="J371" s="18" t="str">
        <f t="array" ref="J371">IF(C371="","",IF(_xlfn.XLOOKUP(A371&amp;B371&amp;C371,盘货信息!$A:$A&amp;盘货信息!$B:$B&amp;盘货信息!$C:$C,盘货信息!$K:$K)="","",IF(OR(_xlfn.XLOOKUP(A371&amp;B371&amp;C371,盘货信息!$A:$A&amp;盘货信息!$B:$B&amp;盘货信息!$C:$C,盘货信息!$G:$G)="参加",_xlfn.XLOOKUP(A371&amp;B371&amp;C371,盘货信息!$A:$A&amp;盘货信息!$B:$B&amp;盘货信息!$C:$C,盘货信息!$H:$H)="1（纯自补）"),_xlfn.XLOOKUP(A371&amp;B371&amp;C371,盘货信息!$A:$A&amp;盘货信息!$B:$B&amp;盘货信息!$C:$C,盘货信息!$K:$K)&amp;"元以旧换新（可无旧机换新）","")))</f>
        <v/>
      </c>
      <c r="K371" s="18" t="str">
        <f t="array" ref="K371">IF(C371="","",IF(_xlfn.XLOOKUP(A371&amp;B371&amp;C371,盘货信息!$A:$A&amp;盘货信息!$B:$B&amp;盘货信息!$C:$C,盘货信息!$L:$L)="","",_xlfn.XLOOKUP(A371&amp;B371&amp;C371,盘货信息!$A:$A&amp;盘货信息!$B:$B&amp;盘货信息!$C:$C,盘货信息!$L:$L)&amp;"元限时补贴"))</f>
        <v/>
      </c>
      <c r="L371" s="18" t="str">
        <f t="array" ref="L371">IF(C371="","",IF(_xlfn.XLOOKUP(A371&amp;B371&amp;C371,盘货信息!$A:$A&amp;盘货信息!$B:$B&amp;盘货信息!$C:$C,盘货信息!$M:$M)="","",_xlfn.XLOOKUP(A371&amp;B371&amp;C371,盘货信息!$A:$A&amp;盘货信息!$B:$B&amp;盘货信息!$C:$C,盘货信息!$M:$M)&amp;"元消费券"))</f>
        <v/>
      </c>
      <c r="M371" s="18" t="str">
        <f t="array" ref="M371">IF(C371="","",IF(_xlfn.XLOOKUP(A371&amp;B371&amp;C371,盘货信息!$A:$A&amp;盘货信息!$B:$B&amp;盘货信息!$C:$C,盘货信息!$G:$G)="不参加","","焕新补贴优惠【全民可用，不限地址】"))</f>
        <v/>
      </c>
    </row>
    <row r="372" customHeight="1" spans="1:13">
      <c r="A372" s="17" t="str">
        <f>IF(盘货信息!A372="","",盘货信息!A372)</f>
        <v/>
      </c>
      <c r="B372" s="17" t="str">
        <f>IF(盘货信息!B372="","",盘货信息!B372)</f>
        <v/>
      </c>
      <c r="C372" s="18" t="str">
        <f>IF(盘货信息!C372="","",盘货信息!C372)</f>
        <v/>
      </c>
      <c r="D372" s="18" t="str">
        <f t="shared" si="5"/>
        <v/>
      </c>
      <c r="E372" s="18" t="str">
        <f t="array" ref="E372">IF(C372="","",IF(_xlfn.XLOOKUP(A372&amp;B372&amp;C372,盘货信息!$A:$A&amp;盘货信息!$B:$B&amp;盘货信息!$C:$C,盘货信息!$N:$N)="","【立减到手价"&amp;_xlfn.XLOOKUP(A372&amp;B372&amp;C372,盘货信息!$A:$A&amp;盘货信息!$B:$B&amp;盘货信息!$C:$C,盘货信息!$F:$F)&amp;"元】","【焕新补贴预估价"&amp;_xlfn.XLOOKUP(A372&amp;B372&amp;C372,盘货信息!$A:$A&amp;盘货信息!$B:$B&amp;盘货信息!$C:$C,盘货信息!$N:$N)&amp;"元】"))</f>
        <v/>
      </c>
      <c r="F372" s="18" t="str">
        <f t="array" ref="F372">IF(C372="","",_xlfn.XLOOKUP(A372&amp;B372&amp;C372,盘货信息!$A:$A&amp;盘货信息!$B:$B&amp;盘货信息!$C:$C,盘货信息!$E:$E)&amp;"元到手价")</f>
        <v/>
      </c>
      <c r="G372" s="18" t="str">
        <f t="array" ref="G372">IF(C372="","",IF(_xlfn.XLOOKUP(A372&amp;B372&amp;C372,盘货信息!$A:$A&amp;盘货信息!$B:$B&amp;盘货信息!$C:$C,盘货信息!$I:$I)="","","88VIP95折"))</f>
        <v/>
      </c>
      <c r="H372" s="18" t="str">
        <f t="array" ref="H372">IF(C372="","",IF(_xlfn.XLOOKUP(A372&amp;B372&amp;C372,盘货信息!$A:$A&amp;盘货信息!$B:$B&amp;盘货信息!$C:$C,盘货信息!$J:$J)="","",_xlfn.XLOOKUP(A372&amp;B372&amp;C372,盘货信息!$A:$A&amp;盘货信息!$B:$B&amp;盘货信息!$C:$C,盘货信息!$J:$J)&amp;"元优惠卷"))</f>
        <v/>
      </c>
      <c r="I372" s="18" t="str">
        <f t="array" ref="I372">IF(C372="","",IF(_xlfn.XLOOKUP(A372&amp;B372&amp;C372,盘货信息!$A:$A&amp;盘货信息!$B:$B&amp;盘货信息!$C:$C,盘货信息!$R:$R)="","",_xlfn.XLOOKUP(A372&amp;B372&amp;C372,盘货信息!$A:$A&amp;盘货信息!$B:$B&amp;盘货信息!$C:$C,盘货信息!$R:$R)&amp;"元优惠卷"))</f>
        <v/>
      </c>
      <c r="J372" s="18" t="str">
        <f t="array" ref="J372">IF(C372="","",IF(_xlfn.XLOOKUP(A372&amp;B372&amp;C372,盘货信息!$A:$A&amp;盘货信息!$B:$B&amp;盘货信息!$C:$C,盘货信息!$K:$K)="","",IF(OR(_xlfn.XLOOKUP(A372&amp;B372&amp;C372,盘货信息!$A:$A&amp;盘货信息!$B:$B&amp;盘货信息!$C:$C,盘货信息!$G:$G)="参加",_xlfn.XLOOKUP(A372&amp;B372&amp;C372,盘货信息!$A:$A&amp;盘货信息!$B:$B&amp;盘货信息!$C:$C,盘货信息!$H:$H)="1（纯自补）"),_xlfn.XLOOKUP(A372&amp;B372&amp;C372,盘货信息!$A:$A&amp;盘货信息!$B:$B&amp;盘货信息!$C:$C,盘货信息!$K:$K)&amp;"元以旧换新（可无旧机换新）","")))</f>
        <v/>
      </c>
      <c r="K372" s="18" t="str">
        <f t="array" ref="K372">IF(C372="","",IF(_xlfn.XLOOKUP(A372&amp;B372&amp;C372,盘货信息!$A:$A&amp;盘货信息!$B:$B&amp;盘货信息!$C:$C,盘货信息!$L:$L)="","",_xlfn.XLOOKUP(A372&amp;B372&amp;C372,盘货信息!$A:$A&amp;盘货信息!$B:$B&amp;盘货信息!$C:$C,盘货信息!$L:$L)&amp;"元限时补贴"))</f>
        <v/>
      </c>
      <c r="L372" s="18" t="str">
        <f t="array" ref="L372">IF(C372="","",IF(_xlfn.XLOOKUP(A372&amp;B372&amp;C372,盘货信息!$A:$A&amp;盘货信息!$B:$B&amp;盘货信息!$C:$C,盘货信息!$M:$M)="","",_xlfn.XLOOKUP(A372&amp;B372&amp;C372,盘货信息!$A:$A&amp;盘货信息!$B:$B&amp;盘货信息!$C:$C,盘货信息!$M:$M)&amp;"元消费券"))</f>
        <v/>
      </c>
      <c r="M372" s="18" t="str">
        <f t="array" ref="M372">IF(C372="","",IF(_xlfn.XLOOKUP(A372&amp;B372&amp;C372,盘货信息!$A:$A&amp;盘货信息!$B:$B&amp;盘货信息!$C:$C,盘货信息!$G:$G)="不参加","","焕新补贴优惠【全民可用，不限地址】"))</f>
        <v/>
      </c>
    </row>
    <row r="373" customHeight="1" spans="1:13">
      <c r="A373" s="17" t="str">
        <f>IF(盘货信息!A373="","",盘货信息!A373)</f>
        <v/>
      </c>
      <c r="B373" s="17" t="str">
        <f>IF(盘货信息!B373="","",盘货信息!B373)</f>
        <v/>
      </c>
      <c r="C373" s="18" t="str">
        <f>IF(盘货信息!C373="","",盘货信息!C373)</f>
        <v/>
      </c>
      <c r="D373" s="18" t="str">
        <f t="shared" si="5"/>
        <v/>
      </c>
      <c r="E373" s="18" t="str">
        <f t="array" ref="E373">IF(C373="","",IF(_xlfn.XLOOKUP(A373&amp;B373&amp;C373,盘货信息!$A:$A&amp;盘货信息!$B:$B&amp;盘货信息!$C:$C,盘货信息!$N:$N)="","【立减到手价"&amp;_xlfn.XLOOKUP(A373&amp;B373&amp;C373,盘货信息!$A:$A&amp;盘货信息!$B:$B&amp;盘货信息!$C:$C,盘货信息!$F:$F)&amp;"元】","【焕新补贴预估价"&amp;_xlfn.XLOOKUP(A373&amp;B373&amp;C373,盘货信息!$A:$A&amp;盘货信息!$B:$B&amp;盘货信息!$C:$C,盘货信息!$N:$N)&amp;"元】"))</f>
        <v/>
      </c>
      <c r="F373" s="18" t="str">
        <f t="array" ref="F373">IF(C373="","",_xlfn.XLOOKUP(A373&amp;B373&amp;C373,盘货信息!$A:$A&amp;盘货信息!$B:$B&amp;盘货信息!$C:$C,盘货信息!$E:$E)&amp;"元到手价")</f>
        <v/>
      </c>
      <c r="G373" s="18" t="str">
        <f t="array" ref="G373">IF(C373="","",IF(_xlfn.XLOOKUP(A373&amp;B373&amp;C373,盘货信息!$A:$A&amp;盘货信息!$B:$B&amp;盘货信息!$C:$C,盘货信息!$I:$I)="","","88VIP95折"))</f>
        <v/>
      </c>
      <c r="H373" s="18" t="str">
        <f t="array" ref="H373">IF(C373="","",IF(_xlfn.XLOOKUP(A373&amp;B373&amp;C373,盘货信息!$A:$A&amp;盘货信息!$B:$B&amp;盘货信息!$C:$C,盘货信息!$J:$J)="","",_xlfn.XLOOKUP(A373&amp;B373&amp;C373,盘货信息!$A:$A&amp;盘货信息!$B:$B&amp;盘货信息!$C:$C,盘货信息!$J:$J)&amp;"元优惠卷"))</f>
        <v/>
      </c>
      <c r="I373" s="18" t="str">
        <f t="array" ref="I373">IF(C373="","",IF(_xlfn.XLOOKUP(A373&amp;B373&amp;C373,盘货信息!$A:$A&amp;盘货信息!$B:$B&amp;盘货信息!$C:$C,盘货信息!$R:$R)="","",_xlfn.XLOOKUP(A373&amp;B373&amp;C373,盘货信息!$A:$A&amp;盘货信息!$B:$B&amp;盘货信息!$C:$C,盘货信息!$R:$R)&amp;"元优惠卷"))</f>
        <v/>
      </c>
      <c r="J373" s="18" t="str">
        <f t="array" ref="J373">IF(C373="","",IF(_xlfn.XLOOKUP(A373&amp;B373&amp;C373,盘货信息!$A:$A&amp;盘货信息!$B:$B&amp;盘货信息!$C:$C,盘货信息!$K:$K)="","",IF(OR(_xlfn.XLOOKUP(A373&amp;B373&amp;C373,盘货信息!$A:$A&amp;盘货信息!$B:$B&amp;盘货信息!$C:$C,盘货信息!$G:$G)="参加",_xlfn.XLOOKUP(A373&amp;B373&amp;C373,盘货信息!$A:$A&amp;盘货信息!$B:$B&amp;盘货信息!$C:$C,盘货信息!$H:$H)="1（纯自补）"),_xlfn.XLOOKUP(A373&amp;B373&amp;C373,盘货信息!$A:$A&amp;盘货信息!$B:$B&amp;盘货信息!$C:$C,盘货信息!$K:$K)&amp;"元以旧换新（可无旧机换新）","")))</f>
        <v/>
      </c>
      <c r="K373" s="18" t="str">
        <f t="array" ref="K373">IF(C373="","",IF(_xlfn.XLOOKUP(A373&amp;B373&amp;C373,盘货信息!$A:$A&amp;盘货信息!$B:$B&amp;盘货信息!$C:$C,盘货信息!$L:$L)="","",_xlfn.XLOOKUP(A373&amp;B373&amp;C373,盘货信息!$A:$A&amp;盘货信息!$B:$B&amp;盘货信息!$C:$C,盘货信息!$L:$L)&amp;"元限时补贴"))</f>
        <v/>
      </c>
      <c r="L373" s="18" t="str">
        <f t="array" ref="L373">IF(C373="","",IF(_xlfn.XLOOKUP(A373&amp;B373&amp;C373,盘货信息!$A:$A&amp;盘货信息!$B:$B&amp;盘货信息!$C:$C,盘货信息!$M:$M)="","",_xlfn.XLOOKUP(A373&amp;B373&amp;C373,盘货信息!$A:$A&amp;盘货信息!$B:$B&amp;盘货信息!$C:$C,盘货信息!$M:$M)&amp;"元消费券"))</f>
        <v/>
      </c>
      <c r="M373" s="18" t="str">
        <f t="array" ref="M373">IF(C373="","",IF(_xlfn.XLOOKUP(A373&amp;B373&amp;C373,盘货信息!$A:$A&amp;盘货信息!$B:$B&amp;盘货信息!$C:$C,盘货信息!$G:$G)="不参加","","焕新补贴优惠【全民可用，不限地址】"))</f>
        <v/>
      </c>
    </row>
    <row r="374" customHeight="1" spans="1:13">
      <c r="A374" s="17" t="str">
        <f>IF(盘货信息!A374="","",盘货信息!A374)</f>
        <v/>
      </c>
      <c r="B374" s="17" t="str">
        <f>IF(盘货信息!B374="","",盘货信息!B374)</f>
        <v/>
      </c>
      <c r="C374" s="18" t="str">
        <f>IF(盘货信息!C374="","",盘货信息!C374)</f>
        <v/>
      </c>
      <c r="D374" s="18" t="str">
        <f t="shared" si="5"/>
        <v/>
      </c>
      <c r="E374" s="18" t="str">
        <f t="array" ref="E374">IF(C374="","",IF(_xlfn.XLOOKUP(A374&amp;B374&amp;C374,盘货信息!$A:$A&amp;盘货信息!$B:$B&amp;盘货信息!$C:$C,盘货信息!$N:$N)="","【立减到手价"&amp;_xlfn.XLOOKUP(A374&amp;B374&amp;C374,盘货信息!$A:$A&amp;盘货信息!$B:$B&amp;盘货信息!$C:$C,盘货信息!$F:$F)&amp;"元】","【焕新补贴预估价"&amp;_xlfn.XLOOKUP(A374&amp;B374&amp;C374,盘货信息!$A:$A&amp;盘货信息!$B:$B&amp;盘货信息!$C:$C,盘货信息!$N:$N)&amp;"元】"))</f>
        <v/>
      </c>
      <c r="F374" s="18" t="str">
        <f t="array" ref="F374">IF(C374="","",_xlfn.XLOOKUP(A374&amp;B374&amp;C374,盘货信息!$A:$A&amp;盘货信息!$B:$B&amp;盘货信息!$C:$C,盘货信息!$E:$E)&amp;"元到手价")</f>
        <v/>
      </c>
      <c r="G374" s="18" t="str">
        <f t="array" ref="G374">IF(C374="","",IF(_xlfn.XLOOKUP(A374&amp;B374&amp;C374,盘货信息!$A:$A&amp;盘货信息!$B:$B&amp;盘货信息!$C:$C,盘货信息!$I:$I)="","","88VIP95折"))</f>
        <v/>
      </c>
      <c r="H374" s="18" t="str">
        <f t="array" ref="H374">IF(C374="","",IF(_xlfn.XLOOKUP(A374&amp;B374&amp;C374,盘货信息!$A:$A&amp;盘货信息!$B:$B&amp;盘货信息!$C:$C,盘货信息!$J:$J)="","",_xlfn.XLOOKUP(A374&amp;B374&amp;C374,盘货信息!$A:$A&amp;盘货信息!$B:$B&amp;盘货信息!$C:$C,盘货信息!$J:$J)&amp;"元优惠卷"))</f>
        <v/>
      </c>
      <c r="I374" s="18" t="str">
        <f t="array" ref="I374">IF(C374="","",IF(_xlfn.XLOOKUP(A374&amp;B374&amp;C374,盘货信息!$A:$A&amp;盘货信息!$B:$B&amp;盘货信息!$C:$C,盘货信息!$R:$R)="","",_xlfn.XLOOKUP(A374&amp;B374&amp;C374,盘货信息!$A:$A&amp;盘货信息!$B:$B&amp;盘货信息!$C:$C,盘货信息!$R:$R)&amp;"元优惠卷"))</f>
        <v/>
      </c>
      <c r="J374" s="18" t="str">
        <f t="array" ref="J374">IF(C374="","",IF(_xlfn.XLOOKUP(A374&amp;B374&amp;C374,盘货信息!$A:$A&amp;盘货信息!$B:$B&amp;盘货信息!$C:$C,盘货信息!$K:$K)="","",IF(OR(_xlfn.XLOOKUP(A374&amp;B374&amp;C374,盘货信息!$A:$A&amp;盘货信息!$B:$B&amp;盘货信息!$C:$C,盘货信息!$G:$G)="参加",_xlfn.XLOOKUP(A374&amp;B374&amp;C374,盘货信息!$A:$A&amp;盘货信息!$B:$B&amp;盘货信息!$C:$C,盘货信息!$H:$H)="1（纯自补）"),_xlfn.XLOOKUP(A374&amp;B374&amp;C374,盘货信息!$A:$A&amp;盘货信息!$B:$B&amp;盘货信息!$C:$C,盘货信息!$K:$K)&amp;"元以旧换新（可无旧机换新）","")))</f>
        <v/>
      </c>
      <c r="K374" s="18" t="str">
        <f t="array" ref="K374">IF(C374="","",IF(_xlfn.XLOOKUP(A374&amp;B374&amp;C374,盘货信息!$A:$A&amp;盘货信息!$B:$B&amp;盘货信息!$C:$C,盘货信息!$L:$L)="","",_xlfn.XLOOKUP(A374&amp;B374&amp;C374,盘货信息!$A:$A&amp;盘货信息!$B:$B&amp;盘货信息!$C:$C,盘货信息!$L:$L)&amp;"元限时补贴"))</f>
        <v/>
      </c>
      <c r="L374" s="18" t="str">
        <f t="array" ref="L374">IF(C374="","",IF(_xlfn.XLOOKUP(A374&amp;B374&amp;C374,盘货信息!$A:$A&amp;盘货信息!$B:$B&amp;盘货信息!$C:$C,盘货信息!$M:$M)="","",_xlfn.XLOOKUP(A374&amp;B374&amp;C374,盘货信息!$A:$A&amp;盘货信息!$B:$B&amp;盘货信息!$C:$C,盘货信息!$M:$M)&amp;"元消费券"))</f>
        <v/>
      </c>
      <c r="M374" s="18" t="str">
        <f t="array" ref="M374">IF(C374="","",IF(_xlfn.XLOOKUP(A374&amp;B374&amp;C374,盘货信息!$A:$A&amp;盘货信息!$B:$B&amp;盘货信息!$C:$C,盘货信息!$G:$G)="不参加","","焕新补贴优惠【全民可用，不限地址】"))</f>
        <v/>
      </c>
    </row>
    <row r="375" customHeight="1" spans="1:13">
      <c r="A375" s="17" t="str">
        <f>IF(盘货信息!A375="","",盘货信息!A375)</f>
        <v/>
      </c>
      <c r="B375" s="17" t="str">
        <f>IF(盘货信息!B375="","",盘货信息!B375)</f>
        <v/>
      </c>
      <c r="C375" s="18" t="str">
        <f>IF(盘货信息!C375="","",盘货信息!C375)</f>
        <v/>
      </c>
      <c r="D375" s="18" t="str">
        <f t="shared" si="5"/>
        <v/>
      </c>
      <c r="E375" s="18" t="str">
        <f t="array" ref="E375">IF(C375="","",IF(_xlfn.XLOOKUP(A375&amp;B375&amp;C375,盘货信息!$A:$A&amp;盘货信息!$B:$B&amp;盘货信息!$C:$C,盘货信息!$N:$N)="","【立减到手价"&amp;_xlfn.XLOOKUP(A375&amp;B375&amp;C375,盘货信息!$A:$A&amp;盘货信息!$B:$B&amp;盘货信息!$C:$C,盘货信息!$F:$F)&amp;"元】","【焕新补贴预估价"&amp;_xlfn.XLOOKUP(A375&amp;B375&amp;C375,盘货信息!$A:$A&amp;盘货信息!$B:$B&amp;盘货信息!$C:$C,盘货信息!$N:$N)&amp;"元】"))</f>
        <v/>
      </c>
      <c r="F375" s="18" t="str">
        <f t="array" ref="F375">IF(C375="","",_xlfn.XLOOKUP(A375&amp;B375&amp;C375,盘货信息!$A:$A&amp;盘货信息!$B:$B&amp;盘货信息!$C:$C,盘货信息!$E:$E)&amp;"元到手价")</f>
        <v/>
      </c>
      <c r="G375" s="18" t="str">
        <f t="array" ref="G375">IF(C375="","",IF(_xlfn.XLOOKUP(A375&amp;B375&amp;C375,盘货信息!$A:$A&amp;盘货信息!$B:$B&amp;盘货信息!$C:$C,盘货信息!$I:$I)="","","88VIP95折"))</f>
        <v/>
      </c>
      <c r="H375" s="18" t="str">
        <f t="array" ref="H375">IF(C375="","",IF(_xlfn.XLOOKUP(A375&amp;B375&amp;C375,盘货信息!$A:$A&amp;盘货信息!$B:$B&amp;盘货信息!$C:$C,盘货信息!$J:$J)="","",_xlfn.XLOOKUP(A375&amp;B375&amp;C375,盘货信息!$A:$A&amp;盘货信息!$B:$B&amp;盘货信息!$C:$C,盘货信息!$J:$J)&amp;"元优惠卷"))</f>
        <v/>
      </c>
      <c r="I375" s="18" t="str">
        <f t="array" ref="I375">IF(C375="","",IF(_xlfn.XLOOKUP(A375&amp;B375&amp;C375,盘货信息!$A:$A&amp;盘货信息!$B:$B&amp;盘货信息!$C:$C,盘货信息!$R:$R)="","",_xlfn.XLOOKUP(A375&amp;B375&amp;C375,盘货信息!$A:$A&amp;盘货信息!$B:$B&amp;盘货信息!$C:$C,盘货信息!$R:$R)&amp;"元优惠卷"))</f>
        <v/>
      </c>
      <c r="J375" s="18" t="str">
        <f t="array" ref="J375">IF(C375="","",IF(_xlfn.XLOOKUP(A375&amp;B375&amp;C375,盘货信息!$A:$A&amp;盘货信息!$B:$B&amp;盘货信息!$C:$C,盘货信息!$K:$K)="","",IF(OR(_xlfn.XLOOKUP(A375&amp;B375&amp;C375,盘货信息!$A:$A&amp;盘货信息!$B:$B&amp;盘货信息!$C:$C,盘货信息!$G:$G)="参加",_xlfn.XLOOKUP(A375&amp;B375&amp;C375,盘货信息!$A:$A&amp;盘货信息!$B:$B&amp;盘货信息!$C:$C,盘货信息!$H:$H)="1（纯自补）"),_xlfn.XLOOKUP(A375&amp;B375&amp;C375,盘货信息!$A:$A&amp;盘货信息!$B:$B&amp;盘货信息!$C:$C,盘货信息!$K:$K)&amp;"元以旧换新（可无旧机换新）","")))</f>
        <v/>
      </c>
      <c r="K375" s="18" t="str">
        <f t="array" ref="K375">IF(C375="","",IF(_xlfn.XLOOKUP(A375&amp;B375&amp;C375,盘货信息!$A:$A&amp;盘货信息!$B:$B&amp;盘货信息!$C:$C,盘货信息!$L:$L)="","",_xlfn.XLOOKUP(A375&amp;B375&amp;C375,盘货信息!$A:$A&amp;盘货信息!$B:$B&amp;盘货信息!$C:$C,盘货信息!$L:$L)&amp;"元限时补贴"))</f>
        <v/>
      </c>
      <c r="L375" s="18" t="str">
        <f t="array" ref="L375">IF(C375="","",IF(_xlfn.XLOOKUP(A375&amp;B375&amp;C375,盘货信息!$A:$A&amp;盘货信息!$B:$B&amp;盘货信息!$C:$C,盘货信息!$M:$M)="","",_xlfn.XLOOKUP(A375&amp;B375&amp;C375,盘货信息!$A:$A&amp;盘货信息!$B:$B&amp;盘货信息!$C:$C,盘货信息!$M:$M)&amp;"元消费券"))</f>
        <v/>
      </c>
      <c r="M375" s="18" t="str">
        <f t="array" ref="M375">IF(C375="","",IF(_xlfn.XLOOKUP(A375&amp;B375&amp;C375,盘货信息!$A:$A&amp;盘货信息!$B:$B&amp;盘货信息!$C:$C,盘货信息!$G:$G)="不参加","","焕新补贴优惠【全民可用，不限地址】"))</f>
        <v/>
      </c>
    </row>
    <row r="376" customHeight="1" spans="1:13">
      <c r="A376" s="17" t="str">
        <f>IF(盘货信息!A376="","",盘货信息!A376)</f>
        <v/>
      </c>
      <c r="B376" s="17" t="str">
        <f>IF(盘货信息!B376="","",盘货信息!B376)</f>
        <v/>
      </c>
      <c r="C376" s="18" t="str">
        <f>IF(盘货信息!C376="","",盘货信息!C376)</f>
        <v/>
      </c>
      <c r="D376" s="18" t="str">
        <f t="shared" si="5"/>
        <v/>
      </c>
      <c r="E376" s="18" t="str">
        <f t="array" ref="E376">IF(C376="","",IF(_xlfn.XLOOKUP(A376&amp;B376&amp;C376,盘货信息!$A:$A&amp;盘货信息!$B:$B&amp;盘货信息!$C:$C,盘货信息!$N:$N)="","【立减到手价"&amp;_xlfn.XLOOKUP(A376&amp;B376&amp;C376,盘货信息!$A:$A&amp;盘货信息!$B:$B&amp;盘货信息!$C:$C,盘货信息!$F:$F)&amp;"元】","【焕新补贴预估价"&amp;_xlfn.XLOOKUP(A376&amp;B376&amp;C376,盘货信息!$A:$A&amp;盘货信息!$B:$B&amp;盘货信息!$C:$C,盘货信息!$N:$N)&amp;"元】"))</f>
        <v/>
      </c>
      <c r="F376" s="18" t="str">
        <f t="array" ref="F376">IF(C376="","",_xlfn.XLOOKUP(A376&amp;B376&amp;C376,盘货信息!$A:$A&amp;盘货信息!$B:$B&amp;盘货信息!$C:$C,盘货信息!$E:$E)&amp;"元到手价")</f>
        <v/>
      </c>
      <c r="G376" s="18" t="str">
        <f t="array" ref="G376">IF(C376="","",IF(_xlfn.XLOOKUP(A376&amp;B376&amp;C376,盘货信息!$A:$A&amp;盘货信息!$B:$B&amp;盘货信息!$C:$C,盘货信息!$I:$I)="","","88VIP95折"))</f>
        <v/>
      </c>
      <c r="H376" s="18" t="str">
        <f t="array" ref="H376">IF(C376="","",IF(_xlfn.XLOOKUP(A376&amp;B376&amp;C376,盘货信息!$A:$A&amp;盘货信息!$B:$B&amp;盘货信息!$C:$C,盘货信息!$J:$J)="","",_xlfn.XLOOKUP(A376&amp;B376&amp;C376,盘货信息!$A:$A&amp;盘货信息!$B:$B&amp;盘货信息!$C:$C,盘货信息!$J:$J)&amp;"元优惠卷"))</f>
        <v/>
      </c>
      <c r="I376" s="18" t="str">
        <f t="array" ref="I376">IF(C376="","",IF(_xlfn.XLOOKUP(A376&amp;B376&amp;C376,盘货信息!$A:$A&amp;盘货信息!$B:$B&amp;盘货信息!$C:$C,盘货信息!$R:$R)="","",_xlfn.XLOOKUP(A376&amp;B376&amp;C376,盘货信息!$A:$A&amp;盘货信息!$B:$B&amp;盘货信息!$C:$C,盘货信息!$R:$R)&amp;"元优惠卷"))</f>
        <v/>
      </c>
      <c r="J376" s="18" t="str">
        <f t="array" ref="J376">IF(C376="","",IF(_xlfn.XLOOKUP(A376&amp;B376&amp;C376,盘货信息!$A:$A&amp;盘货信息!$B:$B&amp;盘货信息!$C:$C,盘货信息!$K:$K)="","",IF(OR(_xlfn.XLOOKUP(A376&amp;B376&amp;C376,盘货信息!$A:$A&amp;盘货信息!$B:$B&amp;盘货信息!$C:$C,盘货信息!$G:$G)="参加",_xlfn.XLOOKUP(A376&amp;B376&amp;C376,盘货信息!$A:$A&amp;盘货信息!$B:$B&amp;盘货信息!$C:$C,盘货信息!$H:$H)="1（纯自补）"),_xlfn.XLOOKUP(A376&amp;B376&amp;C376,盘货信息!$A:$A&amp;盘货信息!$B:$B&amp;盘货信息!$C:$C,盘货信息!$K:$K)&amp;"元以旧换新（可无旧机换新）","")))</f>
        <v/>
      </c>
      <c r="K376" s="18" t="str">
        <f t="array" ref="K376">IF(C376="","",IF(_xlfn.XLOOKUP(A376&amp;B376&amp;C376,盘货信息!$A:$A&amp;盘货信息!$B:$B&amp;盘货信息!$C:$C,盘货信息!$L:$L)="","",_xlfn.XLOOKUP(A376&amp;B376&amp;C376,盘货信息!$A:$A&amp;盘货信息!$B:$B&amp;盘货信息!$C:$C,盘货信息!$L:$L)&amp;"元限时补贴"))</f>
        <v/>
      </c>
      <c r="L376" s="18" t="str">
        <f t="array" ref="L376">IF(C376="","",IF(_xlfn.XLOOKUP(A376&amp;B376&amp;C376,盘货信息!$A:$A&amp;盘货信息!$B:$B&amp;盘货信息!$C:$C,盘货信息!$M:$M)="","",_xlfn.XLOOKUP(A376&amp;B376&amp;C376,盘货信息!$A:$A&amp;盘货信息!$B:$B&amp;盘货信息!$C:$C,盘货信息!$M:$M)&amp;"元消费券"))</f>
        <v/>
      </c>
      <c r="M376" s="18" t="str">
        <f t="array" ref="M376">IF(C376="","",IF(_xlfn.XLOOKUP(A376&amp;B376&amp;C376,盘货信息!$A:$A&amp;盘货信息!$B:$B&amp;盘货信息!$C:$C,盘货信息!$G:$G)="不参加","","焕新补贴优惠【全民可用，不限地址】"))</f>
        <v/>
      </c>
    </row>
    <row r="377" customHeight="1" spans="1:13">
      <c r="A377" s="17" t="str">
        <f>IF(盘货信息!A377="","",盘货信息!A377)</f>
        <v/>
      </c>
      <c r="B377" s="17" t="str">
        <f>IF(盘货信息!B377="","",盘货信息!B377)</f>
        <v/>
      </c>
      <c r="C377" s="18" t="str">
        <f>IF(盘货信息!C377="","",盘货信息!C377)</f>
        <v/>
      </c>
      <c r="D377" s="18" t="str">
        <f t="shared" si="5"/>
        <v/>
      </c>
      <c r="E377" s="18" t="str">
        <f t="array" ref="E377">IF(C377="","",IF(_xlfn.XLOOKUP(A377&amp;B377&amp;C377,盘货信息!$A:$A&amp;盘货信息!$B:$B&amp;盘货信息!$C:$C,盘货信息!$N:$N)="","【立减到手价"&amp;_xlfn.XLOOKUP(A377&amp;B377&amp;C377,盘货信息!$A:$A&amp;盘货信息!$B:$B&amp;盘货信息!$C:$C,盘货信息!$F:$F)&amp;"元】","【焕新补贴预估价"&amp;_xlfn.XLOOKUP(A377&amp;B377&amp;C377,盘货信息!$A:$A&amp;盘货信息!$B:$B&amp;盘货信息!$C:$C,盘货信息!$N:$N)&amp;"元】"))</f>
        <v/>
      </c>
      <c r="F377" s="18" t="str">
        <f t="array" ref="F377">IF(C377="","",_xlfn.XLOOKUP(A377&amp;B377&amp;C377,盘货信息!$A:$A&amp;盘货信息!$B:$B&amp;盘货信息!$C:$C,盘货信息!$E:$E)&amp;"元到手价")</f>
        <v/>
      </c>
      <c r="G377" s="18" t="str">
        <f t="array" ref="G377">IF(C377="","",IF(_xlfn.XLOOKUP(A377&amp;B377&amp;C377,盘货信息!$A:$A&amp;盘货信息!$B:$B&amp;盘货信息!$C:$C,盘货信息!$I:$I)="","","88VIP95折"))</f>
        <v/>
      </c>
      <c r="H377" s="18" t="str">
        <f t="array" ref="H377">IF(C377="","",IF(_xlfn.XLOOKUP(A377&amp;B377&amp;C377,盘货信息!$A:$A&amp;盘货信息!$B:$B&amp;盘货信息!$C:$C,盘货信息!$J:$J)="","",_xlfn.XLOOKUP(A377&amp;B377&amp;C377,盘货信息!$A:$A&amp;盘货信息!$B:$B&amp;盘货信息!$C:$C,盘货信息!$J:$J)&amp;"元优惠卷"))</f>
        <v/>
      </c>
      <c r="I377" s="18" t="str">
        <f t="array" ref="I377">IF(C377="","",IF(_xlfn.XLOOKUP(A377&amp;B377&amp;C377,盘货信息!$A:$A&amp;盘货信息!$B:$B&amp;盘货信息!$C:$C,盘货信息!$R:$R)="","",_xlfn.XLOOKUP(A377&amp;B377&amp;C377,盘货信息!$A:$A&amp;盘货信息!$B:$B&amp;盘货信息!$C:$C,盘货信息!$R:$R)&amp;"元优惠卷"))</f>
        <v/>
      </c>
      <c r="J377" s="18" t="str">
        <f t="array" ref="J377">IF(C377="","",IF(_xlfn.XLOOKUP(A377&amp;B377&amp;C377,盘货信息!$A:$A&amp;盘货信息!$B:$B&amp;盘货信息!$C:$C,盘货信息!$K:$K)="","",IF(OR(_xlfn.XLOOKUP(A377&amp;B377&amp;C377,盘货信息!$A:$A&amp;盘货信息!$B:$B&amp;盘货信息!$C:$C,盘货信息!$G:$G)="参加",_xlfn.XLOOKUP(A377&amp;B377&amp;C377,盘货信息!$A:$A&amp;盘货信息!$B:$B&amp;盘货信息!$C:$C,盘货信息!$H:$H)="1（纯自补）"),_xlfn.XLOOKUP(A377&amp;B377&amp;C377,盘货信息!$A:$A&amp;盘货信息!$B:$B&amp;盘货信息!$C:$C,盘货信息!$K:$K)&amp;"元以旧换新（可无旧机换新）","")))</f>
        <v/>
      </c>
      <c r="K377" s="18" t="str">
        <f t="array" ref="K377">IF(C377="","",IF(_xlfn.XLOOKUP(A377&amp;B377&amp;C377,盘货信息!$A:$A&amp;盘货信息!$B:$B&amp;盘货信息!$C:$C,盘货信息!$L:$L)="","",_xlfn.XLOOKUP(A377&amp;B377&amp;C377,盘货信息!$A:$A&amp;盘货信息!$B:$B&amp;盘货信息!$C:$C,盘货信息!$L:$L)&amp;"元限时补贴"))</f>
        <v/>
      </c>
      <c r="L377" s="18" t="str">
        <f t="array" ref="L377">IF(C377="","",IF(_xlfn.XLOOKUP(A377&amp;B377&amp;C377,盘货信息!$A:$A&amp;盘货信息!$B:$B&amp;盘货信息!$C:$C,盘货信息!$M:$M)="","",_xlfn.XLOOKUP(A377&amp;B377&amp;C377,盘货信息!$A:$A&amp;盘货信息!$B:$B&amp;盘货信息!$C:$C,盘货信息!$M:$M)&amp;"元消费券"))</f>
        <v/>
      </c>
      <c r="M377" s="18" t="str">
        <f t="array" ref="M377">IF(C377="","",IF(_xlfn.XLOOKUP(A377&amp;B377&amp;C377,盘货信息!$A:$A&amp;盘货信息!$B:$B&amp;盘货信息!$C:$C,盘货信息!$G:$G)="不参加","","焕新补贴优惠【全民可用，不限地址】"))</f>
        <v/>
      </c>
    </row>
    <row r="378" customHeight="1" spans="1:13">
      <c r="A378" s="17" t="str">
        <f>IF(盘货信息!A378="","",盘货信息!A378)</f>
        <v/>
      </c>
      <c r="B378" s="17" t="str">
        <f>IF(盘货信息!B378="","",盘货信息!B378)</f>
        <v/>
      </c>
      <c r="C378" s="18" t="str">
        <f>IF(盘货信息!C378="","",盘货信息!C378)</f>
        <v/>
      </c>
      <c r="D378" s="18" t="str">
        <f t="shared" si="5"/>
        <v/>
      </c>
      <c r="E378" s="18" t="str">
        <f t="array" ref="E378">IF(C378="","",IF(_xlfn.XLOOKUP(A378&amp;B378&amp;C378,盘货信息!$A:$A&amp;盘货信息!$B:$B&amp;盘货信息!$C:$C,盘货信息!$N:$N)="","【立减到手价"&amp;_xlfn.XLOOKUP(A378&amp;B378&amp;C378,盘货信息!$A:$A&amp;盘货信息!$B:$B&amp;盘货信息!$C:$C,盘货信息!$F:$F)&amp;"元】","【焕新补贴预估价"&amp;_xlfn.XLOOKUP(A378&amp;B378&amp;C378,盘货信息!$A:$A&amp;盘货信息!$B:$B&amp;盘货信息!$C:$C,盘货信息!$N:$N)&amp;"元】"))</f>
        <v/>
      </c>
      <c r="F378" s="18" t="str">
        <f t="array" ref="F378">IF(C378="","",_xlfn.XLOOKUP(A378&amp;B378&amp;C378,盘货信息!$A:$A&amp;盘货信息!$B:$B&amp;盘货信息!$C:$C,盘货信息!$E:$E)&amp;"元到手价")</f>
        <v/>
      </c>
      <c r="G378" s="18" t="str">
        <f t="array" ref="G378">IF(C378="","",IF(_xlfn.XLOOKUP(A378&amp;B378&amp;C378,盘货信息!$A:$A&amp;盘货信息!$B:$B&amp;盘货信息!$C:$C,盘货信息!$I:$I)="","","88VIP95折"))</f>
        <v/>
      </c>
      <c r="H378" s="18" t="str">
        <f t="array" ref="H378">IF(C378="","",IF(_xlfn.XLOOKUP(A378&amp;B378&amp;C378,盘货信息!$A:$A&amp;盘货信息!$B:$B&amp;盘货信息!$C:$C,盘货信息!$J:$J)="","",_xlfn.XLOOKUP(A378&amp;B378&amp;C378,盘货信息!$A:$A&amp;盘货信息!$B:$B&amp;盘货信息!$C:$C,盘货信息!$J:$J)&amp;"元优惠卷"))</f>
        <v/>
      </c>
      <c r="I378" s="18" t="str">
        <f t="array" ref="I378">IF(C378="","",IF(_xlfn.XLOOKUP(A378&amp;B378&amp;C378,盘货信息!$A:$A&amp;盘货信息!$B:$B&amp;盘货信息!$C:$C,盘货信息!$R:$R)="","",_xlfn.XLOOKUP(A378&amp;B378&amp;C378,盘货信息!$A:$A&amp;盘货信息!$B:$B&amp;盘货信息!$C:$C,盘货信息!$R:$R)&amp;"元优惠卷"))</f>
        <v/>
      </c>
      <c r="J378" s="18" t="str">
        <f t="array" ref="J378">IF(C378="","",IF(_xlfn.XLOOKUP(A378&amp;B378&amp;C378,盘货信息!$A:$A&amp;盘货信息!$B:$B&amp;盘货信息!$C:$C,盘货信息!$K:$K)="","",IF(OR(_xlfn.XLOOKUP(A378&amp;B378&amp;C378,盘货信息!$A:$A&amp;盘货信息!$B:$B&amp;盘货信息!$C:$C,盘货信息!$G:$G)="参加",_xlfn.XLOOKUP(A378&amp;B378&amp;C378,盘货信息!$A:$A&amp;盘货信息!$B:$B&amp;盘货信息!$C:$C,盘货信息!$H:$H)="1（纯自补）"),_xlfn.XLOOKUP(A378&amp;B378&amp;C378,盘货信息!$A:$A&amp;盘货信息!$B:$B&amp;盘货信息!$C:$C,盘货信息!$K:$K)&amp;"元以旧换新（可无旧机换新）","")))</f>
        <v/>
      </c>
      <c r="K378" s="18" t="str">
        <f t="array" ref="K378">IF(C378="","",IF(_xlfn.XLOOKUP(A378&amp;B378&amp;C378,盘货信息!$A:$A&amp;盘货信息!$B:$B&amp;盘货信息!$C:$C,盘货信息!$L:$L)="","",_xlfn.XLOOKUP(A378&amp;B378&amp;C378,盘货信息!$A:$A&amp;盘货信息!$B:$B&amp;盘货信息!$C:$C,盘货信息!$L:$L)&amp;"元限时补贴"))</f>
        <v/>
      </c>
      <c r="L378" s="18" t="str">
        <f t="array" ref="L378">IF(C378="","",IF(_xlfn.XLOOKUP(A378&amp;B378&amp;C378,盘货信息!$A:$A&amp;盘货信息!$B:$B&amp;盘货信息!$C:$C,盘货信息!$M:$M)="","",_xlfn.XLOOKUP(A378&amp;B378&amp;C378,盘货信息!$A:$A&amp;盘货信息!$B:$B&amp;盘货信息!$C:$C,盘货信息!$M:$M)&amp;"元消费券"))</f>
        <v/>
      </c>
      <c r="M378" s="18" t="str">
        <f t="array" ref="M378">IF(C378="","",IF(_xlfn.XLOOKUP(A378&amp;B378&amp;C378,盘货信息!$A:$A&amp;盘货信息!$B:$B&amp;盘货信息!$C:$C,盘货信息!$G:$G)="不参加","","焕新补贴优惠【全民可用，不限地址】"))</f>
        <v/>
      </c>
    </row>
    <row r="379" customHeight="1" spans="1:13">
      <c r="A379" s="17" t="str">
        <f>IF(盘货信息!A379="","",盘货信息!A379)</f>
        <v/>
      </c>
      <c r="B379" s="17" t="str">
        <f>IF(盘货信息!B379="","",盘货信息!B379)</f>
        <v/>
      </c>
      <c r="C379" s="18" t="str">
        <f>IF(盘货信息!C379="","",盘货信息!C379)</f>
        <v/>
      </c>
      <c r="D379" s="18" t="str">
        <f t="shared" si="5"/>
        <v/>
      </c>
      <c r="E379" s="18" t="str">
        <f t="array" ref="E379">IF(C379="","",IF(_xlfn.XLOOKUP(A379&amp;B379&amp;C379,盘货信息!$A:$A&amp;盘货信息!$B:$B&amp;盘货信息!$C:$C,盘货信息!$N:$N)="","【立减到手价"&amp;_xlfn.XLOOKUP(A379&amp;B379&amp;C379,盘货信息!$A:$A&amp;盘货信息!$B:$B&amp;盘货信息!$C:$C,盘货信息!$F:$F)&amp;"元】","【焕新补贴预估价"&amp;_xlfn.XLOOKUP(A379&amp;B379&amp;C379,盘货信息!$A:$A&amp;盘货信息!$B:$B&amp;盘货信息!$C:$C,盘货信息!$N:$N)&amp;"元】"))</f>
        <v/>
      </c>
      <c r="F379" s="18" t="str">
        <f t="array" ref="F379">IF(C379="","",_xlfn.XLOOKUP(A379&amp;B379&amp;C379,盘货信息!$A:$A&amp;盘货信息!$B:$B&amp;盘货信息!$C:$C,盘货信息!$E:$E)&amp;"元到手价")</f>
        <v/>
      </c>
      <c r="G379" s="18" t="str">
        <f t="array" ref="G379">IF(C379="","",IF(_xlfn.XLOOKUP(A379&amp;B379&amp;C379,盘货信息!$A:$A&amp;盘货信息!$B:$B&amp;盘货信息!$C:$C,盘货信息!$I:$I)="","","88VIP95折"))</f>
        <v/>
      </c>
      <c r="H379" s="18" t="str">
        <f t="array" ref="H379">IF(C379="","",IF(_xlfn.XLOOKUP(A379&amp;B379&amp;C379,盘货信息!$A:$A&amp;盘货信息!$B:$B&amp;盘货信息!$C:$C,盘货信息!$J:$J)="","",_xlfn.XLOOKUP(A379&amp;B379&amp;C379,盘货信息!$A:$A&amp;盘货信息!$B:$B&amp;盘货信息!$C:$C,盘货信息!$J:$J)&amp;"元优惠卷"))</f>
        <v/>
      </c>
      <c r="I379" s="18" t="str">
        <f t="array" ref="I379">IF(C379="","",IF(_xlfn.XLOOKUP(A379&amp;B379&amp;C379,盘货信息!$A:$A&amp;盘货信息!$B:$B&amp;盘货信息!$C:$C,盘货信息!$R:$R)="","",_xlfn.XLOOKUP(A379&amp;B379&amp;C379,盘货信息!$A:$A&amp;盘货信息!$B:$B&amp;盘货信息!$C:$C,盘货信息!$R:$R)&amp;"元优惠卷"))</f>
        <v/>
      </c>
      <c r="J379" s="18" t="str">
        <f t="array" ref="J379">IF(C379="","",IF(_xlfn.XLOOKUP(A379&amp;B379&amp;C379,盘货信息!$A:$A&amp;盘货信息!$B:$B&amp;盘货信息!$C:$C,盘货信息!$K:$K)="","",IF(OR(_xlfn.XLOOKUP(A379&amp;B379&amp;C379,盘货信息!$A:$A&amp;盘货信息!$B:$B&amp;盘货信息!$C:$C,盘货信息!$G:$G)="参加",_xlfn.XLOOKUP(A379&amp;B379&amp;C379,盘货信息!$A:$A&amp;盘货信息!$B:$B&amp;盘货信息!$C:$C,盘货信息!$H:$H)="1（纯自补）"),_xlfn.XLOOKUP(A379&amp;B379&amp;C379,盘货信息!$A:$A&amp;盘货信息!$B:$B&amp;盘货信息!$C:$C,盘货信息!$K:$K)&amp;"元以旧换新（可无旧机换新）","")))</f>
        <v/>
      </c>
      <c r="K379" s="18" t="str">
        <f t="array" ref="K379">IF(C379="","",IF(_xlfn.XLOOKUP(A379&amp;B379&amp;C379,盘货信息!$A:$A&amp;盘货信息!$B:$B&amp;盘货信息!$C:$C,盘货信息!$L:$L)="","",_xlfn.XLOOKUP(A379&amp;B379&amp;C379,盘货信息!$A:$A&amp;盘货信息!$B:$B&amp;盘货信息!$C:$C,盘货信息!$L:$L)&amp;"元限时补贴"))</f>
        <v/>
      </c>
      <c r="L379" s="18" t="str">
        <f t="array" ref="L379">IF(C379="","",IF(_xlfn.XLOOKUP(A379&amp;B379&amp;C379,盘货信息!$A:$A&amp;盘货信息!$B:$B&amp;盘货信息!$C:$C,盘货信息!$M:$M)="","",_xlfn.XLOOKUP(A379&amp;B379&amp;C379,盘货信息!$A:$A&amp;盘货信息!$B:$B&amp;盘货信息!$C:$C,盘货信息!$M:$M)&amp;"元消费券"))</f>
        <v/>
      </c>
      <c r="M379" s="18" t="str">
        <f t="array" ref="M379">IF(C379="","",IF(_xlfn.XLOOKUP(A379&amp;B379&amp;C379,盘货信息!$A:$A&amp;盘货信息!$B:$B&amp;盘货信息!$C:$C,盘货信息!$G:$G)="不参加","","焕新补贴优惠【全民可用，不限地址】"))</f>
        <v/>
      </c>
    </row>
    <row r="380" customHeight="1" spans="1:13">
      <c r="A380" s="17" t="str">
        <f>IF(盘货信息!A380="","",盘货信息!A380)</f>
        <v/>
      </c>
      <c r="B380" s="17" t="str">
        <f>IF(盘货信息!B380="","",盘货信息!B380)</f>
        <v/>
      </c>
      <c r="C380" s="18" t="str">
        <f>IF(盘货信息!C380="","",盘货信息!C380)</f>
        <v/>
      </c>
      <c r="D380" s="18" t="str">
        <f t="shared" si="5"/>
        <v/>
      </c>
      <c r="E380" s="18" t="str">
        <f t="array" ref="E380">IF(C380="","",IF(_xlfn.XLOOKUP(A380&amp;B380&amp;C380,盘货信息!$A:$A&amp;盘货信息!$B:$B&amp;盘货信息!$C:$C,盘货信息!$N:$N)="","【立减到手价"&amp;_xlfn.XLOOKUP(A380&amp;B380&amp;C380,盘货信息!$A:$A&amp;盘货信息!$B:$B&amp;盘货信息!$C:$C,盘货信息!$F:$F)&amp;"元】","【焕新补贴预估价"&amp;_xlfn.XLOOKUP(A380&amp;B380&amp;C380,盘货信息!$A:$A&amp;盘货信息!$B:$B&amp;盘货信息!$C:$C,盘货信息!$N:$N)&amp;"元】"))</f>
        <v/>
      </c>
      <c r="F380" s="18" t="str">
        <f t="array" ref="F380">IF(C380="","",_xlfn.XLOOKUP(A380&amp;B380&amp;C380,盘货信息!$A:$A&amp;盘货信息!$B:$B&amp;盘货信息!$C:$C,盘货信息!$E:$E)&amp;"元到手价")</f>
        <v/>
      </c>
      <c r="G380" s="18" t="str">
        <f t="array" ref="G380">IF(C380="","",IF(_xlfn.XLOOKUP(A380&amp;B380&amp;C380,盘货信息!$A:$A&amp;盘货信息!$B:$B&amp;盘货信息!$C:$C,盘货信息!$I:$I)="","","88VIP95折"))</f>
        <v/>
      </c>
      <c r="H380" s="18" t="str">
        <f t="array" ref="H380">IF(C380="","",IF(_xlfn.XLOOKUP(A380&amp;B380&amp;C380,盘货信息!$A:$A&amp;盘货信息!$B:$B&amp;盘货信息!$C:$C,盘货信息!$J:$J)="","",_xlfn.XLOOKUP(A380&amp;B380&amp;C380,盘货信息!$A:$A&amp;盘货信息!$B:$B&amp;盘货信息!$C:$C,盘货信息!$J:$J)&amp;"元优惠卷"))</f>
        <v/>
      </c>
      <c r="I380" s="18" t="str">
        <f t="array" ref="I380">IF(C380="","",IF(_xlfn.XLOOKUP(A380&amp;B380&amp;C380,盘货信息!$A:$A&amp;盘货信息!$B:$B&amp;盘货信息!$C:$C,盘货信息!$R:$R)="","",_xlfn.XLOOKUP(A380&amp;B380&amp;C380,盘货信息!$A:$A&amp;盘货信息!$B:$B&amp;盘货信息!$C:$C,盘货信息!$R:$R)&amp;"元优惠卷"))</f>
        <v/>
      </c>
      <c r="J380" s="18" t="str">
        <f t="array" ref="J380">IF(C380="","",IF(_xlfn.XLOOKUP(A380&amp;B380&amp;C380,盘货信息!$A:$A&amp;盘货信息!$B:$B&amp;盘货信息!$C:$C,盘货信息!$K:$K)="","",IF(OR(_xlfn.XLOOKUP(A380&amp;B380&amp;C380,盘货信息!$A:$A&amp;盘货信息!$B:$B&amp;盘货信息!$C:$C,盘货信息!$G:$G)="参加",_xlfn.XLOOKUP(A380&amp;B380&amp;C380,盘货信息!$A:$A&amp;盘货信息!$B:$B&amp;盘货信息!$C:$C,盘货信息!$H:$H)="1（纯自补）"),_xlfn.XLOOKUP(A380&amp;B380&amp;C380,盘货信息!$A:$A&amp;盘货信息!$B:$B&amp;盘货信息!$C:$C,盘货信息!$K:$K)&amp;"元以旧换新（可无旧机换新）","")))</f>
        <v/>
      </c>
      <c r="K380" s="18" t="str">
        <f t="array" ref="K380">IF(C380="","",IF(_xlfn.XLOOKUP(A380&amp;B380&amp;C380,盘货信息!$A:$A&amp;盘货信息!$B:$B&amp;盘货信息!$C:$C,盘货信息!$L:$L)="","",_xlfn.XLOOKUP(A380&amp;B380&amp;C380,盘货信息!$A:$A&amp;盘货信息!$B:$B&amp;盘货信息!$C:$C,盘货信息!$L:$L)&amp;"元限时补贴"))</f>
        <v/>
      </c>
      <c r="L380" s="18" t="str">
        <f t="array" ref="L380">IF(C380="","",IF(_xlfn.XLOOKUP(A380&amp;B380&amp;C380,盘货信息!$A:$A&amp;盘货信息!$B:$B&amp;盘货信息!$C:$C,盘货信息!$M:$M)="","",_xlfn.XLOOKUP(A380&amp;B380&amp;C380,盘货信息!$A:$A&amp;盘货信息!$B:$B&amp;盘货信息!$C:$C,盘货信息!$M:$M)&amp;"元消费券"))</f>
        <v/>
      </c>
      <c r="M380" s="18" t="str">
        <f t="array" ref="M380">IF(C380="","",IF(_xlfn.XLOOKUP(A380&amp;B380&amp;C380,盘货信息!$A:$A&amp;盘货信息!$B:$B&amp;盘货信息!$C:$C,盘货信息!$G:$G)="不参加","","焕新补贴优惠【全民可用，不限地址】"))</f>
        <v/>
      </c>
    </row>
    <row r="381" customHeight="1" spans="1:13">
      <c r="A381" s="17" t="str">
        <f>IF(盘货信息!A381="","",盘货信息!A381)</f>
        <v/>
      </c>
      <c r="B381" s="17" t="str">
        <f>IF(盘货信息!B381="","",盘货信息!B381)</f>
        <v/>
      </c>
      <c r="C381" s="18" t="str">
        <f>IF(盘货信息!C381="","",盘货信息!C381)</f>
        <v/>
      </c>
      <c r="D381" s="18" t="str">
        <f t="shared" si="5"/>
        <v/>
      </c>
      <c r="E381" s="18" t="str">
        <f t="array" ref="E381">IF(C381="","",IF(_xlfn.XLOOKUP(A381&amp;B381&amp;C381,盘货信息!$A:$A&amp;盘货信息!$B:$B&amp;盘货信息!$C:$C,盘货信息!$N:$N)="","【立减到手价"&amp;_xlfn.XLOOKUP(A381&amp;B381&amp;C381,盘货信息!$A:$A&amp;盘货信息!$B:$B&amp;盘货信息!$C:$C,盘货信息!$F:$F)&amp;"元】","【焕新补贴预估价"&amp;_xlfn.XLOOKUP(A381&amp;B381&amp;C381,盘货信息!$A:$A&amp;盘货信息!$B:$B&amp;盘货信息!$C:$C,盘货信息!$N:$N)&amp;"元】"))</f>
        <v/>
      </c>
      <c r="F381" s="18" t="str">
        <f t="array" ref="F381">IF(C381="","",_xlfn.XLOOKUP(A381&amp;B381&amp;C381,盘货信息!$A:$A&amp;盘货信息!$B:$B&amp;盘货信息!$C:$C,盘货信息!$E:$E)&amp;"元到手价")</f>
        <v/>
      </c>
      <c r="G381" s="18" t="str">
        <f t="array" ref="G381">IF(C381="","",IF(_xlfn.XLOOKUP(A381&amp;B381&amp;C381,盘货信息!$A:$A&amp;盘货信息!$B:$B&amp;盘货信息!$C:$C,盘货信息!$I:$I)="","","88VIP95折"))</f>
        <v/>
      </c>
      <c r="H381" s="18" t="str">
        <f t="array" ref="H381">IF(C381="","",IF(_xlfn.XLOOKUP(A381&amp;B381&amp;C381,盘货信息!$A:$A&amp;盘货信息!$B:$B&amp;盘货信息!$C:$C,盘货信息!$J:$J)="","",_xlfn.XLOOKUP(A381&amp;B381&amp;C381,盘货信息!$A:$A&amp;盘货信息!$B:$B&amp;盘货信息!$C:$C,盘货信息!$J:$J)&amp;"元优惠卷"))</f>
        <v/>
      </c>
      <c r="I381" s="18" t="str">
        <f t="array" ref="I381">IF(C381="","",IF(_xlfn.XLOOKUP(A381&amp;B381&amp;C381,盘货信息!$A:$A&amp;盘货信息!$B:$B&amp;盘货信息!$C:$C,盘货信息!$R:$R)="","",_xlfn.XLOOKUP(A381&amp;B381&amp;C381,盘货信息!$A:$A&amp;盘货信息!$B:$B&amp;盘货信息!$C:$C,盘货信息!$R:$R)&amp;"元优惠卷"))</f>
        <v/>
      </c>
      <c r="J381" s="18" t="str">
        <f t="array" ref="J381">IF(C381="","",IF(_xlfn.XLOOKUP(A381&amp;B381&amp;C381,盘货信息!$A:$A&amp;盘货信息!$B:$B&amp;盘货信息!$C:$C,盘货信息!$K:$K)="","",IF(OR(_xlfn.XLOOKUP(A381&amp;B381&amp;C381,盘货信息!$A:$A&amp;盘货信息!$B:$B&amp;盘货信息!$C:$C,盘货信息!$G:$G)="参加",_xlfn.XLOOKUP(A381&amp;B381&amp;C381,盘货信息!$A:$A&amp;盘货信息!$B:$B&amp;盘货信息!$C:$C,盘货信息!$H:$H)="1（纯自补）"),_xlfn.XLOOKUP(A381&amp;B381&amp;C381,盘货信息!$A:$A&amp;盘货信息!$B:$B&amp;盘货信息!$C:$C,盘货信息!$K:$K)&amp;"元以旧换新（可无旧机换新）","")))</f>
        <v/>
      </c>
      <c r="K381" s="18" t="str">
        <f t="array" ref="K381">IF(C381="","",IF(_xlfn.XLOOKUP(A381&amp;B381&amp;C381,盘货信息!$A:$A&amp;盘货信息!$B:$B&amp;盘货信息!$C:$C,盘货信息!$L:$L)="","",_xlfn.XLOOKUP(A381&amp;B381&amp;C381,盘货信息!$A:$A&amp;盘货信息!$B:$B&amp;盘货信息!$C:$C,盘货信息!$L:$L)&amp;"元限时补贴"))</f>
        <v/>
      </c>
      <c r="L381" s="18" t="str">
        <f t="array" ref="L381">IF(C381="","",IF(_xlfn.XLOOKUP(A381&amp;B381&amp;C381,盘货信息!$A:$A&amp;盘货信息!$B:$B&amp;盘货信息!$C:$C,盘货信息!$M:$M)="","",_xlfn.XLOOKUP(A381&amp;B381&amp;C381,盘货信息!$A:$A&amp;盘货信息!$B:$B&amp;盘货信息!$C:$C,盘货信息!$M:$M)&amp;"元消费券"))</f>
        <v/>
      </c>
      <c r="M381" s="18" t="str">
        <f t="array" ref="M381">IF(C381="","",IF(_xlfn.XLOOKUP(A381&amp;B381&amp;C381,盘货信息!$A:$A&amp;盘货信息!$B:$B&amp;盘货信息!$C:$C,盘货信息!$G:$G)="不参加","","焕新补贴优惠【全民可用，不限地址】"))</f>
        <v/>
      </c>
    </row>
    <row r="382" customHeight="1" spans="1:13">
      <c r="A382" s="17" t="str">
        <f>IF(盘货信息!A382="","",盘货信息!A382)</f>
        <v/>
      </c>
      <c r="B382" s="17" t="str">
        <f>IF(盘货信息!B382="","",盘货信息!B382)</f>
        <v/>
      </c>
      <c r="C382" s="18" t="str">
        <f>IF(盘货信息!C382="","",盘货信息!C382)</f>
        <v/>
      </c>
      <c r="D382" s="18" t="str">
        <f t="shared" si="5"/>
        <v/>
      </c>
      <c r="E382" s="18" t="str">
        <f t="array" ref="E382">IF(C382="","",IF(_xlfn.XLOOKUP(A382&amp;B382&amp;C382,盘货信息!$A:$A&amp;盘货信息!$B:$B&amp;盘货信息!$C:$C,盘货信息!$N:$N)="","【立减到手价"&amp;_xlfn.XLOOKUP(A382&amp;B382&amp;C382,盘货信息!$A:$A&amp;盘货信息!$B:$B&amp;盘货信息!$C:$C,盘货信息!$F:$F)&amp;"元】","【焕新补贴预估价"&amp;_xlfn.XLOOKUP(A382&amp;B382&amp;C382,盘货信息!$A:$A&amp;盘货信息!$B:$B&amp;盘货信息!$C:$C,盘货信息!$N:$N)&amp;"元】"))</f>
        <v/>
      </c>
      <c r="F382" s="18" t="str">
        <f t="array" ref="F382">IF(C382="","",_xlfn.XLOOKUP(A382&amp;B382&amp;C382,盘货信息!$A:$A&amp;盘货信息!$B:$B&amp;盘货信息!$C:$C,盘货信息!$E:$E)&amp;"元到手价")</f>
        <v/>
      </c>
      <c r="G382" s="18" t="str">
        <f t="array" ref="G382">IF(C382="","",IF(_xlfn.XLOOKUP(A382&amp;B382&amp;C382,盘货信息!$A:$A&amp;盘货信息!$B:$B&amp;盘货信息!$C:$C,盘货信息!$I:$I)="","","88VIP95折"))</f>
        <v/>
      </c>
      <c r="H382" s="18" t="str">
        <f t="array" ref="H382">IF(C382="","",IF(_xlfn.XLOOKUP(A382&amp;B382&amp;C382,盘货信息!$A:$A&amp;盘货信息!$B:$B&amp;盘货信息!$C:$C,盘货信息!$J:$J)="","",_xlfn.XLOOKUP(A382&amp;B382&amp;C382,盘货信息!$A:$A&amp;盘货信息!$B:$B&amp;盘货信息!$C:$C,盘货信息!$J:$J)&amp;"元优惠卷"))</f>
        <v/>
      </c>
      <c r="I382" s="18" t="str">
        <f t="array" ref="I382">IF(C382="","",IF(_xlfn.XLOOKUP(A382&amp;B382&amp;C382,盘货信息!$A:$A&amp;盘货信息!$B:$B&amp;盘货信息!$C:$C,盘货信息!$R:$R)="","",_xlfn.XLOOKUP(A382&amp;B382&amp;C382,盘货信息!$A:$A&amp;盘货信息!$B:$B&amp;盘货信息!$C:$C,盘货信息!$R:$R)&amp;"元优惠卷"))</f>
        <v/>
      </c>
      <c r="J382" s="18" t="str">
        <f t="array" ref="J382">IF(C382="","",IF(_xlfn.XLOOKUP(A382&amp;B382&amp;C382,盘货信息!$A:$A&amp;盘货信息!$B:$B&amp;盘货信息!$C:$C,盘货信息!$K:$K)="","",IF(OR(_xlfn.XLOOKUP(A382&amp;B382&amp;C382,盘货信息!$A:$A&amp;盘货信息!$B:$B&amp;盘货信息!$C:$C,盘货信息!$G:$G)="参加",_xlfn.XLOOKUP(A382&amp;B382&amp;C382,盘货信息!$A:$A&amp;盘货信息!$B:$B&amp;盘货信息!$C:$C,盘货信息!$H:$H)="1（纯自补）"),_xlfn.XLOOKUP(A382&amp;B382&amp;C382,盘货信息!$A:$A&amp;盘货信息!$B:$B&amp;盘货信息!$C:$C,盘货信息!$K:$K)&amp;"元以旧换新（可无旧机换新）","")))</f>
        <v/>
      </c>
      <c r="K382" s="18" t="str">
        <f t="array" ref="K382">IF(C382="","",IF(_xlfn.XLOOKUP(A382&amp;B382&amp;C382,盘货信息!$A:$A&amp;盘货信息!$B:$B&amp;盘货信息!$C:$C,盘货信息!$L:$L)="","",_xlfn.XLOOKUP(A382&amp;B382&amp;C382,盘货信息!$A:$A&amp;盘货信息!$B:$B&amp;盘货信息!$C:$C,盘货信息!$L:$L)&amp;"元限时补贴"))</f>
        <v/>
      </c>
      <c r="L382" s="18" t="str">
        <f t="array" ref="L382">IF(C382="","",IF(_xlfn.XLOOKUP(A382&amp;B382&amp;C382,盘货信息!$A:$A&amp;盘货信息!$B:$B&amp;盘货信息!$C:$C,盘货信息!$M:$M)="","",_xlfn.XLOOKUP(A382&amp;B382&amp;C382,盘货信息!$A:$A&amp;盘货信息!$B:$B&amp;盘货信息!$C:$C,盘货信息!$M:$M)&amp;"元消费券"))</f>
        <v/>
      </c>
      <c r="M382" s="18" t="str">
        <f t="array" ref="M382">IF(C382="","",IF(_xlfn.XLOOKUP(A382&amp;B382&amp;C382,盘货信息!$A:$A&amp;盘货信息!$B:$B&amp;盘货信息!$C:$C,盘货信息!$G:$G)="不参加","","焕新补贴优惠【全民可用，不限地址】"))</f>
        <v/>
      </c>
    </row>
    <row r="383" customHeight="1" spans="1:13">
      <c r="A383" s="17" t="str">
        <f>IF(盘货信息!A383="","",盘货信息!A383)</f>
        <v/>
      </c>
      <c r="B383" s="17" t="str">
        <f>IF(盘货信息!B383="","",盘货信息!B383)</f>
        <v/>
      </c>
      <c r="C383" s="18" t="str">
        <f>IF(盘货信息!C383="","",盘货信息!C383)</f>
        <v/>
      </c>
      <c r="D383" s="18" t="str">
        <f t="shared" si="5"/>
        <v/>
      </c>
      <c r="E383" s="18" t="str">
        <f t="array" ref="E383">IF(C383="","",IF(_xlfn.XLOOKUP(A383&amp;B383&amp;C383,盘货信息!$A:$A&amp;盘货信息!$B:$B&amp;盘货信息!$C:$C,盘货信息!$N:$N)="","【立减到手价"&amp;_xlfn.XLOOKUP(A383&amp;B383&amp;C383,盘货信息!$A:$A&amp;盘货信息!$B:$B&amp;盘货信息!$C:$C,盘货信息!$F:$F)&amp;"元】","【焕新补贴预估价"&amp;_xlfn.XLOOKUP(A383&amp;B383&amp;C383,盘货信息!$A:$A&amp;盘货信息!$B:$B&amp;盘货信息!$C:$C,盘货信息!$N:$N)&amp;"元】"))</f>
        <v/>
      </c>
      <c r="F383" s="18" t="str">
        <f t="array" ref="F383">IF(C383="","",_xlfn.XLOOKUP(A383&amp;B383&amp;C383,盘货信息!$A:$A&amp;盘货信息!$B:$B&amp;盘货信息!$C:$C,盘货信息!$E:$E)&amp;"元到手价")</f>
        <v/>
      </c>
      <c r="G383" s="18" t="str">
        <f t="array" ref="G383">IF(C383="","",IF(_xlfn.XLOOKUP(A383&amp;B383&amp;C383,盘货信息!$A:$A&amp;盘货信息!$B:$B&amp;盘货信息!$C:$C,盘货信息!$I:$I)="","","88VIP95折"))</f>
        <v/>
      </c>
      <c r="H383" s="18" t="str">
        <f t="array" ref="H383">IF(C383="","",IF(_xlfn.XLOOKUP(A383&amp;B383&amp;C383,盘货信息!$A:$A&amp;盘货信息!$B:$B&amp;盘货信息!$C:$C,盘货信息!$J:$J)="","",_xlfn.XLOOKUP(A383&amp;B383&amp;C383,盘货信息!$A:$A&amp;盘货信息!$B:$B&amp;盘货信息!$C:$C,盘货信息!$J:$J)&amp;"元优惠卷"))</f>
        <v/>
      </c>
      <c r="I383" s="18" t="str">
        <f t="array" ref="I383">IF(C383="","",IF(_xlfn.XLOOKUP(A383&amp;B383&amp;C383,盘货信息!$A:$A&amp;盘货信息!$B:$B&amp;盘货信息!$C:$C,盘货信息!$R:$R)="","",_xlfn.XLOOKUP(A383&amp;B383&amp;C383,盘货信息!$A:$A&amp;盘货信息!$B:$B&amp;盘货信息!$C:$C,盘货信息!$R:$R)&amp;"元优惠卷"))</f>
        <v/>
      </c>
      <c r="J383" s="18" t="str">
        <f t="array" ref="J383">IF(C383="","",IF(_xlfn.XLOOKUP(A383&amp;B383&amp;C383,盘货信息!$A:$A&amp;盘货信息!$B:$B&amp;盘货信息!$C:$C,盘货信息!$K:$K)="","",IF(OR(_xlfn.XLOOKUP(A383&amp;B383&amp;C383,盘货信息!$A:$A&amp;盘货信息!$B:$B&amp;盘货信息!$C:$C,盘货信息!$G:$G)="参加",_xlfn.XLOOKUP(A383&amp;B383&amp;C383,盘货信息!$A:$A&amp;盘货信息!$B:$B&amp;盘货信息!$C:$C,盘货信息!$H:$H)="1（纯自补）"),_xlfn.XLOOKUP(A383&amp;B383&amp;C383,盘货信息!$A:$A&amp;盘货信息!$B:$B&amp;盘货信息!$C:$C,盘货信息!$K:$K)&amp;"元以旧换新（可无旧机换新）","")))</f>
        <v/>
      </c>
      <c r="K383" s="18" t="str">
        <f t="array" ref="K383">IF(C383="","",IF(_xlfn.XLOOKUP(A383&amp;B383&amp;C383,盘货信息!$A:$A&amp;盘货信息!$B:$B&amp;盘货信息!$C:$C,盘货信息!$L:$L)="","",_xlfn.XLOOKUP(A383&amp;B383&amp;C383,盘货信息!$A:$A&amp;盘货信息!$B:$B&amp;盘货信息!$C:$C,盘货信息!$L:$L)&amp;"元限时补贴"))</f>
        <v/>
      </c>
      <c r="L383" s="18" t="str">
        <f t="array" ref="L383">IF(C383="","",IF(_xlfn.XLOOKUP(A383&amp;B383&amp;C383,盘货信息!$A:$A&amp;盘货信息!$B:$B&amp;盘货信息!$C:$C,盘货信息!$M:$M)="","",_xlfn.XLOOKUP(A383&amp;B383&amp;C383,盘货信息!$A:$A&amp;盘货信息!$B:$B&amp;盘货信息!$C:$C,盘货信息!$M:$M)&amp;"元消费券"))</f>
        <v/>
      </c>
      <c r="M383" s="18" t="str">
        <f t="array" ref="M383">IF(C383="","",IF(_xlfn.XLOOKUP(A383&amp;B383&amp;C383,盘货信息!$A:$A&amp;盘货信息!$B:$B&amp;盘货信息!$C:$C,盘货信息!$G:$G)="不参加","","焕新补贴优惠【全民可用，不限地址】"))</f>
        <v/>
      </c>
    </row>
    <row r="384" customHeight="1" spans="1:13">
      <c r="A384" s="17" t="str">
        <f>IF(盘货信息!A384="","",盘货信息!A384)</f>
        <v/>
      </c>
      <c r="B384" s="17" t="str">
        <f>IF(盘货信息!B384="","",盘货信息!B384)</f>
        <v/>
      </c>
      <c r="C384" s="18" t="str">
        <f>IF(盘货信息!C384="","",盘货信息!C384)</f>
        <v/>
      </c>
      <c r="D384" s="18" t="str">
        <f t="shared" si="5"/>
        <v/>
      </c>
      <c r="E384" s="18" t="str">
        <f t="array" ref="E384">IF(C384="","",IF(_xlfn.XLOOKUP(A384&amp;B384&amp;C384,盘货信息!$A:$A&amp;盘货信息!$B:$B&amp;盘货信息!$C:$C,盘货信息!$N:$N)="","【立减到手价"&amp;_xlfn.XLOOKUP(A384&amp;B384&amp;C384,盘货信息!$A:$A&amp;盘货信息!$B:$B&amp;盘货信息!$C:$C,盘货信息!$F:$F)&amp;"元】","【焕新补贴预估价"&amp;_xlfn.XLOOKUP(A384&amp;B384&amp;C384,盘货信息!$A:$A&amp;盘货信息!$B:$B&amp;盘货信息!$C:$C,盘货信息!$N:$N)&amp;"元】"))</f>
        <v/>
      </c>
      <c r="F384" s="18" t="str">
        <f t="array" ref="F384">IF(C384="","",_xlfn.XLOOKUP(A384&amp;B384&amp;C384,盘货信息!$A:$A&amp;盘货信息!$B:$B&amp;盘货信息!$C:$C,盘货信息!$E:$E)&amp;"元到手价")</f>
        <v/>
      </c>
      <c r="G384" s="18" t="str">
        <f t="array" ref="G384">IF(C384="","",IF(_xlfn.XLOOKUP(A384&amp;B384&amp;C384,盘货信息!$A:$A&amp;盘货信息!$B:$B&amp;盘货信息!$C:$C,盘货信息!$I:$I)="","","88VIP95折"))</f>
        <v/>
      </c>
      <c r="H384" s="18" t="str">
        <f t="array" ref="H384">IF(C384="","",IF(_xlfn.XLOOKUP(A384&amp;B384&amp;C384,盘货信息!$A:$A&amp;盘货信息!$B:$B&amp;盘货信息!$C:$C,盘货信息!$J:$J)="","",_xlfn.XLOOKUP(A384&amp;B384&amp;C384,盘货信息!$A:$A&amp;盘货信息!$B:$B&amp;盘货信息!$C:$C,盘货信息!$J:$J)&amp;"元优惠卷"))</f>
        <v/>
      </c>
      <c r="I384" s="18" t="str">
        <f t="array" ref="I384">IF(C384="","",IF(_xlfn.XLOOKUP(A384&amp;B384&amp;C384,盘货信息!$A:$A&amp;盘货信息!$B:$B&amp;盘货信息!$C:$C,盘货信息!$R:$R)="","",_xlfn.XLOOKUP(A384&amp;B384&amp;C384,盘货信息!$A:$A&amp;盘货信息!$B:$B&amp;盘货信息!$C:$C,盘货信息!$R:$R)&amp;"元优惠卷"))</f>
        <v/>
      </c>
      <c r="J384" s="18" t="str">
        <f t="array" ref="J384">IF(C384="","",IF(_xlfn.XLOOKUP(A384&amp;B384&amp;C384,盘货信息!$A:$A&amp;盘货信息!$B:$B&amp;盘货信息!$C:$C,盘货信息!$K:$K)="","",IF(OR(_xlfn.XLOOKUP(A384&amp;B384&amp;C384,盘货信息!$A:$A&amp;盘货信息!$B:$B&amp;盘货信息!$C:$C,盘货信息!$G:$G)="参加",_xlfn.XLOOKUP(A384&amp;B384&amp;C384,盘货信息!$A:$A&amp;盘货信息!$B:$B&amp;盘货信息!$C:$C,盘货信息!$H:$H)="1（纯自补）"),_xlfn.XLOOKUP(A384&amp;B384&amp;C384,盘货信息!$A:$A&amp;盘货信息!$B:$B&amp;盘货信息!$C:$C,盘货信息!$K:$K)&amp;"元以旧换新（可无旧机换新）","")))</f>
        <v/>
      </c>
      <c r="K384" s="18" t="str">
        <f t="array" ref="K384">IF(C384="","",IF(_xlfn.XLOOKUP(A384&amp;B384&amp;C384,盘货信息!$A:$A&amp;盘货信息!$B:$B&amp;盘货信息!$C:$C,盘货信息!$L:$L)="","",_xlfn.XLOOKUP(A384&amp;B384&amp;C384,盘货信息!$A:$A&amp;盘货信息!$B:$B&amp;盘货信息!$C:$C,盘货信息!$L:$L)&amp;"元限时补贴"))</f>
        <v/>
      </c>
      <c r="L384" s="18" t="str">
        <f t="array" ref="L384">IF(C384="","",IF(_xlfn.XLOOKUP(A384&amp;B384&amp;C384,盘货信息!$A:$A&amp;盘货信息!$B:$B&amp;盘货信息!$C:$C,盘货信息!$M:$M)="","",_xlfn.XLOOKUP(A384&amp;B384&amp;C384,盘货信息!$A:$A&amp;盘货信息!$B:$B&amp;盘货信息!$C:$C,盘货信息!$M:$M)&amp;"元消费券"))</f>
        <v/>
      </c>
      <c r="M384" s="18" t="str">
        <f t="array" ref="M384">IF(C384="","",IF(_xlfn.XLOOKUP(A384&amp;B384&amp;C384,盘货信息!$A:$A&amp;盘货信息!$B:$B&amp;盘货信息!$C:$C,盘货信息!$G:$G)="不参加","","焕新补贴优惠【全民可用，不限地址】"))</f>
        <v/>
      </c>
    </row>
    <row r="385" customHeight="1" spans="1:13">
      <c r="A385" s="17" t="str">
        <f>IF(盘货信息!A385="","",盘货信息!A385)</f>
        <v/>
      </c>
      <c r="B385" s="17" t="str">
        <f>IF(盘货信息!B385="","",盘货信息!B385)</f>
        <v/>
      </c>
      <c r="C385" s="18" t="str">
        <f>IF(盘货信息!C385="","",盘货信息!C385)</f>
        <v/>
      </c>
      <c r="D385" s="18" t="str">
        <f t="shared" si="5"/>
        <v/>
      </c>
      <c r="E385" s="18" t="str">
        <f t="array" ref="E385">IF(C385="","",IF(_xlfn.XLOOKUP(A385&amp;B385&amp;C385,盘货信息!$A:$A&amp;盘货信息!$B:$B&amp;盘货信息!$C:$C,盘货信息!$N:$N)="","【立减到手价"&amp;_xlfn.XLOOKUP(A385&amp;B385&amp;C385,盘货信息!$A:$A&amp;盘货信息!$B:$B&amp;盘货信息!$C:$C,盘货信息!$F:$F)&amp;"元】","【焕新补贴预估价"&amp;_xlfn.XLOOKUP(A385&amp;B385&amp;C385,盘货信息!$A:$A&amp;盘货信息!$B:$B&amp;盘货信息!$C:$C,盘货信息!$N:$N)&amp;"元】"))</f>
        <v/>
      </c>
      <c r="F385" s="18" t="str">
        <f t="array" ref="F385">IF(C385="","",_xlfn.XLOOKUP(A385&amp;B385&amp;C385,盘货信息!$A:$A&amp;盘货信息!$B:$B&amp;盘货信息!$C:$C,盘货信息!$E:$E)&amp;"元到手价")</f>
        <v/>
      </c>
      <c r="G385" s="18" t="str">
        <f t="array" ref="G385">IF(C385="","",IF(_xlfn.XLOOKUP(A385&amp;B385&amp;C385,盘货信息!$A:$A&amp;盘货信息!$B:$B&amp;盘货信息!$C:$C,盘货信息!$I:$I)="","","88VIP95折"))</f>
        <v/>
      </c>
      <c r="H385" s="18" t="str">
        <f t="array" ref="H385">IF(C385="","",IF(_xlfn.XLOOKUP(A385&amp;B385&amp;C385,盘货信息!$A:$A&amp;盘货信息!$B:$B&amp;盘货信息!$C:$C,盘货信息!$J:$J)="","",_xlfn.XLOOKUP(A385&amp;B385&amp;C385,盘货信息!$A:$A&amp;盘货信息!$B:$B&amp;盘货信息!$C:$C,盘货信息!$J:$J)&amp;"元优惠卷"))</f>
        <v/>
      </c>
      <c r="I385" s="18" t="str">
        <f t="array" ref="I385">IF(C385="","",IF(_xlfn.XLOOKUP(A385&amp;B385&amp;C385,盘货信息!$A:$A&amp;盘货信息!$B:$B&amp;盘货信息!$C:$C,盘货信息!$R:$R)="","",_xlfn.XLOOKUP(A385&amp;B385&amp;C385,盘货信息!$A:$A&amp;盘货信息!$B:$B&amp;盘货信息!$C:$C,盘货信息!$R:$R)&amp;"元优惠卷"))</f>
        <v/>
      </c>
      <c r="J385" s="18" t="str">
        <f t="array" ref="J385">IF(C385="","",IF(_xlfn.XLOOKUP(A385&amp;B385&amp;C385,盘货信息!$A:$A&amp;盘货信息!$B:$B&amp;盘货信息!$C:$C,盘货信息!$K:$K)="","",IF(OR(_xlfn.XLOOKUP(A385&amp;B385&amp;C385,盘货信息!$A:$A&amp;盘货信息!$B:$B&amp;盘货信息!$C:$C,盘货信息!$G:$G)="参加",_xlfn.XLOOKUP(A385&amp;B385&amp;C385,盘货信息!$A:$A&amp;盘货信息!$B:$B&amp;盘货信息!$C:$C,盘货信息!$H:$H)="1（纯自补）"),_xlfn.XLOOKUP(A385&amp;B385&amp;C385,盘货信息!$A:$A&amp;盘货信息!$B:$B&amp;盘货信息!$C:$C,盘货信息!$K:$K)&amp;"元以旧换新（可无旧机换新）","")))</f>
        <v/>
      </c>
      <c r="K385" s="18" t="str">
        <f t="array" ref="K385">IF(C385="","",IF(_xlfn.XLOOKUP(A385&amp;B385&amp;C385,盘货信息!$A:$A&amp;盘货信息!$B:$B&amp;盘货信息!$C:$C,盘货信息!$L:$L)="","",_xlfn.XLOOKUP(A385&amp;B385&amp;C385,盘货信息!$A:$A&amp;盘货信息!$B:$B&amp;盘货信息!$C:$C,盘货信息!$L:$L)&amp;"元限时补贴"))</f>
        <v/>
      </c>
      <c r="L385" s="18" t="str">
        <f t="array" ref="L385">IF(C385="","",IF(_xlfn.XLOOKUP(A385&amp;B385&amp;C385,盘货信息!$A:$A&amp;盘货信息!$B:$B&amp;盘货信息!$C:$C,盘货信息!$M:$M)="","",_xlfn.XLOOKUP(A385&amp;B385&amp;C385,盘货信息!$A:$A&amp;盘货信息!$B:$B&amp;盘货信息!$C:$C,盘货信息!$M:$M)&amp;"元消费券"))</f>
        <v/>
      </c>
      <c r="M385" s="18" t="str">
        <f t="array" ref="M385">IF(C385="","",IF(_xlfn.XLOOKUP(A385&amp;B385&amp;C385,盘货信息!$A:$A&amp;盘货信息!$B:$B&amp;盘货信息!$C:$C,盘货信息!$G:$G)="不参加","","焕新补贴优惠【全民可用，不限地址】"))</f>
        <v/>
      </c>
    </row>
    <row r="386" customHeight="1" spans="1:13">
      <c r="A386" s="17" t="str">
        <f>IF(盘货信息!A386="","",盘货信息!A386)</f>
        <v/>
      </c>
      <c r="B386" s="17" t="str">
        <f>IF(盘货信息!B386="","",盘货信息!B386)</f>
        <v/>
      </c>
      <c r="C386" s="18" t="str">
        <f>IF(盘货信息!C386="","",盘货信息!C386)</f>
        <v/>
      </c>
      <c r="D386" s="18" t="str">
        <f t="shared" ref="D386:D449" si="6">IF(C386="","",E386&amp;"="&amp;F386&amp;IF(G386="","","-"&amp;G386)&amp;IF(H386="","","-"&amp;H386)&amp;IF(I386="","","-"&amp;I386)&amp;IF(J386="","","-"&amp;J386)&amp;IF(K386="","","-"&amp;K386)&amp;IF(L386="","","-"&amp;L386)&amp;IF(M386="","","-"&amp;M386))</f>
        <v/>
      </c>
      <c r="E386" s="18" t="str">
        <f t="array" ref="E386">IF(C386="","",IF(_xlfn.XLOOKUP(A386&amp;B386&amp;C386,盘货信息!$A:$A&amp;盘货信息!$B:$B&amp;盘货信息!$C:$C,盘货信息!$N:$N)="","【立减到手价"&amp;_xlfn.XLOOKUP(A386&amp;B386&amp;C386,盘货信息!$A:$A&amp;盘货信息!$B:$B&amp;盘货信息!$C:$C,盘货信息!$F:$F)&amp;"元】","【焕新补贴预估价"&amp;_xlfn.XLOOKUP(A386&amp;B386&amp;C386,盘货信息!$A:$A&amp;盘货信息!$B:$B&amp;盘货信息!$C:$C,盘货信息!$N:$N)&amp;"元】"))</f>
        <v/>
      </c>
      <c r="F386" s="18" t="str">
        <f t="array" ref="F386">IF(C386="","",_xlfn.XLOOKUP(A386&amp;B386&amp;C386,盘货信息!$A:$A&amp;盘货信息!$B:$B&amp;盘货信息!$C:$C,盘货信息!$E:$E)&amp;"元到手价")</f>
        <v/>
      </c>
      <c r="G386" s="18" t="str">
        <f t="array" ref="G386">IF(C386="","",IF(_xlfn.XLOOKUP(A386&amp;B386&amp;C386,盘货信息!$A:$A&amp;盘货信息!$B:$B&amp;盘货信息!$C:$C,盘货信息!$I:$I)="","","88VIP95折"))</f>
        <v/>
      </c>
      <c r="H386" s="18" t="str">
        <f t="array" ref="H386">IF(C386="","",IF(_xlfn.XLOOKUP(A386&amp;B386&amp;C386,盘货信息!$A:$A&amp;盘货信息!$B:$B&amp;盘货信息!$C:$C,盘货信息!$J:$J)="","",_xlfn.XLOOKUP(A386&amp;B386&amp;C386,盘货信息!$A:$A&amp;盘货信息!$B:$B&amp;盘货信息!$C:$C,盘货信息!$J:$J)&amp;"元优惠卷"))</f>
        <v/>
      </c>
      <c r="I386" s="18" t="str">
        <f t="array" ref="I386">IF(C386="","",IF(_xlfn.XLOOKUP(A386&amp;B386&amp;C386,盘货信息!$A:$A&amp;盘货信息!$B:$B&amp;盘货信息!$C:$C,盘货信息!$R:$R)="","",_xlfn.XLOOKUP(A386&amp;B386&amp;C386,盘货信息!$A:$A&amp;盘货信息!$B:$B&amp;盘货信息!$C:$C,盘货信息!$R:$R)&amp;"元优惠卷"))</f>
        <v/>
      </c>
      <c r="J386" s="18" t="str">
        <f t="array" ref="J386">IF(C386="","",IF(_xlfn.XLOOKUP(A386&amp;B386&amp;C386,盘货信息!$A:$A&amp;盘货信息!$B:$B&amp;盘货信息!$C:$C,盘货信息!$K:$K)="","",IF(OR(_xlfn.XLOOKUP(A386&amp;B386&amp;C386,盘货信息!$A:$A&amp;盘货信息!$B:$B&amp;盘货信息!$C:$C,盘货信息!$G:$G)="参加",_xlfn.XLOOKUP(A386&amp;B386&amp;C386,盘货信息!$A:$A&amp;盘货信息!$B:$B&amp;盘货信息!$C:$C,盘货信息!$H:$H)="1（纯自补）"),_xlfn.XLOOKUP(A386&amp;B386&amp;C386,盘货信息!$A:$A&amp;盘货信息!$B:$B&amp;盘货信息!$C:$C,盘货信息!$K:$K)&amp;"元以旧换新（可无旧机换新）","")))</f>
        <v/>
      </c>
      <c r="K386" s="18" t="str">
        <f t="array" ref="K386">IF(C386="","",IF(_xlfn.XLOOKUP(A386&amp;B386&amp;C386,盘货信息!$A:$A&amp;盘货信息!$B:$B&amp;盘货信息!$C:$C,盘货信息!$L:$L)="","",_xlfn.XLOOKUP(A386&amp;B386&amp;C386,盘货信息!$A:$A&amp;盘货信息!$B:$B&amp;盘货信息!$C:$C,盘货信息!$L:$L)&amp;"元限时补贴"))</f>
        <v/>
      </c>
      <c r="L386" s="18" t="str">
        <f t="array" ref="L386">IF(C386="","",IF(_xlfn.XLOOKUP(A386&amp;B386&amp;C386,盘货信息!$A:$A&amp;盘货信息!$B:$B&amp;盘货信息!$C:$C,盘货信息!$M:$M)="","",_xlfn.XLOOKUP(A386&amp;B386&amp;C386,盘货信息!$A:$A&amp;盘货信息!$B:$B&amp;盘货信息!$C:$C,盘货信息!$M:$M)&amp;"元消费券"))</f>
        <v/>
      </c>
      <c r="M386" s="18" t="str">
        <f t="array" ref="M386">IF(C386="","",IF(_xlfn.XLOOKUP(A386&amp;B386&amp;C386,盘货信息!$A:$A&amp;盘货信息!$B:$B&amp;盘货信息!$C:$C,盘货信息!$G:$G)="不参加","","焕新补贴优惠【全民可用，不限地址】"))</f>
        <v/>
      </c>
    </row>
    <row r="387" customHeight="1" spans="1:13">
      <c r="A387" s="17" t="str">
        <f>IF(盘货信息!A387="","",盘货信息!A387)</f>
        <v/>
      </c>
      <c r="B387" s="17" t="str">
        <f>IF(盘货信息!B387="","",盘货信息!B387)</f>
        <v/>
      </c>
      <c r="C387" s="18" t="str">
        <f>IF(盘货信息!C387="","",盘货信息!C387)</f>
        <v/>
      </c>
      <c r="D387" s="18" t="str">
        <f t="shared" si="6"/>
        <v/>
      </c>
      <c r="E387" s="18" t="str">
        <f t="array" ref="E387">IF(C387="","",IF(_xlfn.XLOOKUP(A387&amp;B387&amp;C387,盘货信息!$A:$A&amp;盘货信息!$B:$B&amp;盘货信息!$C:$C,盘货信息!$N:$N)="","【立减到手价"&amp;_xlfn.XLOOKUP(A387&amp;B387&amp;C387,盘货信息!$A:$A&amp;盘货信息!$B:$B&amp;盘货信息!$C:$C,盘货信息!$F:$F)&amp;"元】","【焕新补贴预估价"&amp;_xlfn.XLOOKUP(A387&amp;B387&amp;C387,盘货信息!$A:$A&amp;盘货信息!$B:$B&amp;盘货信息!$C:$C,盘货信息!$N:$N)&amp;"元】"))</f>
        <v/>
      </c>
      <c r="F387" s="18" t="str">
        <f t="array" ref="F387">IF(C387="","",_xlfn.XLOOKUP(A387&amp;B387&amp;C387,盘货信息!$A:$A&amp;盘货信息!$B:$B&amp;盘货信息!$C:$C,盘货信息!$E:$E)&amp;"元到手价")</f>
        <v/>
      </c>
      <c r="G387" s="18" t="str">
        <f t="array" ref="G387">IF(C387="","",IF(_xlfn.XLOOKUP(A387&amp;B387&amp;C387,盘货信息!$A:$A&amp;盘货信息!$B:$B&amp;盘货信息!$C:$C,盘货信息!$I:$I)="","","88VIP95折"))</f>
        <v/>
      </c>
      <c r="H387" s="18" t="str">
        <f t="array" ref="H387">IF(C387="","",IF(_xlfn.XLOOKUP(A387&amp;B387&amp;C387,盘货信息!$A:$A&amp;盘货信息!$B:$B&amp;盘货信息!$C:$C,盘货信息!$J:$J)="","",_xlfn.XLOOKUP(A387&amp;B387&amp;C387,盘货信息!$A:$A&amp;盘货信息!$B:$B&amp;盘货信息!$C:$C,盘货信息!$J:$J)&amp;"元优惠卷"))</f>
        <v/>
      </c>
      <c r="I387" s="18" t="str">
        <f t="array" ref="I387">IF(C387="","",IF(_xlfn.XLOOKUP(A387&amp;B387&amp;C387,盘货信息!$A:$A&amp;盘货信息!$B:$B&amp;盘货信息!$C:$C,盘货信息!$R:$R)="","",_xlfn.XLOOKUP(A387&amp;B387&amp;C387,盘货信息!$A:$A&amp;盘货信息!$B:$B&amp;盘货信息!$C:$C,盘货信息!$R:$R)&amp;"元优惠卷"))</f>
        <v/>
      </c>
      <c r="J387" s="18" t="str">
        <f t="array" ref="J387">IF(C387="","",IF(_xlfn.XLOOKUP(A387&amp;B387&amp;C387,盘货信息!$A:$A&amp;盘货信息!$B:$B&amp;盘货信息!$C:$C,盘货信息!$K:$K)="","",IF(OR(_xlfn.XLOOKUP(A387&amp;B387&amp;C387,盘货信息!$A:$A&amp;盘货信息!$B:$B&amp;盘货信息!$C:$C,盘货信息!$G:$G)="参加",_xlfn.XLOOKUP(A387&amp;B387&amp;C387,盘货信息!$A:$A&amp;盘货信息!$B:$B&amp;盘货信息!$C:$C,盘货信息!$H:$H)="1（纯自补）"),_xlfn.XLOOKUP(A387&amp;B387&amp;C387,盘货信息!$A:$A&amp;盘货信息!$B:$B&amp;盘货信息!$C:$C,盘货信息!$K:$K)&amp;"元以旧换新（可无旧机换新）","")))</f>
        <v/>
      </c>
      <c r="K387" s="18" t="str">
        <f t="array" ref="K387">IF(C387="","",IF(_xlfn.XLOOKUP(A387&amp;B387&amp;C387,盘货信息!$A:$A&amp;盘货信息!$B:$B&amp;盘货信息!$C:$C,盘货信息!$L:$L)="","",_xlfn.XLOOKUP(A387&amp;B387&amp;C387,盘货信息!$A:$A&amp;盘货信息!$B:$B&amp;盘货信息!$C:$C,盘货信息!$L:$L)&amp;"元限时补贴"))</f>
        <v/>
      </c>
      <c r="L387" s="18" t="str">
        <f t="array" ref="L387">IF(C387="","",IF(_xlfn.XLOOKUP(A387&amp;B387&amp;C387,盘货信息!$A:$A&amp;盘货信息!$B:$B&amp;盘货信息!$C:$C,盘货信息!$M:$M)="","",_xlfn.XLOOKUP(A387&amp;B387&amp;C387,盘货信息!$A:$A&amp;盘货信息!$B:$B&amp;盘货信息!$C:$C,盘货信息!$M:$M)&amp;"元消费券"))</f>
        <v/>
      </c>
      <c r="M387" s="18" t="str">
        <f t="array" ref="M387">IF(C387="","",IF(_xlfn.XLOOKUP(A387&amp;B387&amp;C387,盘货信息!$A:$A&amp;盘货信息!$B:$B&amp;盘货信息!$C:$C,盘货信息!$G:$G)="不参加","","焕新补贴优惠【全民可用，不限地址】"))</f>
        <v/>
      </c>
    </row>
    <row r="388" customHeight="1" spans="1:13">
      <c r="A388" s="17" t="str">
        <f>IF(盘货信息!A388="","",盘货信息!A388)</f>
        <v/>
      </c>
      <c r="B388" s="17" t="str">
        <f>IF(盘货信息!B388="","",盘货信息!B388)</f>
        <v/>
      </c>
      <c r="C388" s="18" t="str">
        <f>IF(盘货信息!C388="","",盘货信息!C388)</f>
        <v/>
      </c>
      <c r="D388" s="18" t="str">
        <f t="shared" si="6"/>
        <v/>
      </c>
      <c r="E388" s="18" t="str">
        <f t="array" ref="E388">IF(C388="","",IF(_xlfn.XLOOKUP(A388&amp;B388&amp;C388,盘货信息!$A:$A&amp;盘货信息!$B:$B&amp;盘货信息!$C:$C,盘货信息!$N:$N)="","【立减到手价"&amp;_xlfn.XLOOKUP(A388&amp;B388&amp;C388,盘货信息!$A:$A&amp;盘货信息!$B:$B&amp;盘货信息!$C:$C,盘货信息!$F:$F)&amp;"元】","【焕新补贴预估价"&amp;_xlfn.XLOOKUP(A388&amp;B388&amp;C388,盘货信息!$A:$A&amp;盘货信息!$B:$B&amp;盘货信息!$C:$C,盘货信息!$N:$N)&amp;"元】"))</f>
        <v/>
      </c>
      <c r="F388" s="18" t="str">
        <f t="array" ref="F388">IF(C388="","",_xlfn.XLOOKUP(A388&amp;B388&amp;C388,盘货信息!$A:$A&amp;盘货信息!$B:$B&amp;盘货信息!$C:$C,盘货信息!$E:$E)&amp;"元到手价")</f>
        <v/>
      </c>
      <c r="G388" s="18" t="str">
        <f t="array" ref="G388">IF(C388="","",IF(_xlfn.XLOOKUP(A388&amp;B388&amp;C388,盘货信息!$A:$A&amp;盘货信息!$B:$B&amp;盘货信息!$C:$C,盘货信息!$I:$I)="","","88VIP95折"))</f>
        <v/>
      </c>
      <c r="H388" s="18" t="str">
        <f t="array" ref="H388">IF(C388="","",IF(_xlfn.XLOOKUP(A388&amp;B388&amp;C388,盘货信息!$A:$A&amp;盘货信息!$B:$B&amp;盘货信息!$C:$C,盘货信息!$J:$J)="","",_xlfn.XLOOKUP(A388&amp;B388&amp;C388,盘货信息!$A:$A&amp;盘货信息!$B:$B&amp;盘货信息!$C:$C,盘货信息!$J:$J)&amp;"元优惠卷"))</f>
        <v/>
      </c>
      <c r="I388" s="18" t="str">
        <f t="array" ref="I388">IF(C388="","",IF(_xlfn.XLOOKUP(A388&amp;B388&amp;C388,盘货信息!$A:$A&amp;盘货信息!$B:$B&amp;盘货信息!$C:$C,盘货信息!$R:$R)="","",_xlfn.XLOOKUP(A388&amp;B388&amp;C388,盘货信息!$A:$A&amp;盘货信息!$B:$B&amp;盘货信息!$C:$C,盘货信息!$R:$R)&amp;"元优惠卷"))</f>
        <v/>
      </c>
      <c r="J388" s="18" t="str">
        <f t="array" ref="J388">IF(C388="","",IF(_xlfn.XLOOKUP(A388&amp;B388&amp;C388,盘货信息!$A:$A&amp;盘货信息!$B:$B&amp;盘货信息!$C:$C,盘货信息!$K:$K)="","",IF(OR(_xlfn.XLOOKUP(A388&amp;B388&amp;C388,盘货信息!$A:$A&amp;盘货信息!$B:$B&amp;盘货信息!$C:$C,盘货信息!$G:$G)="参加",_xlfn.XLOOKUP(A388&amp;B388&amp;C388,盘货信息!$A:$A&amp;盘货信息!$B:$B&amp;盘货信息!$C:$C,盘货信息!$H:$H)="1（纯自补）"),_xlfn.XLOOKUP(A388&amp;B388&amp;C388,盘货信息!$A:$A&amp;盘货信息!$B:$B&amp;盘货信息!$C:$C,盘货信息!$K:$K)&amp;"元以旧换新（可无旧机换新）","")))</f>
        <v/>
      </c>
      <c r="K388" s="18" t="str">
        <f t="array" ref="K388">IF(C388="","",IF(_xlfn.XLOOKUP(A388&amp;B388&amp;C388,盘货信息!$A:$A&amp;盘货信息!$B:$B&amp;盘货信息!$C:$C,盘货信息!$L:$L)="","",_xlfn.XLOOKUP(A388&amp;B388&amp;C388,盘货信息!$A:$A&amp;盘货信息!$B:$B&amp;盘货信息!$C:$C,盘货信息!$L:$L)&amp;"元限时补贴"))</f>
        <v/>
      </c>
      <c r="L388" s="18" t="str">
        <f t="array" ref="L388">IF(C388="","",IF(_xlfn.XLOOKUP(A388&amp;B388&amp;C388,盘货信息!$A:$A&amp;盘货信息!$B:$B&amp;盘货信息!$C:$C,盘货信息!$M:$M)="","",_xlfn.XLOOKUP(A388&amp;B388&amp;C388,盘货信息!$A:$A&amp;盘货信息!$B:$B&amp;盘货信息!$C:$C,盘货信息!$M:$M)&amp;"元消费券"))</f>
        <v/>
      </c>
      <c r="M388" s="18" t="str">
        <f t="array" ref="M388">IF(C388="","",IF(_xlfn.XLOOKUP(A388&amp;B388&amp;C388,盘货信息!$A:$A&amp;盘货信息!$B:$B&amp;盘货信息!$C:$C,盘货信息!$G:$G)="不参加","","焕新补贴优惠【全民可用，不限地址】"))</f>
        <v/>
      </c>
    </row>
    <row r="389" customHeight="1" spans="1:13">
      <c r="A389" s="17" t="str">
        <f>IF(盘货信息!A389="","",盘货信息!A389)</f>
        <v/>
      </c>
      <c r="B389" s="17" t="str">
        <f>IF(盘货信息!B389="","",盘货信息!B389)</f>
        <v/>
      </c>
      <c r="C389" s="18" t="str">
        <f>IF(盘货信息!C389="","",盘货信息!C389)</f>
        <v/>
      </c>
      <c r="D389" s="18" t="str">
        <f t="shared" si="6"/>
        <v/>
      </c>
      <c r="E389" s="18" t="str">
        <f t="array" ref="E389">IF(C389="","",IF(_xlfn.XLOOKUP(A389&amp;B389&amp;C389,盘货信息!$A:$A&amp;盘货信息!$B:$B&amp;盘货信息!$C:$C,盘货信息!$N:$N)="","【立减到手价"&amp;_xlfn.XLOOKUP(A389&amp;B389&amp;C389,盘货信息!$A:$A&amp;盘货信息!$B:$B&amp;盘货信息!$C:$C,盘货信息!$F:$F)&amp;"元】","【焕新补贴预估价"&amp;_xlfn.XLOOKUP(A389&amp;B389&amp;C389,盘货信息!$A:$A&amp;盘货信息!$B:$B&amp;盘货信息!$C:$C,盘货信息!$N:$N)&amp;"元】"))</f>
        <v/>
      </c>
      <c r="F389" s="18" t="str">
        <f t="array" ref="F389">IF(C389="","",_xlfn.XLOOKUP(A389&amp;B389&amp;C389,盘货信息!$A:$A&amp;盘货信息!$B:$B&amp;盘货信息!$C:$C,盘货信息!$E:$E)&amp;"元到手价")</f>
        <v/>
      </c>
      <c r="G389" s="18" t="str">
        <f t="array" ref="G389">IF(C389="","",IF(_xlfn.XLOOKUP(A389&amp;B389&amp;C389,盘货信息!$A:$A&amp;盘货信息!$B:$B&amp;盘货信息!$C:$C,盘货信息!$I:$I)="","","88VIP95折"))</f>
        <v/>
      </c>
      <c r="H389" s="18" t="str">
        <f t="array" ref="H389">IF(C389="","",IF(_xlfn.XLOOKUP(A389&amp;B389&amp;C389,盘货信息!$A:$A&amp;盘货信息!$B:$B&amp;盘货信息!$C:$C,盘货信息!$J:$J)="","",_xlfn.XLOOKUP(A389&amp;B389&amp;C389,盘货信息!$A:$A&amp;盘货信息!$B:$B&amp;盘货信息!$C:$C,盘货信息!$J:$J)&amp;"元优惠卷"))</f>
        <v/>
      </c>
      <c r="I389" s="18" t="str">
        <f t="array" ref="I389">IF(C389="","",IF(_xlfn.XLOOKUP(A389&amp;B389&amp;C389,盘货信息!$A:$A&amp;盘货信息!$B:$B&amp;盘货信息!$C:$C,盘货信息!$R:$R)="","",_xlfn.XLOOKUP(A389&amp;B389&amp;C389,盘货信息!$A:$A&amp;盘货信息!$B:$B&amp;盘货信息!$C:$C,盘货信息!$R:$R)&amp;"元优惠卷"))</f>
        <v/>
      </c>
      <c r="J389" s="18" t="str">
        <f t="array" ref="J389">IF(C389="","",IF(_xlfn.XLOOKUP(A389&amp;B389&amp;C389,盘货信息!$A:$A&amp;盘货信息!$B:$B&amp;盘货信息!$C:$C,盘货信息!$K:$K)="","",IF(OR(_xlfn.XLOOKUP(A389&amp;B389&amp;C389,盘货信息!$A:$A&amp;盘货信息!$B:$B&amp;盘货信息!$C:$C,盘货信息!$G:$G)="参加",_xlfn.XLOOKUP(A389&amp;B389&amp;C389,盘货信息!$A:$A&amp;盘货信息!$B:$B&amp;盘货信息!$C:$C,盘货信息!$H:$H)="1（纯自补）"),_xlfn.XLOOKUP(A389&amp;B389&amp;C389,盘货信息!$A:$A&amp;盘货信息!$B:$B&amp;盘货信息!$C:$C,盘货信息!$K:$K)&amp;"元以旧换新（可无旧机换新）","")))</f>
        <v/>
      </c>
      <c r="K389" s="18" t="str">
        <f t="array" ref="K389">IF(C389="","",IF(_xlfn.XLOOKUP(A389&amp;B389&amp;C389,盘货信息!$A:$A&amp;盘货信息!$B:$B&amp;盘货信息!$C:$C,盘货信息!$L:$L)="","",_xlfn.XLOOKUP(A389&amp;B389&amp;C389,盘货信息!$A:$A&amp;盘货信息!$B:$B&amp;盘货信息!$C:$C,盘货信息!$L:$L)&amp;"元限时补贴"))</f>
        <v/>
      </c>
      <c r="L389" s="18" t="str">
        <f t="array" ref="L389">IF(C389="","",IF(_xlfn.XLOOKUP(A389&amp;B389&amp;C389,盘货信息!$A:$A&amp;盘货信息!$B:$B&amp;盘货信息!$C:$C,盘货信息!$M:$M)="","",_xlfn.XLOOKUP(A389&amp;B389&amp;C389,盘货信息!$A:$A&amp;盘货信息!$B:$B&amp;盘货信息!$C:$C,盘货信息!$M:$M)&amp;"元消费券"))</f>
        <v/>
      </c>
      <c r="M389" s="18" t="str">
        <f t="array" ref="M389">IF(C389="","",IF(_xlfn.XLOOKUP(A389&amp;B389&amp;C389,盘货信息!$A:$A&amp;盘货信息!$B:$B&amp;盘货信息!$C:$C,盘货信息!$G:$G)="不参加","","焕新补贴优惠【全民可用，不限地址】"))</f>
        <v/>
      </c>
    </row>
    <row r="390" customHeight="1" spans="1:13">
      <c r="A390" s="17" t="str">
        <f>IF(盘货信息!A390="","",盘货信息!A390)</f>
        <v/>
      </c>
      <c r="B390" s="17" t="str">
        <f>IF(盘货信息!B390="","",盘货信息!B390)</f>
        <v/>
      </c>
      <c r="C390" s="18" t="str">
        <f>IF(盘货信息!C390="","",盘货信息!C390)</f>
        <v/>
      </c>
      <c r="D390" s="18" t="str">
        <f t="shared" si="6"/>
        <v/>
      </c>
      <c r="E390" s="18" t="str">
        <f t="array" ref="E390">IF(C390="","",IF(_xlfn.XLOOKUP(A390&amp;B390&amp;C390,盘货信息!$A:$A&amp;盘货信息!$B:$B&amp;盘货信息!$C:$C,盘货信息!$N:$N)="","【立减到手价"&amp;_xlfn.XLOOKUP(A390&amp;B390&amp;C390,盘货信息!$A:$A&amp;盘货信息!$B:$B&amp;盘货信息!$C:$C,盘货信息!$F:$F)&amp;"元】","【焕新补贴预估价"&amp;_xlfn.XLOOKUP(A390&amp;B390&amp;C390,盘货信息!$A:$A&amp;盘货信息!$B:$B&amp;盘货信息!$C:$C,盘货信息!$N:$N)&amp;"元】"))</f>
        <v/>
      </c>
      <c r="F390" s="18" t="str">
        <f t="array" ref="F390">IF(C390="","",_xlfn.XLOOKUP(A390&amp;B390&amp;C390,盘货信息!$A:$A&amp;盘货信息!$B:$B&amp;盘货信息!$C:$C,盘货信息!$E:$E)&amp;"元到手价")</f>
        <v/>
      </c>
      <c r="G390" s="18" t="str">
        <f t="array" ref="G390">IF(C390="","",IF(_xlfn.XLOOKUP(A390&amp;B390&amp;C390,盘货信息!$A:$A&amp;盘货信息!$B:$B&amp;盘货信息!$C:$C,盘货信息!$I:$I)="","","88VIP95折"))</f>
        <v/>
      </c>
      <c r="H390" s="18" t="str">
        <f t="array" ref="H390">IF(C390="","",IF(_xlfn.XLOOKUP(A390&amp;B390&amp;C390,盘货信息!$A:$A&amp;盘货信息!$B:$B&amp;盘货信息!$C:$C,盘货信息!$J:$J)="","",_xlfn.XLOOKUP(A390&amp;B390&amp;C390,盘货信息!$A:$A&amp;盘货信息!$B:$B&amp;盘货信息!$C:$C,盘货信息!$J:$J)&amp;"元优惠卷"))</f>
        <v/>
      </c>
      <c r="I390" s="18" t="str">
        <f t="array" ref="I390">IF(C390="","",IF(_xlfn.XLOOKUP(A390&amp;B390&amp;C390,盘货信息!$A:$A&amp;盘货信息!$B:$B&amp;盘货信息!$C:$C,盘货信息!$R:$R)="","",_xlfn.XLOOKUP(A390&amp;B390&amp;C390,盘货信息!$A:$A&amp;盘货信息!$B:$B&amp;盘货信息!$C:$C,盘货信息!$R:$R)&amp;"元优惠卷"))</f>
        <v/>
      </c>
      <c r="J390" s="18" t="str">
        <f t="array" ref="J390">IF(C390="","",IF(_xlfn.XLOOKUP(A390&amp;B390&amp;C390,盘货信息!$A:$A&amp;盘货信息!$B:$B&amp;盘货信息!$C:$C,盘货信息!$K:$K)="","",IF(OR(_xlfn.XLOOKUP(A390&amp;B390&amp;C390,盘货信息!$A:$A&amp;盘货信息!$B:$B&amp;盘货信息!$C:$C,盘货信息!$G:$G)="参加",_xlfn.XLOOKUP(A390&amp;B390&amp;C390,盘货信息!$A:$A&amp;盘货信息!$B:$B&amp;盘货信息!$C:$C,盘货信息!$H:$H)="1（纯自补）"),_xlfn.XLOOKUP(A390&amp;B390&amp;C390,盘货信息!$A:$A&amp;盘货信息!$B:$B&amp;盘货信息!$C:$C,盘货信息!$K:$K)&amp;"元以旧换新（可无旧机换新）","")))</f>
        <v/>
      </c>
      <c r="K390" s="18" t="str">
        <f t="array" ref="K390">IF(C390="","",IF(_xlfn.XLOOKUP(A390&amp;B390&amp;C390,盘货信息!$A:$A&amp;盘货信息!$B:$B&amp;盘货信息!$C:$C,盘货信息!$L:$L)="","",_xlfn.XLOOKUP(A390&amp;B390&amp;C390,盘货信息!$A:$A&amp;盘货信息!$B:$B&amp;盘货信息!$C:$C,盘货信息!$L:$L)&amp;"元限时补贴"))</f>
        <v/>
      </c>
      <c r="L390" s="18" t="str">
        <f t="array" ref="L390">IF(C390="","",IF(_xlfn.XLOOKUP(A390&amp;B390&amp;C390,盘货信息!$A:$A&amp;盘货信息!$B:$B&amp;盘货信息!$C:$C,盘货信息!$M:$M)="","",_xlfn.XLOOKUP(A390&amp;B390&amp;C390,盘货信息!$A:$A&amp;盘货信息!$B:$B&amp;盘货信息!$C:$C,盘货信息!$M:$M)&amp;"元消费券"))</f>
        <v/>
      </c>
      <c r="M390" s="18" t="str">
        <f t="array" ref="M390">IF(C390="","",IF(_xlfn.XLOOKUP(A390&amp;B390&amp;C390,盘货信息!$A:$A&amp;盘货信息!$B:$B&amp;盘货信息!$C:$C,盘货信息!$G:$G)="不参加","","焕新补贴优惠【全民可用，不限地址】"))</f>
        <v/>
      </c>
    </row>
    <row r="391" customHeight="1" spans="1:13">
      <c r="A391" s="17" t="str">
        <f>IF(盘货信息!A391="","",盘货信息!A391)</f>
        <v/>
      </c>
      <c r="B391" s="17" t="str">
        <f>IF(盘货信息!B391="","",盘货信息!B391)</f>
        <v/>
      </c>
      <c r="C391" s="18" t="str">
        <f>IF(盘货信息!C391="","",盘货信息!C391)</f>
        <v/>
      </c>
      <c r="D391" s="18" t="str">
        <f t="shared" si="6"/>
        <v/>
      </c>
      <c r="E391" s="18" t="str">
        <f t="array" ref="E391">IF(C391="","",IF(_xlfn.XLOOKUP(A391&amp;B391&amp;C391,盘货信息!$A:$A&amp;盘货信息!$B:$B&amp;盘货信息!$C:$C,盘货信息!$N:$N)="","【立减到手价"&amp;_xlfn.XLOOKUP(A391&amp;B391&amp;C391,盘货信息!$A:$A&amp;盘货信息!$B:$B&amp;盘货信息!$C:$C,盘货信息!$F:$F)&amp;"元】","【焕新补贴预估价"&amp;_xlfn.XLOOKUP(A391&amp;B391&amp;C391,盘货信息!$A:$A&amp;盘货信息!$B:$B&amp;盘货信息!$C:$C,盘货信息!$N:$N)&amp;"元】"))</f>
        <v/>
      </c>
      <c r="F391" s="18" t="str">
        <f t="array" ref="F391">IF(C391="","",_xlfn.XLOOKUP(A391&amp;B391&amp;C391,盘货信息!$A:$A&amp;盘货信息!$B:$B&amp;盘货信息!$C:$C,盘货信息!$E:$E)&amp;"元到手价")</f>
        <v/>
      </c>
      <c r="G391" s="18" t="str">
        <f t="array" ref="G391">IF(C391="","",IF(_xlfn.XLOOKUP(A391&amp;B391&amp;C391,盘货信息!$A:$A&amp;盘货信息!$B:$B&amp;盘货信息!$C:$C,盘货信息!$I:$I)="","","88VIP95折"))</f>
        <v/>
      </c>
      <c r="H391" s="18" t="str">
        <f t="array" ref="H391">IF(C391="","",IF(_xlfn.XLOOKUP(A391&amp;B391&amp;C391,盘货信息!$A:$A&amp;盘货信息!$B:$B&amp;盘货信息!$C:$C,盘货信息!$J:$J)="","",_xlfn.XLOOKUP(A391&amp;B391&amp;C391,盘货信息!$A:$A&amp;盘货信息!$B:$B&amp;盘货信息!$C:$C,盘货信息!$J:$J)&amp;"元优惠卷"))</f>
        <v/>
      </c>
      <c r="I391" s="18" t="str">
        <f t="array" ref="I391">IF(C391="","",IF(_xlfn.XLOOKUP(A391&amp;B391&amp;C391,盘货信息!$A:$A&amp;盘货信息!$B:$B&amp;盘货信息!$C:$C,盘货信息!$R:$R)="","",_xlfn.XLOOKUP(A391&amp;B391&amp;C391,盘货信息!$A:$A&amp;盘货信息!$B:$B&amp;盘货信息!$C:$C,盘货信息!$R:$R)&amp;"元优惠卷"))</f>
        <v/>
      </c>
      <c r="J391" s="18" t="str">
        <f t="array" ref="J391">IF(C391="","",IF(_xlfn.XLOOKUP(A391&amp;B391&amp;C391,盘货信息!$A:$A&amp;盘货信息!$B:$B&amp;盘货信息!$C:$C,盘货信息!$K:$K)="","",IF(OR(_xlfn.XLOOKUP(A391&amp;B391&amp;C391,盘货信息!$A:$A&amp;盘货信息!$B:$B&amp;盘货信息!$C:$C,盘货信息!$G:$G)="参加",_xlfn.XLOOKUP(A391&amp;B391&amp;C391,盘货信息!$A:$A&amp;盘货信息!$B:$B&amp;盘货信息!$C:$C,盘货信息!$H:$H)="1（纯自补）"),_xlfn.XLOOKUP(A391&amp;B391&amp;C391,盘货信息!$A:$A&amp;盘货信息!$B:$B&amp;盘货信息!$C:$C,盘货信息!$K:$K)&amp;"元以旧换新（可无旧机换新）","")))</f>
        <v/>
      </c>
      <c r="K391" s="18" t="str">
        <f t="array" ref="K391">IF(C391="","",IF(_xlfn.XLOOKUP(A391&amp;B391&amp;C391,盘货信息!$A:$A&amp;盘货信息!$B:$B&amp;盘货信息!$C:$C,盘货信息!$L:$L)="","",_xlfn.XLOOKUP(A391&amp;B391&amp;C391,盘货信息!$A:$A&amp;盘货信息!$B:$B&amp;盘货信息!$C:$C,盘货信息!$L:$L)&amp;"元限时补贴"))</f>
        <v/>
      </c>
      <c r="L391" s="18" t="str">
        <f t="array" ref="L391">IF(C391="","",IF(_xlfn.XLOOKUP(A391&amp;B391&amp;C391,盘货信息!$A:$A&amp;盘货信息!$B:$B&amp;盘货信息!$C:$C,盘货信息!$M:$M)="","",_xlfn.XLOOKUP(A391&amp;B391&amp;C391,盘货信息!$A:$A&amp;盘货信息!$B:$B&amp;盘货信息!$C:$C,盘货信息!$M:$M)&amp;"元消费券"))</f>
        <v/>
      </c>
      <c r="M391" s="18" t="str">
        <f t="array" ref="M391">IF(C391="","",IF(_xlfn.XLOOKUP(A391&amp;B391&amp;C391,盘货信息!$A:$A&amp;盘货信息!$B:$B&amp;盘货信息!$C:$C,盘货信息!$G:$G)="不参加","","焕新补贴优惠【全民可用，不限地址】"))</f>
        <v/>
      </c>
    </row>
    <row r="392" customHeight="1" spans="1:13">
      <c r="A392" s="17" t="str">
        <f>IF(盘货信息!A392="","",盘货信息!A392)</f>
        <v/>
      </c>
      <c r="B392" s="17" t="str">
        <f>IF(盘货信息!B392="","",盘货信息!B392)</f>
        <v/>
      </c>
      <c r="C392" s="18" t="str">
        <f>IF(盘货信息!C392="","",盘货信息!C392)</f>
        <v/>
      </c>
      <c r="D392" s="18" t="str">
        <f t="shared" si="6"/>
        <v/>
      </c>
      <c r="E392" s="18" t="str">
        <f t="array" ref="E392">IF(C392="","",IF(_xlfn.XLOOKUP(A392&amp;B392&amp;C392,盘货信息!$A:$A&amp;盘货信息!$B:$B&amp;盘货信息!$C:$C,盘货信息!$N:$N)="","【立减到手价"&amp;_xlfn.XLOOKUP(A392&amp;B392&amp;C392,盘货信息!$A:$A&amp;盘货信息!$B:$B&amp;盘货信息!$C:$C,盘货信息!$F:$F)&amp;"元】","【焕新补贴预估价"&amp;_xlfn.XLOOKUP(A392&amp;B392&amp;C392,盘货信息!$A:$A&amp;盘货信息!$B:$B&amp;盘货信息!$C:$C,盘货信息!$N:$N)&amp;"元】"))</f>
        <v/>
      </c>
      <c r="F392" s="18" t="str">
        <f t="array" ref="F392">IF(C392="","",_xlfn.XLOOKUP(A392&amp;B392&amp;C392,盘货信息!$A:$A&amp;盘货信息!$B:$B&amp;盘货信息!$C:$C,盘货信息!$E:$E)&amp;"元到手价")</f>
        <v/>
      </c>
      <c r="G392" s="18" t="str">
        <f t="array" ref="G392">IF(C392="","",IF(_xlfn.XLOOKUP(A392&amp;B392&amp;C392,盘货信息!$A:$A&amp;盘货信息!$B:$B&amp;盘货信息!$C:$C,盘货信息!$I:$I)="","","88VIP95折"))</f>
        <v/>
      </c>
      <c r="H392" s="18" t="str">
        <f t="array" ref="H392">IF(C392="","",IF(_xlfn.XLOOKUP(A392&amp;B392&amp;C392,盘货信息!$A:$A&amp;盘货信息!$B:$B&amp;盘货信息!$C:$C,盘货信息!$J:$J)="","",_xlfn.XLOOKUP(A392&amp;B392&amp;C392,盘货信息!$A:$A&amp;盘货信息!$B:$B&amp;盘货信息!$C:$C,盘货信息!$J:$J)&amp;"元优惠卷"))</f>
        <v/>
      </c>
      <c r="I392" s="18" t="str">
        <f t="array" ref="I392">IF(C392="","",IF(_xlfn.XLOOKUP(A392&amp;B392&amp;C392,盘货信息!$A:$A&amp;盘货信息!$B:$B&amp;盘货信息!$C:$C,盘货信息!$R:$R)="","",_xlfn.XLOOKUP(A392&amp;B392&amp;C392,盘货信息!$A:$A&amp;盘货信息!$B:$B&amp;盘货信息!$C:$C,盘货信息!$R:$R)&amp;"元优惠卷"))</f>
        <v/>
      </c>
      <c r="J392" s="18" t="str">
        <f t="array" ref="J392">IF(C392="","",IF(_xlfn.XLOOKUP(A392&amp;B392&amp;C392,盘货信息!$A:$A&amp;盘货信息!$B:$B&amp;盘货信息!$C:$C,盘货信息!$K:$K)="","",IF(OR(_xlfn.XLOOKUP(A392&amp;B392&amp;C392,盘货信息!$A:$A&amp;盘货信息!$B:$B&amp;盘货信息!$C:$C,盘货信息!$G:$G)="参加",_xlfn.XLOOKUP(A392&amp;B392&amp;C392,盘货信息!$A:$A&amp;盘货信息!$B:$B&amp;盘货信息!$C:$C,盘货信息!$H:$H)="1（纯自补）"),_xlfn.XLOOKUP(A392&amp;B392&amp;C392,盘货信息!$A:$A&amp;盘货信息!$B:$B&amp;盘货信息!$C:$C,盘货信息!$K:$K)&amp;"元以旧换新（可无旧机换新）","")))</f>
        <v/>
      </c>
      <c r="K392" s="18" t="str">
        <f t="array" ref="K392">IF(C392="","",IF(_xlfn.XLOOKUP(A392&amp;B392&amp;C392,盘货信息!$A:$A&amp;盘货信息!$B:$B&amp;盘货信息!$C:$C,盘货信息!$L:$L)="","",_xlfn.XLOOKUP(A392&amp;B392&amp;C392,盘货信息!$A:$A&amp;盘货信息!$B:$B&amp;盘货信息!$C:$C,盘货信息!$L:$L)&amp;"元限时补贴"))</f>
        <v/>
      </c>
      <c r="L392" s="18" t="str">
        <f t="array" ref="L392">IF(C392="","",IF(_xlfn.XLOOKUP(A392&amp;B392&amp;C392,盘货信息!$A:$A&amp;盘货信息!$B:$B&amp;盘货信息!$C:$C,盘货信息!$M:$M)="","",_xlfn.XLOOKUP(A392&amp;B392&amp;C392,盘货信息!$A:$A&amp;盘货信息!$B:$B&amp;盘货信息!$C:$C,盘货信息!$M:$M)&amp;"元消费券"))</f>
        <v/>
      </c>
      <c r="M392" s="18" t="str">
        <f t="array" ref="M392">IF(C392="","",IF(_xlfn.XLOOKUP(A392&amp;B392&amp;C392,盘货信息!$A:$A&amp;盘货信息!$B:$B&amp;盘货信息!$C:$C,盘货信息!$G:$G)="不参加","","焕新补贴优惠【全民可用，不限地址】"))</f>
        <v/>
      </c>
    </row>
    <row r="393" customHeight="1" spans="1:13">
      <c r="A393" s="17" t="str">
        <f>IF(盘货信息!A393="","",盘货信息!A393)</f>
        <v/>
      </c>
      <c r="B393" s="17" t="str">
        <f>IF(盘货信息!B393="","",盘货信息!B393)</f>
        <v/>
      </c>
      <c r="C393" s="18" t="str">
        <f>IF(盘货信息!C393="","",盘货信息!C393)</f>
        <v/>
      </c>
      <c r="D393" s="18" t="str">
        <f t="shared" si="6"/>
        <v/>
      </c>
      <c r="E393" s="18" t="str">
        <f t="array" ref="E393">IF(C393="","",IF(_xlfn.XLOOKUP(A393&amp;B393&amp;C393,盘货信息!$A:$A&amp;盘货信息!$B:$B&amp;盘货信息!$C:$C,盘货信息!$N:$N)="","【立减到手价"&amp;_xlfn.XLOOKUP(A393&amp;B393&amp;C393,盘货信息!$A:$A&amp;盘货信息!$B:$B&amp;盘货信息!$C:$C,盘货信息!$F:$F)&amp;"元】","【焕新补贴预估价"&amp;_xlfn.XLOOKUP(A393&amp;B393&amp;C393,盘货信息!$A:$A&amp;盘货信息!$B:$B&amp;盘货信息!$C:$C,盘货信息!$N:$N)&amp;"元】"))</f>
        <v/>
      </c>
      <c r="F393" s="18" t="str">
        <f t="array" ref="F393">IF(C393="","",_xlfn.XLOOKUP(A393&amp;B393&amp;C393,盘货信息!$A:$A&amp;盘货信息!$B:$B&amp;盘货信息!$C:$C,盘货信息!$E:$E)&amp;"元到手价")</f>
        <v/>
      </c>
      <c r="G393" s="18" t="str">
        <f t="array" ref="G393">IF(C393="","",IF(_xlfn.XLOOKUP(A393&amp;B393&amp;C393,盘货信息!$A:$A&amp;盘货信息!$B:$B&amp;盘货信息!$C:$C,盘货信息!$I:$I)="","","88VIP95折"))</f>
        <v/>
      </c>
      <c r="H393" s="18" t="str">
        <f t="array" ref="H393">IF(C393="","",IF(_xlfn.XLOOKUP(A393&amp;B393&amp;C393,盘货信息!$A:$A&amp;盘货信息!$B:$B&amp;盘货信息!$C:$C,盘货信息!$J:$J)="","",_xlfn.XLOOKUP(A393&amp;B393&amp;C393,盘货信息!$A:$A&amp;盘货信息!$B:$B&amp;盘货信息!$C:$C,盘货信息!$J:$J)&amp;"元优惠卷"))</f>
        <v/>
      </c>
      <c r="I393" s="18" t="str">
        <f t="array" ref="I393">IF(C393="","",IF(_xlfn.XLOOKUP(A393&amp;B393&amp;C393,盘货信息!$A:$A&amp;盘货信息!$B:$B&amp;盘货信息!$C:$C,盘货信息!$R:$R)="","",_xlfn.XLOOKUP(A393&amp;B393&amp;C393,盘货信息!$A:$A&amp;盘货信息!$B:$B&amp;盘货信息!$C:$C,盘货信息!$R:$R)&amp;"元优惠卷"))</f>
        <v/>
      </c>
      <c r="J393" s="18" t="str">
        <f t="array" ref="J393">IF(C393="","",IF(_xlfn.XLOOKUP(A393&amp;B393&amp;C393,盘货信息!$A:$A&amp;盘货信息!$B:$B&amp;盘货信息!$C:$C,盘货信息!$K:$K)="","",IF(OR(_xlfn.XLOOKUP(A393&amp;B393&amp;C393,盘货信息!$A:$A&amp;盘货信息!$B:$B&amp;盘货信息!$C:$C,盘货信息!$G:$G)="参加",_xlfn.XLOOKUP(A393&amp;B393&amp;C393,盘货信息!$A:$A&amp;盘货信息!$B:$B&amp;盘货信息!$C:$C,盘货信息!$H:$H)="1（纯自补）"),_xlfn.XLOOKUP(A393&amp;B393&amp;C393,盘货信息!$A:$A&amp;盘货信息!$B:$B&amp;盘货信息!$C:$C,盘货信息!$K:$K)&amp;"元以旧换新（可无旧机换新）","")))</f>
        <v/>
      </c>
      <c r="K393" s="18" t="str">
        <f t="array" ref="K393">IF(C393="","",IF(_xlfn.XLOOKUP(A393&amp;B393&amp;C393,盘货信息!$A:$A&amp;盘货信息!$B:$B&amp;盘货信息!$C:$C,盘货信息!$L:$L)="","",_xlfn.XLOOKUP(A393&amp;B393&amp;C393,盘货信息!$A:$A&amp;盘货信息!$B:$B&amp;盘货信息!$C:$C,盘货信息!$L:$L)&amp;"元限时补贴"))</f>
        <v/>
      </c>
      <c r="L393" s="18" t="str">
        <f t="array" ref="L393">IF(C393="","",IF(_xlfn.XLOOKUP(A393&amp;B393&amp;C393,盘货信息!$A:$A&amp;盘货信息!$B:$B&amp;盘货信息!$C:$C,盘货信息!$M:$M)="","",_xlfn.XLOOKUP(A393&amp;B393&amp;C393,盘货信息!$A:$A&amp;盘货信息!$B:$B&amp;盘货信息!$C:$C,盘货信息!$M:$M)&amp;"元消费券"))</f>
        <v/>
      </c>
      <c r="M393" s="18" t="str">
        <f t="array" ref="M393">IF(C393="","",IF(_xlfn.XLOOKUP(A393&amp;B393&amp;C393,盘货信息!$A:$A&amp;盘货信息!$B:$B&amp;盘货信息!$C:$C,盘货信息!$G:$G)="不参加","","焕新补贴优惠【全民可用，不限地址】"))</f>
        <v/>
      </c>
    </row>
    <row r="394" customHeight="1" spans="1:13">
      <c r="A394" s="17" t="str">
        <f>IF(盘货信息!A394="","",盘货信息!A394)</f>
        <v/>
      </c>
      <c r="B394" s="17" t="str">
        <f>IF(盘货信息!B394="","",盘货信息!B394)</f>
        <v/>
      </c>
      <c r="C394" s="18" t="str">
        <f>IF(盘货信息!C394="","",盘货信息!C394)</f>
        <v/>
      </c>
      <c r="D394" s="18" t="str">
        <f t="shared" si="6"/>
        <v/>
      </c>
      <c r="E394" s="18" t="str">
        <f t="array" ref="E394">IF(C394="","",IF(_xlfn.XLOOKUP(A394&amp;B394&amp;C394,盘货信息!$A:$A&amp;盘货信息!$B:$B&amp;盘货信息!$C:$C,盘货信息!$N:$N)="","【立减到手价"&amp;_xlfn.XLOOKUP(A394&amp;B394&amp;C394,盘货信息!$A:$A&amp;盘货信息!$B:$B&amp;盘货信息!$C:$C,盘货信息!$F:$F)&amp;"元】","【焕新补贴预估价"&amp;_xlfn.XLOOKUP(A394&amp;B394&amp;C394,盘货信息!$A:$A&amp;盘货信息!$B:$B&amp;盘货信息!$C:$C,盘货信息!$N:$N)&amp;"元】"))</f>
        <v/>
      </c>
      <c r="F394" s="18" t="str">
        <f t="array" ref="F394">IF(C394="","",_xlfn.XLOOKUP(A394&amp;B394&amp;C394,盘货信息!$A:$A&amp;盘货信息!$B:$B&amp;盘货信息!$C:$C,盘货信息!$E:$E)&amp;"元到手价")</f>
        <v/>
      </c>
      <c r="G394" s="18" t="str">
        <f t="array" ref="G394">IF(C394="","",IF(_xlfn.XLOOKUP(A394&amp;B394&amp;C394,盘货信息!$A:$A&amp;盘货信息!$B:$B&amp;盘货信息!$C:$C,盘货信息!$I:$I)="","","88VIP95折"))</f>
        <v/>
      </c>
      <c r="H394" s="18" t="str">
        <f t="array" ref="H394">IF(C394="","",IF(_xlfn.XLOOKUP(A394&amp;B394&amp;C394,盘货信息!$A:$A&amp;盘货信息!$B:$B&amp;盘货信息!$C:$C,盘货信息!$J:$J)="","",_xlfn.XLOOKUP(A394&amp;B394&amp;C394,盘货信息!$A:$A&amp;盘货信息!$B:$B&amp;盘货信息!$C:$C,盘货信息!$J:$J)&amp;"元优惠卷"))</f>
        <v/>
      </c>
      <c r="I394" s="18" t="str">
        <f t="array" ref="I394">IF(C394="","",IF(_xlfn.XLOOKUP(A394&amp;B394&amp;C394,盘货信息!$A:$A&amp;盘货信息!$B:$B&amp;盘货信息!$C:$C,盘货信息!$R:$R)="","",_xlfn.XLOOKUP(A394&amp;B394&amp;C394,盘货信息!$A:$A&amp;盘货信息!$B:$B&amp;盘货信息!$C:$C,盘货信息!$R:$R)&amp;"元优惠卷"))</f>
        <v/>
      </c>
      <c r="J394" s="18" t="str">
        <f t="array" ref="J394">IF(C394="","",IF(_xlfn.XLOOKUP(A394&amp;B394&amp;C394,盘货信息!$A:$A&amp;盘货信息!$B:$B&amp;盘货信息!$C:$C,盘货信息!$K:$K)="","",IF(OR(_xlfn.XLOOKUP(A394&amp;B394&amp;C394,盘货信息!$A:$A&amp;盘货信息!$B:$B&amp;盘货信息!$C:$C,盘货信息!$G:$G)="参加",_xlfn.XLOOKUP(A394&amp;B394&amp;C394,盘货信息!$A:$A&amp;盘货信息!$B:$B&amp;盘货信息!$C:$C,盘货信息!$H:$H)="1（纯自补）"),_xlfn.XLOOKUP(A394&amp;B394&amp;C394,盘货信息!$A:$A&amp;盘货信息!$B:$B&amp;盘货信息!$C:$C,盘货信息!$K:$K)&amp;"元以旧换新（可无旧机换新）","")))</f>
        <v/>
      </c>
      <c r="K394" s="18" t="str">
        <f t="array" ref="K394">IF(C394="","",IF(_xlfn.XLOOKUP(A394&amp;B394&amp;C394,盘货信息!$A:$A&amp;盘货信息!$B:$B&amp;盘货信息!$C:$C,盘货信息!$L:$L)="","",_xlfn.XLOOKUP(A394&amp;B394&amp;C394,盘货信息!$A:$A&amp;盘货信息!$B:$B&amp;盘货信息!$C:$C,盘货信息!$L:$L)&amp;"元限时补贴"))</f>
        <v/>
      </c>
      <c r="L394" s="18" t="str">
        <f t="array" ref="L394">IF(C394="","",IF(_xlfn.XLOOKUP(A394&amp;B394&amp;C394,盘货信息!$A:$A&amp;盘货信息!$B:$B&amp;盘货信息!$C:$C,盘货信息!$M:$M)="","",_xlfn.XLOOKUP(A394&amp;B394&amp;C394,盘货信息!$A:$A&amp;盘货信息!$B:$B&amp;盘货信息!$C:$C,盘货信息!$M:$M)&amp;"元消费券"))</f>
        <v/>
      </c>
      <c r="M394" s="18" t="str">
        <f t="array" ref="M394">IF(C394="","",IF(_xlfn.XLOOKUP(A394&amp;B394&amp;C394,盘货信息!$A:$A&amp;盘货信息!$B:$B&amp;盘货信息!$C:$C,盘货信息!$G:$G)="不参加","","焕新补贴优惠【全民可用，不限地址】"))</f>
        <v/>
      </c>
    </row>
    <row r="395" customHeight="1" spans="1:13">
      <c r="A395" s="17" t="str">
        <f>IF(盘货信息!A395="","",盘货信息!A395)</f>
        <v/>
      </c>
      <c r="B395" s="17" t="str">
        <f>IF(盘货信息!B395="","",盘货信息!B395)</f>
        <v/>
      </c>
      <c r="C395" s="18" t="str">
        <f>IF(盘货信息!C395="","",盘货信息!C395)</f>
        <v/>
      </c>
      <c r="D395" s="18" t="str">
        <f t="shared" si="6"/>
        <v/>
      </c>
      <c r="E395" s="18" t="str">
        <f t="array" ref="E395">IF(C395="","",IF(_xlfn.XLOOKUP(A395&amp;B395&amp;C395,盘货信息!$A:$A&amp;盘货信息!$B:$B&amp;盘货信息!$C:$C,盘货信息!$N:$N)="","【立减到手价"&amp;_xlfn.XLOOKUP(A395&amp;B395&amp;C395,盘货信息!$A:$A&amp;盘货信息!$B:$B&amp;盘货信息!$C:$C,盘货信息!$F:$F)&amp;"元】","【焕新补贴预估价"&amp;_xlfn.XLOOKUP(A395&amp;B395&amp;C395,盘货信息!$A:$A&amp;盘货信息!$B:$B&amp;盘货信息!$C:$C,盘货信息!$N:$N)&amp;"元】"))</f>
        <v/>
      </c>
      <c r="F395" s="18" t="str">
        <f t="array" ref="F395">IF(C395="","",_xlfn.XLOOKUP(A395&amp;B395&amp;C395,盘货信息!$A:$A&amp;盘货信息!$B:$B&amp;盘货信息!$C:$C,盘货信息!$E:$E)&amp;"元到手价")</f>
        <v/>
      </c>
      <c r="G395" s="18" t="str">
        <f t="array" ref="G395">IF(C395="","",IF(_xlfn.XLOOKUP(A395&amp;B395&amp;C395,盘货信息!$A:$A&amp;盘货信息!$B:$B&amp;盘货信息!$C:$C,盘货信息!$I:$I)="","","88VIP95折"))</f>
        <v/>
      </c>
      <c r="H395" s="18" t="str">
        <f t="array" ref="H395">IF(C395="","",IF(_xlfn.XLOOKUP(A395&amp;B395&amp;C395,盘货信息!$A:$A&amp;盘货信息!$B:$B&amp;盘货信息!$C:$C,盘货信息!$J:$J)="","",_xlfn.XLOOKUP(A395&amp;B395&amp;C395,盘货信息!$A:$A&amp;盘货信息!$B:$B&amp;盘货信息!$C:$C,盘货信息!$J:$J)&amp;"元优惠卷"))</f>
        <v/>
      </c>
      <c r="I395" s="18" t="str">
        <f t="array" ref="I395">IF(C395="","",IF(_xlfn.XLOOKUP(A395&amp;B395&amp;C395,盘货信息!$A:$A&amp;盘货信息!$B:$B&amp;盘货信息!$C:$C,盘货信息!$R:$R)="","",_xlfn.XLOOKUP(A395&amp;B395&amp;C395,盘货信息!$A:$A&amp;盘货信息!$B:$B&amp;盘货信息!$C:$C,盘货信息!$R:$R)&amp;"元优惠卷"))</f>
        <v/>
      </c>
      <c r="J395" s="18" t="str">
        <f t="array" ref="J395">IF(C395="","",IF(_xlfn.XLOOKUP(A395&amp;B395&amp;C395,盘货信息!$A:$A&amp;盘货信息!$B:$B&amp;盘货信息!$C:$C,盘货信息!$K:$K)="","",IF(OR(_xlfn.XLOOKUP(A395&amp;B395&amp;C395,盘货信息!$A:$A&amp;盘货信息!$B:$B&amp;盘货信息!$C:$C,盘货信息!$G:$G)="参加",_xlfn.XLOOKUP(A395&amp;B395&amp;C395,盘货信息!$A:$A&amp;盘货信息!$B:$B&amp;盘货信息!$C:$C,盘货信息!$H:$H)="1（纯自补）"),_xlfn.XLOOKUP(A395&amp;B395&amp;C395,盘货信息!$A:$A&amp;盘货信息!$B:$B&amp;盘货信息!$C:$C,盘货信息!$K:$K)&amp;"元以旧换新（可无旧机换新）","")))</f>
        <v/>
      </c>
      <c r="K395" s="18" t="str">
        <f t="array" ref="K395">IF(C395="","",IF(_xlfn.XLOOKUP(A395&amp;B395&amp;C395,盘货信息!$A:$A&amp;盘货信息!$B:$B&amp;盘货信息!$C:$C,盘货信息!$L:$L)="","",_xlfn.XLOOKUP(A395&amp;B395&amp;C395,盘货信息!$A:$A&amp;盘货信息!$B:$B&amp;盘货信息!$C:$C,盘货信息!$L:$L)&amp;"元限时补贴"))</f>
        <v/>
      </c>
      <c r="L395" s="18" t="str">
        <f t="array" ref="L395">IF(C395="","",IF(_xlfn.XLOOKUP(A395&amp;B395&amp;C395,盘货信息!$A:$A&amp;盘货信息!$B:$B&amp;盘货信息!$C:$C,盘货信息!$M:$M)="","",_xlfn.XLOOKUP(A395&amp;B395&amp;C395,盘货信息!$A:$A&amp;盘货信息!$B:$B&amp;盘货信息!$C:$C,盘货信息!$M:$M)&amp;"元消费券"))</f>
        <v/>
      </c>
      <c r="M395" s="18" t="str">
        <f t="array" ref="M395">IF(C395="","",IF(_xlfn.XLOOKUP(A395&amp;B395&amp;C395,盘货信息!$A:$A&amp;盘货信息!$B:$B&amp;盘货信息!$C:$C,盘货信息!$G:$G)="不参加","","焕新补贴优惠【全民可用，不限地址】"))</f>
        <v/>
      </c>
    </row>
    <row r="396" customHeight="1" spans="1:13">
      <c r="A396" s="17" t="str">
        <f>IF(盘货信息!A396="","",盘货信息!A396)</f>
        <v/>
      </c>
      <c r="B396" s="17" t="str">
        <f>IF(盘货信息!B396="","",盘货信息!B396)</f>
        <v/>
      </c>
      <c r="C396" s="18" t="str">
        <f>IF(盘货信息!C396="","",盘货信息!C396)</f>
        <v/>
      </c>
      <c r="D396" s="18" t="str">
        <f t="shared" si="6"/>
        <v/>
      </c>
      <c r="E396" s="18" t="str">
        <f t="array" ref="E396">IF(C396="","",IF(_xlfn.XLOOKUP(A396&amp;B396&amp;C396,盘货信息!$A:$A&amp;盘货信息!$B:$B&amp;盘货信息!$C:$C,盘货信息!$N:$N)="","【立减到手价"&amp;_xlfn.XLOOKUP(A396&amp;B396&amp;C396,盘货信息!$A:$A&amp;盘货信息!$B:$B&amp;盘货信息!$C:$C,盘货信息!$F:$F)&amp;"元】","【焕新补贴预估价"&amp;_xlfn.XLOOKUP(A396&amp;B396&amp;C396,盘货信息!$A:$A&amp;盘货信息!$B:$B&amp;盘货信息!$C:$C,盘货信息!$N:$N)&amp;"元】"))</f>
        <v/>
      </c>
      <c r="F396" s="18" t="str">
        <f t="array" ref="F396">IF(C396="","",_xlfn.XLOOKUP(A396&amp;B396&amp;C396,盘货信息!$A:$A&amp;盘货信息!$B:$B&amp;盘货信息!$C:$C,盘货信息!$E:$E)&amp;"元到手价")</f>
        <v/>
      </c>
      <c r="G396" s="18" t="str">
        <f t="array" ref="G396">IF(C396="","",IF(_xlfn.XLOOKUP(A396&amp;B396&amp;C396,盘货信息!$A:$A&amp;盘货信息!$B:$B&amp;盘货信息!$C:$C,盘货信息!$I:$I)="","","88VIP95折"))</f>
        <v/>
      </c>
      <c r="H396" s="18" t="str">
        <f t="array" ref="H396">IF(C396="","",IF(_xlfn.XLOOKUP(A396&amp;B396&amp;C396,盘货信息!$A:$A&amp;盘货信息!$B:$B&amp;盘货信息!$C:$C,盘货信息!$J:$J)="","",_xlfn.XLOOKUP(A396&amp;B396&amp;C396,盘货信息!$A:$A&amp;盘货信息!$B:$B&amp;盘货信息!$C:$C,盘货信息!$J:$J)&amp;"元优惠卷"))</f>
        <v/>
      </c>
      <c r="I396" s="18" t="str">
        <f t="array" ref="I396">IF(C396="","",IF(_xlfn.XLOOKUP(A396&amp;B396&amp;C396,盘货信息!$A:$A&amp;盘货信息!$B:$B&amp;盘货信息!$C:$C,盘货信息!$R:$R)="","",_xlfn.XLOOKUP(A396&amp;B396&amp;C396,盘货信息!$A:$A&amp;盘货信息!$B:$B&amp;盘货信息!$C:$C,盘货信息!$R:$R)&amp;"元优惠卷"))</f>
        <v/>
      </c>
      <c r="J396" s="18" t="str">
        <f t="array" ref="J396">IF(C396="","",IF(_xlfn.XLOOKUP(A396&amp;B396&amp;C396,盘货信息!$A:$A&amp;盘货信息!$B:$B&amp;盘货信息!$C:$C,盘货信息!$K:$K)="","",IF(OR(_xlfn.XLOOKUP(A396&amp;B396&amp;C396,盘货信息!$A:$A&amp;盘货信息!$B:$B&amp;盘货信息!$C:$C,盘货信息!$G:$G)="参加",_xlfn.XLOOKUP(A396&amp;B396&amp;C396,盘货信息!$A:$A&amp;盘货信息!$B:$B&amp;盘货信息!$C:$C,盘货信息!$H:$H)="1（纯自补）"),_xlfn.XLOOKUP(A396&amp;B396&amp;C396,盘货信息!$A:$A&amp;盘货信息!$B:$B&amp;盘货信息!$C:$C,盘货信息!$K:$K)&amp;"元以旧换新（可无旧机换新）","")))</f>
        <v/>
      </c>
      <c r="K396" s="18" t="str">
        <f t="array" ref="K396">IF(C396="","",IF(_xlfn.XLOOKUP(A396&amp;B396&amp;C396,盘货信息!$A:$A&amp;盘货信息!$B:$B&amp;盘货信息!$C:$C,盘货信息!$L:$L)="","",_xlfn.XLOOKUP(A396&amp;B396&amp;C396,盘货信息!$A:$A&amp;盘货信息!$B:$B&amp;盘货信息!$C:$C,盘货信息!$L:$L)&amp;"元限时补贴"))</f>
        <v/>
      </c>
      <c r="L396" s="18" t="str">
        <f t="array" ref="L396">IF(C396="","",IF(_xlfn.XLOOKUP(A396&amp;B396&amp;C396,盘货信息!$A:$A&amp;盘货信息!$B:$B&amp;盘货信息!$C:$C,盘货信息!$M:$M)="","",_xlfn.XLOOKUP(A396&amp;B396&amp;C396,盘货信息!$A:$A&amp;盘货信息!$B:$B&amp;盘货信息!$C:$C,盘货信息!$M:$M)&amp;"元消费券"))</f>
        <v/>
      </c>
      <c r="M396" s="18" t="str">
        <f t="array" ref="M396">IF(C396="","",IF(_xlfn.XLOOKUP(A396&amp;B396&amp;C396,盘货信息!$A:$A&amp;盘货信息!$B:$B&amp;盘货信息!$C:$C,盘货信息!$G:$G)="不参加","","焕新补贴优惠【全民可用，不限地址】"))</f>
        <v/>
      </c>
    </row>
    <row r="397" customHeight="1" spans="1:13">
      <c r="A397" s="17" t="str">
        <f>IF(盘货信息!A397="","",盘货信息!A397)</f>
        <v/>
      </c>
      <c r="B397" s="17" t="str">
        <f>IF(盘货信息!B397="","",盘货信息!B397)</f>
        <v/>
      </c>
      <c r="C397" s="18" t="str">
        <f>IF(盘货信息!C397="","",盘货信息!C397)</f>
        <v/>
      </c>
      <c r="D397" s="18" t="str">
        <f t="shared" si="6"/>
        <v/>
      </c>
      <c r="E397" s="18" t="str">
        <f t="array" ref="E397">IF(C397="","",IF(_xlfn.XLOOKUP(A397&amp;B397&amp;C397,盘货信息!$A:$A&amp;盘货信息!$B:$B&amp;盘货信息!$C:$C,盘货信息!$N:$N)="","【立减到手价"&amp;_xlfn.XLOOKUP(A397&amp;B397&amp;C397,盘货信息!$A:$A&amp;盘货信息!$B:$B&amp;盘货信息!$C:$C,盘货信息!$F:$F)&amp;"元】","【焕新补贴预估价"&amp;_xlfn.XLOOKUP(A397&amp;B397&amp;C397,盘货信息!$A:$A&amp;盘货信息!$B:$B&amp;盘货信息!$C:$C,盘货信息!$N:$N)&amp;"元】"))</f>
        <v/>
      </c>
      <c r="F397" s="18" t="str">
        <f t="array" ref="F397">IF(C397="","",_xlfn.XLOOKUP(A397&amp;B397&amp;C397,盘货信息!$A:$A&amp;盘货信息!$B:$B&amp;盘货信息!$C:$C,盘货信息!$E:$E)&amp;"元到手价")</f>
        <v/>
      </c>
      <c r="G397" s="18" t="str">
        <f t="array" ref="G397">IF(C397="","",IF(_xlfn.XLOOKUP(A397&amp;B397&amp;C397,盘货信息!$A:$A&amp;盘货信息!$B:$B&amp;盘货信息!$C:$C,盘货信息!$I:$I)="","","88VIP95折"))</f>
        <v/>
      </c>
      <c r="H397" s="18" t="str">
        <f t="array" ref="H397">IF(C397="","",IF(_xlfn.XLOOKUP(A397&amp;B397&amp;C397,盘货信息!$A:$A&amp;盘货信息!$B:$B&amp;盘货信息!$C:$C,盘货信息!$J:$J)="","",_xlfn.XLOOKUP(A397&amp;B397&amp;C397,盘货信息!$A:$A&amp;盘货信息!$B:$B&amp;盘货信息!$C:$C,盘货信息!$J:$J)&amp;"元优惠卷"))</f>
        <v/>
      </c>
      <c r="I397" s="18" t="str">
        <f t="array" ref="I397">IF(C397="","",IF(_xlfn.XLOOKUP(A397&amp;B397&amp;C397,盘货信息!$A:$A&amp;盘货信息!$B:$B&amp;盘货信息!$C:$C,盘货信息!$R:$R)="","",_xlfn.XLOOKUP(A397&amp;B397&amp;C397,盘货信息!$A:$A&amp;盘货信息!$B:$B&amp;盘货信息!$C:$C,盘货信息!$R:$R)&amp;"元优惠卷"))</f>
        <v/>
      </c>
      <c r="J397" s="18" t="str">
        <f t="array" ref="J397">IF(C397="","",IF(_xlfn.XLOOKUP(A397&amp;B397&amp;C397,盘货信息!$A:$A&amp;盘货信息!$B:$B&amp;盘货信息!$C:$C,盘货信息!$K:$K)="","",IF(OR(_xlfn.XLOOKUP(A397&amp;B397&amp;C397,盘货信息!$A:$A&amp;盘货信息!$B:$B&amp;盘货信息!$C:$C,盘货信息!$G:$G)="参加",_xlfn.XLOOKUP(A397&amp;B397&amp;C397,盘货信息!$A:$A&amp;盘货信息!$B:$B&amp;盘货信息!$C:$C,盘货信息!$H:$H)="1（纯自补）"),_xlfn.XLOOKUP(A397&amp;B397&amp;C397,盘货信息!$A:$A&amp;盘货信息!$B:$B&amp;盘货信息!$C:$C,盘货信息!$K:$K)&amp;"元以旧换新（可无旧机换新）","")))</f>
        <v/>
      </c>
      <c r="K397" s="18" t="str">
        <f t="array" ref="K397">IF(C397="","",IF(_xlfn.XLOOKUP(A397&amp;B397&amp;C397,盘货信息!$A:$A&amp;盘货信息!$B:$B&amp;盘货信息!$C:$C,盘货信息!$L:$L)="","",_xlfn.XLOOKUP(A397&amp;B397&amp;C397,盘货信息!$A:$A&amp;盘货信息!$B:$B&amp;盘货信息!$C:$C,盘货信息!$L:$L)&amp;"元限时补贴"))</f>
        <v/>
      </c>
      <c r="L397" s="18" t="str">
        <f t="array" ref="L397">IF(C397="","",IF(_xlfn.XLOOKUP(A397&amp;B397&amp;C397,盘货信息!$A:$A&amp;盘货信息!$B:$B&amp;盘货信息!$C:$C,盘货信息!$M:$M)="","",_xlfn.XLOOKUP(A397&amp;B397&amp;C397,盘货信息!$A:$A&amp;盘货信息!$B:$B&amp;盘货信息!$C:$C,盘货信息!$M:$M)&amp;"元消费券"))</f>
        <v/>
      </c>
      <c r="M397" s="18" t="str">
        <f t="array" ref="M397">IF(C397="","",IF(_xlfn.XLOOKUP(A397&amp;B397&amp;C397,盘货信息!$A:$A&amp;盘货信息!$B:$B&amp;盘货信息!$C:$C,盘货信息!$G:$G)="不参加","","焕新补贴优惠【全民可用，不限地址】"))</f>
        <v/>
      </c>
    </row>
    <row r="398" customHeight="1" spans="1:13">
      <c r="A398" s="17" t="str">
        <f>IF(盘货信息!A398="","",盘货信息!A398)</f>
        <v/>
      </c>
      <c r="B398" s="17" t="str">
        <f>IF(盘货信息!B398="","",盘货信息!B398)</f>
        <v/>
      </c>
      <c r="C398" s="18" t="str">
        <f>IF(盘货信息!C398="","",盘货信息!C398)</f>
        <v/>
      </c>
      <c r="D398" s="18" t="str">
        <f t="shared" si="6"/>
        <v/>
      </c>
      <c r="E398" s="18" t="str">
        <f t="array" ref="E398">IF(C398="","",IF(_xlfn.XLOOKUP(A398&amp;B398&amp;C398,盘货信息!$A:$A&amp;盘货信息!$B:$B&amp;盘货信息!$C:$C,盘货信息!$N:$N)="","【立减到手价"&amp;_xlfn.XLOOKUP(A398&amp;B398&amp;C398,盘货信息!$A:$A&amp;盘货信息!$B:$B&amp;盘货信息!$C:$C,盘货信息!$F:$F)&amp;"元】","【焕新补贴预估价"&amp;_xlfn.XLOOKUP(A398&amp;B398&amp;C398,盘货信息!$A:$A&amp;盘货信息!$B:$B&amp;盘货信息!$C:$C,盘货信息!$N:$N)&amp;"元】"))</f>
        <v/>
      </c>
      <c r="F398" s="18" t="str">
        <f t="array" ref="F398">IF(C398="","",_xlfn.XLOOKUP(A398&amp;B398&amp;C398,盘货信息!$A:$A&amp;盘货信息!$B:$B&amp;盘货信息!$C:$C,盘货信息!$E:$E)&amp;"元到手价")</f>
        <v/>
      </c>
      <c r="G398" s="18" t="str">
        <f t="array" ref="G398">IF(C398="","",IF(_xlfn.XLOOKUP(A398&amp;B398&amp;C398,盘货信息!$A:$A&amp;盘货信息!$B:$B&amp;盘货信息!$C:$C,盘货信息!$I:$I)="","","88VIP95折"))</f>
        <v/>
      </c>
      <c r="H398" s="18" t="str">
        <f t="array" ref="H398">IF(C398="","",IF(_xlfn.XLOOKUP(A398&amp;B398&amp;C398,盘货信息!$A:$A&amp;盘货信息!$B:$B&amp;盘货信息!$C:$C,盘货信息!$J:$J)="","",_xlfn.XLOOKUP(A398&amp;B398&amp;C398,盘货信息!$A:$A&amp;盘货信息!$B:$B&amp;盘货信息!$C:$C,盘货信息!$J:$J)&amp;"元优惠卷"))</f>
        <v/>
      </c>
      <c r="I398" s="18" t="str">
        <f t="array" ref="I398">IF(C398="","",IF(_xlfn.XLOOKUP(A398&amp;B398&amp;C398,盘货信息!$A:$A&amp;盘货信息!$B:$B&amp;盘货信息!$C:$C,盘货信息!$R:$R)="","",_xlfn.XLOOKUP(A398&amp;B398&amp;C398,盘货信息!$A:$A&amp;盘货信息!$B:$B&amp;盘货信息!$C:$C,盘货信息!$R:$R)&amp;"元优惠卷"))</f>
        <v/>
      </c>
      <c r="J398" s="18" t="str">
        <f t="array" ref="J398">IF(C398="","",IF(_xlfn.XLOOKUP(A398&amp;B398&amp;C398,盘货信息!$A:$A&amp;盘货信息!$B:$B&amp;盘货信息!$C:$C,盘货信息!$K:$K)="","",IF(OR(_xlfn.XLOOKUP(A398&amp;B398&amp;C398,盘货信息!$A:$A&amp;盘货信息!$B:$B&amp;盘货信息!$C:$C,盘货信息!$G:$G)="参加",_xlfn.XLOOKUP(A398&amp;B398&amp;C398,盘货信息!$A:$A&amp;盘货信息!$B:$B&amp;盘货信息!$C:$C,盘货信息!$H:$H)="1（纯自补）"),_xlfn.XLOOKUP(A398&amp;B398&amp;C398,盘货信息!$A:$A&amp;盘货信息!$B:$B&amp;盘货信息!$C:$C,盘货信息!$K:$K)&amp;"元以旧换新（可无旧机换新）","")))</f>
        <v/>
      </c>
      <c r="K398" s="18" t="str">
        <f t="array" ref="K398">IF(C398="","",IF(_xlfn.XLOOKUP(A398&amp;B398&amp;C398,盘货信息!$A:$A&amp;盘货信息!$B:$B&amp;盘货信息!$C:$C,盘货信息!$L:$L)="","",_xlfn.XLOOKUP(A398&amp;B398&amp;C398,盘货信息!$A:$A&amp;盘货信息!$B:$B&amp;盘货信息!$C:$C,盘货信息!$L:$L)&amp;"元限时补贴"))</f>
        <v/>
      </c>
      <c r="L398" s="18" t="str">
        <f t="array" ref="L398">IF(C398="","",IF(_xlfn.XLOOKUP(A398&amp;B398&amp;C398,盘货信息!$A:$A&amp;盘货信息!$B:$B&amp;盘货信息!$C:$C,盘货信息!$M:$M)="","",_xlfn.XLOOKUP(A398&amp;B398&amp;C398,盘货信息!$A:$A&amp;盘货信息!$B:$B&amp;盘货信息!$C:$C,盘货信息!$M:$M)&amp;"元消费券"))</f>
        <v/>
      </c>
      <c r="M398" s="18" t="str">
        <f t="array" ref="M398">IF(C398="","",IF(_xlfn.XLOOKUP(A398&amp;B398&amp;C398,盘货信息!$A:$A&amp;盘货信息!$B:$B&amp;盘货信息!$C:$C,盘货信息!$G:$G)="不参加","","焕新补贴优惠【全民可用，不限地址】"))</f>
        <v/>
      </c>
    </row>
    <row r="399" customHeight="1" spans="1:13">
      <c r="A399" s="17" t="str">
        <f>IF(盘货信息!A399="","",盘货信息!A399)</f>
        <v/>
      </c>
      <c r="B399" s="17" t="str">
        <f>IF(盘货信息!B399="","",盘货信息!B399)</f>
        <v/>
      </c>
      <c r="C399" s="18" t="str">
        <f>IF(盘货信息!C399="","",盘货信息!C399)</f>
        <v/>
      </c>
      <c r="D399" s="18" t="str">
        <f t="shared" si="6"/>
        <v/>
      </c>
      <c r="E399" s="18" t="str">
        <f t="array" ref="E399">IF(C399="","",IF(_xlfn.XLOOKUP(A399&amp;B399&amp;C399,盘货信息!$A:$A&amp;盘货信息!$B:$B&amp;盘货信息!$C:$C,盘货信息!$N:$N)="","【立减到手价"&amp;_xlfn.XLOOKUP(A399&amp;B399&amp;C399,盘货信息!$A:$A&amp;盘货信息!$B:$B&amp;盘货信息!$C:$C,盘货信息!$F:$F)&amp;"元】","【焕新补贴预估价"&amp;_xlfn.XLOOKUP(A399&amp;B399&amp;C399,盘货信息!$A:$A&amp;盘货信息!$B:$B&amp;盘货信息!$C:$C,盘货信息!$N:$N)&amp;"元】"))</f>
        <v/>
      </c>
      <c r="F399" s="18" t="str">
        <f t="array" ref="F399">IF(C399="","",_xlfn.XLOOKUP(A399&amp;B399&amp;C399,盘货信息!$A:$A&amp;盘货信息!$B:$B&amp;盘货信息!$C:$C,盘货信息!$E:$E)&amp;"元到手价")</f>
        <v/>
      </c>
      <c r="G399" s="18" t="str">
        <f t="array" ref="G399">IF(C399="","",IF(_xlfn.XLOOKUP(A399&amp;B399&amp;C399,盘货信息!$A:$A&amp;盘货信息!$B:$B&amp;盘货信息!$C:$C,盘货信息!$I:$I)="","","88VIP95折"))</f>
        <v/>
      </c>
      <c r="H399" s="18" t="str">
        <f t="array" ref="H399">IF(C399="","",IF(_xlfn.XLOOKUP(A399&amp;B399&amp;C399,盘货信息!$A:$A&amp;盘货信息!$B:$B&amp;盘货信息!$C:$C,盘货信息!$J:$J)="","",_xlfn.XLOOKUP(A399&amp;B399&amp;C399,盘货信息!$A:$A&amp;盘货信息!$B:$B&amp;盘货信息!$C:$C,盘货信息!$J:$J)&amp;"元优惠卷"))</f>
        <v/>
      </c>
      <c r="I399" s="18" t="str">
        <f t="array" ref="I399">IF(C399="","",IF(_xlfn.XLOOKUP(A399&amp;B399&amp;C399,盘货信息!$A:$A&amp;盘货信息!$B:$B&amp;盘货信息!$C:$C,盘货信息!$R:$R)="","",_xlfn.XLOOKUP(A399&amp;B399&amp;C399,盘货信息!$A:$A&amp;盘货信息!$B:$B&amp;盘货信息!$C:$C,盘货信息!$R:$R)&amp;"元优惠卷"))</f>
        <v/>
      </c>
      <c r="J399" s="18" t="str">
        <f t="array" ref="J399">IF(C399="","",IF(_xlfn.XLOOKUP(A399&amp;B399&amp;C399,盘货信息!$A:$A&amp;盘货信息!$B:$B&amp;盘货信息!$C:$C,盘货信息!$K:$K)="","",IF(OR(_xlfn.XLOOKUP(A399&amp;B399&amp;C399,盘货信息!$A:$A&amp;盘货信息!$B:$B&amp;盘货信息!$C:$C,盘货信息!$G:$G)="参加",_xlfn.XLOOKUP(A399&amp;B399&amp;C399,盘货信息!$A:$A&amp;盘货信息!$B:$B&amp;盘货信息!$C:$C,盘货信息!$H:$H)="1（纯自补）"),_xlfn.XLOOKUP(A399&amp;B399&amp;C399,盘货信息!$A:$A&amp;盘货信息!$B:$B&amp;盘货信息!$C:$C,盘货信息!$K:$K)&amp;"元以旧换新（可无旧机换新）","")))</f>
        <v/>
      </c>
      <c r="K399" s="18" t="str">
        <f t="array" ref="K399">IF(C399="","",IF(_xlfn.XLOOKUP(A399&amp;B399&amp;C399,盘货信息!$A:$A&amp;盘货信息!$B:$B&amp;盘货信息!$C:$C,盘货信息!$L:$L)="","",_xlfn.XLOOKUP(A399&amp;B399&amp;C399,盘货信息!$A:$A&amp;盘货信息!$B:$B&amp;盘货信息!$C:$C,盘货信息!$L:$L)&amp;"元限时补贴"))</f>
        <v/>
      </c>
      <c r="L399" s="18" t="str">
        <f t="array" ref="L399">IF(C399="","",IF(_xlfn.XLOOKUP(A399&amp;B399&amp;C399,盘货信息!$A:$A&amp;盘货信息!$B:$B&amp;盘货信息!$C:$C,盘货信息!$M:$M)="","",_xlfn.XLOOKUP(A399&amp;B399&amp;C399,盘货信息!$A:$A&amp;盘货信息!$B:$B&amp;盘货信息!$C:$C,盘货信息!$M:$M)&amp;"元消费券"))</f>
        <v/>
      </c>
      <c r="M399" s="18" t="str">
        <f t="array" ref="M399">IF(C399="","",IF(_xlfn.XLOOKUP(A399&amp;B399&amp;C399,盘货信息!$A:$A&amp;盘货信息!$B:$B&amp;盘货信息!$C:$C,盘货信息!$G:$G)="不参加","","焕新补贴优惠【全民可用，不限地址】"))</f>
        <v/>
      </c>
    </row>
    <row r="400" customHeight="1" spans="1:13">
      <c r="A400" s="17" t="str">
        <f>IF(盘货信息!A400="","",盘货信息!A400)</f>
        <v/>
      </c>
      <c r="B400" s="17" t="str">
        <f>IF(盘货信息!B400="","",盘货信息!B400)</f>
        <v/>
      </c>
      <c r="C400" s="18" t="str">
        <f>IF(盘货信息!C400="","",盘货信息!C400)</f>
        <v/>
      </c>
      <c r="D400" s="18" t="str">
        <f t="shared" si="6"/>
        <v/>
      </c>
      <c r="E400" s="18" t="str">
        <f t="array" ref="E400">IF(C400="","",IF(_xlfn.XLOOKUP(A400&amp;B400&amp;C400,盘货信息!$A:$A&amp;盘货信息!$B:$B&amp;盘货信息!$C:$C,盘货信息!$N:$N)="","【立减到手价"&amp;_xlfn.XLOOKUP(A400&amp;B400&amp;C400,盘货信息!$A:$A&amp;盘货信息!$B:$B&amp;盘货信息!$C:$C,盘货信息!$F:$F)&amp;"元】","【焕新补贴预估价"&amp;_xlfn.XLOOKUP(A400&amp;B400&amp;C400,盘货信息!$A:$A&amp;盘货信息!$B:$B&amp;盘货信息!$C:$C,盘货信息!$N:$N)&amp;"元】"))</f>
        <v/>
      </c>
      <c r="F400" s="18" t="str">
        <f t="array" ref="F400">IF(C400="","",_xlfn.XLOOKUP(A400&amp;B400&amp;C400,盘货信息!$A:$A&amp;盘货信息!$B:$B&amp;盘货信息!$C:$C,盘货信息!$E:$E)&amp;"元到手价")</f>
        <v/>
      </c>
      <c r="G400" s="18" t="str">
        <f t="array" ref="G400">IF(C400="","",IF(_xlfn.XLOOKUP(A400&amp;B400&amp;C400,盘货信息!$A:$A&amp;盘货信息!$B:$B&amp;盘货信息!$C:$C,盘货信息!$I:$I)="","","88VIP95折"))</f>
        <v/>
      </c>
      <c r="H400" s="18" t="str">
        <f t="array" ref="H400">IF(C400="","",IF(_xlfn.XLOOKUP(A400&amp;B400&amp;C400,盘货信息!$A:$A&amp;盘货信息!$B:$B&amp;盘货信息!$C:$C,盘货信息!$J:$J)="","",_xlfn.XLOOKUP(A400&amp;B400&amp;C400,盘货信息!$A:$A&amp;盘货信息!$B:$B&amp;盘货信息!$C:$C,盘货信息!$J:$J)&amp;"元优惠卷"))</f>
        <v/>
      </c>
      <c r="I400" s="18" t="str">
        <f t="array" ref="I400">IF(C400="","",IF(_xlfn.XLOOKUP(A400&amp;B400&amp;C400,盘货信息!$A:$A&amp;盘货信息!$B:$B&amp;盘货信息!$C:$C,盘货信息!$R:$R)="","",_xlfn.XLOOKUP(A400&amp;B400&amp;C400,盘货信息!$A:$A&amp;盘货信息!$B:$B&amp;盘货信息!$C:$C,盘货信息!$R:$R)&amp;"元优惠卷"))</f>
        <v/>
      </c>
      <c r="J400" s="18" t="str">
        <f t="array" ref="J400">IF(C400="","",IF(_xlfn.XLOOKUP(A400&amp;B400&amp;C400,盘货信息!$A:$A&amp;盘货信息!$B:$B&amp;盘货信息!$C:$C,盘货信息!$K:$K)="","",IF(OR(_xlfn.XLOOKUP(A400&amp;B400&amp;C400,盘货信息!$A:$A&amp;盘货信息!$B:$B&amp;盘货信息!$C:$C,盘货信息!$G:$G)="参加",_xlfn.XLOOKUP(A400&amp;B400&amp;C400,盘货信息!$A:$A&amp;盘货信息!$B:$B&amp;盘货信息!$C:$C,盘货信息!$H:$H)="1（纯自补）"),_xlfn.XLOOKUP(A400&amp;B400&amp;C400,盘货信息!$A:$A&amp;盘货信息!$B:$B&amp;盘货信息!$C:$C,盘货信息!$K:$K)&amp;"元以旧换新（可无旧机换新）","")))</f>
        <v/>
      </c>
      <c r="K400" s="18" t="str">
        <f t="array" ref="K400">IF(C400="","",IF(_xlfn.XLOOKUP(A400&amp;B400&amp;C400,盘货信息!$A:$A&amp;盘货信息!$B:$B&amp;盘货信息!$C:$C,盘货信息!$L:$L)="","",_xlfn.XLOOKUP(A400&amp;B400&amp;C400,盘货信息!$A:$A&amp;盘货信息!$B:$B&amp;盘货信息!$C:$C,盘货信息!$L:$L)&amp;"元限时补贴"))</f>
        <v/>
      </c>
      <c r="L400" s="18" t="str">
        <f t="array" ref="L400">IF(C400="","",IF(_xlfn.XLOOKUP(A400&amp;B400&amp;C400,盘货信息!$A:$A&amp;盘货信息!$B:$B&amp;盘货信息!$C:$C,盘货信息!$M:$M)="","",_xlfn.XLOOKUP(A400&amp;B400&amp;C400,盘货信息!$A:$A&amp;盘货信息!$B:$B&amp;盘货信息!$C:$C,盘货信息!$M:$M)&amp;"元消费券"))</f>
        <v/>
      </c>
      <c r="M400" s="18" t="str">
        <f t="array" ref="M400">IF(C400="","",IF(_xlfn.XLOOKUP(A400&amp;B400&amp;C400,盘货信息!$A:$A&amp;盘货信息!$B:$B&amp;盘货信息!$C:$C,盘货信息!$G:$G)="不参加","","焕新补贴优惠【全民可用，不限地址】"))</f>
        <v/>
      </c>
    </row>
    <row r="401" customHeight="1" spans="1:13">
      <c r="A401" s="17" t="str">
        <f>IF(盘货信息!A401="","",盘货信息!A401)</f>
        <v/>
      </c>
      <c r="B401" s="17" t="str">
        <f>IF(盘货信息!B401="","",盘货信息!B401)</f>
        <v/>
      </c>
      <c r="C401" s="18" t="str">
        <f>IF(盘货信息!C401="","",盘货信息!C401)</f>
        <v/>
      </c>
      <c r="D401" s="18" t="str">
        <f t="shared" si="6"/>
        <v/>
      </c>
      <c r="E401" s="18" t="str">
        <f t="array" ref="E401">IF(C401="","",IF(_xlfn.XLOOKUP(A401&amp;B401&amp;C401,盘货信息!$A:$A&amp;盘货信息!$B:$B&amp;盘货信息!$C:$C,盘货信息!$N:$N)="","【立减到手价"&amp;_xlfn.XLOOKUP(A401&amp;B401&amp;C401,盘货信息!$A:$A&amp;盘货信息!$B:$B&amp;盘货信息!$C:$C,盘货信息!$F:$F)&amp;"元】","【焕新补贴预估价"&amp;_xlfn.XLOOKUP(A401&amp;B401&amp;C401,盘货信息!$A:$A&amp;盘货信息!$B:$B&amp;盘货信息!$C:$C,盘货信息!$N:$N)&amp;"元】"))</f>
        <v/>
      </c>
      <c r="F401" s="18" t="str">
        <f t="array" ref="F401">IF(C401="","",_xlfn.XLOOKUP(A401&amp;B401&amp;C401,盘货信息!$A:$A&amp;盘货信息!$B:$B&amp;盘货信息!$C:$C,盘货信息!$E:$E)&amp;"元到手价")</f>
        <v/>
      </c>
      <c r="G401" s="18" t="str">
        <f t="array" ref="G401">IF(C401="","",IF(_xlfn.XLOOKUP(A401&amp;B401&amp;C401,盘货信息!$A:$A&amp;盘货信息!$B:$B&amp;盘货信息!$C:$C,盘货信息!$I:$I)="","","88VIP95折"))</f>
        <v/>
      </c>
      <c r="H401" s="18" t="str">
        <f t="array" ref="H401">IF(C401="","",IF(_xlfn.XLOOKUP(A401&amp;B401&amp;C401,盘货信息!$A:$A&amp;盘货信息!$B:$B&amp;盘货信息!$C:$C,盘货信息!$J:$J)="","",_xlfn.XLOOKUP(A401&amp;B401&amp;C401,盘货信息!$A:$A&amp;盘货信息!$B:$B&amp;盘货信息!$C:$C,盘货信息!$J:$J)&amp;"元优惠卷"))</f>
        <v/>
      </c>
      <c r="I401" s="18" t="str">
        <f t="array" ref="I401">IF(C401="","",IF(_xlfn.XLOOKUP(A401&amp;B401&amp;C401,盘货信息!$A:$A&amp;盘货信息!$B:$B&amp;盘货信息!$C:$C,盘货信息!$R:$R)="","",_xlfn.XLOOKUP(A401&amp;B401&amp;C401,盘货信息!$A:$A&amp;盘货信息!$B:$B&amp;盘货信息!$C:$C,盘货信息!$R:$R)&amp;"元优惠卷"))</f>
        <v/>
      </c>
      <c r="J401" s="18" t="str">
        <f t="array" ref="J401">IF(C401="","",IF(_xlfn.XLOOKUP(A401&amp;B401&amp;C401,盘货信息!$A:$A&amp;盘货信息!$B:$B&amp;盘货信息!$C:$C,盘货信息!$K:$K)="","",IF(OR(_xlfn.XLOOKUP(A401&amp;B401&amp;C401,盘货信息!$A:$A&amp;盘货信息!$B:$B&amp;盘货信息!$C:$C,盘货信息!$G:$G)="参加",_xlfn.XLOOKUP(A401&amp;B401&amp;C401,盘货信息!$A:$A&amp;盘货信息!$B:$B&amp;盘货信息!$C:$C,盘货信息!$H:$H)="1（纯自补）"),_xlfn.XLOOKUP(A401&amp;B401&amp;C401,盘货信息!$A:$A&amp;盘货信息!$B:$B&amp;盘货信息!$C:$C,盘货信息!$K:$K)&amp;"元以旧换新（可无旧机换新）","")))</f>
        <v/>
      </c>
      <c r="K401" s="18" t="str">
        <f t="array" ref="K401">IF(C401="","",IF(_xlfn.XLOOKUP(A401&amp;B401&amp;C401,盘货信息!$A:$A&amp;盘货信息!$B:$B&amp;盘货信息!$C:$C,盘货信息!$L:$L)="","",_xlfn.XLOOKUP(A401&amp;B401&amp;C401,盘货信息!$A:$A&amp;盘货信息!$B:$B&amp;盘货信息!$C:$C,盘货信息!$L:$L)&amp;"元限时补贴"))</f>
        <v/>
      </c>
      <c r="L401" s="18" t="str">
        <f t="array" ref="L401">IF(C401="","",IF(_xlfn.XLOOKUP(A401&amp;B401&amp;C401,盘货信息!$A:$A&amp;盘货信息!$B:$B&amp;盘货信息!$C:$C,盘货信息!$M:$M)="","",_xlfn.XLOOKUP(A401&amp;B401&amp;C401,盘货信息!$A:$A&amp;盘货信息!$B:$B&amp;盘货信息!$C:$C,盘货信息!$M:$M)&amp;"元消费券"))</f>
        <v/>
      </c>
      <c r="M401" s="18" t="str">
        <f t="array" ref="M401">IF(C401="","",IF(_xlfn.XLOOKUP(A401&amp;B401&amp;C401,盘货信息!$A:$A&amp;盘货信息!$B:$B&amp;盘货信息!$C:$C,盘货信息!$G:$G)="不参加","","焕新补贴优惠【全民可用，不限地址】"))</f>
        <v/>
      </c>
    </row>
    <row r="402" customHeight="1" spans="1:13">
      <c r="A402" s="17" t="str">
        <f>IF(盘货信息!A402="","",盘货信息!A402)</f>
        <v/>
      </c>
      <c r="B402" s="17" t="str">
        <f>IF(盘货信息!B402="","",盘货信息!B402)</f>
        <v/>
      </c>
      <c r="C402" s="18" t="str">
        <f>IF(盘货信息!C402="","",盘货信息!C402)</f>
        <v/>
      </c>
      <c r="D402" s="18" t="str">
        <f t="shared" si="6"/>
        <v/>
      </c>
      <c r="E402" s="18" t="str">
        <f t="array" ref="E402">IF(C402="","",IF(_xlfn.XLOOKUP(A402&amp;B402&amp;C402,盘货信息!$A:$A&amp;盘货信息!$B:$B&amp;盘货信息!$C:$C,盘货信息!$N:$N)="","【立减到手价"&amp;_xlfn.XLOOKUP(A402&amp;B402&amp;C402,盘货信息!$A:$A&amp;盘货信息!$B:$B&amp;盘货信息!$C:$C,盘货信息!$F:$F)&amp;"元】","【焕新补贴预估价"&amp;_xlfn.XLOOKUP(A402&amp;B402&amp;C402,盘货信息!$A:$A&amp;盘货信息!$B:$B&amp;盘货信息!$C:$C,盘货信息!$N:$N)&amp;"元】"))</f>
        <v/>
      </c>
      <c r="F402" s="18" t="str">
        <f t="array" ref="F402">IF(C402="","",_xlfn.XLOOKUP(A402&amp;B402&amp;C402,盘货信息!$A:$A&amp;盘货信息!$B:$B&amp;盘货信息!$C:$C,盘货信息!$E:$E)&amp;"元到手价")</f>
        <v/>
      </c>
      <c r="G402" s="18" t="str">
        <f t="array" ref="G402">IF(C402="","",IF(_xlfn.XLOOKUP(A402&amp;B402&amp;C402,盘货信息!$A:$A&amp;盘货信息!$B:$B&amp;盘货信息!$C:$C,盘货信息!$I:$I)="","","88VIP95折"))</f>
        <v/>
      </c>
      <c r="H402" s="18" t="str">
        <f t="array" ref="H402">IF(C402="","",IF(_xlfn.XLOOKUP(A402&amp;B402&amp;C402,盘货信息!$A:$A&amp;盘货信息!$B:$B&amp;盘货信息!$C:$C,盘货信息!$J:$J)="","",_xlfn.XLOOKUP(A402&amp;B402&amp;C402,盘货信息!$A:$A&amp;盘货信息!$B:$B&amp;盘货信息!$C:$C,盘货信息!$J:$J)&amp;"元优惠卷"))</f>
        <v/>
      </c>
      <c r="I402" s="18" t="str">
        <f t="array" ref="I402">IF(C402="","",IF(_xlfn.XLOOKUP(A402&amp;B402&amp;C402,盘货信息!$A:$A&amp;盘货信息!$B:$B&amp;盘货信息!$C:$C,盘货信息!$R:$R)="","",_xlfn.XLOOKUP(A402&amp;B402&amp;C402,盘货信息!$A:$A&amp;盘货信息!$B:$B&amp;盘货信息!$C:$C,盘货信息!$R:$R)&amp;"元优惠卷"))</f>
        <v/>
      </c>
      <c r="J402" s="18" t="str">
        <f t="array" ref="J402">IF(C402="","",IF(_xlfn.XLOOKUP(A402&amp;B402&amp;C402,盘货信息!$A:$A&amp;盘货信息!$B:$B&amp;盘货信息!$C:$C,盘货信息!$K:$K)="","",IF(OR(_xlfn.XLOOKUP(A402&amp;B402&amp;C402,盘货信息!$A:$A&amp;盘货信息!$B:$B&amp;盘货信息!$C:$C,盘货信息!$G:$G)="参加",_xlfn.XLOOKUP(A402&amp;B402&amp;C402,盘货信息!$A:$A&amp;盘货信息!$B:$B&amp;盘货信息!$C:$C,盘货信息!$H:$H)="1（纯自补）"),_xlfn.XLOOKUP(A402&amp;B402&amp;C402,盘货信息!$A:$A&amp;盘货信息!$B:$B&amp;盘货信息!$C:$C,盘货信息!$K:$K)&amp;"元以旧换新（可无旧机换新）","")))</f>
        <v/>
      </c>
      <c r="K402" s="18" t="str">
        <f t="array" ref="K402">IF(C402="","",IF(_xlfn.XLOOKUP(A402&amp;B402&amp;C402,盘货信息!$A:$A&amp;盘货信息!$B:$B&amp;盘货信息!$C:$C,盘货信息!$L:$L)="","",_xlfn.XLOOKUP(A402&amp;B402&amp;C402,盘货信息!$A:$A&amp;盘货信息!$B:$B&amp;盘货信息!$C:$C,盘货信息!$L:$L)&amp;"元限时补贴"))</f>
        <v/>
      </c>
      <c r="L402" s="18" t="str">
        <f t="array" ref="L402">IF(C402="","",IF(_xlfn.XLOOKUP(A402&amp;B402&amp;C402,盘货信息!$A:$A&amp;盘货信息!$B:$B&amp;盘货信息!$C:$C,盘货信息!$M:$M)="","",_xlfn.XLOOKUP(A402&amp;B402&amp;C402,盘货信息!$A:$A&amp;盘货信息!$B:$B&amp;盘货信息!$C:$C,盘货信息!$M:$M)&amp;"元消费券"))</f>
        <v/>
      </c>
      <c r="M402" s="18" t="str">
        <f t="array" ref="M402">IF(C402="","",IF(_xlfn.XLOOKUP(A402&amp;B402&amp;C402,盘货信息!$A:$A&amp;盘货信息!$B:$B&amp;盘货信息!$C:$C,盘货信息!$G:$G)="不参加","","焕新补贴优惠【全民可用，不限地址】"))</f>
        <v/>
      </c>
    </row>
    <row r="403" customHeight="1" spans="1:13">
      <c r="A403" s="17" t="str">
        <f>IF(盘货信息!A403="","",盘货信息!A403)</f>
        <v/>
      </c>
      <c r="B403" s="17" t="str">
        <f>IF(盘货信息!B403="","",盘货信息!B403)</f>
        <v/>
      </c>
      <c r="C403" s="18" t="str">
        <f>IF(盘货信息!C403="","",盘货信息!C403)</f>
        <v/>
      </c>
      <c r="D403" s="18" t="str">
        <f t="shared" si="6"/>
        <v/>
      </c>
      <c r="E403" s="18" t="str">
        <f t="array" ref="E403">IF(C403="","",IF(_xlfn.XLOOKUP(A403&amp;B403&amp;C403,盘货信息!$A:$A&amp;盘货信息!$B:$B&amp;盘货信息!$C:$C,盘货信息!$N:$N)="","【立减到手价"&amp;_xlfn.XLOOKUP(A403&amp;B403&amp;C403,盘货信息!$A:$A&amp;盘货信息!$B:$B&amp;盘货信息!$C:$C,盘货信息!$F:$F)&amp;"元】","【焕新补贴预估价"&amp;_xlfn.XLOOKUP(A403&amp;B403&amp;C403,盘货信息!$A:$A&amp;盘货信息!$B:$B&amp;盘货信息!$C:$C,盘货信息!$N:$N)&amp;"元】"))</f>
        <v/>
      </c>
      <c r="F403" s="18" t="str">
        <f t="array" ref="F403">IF(C403="","",_xlfn.XLOOKUP(A403&amp;B403&amp;C403,盘货信息!$A:$A&amp;盘货信息!$B:$B&amp;盘货信息!$C:$C,盘货信息!$E:$E)&amp;"元到手价")</f>
        <v/>
      </c>
      <c r="G403" s="18" t="str">
        <f t="array" ref="G403">IF(C403="","",IF(_xlfn.XLOOKUP(A403&amp;B403&amp;C403,盘货信息!$A:$A&amp;盘货信息!$B:$B&amp;盘货信息!$C:$C,盘货信息!$I:$I)="","","88VIP95折"))</f>
        <v/>
      </c>
      <c r="H403" s="18" t="str">
        <f t="array" ref="H403">IF(C403="","",IF(_xlfn.XLOOKUP(A403&amp;B403&amp;C403,盘货信息!$A:$A&amp;盘货信息!$B:$B&amp;盘货信息!$C:$C,盘货信息!$J:$J)="","",_xlfn.XLOOKUP(A403&amp;B403&amp;C403,盘货信息!$A:$A&amp;盘货信息!$B:$B&amp;盘货信息!$C:$C,盘货信息!$J:$J)&amp;"元优惠卷"))</f>
        <v/>
      </c>
      <c r="I403" s="18" t="str">
        <f t="array" ref="I403">IF(C403="","",IF(_xlfn.XLOOKUP(A403&amp;B403&amp;C403,盘货信息!$A:$A&amp;盘货信息!$B:$B&amp;盘货信息!$C:$C,盘货信息!$R:$R)="","",_xlfn.XLOOKUP(A403&amp;B403&amp;C403,盘货信息!$A:$A&amp;盘货信息!$B:$B&amp;盘货信息!$C:$C,盘货信息!$R:$R)&amp;"元优惠卷"))</f>
        <v/>
      </c>
      <c r="J403" s="18" t="str">
        <f t="array" ref="J403">IF(C403="","",IF(_xlfn.XLOOKUP(A403&amp;B403&amp;C403,盘货信息!$A:$A&amp;盘货信息!$B:$B&amp;盘货信息!$C:$C,盘货信息!$K:$K)="","",IF(OR(_xlfn.XLOOKUP(A403&amp;B403&amp;C403,盘货信息!$A:$A&amp;盘货信息!$B:$B&amp;盘货信息!$C:$C,盘货信息!$G:$G)="参加",_xlfn.XLOOKUP(A403&amp;B403&amp;C403,盘货信息!$A:$A&amp;盘货信息!$B:$B&amp;盘货信息!$C:$C,盘货信息!$H:$H)="1（纯自补）"),_xlfn.XLOOKUP(A403&amp;B403&amp;C403,盘货信息!$A:$A&amp;盘货信息!$B:$B&amp;盘货信息!$C:$C,盘货信息!$K:$K)&amp;"元以旧换新（可无旧机换新）","")))</f>
        <v/>
      </c>
      <c r="K403" s="18" t="str">
        <f t="array" ref="K403">IF(C403="","",IF(_xlfn.XLOOKUP(A403&amp;B403&amp;C403,盘货信息!$A:$A&amp;盘货信息!$B:$B&amp;盘货信息!$C:$C,盘货信息!$L:$L)="","",_xlfn.XLOOKUP(A403&amp;B403&amp;C403,盘货信息!$A:$A&amp;盘货信息!$B:$B&amp;盘货信息!$C:$C,盘货信息!$L:$L)&amp;"元限时补贴"))</f>
        <v/>
      </c>
      <c r="L403" s="18" t="str">
        <f t="array" ref="L403">IF(C403="","",IF(_xlfn.XLOOKUP(A403&amp;B403&amp;C403,盘货信息!$A:$A&amp;盘货信息!$B:$B&amp;盘货信息!$C:$C,盘货信息!$M:$M)="","",_xlfn.XLOOKUP(A403&amp;B403&amp;C403,盘货信息!$A:$A&amp;盘货信息!$B:$B&amp;盘货信息!$C:$C,盘货信息!$M:$M)&amp;"元消费券"))</f>
        <v/>
      </c>
      <c r="M403" s="18" t="str">
        <f t="array" ref="M403">IF(C403="","",IF(_xlfn.XLOOKUP(A403&amp;B403&amp;C403,盘货信息!$A:$A&amp;盘货信息!$B:$B&amp;盘货信息!$C:$C,盘货信息!$G:$G)="不参加","","焕新补贴优惠【全民可用，不限地址】"))</f>
        <v/>
      </c>
    </row>
    <row r="404" customHeight="1" spans="1:13">
      <c r="A404" s="17" t="str">
        <f>IF(盘货信息!A404="","",盘货信息!A404)</f>
        <v/>
      </c>
      <c r="B404" s="17" t="str">
        <f>IF(盘货信息!B404="","",盘货信息!B404)</f>
        <v/>
      </c>
      <c r="C404" s="18" t="str">
        <f>IF(盘货信息!C404="","",盘货信息!C404)</f>
        <v/>
      </c>
      <c r="D404" s="18" t="str">
        <f t="shared" si="6"/>
        <v/>
      </c>
      <c r="E404" s="18" t="str">
        <f t="array" ref="E404">IF(C404="","",IF(_xlfn.XLOOKUP(A404&amp;B404&amp;C404,盘货信息!$A:$A&amp;盘货信息!$B:$B&amp;盘货信息!$C:$C,盘货信息!$N:$N)="","【立减到手价"&amp;_xlfn.XLOOKUP(A404&amp;B404&amp;C404,盘货信息!$A:$A&amp;盘货信息!$B:$B&amp;盘货信息!$C:$C,盘货信息!$F:$F)&amp;"元】","【焕新补贴预估价"&amp;_xlfn.XLOOKUP(A404&amp;B404&amp;C404,盘货信息!$A:$A&amp;盘货信息!$B:$B&amp;盘货信息!$C:$C,盘货信息!$N:$N)&amp;"元】"))</f>
        <v/>
      </c>
      <c r="F404" s="18" t="str">
        <f t="array" ref="F404">IF(C404="","",_xlfn.XLOOKUP(A404&amp;B404&amp;C404,盘货信息!$A:$A&amp;盘货信息!$B:$B&amp;盘货信息!$C:$C,盘货信息!$E:$E)&amp;"元到手价")</f>
        <v/>
      </c>
      <c r="G404" s="18" t="str">
        <f t="array" ref="G404">IF(C404="","",IF(_xlfn.XLOOKUP(A404&amp;B404&amp;C404,盘货信息!$A:$A&amp;盘货信息!$B:$B&amp;盘货信息!$C:$C,盘货信息!$I:$I)="","","88VIP95折"))</f>
        <v/>
      </c>
      <c r="H404" s="18" t="str">
        <f t="array" ref="H404">IF(C404="","",IF(_xlfn.XLOOKUP(A404&amp;B404&amp;C404,盘货信息!$A:$A&amp;盘货信息!$B:$B&amp;盘货信息!$C:$C,盘货信息!$J:$J)="","",_xlfn.XLOOKUP(A404&amp;B404&amp;C404,盘货信息!$A:$A&amp;盘货信息!$B:$B&amp;盘货信息!$C:$C,盘货信息!$J:$J)&amp;"元优惠卷"))</f>
        <v/>
      </c>
      <c r="I404" s="18" t="str">
        <f t="array" ref="I404">IF(C404="","",IF(_xlfn.XLOOKUP(A404&amp;B404&amp;C404,盘货信息!$A:$A&amp;盘货信息!$B:$B&amp;盘货信息!$C:$C,盘货信息!$R:$R)="","",_xlfn.XLOOKUP(A404&amp;B404&amp;C404,盘货信息!$A:$A&amp;盘货信息!$B:$B&amp;盘货信息!$C:$C,盘货信息!$R:$R)&amp;"元优惠卷"))</f>
        <v/>
      </c>
      <c r="J404" s="18" t="str">
        <f t="array" ref="J404">IF(C404="","",IF(_xlfn.XLOOKUP(A404&amp;B404&amp;C404,盘货信息!$A:$A&amp;盘货信息!$B:$B&amp;盘货信息!$C:$C,盘货信息!$K:$K)="","",IF(OR(_xlfn.XLOOKUP(A404&amp;B404&amp;C404,盘货信息!$A:$A&amp;盘货信息!$B:$B&amp;盘货信息!$C:$C,盘货信息!$G:$G)="参加",_xlfn.XLOOKUP(A404&amp;B404&amp;C404,盘货信息!$A:$A&amp;盘货信息!$B:$B&amp;盘货信息!$C:$C,盘货信息!$H:$H)="1（纯自补）"),_xlfn.XLOOKUP(A404&amp;B404&amp;C404,盘货信息!$A:$A&amp;盘货信息!$B:$B&amp;盘货信息!$C:$C,盘货信息!$K:$K)&amp;"元以旧换新（可无旧机换新）","")))</f>
        <v/>
      </c>
      <c r="K404" s="18" t="str">
        <f t="array" ref="K404">IF(C404="","",IF(_xlfn.XLOOKUP(A404&amp;B404&amp;C404,盘货信息!$A:$A&amp;盘货信息!$B:$B&amp;盘货信息!$C:$C,盘货信息!$L:$L)="","",_xlfn.XLOOKUP(A404&amp;B404&amp;C404,盘货信息!$A:$A&amp;盘货信息!$B:$B&amp;盘货信息!$C:$C,盘货信息!$L:$L)&amp;"元限时补贴"))</f>
        <v/>
      </c>
      <c r="L404" s="18" t="str">
        <f t="array" ref="L404">IF(C404="","",IF(_xlfn.XLOOKUP(A404&amp;B404&amp;C404,盘货信息!$A:$A&amp;盘货信息!$B:$B&amp;盘货信息!$C:$C,盘货信息!$M:$M)="","",_xlfn.XLOOKUP(A404&amp;B404&amp;C404,盘货信息!$A:$A&amp;盘货信息!$B:$B&amp;盘货信息!$C:$C,盘货信息!$M:$M)&amp;"元消费券"))</f>
        <v/>
      </c>
      <c r="M404" s="18" t="str">
        <f t="array" ref="M404">IF(C404="","",IF(_xlfn.XLOOKUP(A404&amp;B404&amp;C404,盘货信息!$A:$A&amp;盘货信息!$B:$B&amp;盘货信息!$C:$C,盘货信息!$G:$G)="不参加","","焕新补贴优惠【全民可用，不限地址】"))</f>
        <v/>
      </c>
    </row>
    <row r="405" customHeight="1" spans="1:13">
      <c r="A405" s="17" t="str">
        <f>IF(盘货信息!A405="","",盘货信息!A405)</f>
        <v/>
      </c>
      <c r="B405" s="17" t="str">
        <f>IF(盘货信息!B405="","",盘货信息!B405)</f>
        <v/>
      </c>
      <c r="C405" s="18" t="str">
        <f>IF(盘货信息!C405="","",盘货信息!C405)</f>
        <v/>
      </c>
      <c r="D405" s="18" t="str">
        <f t="shared" si="6"/>
        <v/>
      </c>
      <c r="E405" s="18" t="str">
        <f t="array" ref="E405">IF(C405="","",IF(_xlfn.XLOOKUP(A405&amp;B405&amp;C405,盘货信息!$A:$A&amp;盘货信息!$B:$B&amp;盘货信息!$C:$C,盘货信息!$N:$N)="","【立减到手价"&amp;_xlfn.XLOOKUP(A405&amp;B405&amp;C405,盘货信息!$A:$A&amp;盘货信息!$B:$B&amp;盘货信息!$C:$C,盘货信息!$F:$F)&amp;"元】","【焕新补贴预估价"&amp;_xlfn.XLOOKUP(A405&amp;B405&amp;C405,盘货信息!$A:$A&amp;盘货信息!$B:$B&amp;盘货信息!$C:$C,盘货信息!$N:$N)&amp;"元】"))</f>
        <v/>
      </c>
      <c r="F405" s="18" t="str">
        <f t="array" ref="F405">IF(C405="","",_xlfn.XLOOKUP(A405&amp;B405&amp;C405,盘货信息!$A:$A&amp;盘货信息!$B:$B&amp;盘货信息!$C:$C,盘货信息!$E:$E)&amp;"元到手价")</f>
        <v/>
      </c>
      <c r="G405" s="18" t="str">
        <f t="array" ref="G405">IF(C405="","",IF(_xlfn.XLOOKUP(A405&amp;B405&amp;C405,盘货信息!$A:$A&amp;盘货信息!$B:$B&amp;盘货信息!$C:$C,盘货信息!$I:$I)="","","88VIP95折"))</f>
        <v/>
      </c>
      <c r="H405" s="18" t="str">
        <f t="array" ref="H405">IF(C405="","",IF(_xlfn.XLOOKUP(A405&amp;B405&amp;C405,盘货信息!$A:$A&amp;盘货信息!$B:$B&amp;盘货信息!$C:$C,盘货信息!$J:$J)="","",_xlfn.XLOOKUP(A405&amp;B405&amp;C405,盘货信息!$A:$A&amp;盘货信息!$B:$B&amp;盘货信息!$C:$C,盘货信息!$J:$J)&amp;"元优惠卷"))</f>
        <v/>
      </c>
      <c r="I405" s="18" t="str">
        <f t="array" ref="I405">IF(C405="","",IF(_xlfn.XLOOKUP(A405&amp;B405&amp;C405,盘货信息!$A:$A&amp;盘货信息!$B:$B&amp;盘货信息!$C:$C,盘货信息!$R:$R)="","",_xlfn.XLOOKUP(A405&amp;B405&amp;C405,盘货信息!$A:$A&amp;盘货信息!$B:$B&amp;盘货信息!$C:$C,盘货信息!$R:$R)&amp;"元优惠卷"))</f>
        <v/>
      </c>
      <c r="J405" s="18" t="str">
        <f t="array" ref="J405">IF(C405="","",IF(_xlfn.XLOOKUP(A405&amp;B405&amp;C405,盘货信息!$A:$A&amp;盘货信息!$B:$B&amp;盘货信息!$C:$C,盘货信息!$K:$K)="","",IF(OR(_xlfn.XLOOKUP(A405&amp;B405&amp;C405,盘货信息!$A:$A&amp;盘货信息!$B:$B&amp;盘货信息!$C:$C,盘货信息!$G:$G)="参加",_xlfn.XLOOKUP(A405&amp;B405&amp;C405,盘货信息!$A:$A&amp;盘货信息!$B:$B&amp;盘货信息!$C:$C,盘货信息!$H:$H)="1（纯自补）"),_xlfn.XLOOKUP(A405&amp;B405&amp;C405,盘货信息!$A:$A&amp;盘货信息!$B:$B&amp;盘货信息!$C:$C,盘货信息!$K:$K)&amp;"元以旧换新（可无旧机换新）","")))</f>
        <v/>
      </c>
      <c r="K405" s="18" t="str">
        <f t="array" ref="K405">IF(C405="","",IF(_xlfn.XLOOKUP(A405&amp;B405&amp;C405,盘货信息!$A:$A&amp;盘货信息!$B:$B&amp;盘货信息!$C:$C,盘货信息!$L:$L)="","",_xlfn.XLOOKUP(A405&amp;B405&amp;C405,盘货信息!$A:$A&amp;盘货信息!$B:$B&amp;盘货信息!$C:$C,盘货信息!$L:$L)&amp;"元限时补贴"))</f>
        <v/>
      </c>
      <c r="L405" s="18" t="str">
        <f t="array" ref="L405">IF(C405="","",IF(_xlfn.XLOOKUP(A405&amp;B405&amp;C405,盘货信息!$A:$A&amp;盘货信息!$B:$B&amp;盘货信息!$C:$C,盘货信息!$M:$M)="","",_xlfn.XLOOKUP(A405&amp;B405&amp;C405,盘货信息!$A:$A&amp;盘货信息!$B:$B&amp;盘货信息!$C:$C,盘货信息!$M:$M)&amp;"元消费券"))</f>
        <v/>
      </c>
      <c r="M405" s="18" t="str">
        <f t="array" ref="M405">IF(C405="","",IF(_xlfn.XLOOKUP(A405&amp;B405&amp;C405,盘货信息!$A:$A&amp;盘货信息!$B:$B&amp;盘货信息!$C:$C,盘货信息!$G:$G)="不参加","","焕新补贴优惠【全民可用，不限地址】"))</f>
        <v/>
      </c>
    </row>
    <row r="406" customHeight="1" spans="1:13">
      <c r="A406" s="17" t="str">
        <f>IF(盘货信息!A406="","",盘货信息!A406)</f>
        <v/>
      </c>
      <c r="B406" s="17" t="str">
        <f>IF(盘货信息!B406="","",盘货信息!B406)</f>
        <v/>
      </c>
      <c r="C406" s="18" t="str">
        <f>IF(盘货信息!C406="","",盘货信息!C406)</f>
        <v/>
      </c>
      <c r="D406" s="18" t="str">
        <f t="shared" si="6"/>
        <v/>
      </c>
      <c r="E406" s="18" t="str">
        <f t="array" ref="E406">IF(C406="","",IF(_xlfn.XLOOKUP(A406&amp;B406&amp;C406,盘货信息!$A:$A&amp;盘货信息!$B:$B&amp;盘货信息!$C:$C,盘货信息!$N:$N)="","【立减到手价"&amp;_xlfn.XLOOKUP(A406&amp;B406&amp;C406,盘货信息!$A:$A&amp;盘货信息!$B:$B&amp;盘货信息!$C:$C,盘货信息!$F:$F)&amp;"元】","【焕新补贴预估价"&amp;_xlfn.XLOOKUP(A406&amp;B406&amp;C406,盘货信息!$A:$A&amp;盘货信息!$B:$B&amp;盘货信息!$C:$C,盘货信息!$N:$N)&amp;"元】"))</f>
        <v/>
      </c>
      <c r="F406" s="18" t="str">
        <f t="array" ref="F406">IF(C406="","",_xlfn.XLOOKUP(A406&amp;B406&amp;C406,盘货信息!$A:$A&amp;盘货信息!$B:$B&amp;盘货信息!$C:$C,盘货信息!$E:$E)&amp;"元到手价")</f>
        <v/>
      </c>
      <c r="G406" s="18" t="str">
        <f t="array" ref="G406">IF(C406="","",IF(_xlfn.XLOOKUP(A406&amp;B406&amp;C406,盘货信息!$A:$A&amp;盘货信息!$B:$B&amp;盘货信息!$C:$C,盘货信息!$I:$I)="","","88VIP95折"))</f>
        <v/>
      </c>
      <c r="H406" s="18" t="str">
        <f t="array" ref="H406">IF(C406="","",IF(_xlfn.XLOOKUP(A406&amp;B406&amp;C406,盘货信息!$A:$A&amp;盘货信息!$B:$B&amp;盘货信息!$C:$C,盘货信息!$J:$J)="","",_xlfn.XLOOKUP(A406&amp;B406&amp;C406,盘货信息!$A:$A&amp;盘货信息!$B:$B&amp;盘货信息!$C:$C,盘货信息!$J:$J)&amp;"元优惠卷"))</f>
        <v/>
      </c>
      <c r="I406" s="18" t="str">
        <f t="array" ref="I406">IF(C406="","",IF(_xlfn.XLOOKUP(A406&amp;B406&amp;C406,盘货信息!$A:$A&amp;盘货信息!$B:$B&amp;盘货信息!$C:$C,盘货信息!$R:$R)="","",_xlfn.XLOOKUP(A406&amp;B406&amp;C406,盘货信息!$A:$A&amp;盘货信息!$B:$B&amp;盘货信息!$C:$C,盘货信息!$R:$R)&amp;"元优惠卷"))</f>
        <v/>
      </c>
      <c r="J406" s="18" t="str">
        <f t="array" ref="J406">IF(C406="","",IF(_xlfn.XLOOKUP(A406&amp;B406&amp;C406,盘货信息!$A:$A&amp;盘货信息!$B:$B&amp;盘货信息!$C:$C,盘货信息!$K:$K)="","",IF(OR(_xlfn.XLOOKUP(A406&amp;B406&amp;C406,盘货信息!$A:$A&amp;盘货信息!$B:$B&amp;盘货信息!$C:$C,盘货信息!$G:$G)="参加",_xlfn.XLOOKUP(A406&amp;B406&amp;C406,盘货信息!$A:$A&amp;盘货信息!$B:$B&amp;盘货信息!$C:$C,盘货信息!$H:$H)="1（纯自补）"),_xlfn.XLOOKUP(A406&amp;B406&amp;C406,盘货信息!$A:$A&amp;盘货信息!$B:$B&amp;盘货信息!$C:$C,盘货信息!$K:$K)&amp;"元以旧换新（可无旧机换新）","")))</f>
        <v/>
      </c>
      <c r="K406" s="18" t="str">
        <f t="array" ref="K406">IF(C406="","",IF(_xlfn.XLOOKUP(A406&amp;B406&amp;C406,盘货信息!$A:$A&amp;盘货信息!$B:$B&amp;盘货信息!$C:$C,盘货信息!$L:$L)="","",_xlfn.XLOOKUP(A406&amp;B406&amp;C406,盘货信息!$A:$A&amp;盘货信息!$B:$B&amp;盘货信息!$C:$C,盘货信息!$L:$L)&amp;"元限时补贴"))</f>
        <v/>
      </c>
      <c r="L406" s="18" t="str">
        <f t="array" ref="L406">IF(C406="","",IF(_xlfn.XLOOKUP(A406&amp;B406&amp;C406,盘货信息!$A:$A&amp;盘货信息!$B:$B&amp;盘货信息!$C:$C,盘货信息!$M:$M)="","",_xlfn.XLOOKUP(A406&amp;B406&amp;C406,盘货信息!$A:$A&amp;盘货信息!$B:$B&amp;盘货信息!$C:$C,盘货信息!$M:$M)&amp;"元消费券"))</f>
        <v/>
      </c>
      <c r="M406" s="18" t="str">
        <f t="array" ref="M406">IF(C406="","",IF(_xlfn.XLOOKUP(A406&amp;B406&amp;C406,盘货信息!$A:$A&amp;盘货信息!$B:$B&amp;盘货信息!$C:$C,盘货信息!$G:$G)="不参加","","焕新补贴优惠【全民可用，不限地址】"))</f>
        <v/>
      </c>
    </row>
    <row r="407" customHeight="1" spans="1:13">
      <c r="A407" s="17" t="str">
        <f>IF(盘货信息!A407="","",盘货信息!A407)</f>
        <v/>
      </c>
      <c r="B407" s="17" t="str">
        <f>IF(盘货信息!B407="","",盘货信息!B407)</f>
        <v/>
      </c>
      <c r="C407" s="18" t="str">
        <f>IF(盘货信息!C407="","",盘货信息!C407)</f>
        <v/>
      </c>
      <c r="D407" s="18" t="str">
        <f t="shared" si="6"/>
        <v/>
      </c>
      <c r="E407" s="18" t="str">
        <f t="array" ref="E407">IF(C407="","",IF(_xlfn.XLOOKUP(A407&amp;B407&amp;C407,盘货信息!$A:$A&amp;盘货信息!$B:$B&amp;盘货信息!$C:$C,盘货信息!$N:$N)="","【立减到手价"&amp;_xlfn.XLOOKUP(A407&amp;B407&amp;C407,盘货信息!$A:$A&amp;盘货信息!$B:$B&amp;盘货信息!$C:$C,盘货信息!$F:$F)&amp;"元】","【焕新补贴预估价"&amp;_xlfn.XLOOKUP(A407&amp;B407&amp;C407,盘货信息!$A:$A&amp;盘货信息!$B:$B&amp;盘货信息!$C:$C,盘货信息!$N:$N)&amp;"元】"))</f>
        <v/>
      </c>
      <c r="F407" s="18" t="str">
        <f t="array" ref="F407">IF(C407="","",_xlfn.XLOOKUP(A407&amp;B407&amp;C407,盘货信息!$A:$A&amp;盘货信息!$B:$B&amp;盘货信息!$C:$C,盘货信息!$E:$E)&amp;"元到手价")</f>
        <v/>
      </c>
      <c r="G407" s="18" t="str">
        <f t="array" ref="G407">IF(C407="","",IF(_xlfn.XLOOKUP(A407&amp;B407&amp;C407,盘货信息!$A:$A&amp;盘货信息!$B:$B&amp;盘货信息!$C:$C,盘货信息!$I:$I)="","","88VIP95折"))</f>
        <v/>
      </c>
      <c r="H407" s="18" t="str">
        <f t="array" ref="H407">IF(C407="","",IF(_xlfn.XLOOKUP(A407&amp;B407&amp;C407,盘货信息!$A:$A&amp;盘货信息!$B:$B&amp;盘货信息!$C:$C,盘货信息!$J:$J)="","",_xlfn.XLOOKUP(A407&amp;B407&amp;C407,盘货信息!$A:$A&amp;盘货信息!$B:$B&amp;盘货信息!$C:$C,盘货信息!$J:$J)&amp;"元优惠卷"))</f>
        <v/>
      </c>
      <c r="I407" s="18" t="str">
        <f t="array" ref="I407">IF(C407="","",IF(_xlfn.XLOOKUP(A407&amp;B407&amp;C407,盘货信息!$A:$A&amp;盘货信息!$B:$B&amp;盘货信息!$C:$C,盘货信息!$R:$R)="","",_xlfn.XLOOKUP(A407&amp;B407&amp;C407,盘货信息!$A:$A&amp;盘货信息!$B:$B&amp;盘货信息!$C:$C,盘货信息!$R:$R)&amp;"元优惠卷"))</f>
        <v/>
      </c>
      <c r="J407" s="18" t="str">
        <f t="array" ref="J407">IF(C407="","",IF(_xlfn.XLOOKUP(A407&amp;B407&amp;C407,盘货信息!$A:$A&amp;盘货信息!$B:$B&amp;盘货信息!$C:$C,盘货信息!$K:$K)="","",IF(OR(_xlfn.XLOOKUP(A407&amp;B407&amp;C407,盘货信息!$A:$A&amp;盘货信息!$B:$B&amp;盘货信息!$C:$C,盘货信息!$G:$G)="参加",_xlfn.XLOOKUP(A407&amp;B407&amp;C407,盘货信息!$A:$A&amp;盘货信息!$B:$B&amp;盘货信息!$C:$C,盘货信息!$H:$H)="1（纯自补）"),_xlfn.XLOOKUP(A407&amp;B407&amp;C407,盘货信息!$A:$A&amp;盘货信息!$B:$B&amp;盘货信息!$C:$C,盘货信息!$K:$K)&amp;"元以旧换新（可无旧机换新）","")))</f>
        <v/>
      </c>
      <c r="K407" s="18" t="str">
        <f t="array" ref="K407">IF(C407="","",IF(_xlfn.XLOOKUP(A407&amp;B407&amp;C407,盘货信息!$A:$A&amp;盘货信息!$B:$B&amp;盘货信息!$C:$C,盘货信息!$L:$L)="","",_xlfn.XLOOKUP(A407&amp;B407&amp;C407,盘货信息!$A:$A&amp;盘货信息!$B:$B&amp;盘货信息!$C:$C,盘货信息!$L:$L)&amp;"元限时补贴"))</f>
        <v/>
      </c>
      <c r="L407" s="18" t="str">
        <f t="array" ref="L407">IF(C407="","",IF(_xlfn.XLOOKUP(A407&amp;B407&amp;C407,盘货信息!$A:$A&amp;盘货信息!$B:$B&amp;盘货信息!$C:$C,盘货信息!$M:$M)="","",_xlfn.XLOOKUP(A407&amp;B407&amp;C407,盘货信息!$A:$A&amp;盘货信息!$B:$B&amp;盘货信息!$C:$C,盘货信息!$M:$M)&amp;"元消费券"))</f>
        <v/>
      </c>
      <c r="M407" s="18" t="str">
        <f t="array" ref="M407">IF(C407="","",IF(_xlfn.XLOOKUP(A407&amp;B407&amp;C407,盘货信息!$A:$A&amp;盘货信息!$B:$B&amp;盘货信息!$C:$C,盘货信息!$G:$G)="不参加","","焕新补贴优惠【全民可用，不限地址】"))</f>
        <v/>
      </c>
    </row>
    <row r="408" customHeight="1" spans="1:13">
      <c r="A408" s="17" t="str">
        <f>IF(盘货信息!A408="","",盘货信息!A408)</f>
        <v/>
      </c>
      <c r="B408" s="17" t="str">
        <f>IF(盘货信息!B408="","",盘货信息!B408)</f>
        <v/>
      </c>
      <c r="C408" s="18" t="str">
        <f>IF(盘货信息!C408="","",盘货信息!C408)</f>
        <v/>
      </c>
      <c r="D408" s="18" t="str">
        <f t="shared" si="6"/>
        <v/>
      </c>
      <c r="E408" s="18" t="str">
        <f t="array" ref="E408">IF(C408="","",IF(_xlfn.XLOOKUP(A408&amp;B408&amp;C408,盘货信息!$A:$A&amp;盘货信息!$B:$B&amp;盘货信息!$C:$C,盘货信息!$N:$N)="","【立减到手价"&amp;_xlfn.XLOOKUP(A408&amp;B408&amp;C408,盘货信息!$A:$A&amp;盘货信息!$B:$B&amp;盘货信息!$C:$C,盘货信息!$F:$F)&amp;"元】","【焕新补贴预估价"&amp;_xlfn.XLOOKUP(A408&amp;B408&amp;C408,盘货信息!$A:$A&amp;盘货信息!$B:$B&amp;盘货信息!$C:$C,盘货信息!$N:$N)&amp;"元】"))</f>
        <v/>
      </c>
      <c r="F408" s="18" t="str">
        <f t="array" ref="F408">IF(C408="","",_xlfn.XLOOKUP(A408&amp;B408&amp;C408,盘货信息!$A:$A&amp;盘货信息!$B:$B&amp;盘货信息!$C:$C,盘货信息!$E:$E)&amp;"元到手价")</f>
        <v/>
      </c>
      <c r="G408" s="18" t="str">
        <f t="array" ref="G408">IF(C408="","",IF(_xlfn.XLOOKUP(A408&amp;B408&amp;C408,盘货信息!$A:$A&amp;盘货信息!$B:$B&amp;盘货信息!$C:$C,盘货信息!$I:$I)="","","88VIP95折"))</f>
        <v/>
      </c>
      <c r="H408" s="18" t="str">
        <f t="array" ref="H408">IF(C408="","",IF(_xlfn.XLOOKUP(A408&amp;B408&amp;C408,盘货信息!$A:$A&amp;盘货信息!$B:$B&amp;盘货信息!$C:$C,盘货信息!$J:$J)="","",_xlfn.XLOOKUP(A408&amp;B408&amp;C408,盘货信息!$A:$A&amp;盘货信息!$B:$B&amp;盘货信息!$C:$C,盘货信息!$J:$J)&amp;"元优惠卷"))</f>
        <v/>
      </c>
      <c r="I408" s="18" t="str">
        <f t="array" ref="I408">IF(C408="","",IF(_xlfn.XLOOKUP(A408&amp;B408&amp;C408,盘货信息!$A:$A&amp;盘货信息!$B:$B&amp;盘货信息!$C:$C,盘货信息!$R:$R)="","",_xlfn.XLOOKUP(A408&amp;B408&amp;C408,盘货信息!$A:$A&amp;盘货信息!$B:$B&amp;盘货信息!$C:$C,盘货信息!$R:$R)&amp;"元优惠卷"))</f>
        <v/>
      </c>
      <c r="J408" s="18" t="str">
        <f t="array" ref="J408">IF(C408="","",IF(_xlfn.XLOOKUP(A408&amp;B408&amp;C408,盘货信息!$A:$A&amp;盘货信息!$B:$B&amp;盘货信息!$C:$C,盘货信息!$K:$K)="","",IF(OR(_xlfn.XLOOKUP(A408&amp;B408&amp;C408,盘货信息!$A:$A&amp;盘货信息!$B:$B&amp;盘货信息!$C:$C,盘货信息!$G:$G)="参加",_xlfn.XLOOKUP(A408&amp;B408&amp;C408,盘货信息!$A:$A&amp;盘货信息!$B:$B&amp;盘货信息!$C:$C,盘货信息!$H:$H)="1（纯自补）"),_xlfn.XLOOKUP(A408&amp;B408&amp;C408,盘货信息!$A:$A&amp;盘货信息!$B:$B&amp;盘货信息!$C:$C,盘货信息!$K:$K)&amp;"元以旧换新（可无旧机换新）","")))</f>
        <v/>
      </c>
      <c r="K408" s="18" t="str">
        <f t="array" ref="K408">IF(C408="","",IF(_xlfn.XLOOKUP(A408&amp;B408&amp;C408,盘货信息!$A:$A&amp;盘货信息!$B:$B&amp;盘货信息!$C:$C,盘货信息!$L:$L)="","",_xlfn.XLOOKUP(A408&amp;B408&amp;C408,盘货信息!$A:$A&amp;盘货信息!$B:$B&amp;盘货信息!$C:$C,盘货信息!$L:$L)&amp;"元限时补贴"))</f>
        <v/>
      </c>
      <c r="L408" s="18" t="str">
        <f t="array" ref="L408">IF(C408="","",IF(_xlfn.XLOOKUP(A408&amp;B408&amp;C408,盘货信息!$A:$A&amp;盘货信息!$B:$B&amp;盘货信息!$C:$C,盘货信息!$M:$M)="","",_xlfn.XLOOKUP(A408&amp;B408&amp;C408,盘货信息!$A:$A&amp;盘货信息!$B:$B&amp;盘货信息!$C:$C,盘货信息!$M:$M)&amp;"元消费券"))</f>
        <v/>
      </c>
      <c r="M408" s="18" t="str">
        <f t="array" ref="M408">IF(C408="","",IF(_xlfn.XLOOKUP(A408&amp;B408&amp;C408,盘货信息!$A:$A&amp;盘货信息!$B:$B&amp;盘货信息!$C:$C,盘货信息!$G:$G)="不参加","","焕新补贴优惠【全民可用，不限地址】"))</f>
        <v/>
      </c>
    </row>
    <row r="409" customHeight="1" spans="1:13">
      <c r="A409" s="17" t="str">
        <f>IF(盘货信息!A409="","",盘货信息!A409)</f>
        <v/>
      </c>
      <c r="B409" s="17" t="str">
        <f>IF(盘货信息!B409="","",盘货信息!B409)</f>
        <v/>
      </c>
      <c r="C409" s="18" t="str">
        <f>IF(盘货信息!C409="","",盘货信息!C409)</f>
        <v/>
      </c>
      <c r="D409" s="18" t="str">
        <f t="shared" si="6"/>
        <v/>
      </c>
      <c r="E409" s="18" t="str">
        <f t="array" ref="E409">IF(C409="","",IF(_xlfn.XLOOKUP(A409&amp;B409&amp;C409,盘货信息!$A:$A&amp;盘货信息!$B:$B&amp;盘货信息!$C:$C,盘货信息!$N:$N)="","【立减到手价"&amp;_xlfn.XLOOKUP(A409&amp;B409&amp;C409,盘货信息!$A:$A&amp;盘货信息!$B:$B&amp;盘货信息!$C:$C,盘货信息!$F:$F)&amp;"元】","【焕新补贴预估价"&amp;_xlfn.XLOOKUP(A409&amp;B409&amp;C409,盘货信息!$A:$A&amp;盘货信息!$B:$B&amp;盘货信息!$C:$C,盘货信息!$N:$N)&amp;"元】"))</f>
        <v/>
      </c>
      <c r="F409" s="18" t="str">
        <f t="array" ref="F409">IF(C409="","",_xlfn.XLOOKUP(A409&amp;B409&amp;C409,盘货信息!$A:$A&amp;盘货信息!$B:$B&amp;盘货信息!$C:$C,盘货信息!$E:$E)&amp;"元到手价")</f>
        <v/>
      </c>
      <c r="G409" s="18" t="str">
        <f t="array" ref="G409">IF(C409="","",IF(_xlfn.XLOOKUP(A409&amp;B409&amp;C409,盘货信息!$A:$A&amp;盘货信息!$B:$B&amp;盘货信息!$C:$C,盘货信息!$I:$I)="","","88VIP95折"))</f>
        <v/>
      </c>
      <c r="H409" s="18" t="str">
        <f t="array" ref="H409">IF(C409="","",IF(_xlfn.XLOOKUP(A409&amp;B409&amp;C409,盘货信息!$A:$A&amp;盘货信息!$B:$B&amp;盘货信息!$C:$C,盘货信息!$J:$J)="","",_xlfn.XLOOKUP(A409&amp;B409&amp;C409,盘货信息!$A:$A&amp;盘货信息!$B:$B&amp;盘货信息!$C:$C,盘货信息!$J:$J)&amp;"元优惠卷"))</f>
        <v/>
      </c>
      <c r="I409" s="18" t="str">
        <f t="array" ref="I409">IF(C409="","",IF(_xlfn.XLOOKUP(A409&amp;B409&amp;C409,盘货信息!$A:$A&amp;盘货信息!$B:$B&amp;盘货信息!$C:$C,盘货信息!$R:$R)="","",_xlfn.XLOOKUP(A409&amp;B409&amp;C409,盘货信息!$A:$A&amp;盘货信息!$B:$B&amp;盘货信息!$C:$C,盘货信息!$R:$R)&amp;"元优惠卷"))</f>
        <v/>
      </c>
      <c r="J409" s="18" t="str">
        <f t="array" ref="J409">IF(C409="","",IF(_xlfn.XLOOKUP(A409&amp;B409&amp;C409,盘货信息!$A:$A&amp;盘货信息!$B:$B&amp;盘货信息!$C:$C,盘货信息!$K:$K)="","",IF(OR(_xlfn.XLOOKUP(A409&amp;B409&amp;C409,盘货信息!$A:$A&amp;盘货信息!$B:$B&amp;盘货信息!$C:$C,盘货信息!$G:$G)="参加",_xlfn.XLOOKUP(A409&amp;B409&amp;C409,盘货信息!$A:$A&amp;盘货信息!$B:$B&amp;盘货信息!$C:$C,盘货信息!$H:$H)="1（纯自补）"),_xlfn.XLOOKUP(A409&amp;B409&amp;C409,盘货信息!$A:$A&amp;盘货信息!$B:$B&amp;盘货信息!$C:$C,盘货信息!$K:$K)&amp;"元以旧换新（可无旧机换新）","")))</f>
        <v/>
      </c>
      <c r="K409" s="18" t="str">
        <f t="array" ref="K409">IF(C409="","",IF(_xlfn.XLOOKUP(A409&amp;B409&amp;C409,盘货信息!$A:$A&amp;盘货信息!$B:$B&amp;盘货信息!$C:$C,盘货信息!$L:$L)="","",_xlfn.XLOOKUP(A409&amp;B409&amp;C409,盘货信息!$A:$A&amp;盘货信息!$B:$B&amp;盘货信息!$C:$C,盘货信息!$L:$L)&amp;"元限时补贴"))</f>
        <v/>
      </c>
      <c r="L409" s="18" t="str">
        <f t="array" ref="L409">IF(C409="","",IF(_xlfn.XLOOKUP(A409&amp;B409&amp;C409,盘货信息!$A:$A&amp;盘货信息!$B:$B&amp;盘货信息!$C:$C,盘货信息!$M:$M)="","",_xlfn.XLOOKUP(A409&amp;B409&amp;C409,盘货信息!$A:$A&amp;盘货信息!$B:$B&amp;盘货信息!$C:$C,盘货信息!$M:$M)&amp;"元消费券"))</f>
        <v/>
      </c>
      <c r="M409" s="18" t="str">
        <f t="array" ref="M409">IF(C409="","",IF(_xlfn.XLOOKUP(A409&amp;B409&amp;C409,盘货信息!$A:$A&amp;盘货信息!$B:$B&amp;盘货信息!$C:$C,盘货信息!$G:$G)="不参加","","焕新补贴优惠【全民可用，不限地址】"))</f>
        <v/>
      </c>
    </row>
    <row r="410" customHeight="1" spans="1:13">
      <c r="A410" s="17" t="str">
        <f>IF(盘货信息!A410="","",盘货信息!A410)</f>
        <v/>
      </c>
      <c r="B410" s="17" t="str">
        <f>IF(盘货信息!B410="","",盘货信息!B410)</f>
        <v/>
      </c>
      <c r="C410" s="18" t="str">
        <f>IF(盘货信息!C410="","",盘货信息!C410)</f>
        <v/>
      </c>
      <c r="D410" s="18" t="str">
        <f t="shared" si="6"/>
        <v/>
      </c>
      <c r="E410" s="18" t="str">
        <f t="array" ref="E410">IF(C410="","",IF(_xlfn.XLOOKUP(A410&amp;B410&amp;C410,盘货信息!$A:$A&amp;盘货信息!$B:$B&amp;盘货信息!$C:$C,盘货信息!$N:$N)="","【立减到手价"&amp;_xlfn.XLOOKUP(A410&amp;B410&amp;C410,盘货信息!$A:$A&amp;盘货信息!$B:$B&amp;盘货信息!$C:$C,盘货信息!$F:$F)&amp;"元】","【焕新补贴预估价"&amp;_xlfn.XLOOKUP(A410&amp;B410&amp;C410,盘货信息!$A:$A&amp;盘货信息!$B:$B&amp;盘货信息!$C:$C,盘货信息!$N:$N)&amp;"元】"))</f>
        <v/>
      </c>
      <c r="F410" s="18" t="str">
        <f t="array" ref="F410">IF(C410="","",_xlfn.XLOOKUP(A410&amp;B410&amp;C410,盘货信息!$A:$A&amp;盘货信息!$B:$B&amp;盘货信息!$C:$C,盘货信息!$E:$E)&amp;"元到手价")</f>
        <v/>
      </c>
      <c r="G410" s="18" t="str">
        <f t="array" ref="G410">IF(C410="","",IF(_xlfn.XLOOKUP(A410&amp;B410&amp;C410,盘货信息!$A:$A&amp;盘货信息!$B:$B&amp;盘货信息!$C:$C,盘货信息!$I:$I)="","","88VIP95折"))</f>
        <v/>
      </c>
      <c r="H410" s="18" t="str">
        <f t="array" ref="H410">IF(C410="","",IF(_xlfn.XLOOKUP(A410&amp;B410&amp;C410,盘货信息!$A:$A&amp;盘货信息!$B:$B&amp;盘货信息!$C:$C,盘货信息!$J:$J)="","",_xlfn.XLOOKUP(A410&amp;B410&amp;C410,盘货信息!$A:$A&amp;盘货信息!$B:$B&amp;盘货信息!$C:$C,盘货信息!$J:$J)&amp;"元优惠卷"))</f>
        <v/>
      </c>
      <c r="I410" s="18" t="str">
        <f t="array" ref="I410">IF(C410="","",IF(_xlfn.XLOOKUP(A410&amp;B410&amp;C410,盘货信息!$A:$A&amp;盘货信息!$B:$B&amp;盘货信息!$C:$C,盘货信息!$R:$R)="","",_xlfn.XLOOKUP(A410&amp;B410&amp;C410,盘货信息!$A:$A&amp;盘货信息!$B:$B&amp;盘货信息!$C:$C,盘货信息!$R:$R)&amp;"元优惠卷"))</f>
        <v/>
      </c>
      <c r="J410" s="18" t="str">
        <f t="array" ref="J410">IF(C410="","",IF(_xlfn.XLOOKUP(A410&amp;B410&amp;C410,盘货信息!$A:$A&amp;盘货信息!$B:$B&amp;盘货信息!$C:$C,盘货信息!$K:$K)="","",IF(OR(_xlfn.XLOOKUP(A410&amp;B410&amp;C410,盘货信息!$A:$A&amp;盘货信息!$B:$B&amp;盘货信息!$C:$C,盘货信息!$G:$G)="参加",_xlfn.XLOOKUP(A410&amp;B410&amp;C410,盘货信息!$A:$A&amp;盘货信息!$B:$B&amp;盘货信息!$C:$C,盘货信息!$H:$H)="1（纯自补）"),_xlfn.XLOOKUP(A410&amp;B410&amp;C410,盘货信息!$A:$A&amp;盘货信息!$B:$B&amp;盘货信息!$C:$C,盘货信息!$K:$K)&amp;"元以旧换新（可无旧机换新）","")))</f>
        <v/>
      </c>
      <c r="K410" s="18" t="str">
        <f t="array" ref="K410">IF(C410="","",IF(_xlfn.XLOOKUP(A410&amp;B410&amp;C410,盘货信息!$A:$A&amp;盘货信息!$B:$B&amp;盘货信息!$C:$C,盘货信息!$L:$L)="","",_xlfn.XLOOKUP(A410&amp;B410&amp;C410,盘货信息!$A:$A&amp;盘货信息!$B:$B&amp;盘货信息!$C:$C,盘货信息!$L:$L)&amp;"元限时补贴"))</f>
        <v/>
      </c>
      <c r="L410" s="18" t="str">
        <f t="array" ref="L410">IF(C410="","",IF(_xlfn.XLOOKUP(A410&amp;B410&amp;C410,盘货信息!$A:$A&amp;盘货信息!$B:$B&amp;盘货信息!$C:$C,盘货信息!$M:$M)="","",_xlfn.XLOOKUP(A410&amp;B410&amp;C410,盘货信息!$A:$A&amp;盘货信息!$B:$B&amp;盘货信息!$C:$C,盘货信息!$M:$M)&amp;"元消费券"))</f>
        <v/>
      </c>
      <c r="M410" s="18" t="str">
        <f t="array" ref="M410">IF(C410="","",IF(_xlfn.XLOOKUP(A410&amp;B410&amp;C410,盘货信息!$A:$A&amp;盘货信息!$B:$B&amp;盘货信息!$C:$C,盘货信息!$G:$G)="不参加","","焕新补贴优惠【全民可用，不限地址】"))</f>
        <v/>
      </c>
    </row>
    <row r="411" customHeight="1" spans="1:13">
      <c r="A411" s="17" t="str">
        <f>IF(盘货信息!A411="","",盘货信息!A411)</f>
        <v/>
      </c>
      <c r="B411" s="17" t="str">
        <f>IF(盘货信息!B411="","",盘货信息!B411)</f>
        <v/>
      </c>
      <c r="C411" s="18" t="str">
        <f>IF(盘货信息!C411="","",盘货信息!C411)</f>
        <v/>
      </c>
      <c r="D411" s="18" t="str">
        <f t="shared" si="6"/>
        <v/>
      </c>
      <c r="E411" s="18" t="str">
        <f t="array" ref="E411">IF(C411="","",IF(_xlfn.XLOOKUP(A411&amp;B411&amp;C411,盘货信息!$A:$A&amp;盘货信息!$B:$B&amp;盘货信息!$C:$C,盘货信息!$N:$N)="","【立减到手价"&amp;_xlfn.XLOOKUP(A411&amp;B411&amp;C411,盘货信息!$A:$A&amp;盘货信息!$B:$B&amp;盘货信息!$C:$C,盘货信息!$F:$F)&amp;"元】","【焕新补贴预估价"&amp;_xlfn.XLOOKUP(A411&amp;B411&amp;C411,盘货信息!$A:$A&amp;盘货信息!$B:$B&amp;盘货信息!$C:$C,盘货信息!$N:$N)&amp;"元】"))</f>
        <v/>
      </c>
      <c r="F411" s="18" t="str">
        <f t="array" ref="F411">IF(C411="","",_xlfn.XLOOKUP(A411&amp;B411&amp;C411,盘货信息!$A:$A&amp;盘货信息!$B:$B&amp;盘货信息!$C:$C,盘货信息!$E:$E)&amp;"元到手价")</f>
        <v/>
      </c>
      <c r="G411" s="18" t="str">
        <f t="array" ref="G411">IF(C411="","",IF(_xlfn.XLOOKUP(A411&amp;B411&amp;C411,盘货信息!$A:$A&amp;盘货信息!$B:$B&amp;盘货信息!$C:$C,盘货信息!$I:$I)="","","88VIP95折"))</f>
        <v/>
      </c>
      <c r="H411" s="18" t="str">
        <f t="array" ref="H411">IF(C411="","",IF(_xlfn.XLOOKUP(A411&amp;B411&amp;C411,盘货信息!$A:$A&amp;盘货信息!$B:$B&amp;盘货信息!$C:$C,盘货信息!$J:$J)="","",_xlfn.XLOOKUP(A411&amp;B411&amp;C411,盘货信息!$A:$A&amp;盘货信息!$B:$B&amp;盘货信息!$C:$C,盘货信息!$J:$J)&amp;"元优惠卷"))</f>
        <v/>
      </c>
      <c r="I411" s="18" t="str">
        <f t="array" ref="I411">IF(C411="","",IF(_xlfn.XLOOKUP(A411&amp;B411&amp;C411,盘货信息!$A:$A&amp;盘货信息!$B:$B&amp;盘货信息!$C:$C,盘货信息!$R:$R)="","",_xlfn.XLOOKUP(A411&amp;B411&amp;C411,盘货信息!$A:$A&amp;盘货信息!$B:$B&amp;盘货信息!$C:$C,盘货信息!$R:$R)&amp;"元优惠卷"))</f>
        <v/>
      </c>
      <c r="J411" s="18" t="str">
        <f t="array" ref="J411">IF(C411="","",IF(_xlfn.XLOOKUP(A411&amp;B411&amp;C411,盘货信息!$A:$A&amp;盘货信息!$B:$B&amp;盘货信息!$C:$C,盘货信息!$K:$K)="","",IF(OR(_xlfn.XLOOKUP(A411&amp;B411&amp;C411,盘货信息!$A:$A&amp;盘货信息!$B:$B&amp;盘货信息!$C:$C,盘货信息!$G:$G)="参加",_xlfn.XLOOKUP(A411&amp;B411&amp;C411,盘货信息!$A:$A&amp;盘货信息!$B:$B&amp;盘货信息!$C:$C,盘货信息!$H:$H)="1（纯自补）"),_xlfn.XLOOKUP(A411&amp;B411&amp;C411,盘货信息!$A:$A&amp;盘货信息!$B:$B&amp;盘货信息!$C:$C,盘货信息!$K:$K)&amp;"元以旧换新（可无旧机换新）","")))</f>
        <v/>
      </c>
      <c r="K411" s="18" t="str">
        <f t="array" ref="K411">IF(C411="","",IF(_xlfn.XLOOKUP(A411&amp;B411&amp;C411,盘货信息!$A:$A&amp;盘货信息!$B:$B&amp;盘货信息!$C:$C,盘货信息!$L:$L)="","",_xlfn.XLOOKUP(A411&amp;B411&amp;C411,盘货信息!$A:$A&amp;盘货信息!$B:$B&amp;盘货信息!$C:$C,盘货信息!$L:$L)&amp;"元限时补贴"))</f>
        <v/>
      </c>
      <c r="L411" s="18" t="str">
        <f t="array" ref="L411">IF(C411="","",IF(_xlfn.XLOOKUP(A411&amp;B411&amp;C411,盘货信息!$A:$A&amp;盘货信息!$B:$B&amp;盘货信息!$C:$C,盘货信息!$M:$M)="","",_xlfn.XLOOKUP(A411&amp;B411&amp;C411,盘货信息!$A:$A&amp;盘货信息!$B:$B&amp;盘货信息!$C:$C,盘货信息!$M:$M)&amp;"元消费券"))</f>
        <v/>
      </c>
      <c r="M411" s="18" t="str">
        <f t="array" ref="M411">IF(C411="","",IF(_xlfn.XLOOKUP(A411&amp;B411&amp;C411,盘货信息!$A:$A&amp;盘货信息!$B:$B&amp;盘货信息!$C:$C,盘货信息!$G:$G)="不参加","","焕新补贴优惠【全民可用，不限地址】"))</f>
        <v/>
      </c>
    </row>
    <row r="412" customHeight="1" spans="1:13">
      <c r="A412" s="17" t="str">
        <f>IF(盘货信息!A412="","",盘货信息!A412)</f>
        <v/>
      </c>
      <c r="B412" s="17" t="str">
        <f>IF(盘货信息!B412="","",盘货信息!B412)</f>
        <v/>
      </c>
      <c r="C412" s="18" t="str">
        <f>IF(盘货信息!C412="","",盘货信息!C412)</f>
        <v/>
      </c>
      <c r="D412" s="18" t="str">
        <f t="shared" si="6"/>
        <v/>
      </c>
      <c r="E412" s="18" t="str">
        <f t="array" ref="E412">IF(C412="","",IF(_xlfn.XLOOKUP(A412&amp;B412&amp;C412,盘货信息!$A:$A&amp;盘货信息!$B:$B&amp;盘货信息!$C:$C,盘货信息!$N:$N)="","【立减到手价"&amp;_xlfn.XLOOKUP(A412&amp;B412&amp;C412,盘货信息!$A:$A&amp;盘货信息!$B:$B&amp;盘货信息!$C:$C,盘货信息!$F:$F)&amp;"元】","【焕新补贴预估价"&amp;_xlfn.XLOOKUP(A412&amp;B412&amp;C412,盘货信息!$A:$A&amp;盘货信息!$B:$B&amp;盘货信息!$C:$C,盘货信息!$N:$N)&amp;"元】"))</f>
        <v/>
      </c>
      <c r="F412" s="18" t="str">
        <f t="array" ref="F412">IF(C412="","",_xlfn.XLOOKUP(A412&amp;B412&amp;C412,盘货信息!$A:$A&amp;盘货信息!$B:$B&amp;盘货信息!$C:$C,盘货信息!$E:$E)&amp;"元到手价")</f>
        <v/>
      </c>
      <c r="G412" s="18" t="str">
        <f t="array" ref="G412">IF(C412="","",IF(_xlfn.XLOOKUP(A412&amp;B412&amp;C412,盘货信息!$A:$A&amp;盘货信息!$B:$B&amp;盘货信息!$C:$C,盘货信息!$I:$I)="","","88VIP95折"))</f>
        <v/>
      </c>
      <c r="H412" s="18" t="str">
        <f t="array" ref="H412">IF(C412="","",IF(_xlfn.XLOOKUP(A412&amp;B412&amp;C412,盘货信息!$A:$A&amp;盘货信息!$B:$B&amp;盘货信息!$C:$C,盘货信息!$J:$J)="","",_xlfn.XLOOKUP(A412&amp;B412&amp;C412,盘货信息!$A:$A&amp;盘货信息!$B:$B&amp;盘货信息!$C:$C,盘货信息!$J:$J)&amp;"元优惠卷"))</f>
        <v/>
      </c>
      <c r="I412" s="18" t="str">
        <f t="array" ref="I412">IF(C412="","",IF(_xlfn.XLOOKUP(A412&amp;B412&amp;C412,盘货信息!$A:$A&amp;盘货信息!$B:$B&amp;盘货信息!$C:$C,盘货信息!$R:$R)="","",_xlfn.XLOOKUP(A412&amp;B412&amp;C412,盘货信息!$A:$A&amp;盘货信息!$B:$B&amp;盘货信息!$C:$C,盘货信息!$R:$R)&amp;"元优惠卷"))</f>
        <v/>
      </c>
      <c r="J412" s="18" t="str">
        <f t="array" ref="J412">IF(C412="","",IF(_xlfn.XLOOKUP(A412&amp;B412&amp;C412,盘货信息!$A:$A&amp;盘货信息!$B:$B&amp;盘货信息!$C:$C,盘货信息!$K:$K)="","",IF(OR(_xlfn.XLOOKUP(A412&amp;B412&amp;C412,盘货信息!$A:$A&amp;盘货信息!$B:$B&amp;盘货信息!$C:$C,盘货信息!$G:$G)="参加",_xlfn.XLOOKUP(A412&amp;B412&amp;C412,盘货信息!$A:$A&amp;盘货信息!$B:$B&amp;盘货信息!$C:$C,盘货信息!$H:$H)="1（纯自补）"),_xlfn.XLOOKUP(A412&amp;B412&amp;C412,盘货信息!$A:$A&amp;盘货信息!$B:$B&amp;盘货信息!$C:$C,盘货信息!$K:$K)&amp;"元以旧换新（可无旧机换新）","")))</f>
        <v/>
      </c>
      <c r="K412" s="18" t="str">
        <f t="array" ref="K412">IF(C412="","",IF(_xlfn.XLOOKUP(A412&amp;B412&amp;C412,盘货信息!$A:$A&amp;盘货信息!$B:$B&amp;盘货信息!$C:$C,盘货信息!$L:$L)="","",_xlfn.XLOOKUP(A412&amp;B412&amp;C412,盘货信息!$A:$A&amp;盘货信息!$B:$B&amp;盘货信息!$C:$C,盘货信息!$L:$L)&amp;"元限时补贴"))</f>
        <v/>
      </c>
      <c r="L412" s="18" t="str">
        <f t="array" ref="L412">IF(C412="","",IF(_xlfn.XLOOKUP(A412&amp;B412&amp;C412,盘货信息!$A:$A&amp;盘货信息!$B:$B&amp;盘货信息!$C:$C,盘货信息!$M:$M)="","",_xlfn.XLOOKUP(A412&amp;B412&amp;C412,盘货信息!$A:$A&amp;盘货信息!$B:$B&amp;盘货信息!$C:$C,盘货信息!$M:$M)&amp;"元消费券"))</f>
        <v/>
      </c>
      <c r="M412" s="18" t="str">
        <f t="array" ref="M412">IF(C412="","",IF(_xlfn.XLOOKUP(A412&amp;B412&amp;C412,盘货信息!$A:$A&amp;盘货信息!$B:$B&amp;盘货信息!$C:$C,盘货信息!$G:$G)="不参加","","焕新补贴优惠【全民可用，不限地址】"))</f>
        <v/>
      </c>
    </row>
    <row r="413" customHeight="1" spans="1:13">
      <c r="A413" s="17" t="str">
        <f>IF(盘货信息!A413="","",盘货信息!A413)</f>
        <v/>
      </c>
      <c r="B413" s="17" t="str">
        <f>IF(盘货信息!B413="","",盘货信息!B413)</f>
        <v/>
      </c>
      <c r="C413" s="18" t="str">
        <f>IF(盘货信息!C413="","",盘货信息!C413)</f>
        <v/>
      </c>
      <c r="D413" s="18" t="str">
        <f t="shared" si="6"/>
        <v/>
      </c>
      <c r="E413" s="18" t="str">
        <f t="array" ref="E413">IF(C413="","",IF(_xlfn.XLOOKUP(A413&amp;B413&amp;C413,盘货信息!$A:$A&amp;盘货信息!$B:$B&amp;盘货信息!$C:$C,盘货信息!$N:$N)="","【立减到手价"&amp;_xlfn.XLOOKUP(A413&amp;B413&amp;C413,盘货信息!$A:$A&amp;盘货信息!$B:$B&amp;盘货信息!$C:$C,盘货信息!$F:$F)&amp;"元】","【焕新补贴预估价"&amp;_xlfn.XLOOKUP(A413&amp;B413&amp;C413,盘货信息!$A:$A&amp;盘货信息!$B:$B&amp;盘货信息!$C:$C,盘货信息!$N:$N)&amp;"元】"))</f>
        <v/>
      </c>
      <c r="F413" s="18" t="str">
        <f t="array" ref="F413">IF(C413="","",_xlfn.XLOOKUP(A413&amp;B413&amp;C413,盘货信息!$A:$A&amp;盘货信息!$B:$B&amp;盘货信息!$C:$C,盘货信息!$E:$E)&amp;"元到手价")</f>
        <v/>
      </c>
      <c r="G413" s="18" t="str">
        <f t="array" ref="G413">IF(C413="","",IF(_xlfn.XLOOKUP(A413&amp;B413&amp;C413,盘货信息!$A:$A&amp;盘货信息!$B:$B&amp;盘货信息!$C:$C,盘货信息!$I:$I)="","","88VIP95折"))</f>
        <v/>
      </c>
      <c r="H413" s="18" t="str">
        <f t="array" ref="H413">IF(C413="","",IF(_xlfn.XLOOKUP(A413&amp;B413&amp;C413,盘货信息!$A:$A&amp;盘货信息!$B:$B&amp;盘货信息!$C:$C,盘货信息!$J:$J)="","",_xlfn.XLOOKUP(A413&amp;B413&amp;C413,盘货信息!$A:$A&amp;盘货信息!$B:$B&amp;盘货信息!$C:$C,盘货信息!$J:$J)&amp;"元优惠卷"))</f>
        <v/>
      </c>
      <c r="I413" s="18" t="str">
        <f t="array" ref="I413">IF(C413="","",IF(_xlfn.XLOOKUP(A413&amp;B413&amp;C413,盘货信息!$A:$A&amp;盘货信息!$B:$B&amp;盘货信息!$C:$C,盘货信息!$R:$R)="","",_xlfn.XLOOKUP(A413&amp;B413&amp;C413,盘货信息!$A:$A&amp;盘货信息!$B:$B&amp;盘货信息!$C:$C,盘货信息!$R:$R)&amp;"元优惠卷"))</f>
        <v/>
      </c>
      <c r="J413" s="18" t="str">
        <f t="array" ref="J413">IF(C413="","",IF(_xlfn.XLOOKUP(A413&amp;B413&amp;C413,盘货信息!$A:$A&amp;盘货信息!$B:$B&amp;盘货信息!$C:$C,盘货信息!$K:$K)="","",IF(OR(_xlfn.XLOOKUP(A413&amp;B413&amp;C413,盘货信息!$A:$A&amp;盘货信息!$B:$B&amp;盘货信息!$C:$C,盘货信息!$G:$G)="参加",_xlfn.XLOOKUP(A413&amp;B413&amp;C413,盘货信息!$A:$A&amp;盘货信息!$B:$B&amp;盘货信息!$C:$C,盘货信息!$H:$H)="1（纯自补）"),_xlfn.XLOOKUP(A413&amp;B413&amp;C413,盘货信息!$A:$A&amp;盘货信息!$B:$B&amp;盘货信息!$C:$C,盘货信息!$K:$K)&amp;"元以旧换新（可无旧机换新）","")))</f>
        <v/>
      </c>
      <c r="K413" s="18" t="str">
        <f t="array" ref="K413">IF(C413="","",IF(_xlfn.XLOOKUP(A413&amp;B413&amp;C413,盘货信息!$A:$A&amp;盘货信息!$B:$B&amp;盘货信息!$C:$C,盘货信息!$L:$L)="","",_xlfn.XLOOKUP(A413&amp;B413&amp;C413,盘货信息!$A:$A&amp;盘货信息!$B:$B&amp;盘货信息!$C:$C,盘货信息!$L:$L)&amp;"元限时补贴"))</f>
        <v/>
      </c>
      <c r="L413" s="18" t="str">
        <f t="array" ref="L413">IF(C413="","",IF(_xlfn.XLOOKUP(A413&amp;B413&amp;C413,盘货信息!$A:$A&amp;盘货信息!$B:$B&amp;盘货信息!$C:$C,盘货信息!$M:$M)="","",_xlfn.XLOOKUP(A413&amp;B413&amp;C413,盘货信息!$A:$A&amp;盘货信息!$B:$B&amp;盘货信息!$C:$C,盘货信息!$M:$M)&amp;"元消费券"))</f>
        <v/>
      </c>
      <c r="M413" s="18" t="str">
        <f t="array" ref="M413">IF(C413="","",IF(_xlfn.XLOOKUP(A413&amp;B413&amp;C413,盘货信息!$A:$A&amp;盘货信息!$B:$B&amp;盘货信息!$C:$C,盘货信息!$G:$G)="不参加","","焕新补贴优惠【全民可用，不限地址】"))</f>
        <v/>
      </c>
    </row>
    <row r="414" customHeight="1" spans="1:13">
      <c r="A414" s="17" t="str">
        <f>IF(盘货信息!A414="","",盘货信息!A414)</f>
        <v/>
      </c>
      <c r="B414" s="17" t="str">
        <f>IF(盘货信息!B414="","",盘货信息!B414)</f>
        <v/>
      </c>
      <c r="C414" s="18" t="str">
        <f>IF(盘货信息!C414="","",盘货信息!C414)</f>
        <v/>
      </c>
      <c r="D414" s="18" t="str">
        <f t="shared" si="6"/>
        <v/>
      </c>
      <c r="E414" s="18" t="str">
        <f t="array" ref="E414">IF(C414="","",IF(_xlfn.XLOOKUP(A414&amp;B414&amp;C414,盘货信息!$A:$A&amp;盘货信息!$B:$B&amp;盘货信息!$C:$C,盘货信息!$N:$N)="","【立减到手价"&amp;_xlfn.XLOOKUP(A414&amp;B414&amp;C414,盘货信息!$A:$A&amp;盘货信息!$B:$B&amp;盘货信息!$C:$C,盘货信息!$F:$F)&amp;"元】","【焕新补贴预估价"&amp;_xlfn.XLOOKUP(A414&amp;B414&amp;C414,盘货信息!$A:$A&amp;盘货信息!$B:$B&amp;盘货信息!$C:$C,盘货信息!$N:$N)&amp;"元】"))</f>
        <v/>
      </c>
      <c r="F414" s="18" t="str">
        <f t="array" ref="F414">IF(C414="","",_xlfn.XLOOKUP(A414&amp;B414&amp;C414,盘货信息!$A:$A&amp;盘货信息!$B:$B&amp;盘货信息!$C:$C,盘货信息!$E:$E)&amp;"元到手价")</f>
        <v/>
      </c>
      <c r="G414" s="18" t="str">
        <f t="array" ref="G414">IF(C414="","",IF(_xlfn.XLOOKUP(A414&amp;B414&amp;C414,盘货信息!$A:$A&amp;盘货信息!$B:$B&amp;盘货信息!$C:$C,盘货信息!$I:$I)="","","88VIP95折"))</f>
        <v/>
      </c>
      <c r="H414" s="18" t="str">
        <f t="array" ref="H414">IF(C414="","",IF(_xlfn.XLOOKUP(A414&amp;B414&amp;C414,盘货信息!$A:$A&amp;盘货信息!$B:$B&amp;盘货信息!$C:$C,盘货信息!$J:$J)="","",_xlfn.XLOOKUP(A414&amp;B414&amp;C414,盘货信息!$A:$A&amp;盘货信息!$B:$B&amp;盘货信息!$C:$C,盘货信息!$J:$J)&amp;"元优惠卷"))</f>
        <v/>
      </c>
      <c r="I414" s="18" t="str">
        <f t="array" ref="I414">IF(C414="","",IF(_xlfn.XLOOKUP(A414&amp;B414&amp;C414,盘货信息!$A:$A&amp;盘货信息!$B:$B&amp;盘货信息!$C:$C,盘货信息!$R:$R)="","",_xlfn.XLOOKUP(A414&amp;B414&amp;C414,盘货信息!$A:$A&amp;盘货信息!$B:$B&amp;盘货信息!$C:$C,盘货信息!$R:$R)&amp;"元优惠卷"))</f>
        <v/>
      </c>
      <c r="J414" s="18" t="str">
        <f t="array" ref="J414">IF(C414="","",IF(_xlfn.XLOOKUP(A414&amp;B414&amp;C414,盘货信息!$A:$A&amp;盘货信息!$B:$B&amp;盘货信息!$C:$C,盘货信息!$K:$K)="","",IF(OR(_xlfn.XLOOKUP(A414&amp;B414&amp;C414,盘货信息!$A:$A&amp;盘货信息!$B:$B&amp;盘货信息!$C:$C,盘货信息!$G:$G)="参加",_xlfn.XLOOKUP(A414&amp;B414&amp;C414,盘货信息!$A:$A&amp;盘货信息!$B:$B&amp;盘货信息!$C:$C,盘货信息!$H:$H)="1（纯自补）"),_xlfn.XLOOKUP(A414&amp;B414&amp;C414,盘货信息!$A:$A&amp;盘货信息!$B:$B&amp;盘货信息!$C:$C,盘货信息!$K:$K)&amp;"元以旧换新（可无旧机换新）","")))</f>
        <v/>
      </c>
      <c r="K414" s="18" t="str">
        <f t="array" ref="K414">IF(C414="","",IF(_xlfn.XLOOKUP(A414&amp;B414&amp;C414,盘货信息!$A:$A&amp;盘货信息!$B:$B&amp;盘货信息!$C:$C,盘货信息!$L:$L)="","",_xlfn.XLOOKUP(A414&amp;B414&amp;C414,盘货信息!$A:$A&amp;盘货信息!$B:$B&amp;盘货信息!$C:$C,盘货信息!$L:$L)&amp;"元限时补贴"))</f>
        <v/>
      </c>
      <c r="L414" s="18" t="str">
        <f t="array" ref="L414">IF(C414="","",IF(_xlfn.XLOOKUP(A414&amp;B414&amp;C414,盘货信息!$A:$A&amp;盘货信息!$B:$B&amp;盘货信息!$C:$C,盘货信息!$M:$M)="","",_xlfn.XLOOKUP(A414&amp;B414&amp;C414,盘货信息!$A:$A&amp;盘货信息!$B:$B&amp;盘货信息!$C:$C,盘货信息!$M:$M)&amp;"元消费券"))</f>
        <v/>
      </c>
      <c r="M414" s="18" t="str">
        <f t="array" ref="M414">IF(C414="","",IF(_xlfn.XLOOKUP(A414&amp;B414&amp;C414,盘货信息!$A:$A&amp;盘货信息!$B:$B&amp;盘货信息!$C:$C,盘货信息!$G:$G)="不参加","","焕新补贴优惠【全民可用，不限地址】"))</f>
        <v/>
      </c>
    </row>
    <row r="415" customHeight="1" spans="1:13">
      <c r="A415" s="17" t="str">
        <f>IF(盘货信息!A415="","",盘货信息!A415)</f>
        <v/>
      </c>
      <c r="B415" s="17" t="str">
        <f>IF(盘货信息!B415="","",盘货信息!B415)</f>
        <v/>
      </c>
      <c r="C415" s="18" t="str">
        <f>IF(盘货信息!C415="","",盘货信息!C415)</f>
        <v/>
      </c>
      <c r="D415" s="18" t="str">
        <f t="shared" si="6"/>
        <v/>
      </c>
      <c r="E415" s="18" t="str">
        <f t="array" ref="E415">IF(C415="","",IF(_xlfn.XLOOKUP(A415&amp;B415&amp;C415,盘货信息!$A:$A&amp;盘货信息!$B:$B&amp;盘货信息!$C:$C,盘货信息!$N:$N)="","【立减到手价"&amp;_xlfn.XLOOKUP(A415&amp;B415&amp;C415,盘货信息!$A:$A&amp;盘货信息!$B:$B&amp;盘货信息!$C:$C,盘货信息!$F:$F)&amp;"元】","【焕新补贴预估价"&amp;_xlfn.XLOOKUP(A415&amp;B415&amp;C415,盘货信息!$A:$A&amp;盘货信息!$B:$B&amp;盘货信息!$C:$C,盘货信息!$N:$N)&amp;"元】"))</f>
        <v/>
      </c>
      <c r="F415" s="18" t="str">
        <f t="array" ref="F415">IF(C415="","",_xlfn.XLOOKUP(A415&amp;B415&amp;C415,盘货信息!$A:$A&amp;盘货信息!$B:$B&amp;盘货信息!$C:$C,盘货信息!$E:$E)&amp;"元到手价")</f>
        <v/>
      </c>
      <c r="G415" s="18" t="str">
        <f t="array" ref="G415">IF(C415="","",IF(_xlfn.XLOOKUP(A415&amp;B415&amp;C415,盘货信息!$A:$A&amp;盘货信息!$B:$B&amp;盘货信息!$C:$C,盘货信息!$I:$I)="","","88VIP95折"))</f>
        <v/>
      </c>
      <c r="H415" s="18" t="str">
        <f t="array" ref="H415">IF(C415="","",IF(_xlfn.XLOOKUP(A415&amp;B415&amp;C415,盘货信息!$A:$A&amp;盘货信息!$B:$B&amp;盘货信息!$C:$C,盘货信息!$J:$J)="","",_xlfn.XLOOKUP(A415&amp;B415&amp;C415,盘货信息!$A:$A&amp;盘货信息!$B:$B&amp;盘货信息!$C:$C,盘货信息!$J:$J)&amp;"元优惠卷"))</f>
        <v/>
      </c>
      <c r="I415" s="18" t="str">
        <f t="array" ref="I415">IF(C415="","",IF(_xlfn.XLOOKUP(A415&amp;B415&amp;C415,盘货信息!$A:$A&amp;盘货信息!$B:$B&amp;盘货信息!$C:$C,盘货信息!$R:$R)="","",_xlfn.XLOOKUP(A415&amp;B415&amp;C415,盘货信息!$A:$A&amp;盘货信息!$B:$B&amp;盘货信息!$C:$C,盘货信息!$R:$R)&amp;"元优惠卷"))</f>
        <v/>
      </c>
      <c r="J415" s="18" t="str">
        <f t="array" ref="J415">IF(C415="","",IF(_xlfn.XLOOKUP(A415&amp;B415&amp;C415,盘货信息!$A:$A&amp;盘货信息!$B:$B&amp;盘货信息!$C:$C,盘货信息!$K:$K)="","",IF(OR(_xlfn.XLOOKUP(A415&amp;B415&amp;C415,盘货信息!$A:$A&amp;盘货信息!$B:$B&amp;盘货信息!$C:$C,盘货信息!$G:$G)="参加",_xlfn.XLOOKUP(A415&amp;B415&amp;C415,盘货信息!$A:$A&amp;盘货信息!$B:$B&amp;盘货信息!$C:$C,盘货信息!$H:$H)="1（纯自补）"),_xlfn.XLOOKUP(A415&amp;B415&amp;C415,盘货信息!$A:$A&amp;盘货信息!$B:$B&amp;盘货信息!$C:$C,盘货信息!$K:$K)&amp;"元以旧换新（可无旧机换新）","")))</f>
        <v/>
      </c>
      <c r="K415" s="18" t="str">
        <f t="array" ref="K415">IF(C415="","",IF(_xlfn.XLOOKUP(A415&amp;B415&amp;C415,盘货信息!$A:$A&amp;盘货信息!$B:$B&amp;盘货信息!$C:$C,盘货信息!$L:$L)="","",_xlfn.XLOOKUP(A415&amp;B415&amp;C415,盘货信息!$A:$A&amp;盘货信息!$B:$B&amp;盘货信息!$C:$C,盘货信息!$L:$L)&amp;"元限时补贴"))</f>
        <v/>
      </c>
      <c r="L415" s="18" t="str">
        <f t="array" ref="L415">IF(C415="","",IF(_xlfn.XLOOKUP(A415&amp;B415&amp;C415,盘货信息!$A:$A&amp;盘货信息!$B:$B&amp;盘货信息!$C:$C,盘货信息!$M:$M)="","",_xlfn.XLOOKUP(A415&amp;B415&amp;C415,盘货信息!$A:$A&amp;盘货信息!$B:$B&amp;盘货信息!$C:$C,盘货信息!$M:$M)&amp;"元消费券"))</f>
        <v/>
      </c>
      <c r="M415" s="18" t="str">
        <f t="array" ref="M415">IF(C415="","",IF(_xlfn.XLOOKUP(A415&amp;B415&amp;C415,盘货信息!$A:$A&amp;盘货信息!$B:$B&amp;盘货信息!$C:$C,盘货信息!$G:$G)="不参加","","焕新补贴优惠【全民可用，不限地址】"))</f>
        <v/>
      </c>
    </row>
    <row r="416" customHeight="1" spans="1:13">
      <c r="A416" s="17" t="str">
        <f>IF(盘货信息!A416="","",盘货信息!A416)</f>
        <v/>
      </c>
      <c r="B416" s="17" t="str">
        <f>IF(盘货信息!B416="","",盘货信息!B416)</f>
        <v/>
      </c>
      <c r="C416" s="18" t="str">
        <f>IF(盘货信息!C416="","",盘货信息!C416)</f>
        <v/>
      </c>
      <c r="D416" s="18" t="str">
        <f t="shared" si="6"/>
        <v/>
      </c>
      <c r="E416" s="18" t="str">
        <f t="array" ref="E416">IF(C416="","",IF(_xlfn.XLOOKUP(A416&amp;B416&amp;C416,盘货信息!$A:$A&amp;盘货信息!$B:$B&amp;盘货信息!$C:$C,盘货信息!$N:$N)="","【立减到手价"&amp;_xlfn.XLOOKUP(A416&amp;B416&amp;C416,盘货信息!$A:$A&amp;盘货信息!$B:$B&amp;盘货信息!$C:$C,盘货信息!$F:$F)&amp;"元】","【焕新补贴预估价"&amp;_xlfn.XLOOKUP(A416&amp;B416&amp;C416,盘货信息!$A:$A&amp;盘货信息!$B:$B&amp;盘货信息!$C:$C,盘货信息!$N:$N)&amp;"元】"))</f>
        <v/>
      </c>
      <c r="F416" s="18" t="str">
        <f t="array" ref="F416">IF(C416="","",_xlfn.XLOOKUP(A416&amp;B416&amp;C416,盘货信息!$A:$A&amp;盘货信息!$B:$B&amp;盘货信息!$C:$C,盘货信息!$E:$E)&amp;"元到手价")</f>
        <v/>
      </c>
      <c r="G416" s="18" t="str">
        <f t="array" ref="G416">IF(C416="","",IF(_xlfn.XLOOKUP(A416&amp;B416&amp;C416,盘货信息!$A:$A&amp;盘货信息!$B:$B&amp;盘货信息!$C:$C,盘货信息!$I:$I)="","","88VIP95折"))</f>
        <v/>
      </c>
      <c r="H416" s="18" t="str">
        <f t="array" ref="H416">IF(C416="","",IF(_xlfn.XLOOKUP(A416&amp;B416&amp;C416,盘货信息!$A:$A&amp;盘货信息!$B:$B&amp;盘货信息!$C:$C,盘货信息!$J:$J)="","",_xlfn.XLOOKUP(A416&amp;B416&amp;C416,盘货信息!$A:$A&amp;盘货信息!$B:$B&amp;盘货信息!$C:$C,盘货信息!$J:$J)&amp;"元优惠卷"))</f>
        <v/>
      </c>
      <c r="I416" s="18" t="str">
        <f t="array" ref="I416">IF(C416="","",IF(_xlfn.XLOOKUP(A416&amp;B416&amp;C416,盘货信息!$A:$A&amp;盘货信息!$B:$B&amp;盘货信息!$C:$C,盘货信息!$R:$R)="","",_xlfn.XLOOKUP(A416&amp;B416&amp;C416,盘货信息!$A:$A&amp;盘货信息!$B:$B&amp;盘货信息!$C:$C,盘货信息!$R:$R)&amp;"元优惠卷"))</f>
        <v/>
      </c>
      <c r="J416" s="18" t="str">
        <f t="array" ref="J416">IF(C416="","",IF(_xlfn.XLOOKUP(A416&amp;B416&amp;C416,盘货信息!$A:$A&amp;盘货信息!$B:$B&amp;盘货信息!$C:$C,盘货信息!$K:$K)="","",IF(OR(_xlfn.XLOOKUP(A416&amp;B416&amp;C416,盘货信息!$A:$A&amp;盘货信息!$B:$B&amp;盘货信息!$C:$C,盘货信息!$G:$G)="参加",_xlfn.XLOOKUP(A416&amp;B416&amp;C416,盘货信息!$A:$A&amp;盘货信息!$B:$B&amp;盘货信息!$C:$C,盘货信息!$H:$H)="1（纯自补）"),_xlfn.XLOOKUP(A416&amp;B416&amp;C416,盘货信息!$A:$A&amp;盘货信息!$B:$B&amp;盘货信息!$C:$C,盘货信息!$K:$K)&amp;"元以旧换新（可无旧机换新）","")))</f>
        <v/>
      </c>
      <c r="K416" s="18" t="str">
        <f t="array" ref="K416">IF(C416="","",IF(_xlfn.XLOOKUP(A416&amp;B416&amp;C416,盘货信息!$A:$A&amp;盘货信息!$B:$B&amp;盘货信息!$C:$C,盘货信息!$L:$L)="","",_xlfn.XLOOKUP(A416&amp;B416&amp;C416,盘货信息!$A:$A&amp;盘货信息!$B:$B&amp;盘货信息!$C:$C,盘货信息!$L:$L)&amp;"元限时补贴"))</f>
        <v/>
      </c>
      <c r="L416" s="18" t="str">
        <f t="array" ref="L416">IF(C416="","",IF(_xlfn.XLOOKUP(A416&amp;B416&amp;C416,盘货信息!$A:$A&amp;盘货信息!$B:$B&amp;盘货信息!$C:$C,盘货信息!$M:$M)="","",_xlfn.XLOOKUP(A416&amp;B416&amp;C416,盘货信息!$A:$A&amp;盘货信息!$B:$B&amp;盘货信息!$C:$C,盘货信息!$M:$M)&amp;"元消费券"))</f>
        <v/>
      </c>
      <c r="M416" s="18" t="str">
        <f t="array" ref="M416">IF(C416="","",IF(_xlfn.XLOOKUP(A416&amp;B416&amp;C416,盘货信息!$A:$A&amp;盘货信息!$B:$B&amp;盘货信息!$C:$C,盘货信息!$G:$G)="不参加","","焕新补贴优惠【全民可用，不限地址】"))</f>
        <v/>
      </c>
    </row>
    <row r="417" customHeight="1" spans="1:13">
      <c r="A417" s="17" t="str">
        <f>IF(盘货信息!A417="","",盘货信息!A417)</f>
        <v/>
      </c>
      <c r="B417" s="17" t="str">
        <f>IF(盘货信息!B417="","",盘货信息!B417)</f>
        <v/>
      </c>
      <c r="C417" s="18" t="str">
        <f>IF(盘货信息!C417="","",盘货信息!C417)</f>
        <v/>
      </c>
      <c r="D417" s="18" t="str">
        <f t="shared" si="6"/>
        <v/>
      </c>
      <c r="E417" s="18" t="str">
        <f t="array" ref="E417">IF(C417="","",IF(_xlfn.XLOOKUP(A417&amp;B417&amp;C417,盘货信息!$A:$A&amp;盘货信息!$B:$B&amp;盘货信息!$C:$C,盘货信息!$N:$N)="","【立减到手价"&amp;_xlfn.XLOOKUP(A417&amp;B417&amp;C417,盘货信息!$A:$A&amp;盘货信息!$B:$B&amp;盘货信息!$C:$C,盘货信息!$F:$F)&amp;"元】","【焕新补贴预估价"&amp;_xlfn.XLOOKUP(A417&amp;B417&amp;C417,盘货信息!$A:$A&amp;盘货信息!$B:$B&amp;盘货信息!$C:$C,盘货信息!$N:$N)&amp;"元】"))</f>
        <v/>
      </c>
      <c r="F417" s="18" t="str">
        <f t="array" ref="F417">IF(C417="","",_xlfn.XLOOKUP(A417&amp;B417&amp;C417,盘货信息!$A:$A&amp;盘货信息!$B:$B&amp;盘货信息!$C:$C,盘货信息!$E:$E)&amp;"元到手价")</f>
        <v/>
      </c>
      <c r="G417" s="18" t="str">
        <f t="array" ref="G417">IF(C417="","",IF(_xlfn.XLOOKUP(A417&amp;B417&amp;C417,盘货信息!$A:$A&amp;盘货信息!$B:$B&amp;盘货信息!$C:$C,盘货信息!$I:$I)="","","88VIP95折"))</f>
        <v/>
      </c>
      <c r="H417" s="18" t="str">
        <f t="array" ref="H417">IF(C417="","",IF(_xlfn.XLOOKUP(A417&amp;B417&amp;C417,盘货信息!$A:$A&amp;盘货信息!$B:$B&amp;盘货信息!$C:$C,盘货信息!$J:$J)="","",_xlfn.XLOOKUP(A417&amp;B417&amp;C417,盘货信息!$A:$A&amp;盘货信息!$B:$B&amp;盘货信息!$C:$C,盘货信息!$J:$J)&amp;"元优惠卷"))</f>
        <v/>
      </c>
      <c r="I417" s="18" t="str">
        <f t="array" ref="I417">IF(C417="","",IF(_xlfn.XLOOKUP(A417&amp;B417&amp;C417,盘货信息!$A:$A&amp;盘货信息!$B:$B&amp;盘货信息!$C:$C,盘货信息!$R:$R)="","",_xlfn.XLOOKUP(A417&amp;B417&amp;C417,盘货信息!$A:$A&amp;盘货信息!$B:$B&amp;盘货信息!$C:$C,盘货信息!$R:$R)&amp;"元优惠卷"))</f>
        <v/>
      </c>
      <c r="J417" s="18" t="str">
        <f t="array" ref="J417">IF(C417="","",IF(_xlfn.XLOOKUP(A417&amp;B417&amp;C417,盘货信息!$A:$A&amp;盘货信息!$B:$B&amp;盘货信息!$C:$C,盘货信息!$K:$K)="","",IF(OR(_xlfn.XLOOKUP(A417&amp;B417&amp;C417,盘货信息!$A:$A&amp;盘货信息!$B:$B&amp;盘货信息!$C:$C,盘货信息!$G:$G)="参加",_xlfn.XLOOKUP(A417&amp;B417&amp;C417,盘货信息!$A:$A&amp;盘货信息!$B:$B&amp;盘货信息!$C:$C,盘货信息!$H:$H)="1（纯自补）"),_xlfn.XLOOKUP(A417&amp;B417&amp;C417,盘货信息!$A:$A&amp;盘货信息!$B:$B&amp;盘货信息!$C:$C,盘货信息!$K:$K)&amp;"元以旧换新（可无旧机换新）","")))</f>
        <v/>
      </c>
      <c r="K417" s="18" t="str">
        <f t="array" ref="K417">IF(C417="","",IF(_xlfn.XLOOKUP(A417&amp;B417&amp;C417,盘货信息!$A:$A&amp;盘货信息!$B:$B&amp;盘货信息!$C:$C,盘货信息!$L:$L)="","",_xlfn.XLOOKUP(A417&amp;B417&amp;C417,盘货信息!$A:$A&amp;盘货信息!$B:$B&amp;盘货信息!$C:$C,盘货信息!$L:$L)&amp;"元限时补贴"))</f>
        <v/>
      </c>
      <c r="L417" s="18" t="str">
        <f t="array" ref="L417">IF(C417="","",IF(_xlfn.XLOOKUP(A417&amp;B417&amp;C417,盘货信息!$A:$A&amp;盘货信息!$B:$B&amp;盘货信息!$C:$C,盘货信息!$M:$M)="","",_xlfn.XLOOKUP(A417&amp;B417&amp;C417,盘货信息!$A:$A&amp;盘货信息!$B:$B&amp;盘货信息!$C:$C,盘货信息!$M:$M)&amp;"元消费券"))</f>
        <v/>
      </c>
      <c r="M417" s="18" t="str">
        <f t="array" ref="M417">IF(C417="","",IF(_xlfn.XLOOKUP(A417&amp;B417&amp;C417,盘货信息!$A:$A&amp;盘货信息!$B:$B&amp;盘货信息!$C:$C,盘货信息!$G:$G)="不参加","","焕新补贴优惠【全民可用，不限地址】"))</f>
        <v/>
      </c>
    </row>
    <row r="418" customHeight="1" spans="1:13">
      <c r="A418" s="17" t="str">
        <f>IF(盘货信息!A418="","",盘货信息!A418)</f>
        <v/>
      </c>
      <c r="B418" s="17" t="str">
        <f>IF(盘货信息!B418="","",盘货信息!B418)</f>
        <v/>
      </c>
      <c r="C418" s="18" t="str">
        <f>IF(盘货信息!C418="","",盘货信息!C418)</f>
        <v/>
      </c>
      <c r="D418" s="18" t="str">
        <f t="shared" si="6"/>
        <v/>
      </c>
      <c r="E418" s="18" t="str">
        <f t="array" ref="E418">IF(C418="","",IF(_xlfn.XLOOKUP(A418&amp;B418&amp;C418,盘货信息!$A:$A&amp;盘货信息!$B:$B&amp;盘货信息!$C:$C,盘货信息!$N:$N)="","【立减到手价"&amp;_xlfn.XLOOKUP(A418&amp;B418&amp;C418,盘货信息!$A:$A&amp;盘货信息!$B:$B&amp;盘货信息!$C:$C,盘货信息!$F:$F)&amp;"元】","【焕新补贴预估价"&amp;_xlfn.XLOOKUP(A418&amp;B418&amp;C418,盘货信息!$A:$A&amp;盘货信息!$B:$B&amp;盘货信息!$C:$C,盘货信息!$N:$N)&amp;"元】"))</f>
        <v/>
      </c>
      <c r="F418" s="18" t="str">
        <f t="array" ref="F418">IF(C418="","",_xlfn.XLOOKUP(A418&amp;B418&amp;C418,盘货信息!$A:$A&amp;盘货信息!$B:$B&amp;盘货信息!$C:$C,盘货信息!$E:$E)&amp;"元到手价")</f>
        <v/>
      </c>
      <c r="G418" s="18" t="str">
        <f t="array" ref="G418">IF(C418="","",IF(_xlfn.XLOOKUP(A418&amp;B418&amp;C418,盘货信息!$A:$A&amp;盘货信息!$B:$B&amp;盘货信息!$C:$C,盘货信息!$I:$I)="","","88VIP95折"))</f>
        <v/>
      </c>
      <c r="H418" s="18" t="str">
        <f t="array" ref="H418">IF(C418="","",IF(_xlfn.XLOOKUP(A418&amp;B418&amp;C418,盘货信息!$A:$A&amp;盘货信息!$B:$B&amp;盘货信息!$C:$C,盘货信息!$J:$J)="","",_xlfn.XLOOKUP(A418&amp;B418&amp;C418,盘货信息!$A:$A&amp;盘货信息!$B:$B&amp;盘货信息!$C:$C,盘货信息!$J:$J)&amp;"元优惠卷"))</f>
        <v/>
      </c>
      <c r="I418" s="18" t="str">
        <f t="array" ref="I418">IF(C418="","",IF(_xlfn.XLOOKUP(A418&amp;B418&amp;C418,盘货信息!$A:$A&amp;盘货信息!$B:$B&amp;盘货信息!$C:$C,盘货信息!$R:$R)="","",_xlfn.XLOOKUP(A418&amp;B418&amp;C418,盘货信息!$A:$A&amp;盘货信息!$B:$B&amp;盘货信息!$C:$C,盘货信息!$R:$R)&amp;"元优惠卷"))</f>
        <v/>
      </c>
      <c r="J418" s="18" t="str">
        <f t="array" ref="J418">IF(C418="","",IF(_xlfn.XLOOKUP(A418&amp;B418&amp;C418,盘货信息!$A:$A&amp;盘货信息!$B:$B&amp;盘货信息!$C:$C,盘货信息!$K:$K)="","",IF(OR(_xlfn.XLOOKUP(A418&amp;B418&amp;C418,盘货信息!$A:$A&amp;盘货信息!$B:$B&amp;盘货信息!$C:$C,盘货信息!$G:$G)="参加",_xlfn.XLOOKUP(A418&amp;B418&amp;C418,盘货信息!$A:$A&amp;盘货信息!$B:$B&amp;盘货信息!$C:$C,盘货信息!$H:$H)="1（纯自补）"),_xlfn.XLOOKUP(A418&amp;B418&amp;C418,盘货信息!$A:$A&amp;盘货信息!$B:$B&amp;盘货信息!$C:$C,盘货信息!$K:$K)&amp;"元以旧换新（可无旧机换新）","")))</f>
        <v/>
      </c>
      <c r="K418" s="18" t="str">
        <f t="array" ref="K418">IF(C418="","",IF(_xlfn.XLOOKUP(A418&amp;B418&amp;C418,盘货信息!$A:$A&amp;盘货信息!$B:$B&amp;盘货信息!$C:$C,盘货信息!$L:$L)="","",_xlfn.XLOOKUP(A418&amp;B418&amp;C418,盘货信息!$A:$A&amp;盘货信息!$B:$B&amp;盘货信息!$C:$C,盘货信息!$L:$L)&amp;"元限时补贴"))</f>
        <v/>
      </c>
      <c r="L418" s="18" t="str">
        <f t="array" ref="L418">IF(C418="","",IF(_xlfn.XLOOKUP(A418&amp;B418&amp;C418,盘货信息!$A:$A&amp;盘货信息!$B:$B&amp;盘货信息!$C:$C,盘货信息!$M:$M)="","",_xlfn.XLOOKUP(A418&amp;B418&amp;C418,盘货信息!$A:$A&amp;盘货信息!$B:$B&amp;盘货信息!$C:$C,盘货信息!$M:$M)&amp;"元消费券"))</f>
        <v/>
      </c>
      <c r="M418" s="18" t="str">
        <f t="array" ref="M418">IF(C418="","",IF(_xlfn.XLOOKUP(A418&amp;B418&amp;C418,盘货信息!$A:$A&amp;盘货信息!$B:$B&amp;盘货信息!$C:$C,盘货信息!$G:$G)="不参加","","焕新补贴优惠【全民可用，不限地址】"))</f>
        <v/>
      </c>
    </row>
    <row r="419" customHeight="1" spans="1:13">
      <c r="A419" s="17" t="str">
        <f>IF(盘货信息!A419="","",盘货信息!A419)</f>
        <v/>
      </c>
      <c r="B419" s="17" t="str">
        <f>IF(盘货信息!B419="","",盘货信息!B419)</f>
        <v/>
      </c>
      <c r="C419" s="18" t="str">
        <f>IF(盘货信息!C419="","",盘货信息!C419)</f>
        <v/>
      </c>
      <c r="D419" s="18" t="str">
        <f t="shared" si="6"/>
        <v/>
      </c>
      <c r="E419" s="18" t="str">
        <f t="array" ref="E419">IF(C419="","",IF(_xlfn.XLOOKUP(A419&amp;B419&amp;C419,盘货信息!$A:$A&amp;盘货信息!$B:$B&amp;盘货信息!$C:$C,盘货信息!$N:$N)="","【立减到手价"&amp;_xlfn.XLOOKUP(A419&amp;B419&amp;C419,盘货信息!$A:$A&amp;盘货信息!$B:$B&amp;盘货信息!$C:$C,盘货信息!$F:$F)&amp;"元】","【焕新补贴预估价"&amp;_xlfn.XLOOKUP(A419&amp;B419&amp;C419,盘货信息!$A:$A&amp;盘货信息!$B:$B&amp;盘货信息!$C:$C,盘货信息!$N:$N)&amp;"元】"))</f>
        <v/>
      </c>
      <c r="F419" s="18" t="str">
        <f t="array" ref="F419">IF(C419="","",_xlfn.XLOOKUP(A419&amp;B419&amp;C419,盘货信息!$A:$A&amp;盘货信息!$B:$B&amp;盘货信息!$C:$C,盘货信息!$E:$E)&amp;"元到手价")</f>
        <v/>
      </c>
      <c r="G419" s="18" t="str">
        <f t="array" ref="G419">IF(C419="","",IF(_xlfn.XLOOKUP(A419&amp;B419&amp;C419,盘货信息!$A:$A&amp;盘货信息!$B:$B&amp;盘货信息!$C:$C,盘货信息!$I:$I)="","","88VIP95折"))</f>
        <v/>
      </c>
      <c r="H419" s="18" t="str">
        <f t="array" ref="H419">IF(C419="","",IF(_xlfn.XLOOKUP(A419&amp;B419&amp;C419,盘货信息!$A:$A&amp;盘货信息!$B:$B&amp;盘货信息!$C:$C,盘货信息!$J:$J)="","",_xlfn.XLOOKUP(A419&amp;B419&amp;C419,盘货信息!$A:$A&amp;盘货信息!$B:$B&amp;盘货信息!$C:$C,盘货信息!$J:$J)&amp;"元优惠卷"))</f>
        <v/>
      </c>
      <c r="I419" s="18" t="str">
        <f t="array" ref="I419">IF(C419="","",IF(_xlfn.XLOOKUP(A419&amp;B419&amp;C419,盘货信息!$A:$A&amp;盘货信息!$B:$B&amp;盘货信息!$C:$C,盘货信息!$R:$R)="","",_xlfn.XLOOKUP(A419&amp;B419&amp;C419,盘货信息!$A:$A&amp;盘货信息!$B:$B&amp;盘货信息!$C:$C,盘货信息!$R:$R)&amp;"元优惠卷"))</f>
        <v/>
      </c>
      <c r="J419" s="18" t="str">
        <f t="array" ref="J419">IF(C419="","",IF(_xlfn.XLOOKUP(A419&amp;B419&amp;C419,盘货信息!$A:$A&amp;盘货信息!$B:$B&amp;盘货信息!$C:$C,盘货信息!$K:$K)="","",IF(OR(_xlfn.XLOOKUP(A419&amp;B419&amp;C419,盘货信息!$A:$A&amp;盘货信息!$B:$B&amp;盘货信息!$C:$C,盘货信息!$G:$G)="参加",_xlfn.XLOOKUP(A419&amp;B419&amp;C419,盘货信息!$A:$A&amp;盘货信息!$B:$B&amp;盘货信息!$C:$C,盘货信息!$H:$H)="1（纯自补）"),_xlfn.XLOOKUP(A419&amp;B419&amp;C419,盘货信息!$A:$A&amp;盘货信息!$B:$B&amp;盘货信息!$C:$C,盘货信息!$K:$K)&amp;"元以旧换新（可无旧机换新）","")))</f>
        <v/>
      </c>
      <c r="K419" s="18" t="str">
        <f t="array" ref="K419">IF(C419="","",IF(_xlfn.XLOOKUP(A419&amp;B419&amp;C419,盘货信息!$A:$A&amp;盘货信息!$B:$B&amp;盘货信息!$C:$C,盘货信息!$L:$L)="","",_xlfn.XLOOKUP(A419&amp;B419&amp;C419,盘货信息!$A:$A&amp;盘货信息!$B:$B&amp;盘货信息!$C:$C,盘货信息!$L:$L)&amp;"元限时补贴"))</f>
        <v/>
      </c>
      <c r="L419" s="18" t="str">
        <f t="array" ref="L419">IF(C419="","",IF(_xlfn.XLOOKUP(A419&amp;B419&amp;C419,盘货信息!$A:$A&amp;盘货信息!$B:$B&amp;盘货信息!$C:$C,盘货信息!$M:$M)="","",_xlfn.XLOOKUP(A419&amp;B419&amp;C419,盘货信息!$A:$A&amp;盘货信息!$B:$B&amp;盘货信息!$C:$C,盘货信息!$M:$M)&amp;"元消费券"))</f>
        <v/>
      </c>
      <c r="M419" s="18" t="str">
        <f t="array" ref="M419">IF(C419="","",IF(_xlfn.XLOOKUP(A419&amp;B419&amp;C419,盘货信息!$A:$A&amp;盘货信息!$B:$B&amp;盘货信息!$C:$C,盘货信息!$G:$G)="不参加","","焕新补贴优惠【全民可用，不限地址】"))</f>
        <v/>
      </c>
    </row>
    <row r="420" customHeight="1" spans="1:13">
      <c r="A420" s="17" t="str">
        <f>IF(盘货信息!A420="","",盘货信息!A420)</f>
        <v/>
      </c>
      <c r="B420" s="17" t="str">
        <f>IF(盘货信息!B420="","",盘货信息!B420)</f>
        <v/>
      </c>
      <c r="C420" s="18" t="str">
        <f>IF(盘货信息!C420="","",盘货信息!C420)</f>
        <v/>
      </c>
      <c r="D420" s="18" t="str">
        <f t="shared" si="6"/>
        <v/>
      </c>
      <c r="E420" s="18" t="str">
        <f t="array" ref="E420">IF(C420="","",IF(_xlfn.XLOOKUP(A420&amp;B420&amp;C420,盘货信息!$A:$A&amp;盘货信息!$B:$B&amp;盘货信息!$C:$C,盘货信息!$N:$N)="","【立减到手价"&amp;_xlfn.XLOOKUP(A420&amp;B420&amp;C420,盘货信息!$A:$A&amp;盘货信息!$B:$B&amp;盘货信息!$C:$C,盘货信息!$F:$F)&amp;"元】","【焕新补贴预估价"&amp;_xlfn.XLOOKUP(A420&amp;B420&amp;C420,盘货信息!$A:$A&amp;盘货信息!$B:$B&amp;盘货信息!$C:$C,盘货信息!$N:$N)&amp;"元】"))</f>
        <v/>
      </c>
      <c r="F420" s="18" t="str">
        <f t="array" ref="F420">IF(C420="","",_xlfn.XLOOKUP(A420&amp;B420&amp;C420,盘货信息!$A:$A&amp;盘货信息!$B:$B&amp;盘货信息!$C:$C,盘货信息!$E:$E)&amp;"元到手价")</f>
        <v/>
      </c>
      <c r="G420" s="18" t="str">
        <f t="array" ref="G420">IF(C420="","",IF(_xlfn.XLOOKUP(A420&amp;B420&amp;C420,盘货信息!$A:$A&amp;盘货信息!$B:$B&amp;盘货信息!$C:$C,盘货信息!$I:$I)="","","88VIP95折"))</f>
        <v/>
      </c>
      <c r="H420" s="18" t="str">
        <f t="array" ref="H420">IF(C420="","",IF(_xlfn.XLOOKUP(A420&amp;B420&amp;C420,盘货信息!$A:$A&amp;盘货信息!$B:$B&amp;盘货信息!$C:$C,盘货信息!$J:$J)="","",_xlfn.XLOOKUP(A420&amp;B420&amp;C420,盘货信息!$A:$A&amp;盘货信息!$B:$B&amp;盘货信息!$C:$C,盘货信息!$J:$J)&amp;"元优惠卷"))</f>
        <v/>
      </c>
      <c r="I420" s="18" t="str">
        <f t="array" ref="I420">IF(C420="","",IF(_xlfn.XLOOKUP(A420&amp;B420&amp;C420,盘货信息!$A:$A&amp;盘货信息!$B:$B&amp;盘货信息!$C:$C,盘货信息!$R:$R)="","",_xlfn.XLOOKUP(A420&amp;B420&amp;C420,盘货信息!$A:$A&amp;盘货信息!$B:$B&amp;盘货信息!$C:$C,盘货信息!$R:$R)&amp;"元优惠卷"))</f>
        <v/>
      </c>
      <c r="J420" s="18" t="str">
        <f t="array" ref="J420">IF(C420="","",IF(_xlfn.XLOOKUP(A420&amp;B420&amp;C420,盘货信息!$A:$A&amp;盘货信息!$B:$B&amp;盘货信息!$C:$C,盘货信息!$K:$K)="","",IF(OR(_xlfn.XLOOKUP(A420&amp;B420&amp;C420,盘货信息!$A:$A&amp;盘货信息!$B:$B&amp;盘货信息!$C:$C,盘货信息!$G:$G)="参加",_xlfn.XLOOKUP(A420&amp;B420&amp;C420,盘货信息!$A:$A&amp;盘货信息!$B:$B&amp;盘货信息!$C:$C,盘货信息!$H:$H)="1（纯自补）"),_xlfn.XLOOKUP(A420&amp;B420&amp;C420,盘货信息!$A:$A&amp;盘货信息!$B:$B&amp;盘货信息!$C:$C,盘货信息!$K:$K)&amp;"元以旧换新（可无旧机换新）","")))</f>
        <v/>
      </c>
      <c r="K420" s="18" t="str">
        <f t="array" ref="K420">IF(C420="","",IF(_xlfn.XLOOKUP(A420&amp;B420&amp;C420,盘货信息!$A:$A&amp;盘货信息!$B:$B&amp;盘货信息!$C:$C,盘货信息!$L:$L)="","",_xlfn.XLOOKUP(A420&amp;B420&amp;C420,盘货信息!$A:$A&amp;盘货信息!$B:$B&amp;盘货信息!$C:$C,盘货信息!$L:$L)&amp;"元限时补贴"))</f>
        <v/>
      </c>
      <c r="L420" s="18" t="str">
        <f t="array" ref="L420">IF(C420="","",IF(_xlfn.XLOOKUP(A420&amp;B420&amp;C420,盘货信息!$A:$A&amp;盘货信息!$B:$B&amp;盘货信息!$C:$C,盘货信息!$M:$M)="","",_xlfn.XLOOKUP(A420&amp;B420&amp;C420,盘货信息!$A:$A&amp;盘货信息!$B:$B&amp;盘货信息!$C:$C,盘货信息!$M:$M)&amp;"元消费券"))</f>
        <v/>
      </c>
      <c r="M420" s="18" t="str">
        <f t="array" ref="M420">IF(C420="","",IF(_xlfn.XLOOKUP(A420&amp;B420&amp;C420,盘货信息!$A:$A&amp;盘货信息!$B:$B&amp;盘货信息!$C:$C,盘货信息!$G:$G)="不参加","","焕新补贴优惠【全民可用，不限地址】"))</f>
        <v/>
      </c>
    </row>
    <row r="421" customHeight="1" spans="1:13">
      <c r="A421" s="17" t="str">
        <f>IF(盘货信息!A421="","",盘货信息!A421)</f>
        <v/>
      </c>
      <c r="B421" s="17" t="str">
        <f>IF(盘货信息!B421="","",盘货信息!B421)</f>
        <v/>
      </c>
      <c r="C421" s="18" t="str">
        <f>IF(盘货信息!C421="","",盘货信息!C421)</f>
        <v/>
      </c>
      <c r="D421" s="18" t="str">
        <f t="shared" si="6"/>
        <v/>
      </c>
      <c r="E421" s="18" t="str">
        <f t="array" ref="E421">IF(C421="","",IF(_xlfn.XLOOKUP(A421&amp;B421&amp;C421,盘货信息!$A:$A&amp;盘货信息!$B:$B&amp;盘货信息!$C:$C,盘货信息!$N:$N)="","【立减到手价"&amp;_xlfn.XLOOKUP(A421&amp;B421&amp;C421,盘货信息!$A:$A&amp;盘货信息!$B:$B&amp;盘货信息!$C:$C,盘货信息!$F:$F)&amp;"元】","【焕新补贴预估价"&amp;_xlfn.XLOOKUP(A421&amp;B421&amp;C421,盘货信息!$A:$A&amp;盘货信息!$B:$B&amp;盘货信息!$C:$C,盘货信息!$N:$N)&amp;"元】"))</f>
        <v/>
      </c>
      <c r="F421" s="18" t="str">
        <f t="array" ref="F421">IF(C421="","",_xlfn.XLOOKUP(A421&amp;B421&amp;C421,盘货信息!$A:$A&amp;盘货信息!$B:$B&amp;盘货信息!$C:$C,盘货信息!$E:$E)&amp;"元到手价")</f>
        <v/>
      </c>
      <c r="G421" s="18" t="str">
        <f t="array" ref="G421">IF(C421="","",IF(_xlfn.XLOOKUP(A421&amp;B421&amp;C421,盘货信息!$A:$A&amp;盘货信息!$B:$B&amp;盘货信息!$C:$C,盘货信息!$I:$I)="","","88VIP95折"))</f>
        <v/>
      </c>
      <c r="H421" s="18" t="str">
        <f t="array" ref="H421">IF(C421="","",IF(_xlfn.XLOOKUP(A421&amp;B421&amp;C421,盘货信息!$A:$A&amp;盘货信息!$B:$B&amp;盘货信息!$C:$C,盘货信息!$J:$J)="","",_xlfn.XLOOKUP(A421&amp;B421&amp;C421,盘货信息!$A:$A&amp;盘货信息!$B:$B&amp;盘货信息!$C:$C,盘货信息!$J:$J)&amp;"元优惠卷"))</f>
        <v/>
      </c>
      <c r="I421" s="18" t="str">
        <f t="array" ref="I421">IF(C421="","",IF(_xlfn.XLOOKUP(A421&amp;B421&amp;C421,盘货信息!$A:$A&amp;盘货信息!$B:$B&amp;盘货信息!$C:$C,盘货信息!$R:$R)="","",_xlfn.XLOOKUP(A421&amp;B421&amp;C421,盘货信息!$A:$A&amp;盘货信息!$B:$B&amp;盘货信息!$C:$C,盘货信息!$R:$R)&amp;"元优惠卷"))</f>
        <v/>
      </c>
      <c r="J421" s="18" t="str">
        <f t="array" ref="J421">IF(C421="","",IF(_xlfn.XLOOKUP(A421&amp;B421&amp;C421,盘货信息!$A:$A&amp;盘货信息!$B:$B&amp;盘货信息!$C:$C,盘货信息!$K:$K)="","",IF(OR(_xlfn.XLOOKUP(A421&amp;B421&amp;C421,盘货信息!$A:$A&amp;盘货信息!$B:$B&amp;盘货信息!$C:$C,盘货信息!$G:$G)="参加",_xlfn.XLOOKUP(A421&amp;B421&amp;C421,盘货信息!$A:$A&amp;盘货信息!$B:$B&amp;盘货信息!$C:$C,盘货信息!$H:$H)="1（纯自补）"),_xlfn.XLOOKUP(A421&amp;B421&amp;C421,盘货信息!$A:$A&amp;盘货信息!$B:$B&amp;盘货信息!$C:$C,盘货信息!$K:$K)&amp;"元以旧换新（可无旧机换新）","")))</f>
        <v/>
      </c>
      <c r="K421" s="18" t="str">
        <f t="array" ref="K421">IF(C421="","",IF(_xlfn.XLOOKUP(A421&amp;B421&amp;C421,盘货信息!$A:$A&amp;盘货信息!$B:$B&amp;盘货信息!$C:$C,盘货信息!$L:$L)="","",_xlfn.XLOOKUP(A421&amp;B421&amp;C421,盘货信息!$A:$A&amp;盘货信息!$B:$B&amp;盘货信息!$C:$C,盘货信息!$L:$L)&amp;"元限时补贴"))</f>
        <v/>
      </c>
      <c r="L421" s="18" t="str">
        <f t="array" ref="L421">IF(C421="","",IF(_xlfn.XLOOKUP(A421&amp;B421&amp;C421,盘货信息!$A:$A&amp;盘货信息!$B:$B&amp;盘货信息!$C:$C,盘货信息!$M:$M)="","",_xlfn.XLOOKUP(A421&amp;B421&amp;C421,盘货信息!$A:$A&amp;盘货信息!$B:$B&amp;盘货信息!$C:$C,盘货信息!$M:$M)&amp;"元消费券"))</f>
        <v/>
      </c>
      <c r="M421" s="18" t="str">
        <f t="array" ref="M421">IF(C421="","",IF(_xlfn.XLOOKUP(A421&amp;B421&amp;C421,盘货信息!$A:$A&amp;盘货信息!$B:$B&amp;盘货信息!$C:$C,盘货信息!$G:$G)="不参加","","焕新补贴优惠【全民可用，不限地址】"))</f>
        <v/>
      </c>
    </row>
    <row r="422" customHeight="1" spans="1:13">
      <c r="A422" s="17" t="str">
        <f>IF(盘货信息!A422="","",盘货信息!A422)</f>
        <v/>
      </c>
      <c r="B422" s="17" t="str">
        <f>IF(盘货信息!B422="","",盘货信息!B422)</f>
        <v/>
      </c>
      <c r="C422" s="18" t="str">
        <f>IF(盘货信息!C422="","",盘货信息!C422)</f>
        <v/>
      </c>
      <c r="D422" s="18" t="str">
        <f t="shared" si="6"/>
        <v/>
      </c>
      <c r="E422" s="18" t="str">
        <f t="array" ref="E422">IF(C422="","",IF(_xlfn.XLOOKUP(A422&amp;B422&amp;C422,盘货信息!$A:$A&amp;盘货信息!$B:$B&amp;盘货信息!$C:$C,盘货信息!$N:$N)="","【立减到手价"&amp;_xlfn.XLOOKUP(A422&amp;B422&amp;C422,盘货信息!$A:$A&amp;盘货信息!$B:$B&amp;盘货信息!$C:$C,盘货信息!$F:$F)&amp;"元】","【焕新补贴预估价"&amp;_xlfn.XLOOKUP(A422&amp;B422&amp;C422,盘货信息!$A:$A&amp;盘货信息!$B:$B&amp;盘货信息!$C:$C,盘货信息!$N:$N)&amp;"元】"))</f>
        <v/>
      </c>
      <c r="F422" s="18" t="str">
        <f t="array" ref="F422">IF(C422="","",_xlfn.XLOOKUP(A422&amp;B422&amp;C422,盘货信息!$A:$A&amp;盘货信息!$B:$B&amp;盘货信息!$C:$C,盘货信息!$E:$E)&amp;"元到手价")</f>
        <v/>
      </c>
      <c r="G422" s="18" t="str">
        <f t="array" ref="G422">IF(C422="","",IF(_xlfn.XLOOKUP(A422&amp;B422&amp;C422,盘货信息!$A:$A&amp;盘货信息!$B:$B&amp;盘货信息!$C:$C,盘货信息!$I:$I)="","","88VIP95折"))</f>
        <v/>
      </c>
      <c r="H422" s="18" t="str">
        <f t="array" ref="H422">IF(C422="","",IF(_xlfn.XLOOKUP(A422&amp;B422&amp;C422,盘货信息!$A:$A&amp;盘货信息!$B:$B&amp;盘货信息!$C:$C,盘货信息!$J:$J)="","",_xlfn.XLOOKUP(A422&amp;B422&amp;C422,盘货信息!$A:$A&amp;盘货信息!$B:$B&amp;盘货信息!$C:$C,盘货信息!$J:$J)&amp;"元优惠卷"))</f>
        <v/>
      </c>
      <c r="I422" s="18" t="str">
        <f t="array" ref="I422">IF(C422="","",IF(_xlfn.XLOOKUP(A422&amp;B422&amp;C422,盘货信息!$A:$A&amp;盘货信息!$B:$B&amp;盘货信息!$C:$C,盘货信息!$R:$R)="","",_xlfn.XLOOKUP(A422&amp;B422&amp;C422,盘货信息!$A:$A&amp;盘货信息!$B:$B&amp;盘货信息!$C:$C,盘货信息!$R:$R)&amp;"元优惠卷"))</f>
        <v/>
      </c>
      <c r="J422" s="18" t="str">
        <f t="array" ref="J422">IF(C422="","",IF(_xlfn.XLOOKUP(A422&amp;B422&amp;C422,盘货信息!$A:$A&amp;盘货信息!$B:$B&amp;盘货信息!$C:$C,盘货信息!$K:$K)="","",IF(OR(_xlfn.XLOOKUP(A422&amp;B422&amp;C422,盘货信息!$A:$A&amp;盘货信息!$B:$B&amp;盘货信息!$C:$C,盘货信息!$G:$G)="参加",_xlfn.XLOOKUP(A422&amp;B422&amp;C422,盘货信息!$A:$A&amp;盘货信息!$B:$B&amp;盘货信息!$C:$C,盘货信息!$H:$H)="1（纯自补）"),_xlfn.XLOOKUP(A422&amp;B422&amp;C422,盘货信息!$A:$A&amp;盘货信息!$B:$B&amp;盘货信息!$C:$C,盘货信息!$K:$K)&amp;"元以旧换新（可无旧机换新）","")))</f>
        <v/>
      </c>
      <c r="K422" s="18" t="str">
        <f t="array" ref="K422">IF(C422="","",IF(_xlfn.XLOOKUP(A422&amp;B422&amp;C422,盘货信息!$A:$A&amp;盘货信息!$B:$B&amp;盘货信息!$C:$C,盘货信息!$L:$L)="","",_xlfn.XLOOKUP(A422&amp;B422&amp;C422,盘货信息!$A:$A&amp;盘货信息!$B:$B&amp;盘货信息!$C:$C,盘货信息!$L:$L)&amp;"元限时补贴"))</f>
        <v/>
      </c>
      <c r="L422" s="18" t="str">
        <f t="array" ref="L422">IF(C422="","",IF(_xlfn.XLOOKUP(A422&amp;B422&amp;C422,盘货信息!$A:$A&amp;盘货信息!$B:$B&amp;盘货信息!$C:$C,盘货信息!$M:$M)="","",_xlfn.XLOOKUP(A422&amp;B422&amp;C422,盘货信息!$A:$A&amp;盘货信息!$B:$B&amp;盘货信息!$C:$C,盘货信息!$M:$M)&amp;"元消费券"))</f>
        <v/>
      </c>
      <c r="M422" s="18" t="str">
        <f t="array" ref="M422">IF(C422="","",IF(_xlfn.XLOOKUP(A422&amp;B422&amp;C422,盘货信息!$A:$A&amp;盘货信息!$B:$B&amp;盘货信息!$C:$C,盘货信息!$G:$G)="不参加","","焕新补贴优惠【全民可用，不限地址】"))</f>
        <v/>
      </c>
    </row>
    <row r="423" customHeight="1" spans="1:13">
      <c r="A423" s="17" t="str">
        <f>IF(盘货信息!A423="","",盘货信息!A423)</f>
        <v/>
      </c>
      <c r="B423" s="17" t="str">
        <f>IF(盘货信息!B423="","",盘货信息!B423)</f>
        <v/>
      </c>
      <c r="C423" s="18" t="str">
        <f>IF(盘货信息!C423="","",盘货信息!C423)</f>
        <v/>
      </c>
      <c r="D423" s="18" t="str">
        <f t="shared" si="6"/>
        <v/>
      </c>
      <c r="E423" s="18" t="str">
        <f t="array" ref="E423">IF(C423="","",IF(_xlfn.XLOOKUP(A423&amp;B423&amp;C423,盘货信息!$A:$A&amp;盘货信息!$B:$B&amp;盘货信息!$C:$C,盘货信息!$N:$N)="","【立减到手价"&amp;_xlfn.XLOOKUP(A423&amp;B423&amp;C423,盘货信息!$A:$A&amp;盘货信息!$B:$B&amp;盘货信息!$C:$C,盘货信息!$F:$F)&amp;"元】","【焕新补贴预估价"&amp;_xlfn.XLOOKUP(A423&amp;B423&amp;C423,盘货信息!$A:$A&amp;盘货信息!$B:$B&amp;盘货信息!$C:$C,盘货信息!$N:$N)&amp;"元】"))</f>
        <v/>
      </c>
      <c r="F423" s="18" t="str">
        <f t="array" ref="F423">IF(C423="","",_xlfn.XLOOKUP(A423&amp;B423&amp;C423,盘货信息!$A:$A&amp;盘货信息!$B:$B&amp;盘货信息!$C:$C,盘货信息!$E:$E)&amp;"元到手价")</f>
        <v/>
      </c>
      <c r="G423" s="18" t="str">
        <f t="array" ref="G423">IF(C423="","",IF(_xlfn.XLOOKUP(A423&amp;B423&amp;C423,盘货信息!$A:$A&amp;盘货信息!$B:$B&amp;盘货信息!$C:$C,盘货信息!$I:$I)="","","88VIP95折"))</f>
        <v/>
      </c>
      <c r="H423" s="18" t="str">
        <f t="array" ref="H423">IF(C423="","",IF(_xlfn.XLOOKUP(A423&amp;B423&amp;C423,盘货信息!$A:$A&amp;盘货信息!$B:$B&amp;盘货信息!$C:$C,盘货信息!$J:$J)="","",_xlfn.XLOOKUP(A423&amp;B423&amp;C423,盘货信息!$A:$A&amp;盘货信息!$B:$B&amp;盘货信息!$C:$C,盘货信息!$J:$J)&amp;"元优惠卷"))</f>
        <v/>
      </c>
      <c r="I423" s="18" t="str">
        <f t="array" ref="I423">IF(C423="","",IF(_xlfn.XLOOKUP(A423&amp;B423&amp;C423,盘货信息!$A:$A&amp;盘货信息!$B:$B&amp;盘货信息!$C:$C,盘货信息!$R:$R)="","",_xlfn.XLOOKUP(A423&amp;B423&amp;C423,盘货信息!$A:$A&amp;盘货信息!$B:$B&amp;盘货信息!$C:$C,盘货信息!$R:$R)&amp;"元优惠卷"))</f>
        <v/>
      </c>
      <c r="J423" s="18" t="str">
        <f t="array" ref="J423">IF(C423="","",IF(_xlfn.XLOOKUP(A423&amp;B423&amp;C423,盘货信息!$A:$A&amp;盘货信息!$B:$B&amp;盘货信息!$C:$C,盘货信息!$K:$K)="","",IF(OR(_xlfn.XLOOKUP(A423&amp;B423&amp;C423,盘货信息!$A:$A&amp;盘货信息!$B:$B&amp;盘货信息!$C:$C,盘货信息!$G:$G)="参加",_xlfn.XLOOKUP(A423&amp;B423&amp;C423,盘货信息!$A:$A&amp;盘货信息!$B:$B&amp;盘货信息!$C:$C,盘货信息!$H:$H)="1（纯自补）"),_xlfn.XLOOKUP(A423&amp;B423&amp;C423,盘货信息!$A:$A&amp;盘货信息!$B:$B&amp;盘货信息!$C:$C,盘货信息!$K:$K)&amp;"元以旧换新（可无旧机换新）","")))</f>
        <v/>
      </c>
      <c r="K423" s="18" t="str">
        <f t="array" ref="K423">IF(C423="","",IF(_xlfn.XLOOKUP(A423&amp;B423&amp;C423,盘货信息!$A:$A&amp;盘货信息!$B:$B&amp;盘货信息!$C:$C,盘货信息!$L:$L)="","",_xlfn.XLOOKUP(A423&amp;B423&amp;C423,盘货信息!$A:$A&amp;盘货信息!$B:$B&amp;盘货信息!$C:$C,盘货信息!$L:$L)&amp;"元限时补贴"))</f>
        <v/>
      </c>
      <c r="L423" s="18" t="str">
        <f t="array" ref="L423">IF(C423="","",IF(_xlfn.XLOOKUP(A423&amp;B423&amp;C423,盘货信息!$A:$A&amp;盘货信息!$B:$B&amp;盘货信息!$C:$C,盘货信息!$M:$M)="","",_xlfn.XLOOKUP(A423&amp;B423&amp;C423,盘货信息!$A:$A&amp;盘货信息!$B:$B&amp;盘货信息!$C:$C,盘货信息!$M:$M)&amp;"元消费券"))</f>
        <v/>
      </c>
      <c r="M423" s="18" t="str">
        <f t="array" ref="M423">IF(C423="","",IF(_xlfn.XLOOKUP(A423&amp;B423&amp;C423,盘货信息!$A:$A&amp;盘货信息!$B:$B&amp;盘货信息!$C:$C,盘货信息!$G:$G)="不参加","","焕新补贴优惠【全民可用，不限地址】"))</f>
        <v/>
      </c>
    </row>
    <row r="424" customHeight="1" spans="1:13">
      <c r="A424" s="17" t="str">
        <f>IF(盘货信息!A424="","",盘货信息!A424)</f>
        <v/>
      </c>
      <c r="B424" s="17" t="str">
        <f>IF(盘货信息!B424="","",盘货信息!B424)</f>
        <v/>
      </c>
      <c r="C424" s="18" t="str">
        <f>IF(盘货信息!C424="","",盘货信息!C424)</f>
        <v/>
      </c>
      <c r="D424" s="18" t="str">
        <f t="shared" si="6"/>
        <v/>
      </c>
      <c r="E424" s="18" t="str">
        <f t="array" ref="E424">IF(C424="","",IF(_xlfn.XLOOKUP(A424&amp;B424&amp;C424,盘货信息!$A:$A&amp;盘货信息!$B:$B&amp;盘货信息!$C:$C,盘货信息!$N:$N)="","【立减到手价"&amp;_xlfn.XLOOKUP(A424&amp;B424&amp;C424,盘货信息!$A:$A&amp;盘货信息!$B:$B&amp;盘货信息!$C:$C,盘货信息!$F:$F)&amp;"元】","【焕新补贴预估价"&amp;_xlfn.XLOOKUP(A424&amp;B424&amp;C424,盘货信息!$A:$A&amp;盘货信息!$B:$B&amp;盘货信息!$C:$C,盘货信息!$N:$N)&amp;"元】"))</f>
        <v/>
      </c>
      <c r="F424" s="18" t="str">
        <f t="array" ref="F424">IF(C424="","",_xlfn.XLOOKUP(A424&amp;B424&amp;C424,盘货信息!$A:$A&amp;盘货信息!$B:$B&amp;盘货信息!$C:$C,盘货信息!$E:$E)&amp;"元到手价")</f>
        <v/>
      </c>
      <c r="G424" s="18" t="str">
        <f t="array" ref="G424">IF(C424="","",IF(_xlfn.XLOOKUP(A424&amp;B424&amp;C424,盘货信息!$A:$A&amp;盘货信息!$B:$B&amp;盘货信息!$C:$C,盘货信息!$I:$I)="","","88VIP95折"))</f>
        <v/>
      </c>
      <c r="H424" s="18" t="str">
        <f t="array" ref="H424">IF(C424="","",IF(_xlfn.XLOOKUP(A424&amp;B424&amp;C424,盘货信息!$A:$A&amp;盘货信息!$B:$B&amp;盘货信息!$C:$C,盘货信息!$J:$J)="","",_xlfn.XLOOKUP(A424&amp;B424&amp;C424,盘货信息!$A:$A&amp;盘货信息!$B:$B&amp;盘货信息!$C:$C,盘货信息!$J:$J)&amp;"元优惠卷"))</f>
        <v/>
      </c>
      <c r="I424" s="18" t="str">
        <f t="array" ref="I424">IF(C424="","",IF(_xlfn.XLOOKUP(A424&amp;B424&amp;C424,盘货信息!$A:$A&amp;盘货信息!$B:$B&amp;盘货信息!$C:$C,盘货信息!$R:$R)="","",_xlfn.XLOOKUP(A424&amp;B424&amp;C424,盘货信息!$A:$A&amp;盘货信息!$B:$B&amp;盘货信息!$C:$C,盘货信息!$R:$R)&amp;"元优惠卷"))</f>
        <v/>
      </c>
      <c r="J424" s="18" t="str">
        <f t="array" ref="J424">IF(C424="","",IF(_xlfn.XLOOKUP(A424&amp;B424&amp;C424,盘货信息!$A:$A&amp;盘货信息!$B:$B&amp;盘货信息!$C:$C,盘货信息!$K:$K)="","",IF(OR(_xlfn.XLOOKUP(A424&amp;B424&amp;C424,盘货信息!$A:$A&amp;盘货信息!$B:$B&amp;盘货信息!$C:$C,盘货信息!$G:$G)="参加",_xlfn.XLOOKUP(A424&amp;B424&amp;C424,盘货信息!$A:$A&amp;盘货信息!$B:$B&amp;盘货信息!$C:$C,盘货信息!$H:$H)="1（纯自补）"),_xlfn.XLOOKUP(A424&amp;B424&amp;C424,盘货信息!$A:$A&amp;盘货信息!$B:$B&amp;盘货信息!$C:$C,盘货信息!$K:$K)&amp;"元以旧换新（可无旧机换新）","")))</f>
        <v/>
      </c>
      <c r="K424" s="18" t="str">
        <f t="array" ref="K424">IF(C424="","",IF(_xlfn.XLOOKUP(A424&amp;B424&amp;C424,盘货信息!$A:$A&amp;盘货信息!$B:$B&amp;盘货信息!$C:$C,盘货信息!$L:$L)="","",_xlfn.XLOOKUP(A424&amp;B424&amp;C424,盘货信息!$A:$A&amp;盘货信息!$B:$B&amp;盘货信息!$C:$C,盘货信息!$L:$L)&amp;"元限时补贴"))</f>
        <v/>
      </c>
      <c r="L424" s="18" t="str">
        <f t="array" ref="L424">IF(C424="","",IF(_xlfn.XLOOKUP(A424&amp;B424&amp;C424,盘货信息!$A:$A&amp;盘货信息!$B:$B&amp;盘货信息!$C:$C,盘货信息!$M:$M)="","",_xlfn.XLOOKUP(A424&amp;B424&amp;C424,盘货信息!$A:$A&amp;盘货信息!$B:$B&amp;盘货信息!$C:$C,盘货信息!$M:$M)&amp;"元消费券"))</f>
        <v/>
      </c>
      <c r="M424" s="18" t="str">
        <f t="array" ref="M424">IF(C424="","",IF(_xlfn.XLOOKUP(A424&amp;B424&amp;C424,盘货信息!$A:$A&amp;盘货信息!$B:$B&amp;盘货信息!$C:$C,盘货信息!$G:$G)="不参加","","焕新补贴优惠【全民可用，不限地址】"))</f>
        <v/>
      </c>
    </row>
    <row r="425" customHeight="1" spans="1:13">
      <c r="A425" s="17" t="str">
        <f>IF(盘货信息!A425="","",盘货信息!A425)</f>
        <v/>
      </c>
      <c r="B425" s="17" t="str">
        <f>IF(盘货信息!B425="","",盘货信息!B425)</f>
        <v/>
      </c>
      <c r="C425" s="18" t="str">
        <f>IF(盘货信息!C425="","",盘货信息!C425)</f>
        <v/>
      </c>
      <c r="D425" s="18" t="str">
        <f t="shared" si="6"/>
        <v/>
      </c>
      <c r="E425" s="18" t="str">
        <f t="array" ref="E425">IF(C425="","",IF(_xlfn.XLOOKUP(A425&amp;B425&amp;C425,盘货信息!$A:$A&amp;盘货信息!$B:$B&amp;盘货信息!$C:$C,盘货信息!$N:$N)="","【立减到手价"&amp;_xlfn.XLOOKUP(A425&amp;B425&amp;C425,盘货信息!$A:$A&amp;盘货信息!$B:$B&amp;盘货信息!$C:$C,盘货信息!$F:$F)&amp;"元】","【焕新补贴预估价"&amp;_xlfn.XLOOKUP(A425&amp;B425&amp;C425,盘货信息!$A:$A&amp;盘货信息!$B:$B&amp;盘货信息!$C:$C,盘货信息!$N:$N)&amp;"元】"))</f>
        <v/>
      </c>
      <c r="F425" s="18" t="str">
        <f t="array" ref="F425">IF(C425="","",_xlfn.XLOOKUP(A425&amp;B425&amp;C425,盘货信息!$A:$A&amp;盘货信息!$B:$B&amp;盘货信息!$C:$C,盘货信息!$E:$E)&amp;"元到手价")</f>
        <v/>
      </c>
      <c r="G425" s="18" t="str">
        <f t="array" ref="G425">IF(C425="","",IF(_xlfn.XLOOKUP(A425&amp;B425&amp;C425,盘货信息!$A:$A&amp;盘货信息!$B:$B&amp;盘货信息!$C:$C,盘货信息!$I:$I)="","","88VIP95折"))</f>
        <v/>
      </c>
      <c r="H425" s="18" t="str">
        <f t="array" ref="H425">IF(C425="","",IF(_xlfn.XLOOKUP(A425&amp;B425&amp;C425,盘货信息!$A:$A&amp;盘货信息!$B:$B&amp;盘货信息!$C:$C,盘货信息!$J:$J)="","",_xlfn.XLOOKUP(A425&amp;B425&amp;C425,盘货信息!$A:$A&amp;盘货信息!$B:$B&amp;盘货信息!$C:$C,盘货信息!$J:$J)&amp;"元优惠卷"))</f>
        <v/>
      </c>
      <c r="I425" s="18" t="str">
        <f t="array" ref="I425">IF(C425="","",IF(_xlfn.XLOOKUP(A425&amp;B425&amp;C425,盘货信息!$A:$A&amp;盘货信息!$B:$B&amp;盘货信息!$C:$C,盘货信息!$R:$R)="","",_xlfn.XLOOKUP(A425&amp;B425&amp;C425,盘货信息!$A:$A&amp;盘货信息!$B:$B&amp;盘货信息!$C:$C,盘货信息!$R:$R)&amp;"元优惠卷"))</f>
        <v/>
      </c>
      <c r="J425" s="18" t="str">
        <f t="array" ref="J425">IF(C425="","",IF(_xlfn.XLOOKUP(A425&amp;B425&amp;C425,盘货信息!$A:$A&amp;盘货信息!$B:$B&amp;盘货信息!$C:$C,盘货信息!$K:$K)="","",IF(OR(_xlfn.XLOOKUP(A425&amp;B425&amp;C425,盘货信息!$A:$A&amp;盘货信息!$B:$B&amp;盘货信息!$C:$C,盘货信息!$G:$G)="参加",_xlfn.XLOOKUP(A425&amp;B425&amp;C425,盘货信息!$A:$A&amp;盘货信息!$B:$B&amp;盘货信息!$C:$C,盘货信息!$H:$H)="1（纯自补）"),_xlfn.XLOOKUP(A425&amp;B425&amp;C425,盘货信息!$A:$A&amp;盘货信息!$B:$B&amp;盘货信息!$C:$C,盘货信息!$K:$K)&amp;"元以旧换新（可无旧机换新）","")))</f>
        <v/>
      </c>
      <c r="K425" s="18" t="str">
        <f t="array" ref="K425">IF(C425="","",IF(_xlfn.XLOOKUP(A425&amp;B425&amp;C425,盘货信息!$A:$A&amp;盘货信息!$B:$B&amp;盘货信息!$C:$C,盘货信息!$L:$L)="","",_xlfn.XLOOKUP(A425&amp;B425&amp;C425,盘货信息!$A:$A&amp;盘货信息!$B:$B&amp;盘货信息!$C:$C,盘货信息!$L:$L)&amp;"元限时补贴"))</f>
        <v/>
      </c>
      <c r="L425" s="18" t="str">
        <f t="array" ref="L425">IF(C425="","",IF(_xlfn.XLOOKUP(A425&amp;B425&amp;C425,盘货信息!$A:$A&amp;盘货信息!$B:$B&amp;盘货信息!$C:$C,盘货信息!$M:$M)="","",_xlfn.XLOOKUP(A425&amp;B425&amp;C425,盘货信息!$A:$A&amp;盘货信息!$B:$B&amp;盘货信息!$C:$C,盘货信息!$M:$M)&amp;"元消费券"))</f>
        <v/>
      </c>
      <c r="M425" s="18" t="str">
        <f t="array" ref="M425">IF(C425="","",IF(_xlfn.XLOOKUP(A425&amp;B425&amp;C425,盘货信息!$A:$A&amp;盘货信息!$B:$B&amp;盘货信息!$C:$C,盘货信息!$G:$G)="不参加","","焕新补贴优惠【全民可用，不限地址】"))</f>
        <v/>
      </c>
    </row>
    <row r="426" customHeight="1" spans="1:13">
      <c r="A426" s="17" t="str">
        <f>IF(盘货信息!A426="","",盘货信息!A426)</f>
        <v/>
      </c>
      <c r="B426" s="17" t="str">
        <f>IF(盘货信息!B426="","",盘货信息!B426)</f>
        <v/>
      </c>
      <c r="C426" s="18" t="str">
        <f>IF(盘货信息!C426="","",盘货信息!C426)</f>
        <v/>
      </c>
      <c r="D426" s="18" t="str">
        <f t="shared" si="6"/>
        <v/>
      </c>
      <c r="E426" s="18" t="str">
        <f t="array" ref="E426">IF(C426="","",IF(_xlfn.XLOOKUP(A426&amp;B426&amp;C426,盘货信息!$A:$A&amp;盘货信息!$B:$B&amp;盘货信息!$C:$C,盘货信息!$N:$N)="","【立减到手价"&amp;_xlfn.XLOOKUP(A426&amp;B426&amp;C426,盘货信息!$A:$A&amp;盘货信息!$B:$B&amp;盘货信息!$C:$C,盘货信息!$F:$F)&amp;"元】","【焕新补贴预估价"&amp;_xlfn.XLOOKUP(A426&amp;B426&amp;C426,盘货信息!$A:$A&amp;盘货信息!$B:$B&amp;盘货信息!$C:$C,盘货信息!$N:$N)&amp;"元】"))</f>
        <v/>
      </c>
      <c r="F426" s="18" t="str">
        <f t="array" ref="F426">IF(C426="","",_xlfn.XLOOKUP(A426&amp;B426&amp;C426,盘货信息!$A:$A&amp;盘货信息!$B:$B&amp;盘货信息!$C:$C,盘货信息!$E:$E)&amp;"元到手价")</f>
        <v/>
      </c>
      <c r="G426" s="18" t="str">
        <f t="array" ref="G426">IF(C426="","",IF(_xlfn.XLOOKUP(A426&amp;B426&amp;C426,盘货信息!$A:$A&amp;盘货信息!$B:$B&amp;盘货信息!$C:$C,盘货信息!$I:$I)="","","88VIP95折"))</f>
        <v/>
      </c>
      <c r="H426" s="18" t="str">
        <f t="array" ref="H426">IF(C426="","",IF(_xlfn.XLOOKUP(A426&amp;B426&amp;C426,盘货信息!$A:$A&amp;盘货信息!$B:$B&amp;盘货信息!$C:$C,盘货信息!$J:$J)="","",_xlfn.XLOOKUP(A426&amp;B426&amp;C426,盘货信息!$A:$A&amp;盘货信息!$B:$B&amp;盘货信息!$C:$C,盘货信息!$J:$J)&amp;"元优惠卷"))</f>
        <v/>
      </c>
      <c r="I426" s="18" t="str">
        <f t="array" ref="I426">IF(C426="","",IF(_xlfn.XLOOKUP(A426&amp;B426&amp;C426,盘货信息!$A:$A&amp;盘货信息!$B:$B&amp;盘货信息!$C:$C,盘货信息!$R:$R)="","",_xlfn.XLOOKUP(A426&amp;B426&amp;C426,盘货信息!$A:$A&amp;盘货信息!$B:$B&amp;盘货信息!$C:$C,盘货信息!$R:$R)&amp;"元优惠卷"))</f>
        <v/>
      </c>
      <c r="J426" s="18" t="str">
        <f t="array" ref="J426">IF(C426="","",IF(_xlfn.XLOOKUP(A426&amp;B426&amp;C426,盘货信息!$A:$A&amp;盘货信息!$B:$B&amp;盘货信息!$C:$C,盘货信息!$K:$K)="","",IF(OR(_xlfn.XLOOKUP(A426&amp;B426&amp;C426,盘货信息!$A:$A&amp;盘货信息!$B:$B&amp;盘货信息!$C:$C,盘货信息!$G:$G)="参加",_xlfn.XLOOKUP(A426&amp;B426&amp;C426,盘货信息!$A:$A&amp;盘货信息!$B:$B&amp;盘货信息!$C:$C,盘货信息!$H:$H)="1（纯自补）"),_xlfn.XLOOKUP(A426&amp;B426&amp;C426,盘货信息!$A:$A&amp;盘货信息!$B:$B&amp;盘货信息!$C:$C,盘货信息!$K:$K)&amp;"元以旧换新（可无旧机换新）","")))</f>
        <v/>
      </c>
      <c r="K426" s="18" t="str">
        <f t="array" ref="K426">IF(C426="","",IF(_xlfn.XLOOKUP(A426&amp;B426&amp;C426,盘货信息!$A:$A&amp;盘货信息!$B:$B&amp;盘货信息!$C:$C,盘货信息!$L:$L)="","",_xlfn.XLOOKUP(A426&amp;B426&amp;C426,盘货信息!$A:$A&amp;盘货信息!$B:$B&amp;盘货信息!$C:$C,盘货信息!$L:$L)&amp;"元限时补贴"))</f>
        <v/>
      </c>
      <c r="L426" s="18" t="str">
        <f t="array" ref="L426">IF(C426="","",IF(_xlfn.XLOOKUP(A426&amp;B426&amp;C426,盘货信息!$A:$A&amp;盘货信息!$B:$B&amp;盘货信息!$C:$C,盘货信息!$M:$M)="","",_xlfn.XLOOKUP(A426&amp;B426&amp;C426,盘货信息!$A:$A&amp;盘货信息!$B:$B&amp;盘货信息!$C:$C,盘货信息!$M:$M)&amp;"元消费券"))</f>
        <v/>
      </c>
      <c r="M426" s="18" t="str">
        <f t="array" ref="M426">IF(C426="","",IF(_xlfn.XLOOKUP(A426&amp;B426&amp;C426,盘货信息!$A:$A&amp;盘货信息!$B:$B&amp;盘货信息!$C:$C,盘货信息!$G:$G)="不参加","","焕新补贴优惠【全民可用，不限地址】"))</f>
        <v/>
      </c>
    </row>
    <row r="427" customHeight="1" spans="1:13">
      <c r="A427" s="17" t="str">
        <f>IF(盘货信息!A427="","",盘货信息!A427)</f>
        <v/>
      </c>
      <c r="B427" s="17" t="str">
        <f>IF(盘货信息!B427="","",盘货信息!B427)</f>
        <v/>
      </c>
      <c r="C427" s="18" t="str">
        <f>IF(盘货信息!C427="","",盘货信息!C427)</f>
        <v/>
      </c>
      <c r="D427" s="18" t="str">
        <f t="shared" si="6"/>
        <v/>
      </c>
      <c r="E427" s="18" t="str">
        <f t="array" ref="E427">IF(C427="","",IF(_xlfn.XLOOKUP(A427&amp;B427&amp;C427,盘货信息!$A:$A&amp;盘货信息!$B:$B&amp;盘货信息!$C:$C,盘货信息!$N:$N)="","【立减到手价"&amp;_xlfn.XLOOKUP(A427&amp;B427&amp;C427,盘货信息!$A:$A&amp;盘货信息!$B:$B&amp;盘货信息!$C:$C,盘货信息!$F:$F)&amp;"元】","【焕新补贴预估价"&amp;_xlfn.XLOOKUP(A427&amp;B427&amp;C427,盘货信息!$A:$A&amp;盘货信息!$B:$B&amp;盘货信息!$C:$C,盘货信息!$N:$N)&amp;"元】"))</f>
        <v/>
      </c>
      <c r="F427" s="18" t="str">
        <f t="array" ref="F427">IF(C427="","",_xlfn.XLOOKUP(A427&amp;B427&amp;C427,盘货信息!$A:$A&amp;盘货信息!$B:$B&amp;盘货信息!$C:$C,盘货信息!$E:$E)&amp;"元到手价")</f>
        <v/>
      </c>
      <c r="G427" s="18" t="str">
        <f t="array" ref="G427">IF(C427="","",IF(_xlfn.XLOOKUP(A427&amp;B427&amp;C427,盘货信息!$A:$A&amp;盘货信息!$B:$B&amp;盘货信息!$C:$C,盘货信息!$I:$I)="","","88VIP95折"))</f>
        <v/>
      </c>
      <c r="H427" s="18" t="str">
        <f t="array" ref="H427">IF(C427="","",IF(_xlfn.XLOOKUP(A427&amp;B427&amp;C427,盘货信息!$A:$A&amp;盘货信息!$B:$B&amp;盘货信息!$C:$C,盘货信息!$J:$J)="","",_xlfn.XLOOKUP(A427&amp;B427&amp;C427,盘货信息!$A:$A&amp;盘货信息!$B:$B&amp;盘货信息!$C:$C,盘货信息!$J:$J)&amp;"元优惠卷"))</f>
        <v/>
      </c>
      <c r="I427" s="18" t="str">
        <f t="array" ref="I427">IF(C427="","",IF(_xlfn.XLOOKUP(A427&amp;B427&amp;C427,盘货信息!$A:$A&amp;盘货信息!$B:$B&amp;盘货信息!$C:$C,盘货信息!$R:$R)="","",_xlfn.XLOOKUP(A427&amp;B427&amp;C427,盘货信息!$A:$A&amp;盘货信息!$B:$B&amp;盘货信息!$C:$C,盘货信息!$R:$R)&amp;"元优惠卷"))</f>
        <v/>
      </c>
      <c r="J427" s="18" t="str">
        <f t="array" ref="J427">IF(C427="","",IF(_xlfn.XLOOKUP(A427&amp;B427&amp;C427,盘货信息!$A:$A&amp;盘货信息!$B:$B&amp;盘货信息!$C:$C,盘货信息!$K:$K)="","",IF(OR(_xlfn.XLOOKUP(A427&amp;B427&amp;C427,盘货信息!$A:$A&amp;盘货信息!$B:$B&amp;盘货信息!$C:$C,盘货信息!$G:$G)="参加",_xlfn.XLOOKUP(A427&amp;B427&amp;C427,盘货信息!$A:$A&amp;盘货信息!$B:$B&amp;盘货信息!$C:$C,盘货信息!$H:$H)="1（纯自补）"),_xlfn.XLOOKUP(A427&amp;B427&amp;C427,盘货信息!$A:$A&amp;盘货信息!$B:$B&amp;盘货信息!$C:$C,盘货信息!$K:$K)&amp;"元以旧换新（可无旧机换新）","")))</f>
        <v/>
      </c>
      <c r="K427" s="18" t="str">
        <f t="array" ref="K427">IF(C427="","",IF(_xlfn.XLOOKUP(A427&amp;B427&amp;C427,盘货信息!$A:$A&amp;盘货信息!$B:$B&amp;盘货信息!$C:$C,盘货信息!$L:$L)="","",_xlfn.XLOOKUP(A427&amp;B427&amp;C427,盘货信息!$A:$A&amp;盘货信息!$B:$B&amp;盘货信息!$C:$C,盘货信息!$L:$L)&amp;"元限时补贴"))</f>
        <v/>
      </c>
      <c r="L427" s="18" t="str">
        <f t="array" ref="L427">IF(C427="","",IF(_xlfn.XLOOKUP(A427&amp;B427&amp;C427,盘货信息!$A:$A&amp;盘货信息!$B:$B&amp;盘货信息!$C:$C,盘货信息!$M:$M)="","",_xlfn.XLOOKUP(A427&amp;B427&amp;C427,盘货信息!$A:$A&amp;盘货信息!$B:$B&amp;盘货信息!$C:$C,盘货信息!$M:$M)&amp;"元消费券"))</f>
        <v/>
      </c>
      <c r="M427" s="18" t="str">
        <f t="array" ref="M427">IF(C427="","",IF(_xlfn.XLOOKUP(A427&amp;B427&amp;C427,盘货信息!$A:$A&amp;盘货信息!$B:$B&amp;盘货信息!$C:$C,盘货信息!$G:$G)="不参加","","焕新补贴优惠【全民可用，不限地址】"))</f>
        <v/>
      </c>
    </row>
    <row r="428" customHeight="1" spans="1:13">
      <c r="A428" s="17" t="str">
        <f>IF(盘货信息!A428="","",盘货信息!A428)</f>
        <v/>
      </c>
      <c r="B428" s="17" t="str">
        <f>IF(盘货信息!B428="","",盘货信息!B428)</f>
        <v/>
      </c>
      <c r="C428" s="18" t="str">
        <f>IF(盘货信息!C428="","",盘货信息!C428)</f>
        <v/>
      </c>
      <c r="D428" s="18" t="str">
        <f t="shared" si="6"/>
        <v/>
      </c>
      <c r="E428" s="18" t="str">
        <f t="array" ref="E428">IF(C428="","",IF(_xlfn.XLOOKUP(A428&amp;B428&amp;C428,盘货信息!$A:$A&amp;盘货信息!$B:$B&amp;盘货信息!$C:$C,盘货信息!$N:$N)="","【立减到手价"&amp;_xlfn.XLOOKUP(A428&amp;B428&amp;C428,盘货信息!$A:$A&amp;盘货信息!$B:$B&amp;盘货信息!$C:$C,盘货信息!$F:$F)&amp;"元】","【焕新补贴预估价"&amp;_xlfn.XLOOKUP(A428&amp;B428&amp;C428,盘货信息!$A:$A&amp;盘货信息!$B:$B&amp;盘货信息!$C:$C,盘货信息!$N:$N)&amp;"元】"))</f>
        <v/>
      </c>
      <c r="F428" s="18" t="str">
        <f t="array" ref="F428">IF(C428="","",_xlfn.XLOOKUP(A428&amp;B428&amp;C428,盘货信息!$A:$A&amp;盘货信息!$B:$B&amp;盘货信息!$C:$C,盘货信息!$E:$E)&amp;"元到手价")</f>
        <v/>
      </c>
      <c r="G428" s="18" t="str">
        <f t="array" ref="G428">IF(C428="","",IF(_xlfn.XLOOKUP(A428&amp;B428&amp;C428,盘货信息!$A:$A&amp;盘货信息!$B:$B&amp;盘货信息!$C:$C,盘货信息!$I:$I)="","","88VIP95折"))</f>
        <v/>
      </c>
      <c r="H428" s="18" t="str">
        <f t="array" ref="H428">IF(C428="","",IF(_xlfn.XLOOKUP(A428&amp;B428&amp;C428,盘货信息!$A:$A&amp;盘货信息!$B:$B&amp;盘货信息!$C:$C,盘货信息!$J:$J)="","",_xlfn.XLOOKUP(A428&amp;B428&amp;C428,盘货信息!$A:$A&amp;盘货信息!$B:$B&amp;盘货信息!$C:$C,盘货信息!$J:$J)&amp;"元优惠卷"))</f>
        <v/>
      </c>
      <c r="I428" s="18" t="str">
        <f t="array" ref="I428">IF(C428="","",IF(_xlfn.XLOOKUP(A428&amp;B428&amp;C428,盘货信息!$A:$A&amp;盘货信息!$B:$B&amp;盘货信息!$C:$C,盘货信息!$R:$R)="","",_xlfn.XLOOKUP(A428&amp;B428&amp;C428,盘货信息!$A:$A&amp;盘货信息!$B:$B&amp;盘货信息!$C:$C,盘货信息!$R:$R)&amp;"元优惠卷"))</f>
        <v/>
      </c>
      <c r="J428" s="18" t="str">
        <f t="array" ref="J428">IF(C428="","",IF(_xlfn.XLOOKUP(A428&amp;B428&amp;C428,盘货信息!$A:$A&amp;盘货信息!$B:$B&amp;盘货信息!$C:$C,盘货信息!$K:$K)="","",IF(OR(_xlfn.XLOOKUP(A428&amp;B428&amp;C428,盘货信息!$A:$A&amp;盘货信息!$B:$B&amp;盘货信息!$C:$C,盘货信息!$G:$G)="参加",_xlfn.XLOOKUP(A428&amp;B428&amp;C428,盘货信息!$A:$A&amp;盘货信息!$B:$B&amp;盘货信息!$C:$C,盘货信息!$H:$H)="1（纯自补）"),_xlfn.XLOOKUP(A428&amp;B428&amp;C428,盘货信息!$A:$A&amp;盘货信息!$B:$B&amp;盘货信息!$C:$C,盘货信息!$K:$K)&amp;"元以旧换新（可无旧机换新）","")))</f>
        <v/>
      </c>
      <c r="K428" s="18" t="str">
        <f t="array" ref="K428">IF(C428="","",IF(_xlfn.XLOOKUP(A428&amp;B428&amp;C428,盘货信息!$A:$A&amp;盘货信息!$B:$B&amp;盘货信息!$C:$C,盘货信息!$L:$L)="","",_xlfn.XLOOKUP(A428&amp;B428&amp;C428,盘货信息!$A:$A&amp;盘货信息!$B:$B&amp;盘货信息!$C:$C,盘货信息!$L:$L)&amp;"元限时补贴"))</f>
        <v/>
      </c>
      <c r="L428" s="18" t="str">
        <f t="array" ref="L428">IF(C428="","",IF(_xlfn.XLOOKUP(A428&amp;B428&amp;C428,盘货信息!$A:$A&amp;盘货信息!$B:$B&amp;盘货信息!$C:$C,盘货信息!$M:$M)="","",_xlfn.XLOOKUP(A428&amp;B428&amp;C428,盘货信息!$A:$A&amp;盘货信息!$B:$B&amp;盘货信息!$C:$C,盘货信息!$M:$M)&amp;"元消费券"))</f>
        <v/>
      </c>
      <c r="M428" s="18" t="str">
        <f t="array" ref="M428">IF(C428="","",IF(_xlfn.XLOOKUP(A428&amp;B428&amp;C428,盘货信息!$A:$A&amp;盘货信息!$B:$B&amp;盘货信息!$C:$C,盘货信息!$G:$G)="不参加","","焕新补贴优惠【全民可用，不限地址】"))</f>
        <v/>
      </c>
    </row>
    <row r="429" customHeight="1" spans="1:13">
      <c r="A429" s="17" t="str">
        <f>IF(盘货信息!A429="","",盘货信息!A429)</f>
        <v/>
      </c>
      <c r="B429" s="17" t="str">
        <f>IF(盘货信息!B429="","",盘货信息!B429)</f>
        <v/>
      </c>
      <c r="C429" s="18" t="str">
        <f>IF(盘货信息!C429="","",盘货信息!C429)</f>
        <v/>
      </c>
      <c r="D429" s="18" t="str">
        <f t="shared" si="6"/>
        <v/>
      </c>
      <c r="E429" s="18" t="str">
        <f t="array" ref="E429">IF(C429="","",IF(_xlfn.XLOOKUP(A429&amp;B429&amp;C429,盘货信息!$A:$A&amp;盘货信息!$B:$B&amp;盘货信息!$C:$C,盘货信息!$N:$N)="","【立减到手价"&amp;_xlfn.XLOOKUP(A429&amp;B429&amp;C429,盘货信息!$A:$A&amp;盘货信息!$B:$B&amp;盘货信息!$C:$C,盘货信息!$F:$F)&amp;"元】","【焕新补贴预估价"&amp;_xlfn.XLOOKUP(A429&amp;B429&amp;C429,盘货信息!$A:$A&amp;盘货信息!$B:$B&amp;盘货信息!$C:$C,盘货信息!$N:$N)&amp;"元】"))</f>
        <v/>
      </c>
      <c r="F429" s="18" t="str">
        <f t="array" ref="F429">IF(C429="","",_xlfn.XLOOKUP(A429&amp;B429&amp;C429,盘货信息!$A:$A&amp;盘货信息!$B:$B&amp;盘货信息!$C:$C,盘货信息!$E:$E)&amp;"元到手价")</f>
        <v/>
      </c>
      <c r="G429" s="18" t="str">
        <f t="array" ref="G429">IF(C429="","",IF(_xlfn.XLOOKUP(A429&amp;B429&amp;C429,盘货信息!$A:$A&amp;盘货信息!$B:$B&amp;盘货信息!$C:$C,盘货信息!$I:$I)="","","88VIP95折"))</f>
        <v/>
      </c>
      <c r="H429" s="18" t="str">
        <f t="array" ref="H429">IF(C429="","",IF(_xlfn.XLOOKUP(A429&amp;B429&amp;C429,盘货信息!$A:$A&amp;盘货信息!$B:$B&amp;盘货信息!$C:$C,盘货信息!$J:$J)="","",_xlfn.XLOOKUP(A429&amp;B429&amp;C429,盘货信息!$A:$A&amp;盘货信息!$B:$B&amp;盘货信息!$C:$C,盘货信息!$J:$J)&amp;"元优惠卷"))</f>
        <v/>
      </c>
      <c r="I429" s="18" t="str">
        <f t="array" ref="I429">IF(C429="","",IF(_xlfn.XLOOKUP(A429&amp;B429&amp;C429,盘货信息!$A:$A&amp;盘货信息!$B:$B&amp;盘货信息!$C:$C,盘货信息!$R:$R)="","",_xlfn.XLOOKUP(A429&amp;B429&amp;C429,盘货信息!$A:$A&amp;盘货信息!$B:$B&amp;盘货信息!$C:$C,盘货信息!$R:$R)&amp;"元优惠卷"))</f>
        <v/>
      </c>
      <c r="J429" s="18" t="str">
        <f t="array" ref="J429">IF(C429="","",IF(_xlfn.XLOOKUP(A429&amp;B429&amp;C429,盘货信息!$A:$A&amp;盘货信息!$B:$B&amp;盘货信息!$C:$C,盘货信息!$K:$K)="","",IF(OR(_xlfn.XLOOKUP(A429&amp;B429&amp;C429,盘货信息!$A:$A&amp;盘货信息!$B:$B&amp;盘货信息!$C:$C,盘货信息!$G:$G)="参加",_xlfn.XLOOKUP(A429&amp;B429&amp;C429,盘货信息!$A:$A&amp;盘货信息!$B:$B&amp;盘货信息!$C:$C,盘货信息!$H:$H)="1（纯自补）"),_xlfn.XLOOKUP(A429&amp;B429&amp;C429,盘货信息!$A:$A&amp;盘货信息!$B:$B&amp;盘货信息!$C:$C,盘货信息!$K:$K)&amp;"元以旧换新（可无旧机换新）","")))</f>
        <v/>
      </c>
      <c r="K429" s="18" t="str">
        <f t="array" ref="K429">IF(C429="","",IF(_xlfn.XLOOKUP(A429&amp;B429&amp;C429,盘货信息!$A:$A&amp;盘货信息!$B:$B&amp;盘货信息!$C:$C,盘货信息!$L:$L)="","",_xlfn.XLOOKUP(A429&amp;B429&amp;C429,盘货信息!$A:$A&amp;盘货信息!$B:$B&amp;盘货信息!$C:$C,盘货信息!$L:$L)&amp;"元限时补贴"))</f>
        <v/>
      </c>
      <c r="L429" s="18" t="str">
        <f t="array" ref="L429">IF(C429="","",IF(_xlfn.XLOOKUP(A429&amp;B429&amp;C429,盘货信息!$A:$A&amp;盘货信息!$B:$B&amp;盘货信息!$C:$C,盘货信息!$M:$M)="","",_xlfn.XLOOKUP(A429&amp;B429&amp;C429,盘货信息!$A:$A&amp;盘货信息!$B:$B&amp;盘货信息!$C:$C,盘货信息!$M:$M)&amp;"元消费券"))</f>
        <v/>
      </c>
      <c r="M429" s="18" t="str">
        <f t="array" ref="M429">IF(C429="","",IF(_xlfn.XLOOKUP(A429&amp;B429&amp;C429,盘货信息!$A:$A&amp;盘货信息!$B:$B&amp;盘货信息!$C:$C,盘货信息!$G:$G)="不参加","","焕新补贴优惠【全民可用，不限地址】"))</f>
        <v/>
      </c>
    </row>
    <row r="430" customHeight="1" spans="1:13">
      <c r="A430" s="17" t="str">
        <f>IF(盘货信息!A430="","",盘货信息!A430)</f>
        <v/>
      </c>
      <c r="B430" s="17" t="str">
        <f>IF(盘货信息!B430="","",盘货信息!B430)</f>
        <v/>
      </c>
      <c r="C430" s="18" t="str">
        <f>IF(盘货信息!C430="","",盘货信息!C430)</f>
        <v/>
      </c>
      <c r="D430" s="18" t="str">
        <f t="shared" si="6"/>
        <v/>
      </c>
      <c r="E430" s="18" t="str">
        <f t="array" ref="E430">IF(C430="","",IF(_xlfn.XLOOKUP(A430&amp;B430&amp;C430,盘货信息!$A:$A&amp;盘货信息!$B:$B&amp;盘货信息!$C:$C,盘货信息!$N:$N)="","【立减到手价"&amp;_xlfn.XLOOKUP(A430&amp;B430&amp;C430,盘货信息!$A:$A&amp;盘货信息!$B:$B&amp;盘货信息!$C:$C,盘货信息!$F:$F)&amp;"元】","【焕新补贴预估价"&amp;_xlfn.XLOOKUP(A430&amp;B430&amp;C430,盘货信息!$A:$A&amp;盘货信息!$B:$B&amp;盘货信息!$C:$C,盘货信息!$N:$N)&amp;"元】"))</f>
        <v/>
      </c>
      <c r="F430" s="18" t="str">
        <f t="array" ref="F430">IF(C430="","",_xlfn.XLOOKUP(A430&amp;B430&amp;C430,盘货信息!$A:$A&amp;盘货信息!$B:$B&amp;盘货信息!$C:$C,盘货信息!$E:$E)&amp;"元到手价")</f>
        <v/>
      </c>
      <c r="G430" s="18" t="str">
        <f t="array" ref="G430">IF(C430="","",IF(_xlfn.XLOOKUP(A430&amp;B430&amp;C430,盘货信息!$A:$A&amp;盘货信息!$B:$B&amp;盘货信息!$C:$C,盘货信息!$I:$I)="","","88VIP95折"))</f>
        <v/>
      </c>
      <c r="H430" s="18" t="str">
        <f t="array" ref="H430">IF(C430="","",IF(_xlfn.XLOOKUP(A430&amp;B430&amp;C430,盘货信息!$A:$A&amp;盘货信息!$B:$B&amp;盘货信息!$C:$C,盘货信息!$J:$J)="","",_xlfn.XLOOKUP(A430&amp;B430&amp;C430,盘货信息!$A:$A&amp;盘货信息!$B:$B&amp;盘货信息!$C:$C,盘货信息!$J:$J)&amp;"元优惠卷"))</f>
        <v/>
      </c>
      <c r="I430" s="18" t="str">
        <f t="array" ref="I430">IF(C430="","",IF(_xlfn.XLOOKUP(A430&amp;B430&amp;C430,盘货信息!$A:$A&amp;盘货信息!$B:$B&amp;盘货信息!$C:$C,盘货信息!$R:$R)="","",_xlfn.XLOOKUP(A430&amp;B430&amp;C430,盘货信息!$A:$A&amp;盘货信息!$B:$B&amp;盘货信息!$C:$C,盘货信息!$R:$R)&amp;"元优惠卷"))</f>
        <v/>
      </c>
      <c r="J430" s="18" t="str">
        <f t="array" ref="J430">IF(C430="","",IF(_xlfn.XLOOKUP(A430&amp;B430&amp;C430,盘货信息!$A:$A&amp;盘货信息!$B:$B&amp;盘货信息!$C:$C,盘货信息!$K:$K)="","",IF(OR(_xlfn.XLOOKUP(A430&amp;B430&amp;C430,盘货信息!$A:$A&amp;盘货信息!$B:$B&amp;盘货信息!$C:$C,盘货信息!$G:$G)="参加",_xlfn.XLOOKUP(A430&amp;B430&amp;C430,盘货信息!$A:$A&amp;盘货信息!$B:$B&amp;盘货信息!$C:$C,盘货信息!$H:$H)="1（纯自补）"),_xlfn.XLOOKUP(A430&amp;B430&amp;C430,盘货信息!$A:$A&amp;盘货信息!$B:$B&amp;盘货信息!$C:$C,盘货信息!$K:$K)&amp;"元以旧换新（可无旧机换新）","")))</f>
        <v/>
      </c>
      <c r="K430" s="18" t="str">
        <f t="array" ref="K430">IF(C430="","",IF(_xlfn.XLOOKUP(A430&amp;B430&amp;C430,盘货信息!$A:$A&amp;盘货信息!$B:$B&amp;盘货信息!$C:$C,盘货信息!$L:$L)="","",_xlfn.XLOOKUP(A430&amp;B430&amp;C430,盘货信息!$A:$A&amp;盘货信息!$B:$B&amp;盘货信息!$C:$C,盘货信息!$L:$L)&amp;"元限时补贴"))</f>
        <v/>
      </c>
      <c r="L430" s="18" t="str">
        <f t="array" ref="L430">IF(C430="","",IF(_xlfn.XLOOKUP(A430&amp;B430&amp;C430,盘货信息!$A:$A&amp;盘货信息!$B:$B&amp;盘货信息!$C:$C,盘货信息!$M:$M)="","",_xlfn.XLOOKUP(A430&amp;B430&amp;C430,盘货信息!$A:$A&amp;盘货信息!$B:$B&amp;盘货信息!$C:$C,盘货信息!$M:$M)&amp;"元消费券"))</f>
        <v/>
      </c>
      <c r="M430" s="18" t="str">
        <f t="array" ref="M430">IF(C430="","",IF(_xlfn.XLOOKUP(A430&amp;B430&amp;C430,盘货信息!$A:$A&amp;盘货信息!$B:$B&amp;盘货信息!$C:$C,盘货信息!$G:$G)="不参加","","焕新补贴优惠【全民可用，不限地址】"))</f>
        <v/>
      </c>
    </row>
    <row r="431" customHeight="1" spans="1:13">
      <c r="A431" s="17" t="str">
        <f>IF(盘货信息!A431="","",盘货信息!A431)</f>
        <v/>
      </c>
      <c r="B431" s="17" t="str">
        <f>IF(盘货信息!B431="","",盘货信息!B431)</f>
        <v/>
      </c>
      <c r="C431" s="18" t="str">
        <f>IF(盘货信息!C431="","",盘货信息!C431)</f>
        <v/>
      </c>
      <c r="D431" s="18" t="str">
        <f t="shared" si="6"/>
        <v/>
      </c>
      <c r="E431" s="18" t="str">
        <f t="array" ref="E431">IF(C431="","",IF(_xlfn.XLOOKUP(A431&amp;B431&amp;C431,盘货信息!$A:$A&amp;盘货信息!$B:$B&amp;盘货信息!$C:$C,盘货信息!$N:$N)="","【立减到手价"&amp;_xlfn.XLOOKUP(A431&amp;B431&amp;C431,盘货信息!$A:$A&amp;盘货信息!$B:$B&amp;盘货信息!$C:$C,盘货信息!$F:$F)&amp;"元】","【焕新补贴预估价"&amp;_xlfn.XLOOKUP(A431&amp;B431&amp;C431,盘货信息!$A:$A&amp;盘货信息!$B:$B&amp;盘货信息!$C:$C,盘货信息!$N:$N)&amp;"元】"))</f>
        <v/>
      </c>
      <c r="F431" s="18" t="str">
        <f t="array" ref="F431">IF(C431="","",_xlfn.XLOOKUP(A431&amp;B431&amp;C431,盘货信息!$A:$A&amp;盘货信息!$B:$B&amp;盘货信息!$C:$C,盘货信息!$E:$E)&amp;"元到手价")</f>
        <v/>
      </c>
      <c r="G431" s="18" t="str">
        <f t="array" ref="G431">IF(C431="","",IF(_xlfn.XLOOKUP(A431&amp;B431&amp;C431,盘货信息!$A:$A&amp;盘货信息!$B:$B&amp;盘货信息!$C:$C,盘货信息!$I:$I)="","","88VIP95折"))</f>
        <v/>
      </c>
      <c r="H431" s="18" t="str">
        <f t="array" ref="H431">IF(C431="","",IF(_xlfn.XLOOKUP(A431&amp;B431&amp;C431,盘货信息!$A:$A&amp;盘货信息!$B:$B&amp;盘货信息!$C:$C,盘货信息!$J:$J)="","",_xlfn.XLOOKUP(A431&amp;B431&amp;C431,盘货信息!$A:$A&amp;盘货信息!$B:$B&amp;盘货信息!$C:$C,盘货信息!$J:$J)&amp;"元优惠卷"))</f>
        <v/>
      </c>
      <c r="I431" s="18" t="str">
        <f t="array" ref="I431">IF(C431="","",IF(_xlfn.XLOOKUP(A431&amp;B431&amp;C431,盘货信息!$A:$A&amp;盘货信息!$B:$B&amp;盘货信息!$C:$C,盘货信息!$R:$R)="","",_xlfn.XLOOKUP(A431&amp;B431&amp;C431,盘货信息!$A:$A&amp;盘货信息!$B:$B&amp;盘货信息!$C:$C,盘货信息!$R:$R)&amp;"元优惠卷"))</f>
        <v/>
      </c>
      <c r="J431" s="18" t="str">
        <f t="array" ref="J431">IF(C431="","",IF(_xlfn.XLOOKUP(A431&amp;B431&amp;C431,盘货信息!$A:$A&amp;盘货信息!$B:$B&amp;盘货信息!$C:$C,盘货信息!$K:$K)="","",IF(OR(_xlfn.XLOOKUP(A431&amp;B431&amp;C431,盘货信息!$A:$A&amp;盘货信息!$B:$B&amp;盘货信息!$C:$C,盘货信息!$G:$G)="参加",_xlfn.XLOOKUP(A431&amp;B431&amp;C431,盘货信息!$A:$A&amp;盘货信息!$B:$B&amp;盘货信息!$C:$C,盘货信息!$H:$H)="1（纯自补）"),_xlfn.XLOOKUP(A431&amp;B431&amp;C431,盘货信息!$A:$A&amp;盘货信息!$B:$B&amp;盘货信息!$C:$C,盘货信息!$K:$K)&amp;"元以旧换新（可无旧机换新）","")))</f>
        <v/>
      </c>
      <c r="K431" s="18" t="str">
        <f t="array" ref="K431">IF(C431="","",IF(_xlfn.XLOOKUP(A431&amp;B431&amp;C431,盘货信息!$A:$A&amp;盘货信息!$B:$B&amp;盘货信息!$C:$C,盘货信息!$L:$L)="","",_xlfn.XLOOKUP(A431&amp;B431&amp;C431,盘货信息!$A:$A&amp;盘货信息!$B:$B&amp;盘货信息!$C:$C,盘货信息!$L:$L)&amp;"元限时补贴"))</f>
        <v/>
      </c>
      <c r="L431" s="18" t="str">
        <f t="array" ref="L431">IF(C431="","",IF(_xlfn.XLOOKUP(A431&amp;B431&amp;C431,盘货信息!$A:$A&amp;盘货信息!$B:$B&amp;盘货信息!$C:$C,盘货信息!$M:$M)="","",_xlfn.XLOOKUP(A431&amp;B431&amp;C431,盘货信息!$A:$A&amp;盘货信息!$B:$B&amp;盘货信息!$C:$C,盘货信息!$M:$M)&amp;"元消费券"))</f>
        <v/>
      </c>
      <c r="M431" s="18" t="str">
        <f t="array" ref="M431">IF(C431="","",IF(_xlfn.XLOOKUP(A431&amp;B431&amp;C431,盘货信息!$A:$A&amp;盘货信息!$B:$B&amp;盘货信息!$C:$C,盘货信息!$G:$G)="不参加","","焕新补贴优惠【全民可用，不限地址】"))</f>
        <v/>
      </c>
    </row>
    <row r="432" customHeight="1" spans="1:13">
      <c r="A432" s="17" t="str">
        <f>IF(盘货信息!A432="","",盘货信息!A432)</f>
        <v/>
      </c>
      <c r="B432" s="17" t="str">
        <f>IF(盘货信息!B432="","",盘货信息!B432)</f>
        <v/>
      </c>
      <c r="C432" s="18" t="str">
        <f>IF(盘货信息!C432="","",盘货信息!C432)</f>
        <v/>
      </c>
      <c r="D432" s="18" t="str">
        <f t="shared" si="6"/>
        <v/>
      </c>
      <c r="E432" s="18" t="str">
        <f t="array" ref="E432">IF(C432="","",IF(_xlfn.XLOOKUP(A432&amp;B432&amp;C432,盘货信息!$A:$A&amp;盘货信息!$B:$B&amp;盘货信息!$C:$C,盘货信息!$N:$N)="","【立减到手价"&amp;_xlfn.XLOOKUP(A432&amp;B432&amp;C432,盘货信息!$A:$A&amp;盘货信息!$B:$B&amp;盘货信息!$C:$C,盘货信息!$F:$F)&amp;"元】","【焕新补贴预估价"&amp;_xlfn.XLOOKUP(A432&amp;B432&amp;C432,盘货信息!$A:$A&amp;盘货信息!$B:$B&amp;盘货信息!$C:$C,盘货信息!$N:$N)&amp;"元】"))</f>
        <v/>
      </c>
      <c r="F432" s="18" t="str">
        <f t="array" ref="F432">IF(C432="","",_xlfn.XLOOKUP(A432&amp;B432&amp;C432,盘货信息!$A:$A&amp;盘货信息!$B:$B&amp;盘货信息!$C:$C,盘货信息!$E:$E)&amp;"元到手价")</f>
        <v/>
      </c>
      <c r="G432" s="18" t="str">
        <f t="array" ref="G432">IF(C432="","",IF(_xlfn.XLOOKUP(A432&amp;B432&amp;C432,盘货信息!$A:$A&amp;盘货信息!$B:$B&amp;盘货信息!$C:$C,盘货信息!$I:$I)="","","88VIP95折"))</f>
        <v/>
      </c>
      <c r="H432" s="18" t="str">
        <f t="array" ref="H432">IF(C432="","",IF(_xlfn.XLOOKUP(A432&amp;B432&amp;C432,盘货信息!$A:$A&amp;盘货信息!$B:$B&amp;盘货信息!$C:$C,盘货信息!$J:$J)="","",_xlfn.XLOOKUP(A432&amp;B432&amp;C432,盘货信息!$A:$A&amp;盘货信息!$B:$B&amp;盘货信息!$C:$C,盘货信息!$J:$J)&amp;"元优惠卷"))</f>
        <v/>
      </c>
      <c r="I432" s="18" t="str">
        <f t="array" ref="I432">IF(C432="","",IF(_xlfn.XLOOKUP(A432&amp;B432&amp;C432,盘货信息!$A:$A&amp;盘货信息!$B:$B&amp;盘货信息!$C:$C,盘货信息!$R:$R)="","",_xlfn.XLOOKUP(A432&amp;B432&amp;C432,盘货信息!$A:$A&amp;盘货信息!$B:$B&amp;盘货信息!$C:$C,盘货信息!$R:$R)&amp;"元优惠卷"))</f>
        <v/>
      </c>
      <c r="J432" s="18" t="str">
        <f t="array" ref="J432">IF(C432="","",IF(_xlfn.XLOOKUP(A432&amp;B432&amp;C432,盘货信息!$A:$A&amp;盘货信息!$B:$B&amp;盘货信息!$C:$C,盘货信息!$K:$K)="","",IF(OR(_xlfn.XLOOKUP(A432&amp;B432&amp;C432,盘货信息!$A:$A&amp;盘货信息!$B:$B&amp;盘货信息!$C:$C,盘货信息!$G:$G)="参加",_xlfn.XLOOKUP(A432&amp;B432&amp;C432,盘货信息!$A:$A&amp;盘货信息!$B:$B&amp;盘货信息!$C:$C,盘货信息!$H:$H)="1（纯自补）"),_xlfn.XLOOKUP(A432&amp;B432&amp;C432,盘货信息!$A:$A&amp;盘货信息!$B:$B&amp;盘货信息!$C:$C,盘货信息!$K:$K)&amp;"元以旧换新（可无旧机换新）","")))</f>
        <v/>
      </c>
      <c r="K432" s="18" t="str">
        <f t="array" ref="K432">IF(C432="","",IF(_xlfn.XLOOKUP(A432&amp;B432&amp;C432,盘货信息!$A:$A&amp;盘货信息!$B:$B&amp;盘货信息!$C:$C,盘货信息!$L:$L)="","",_xlfn.XLOOKUP(A432&amp;B432&amp;C432,盘货信息!$A:$A&amp;盘货信息!$B:$B&amp;盘货信息!$C:$C,盘货信息!$L:$L)&amp;"元限时补贴"))</f>
        <v/>
      </c>
      <c r="L432" s="18" t="str">
        <f t="array" ref="L432">IF(C432="","",IF(_xlfn.XLOOKUP(A432&amp;B432&amp;C432,盘货信息!$A:$A&amp;盘货信息!$B:$B&amp;盘货信息!$C:$C,盘货信息!$M:$M)="","",_xlfn.XLOOKUP(A432&amp;B432&amp;C432,盘货信息!$A:$A&amp;盘货信息!$B:$B&amp;盘货信息!$C:$C,盘货信息!$M:$M)&amp;"元消费券"))</f>
        <v/>
      </c>
      <c r="M432" s="18" t="str">
        <f t="array" ref="M432">IF(C432="","",IF(_xlfn.XLOOKUP(A432&amp;B432&amp;C432,盘货信息!$A:$A&amp;盘货信息!$B:$B&amp;盘货信息!$C:$C,盘货信息!$G:$G)="不参加","","焕新补贴优惠【全民可用，不限地址】"))</f>
        <v/>
      </c>
    </row>
    <row r="433" customHeight="1" spans="1:13">
      <c r="A433" s="17" t="str">
        <f>IF(盘货信息!A433="","",盘货信息!A433)</f>
        <v/>
      </c>
      <c r="B433" s="17" t="str">
        <f>IF(盘货信息!B433="","",盘货信息!B433)</f>
        <v/>
      </c>
      <c r="C433" s="18" t="str">
        <f>IF(盘货信息!C433="","",盘货信息!C433)</f>
        <v/>
      </c>
      <c r="D433" s="18" t="str">
        <f t="shared" si="6"/>
        <v/>
      </c>
      <c r="E433" s="18" t="str">
        <f t="array" ref="E433">IF(C433="","",IF(_xlfn.XLOOKUP(A433&amp;B433&amp;C433,盘货信息!$A:$A&amp;盘货信息!$B:$B&amp;盘货信息!$C:$C,盘货信息!$N:$N)="","【立减到手价"&amp;_xlfn.XLOOKUP(A433&amp;B433&amp;C433,盘货信息!$A:$A&amp;盘货信息!$B:$B&amp;盘货信息!$C:$C,盘货信息!$F:$F)&amp;"元】","【焕新补贴预估价"&amp;_xlfn.XLOOKUP(A433&amp;B433&amp;C433,盘货信息!$A:$A&amp;盘货信息!$B:$B&amp;盘货信息!$C:$C,盘货信息!$N:$N)&amp;"元】"))</f>
        <v/>
      </c>
      <c r="F433" s="18" t="str">
        <f t="array" ref="F433">IF(C433="","",_xlfn.XLOOKUP(A433&amp;B433&amp;C433,盘货信息!$A:$A&amp;盘货信息!$B:$B&amp;盘货信息!$C:$C,盘货信息!$E:$E)&amp;"元到手价")</f>
        <v/>
      </c>
      <c r="G433" s="18" t="str">
        <f t="array" ref="G433">IF(C433="","",IF(_xlfn.XLOOKUP(A433&amp;B433&amp;C433,盘货信息!$A:$A&amp;盘货信息!$B:$B&amp;盘货信息!$C:$C,盘货信息!$I:$I)="","","88VIP95折"))</f>
        <v/>
      </c>
      <c r="H433" s="18" t="str">
        <f t="array" ref="H433">IF(C433="","",IF(_xlfn.XLOOKUP(A433&amp;B433&amp;C433,盘货信息!$A:$A&amp;盘货信息!$B:$B&amp;盘货信息!$C:$C,盘货信息!$J:$J)="","",_xlfn.XLOOKUP(A433&amp;B433&amp;C433,盘货信息!$A:$A&amp;盘货信息!$B:$B&amp;盘货信息!$C:$C,盘货信息!$J:$J)&amp;"元优惠卷"))</f>
        <v/>
      </c>
      <c r="I433" s="18" t="str">
        <f t="array" ref="I433">IF(C433="","",IF(_xlfn.XLOOKUP(A433&amp;B433&amp;C433,盘货信息!$A:$A&amp;盘货信息!$B:$B&amp;盘货信息!$C:$C,盘货信息!$R:$R)="","",_xlfn.XLOOKUP(A433&amp;B433&amp;C433,盘货信息!$A:$A&amp;盘货信息!$B:$B&amp;盘货信息!$C:$C,盘货信息!$R:$R)&amp;"元优惠卷"))</f>
        <v/>
      </c>
      <c r="J433" s="18" t="str">
        <f t="array" ref="J433">IF(C433="","",IF(_xlfn.XLOOKUP(A433&amp;B433&amp;C433,盘货信息!$A:$A&amp;盘货信息!$B:$B&amp;盘货信息!$C:$C,盘货信息!$K:$K)="","",IF(OR(_xlfn.XLOOKUP(A433&amp;B433&amp;C433,盘货信息!$A:$A&amp;盘货信息!$B:$B&amp;盘货信息!$C:$C,盘货信息!$G:$G)="参加",_xlfn.XLOOKUP(A433&amp;B433&amp;C433,盘货信息!$A:$A&amp;盘货信息!$B:$B&amp;盘货信息!$C:$C,盘货信息!$H:$H)="1（纯自补）"),_xlfn.XLOOKUP(A433&amp;B433&amp;C433,盘货信息!$A:$A&amp;盘货信息!$B:$B&amp;盘货信息!$C:$C,盘货信息!$K:$K)&amp;"元以旧换新（可无旧机换新）","")))</f>
        <v/>
      </c>
      <c r="K433" s="18" t="str">
        <f t="array" ref="K433">IF(C433="","",IF(_xlfn.XLOOKUP(A433&amp;B433&amp;C433,盘货信息!$A:$A&amp;盘货信息!$B:$B&amp;盘货信息!$C:$C,盘货信息!$L:$L)="","",_xlfn.XLOOKUP(A433&amp;B433&amp;C433,盘货信息!$A:$A&amp;盘货信息!$B:$B&amp;盘货信息!$C:$C,盘货信息!$L:$L)&amp;"元限时补贴"))</f>
        <v/>
      </c>
      <c r="L433" s="18" t="str">
        <f t="array" ref="L433">IF(C433="","",IF(_xlfn.XLOOKUP(A433&amp;B433&amp;C433,盘货信息!$A:$A&amp;盘货信息!$B:$B&amp;盘货信息!$C:$C,盘货信息!$M:$M)="","",_xlfn.XLOOKUP(A433&amp;B433&amp;C433,盘货信息!$A:$A&amp;盘货信息!$B:$B&amp;盘货信息!$C:$C,盘货信息!$M:$M)&amp;"元消费券"))</f>
        <v/>
      </c>
      <c r="M433" s="18" t="str">
        <f t="array" ref="M433">IF(C433="","",IF(_xlfn.XLOOKUP(A433&amp;B433&amp;C433,盘货信息!$A:$A&amp;盘货信息!$B:$B&amp;盘货信息!$C:$C,盘货信息!$G:$G)="不参加","","焕新补贴优惠【全民可用，不限地址】"))</f>
        <v/>
      </c>
    </row>
    <row r="434" customHeight="1" spans="1:13">
      <c r="A434" s="17" t="str">
        <f>IF(盘货信息!A434="","",盘货信息!A434)</f>
        <v/>
      </c>
      <c r="B434" s="17" t="str">
        <f>IF(盘货信息!B434="","",盘货信息!B434)</f>
        <v/>
      </c>
      <c r="C434" s="18" t="str">
        <f>IF(盘货信息!C434="","",盘货信息!C434)</f>
        <v/>
      </c>
      <c r="D434" s="18" t="str">
        <f t="shared" si="6"/>
        <v/>
      </c>
      <c r="E434" s="18" t="str">
        <f t="array" ref="E434">IF(C434="","",IF(_xlfn.XLOOKUP(A434&amp;B434&amp;C434,盘货信息!$A:$A&amp;盘货信息!$B:$B&amp;盘货信息!$C:$C,盘货信息!$N:$N)="","【立减到手价"&amp;_xlfn.XLOOKUP(A434&amp;B434&amp;C434,盘货信息!$A:$A&amp;盘货信息!$B:$B&amp;盘货信息!$C:$C,盘货信息!$F:$F)&amp;"元】","【焕新补贴预估价"&amp;_xlfn.XLOOKUP(A434&amp;B434&amp;C434,盘货信息!$A:$A&amp;盘货信息!$B:$B&amp;盘货信息!$C:$C,盘货信息!$N:$N)&amp;"元】"))</f>
        <v/>
      </c>
      <c r="F434" s="18" t="str">
        <f t="array" ref="F434">IF(C434="","",_xlfn.XLOOKUP(A434&amp;B434&amp;C434,盘货信息!$A:$A&amp;盘货信息!$B:$B&amp;盘货信息!$C:$C,盘货信息!$E:$E)&amp;"元到手价")</f>
        <v/>
      </c>
      <c r="G434" s="18" t="str">
        <f t="array" ref="G434">IF(C434="","",IF(_xlfn.XLOOKUP(A434&amp;B434&amp;C434,盘货信息!$A:$A&amp;盘货信息!$B:$B&amp;盘货信息!$C:$C,盘货信息!$I:$I)="","","88VIP95折"))</f>
        <v/>
      </c>
      <c r="H434" s="18" t="str">
        <f t="array" ref="H434">IF(C434="","",IF(_xlfn.XLOOKUP(A434&amp;B434&amp;C434,盘货信息!$A:$A&amp;盘货信息!$B:$B&amp;盘货信息!$C:$C,盘货信息!$J:$J)="","",_xlfn.XLOOKUP(A434&amp;B434&amp;C434,盘货信息!$A:$A&amp;盘货信息!$B:$B&amp;盘货信息!$C:$C,盘货信息!$J:$J)&amp;"元优惠卷"))</f>
        <v/>
      </c>
      <c r="I434" s="18" t="str">
        <f t="array" ref="I434">IF(C434="","",IF(_xlfn.XLOOKUP(A434&amp;B434&amp;C434,盘货信息!$A:$A&amp;盘货信息!$B:$B&amp;盘货信息!$C:$C,盘货信息!$R:$R)="","",_xlfn.XLOOKUP(A434&amp;B434&amp;C434,盘货信息!$A:$A&amp;盘货信息!$B:$B&amp;盘货信息!$C:$C,盘货信息!$R:$R)&amp;"元优惠卷"))</f>
        <v/>
      </c>
      <c r="J434" s="18" t="str">
        <f t="array" ref="J434">IF(C434="","",IF(_xlfn.XLOOKUP(A434&amp;B434&amp;C434,盘货信息!$A:$A&amp;盘货信息!$B:$B&amp;盘货信息!$C:$C,盘货信息!$K:$K)="","",IF(OR(_xlfn.XLOOKUP(A434&amp;B434&amp;C434,盘货信息!$A:$A&amp;盘货信息!$B:$B&amp;盘货信息!$C:$C,盘货信息!$G:$G)="参加",_xlfn.XLOOKUP(A434&amp;B434&amp;C434,盘货信息!$A:$A&amp;盘货信息!$B:$B&amp;盘货信息!$C:$C,盘货信息!$H:$H)="1（纯自补）"),_xlfn.XLOOKUP(A434&amp;B434&amp;C434,盘货信息!$A:$A&amp;盘货信息!$B:$B&amp;盘货信息!$C:$C,盘货信息!$K:$K)&amp;"元以旧换新（可无旧机换新）","")))</f>
        <v/>
      </c>
      <c r="K434" s="18" t="str">
        <f t="array" ref="K434">IF(C434="","",IF(_xlfn.XLOOKUP(A434&amp;B434&amp;C434,盘货信息!$A:$A&amp;盘货信息!$B:$B&amp;盘货信息!$C:$C,盘货信息!$L:$L)="","",_xlfn.XLOOKUP(A434&amp;B434&amp;C434,盘货信息!$A:$A&amp;盘货信息!$B:$B&amp;盘货信息!$C:$C,盘货信息!$L:$L)&amp;"元限时补贴"))</f>
        <v/>
      </c>
      <c r="L434" s="18" t="str">
        <f t="array" ref="L434">IF(C434="","",IF(_xlfn.XLOOKUP(A434&amp;B434&amp;C434,盘货信息!$A:$A&amp;盘货信息!$B:$B&amp;盘货信息!$C:$C,盘货信息!$M:$M)="","",_xlfn.XLOOKUP(A434&amp;B434&amp;C434,盘货信息!$A:$A&amp;盘货信息!$B:$B&amp;盘货信息!$C:$C,盘货信息!$M:$M)&amp;"元消费券"))</f>
        <v/>
      </c>
      <c r="M434" s="18" t="str">
        <f t="array" ref="M434">IF(C434="","",IF(_xlfn.XLOOKUP(A434&amp;B434&amp;C434,盘货信息!$A:$A&amp;盘货信息!$B:$B&amp;盘货信息!$C:$C,盘货信息!$G:$G)="不参加","","焕新补贴优惠【全民可用，不限地址】"))</f>
        <v/>
      </c>
    </row>
    <row r="435" customHeight="1" spans="1:13">
      <c r="A435" s="17" t="str">
        <f>IF(盘货信息!A435="","",盘货信息!A435)</f>
        <v/>
      </c>
      <c r="B435" s="17" t="str">
        <f>IF(盘货信息!B435="","",盘货信息!B435)</f>
        <v/>
      </c>
      <c r="C435" s="18" t="str">
        <f>IF(盘货信息!C435="","",盘货信息!C435)</f>
        <v/>
      </c>
      <c r="D435" s="18" t="str">
        <f t="shared" si="6"/>
        <v/>
      </c>
      <c r="E435" s="18" t="str">
        <f t="array" ref="E435">IF(C435="","",IF(_xlfn.XLOOKUP(A435&amp;B435&amp;C435,盘货信息!$A:$A&amp;盘货信息!$B:$B&amp;盘货信息!$C:$C,盘货信息!$N:$N)="","【立减到手价"&amp;_xlfn.XLOOKUP(A435&amp;B435&amp;C435,盘货信息!$A:$A&amp;盘货信息!$B:$B&amp;盘货信息!$C:$C,盘货信息!$F:$F)&amp;"元】","【焕新补贴预估价"&amp;_xlfn.XLOOKUP(A435&amp;B435&amp;C435,盘货信息!$A:$A&amp;盘货信息!$B:$B&amp;盘货信息!$C:$C,盘货信息!$N:$N)&amp;"元】"))</f>
        <v/>
      </c>
      <c r="F435" s="18" t="str">
        <f t="array" ref="F435">IF(C435="","",_xlfn.XLOOKUP(A435&amp;B435&amp;C435,盘货信息!$A:$A&amp;盘货信息!$B:$B&amp;盘货信息!$C:$C,盘货信息!$E:$E)&amp;"元到手价")</f>
        <v/>
      </c>
      <c r="G435" s="18" t="str">
        <f t="array" ref="G435">IF(C435="","",IF(_xlfn.XLOOKUP(A435&amp;B435&amp;C435,盘货信息!$A:$A&amp;盘货信息!$B:$B&amp;盘货信息!$C:$C,盘货信息!$I:$I)="","","88VIP95折"))</f>
        <v/>
      </c>
      <c r="H435" s="18" t="str">
        <f t="array" ref="H435">IF(C435="","",IF(_xlfn.XLOOKUP(A435&amp;B435&amp;C435,盘货信息!$A:$A&amp;盘货信息!$B:$B&amp;盘货信息!$C:$C,盘货信息!$J:$J)="","",_xlfn.XLOOKUP(A435&amp;B435&amp;C435,盘货信息!$A:$A&amp;盘货信息!$B:$B&amp;盘货信息!$C:$C,盘货信息!$J:$J)&amp;"元优惠卷"))</f>
        <v/>
      </c>
      <c r="I435" s="18" t="str">
        <f t="array" ref="I435">IF(C435="","",IF(_xlfn.XLOOKUP(A435&amp;B435&amp;C435,盘货信息!$A:$A&amp;盘货信息!$B:$B&amp;盘货信息!$C:$C,盘货信息!$R:$R)="","",_xlfn.XLOOKUP(A435&amp;B435&amp;C435,盘货信息!$A:$A&amp;盘货信息!$B:$B&amp;盘货信息!$C:$C,盘货信息!$R:$R)&amp;"元优惠卷"))</f>
        <v/>
      </c>
      <c r="J435" s="18" t="str">
        <f t="array" ref="J435">IF(C435="","",IF(_xlfn.XLOOKUP(A435&amp;B435&amp;C435,盘货信息!$A:$A&amp;盘货信息!$B:$B&amp;盘货信息!$C:$C,盘货信息!$K:$K)="","",IF(OR(_xlfn.XLOOKUP(A435&amp;B435&amp;C435,盘货信息!$A:$A&amp;盘货信息!$B:$B&amp;盘货信息!$C:$C,盘货信息!$G:$G)="参加",_xlfn.XLOOKUP(A435&amp;B435&amp;C435,盘货信息!$A:$A&amp;盘货信息!$B:$B&amp;盘货信息!$C:$C,盘货信息!$H:$H)="1（纯自补）"),_xlfn.XLOOKUP(A435&amp;B435&amp;C435,盘货信息!$A:$A&amp;盘货信息!$B:$B&amp;盘货信息!$C:$C,盘货信息!$K:$K)&amp;"元以旧换新（可无旧机换新）","")))</f>
        <v/>
      </c>
      <c r="K435" s="18" t="str">
        <f t="array" ref="K435">IF(C435="","",IF(_xlfn.XLOOKUP(A435&amp;B435&amp;C435,盘货信息!$A:$A&amp;盘货信息!$B:$B&amp;盘货信息!$C:$C,盘货信息!$L:$L)="","",_xlfn.XLOOKUP(A435&amp;B435&amp;C435,盘货信息!$A:$A&amp;盘货信息!$B:$B&amp;盘货信息!$C:$C,盘货信息!$L:$L)&amp;"元限时补贴"))</f>
        <v/>
      </c>
      <c r="L435" s="18" t="str">
        <f t="array" ref="L435">IF(C435="","",IF(_xlfn.XLOOKUP(A435&amp;B435&amp;C435,盘货信息!$A:$A&amp;盘货信息!$B:$B&amp;盘货信息!$C:$C,盘货信息!$M:$M)="","",_xlfn.XLOOKUP(A435&amp;B435&amp;C435,盘货信息!$A:$A&amp;盘货信息!$B:$B&amp;盘货信息!$C:$C,盘货信息!$M:$M)&amp;"元消费券"))</f>
        <v/>
      </c>
      <c r="M435" s="18" t="str">
        <f t="array" ref="M435">IF(C435="","",IF(_xlfn.XLOOKUP(A435&amp;B435&amp;C435,盘货信息!$A:$A&amp;盘货信息!$B:$B&amp;盘货信息!$C:$C,盘货信息!$G:$G)="不参加","","焕新补贴优惠【全民可用，不限地址】"))</f>
        <v/>
      </c>
    </row>
    <row r="436" customHeight="1" spans="1:13">
      <c r="A436" s="17" t="str">
        <f>IF(盘货信息!A436="","",盘货信息!A436)</f>
        <v/>
      </c>
      <c r="B436" s="17" t="str">
        <f>IF(盘货信息!B436="","",盘货信息!B436)</f>
        <v/>
      </c>
      <c r="C436" s="18" t="str">
        <f>IF(盘货信息!C436="","",盘货信息!C436)</f>
        <v/>
      </c>
      <c r="D436" s="18" t="str">
        <f t="shared" si="6"/>
        <v/>
      </c>
      <c r="E436" s="18" t="str">
        <f t="array" ref="E436">IF(C436="","",IF(_xlfn.XLOOKUP(A436&amp;B436&amp;C436,盘货信息!$A:$A&amp;盘货信息!$B:$B&amp;盘货信息!$C:$C,盘货信息!$N:$N)="","【立减到手价"&amp;_xlfn.XLOOKUP(A436&amp;B436&amp;C436,盘货信息!$A:$A&amp;盘货信息!$B:$B&amp;盘货信息!$C:$C,盘货信息!$F:$F)&amp;"元】","【焕新补贴预估价"&amp;_xlfn.XLOOKUP(A436&amp;B436&amp;C436,盘货信息!$A:$A&amp;盘货信息!$B:$B&amp;盘货信息!$C:$C,盘货信息!$N:$N)&amp;"元】"))</f>
        <v/>
      </c>
      <c r="F436" s="18" t="str">
        <f t="array" ref="F436">IF(C436="","",_xlfn.XLOOKUP(A436&amp;B436&amp;C436,盘货信息!$A:$A&amp;盘货信息!$B:$B&amp;盘货信息!$C:$C,盘货信息!$E:$E)&amp;"元到手价")</f>
        <v/>
      </c>
      <c r="G436" s="18" t="str">
        <f t="array" ref="G436">IF(C436="","",IF(_xlfn.XLOOKUP(A436&amp;B436&amp;C436,盘货信息!$A:$A&amp;盘货信息!$B:$B&amp;盘货信息!$C:$C,盘货信息!$I:$I)="","","88VIP95折"))</f>
        <v/>
      </c>
      <c r="H436" s="18" t="str">
        <f t="array" ref="H436">IF(C436="","",IF(_xlfn.XLOOKUP(A436&amp;B436&amp;C436,盘货信息!$A:$A&amp;盘货信息!$B:$B&amp;盘货信息!$C:$C,盘货信息!$J:$J)="","",_xlfn.XLOOKUP(A436&amp;B436&amp;C436,盘货信息!$A:$A&amp;盘货信息!$B:$B&amp;盘货信息!$C:$C,盘货信息!$J:$J)&amp;"元优惠卷"))</f>
        <v/>
      </c>
      <c r="I436" s="18" t="str">
        <f t="array" ref="I436">IF(C436="","",IF(_xlfn.XLOOKUP(A436&amp;B436&amp;C436,盘货信息!$A:$A&amp;盘货信息!$B:$B&amp;盘货信息!$C:$C,盘货信息!$R:$R)="","",_xlfn.XLOOKUP(A436&amp;B436&amp;C436,盘货信息!$A:$A&amp;盘货信息!$B:$B&amp;盘货信息!$C:$C,盘货信息!$R:$R)&amp;"元优惠卷"))</f>
        <v/>
      </c>
      <c r="J436" s="18" t="str">
        <f t="array" ref="J436">IF(C436="","",IF(_xlfn.XLOOKUP(A436&amp;B436&amp;C436,盘货信息!$A:$A&amp;盘货信息!$B:$B&amp;盘货信息!$C:$C,盘货信息!$K:$K)="","",IF(OR(_xlfn.XLOOKUP(A436&amp;B436&amp;C436,盘货信息!$A:$A&amp;盘货信息!$B:$B&amp;盘货信息!$C:$C,盘货信息!$G:$G)="参加",_xlfn.XLOOKUP(A436&amp;B436&amp;C436,盘货信息!$A:$A&amp;盘货信息!$B:$B&amp;盘货信息!$C:$C,盘货信息!$H:$H)="1（纯自补）"),_xlfn.XLOOKUP(A436&amp;B436&amp;C436,盘货信息!$A:$A&amp;盘货信息!$B:$B&amp;盘货信息!$C:$C,盘货信息!$K:$K)&amp;"元以旧换新（可无旧机换新）","")))</f>
        <v/>
      </c>
      <c r="K436" s="18" t="str">
        <f t="array" ref="K436">IF(C436="","",IF(_xlfn.XLOOKUP(A436&amp;B436&amp;C436,盘货信息!$A:$A&amp;盘货信息!$B:$B&amp;盘货信息!$C:$C,盘货信息!$L:$L)="","",_xlfn.XLOOKUP(A436&amp;B436&amp;C436,盘货信息!$A:$A&amp;盘货信息!$B:$B&amp;盘货信息!$C:$C,盘货信息!$L:$L)&amp;"元限时补贴"))</f>
        <v/>
      </c>
      <c r="L436" s="18" t="str">
        <f t="array" ref="L436">IF(C436="","",IF(_xlfn.XLOOKUP(A436&amp;B436&amp;C436,盘货信息!$A:$A&amp;盘货信息!$B:$B&amp;盘货信息!$C:$C,盘货信息!$M:$M)="","",_xlfn.XLOOKUP(A436&amp;B436&amp;C436,盘货信息!$A:$A&amp;盘货信息!$B:$B&amp;盘货信息!$C:$C,盘货信息!$M:$M)&amp;"元消费券"))</f>
        <v/>
      </c>
      <c r="M436" s="18" t="str">
        <f t="array" ref="M436">IF(C436="","",IF(_xlfn.XLOOKUP(A436&amp;B436&amp;C436,盘货信息!$A:$A&amp;盘货信息!$B:$B&amp;盘货信息!$C:$C,盘货信息!$G:$G)="不参加","","焕新补贴优惠【全民可用，不限地址】"))</f>
        <v/>
      </c>
    </row>
    <row r="437" customHeight="1" spans="1:13">
      <c r="A437" s="17" t="str">
        <f>IF(盘货信息!A437="","",盘货信息!A437)</f>
        <v/>
      </c>
      <c r="B437" s="17" t="str">
        <f>IF(盘货信息!B437="","",盘货信息!B437)</f>
        <v/>
      </c>
      <c r="C437" s="18" t="str">
        <f>IF(盘货信息!C437="","",盘货信息!C437)</f>
        <v/>
      </c>
      <c r="D437" s="18" t="str">
        <f t="shared" si="6"/>
        <v/>
      </c>
      <c r="E437" s="18" t="str">
        <f t="array" ref="E437">IF(C437="","",IF(_xlfn.XLOOKUP(A437&amp;B437&amp;C437,盘货信息!$A:$A&amp;盘货信息!$B:$B&amp;盘货信息!$C:$C,盘货信息!$N:$N)="","【立减到手价"&amp;_xlfn.XLOOKUP(A437&amp;B437&amp;C437,盘货信息!$A:$A&amp;盘货信息!$B:$B&amp;盘货信息!$C:$C,盘货信息!$F:$F)&amp;"元】","【焕新补贴预估价"&amp;_xlfn.XLOOKUP(A437&amp;B437&amp;C437,盘货信息!$A:$A&amp;盘货信息!$B:$B&amp;盘货信息!$C:$C,盘货信息!$N:$N)&amp;"元】"))</f>
        <v/>
      </c>
      <c r="F437" s="18" t="str">
        <f t="array" ref="F437">IF(C437="","",_xlfn.XLOOKUP(A437&amp;B437&amp;C437,盘货信息!$A:$A&amp;盘货信息!$B:$B&amp;盘货信息!$C:$C,盘货信息!$E:$E)&amp;"元到手价")</f>
        <v/>
      </c>
      <c r="G437" s="18" t="str">
        <f t="array" ref="G437">IF(C437="","",IF(_xlfn.XLOOKUP(A437&amp;B437&amp;C437,盘货信息!$A:$A&amp;盘货信息!$B:$B&amp;盘货信息!$C:$C,盘货信息!$I:$I)="","","88VIP95折"))</f>
        <v/>
      </c>
      <c r="H437" s="18" t="str">
        <f t="array" ref="H437">IF(C437="","",IF(_xlfn.XLOOKUP(A437&amp;B437&amp;C437,盘货信息!$A:$A&amp;盘货信息!$B:$B&amp;盘货信息!$C:$C,盘货信息!$J:$J)="","",_xlfn.XLOOKUP(A437&amp;B437&amp;C437,盘货信息!$A:$A&amp;盘货信息!$B:$B&amp;盘货信息!$C:$C,盘货信息!$J:$J)&amp;"元优惠卷"))</f>
        <v/>
      </c>
      <c r="I437" s="18" t="str">
        <f t="array" ref="I437">IF(C437="","",IF(_xlfn.XLOOKUP(A437&amp;B437&amp;C437,盘货信息!$A:$A&amp;盘货信息!$B:$B&amp;盘货信息!$C:$C,盘货信息!$R:$R)="","",_xlfn.XLOOKUP(A437&amp;B437&amp;C437,盘货信息!$A:$A&amp;盘货信息!$B:$B&amp;盘货信息!$C:$C,盘货信息!$R:$R)&amp;"元优惠卷"))</f>
        <v/>
      </c>
      <c r="J437" s="18" t="str">
        <f t="array" ref="J437">IF(C437="","",IF(_xlfn.XLOOKUP(A437&amp;B437&amp;C437,盘货信息!$A:$A&amp;盘货信息!$B:$B&amp;盘货信息!$C:$C,盘货信息!$K:$K)="","",IF(OR(_xlfn.XLOOKUP(A437&amp;B437&amp;C437,盘货信息!$A:$A&amp;盘货信息!$B:$B&amp;盘货信息!$C:$C,盘货信息!$G:$G)="参加",_xlfn.XLOOKUP(A437&amp;B437&amp;C437,盘货信息!$A:$A&amp;盘货信息!$B:$B&amp;盘货信息!$C:$C,盘货信息!$H:$H)="1（纯自补）"),_xlfn.XLOOKUP(A437&amp;B437&amp;C437,盘货信息!$A:$A&amp;盘货信息!$B:$B&amp;盘货信息!$C:$C,盘货信息!$K:$K)&amp;"元以旧换新（可无旧机换新）","")))</f>
        <v/>
      </c>
      <c r="K437" s="18" t="str">
        <f t="array" ref="K437">IF(C437="","",IF(_xlfn.XLOOKUP(A437&amp;B437&amp;C437,盘货信息!$A:$A&amp;盘货信息!$B:$B&amp;盘货信息!$C:$C,盘货信息!$L:$L)="","",_xlfn.XLOOKUP(A437&amp;B437&amp;C437,盘货信息!$A:$A&amp;盘货信息!$B:$B&amp;盘货信息!$C:$C,盘货信息!$L:$L)&amp;"元限时补贴"))</f>
        <v/>
      </c>
      <c r="L437" s="18" t="str">
        <f t="array" ref="L437">IF(C437="","",IF(_xlfn.XLOOKUP(A437&amp;B437&amp;C437,盘货信息!$A:$A&amp;盘货信息!$B:$B&amp;盘货信息!$C:$C,盘货信息!$M:$M)="","",_xlfn.XLOOKUP(A437&amp;B437&amp;C437,盘货信息!$A:$A&amp;盘货信息!$B:$B&amp;盘货信息!$C:$C,盘货信息!$M:$M)&amp;"元消费券"))</f>
        <v/>
      </c>
      <c r="M437" s="18" t="str">
        <f t="array" ref="M437">IF(C437="","",IF(_xlfn.XLOOKUP(A437&amp;B437&amp;C437,盘货信息!$A:$A&amp;盘货信息!$B:$B&amp;盘货信息!$C:$C,盘货信息!$G:$G)="不参加","","焕新补贴优惠【全民可用，不限地址】"))</f>
        <v/>
      </c>
    </row>
    <row r="438" customHeight="1" spans="1:13">
      <c r="A438" s="17" t="str">
        <f>IF(盘货信息!A438="","",盘货信息!A438)</f>
        <v/>
      </c>
      <c r="B438" s="17" t="str">
        <f>IF(盘货信息!B438="","",盘货信息!B438)</f>
        <v/>
      </c>
      <c r="C438" s="18" t="str">
        <f>IF(盘货信息!C438="","",盘货信息!C438)</f>
        <v/>
      </c>
      <c r="D438" s="18" t="str">
        <f t="shared" si="6"/>
        <v/>
      </c>
      <c r="E438" s="18" t="str">
        <f t="array" ref="E438">IF(C438="","",IF(_xlfn.XLOOKUP(A438&amp;B438&amp;C438,盘货信息!$A:$A&amp;盘货信息!$B:$B&amp;盘货信息!$C:$C,盘货信息!$N:$N)="","【立减到手价"&amp;_xlfn.XLOOKUP(A438&amp;B438&amp;C438,盘货信息!$A:$A&amp;盘货信息!$B:$B&amp;盘货信息!$C:$C,盘货信息!$F:$F)&amp;"元】","【焕新补贴预估价"&amp;_xlfn.XLOOKUP(A438&amp;B438&amp;C438,盘货信息!$A:$A&amp;盘货信息!$B:$B&amp;盘货信息!$C:$C,盘货信息!$N:$N)&amp;"元】"))</f>
        <v/>
      </c>
      <c r="F438" s="18" t="str">
        <f t="array" ref="F438">IF(C438="","",_xlfn.XLOOKUP(A438&amp;B438&amp;C438,盘货信息!$A:$A&amp;盘货信息!$B:$B&amp;盘货信息!$C:$C,盘货信息!$E:$E)&amp;"元到手价")</f>
        <v/>
      </c>
      <c r="G438" s="18" t="str">
        <f t="array" ref="G438">IF(C438="","",IF(_xlfn.XLOOKUP(A438&amp;B438&amp;C438,盘货信息!$A:$A&amp;盘货信息!$B:$B&amp;盘货信息!$C:$C,盘货信息!$I:$I)="","","88VIP95折"))</f>
        <v/>
      </c>
      <c r="H438" s="18" t="str">
        <f t="array" ref="H438">IF(C438="","",IF(_xlfn.XLOOKUP(A438&amp;B438&amp;C438,盘货信息!$A:$A&amp;盘货信息!$B:$B&amp;盘货信息!$C:$C,盘货信息!$J:$J)="","",_xlfn.XLOOKUP(A438&amp;B438&amp;C438,盘货信息!$A:$A&amp;盘货信息!$B:$B&amp;盘货信息!$C:$C,盘货信息!$J:$J)&amp;"元优惠卷"))</f>
        <v/>
      </c>
      <c r="I438" s="18" t="str">
        <f t="array" ref="I438">IF(C438="","",IF(_xlfn.XLOOKUP(A438&amp;B438&amp;C438,盘货信息!$A:$A&amp;盘货信息!$B:$B&amp;盘货信息!$C:$C,盘货信息!$R:$R)="","",_xlfn.XLOOKUP(A438&amp;B438&amp;C438,盘货信息!$A:$A&amp;盘货信息!$B:$B&amp;盘货信息!$C:$C,盘货信息!$R:$R)&amp;"元优惠卷"))</f>
        <v/>
      </c>
      <c r="J438" s="18" t="str">
        <f t="array" ref="J438">IF(C438="","",IF(_xlfn.XLOOKUP(A438&amp;B438&amp;C438,盘货信息!$A:$A&amp;盘货信息!$B:$B&amp;盘货信息!$C:$C,盘货信息!$K:$K)="","",IF(OR(_xlfn.XLOOKUP(A438&amp;B438&amp;C438,盘货信息!$A:$A&amp;盘货信息!$B:$B&amp;盘货信息!$C:$C,盘货信息!$G:$G)="参加",_xlfn.XLOOKUP(A438&amp;B438&amp;C438,盘货信息!$A:$A&amp;盘货信息!$B:$B&amp;盘货信息!$C:$C,盘货信息!$H:$H)="1（纯自补）"),_xlfn.XLOOKUP(A438&amp;B438&amp;C438,盘货信息!$A:$A&amp;盘货信息!$B:$B&amp;盘货信息!$C:$C,盘货信息!$K:$K)&amp;"元以旧换新（可无旧机换新）","")))</f>
        <v/>
      </c>
      <c r="K438" s="18" t="str">
        <f t="array" ref="K438">IF(C438="","",IF(_xlfn.XLOOKUP(A438&amp;B438&amp;C438,盘货信息!$A:$A&amp;盘货信息!$B:$B&amp;盘货信息!$C:$C,盘货信息!$L:$L)="","",_xlfn.XLOOKUP(A438&amp;B438&amp;C438,盘货信息!$A:$A&amp;盘货信息!$B:$B&amp;盘货信息!$C:$C,盘货信息!$L:$L)&amp;"元限时补贴"))</f>
        <v/>
      </c>
      <c r="L438" s="18" t="str">
        <f t="array" ref="L438">IF(C438="","",IF(_xlfn.XLOOKUP(A438&amp;B438&amp;C438,盘货信息!$A:$A&amp;盘货信息!$B:$B&amp;盘货信息!$C:$C,盘货信息!$M:$M)="","",_xlfn.XLOOKUP(A438&amp;B438&amp;C438,盘货信息!$A:$A&amp;盘货信息!$B:$B&amp;盘货信息!$C:$C,盘货信息!$M:$M)&amp;"元消费券"))</f>
        <v/>
      </c>
      <c r="M438" s="18" t="str">
        <f t="array" ref="M438">IF(C438="","",IF(_xlfn.XLOOKUP(A438&amp;B438&amp;C438,盘货信息!$A:$A&amp;盘货信息!$B:$B&amp;盘货信息!$C:$C,盘货信息!$G:$G)="不参加","","焕新补贴优惠【全民可用，不限地址】"))</f>
        <v/>
      </c>
    </row>
    <row r="439" customHeight="1" spans="1:13">
      <c r="A439" s="17" t="str">
        <f>IF(盘货信息!A439="","",盘货信息!A439)</f>
        <v/>
      </c>
      <c r="B439" s="17" t="str">
        <f>IF(盘货信息!B439="","",盘货信息!B439)</f>
        <v/>
      </c>
      <c r="C439" s="18" t="str">
        <f>IF(盘货信息!C439="","",盘货信息!C439)</f>
        <v/>
      </c>
      <c r="D439" s="18" t="str">
        <f t="shared" si="6"/>
        <v/>
      </c>
      <c r="E439" s="18" t="str">
        <f t="array" ref="E439">IF(C439="","",IF(_xlfn.XLOOKUP(A439&amp;B439&amp;C439,盘货信息!$A:$A&amp;盘货信息!$B:$B&amp;盘货信息!$C:$C,盘货信息!$N:$N)="","【立减到手价"&amp;_xlfn.XLOOKUP(A439&amp;B439&amp;C439,盘货信息!$A:$A&amp;盘货信息!$B:$B&amp;盘货信息!$C:$C,盘货信息!$F:$F)&amp;"元】","【焕新补贴预估价"&amp;_xlfn.XLOOKUP(A439&amp;B439&amp;C439,盘货信息!$A:$A&amp;盘货信息!$B:$B&amp;盘货信息!$C:$C,盘货信息!$N:$N)&amp;"元】"))</f>
        <v/>
      </c>
      <c r="F439" s="18" t="str">
        <f t="array" ref="F439">IF(C439="","",_xlfn.XLOOKUP(A439&amp;B439&amp;C439,盘货信息!$A:$A&amp;盘货信息!$B:$B&amp;盘货信息!$C:$C,盘货信息!$E:$E)&amp;"元到手价")</f>
        <v/>
      </c>
      <c r="G439" s="18" t="str">
        <f t="array" ref="G439">IF(C439="","",IF(_xlfn.XLOOKUP(A439&amp;B439&amp;C439,盘货信息!$A:$A&amp;盘货信息!$B:$B&amp;盘货信息!$C:$C,盘货信息!$I:$I)="","","88VIP95折"))</f>
        <v/>
      </c>
      <c r="H439" s="18" t="str">
        <f t="array" ref="H439">IF(C439="","",IF(_xlfn.XLOOKUP(A439&amp;B439&amp;C439,盘货信息!$A:$A&amp;盘货信息!$B:$B&amp;盘货信息!$C:$C,盘货信息!$J:$J)="","",_xlfn.XLOOKUP(A439&amp;B439&amp;C439,盘货信息!$A:$A&amp;盘货信息!$B:$B&amp;盘货信息!$C:$C,盘货信息!$J:$J)&amp;"元优惠卷"))</f>
        <v/>
      </c>
      <c r="I439" s="18" t="str">
        <f t="array" ref="I439">IF(C439="","",IF(_xlfn.XLOOKUP(A439&amp;B439&amp;C439,盘货信息!$A:$A&amp;盘货信息!$B:$B&amp;盘货信息!$C:$C,盘货信息!$R:$R)="","",_xlfn.XLOOKUP(A439&amp;B439&amp;C439,盘货信息!$A:$A&amp;盘货信息!$B:$B&amp;盘货信息!$C:$C,盘货信息!$R:$R)&amp;"元优惠卷"))</f>
        <v/>
      </c>
      <c r="J439" s="18" t="str">
        <f t="array" ref="J439">IF(C439="","",IF(_xlfn.XLOOKUP(A439&amp;B439&amp;C439,盘货信息!$A:$A&amp;盘货信息!$B:$B&amp;盘货信息!$C:$C,盘货信息!$K:$K)="","",IF(OR(_xlfn.XLOOKUP(A439&amp;B439&amp;C439,盘货信息!$A:$A&amp;盘货信息!$B:$B&amp;盘货信息!$C:$C,盘货信息!$G:$G)="参加",_xlfn.XLOOKUP(A439&amp;B439&amp;C439,盘货信息!$A:$A&amp;盘货信息!$B:$B&amp;盘货信息!$C:$C,盘货信息!$H:$H)="1（纯自补）"),_xlfn.XLOOKUP(A439&amp;B439&amp;C439,盘货信息!$A:$A&amp;盘货信息!$B:$B&amp;盘货信息!$C:$C,盘货信息!$K:$K)&amp;"元以旧换新（可无旧机换新）","")))</f>
        <v/>
      </c>
      <c r="K439" s="18" t="str">
        <f t="array" ref="K439">IF(C439="","",IF(_xlfn.XLOOKUP(A439&amp;B439&amp;C439,盘货信息!$A:$A&amp;盘货信息!$B:$B&amp;盘货信息!$C:$C,盘货信息!$L:$L)="","",_xlfn.XLOOKUP(A439&amp;B439&amp;C439,盘货信息!$A:$A&amp;盘货信息!$B:$B&amp;盘货信息!$C:$C,盘货信息!$L:$L)&amp;"元限时补贴"))</f>
        <v/>
      </c>
      <c r="L439" s="18" t="str">
        <f t="array" ref="L439">IF(C439="","",IF(_xlfn.XLOOKUP(A439&amp;B439&amp;C439,盘货信息!$A:$A&amp;盘货信息!$B:$B&amp;盘货信息!$C:$C,盘货信息!$M:$M)="","",_xlfn.XLOOKUP(A439&amp;B439&amp;C439,盘货信息!$A:$A&amp;盘货信息!$B:$B&amp;盘货信息!$C:$C,盘货信息!$M:$M)&amp;"元消费券"))</f>
        <v/>
      </c>
      <c r="M439" s="18" t="str">
        <f t="array" ref="M439">IF(C439="","",IF(_xlfn.XLOOKUP(A439&amp;B439&amp;C439,盘货信息!$A:$A&amp;盘货信息!$B:$B&amp;盘货信息!$C:$C,盘货信息!$G:$G)="不参加","","焕新补贴优惠【全民可用，不限地址】"))</f>
        <v/>
      </c>
    </row>
    <row r="440" customHeight="1" spans="1:13">
      <c r="A440" s="17" t="str">
        <f>IF(盘货信息!A440="","",盘货信息!A440)</f>
        <v/>
      </c>
      <c r="B440" s="17" t="str">
        <f>IF(盘货信息!B440="","",盘货信息!B440)</f>
        <v/>
      </c>
      <c r="C440" s="18" t="str">
        <f>IF(盘货信息!C440="","",盘货信息!C440)</f>
        <v/>
      </c>
      <c r="D440" s="18" t="str">
        <f t="shared" si="6"/>
        <v/>
      </c>
      <c r="E440" s="18" t="str">
        <f t="array" ref="E440">IF(C440="","",IF(_xlfn.XLOOKUP(A440&amp;B440&amp;C440,盘货信息!$A:$A&amp;盘货信息!$B:$B&amp;盘货信息!$C:$C,盘货信息!$N:$N)="","【立减到手价"&amp;_xlfn.XLOOKUP(A440&amp;B440&amp;C440,盘货信息!$A:$A&amp;盘货信息!$B:$B&amp;盘货信息!$C:$C,盘货信息!$F:$F)&amp;"元】","【焕新补贴预估价"&amp;_xlfn.XLOOKUP(A440&amp;B440&amp;C440,盘货信息!$A:$A&amp;盘货信息!$B:$B&amp;盘货信息!$C:$C,盘货信息!$N:$N)&amp;"元】"))</f>
        <v/>
      </c>
      <c r="F440" s="18" t="str">
        <f t="array" ref="F440">IF(C440="","",_xlfn.XLOOKUP(A440&amp;B440&amp;C440,盘货信息!$A:$A&amp;盘货信息!$B:$B&amp;盘货信息!$C:$C,盘货信息!$E:$E)&amp;"元到手价")</f>
        <v/>
      </c>
      <c r="G440" s="18" t="str">
        <f t="array" ref="G440">IF(C440="","",IF(_xlfn.XLOOKUP(A440&amp;B440&amp;C440,盘货信息!$A:$A&amp;盘货信息!$B:$B&amp;盘货信息!$C:$C,盘货信息!$I:$I)="","","88VIP95折"))</f>
        <v/>
      </c>
      <c r="H440" s="18" t="str">
        <f t="array" ref="H440">IF(C440="","",IF(_xlfn.XLOOKUP(A440&amp;B440&amp;C440,盘货信息!$A:$A&amp;盘货信息!$B:$B&amp;盘货信息!$C:$C,盘货信息!$J:$J)="","",_xlfn.XLOOKUP(A440&amp;B440&amp;C440,盘货信息!$A:$A&amp;盘货信息!$B:$B&amp;盘货信息!$C:$C,盘货信息!$J:$J)&amp;"元优惠卷"))</f>
        <v/>
      </c>
      <c r="I440" s="18" t="str">
        <f t="array" ref="I440">IF(C440="","",IF(_xlfn.XLOOKUP(A440&amp;B440&amp;C440,盘货信息!$A:$A&amp;盘货信息!$B:$B&amp;盘货信息!$C:$C,盘货信息!$R:$R)="","",_xlfn.XLOOKUP(A440&amp;B440&amp;C440,盘货信息!$A:$A&amp;盘货信息!$B:$B&amp;盘货信息!$C:$C,盘货信息!$R:$R)&amp;"元优惠卷"))</f>
        <v/>
      </c>
      <c r="J440" s="18" t="str">
        <f t="array" ref="J440">IF(C440="","",IF(_xlfn.XLOOKUP(A440&amp;B440&amp;C440,盘货信息!$A:$A&amp;盘货信息!$B:$B&amp;盘货信息!$C:$C,盘货信息!$K:$K)="","",IF(OR(_xlfn.XLOOKUP(A440&amp;B440&amp;C440,盘货信息!$A:$A&amp;盘货信息!$B:$B&amp;盘货信息!$C:$C,盘货信息!$G:$G)="参加",_xlfn.XLOOKUP(A440&amp;B440&amp;C440,盘货信息!$A:$A&amp;盘货信息!$B:$B&amp;盘货信息!$C:$C,盘货信息!$H:$H)="1（纯自补）"),_xlfn.XLOOKUP(A440&amp;B440&amp;C440,盘货信息!$A:$A&amp;盘货信息!$B:$B&amp;盘货信息!$C:$C,盘货信息!$K:$K)&amp;"元以旧换新（可无旧机换新）","")))</f>
        <v/>
      </c>
      <c r="K440" s="18" t="str">
        <f t="array" ref="K440">IF(C440="","",IF(_xlfn.XLOOKUP(A440&amp;B440&amp;C440,盘货信息!$A:$A&amp;盘货信息!$B:$B&amp;盘货信息!$C:$C,盘货信息!$L:$L)="","",_xlfn.XLOOKUP(A440&amp;B440&amp;C440,盘货信息!$A:$A&amp;盘货信息!$B:$B&amp;盘货信息!$C:$C,盘货信息!$L:$L)&amp;"元限时补贴"))</f>
        <v/>
      </c>
      <c r="L440" s="18" t="str">
        <f t="array" ref="L440">IF(C440="","",IF(_xlfn.XLOOKUP(A440&amp;B440&amp;C440,盘货信息!$A:$A&amp;盘货信息!$B:$B&amp;盘货信息!$C:$C,盘货信息!$M:$M)="","",_xlfn.XLOOKUP(A440&amp;B440&amp;C440,盘货信息!$A:$A&amp;盘货信息!$B:$B&amp;盘货信息!$C:$C,盘货信息!$M:$M)&amp;"元消费券"))</f>
        <v/>
      </c>
      <c r="M440" s="18" t="str">
        <f t="array" ref="M440">IF(C440="","",IF(_xlfn.XLOOKUP(A440&amp;B440&amp;C440,盘货信息!$A:$A&amp;盘货信息!$B:$B&amp;盘货信息!$C:$C,盘货信息!$G:$G)="不参加","","焕新补贴优惠【全民可用，不限地址】"))</f>
        <v/>
      </c>
    </row>
    <row r="441" customHeight="1" spans="1:13">
      <c r="A441" s="17" t="str">
        <f>IF(盘货信息!A441="","",盘货信息!A441)</f>
        <v/>
      </c>
      <c r="B441" s="17" t="str">
        <f>IF(盘货信息!B441="","",盘货信息!B441)</f>
        <v/>
      </c>
      <c r="C441" s="18" t="str">
        <f>IF(盘货信息!C441="","",盘货信息!C441)</f>
        <v/>
      </c>
      <c r="D441" s="18" t="str">
        <f t="shared" si="6"/>
        <v/>
      </c>
      <c r="E441" s="18" t="str">
        <f t="array" ref="E441">IF(C441="","",IF(_xlfn.XLOOKUP(A441&amp;B441&amp;C441,盘货信息!$A:$A&amp;盘货信息!$B:$B&amp;盘货信息!$C:$C,盘货信息!$N:$N)="","【立减到手价"&amp;_xlfn.XLOOKUP(A441&amp;B441&amp;C441,盘货信息!$A:$A&amp;盘货信息!$B:$B&amp;盘货信息!$C:$C,盘货信息!$F:$F)&amp;"元】","【焕新补贴预估价"&amp;_xlfn.XLOOKUP(A441&amp;B441&amp;C441,盘货信息!$A:$A&amp;盘货信息!$B:$B&amp;盘货信息!$C:$C,盘货信息!$N:$N)&amp;"元】"))</f>
        <v/>
      </c>
      <c r="F441" s="18" t="str">
        <f t="array" ref="F441">IF(C441="","",_xlfn.XLOOKUP(A441&amp;B441&amp;C441,盘货信息!$A:$A&amp;盘货信息!$B:$B&amp;盘货信息!$C:$C,盘货信息!$E:$E)&amp;"元到手价")</f>
        <v/>
      </c>
      <c r="G441" s="18" t="str">
        <f t="array" ref="G441">IF(C441="","",IF(_xlfn.XLOOKUP(A441&amp;B441&amp;C441,盘货信息!$A:$A&amp;盘货信息!$B:$B&amp;盘货信息!$C:$C,盘货信息!$I:$I)="","","88VIP95折"))</f>
        <v/>
      </c>
      <c r="H441" s="18" t="str">
        <f t="array" ref="H441">IF(C441="","",IF(_xlfn.XLOOKUP(A441&amp;B441&amp;C441,盘货信息!$A:$A&amp;盘货信息!$B:$B&amp;盘货信息!$C:$C,盘货信息!$J:$J)="","",_xlfn.XLOOKUP(A441&amp;B441&amp;C441,盘货信息!$A:$A&amp;盘货信息!$B:$B&amp;盘货信息!$C:$C,盘货信息!$J:$J)&amp;"元优惠卷"))</f>
        <v/>
      </c>
      <c r="I441" s="18" t="str">
        <f t="array" ref="I441">IF(C441="","",IF(_xlfn.XLOOKUP(A441&amp;B441&amp;C441,盘货信息!$A:$A&amp;盘货信息!$B:$B&amp;盘货信息!$C:$C,盘货信息!$R:$R)="","",_xlfn.XLOOKUP(A441&amp;B441&amp;C441,盘货信息!$A:$A&amp;盘货信息!$B:$B&amp;盘货信息!$C:$C,盘货信息!$R:$R)&amp;"元优惠卷"))</f>
        <v/>
      </c>
      <c r="J441" s="18" t="str">
        <f t="array" ref="J441">IF(C441="","",IF(_xlfn.XLOOKUP(A441&amp;B441&amp;C441,盘货信息!$A:$A&amp;盘货信息!$B:$B&amp;盘货信息!$C:$C,盘货信息!$K:$K)="","",IF(OR(_xlfn.XLOOKUP(A441&amp;B441&amp;C441,盘货信息!$A:$A&amp;盘货信息!$B:$B&amp;盘货信息!$C:$C,盘货信息!$G:$G)="参加",_xlfn.XLOOKUP(A441&amp;B441&amp;C441,盘货信息!$A:$A&amp;盘货信息!$B:$B&amp;盘货信息!$C:$C,盘货信息!$H:$H)="1（纯自补）"),_xlfn.XLOOKUP(A441&amp;B441&amp;C441,盘货信息!$A:$A&amp;盘货信息!$B:$B&amp;盘货信息!$C:$C,盘货信息!$K:$K)&amp;"元以旧换新（可无旧机换新）","")))</f>
        <v/>
      </c>
      <c r="K441" s="18" t="str">
        <f t="array" ref="K441">IF(C441="","",IF(_xlfn.XLOOKUP(A441&amp;B441&amp;C441,盘货信息!$A:$A&amp;盘货信息!$B:$B&amp;盘货信息!$C:$C,盘货信息!$L:$L)="","",_xlfn.XLOOKUP(A441&amp;B441&amp;C441,盘货信息!$A:$A&amp;盘货信息!$B:$B&amp;盘货信息!$C:$C,盘货信息!$L:$L)&amp;"元限时补贴"))</f>
        <v/>
      </c>
      <c r="L441" s="18" t="str">
        <f t="array" ref="L441">IF(C441="","",IF(_xlfn.XLOOKUP(A441&amp;B441&amp;C441,盘货信息!$A:$A&amp;盘货信息!$B:$B&amp;盘货信息!$C:$C,盘货信息!$M:$M)="","",_xlfn.XLOOKUP(A441&amp;B441&amp;C441,盘货信息!$A:$A&amp;盘货信息!$B:$B&amp;盘货信息!$C:$C,盘货信息!$M:$M)&amp;"元消费券"))</f>
        <v/>
      </c>
      <c r="M441" s="18" t="str">
        <f t="array" ref="M441">IF(C441="","",IF(_xlfn.XLOOKUP(A441&amp;B441&amp;C441,盘货信息!$A:$A&amp;盘货信息!$B:$B&amp;盘货信息!$C:$C,盘货信息!$G:$G)="不参加","","焕新补贴优惠【全民可用，不限地址】"))</f>
        <v/>
      </c>
    </row>
    <row r="442" customHeight="1" spans="1:13">
      <c r="A442" s="17" t="str">
        <f>IF(盘货信息!A442="","",盘货信息!A442)</f>
        <v/>
      </c>
      <c r="B442" s="17" t="str">
        <f>IF(盘货信息!B442="","",盘货信息!B442)</f>
        <v/>
      </c>
      <c r="C442" s="18" t="str">
        <f>IF(盘货信息!C442="","",盘货信息!C442)</f>
        <v/>
      </c>
      <c r="D442" s="18" t="str">
        <f t="shared" si="6"/>
        <v/>
      </c>
      <c r="E442" s="18" t="str">
        <f t="array" ref="E442">IF(C442="","",IF(_xlfn.XLOOKUP(A442&amp;B442&amp;C442,盘货信息!$A:$A&amp;盘货信息!$B:$B&amp;盘货信息!$C:$C,盘货信息!$N:$N)="","【立减到手价"&amp;_xlfn.XLOOKUP(A442&amp;B442&amp;C442,盘货信息!$A:$A&amp;盘货信息!$B:$B&amp;盘货信息!$C:$C,盘货信息!$F:$F)&amp;"元】","【焕新补贴预估价"&amp;_xlfn.XLOOKUP(A442&amp;B442&amp;C442,盘货信息!$A:$A&amp;盘货信息!$B:$B&amp;盘货信息!$C:$C,盘货信息!$N:$N)&amp;"元】"))</f>
        <v/>
      </c>
      <c r="F442" s="18" t="str">
        <f t="array" ref="F442">IF(C442="","",_xlfn.XLOOKUP(A442&amp;B442&amp;C442,盘货信息!$A:$A&amp;盘货信息!$B:$B&amp;盘货信息!$C:$C,盘货信息!$E:$E)&amp;"元到手价")</f>
        <v/>
      </c>
      <c r="G442" s="18" t="str">
        <f t="array" ref="G442">IF(C442="","",IF(_xlfn.XLOOKUP(A442&amp;B442&amp;C442,盘货信息!$A:$A&amp;盘货信息!$B:$B&amp;盘货信息!$C:$C,盘货信息!$I:$I)="","","88VIP95折"))</f>
        <v/>
      </c>
      <c r="H442" s="18" t="str">
        <f t="array" ref="H442">IF(C442="","",IF(_xlfn.XLOOKUP(A442&amp;B442&amp;C442,盘货信息!$A:$A&amp;盘货信息!$B:$B&amp;盘货信息!$C:$C,盘货信息!$J:$J)="","",_xlfn.XLOOKUP(A442&amp;B442&amp;C442,盘货信息!$A:$A&amp;盘货信息!$B:$B&amp;盘货信息!$C:$C,盘货信息!$J:$J)&amp;"元优惠卷"))</f>
        <v/>
      </c>
      <c r="I442" s="18" t="str">
        <f t="array" ref="I442">IF(C442="","",IF(_xlfn.XLOOKUP(A442&amp;B442&amp;C442,盘货信息!$A:$A&amp;盘货信息!$B:$B&amp;盘货信息!$C:$C,盘货信息!$R:$R)="","",_xlfn.XLOOKUP(A442&amp;B442&amp;C442,盘货信息!$A:$A&amp;盘货信息!$B:$B&amp;盘货信息!$C:$C,盘货信息!$R:$R)&amp;"元优惠卷"))</f>
        <v/>
      </c>
      <c r="J442" s="18" t="str">
        <f t="array" ref="J442">IF(C442="","",IF(_xlfn.XLOOKUP(A442&amp;B442&amp;C442,盘货信息!$A:$A&amp;盘货信息!$B:$B&amp;盘货信息!$C:$C,盘货信息!$K:$K)="","",IF(OR(_xlfn.XLOOKUP(A442&amp;B442&amp;C442,盘货信息!$A:$A&amp;盘货信息!$B:$B&amp;盘货信息!$C:$C,盘货信息!$G:$G)="参加",_xlfn.XLOOKUP(A442&amp;B442&amp;C442,盘货信息!$A:$A&amp;盘货信息!$B:$B&amp;盘货信息!$C:$C,盘货信息!$H:$H)="1（纯自补）"),_xlfn.XLOOKUP(A442&amp;B442&amp;C442,盘货信息!$A:$A&amp;盘货信息!$B:$B&amp;盘货信息!$C:$C,盘货信息!$K:$K)&amp;"元以旧换新（可无旧机换新）","")))</f>
        <v/>
      </c>
      <c r="K442" s="18" t="str">
        <f t="array" ref="K442">IF(C442="","",IF(_xlfn.XLOOKUP(A442&amp;B442&amp;C442,盘货信息!$A:$A&amp;盘货信息!$B:$B&amp;盘货信息!$C:$C,盘货信息!$L:$L)="","",_xlfn.XLOOKUP(A442&amp;B442&amp;C442,盘货信息!$A:$A&amp;盘货信息!$B:$B&amp;盘货信息!$C:$C,盘货信息!$L:$L)&amp;"元限时补贴"))</f>
        <v/>
      </c>
      <c r="L442" s="18" t="str">
        <f t="array" ref="L442">IF(C442="","",IF(_xlfn.XLOOKUP(A442&amp;B442&amp;C442,盘货信息!$A:$A&amp;盘货信息!$B:$B&amp;盘货信息!$C:$C,盘货信息!$M:$M)="","",_xlfn.XLOOKUP(A442&amp;B442&amp;C442,盘货信息!$A:$A&amp;盘货信息!$B:$B&amp;盘货信息!$C:$C,盘货信息!$M:$M)&amp;"元消费券"))</f>
        <v/>
      </c>
      <c r="M442" s="18" t="str">
        <f t="array" ref="M442">IF(C442="","",IF(_xlfn.XLOOKUP(A442&amp;B442&amp;C442,盘货信息!$A:$A&amp;盘货信息!$B:$B&amp;盘货信息!$C:$C,盘货信息!$G:$G)="不参加","","焕新补贴优惠【全民可用，不限地址】"))</f>
        <v/>
      </c>
    </row>
    <row r="443" customHeight="1" spans="1:13">
      <c r="A443" s="17" t="str">
        <f>IF(盘货信息!A443="","",盘货信息!A443)</f>
        <v/>
      </c>
      <c r="B443" s="17" t="str">
        <f>IF(盘货信息!B443="","",盘货信息!B443)</f>
        <v/>
      </c>
      <c r="C443" s="18" t="str">
        <f>IF(盘货信息!C443="","",盘货信息!C443)</f>
        <v/>
      </c>
      <c r="D443" s="18" t="str">
        <f t="shared" si="6"/>
        <v/>
      </c>
      <c r="E443" s="18" t="str">
        <f t="array" ref="E443">IF(C443="","",IF(_xlfn.XLOOKUP(A443&amp;B443&amp;C443,盘货信息!$A:$A&amp;盘货信息!$B:$B&amp;盘货信息!$C:$C,盘货信息!$N:$N)="","【立减到手价"&amp;_xlfn.XLOOKUP(A443&amp;B443&amp;C443,盘货信息!$A:$A&amp;盘货信息!$B:$B&amp;盘货信息!$C:$C,盘货信息!$F:$F)&amp;"元】","【焕新补贴预估价"&amp;_xlfn.XLOOKUP(A443&amp;B443&amp;C443,盘货信息!$A:$A&amp;盘货信息!$B:$B&amp;盘货信息!$C:$C,盘货信息!$N:$N)&amp;"元】"))</f>
        <v/>
      </c>
      <c r="F443" s="18" t="str">
        <f t="array" ref="F443">IF(C443="","",_xlfn.XLOOKUP(A443&amp;B443&amp;C443,盘货信息!$A:$A&amp;盘货信息!$B:$B&amp;盘货信息!$C:$C,盘货信息!$E:$E)&amp;"元到手价")</f>
        <v/>
      </c>
      <c r="G443" s="18" t="str">
        <f t="array" ref="G443">IF(C443="","",IF(_xlfn.XLOOKUP(A443&amp;B443&amp;C443,盘货信息!$A:$A&amp;盘货信息!$B:$B&amp;盘货信息!$C:$C,盘货信息!$I:$I)="","","88VIP95折"))</f>
        <v/>
      </c>
      <c r="H443" s="18" t="str">
        <f t="array" ref="H443">IF(C443="","",IF(_xlfn.XLOOKUP(A443&amp;B443&amp;C443,盘货信息!$A:$A&amp;盘货信息!$B:$B&amp;盘货信息!$C:$C,盘货信息!$J:$J)="","",_xlfn.XLOOKUP(A443&amp;B443&amp;C443,盘货信息!$A:$A&amp;盘货信息!$B:$B&amp;盘货信息!$C:$C,盘货信息!$J:$J)&amp;"元优惠卷"))</f>
        <v/>
      </c>
      <c r="I443" s="18" t="str">
        <f t="array" ref="I443">IF(C443="","",IF(_xlfn.XLOOKUP(A443&amp;B443&amp;C443,盘货信息!$A:$A&amp;盘货信息!$B:$B&amp;盘货信息!$C:$C,盘货信息!$R:$R)="","",_xlfn.XLOOKUP(A443&amp;B443&amp;C443,盘货信息!$A:$A&amp;盘货信息!$B:$B&amp;盘货信息!$C:$C,盘货信息!$R:$R)&amp;"元优惠卷"))</f>
        <v/>
      </c>
      <c r="J443" s="18" t="str">
        <f t="array" ref="J443">IF(C443="","",IF(_xlfn.XLOOKUP(A443&amp;B443&amp;C443,盘货信息!$A:$A&amp;盘货信息!$B:$B&amp;盘货信息!$C:$C,盘货信息!$K:$K)="","",IF(OR(_xlfn.XLOOKUP(A443&amp;B443&amp;C443,盘货信息!$A:$A&amp;盘货信息!$B:$B&amp;盘货信息!$C:$C,盘货信息!$G:$G)="参加",_xlfn.XLOOKUP(A443&amp;B443&amp;C443,盘货信息!$A:$A&amp;盘货信息!$B:$B&amp;盘货信息!$C:$C,盘货信息!$H:$H)="1（纯自补）"),_xlfn.XLOOKUP(A443&amp;B443&amp;C443,盘货信息!$A:$A&amp;盘货信息!$B:$B&amp;盘货信息!$C:$C,盘货信息!$K:$K)&amp;"元以旧换新（可无旧机换新）","")))</f>
        <v/>
      </c>
      <c r="K443" s="18" t="str">
        <f t="array" ref="K443">IF(C443="","",IF(_xlfn.XLOOKUP(A443&amp;B443&amp;C443,盘货信息!$A:$A&amp;盘货信息!$B:$B&amp;盘货信息!$C:$C,盘货信息!$L:$L)="","",_xlfn.XLOOKUP(A443&amp;B443&amp;C443,盘货信息!$A:$A&amp;盘货信息!$B:$B&amp;盘货信息!$C:$C,盘货信息!$L:$L)&amp;"元限时补贴"))</f>
        <v/>
      </c>
      <c r="L443" s="18" t="str">
        <f t="array" ref="L443">IF(C443="","",IF(_xlfn.XLOOKUP(A443&amp;B443&amp;C443,盘货信息!$A:$A&amp;盘货信息!$B:$B&amp;盘货信息!$C:$C,盘货信息!$M:$M)="","",_xlfn.XLOOKUP(A443&amp;B443&amp;C443,盘货信息!$A:$A&amp;盘货信息!$B:$B&amp;盘货信息!$C:$C,盘货信息!$M:$M)&amp;"元消费券"))</f>
        <v/>
      </c>
      <c r="M443" s="18" t="str">
        <f t="array" ref="M443">IF(C443="","",IF(_xlfn.XLOOKUP(A443&amp;B443&amp;C443,盘货信息!$A:$A&amp;盘货信息!$B:$B&amp;盘货信息!$C:$C,盘货信息!$G:$G)="不参加","","焕新补贴优惠【全民可用，不限地址】"))</f>
        <v/>
      </c>
    </row>
    <row r="444" customHeight="1" spans="1:13">
      <c r="A444" s="17" t="str">
        <f>IF(盘货信息!A444="","",盘货信息!A444)</f>
        <v/>
      </c>
      <c r="B444" s="17" t="str">
        <f>IF(盘货信息!B444="","",盘货信息!B444)</f>
        <v/>
      </c>
      <c r="C444" s="18" t="str">
        <f>IF(盘货信息!C444="","",盘货信息!C444)</f>
        <v/>
      </c>
      <c r="D444" s="18" t="str">
        <f t="shared" si="6"/>
        <v/>
      </c>
      <c r="E444" s="18" t="str">
        <f t="array" ref="E444">IF(C444="","",IF(_xlfn.XLOOKUP(A444&amp;B444&amp;C444,盘货信息!$A:$A&amp;盘货信息!$B:$B&amp;盘货信息!$C:$C,盘货信息!$N:$N)="","【立减到手价"&amp;_xlfn.XLOOKUP(A444&amp;B444&amp;C444,盘货信息!$A:$A&amp;盘货信息!$B:$B&amp;盘货信息!$C:$C,盘货信息!$F:$F)&amp;"元】","【焕新补贴预估价"&amp;_xlfn.XLOOKUP(A444&amp;B444&amp;C444,盘货信息!$A:$A&amp;盘货信息!$B:$B&amp;盘货信息!$C:$C,盘货信息!$N:$N)&amp;"元】"))</f>
        <v/>
      </c>
      <c r="F444" s="18" t="str">
        <f t="array" ref="F444">IF(C444="","",_xlfn.XLOOKUP(A444&amp;B444&amp;C444,盘货信息!$A:$A&amp;盘货信息!$B:$B&amp;盘货信息!$C:$C,盘货信息!$E:$E)&amp;"元到手价")</f>
        <v/>
      </c>
      <c r="G444" s="18" t="str">
        <f t="array" ref="G444">IF(C444="","",IF(_xlfn.XLOOKUP(A444&amp;B444&amp;C444,盘货信息!$A:$A&amp;盘货信息!$B:$B&amp;盘货信息!$C:$C,盘货信息!$I:$I)="","","88VIP95折"))</f>
        <v/>
      </c>
      <c r="H444" s="18" t="str">
        <f t="array" ref="H444">IF(C444="","",IF(_xlfn.XLOOKUP(A444&amp;B444&amp;C444,盘货信息!$A:$A&amp;盘货信息!$B:$B&amp;盘货信息!$C:$C,盘货信息!$J:$J)="","",_xlfn.XLOOKUP(A444&amp;B444&amp;C444,盘货信息!$A:$A&amp;盘货信息!$B:$B&amp;盘货信息!$C:$C,盘货信息!$J:$J)&amp;"元优惠卷"))</f>
        <v/>
      </c>
      <c r="I444" s="18" t="str">
        <f t="array" ref="I444">IF(C444="","",IF(_xlfn.XLOOKUP(A444&amp;B444&amp;C444,盘货信息!$A:$A&amp;盘货信息!$B:$B&amp;盘货信息!$C:$C,盘货信息!$R:$R)="","",_xlfn.XLOOKUP(A444&amp;B444&amp;C444,盘货信息!$A:$A&amp;盘货信息!$B:$B&amp;盘货信息!$C:$C,盘货信息!$R:$R)&amp;"元优惠卷"))</f>
        <v/>
      </c>
      <c r="J444" s="18" t="str">
        <f t="array" ref="J444">IF(C444="","",IF(_xlfn.XLOOKUP(A444&amp;B444&amp;C444,盘货信息!$A:$A&amp;盘货信息!$B:$B&amp;盘货信息!$C:$C,盘货信息!$K:$K)="","",IF(OR(_xlfn.XLOOKUP(A444&amp;B444&amp;C444,盘货信息!$A:$A&amp;盘货信息!$B:$B&amp;盘货信息!$C:$C,盘货信息!$G:$G)="参加",_xlfn.XLOOKUP(A444&amp;B444&amp;C444,盘货信息!$A:$A&amp;盘货信息!$B:$B&amp;盘货信息!$C:$C,盘货信息!$H:$H)="1（纯自补）"),_xlfn.XLOOKUP(A444&amp;B444&amp;C444,盘货信息!$A:$A&amp;盘货信息!$B:$B&amp;盘货信息!$C:$C,盘货信息!$K:$K)&amp;"元以旧换新（可无旧机换新）","")))</f>
        <v/>
      </c>
      <c r="K444" s="18" t="str">
        <f t="array" ref="K444">IF(C444="","",IF(_xlfn.XLOOKUP(A444&amp;B444&amp;C444,盘货信息!$A:$A&amp;盘货信息!$B:$B&amp;盘货信息!$C:$C,盘货信息!$L:$L)="","",_xlfn.XLOOKUP(A444&amp;B444&amp;C444,盘货信息!$A:$A&amp;盘货信息!$B:$B&amp;盘货信息!$C:$C,盘货信息!$L:$L)&amp;"元限时补贴"))</f>
        <v/>
      </c>
      <c r="L444" s="18" t="str">
        <f t="array" ref="L444">IF(C444="","",IF(_xlfn.XLOOKUP(A444&amp;B444&amp;C444,盘货信息!$A:$A&amp;盘货信息!$B:$B&amp;盘货信息!$C:$C,盘货信息!$M:$M)="","",_xlfn.XLOOKUP(A444&amp;B444&amp;C444,盘货信息!$A:$A&amp;盘货信息!$B:$B&amp;盘货信息!$C:$C,盘货信息!$M:$M)&amp;"元消费券"))</f>
        <v/>
      </c>
      <c r="M444" s="18" t="str">
        <f t="array" ref="M444">IF(C444="","",IF(_xlfn.XLOOKUP(A444&amp;B444&amp;C444,盘货信息!$A:$A&amp;盘货信息!$B:$B&amp;盘货信息!$C:$C,盘货信息!$G:$G)="不参加","","焕新补贴优惠【全民可用，不限地址】"))</f>
        <v/>
      </c>
    </row>
    <row r="445" customHeight="1" spans="1:13">
      <c r="A445" s="17" t="str">
        <f>IF(盘货信息!A445="","",盘货信息!A445)</f>
        <v/>
      </c>
      <c r="B445" s="17" t="str">
        <f>IF(盘货信息!B445="","",盘货信息!B445)</f>
        <v/>
      </c>
      <c r="C445" s="18" t="str">
        <f>IF(盘货信息!C445="","",盘货信息!C445)</f>
        <v/>
      </c>
      <c r="D445" s="18" t="str">
        <f t="shared" si="6"/>
        <v/>
      </c>
      <c r="E445" s="18" t="str">
        <f t="array" ref="E445">IF(C445="","",IF(_xlfn.XLOOKUP(A445&amp;B445&amp;C445,盘货信息!$A:$A&amp;盘货信息!$B:$B&amp;盘货信息!$C:$C,盘货信息!$N:$N)="","【立减到手价"&amp;_xlfn.XLOOKUP(A445&amp;B445&amp;C445,盘货信息!$A:$A&amp;盘货信息!$B:$B&amp;盘货信息!$C:$C,盘货信息!$F:$F)&amp;"元】","【焕新补贴预估价"&amp;_xlfn.XLOOKUP(A445&amp;B445&amp;C445,盘货信息!$A:$A&amp;盘货信息!$B:$B&amp;盘货信息!$C:$C,盘货信息!$N:$N)&amp;"元】"))</f>
        <v/>
      </c>
      <c r="F445" s="18" t="str">
        <f t="array" ref="F445">IF(C445="","",_xlfn.XLOOKUP(A445&amp;B445&amp;C445,盘货信息!$A:$A&amp;盘货信息!$B:$B&amp;盘货信息!$C:$C,盘货信息!$E:$E)&amp;"元到手价")</f>
        <v/>
      </c>
      <c r="G445" s="18" t="str">
        <f t="array" ref="G445">IF(C445="","",IF(_xlfn.XLOOKUP(A445&amp;B445&amp;C445,盘货信息!$A:$A&amp;盘货信息!$B:$B&amp;盘货信息!$C:$C,盘货信息!$I:$I)="","","88VIP95折"))</f>
        <v/>
      </c>
      <c r="H445" s="18" t="str">
        <f t="array" ref="H445">IF(C445="","",IF(_xlfn.XLOOKUP(A445&amp;B445&amp;C445,盘货信息!$A:$A&amp;盘货信息!$B:$B&amp;盘货信息!$C:$C,盘货信息!$J:$J)="","",_xlfn.XLOOKUP(A445&amp;B445&amp;C445,盘货信息!$A:$A&amp;盘货信息!$B:$B&amp;盘货信息!$C:$C,盘货信息!$J:$J)&amp;"元优惠卷"))</f>
        <v/>
      </c>
      <c r="I445" s="18" t="str">
        <f t="array" ref="I445">IF(C445="","",IF(_xlfn.XLOOKUP(A445&amp;B445&amp;C445,盘货信息!$A:$A&amp;盘货信息!$B:$B&amp;盘货信息!$C:$C,盘货信息!$R:$R)="","",_xlfn.XLOOKUP(A445&amp;B445&amp;C445,盘货信息!$A:$A&amp;盘货信息!$B:$B&amp;盘货信息!$C:$C,盘货信息!$R:$R)&amp;"元优惠卷"))</f>
        <v/>
      </c>
      <c r="J445" s="18" t="str">
        <f t="array" ref="J445">IF(C445="","",IF(_xlfn.XLOOKUP(A445&amp;B445&amp;C445,盘货信息!$A:$A&amp;盘货信息!$B:$B&amp;盘货信息!$C:$C,盘货信息!$K:$K)="","",IF(OR(_xlfn.XLOOKUP(A445&amp;B445&amp;C445,盘货信息!$A:$A&amp;盘货信息!$B:$B&amp;盘货信息!$C:$C,盘货信息!$G:$G)="参加",_xlfn.XLOOKUP(A445&amp;B445&amp;C445,盘货信息!$A:$A&amp;盘货信息!$B:$B&amp;盘货信息!$C:$C,盘货信息!$H:$H)="1（纯自补）"),_xlfn.XLOOKUP(A445&amp;B445&amp;C445,盘货信息!$A:$A&amp;盘货信息!$B:$B&amp;盘货信息!$C:$C,盘货信息!$K:$K)&amp;"元以旧换新（可无旧机换新）","")))</f>
        <v/>
      </c>
      <c r="K445" s="18" t="str">
        <f t="array" ref="K445">IF(C445="","",IF(_xlfn.XLOOKUP(A445&amp;B445&amp;C445,盘货信息!$A:$A&amp;盘货信息!$B:$B&amp;盘货信息!$C:$C,盘货信息!$L:$L)="","",_xlfn.XLOOKUP(A445&amp;B445&amp;C445,盘货信息!$A:$A&amp;盘货信息!$B:$B&amp;盘货信息!$C:$C,盘货信息!$L:$L)&amp;"元限时补贴"))</f>
        <v/>
      </c>
      <c r="L445" s="18" t="str">
        <f t="array" ref="L445">IF(C445="","",IF(_xlfn.XLOOKUP(A445&amp;B445&amp;C445,盘货信息!$A:$A&amp;盘货信息!$B:$B&amp;盘货信息!$C:$C,盘货信息!$M:$M)="","",_xlfn.XLOOKUP(A445&amp;B445&amp;C445,盘货信息!$A:$A&amp;盘货信息!$B:$B&amp;盘货信息!$C:$C,盘货信息!$M:$M)&amp;"元消费券"))</f>
        <v/>
      </c>
      <c r="M445" s="18" t="str">
        <f t="array" ref="M445">IF(C445="","",IF(_xlfn.XLOOKUP(A445&amp;B445&amp;C445,盘货信息!$A:$A&amp;盘货信息!$B:$B&amp;盘货信息!$C:$C,盘货信息!$G:$G)="不参加","","焕新补贴优惠【全民可用，不限地址】"))</f>
        <v/>
      </c>
    </row>
    <row r="446" customHeight="1" spans="1:13">
      <c r="A446" s="17" t="str">
        <f>IF(盘货信息!A446="","",盘货信息!A446)</f>
        <v/>
      </c>
      <c r="B446" s="17" t="str">
        <f>IF(盘货信息!B446="","",盘货信息!B446)</f>
        <v/>
      </c>
      <c r="C446" s="18" t="str">
        <f>IF(盘货信息!C446="","",盘货信息!C446)</f>
        <v/>
      </c>
      <c r="D446" s="18" t="str">
        <f t="shared" si="6"/>
        <v/>
      </c>
      <c r="E446" s="18" t="str">
        <f t="array" ref="E446">IF(C446="","",IF(_xlfn.XLOOKUP(A446&amp;B446&amp;C446,盘货信息!$A:$A&amp;盘货信息!$B:$B&amp;盘货信息!$C:$C,盘货信息!$N:$N)="","【立减到手价"&amp;_xlfn.XLOOKUP(A446&amp;B446&amp;C446,盘货信息!$A:$A&amp;盘货信息!$B:$B&amp;盘货信息!$C:$C,盘货信息!$F:$F)&amp;"元】","【焕新补贴预估价"&amp;_xlfn.XLOOKUP(A446&amp;B446&amp;C446,盘货信息!$A:$A&amp;盘货信息!$B:$B&amp;盘货信息!$C:$C,盘货信息!$N:$N)&amp;"元】"))</f>
        <v/>
      </c>
      <c r="F446" s="18" t="str">
        <f t="array" ref="F446">IF(C446="","",_xlfn.XLOOKUP(A446&amp;B446&amp;C446,盘货信息!$A:$A&amp;盘货信息!$B:$B&amp;盘货信息!$C:$C,盘货信息!$E:$E)&amp;"元到手价")</f>
        <v/>
      </c>
      <c r="G446" s="18" t="str">
        <f t="array" ref="G446">IF(C446="","",IF(_xlfn.XLOOKUP(A446&amp;B446&amp;C446,盘货信息!$A:$A&amp;盘货信息!$B:$B&amp;盘货信息!$C:$C,盘货信息!$I:$I)="","","88VIP95折"))</f>
        <v/>
      </c>
      <c r="H446" s="18" t="str">
        <f t="array" ref="H446">IF(C446="","",IF(_xlfn.XLOOKUP(A446&amp;B446&amp;C446,盘货信息!$A:$A&amp;盘货信息!$B:$B&amp;盘货信息!$C:$C,盘货信息!$J:$J)="","",_xlfn.XLOOKUP(A446&amp;B446&amp;C446,盘货信息!$A:$A&amp;盘货信息!$B:$B&amp;盘货信息!$C:$C,盘货信息!$J:$J)&amp;"元优惠卷"))</f>
        <v/>
      </c>
      <c r="I446" s="18" t="str">
        <f t="array" ref="I446">IF(C446="","",IF(_xlfn.XLOOKUP(A446&amp;B446&amp;C446,盘货信息!$A:$A&amp;盘货信息!$B:$B&amp;盘货信息!$C:$C,盘货信息!$R:$R)="","",_xlfn.XLOOKUP(A446&amp;B446&amp;C446,盘货信息!$A:$A&amp;盘货信息!$B:$B&amp;盘货信息!$C:$C,盘货信息!$R:$R)&amp;"元优惠卷"))</f>
        <v/>
      </c>
      <c r="J446" s="18" t="str">
        <f t="array" ref="J446">IF(C446="","",IF(_xlfn.XLOOKUP(A446&amp;B446&amp;C446,盘货信息!$A:$A&amp;盘货信息!$B:$B&amp;盘货信息!$C:$C,盘货信息!$K:$K)="","",IF(OR(_xlfn.XLOOKUP(A446&amp;B446&amp;C446,盘货信息!$A:$A&amp;盘货信息!$B:$B&amp;盘货信息!$C:$C,盘货信息!$G:$G)="参加",_xlfn.XLOOKUP(A446&amp;B446&amp;C446,盘货信息!$A:$A&amp;盘货信息!$B:$B&amp;盘货信息!$C:$C,盘货信息!$H:$H)="1（纯自补）"),_xlfn.XLOOKUP(A446&amp;B446&amp;C446,盘货信息!$A:$A&amp;盘货信息!$B:$B&amp;盘货信息!$C:$C,盘货信息!$K:$K)&amp;"元以旧换新（可无旧机换新）","")))</f>
        <v/>
      </c>
      <c r="K446" s="18" t="str">
        <f t="array" ref="K446">IF(C446="","",IF(_xlfn.XLOOKUP(A446&amp;B446&amp;C446,盘货信息!$A:$A&amp;盘货信息!$B:$B&amp;盘货信息!$C:$C,盘货信息!$L:$L)="","",_xlfn.XLOOKUP(A446&amp;B446&amp;C446,盘货信息!$A:$A&amp;盘货信息!$B:$B&amp;盘货信息!$C:$C,盘货信息!$L:$L)&amp;"元限时补贴"))</f>
        <v/>
      </c>
      <c r="L446" s="18" t="str">
        <f t="array" ref="L446">IF(C446="","",IF(_xlfn.XLOOKUP(A446&amp;B446&amp;C446,盘货信息!$A:$A&amp;盘货信息!$B:$B&amp;盘货信息!$C:$C,盘货信息!$M:$M)="","",_xlfn.XLOOKUP(A446&amp;B446&amp;C446,盘货信息!$A:$A&amp;盘货信息!$B:$B&amp;盘货信息!$C:$C,盘货信息!$M:$M)&amp;"元消费券"))</f>
        <v/>
      </c>
      <c r="M446" s="18" t="str">
        <f t="array" ref="M446">IF(C446="","",IF(_xlfn.XLOOKUP(A446&amp;B446&amp;C446,盘货信息!$A:$A&amp;盘货信息!$B:$B&amp;盘货信息!$C:$C,盘货信息!$G:$G)="不参加","","焕新补贴优惠【全民可用，不限地址】"))</f>
        <v/>
      </c>
    </row>
    <row r="447" customHeight="1" spans="1:13">
      <c r="A447" s="17" t="str">
        <f>IF(盘货信息!A447="","",盘货信息!A447)</f>
        <v/>
      </c>
      <c r="B447" s="17" t="str">
        <f>IF(盘货信息!B447="","",盘货信息!B447)</f>
        <v/>
      </c>
      <c r="C447" s="18" t="str">
        <f>IF(盘货信息!C447="","",盘货信息!C447)</f>
        <v/>
      </c>
      <c r="D447" s="18" t="str">
        <f t="shared" si="6"/>
        <v/>
      </c>
      <c r="E447" s="18" t="str">
        <f t="array" ref="E447">IF(C447="","",IF(_xlfn.XLOOKUP(A447&amp;B447&amp;C447,盘货信息!$A:$A&amp;盘货信息!$B:$B&amp;盘货信息!$C:$C,盘货信息!$N:$N)="","【立减到手价"&amp;_xlfn.XLOOKUP(A447&amp;B447&amp;C447,盘货信息!$A:$A&amp;盘货信息!$B:$B&amp;盘货信息!$C:$C,盘货信息!$F:$F)&amp;"元】","【焕新补贴预估价"&amp;_xlfn.XLOOKUP(A447&amp;B447&amp;C447,盘货信息!$A:$A&amp;盘货信息!$B:$B&amp;盘货信息!$C:$C,盘货信息!$N:$N)&amp;"元】"))</f>
        <v/>
      </c>
      <c r="F447" s="18" t="str">
        <f t="array" ref="F447">IF(C447="","",_xlfn.XLOOKUP(A447&amp;B447&amp;C447,盘货信息!$A:$A&amp;盘货信息!$B:$B&amp;盘货信息!$C:$C,盘货信息!$E:$E)&amp;"元到手价")</f>
        <v/>
      </c>
      <c r="G447" s="18" t="str">
        <f t="array" ref="G447">IF(C447="","",IF(_xlfn.XLOOKUP(A447&amp;B447&amp;C447,盘货信息!$A:$A&amp;盘货信息!$B:$B&amp;盘货信息!$C:$C,盘货信息!$I:$I)="","","88VIP95折"))</f>
        <v/>
      </c>
      <c r="H447" s="18" t="str">
        <f t="array" ref="H447">IF(C447="","",IF(_xlfn.XLOOKUP(A447&amp;B447&amp;C447,盘货信息!$A:$A&amp;盘货信息!$B:$B&amp;盘货信息!$C:$C,盘货信息!$J:$J)="","",_xlfn.XLOOKUP(A447&amp;B447&amp;C447,盘货信息!$A:$A&amp;盘货信息!$B:$B&amp;盘货信息!$C:$C,盘货信息!$J:$J)&amp;"元优惠卷"))</f>
        <v/>
      </c>
      <c r="I447" s="18" t="str">
        <f t="array" ref="I447">IF(C447="","",IF(_xlfn.XLOOKUP(A447&amp;B447&amp;C447,盘货信息!$A:$A&amp;盘货信息!$B:$B&amp;盘货信息!$C:$C,盘货信息!$R:$R)="","",_xlfn.XLOOKUP(A447&amp;B447&amp;C447,盘货信息!$A:$A&amp;盘货信息!$B:$B&amp;盘货信息!$C:$C,盘货信息!$R:$R)&amp;"元优惠卷"))</f>
        <v/>
      </c>
      <c r="J447" s="18" t="str">
        <f t="array" ref="J447">IF(C447="","",IF(_xlfn.XLOOKUP(A447&amp;B447&amp;C447,盘货信息!$A:$A&amp;盘货信息!$B:$B&amp;盘货信息!$C:$C,盘货信息!$K:$K)="","",IF(OR(_xlfn.XLOOKUP(A447&amp;B447&amp;C447,盘货信息!$A:$A&amp;盘货信息!$B:$B&amp;盘货信息!$C:$C,盘货信息!$G:$G)="参加",_xlfn.XLOOKUP(A447&amp;B447&amp;C447,盘货信息!$A:$A&amp;盘货信息!$B:$B&amp;盘货信息!$C:$C,盘货信息!$H:$H)="1（纯自补）"),_xlfn.XLOOKUP(A447&amp;B447&amp;C447,盘货信息!$A:$A&amp;盘货信息!$B:$B&amp;盘货信息!$C:$C,盘货信息!$K:$K)&amp;"元以旧换新（可无旧机换新）","")))</f>
        <v/>
      </c>
      <c r="K447" s="18" t="str">
        <f t="array" ref="K447">IF(C447="","",IF(_xlfn.XLOOKUP(A447&amp;B447&amp;C447,盘货信息!$A:$A&amp;盘货信息!$B:$B&amp;盘货信息!$C:$C,盘货信息!$L:$L)="","",_xlfn.XLOOKUP(A447&amp;B447&amp;C447,盘货信息!$A:$A&amp;盘货信息!$B:$B&amp;盘货信息!$C:$C,盘货信息!$L:$L)&amp;"元限时补贴"))</f>
        <v/>
      </c>
      <c r="L447" s="18" t="str">
        <f t="array" ref="L447">IF(C447="","",IF(_xlfn.XLOOKUP(A447&amp;B447&amp;C447,盘货信息!$A:$A&amp;盘货信息!$B:$B&amp;盘货信息!$C:$C,盘货信息!$M:$M)="","",_xlfn.XLOOKUP(A447&amp;B447&amp;C447,盘货信息!$A:$A&amp;盘货信息!$B:$B&amp;盘货信息!$C:$C,盘货信息!$M:$M)&amp;"元消费券"))</f>
        <v/>
      </c>
      <c r="M447" s="18" t="str">
        <f t="array" ref="M447">IF(C447="","",IF(_xlfn.XLOOKUP(A447&amp;B447&amp;C447,盘货信息!$A:$A&amp;盘货信息!$B:$B&amp;盘货信息!$C:$C,盘货信息!$G:$G)="不参加","","焕新补贴优惠【全民可用，不限地址】"))</f>
        <v/>
      </c>
    </row>
    <row r="448" customHeight="1" spans="1:13">
      <c r="A448" s="17" t="str">
        <f>IF(盘货信息!A448="","",盘货信息!A448)</f>
        <v/>
      </c>
      <c r="B448" s="17" t="str">
        <f>IF(盘货信息!B448="","",盘货信息!B448)</f>
        <v/>
      </c>
      <c r="C448" s="18" t="str">
        <f>IF(盘货信息!C448="","",盘货信息!C448)</f>
        <v/>
      </c>
      <c r="D448" s="18" t="str">
        <f t="shared" si="6"/>
        <v/>
      </c>
      <c r="E448" s="18" t="str">
        <f t="array" ref="E448">IF(C448="","",IF(_xlfn.XLOOKUP(A448&amp;B448&amp;C448,盘货信息!$A:$A&amp;盘货信息!$B:$B&amp;盘货信息!$C:$C,盘货信息!$N:$N)="","【立减到手价"&amp;_xlfn.XLOOKUP(A448&amp;B448&amp;C448,盘货信息!$A:$A&amp;盘货信息!$B:$B&amp;盘货信息!$C:$C,盘货信息!$F:$F)&amp;"元】","【焕新补贴预估价"&amp;_xlfn.XLOOKUP(A448&amp;B448&amp;C448,盘货信息!$A:$A&amp;盘货信息!$B:$B&amp;盘货信息!$C:$C,盘货信息!$N:$N)&amp;"元】"))</f>
        <v/>
      </c>
      <c r="F448" s="18" t="str">
        <f t="array" ref="F448">IF(C448="","",_xlfn.XLOOKUP(A448&amp;B448&amp;C448,盘货信息!$A:$A&amp;盘货信息!$B:$B&amp;盘货信息!$C:$C,盘货信息!$E:$E)&amp;"元到手价")</f>
        <v/>
      </c>
      <c r="G448" s="18" t="str">
        <f t="array" ref="G448">IF(C448="","",IF(_xlfn.XLOOKUP(A448&amp;B448&amp;C448,盘货信息!$A:$A&amp;盘货信息!$B:$B&amp;盘货信息!$C:$C,盘货信息!$I:$I)="","","88VIP95折"))</f>
        <v/>
      </c>
      <c r="H448" s="18" t="str">
        <f t="array" ref="H448">IF(C448="","",IF(_xlfn.XLOOKUP(A448&amp;B448&amp;C448,盘货信息!$A:$A&amp;盘货信息!$B:$B&amp;盘货信息!$C:$C,盘货信息!$J:$J)="","",_xlfn.XLOOKUP(A448&amp;B448&amp;C448,盘货信息!$A:$A&amp;盘货信息!$B:$B&amp;盘货信息!$C:$C,盘货信息!$J:$J)&amp;"元优惠卷"))</f>
        <v/>
      </c>
      <c r="I448" s="18" t="str">
        <f t="array" ref="I448">IF(C448="","",IF(_xlfn.XLOOKUP(A448&amp;B448&amp;C448,盘货信息!$A:$A&amp;盘货信息!$B:$B&amp;盘货信息!$C:$C,盘货信息!$R:$R)="","",_xlfn.XLOOKUP(A448&amp;B448&amp;C448,盘货信息!$A:$A&amp;盘货信息!$B:$B&amp;盘货信息!$C:$C,盘货信息!$R:$R)&amp;"元优惠卷"))</f>
        <v/>
      </c>
      <c r="J448" s="18" t="str">
        <f t="array" ref="J448">IF(C448="","",IF(_xlfn.XLOOKUP(A448&amp;B448&amp;C448,盘货信息!$A:$A&amp;盘货信息!$B:$B&amp;盘货信息!$C:$C,盘货信息!$K:$K)="","",IF(OR(_xlfn.XLOOKUP(A448&amp;B448&amp;C448,盘货信息!$A:$A&amp;盘货信息!$B:$B&amp;盘货信息!$C:$C,盘货信息!$G:$G)="参加",_xlfn.XLOOKUP(A448&amp;B448&amp;C448,盘货信息!$A:$A&amp;盘货信息!$B:$B&amp;盘货信息!$C:$C,盘货信息!$H:$H)="1（纯自补）"),_xlfn.XLOOKUP(A448&amp;B448&amp;C448,盘货信息!$A:$A&amp;盘货信息!$B:$B&amp;盘货信息!$C:$C,盘货信息!$K:$K)&amp;"元以旧换新（可无旧机换新）","")))</f>
        <v/>
      </c>
      <c r="K448" s="18" t="str">
        <f t="array" ref="K448">IF(C448="","",IF(_xlfn.XLOOKUP(A448&amp;B448&amp;C448,盘货信息!$A:$A&amp;盘货信息!$B:$B&amp;盘货信息!$C:$C,盘货信息!$L:$L)="","",_xlfn.XLOOKUP(A448&amp;B448&amp;C448,盘货信息!$A:$A&amp;盘货信息!$B:$B&amp;盘货信息!$C:$C,盘货信息!$L:$L)&amp;"元限时补贴"))</f>
        <v/>
      </c>
      <c r="L448" s="18" t="str">
        <f t="array" ref="L448">IF(C448="","",IF(_xlfn.XLOOKUP(A448&amp;B448&amp;C448,盘货信息!$A:$A&amp;盘货信息!$B:$B&amp;盘货信息!$C:$C,盘货信息!$M:$M)="","",_xlfn.XLOOKUP(A448&amp;B448&amp;C448,盘货信息!$A:$A&amp;盘货信息!$B:$B&amp;盘货信息!$C:$C,盘货信息!$M:$M)&amp;"元消费券"))</f>
        <v/>
      </c>
      <c r="M448" s="18" t="str">
        <f t="array" ref="M448">IF(C448="","",IF(_xlfn.XLOOKUP(A448&amp;B448&amp;C448,盘货信息!$A:$A&amp;盘货信息!$B:$B&amp;盘货信息!$C:$C,盘货信息!$G:$G)="不参加","","焕新补贴优惠【全民可用，不限地址】"))</f>
        <v/>
      </c>
    </row>
    <row r="449" customHeight="1" spans="1:13">
      <c r="A449" s="17" t="str">
        <f>IF(盘货信息!A449="","",盘货信息!A449)</f>
        <v/>
      </c>
      <c r="B449" s="17" t="str">
        <f>IF(盘货信息!B449="","",盘货信息!B449)</f>
        <v/>
      </c>
      <c r="C449" s="18" t="str">
        <f>IF(盘货信息!C449="","",盘货信息!C449)</f>
        <v/>
      </c>
      <c r="D449" s="18" t="str">
        <f t="shared" si="6"/>
        <v/>
      </c>
      <c r="E449" s="18" t="str">
        <f t="array" ref="E449">IF(C449="","",IF(_xlfn.XLOOKUP(A449&amp;B449&amp;C449,盘货信息!$A:$A&amp;盘货信息!$B:$B&amp;盘货信息!$C:$C,盘货信息!$N:$N)="","【立减到手价"&amp;_xlfn.XLOOKUP(A449&amp;B449&amp;C449,盘货信息!$A:$A&amp;盘货信息!$B:$B&amp;盘货信息!$C:$C,盘货信息!$F:$F)&amp;"元】","【焕新补贴预估价"&amp;_xlfn.XLOOKUP(A449&amp;B449&amp;C449,盘货信息!$A:$A&amp;盘货信息!$B:$B&amp;盘货信息!$C:$C,盘货信息!$N:$N)&amp;"元】"))</f>
        <v/>
      </c>
      <c r="F449" s="18" t="str">
        <f t="array" ref="F449">IF(C449="","",_xlfn.XLOOKUP(A449&amp;B449&amp;C449,盘货信息!$A:$A&amp;盘货信息!$B:$B&amp;盘货信息!$C:$C,盘货信息!$E:$E)&amp;"元到手价")</f>
        <v/>
      </c>
      <c r="G449" s="18" t="str">
        <f t="array" ref="G449">IF(C449="","",IF(_xlfn.XLOOKUP(A449&amp;B449&amp;C449,盘货信息!$A:$A&amp;盘货信息!$B:$B&amp;盘货信息!$C:$C,盘货信息!$I:$I)="","","88VIP95折"))</f>
        <v/>
      </c>
      <c r="H449" s="18" t="str">
        <f t="array" ref="H449">IF(C449="","",IF(_xlfn.XLOOKUP(A449&amp;B449&amp;C449,盘货信息!$A:$A&amp;盘货信息!$B:$B&amp;盘货信息!$C:$C,盘货信息!$J:$J)="","",_xlfn.XLOOKUP(A449&amp;B449&amp;C449,盘货信息!$A:$A&amp;盘货信息!$B:$B&amp;盘货信息!$C:$C,盘货信息!$J:$J)&amp;"元优惠卷"))</f>
        <v/>
      </c>
      <c r="I449" s="18" t="str">
        <f t="array" ref="I449">IF(C449="","",IF(_xlfn.XLOOKUP(A449&amp;B449&amp;C449,盘货信息!$A:$A&amp;盘货信息!$B:$B&amp;盘货信息!$C:$C,盘货信息!$R:$R)="","",_xlfn.XLOOKUP(A449&amp;B449&amp;C449,盘货信息!$A:$A&amp;盘货信息!$B:$B&amp;盘货信息!$C:$C,盘货信息!$R:$R)&amp;"元优惠卷"))</f>
        <v/>
      </c>
      <c r="J449" s="18" t="str">
        <f t="array" ref="J449">IF(C449="","",IF(_xlfn.XLOOKUP(A449&amp;B449&amp;C449,盘货信息!$A:$A&amp;盘货信息!$B:$B&amp;盘货信息!$C:$C,盘货信息!$K:$K)="","",IF(OR(_xlfn.XLOOKUP(A449&amp;B449&amp;C449,盘货信息!$A:$A&amp;盘货信息!$B:$B&amp;盘货信息!$C:$C,盘货信息!$G:$G)="参加",_xlfn.XLOOKUP(A449&amp;B449&amp;C449,盘货信息!$A:$A&amp;盘货信息!$B:$B&amp;盘货信息!$C:$C,盘货信息!$H:$H)="1（纯自补）"),_xlfn.XLOOKUP(A449&amp;B449&amp;C449,盘货信息!$A:$A&amp;盘货信息!$B:$B&amp;盘货信息!$C:$C,盘货信息!$K:$K)&amp;"元以旧换新（可无旧机换新）","")))</f>
        <v/>
      </c>
      <c r="K449" s="18" t="str">
        <f t="array" ref="K449">IF(C449="","",IF(_xlfn.XLOOKUP(A449&amp;B449&amp;C449,盘货信息!$A:$A&amp;盘货信息!$B:$B&amp;盘货信息!$C:$C,盘货信息!$L:$L)="","",_xlfn.XLOOKUP(A449&amp;B449&amp;C449,盘货信息!$A:$A&amp;盘货信息!$B:$B&amp;盘货信息!$C:$C,盘货信息!$L:$L)&amp;"元限时补贴"))</f>
        <v/>
      </c>
      <c r="L449" s="18" t="str">
        <f t="array" ref="L449">IF(C449="","",IF(_xlfn.XLOOKUP(A449&amp;B449&amp;C449,盘货信息!$A:$A&amp;盘货信息!$B:$B&amp;盘货信息!$C:$C,盘货信息!$M:$M)="","",_xlfn.XLOOKUP(A449&amp;B449&amp;C449,盘货信息!$A:$A&amp;盘货信息!$B:$B&amp;盘货信息!$C:$C,盘货信息!$M:$M)&amp;"元消费券"))</f>
        <v/>
      </c>
      <c r="M449" s="18" t="str">
        <f t="array" ref="M449">IF(C449="","",IF(_xlfn.XLOOKUP(A449&amp;B449&amp;C449,盘货信息!$A:$A&amp;盘货信息!$B:$B&amp;盘货信息!$C:$C,盘货信息!$G:$G)="不参加","","焕新补贴优惠【全民可用，不限地址】"))</f>
        <v/>
      </c>
    </row>
    <row r="450" customHeight="1" spans="1:13">
      <c r="A450" s="17" t="str">
        <f>IF(盘货信息!A450="","",盘货信息!A450)</f>
        <v/>
      </c>
      <c r="B450" s="17" t="str">
        <f>IF(盘货信息!B450="","",盘货信息!B450)</f>
        <v/>
      </c>
      <c r="C450" s="18" t="str">
        <f>IF(盘货信息!C450="","",盘货信息!C450)</f>
        <v/>
      </c>
      <c r="D450" s="18" t="str">
        <f t="shared" ref="D450:D501" si="7">IF(C450="","",E450&amp;"="&amp;F450&amp;IF(G450="","","-"&amp;G450)&amp;IF(H450="","","-"&amp;H450)&amp;IF(I450="","","-"&amp;I450)&amp;IF(J450="","","-"&amp;J450)&amp;IF(K450="","","-"&amp;K450)&amp;IF(L450="","","-"&amp;L450)&amp;IF(M450="","","-"&amp;M450))</f>
        <v/>
      </c>
      <c r="E450" s="18" t="str">
        <f t="array" ref="E450">IF(C450="","",IF(_xlfn.XLOOKUP(A450&amp;B450&amp;C450,盘货信息!$A:$A&amp;盘货信息!$B:$B&amp;盘货信息!$C:$C,盘货信息!$N:$N)="","【立减到手价"&amp;_xlfn.XLOOKUP(A450&amp;B450&amp;C450,盘货信息!$A:$A&amp;盘货信息!$B:$B&amp;盘货信息!$C:$C,盘货信息!$F:$F)&amp;"元】","【焕新补贴预估价"&amp;_xlfn.XLOOKUP(A450&amp;B450&amp;C450,盘货信息!$A:$A&amp;盘货信息!$B:$B&amp;盘货信息!$C:$C,盘货信息!$N:$N)&amp;"元】"))</f>
        <v/>
      </c>
      <c r="F450" s="18" t="str">
        <f t="array" ref="F450">IF(C450="","",_xlfn.XLOOKUP(A450&amp;B450&amp;C450,盘货信息!$A:$A&amp;盘货信息!$B:$B&amp;盘货信息!$C:$C,盘货信息!$E:$E)&amp;"元到手价")</f>
        <v/>
      </c>
      <c r="G450" s="18" t="str">
        <f t="array" ref="G450">IF(C450="","",IF(_xlfn.XLOOKUP(A450&amp;B450&amp;C450,盘货信息!$A:$A&amp;盘货信息!$B:$B&amp;盘货信息!$C:$C,盘货信息!$I:$I)="","","88VIP95折"))</f>
        <v/>
      </c>
      <c r="H450" s="18" t="str">
        <f t="array" ref="H450">IF(C450="","",IF(_xlfn.XLOOKUP(A450&amp;B450&amp;C450,盘货信息!$A:$A&amp;盘货信息!$B:$B&amp;盘货信息!$C:$C,盘货信息!$J:$J)="","",_xlfn.XLOOKUP(A450&amp;B450&amp;C450,盘货信息!$A:$A&amp;盘货信息!$B:$B&amp;盘货信息!$C:$C,盘货信息!$J:$J)&amp;"元优惠卷"))</f>
        <v/>
      </c>
      <c r="I450" s="18" t="str">
        <f t="array" ref="I450">IF(C450="","",IF(_xlfn.XLOOKUP(A450&amp;B450&amp;C450,盘货信息!$A:$A&amp;盘货信息!$B:$B&amp;盘货信息!$C:$C,盘货信息!$R:$R)="","",_xlfn.XLOOKUP(A450&amp;B450&amp;C450,盘货信息!$A:$A&amp;盘货信息!$B:$B&amp;盘货信息!$C:$C,盘货信息!$R:$R)&amp;"元优惠卷"))</f>
        <v/>
      </c>
      <c r="J450" s="18" t="str">
        <f t="array" ref="J450">IF(C450="","",IF(_xlfn.XLOOKUP(A450&amp;B450&amp;C450,盘货信息!$A:$A&amp;盘货信息!$B:$B&amp;盘货信息!$C:$C,盘货信息!$K:$K)="","",IF(OR(_xlfn.XLOOKUP(A450&amp;B450&amp;C450,盘货信息!$A:$A&amp;盘货信息!$B:$B&amp;盘货信息!$C:$C,盘货信息!$G:$G)="参加",_xlfn.XLOOKUP(A450&amp;B450&amp;C450,盘货信息!$A:$A&amp;盘货信息!$B:$B&amp;盘货信息!$C:$C,盘货信息!$H:$H)="1（纯自补）"),_xlfn.XLOOKUP(A450&amp;B450&amp;C450,盘货信息!$A:$A&amp;盘货信息!$B:$B&amp;盘货信息!$C:$C,盘货信息!$K:$K)&amp;"元以旧换新（可无旧机换新）","")))</f>
        <v/>
      </c>
      <c r="K450" s="18" t="str">
        <f t="array" ref="K450">IF(C450="","",IF(_xlfn.XLOOKUP(A450&amp;B450&amp;C450,盘货信息!$A:$A&amp;盘货信息!$B:$B&amp;盘货信息!$C:$C,盘货信息!$L:$L)="","",_xlfn.XLOOKUP(A450&amp;B450&amp;C450,盘货信息!$A:$A&amp;盘货信息!$B:$B&amp;盘货信息!$C:$C,盘货信息!$L:$L)&amp;"元限时补贴"))</f>
        <v/>
      </c>
      <c r="L450" s="18" t="str">
        <f t="array" ref="L450">IF(C450="","",IF(_xlfn.XLOOKUP(A450&amp;B450&amp;C450,盘货信息!$A:$A&amp;盘货信息!$B:$B&amp;盘货信息!$C:$C,盘货信息!$M:$M)="","",_xlfn.XLOOKUP(A450&amp;B450&amp;C450,盘货信息!$A:$A&amp;盘货信息!$B:$B&amp;盘货信息!$C:$C,盘货信息!$M:$M)&amp;"元消费券"))</f>
        <v/>
      </c>
      <c r="M450" s="18" t="str">
        <f t="array" ref="M450">IF(C450="","",IF(_xlfn.XLOOKUP(A450&amp;B450&amp;C450,盘货信息!$A:$A&amp;盘货信息!$B:$B&amp;盘货信息!$C:$C,盘货信息!$G:$G)="不参加","","焕新补贴优惠【全民可用，不限地址】"))</f>
        <v/>
      </c>
    </row>
    <row r="451" customHeight="1" spans="1:13">
      <c r="A451" s="17" t="str">
        <f>IF(盘货信息!A451="","",盘货信息!A451)</f>
        <v/>
      </c>
      <c r="B451" s="17" t="str">
        <f>IF(盘货信息!B451="","",盘货信息!B451)</f>
        <v/>
      </c>
      <c r="C451" s="18" t="str">
        <f>IF(盘货信息!C451="","",盘货信息!C451)</f>
        <v/>
      </c>
      <c r="D451" s="18" t="str">
        <f t="shared" si="7"/>
        <v/>
      </c>
      <c r="E451" s="18" t="str">
        <f t="array" ref="E451">IF(C451="","",IF(_xlfn.XLOOKUP(A451&amp;B451&amp;C451,盘货信息!$A:$A&amp;盘货信息!$B:$B&amp;盘货信息!$C:$C,盘货信息!$N:$N)="","【立减到手价"&amp;_xlfn.XLOOKUP(A451&amp;B451&amp;C451,盘货信息!$A:$A&amp;盘货信息!$B:$B&amp;盘货信息!$C:$C,盘货信息!$F:$F)&amp;"元】","【焕新补贴预估价"&amp;_xlfn.XLOOKUP(A451&amp;B451&amp;C451,盘货信息!$A:$A&amp;盘货信息!$B:$B&amp;盘货信息!$C:$C,盘货信息!$N:$N)&amp;"元】"))</f>
        <v/>
      </c>
      <c r="F451" s="18" t="str">
        <f t="array" ref="F451">IF(C451="","",_xlfn.XLOOKUP(A451&amp;B451&amp;C451,盘货信息!$A:$A&amp;盘货信息!$B:$B&amp;盘货信息!$C:$C,盘货信息!$E:$E)&amp;"元到手价")</f>
        <v/>
      </c>
      <c r="G451" s="18" t="str">
        <f t="array" ref="G451">IF(C451="","",IF(_xlfn.XLOOKUP(A451&amp;B451&amp;C451,盘货信息!$A:$A&amp;盘货信息!$B:$B&amp;盘货信息!$C:$C,盘货信息!$I:$I)="","","88VIP95折"))</f>
        <v/>
      </c>
      <c r="H451" s="18" t="str">
        <f t="array" ref="H451">IF(C451="","",IF(_xlfn.XLOOKUP(A451&amp;B451&amp;C451,盘货信息!$A:$A&amp;盘货信息!$B:$B&amp;盘货信息!$C:$C,盘货信息!$J:$J)="","",_xlfn.XLOOKUP(A451&amp;B451&amp;C451,盘货信息!$A:$A&amp;盘货信息!$B:$B&amp;盘货信息!$C:$C,盘货信息!$J:$J)&amp;"元优惠卷"))</f>
        <v/>
      </c>
      <c r="I451" s="18" t="str">
        <f t="array" ref="I451">IF(C451="","",IF(_xlfn.XLOOKUP(A451&amp;B451&amp;C451,盘货信息!$A:$A&amp;盘货信息!$B:$B&amp;盘货信息!$C:$C,盘货信息!$R:$R)="","",_xlfn.XLOOKUP(A451&amp;B451&amp;C451,盘货信息!$A:$A&amp;盘货信息!$B:$B&amp;盘货信息!$C:$C,盘货信息!$R:$R)&amp;"元优惠卷"))</f>
        <v/>
      </c>
      <c r="J451" s="18" t="str">
        <f t="array" ref="J451">IF(C451="","",IF(_xlfn.XLOOKUP(A451&amp;B451&amp;C451,盘货信息!$A:$A&amp;盘货信息!$B:$B&amp;盘货信息!$C:$C,盘货信息!$K:$K)="","",IF(OR(_xlfn.XLOOKUP(A451&amp;B451&amp;C451,盘货信息!$A:$A&amp;盘货信息!$B:$B&amp;盘货信息!$C:$C,盘货信息!$G:$G)="参加",_xlfn.XLOOKUP(A451&amp;B451&amp;C451,盘货信息!$A:$A&amp;盘货信息!$B:$B&amp;盘货信息!$C:$C,盘货信息!$H:$H)="1（纯自补）"),_xlfn.XLOOKUP(A451&amp;B451&amp;C451,盘货信息!$A:$A&amp;盘货信息!$B:$B&amp;盘货信息!$C:$C,盘货信息!$K:$K)&amp;"元以旧换新（可无旧机换新）","")))</f>
        <v/>
      </c>
      <c r="K451" s="18" t="str">
        <f t="array" ref="K451">IF(C451="","",IF(_xlfn.XLOOKUP(A451&amp;B451&amp;C451,盘货信息!$A:$A&amp;盘货信息!$B:$B&amp;盘货信息!$C:$C,盘货信息!$L:$L)="","",_xlfn.XLOOKUP(A451&amp;B451&amp;C451,盘货信息!$A:$A&amp;盘货信息!$B:$B&amp;盘货信息!$C:$C,盘货信息!$L:$L)&amp;"元限时补贴"))</f>
        <v/>
      </c>
      <c r="L451" s="18" t="str">
        <f t="array" ref="L451">IF(C451="","",IF(_xlfn.XLOOKUP(A451&amp;B451&amp;C451,盘货信息!$A:$A&amp;盘货信息!$B:$B&amp;盘货信息!$C:$C,盘货信息!$M:$M)="","",_xlfn.XLOOKUP(A451&amp;B451&amp;C451,盘货信息!$A:$A&amp;盘货信息!$B:$B&amp;盘货信息!$C:$C,盘货信息!$M:$M)&amp;"元消费券"))</f>
        <v/>
      </c>
      <c r="M451" s="18" t="str">
        <f t="array" ref="M451">IF(C451="","",IF(_xlfn.XLOOKUP(A451&amp;B451&amp;C451,盘货信息!$A:$A&amp;盘货信息!$B:$B&amp;盘货信息!$C:$C,盘货信息!$G:$G)="不参加","","焕新补贴优惠【全民可用，不限地址】"))</f>
        <v/>
      </c>
    </row>
    <row r="452" customHeight="1" spans="1:13">
      <c r="A452" s="17" t="str">
        <f>IF(盘货信息!A452="","",盘货信息!A452)</f>
        <v/>
      </c>
      <c r="B452" s="17" t="str">
        <f>IF(盘货信息!B452="","",盘货信息!B452)</f>
        <v/>
      </c>
      <c r="C452" s="18" t="str">
        <f>IF(盘货信息!C452="","",盘货信息!C452)</f>
        <v/>
      </c>
      <c r="D452" s="18" t="str">
        <f t="shared" si="7"/>
        <v/>
      </c>
      <c r="E452" s="18" t="str">
        <f t="array" ref="E452">IF(C452="","",IF(_xlfn.XLOOKUP(A452&amp;B452&amp;C452,盘货信息!$A:$A&amp;盘货信息!$B:$B&amp;盘货信息!$C:$C,盘货信息!$N:$N)="","【立减到手价"&amp;_xlfn.XLOOKUP(A452&amp;B452&amp;C452,盘货信息!$A:$A&amp;盘货信息!$B:$B&amp;盘货信息!$C:$C,盘货信息!$F:$F)&amp;"元】","【焕新补贴预估价"&amp;_xlfn.XLOOKUP(A452&amp;B452&amp;C452,盘货信息!$A:$A&amp;盘货信息!$B:$B&amp;盘货信息!$C:$C,盘货信息!$N:$N)&amp;"元】"))</f>
        <v/>
      </c>
      <c r="F452" s="18" t="str">
        <f t="array" ref="F452">IF(C452="","",_xlfn.XLOOKUP(A452&amp;B452&amp;C452,盘货信息!$A:$A&amp;盘货信息!$B:$B&amp;盘货信息!$C:$C,盘货信息!$E:$E)&amp;"元到手价")</f>
        <v/>
      </c>
      <c r="G452" s="18" t="str">
        <f t="array" ref="G452">IF(C452="","",IF(_xlfn.XLOOKUP(A452&amp;B452&amp;C452,盘货信息!$A:$A&amp;盘货信息!$B:$B&amp;盘货信息!$C:$C,盘货信息!$I:$I)="","","88VIP95折"))</f>
        <v/>
      </c>
      <c r="H452" s="18" t="str">
        <f t="array" ref="H452">IF(C452="","",IF(_xlfn.XLOOKUP(A452&amp;B452&amp;C452,盘货信息!$A:$A&amp;盘货信息!$B:$B&amp;盘货信息!$C:$C,盘货信息!$J:$J)="","",_xlfn.XLOOKUP(A452&amp;B452&amp;C452,盘货信息!$A:$A&amp;盘货信息!$B:$B&amp;盘货信息!$C:$C,盘货信息!$J:$J)&amp;"元优惠卷"))</f>
        <v/>
      </c>
      <c r="I452" s="18" t="str">
        <f t="array" ref="I452">IF(C452="","",IF(_xlfn.XLOOKUP(A452&amp;B452&amp;C452,盘货信息!$A:$A&amp;盘货信息!$B:$B&amp;盘货信息!$C:$C,盘货信息!$R:$R)="","",_xlfn.XLOOKUP(A452&amp;B452&amp;C452,盘货信息!$A:$A&amp;盘货信息!$B:$B&amp;盘货信息!$C:$C,盘货信息!$R:$R)&amp;"元优惠卷"))</f>
        <v/>
      </c>
      <c r="J452" s="18" t="str">
        <f t="array" ref="J452">IF(C452="","",IF(_xlfn.XLOOKUP(A452&amp;B452&amp;C452,盘货信息!$A:$A&amp;盘货信息!$B:$B&amp;盘货信息!$C:$C,盘货信息!$K:$K)="","",IF(OR(_xlfn.XLOOKUP(A452&amp;B452&amp;C452,盘货信息!$A:$A&amp;盘货信息!$B:$B&amp;盘货信息!$C:$C,盘货信息!$G:$G)="参加",_xlfn.XLOOKUP(A452&amp;B452&amp;C452,盘货信息!$A:$A&amp;盘货信息!$B:$B&amp;盘货信息!$C:$C,盘货信息!$H:$H)="1（纯自补）"),_xlfn.XLOOKUP(A452&amp;B452&amp;C452,盘货信息!$A:$A&amp;盘货信息!$B:$B&amp;盘货信息!$C:$C,盘货信息!$K:$K)&amp;"元以旧换新（可无旧机换新）","")))</f>
        <v/>
      </c>
      <c r="K452" s="18" t="str">
        <f t="array" ref="K452">IF(C452="","",IF(_xlfn.XLOOKUP(A452&amp;B452&amp;C452,盘货信息!$A:$A&amp;盘货信息!$B:$B&amp;盘货信息!$C:$C,盘货信息!$L:$L)="","",_xlfn.XLOOKUP(A452&amp;B452&amp;C452,盘货信息!$A:$A&amp;盘货信息!$B:$B&amp;盘货信息!$C:$C,盘货信息!$L:$L)&amp;"元限时补贴"))</f>
        <v/>
      </c>
      <c r="L452" s="18" t="str">
        <f t="array" ref="L452">IF(C452="","",IF(_xlfn.XLOOKUP(A452&amp;B452&amp;C452,盘货信息!$A:$A&amp;盘货信息!$B:$B&amp;盘货信息!$C:$C,盘货信息!$M:$M)="","",_xlfn.XLOOKUP(A452&amp;B452&amp;C452,盘货信息!$A:$A&amp;盘货信息!$B:$B&amp;盘货信息!$C:$C,盘货信息!$M:$M)&amp;"元消费券"))</f>
        <v/>
      </c>
      <c r="M452" s="18" t="str">
        <f t="array" ref="M452">IF(C452="","",IF(_xlfn.XLOOKUP(A452&amp;B452&amp;C452,盘货信息!$A:$A&amp;盘货信息!$B:$B&amp;盘货信息!$C:$C,盘货信息!$G:$G)="不参加","","焕新补贴优惠【全民可用，不限地址】"))</f>
        <v/>
      </c>
    </row>
    <row r="453" customHeight="1" spans="1:13">
      <c r="A453" s="17" t="str">
        <f>IF(盘货信息!A453="","",盘货信息!A453)</f>
        <v/>
      </c>
      <c r="B453" s="17" t="str">
        <f>IF(盘货信息!B453="","",盘货信息!B453)</f>
        <v/>
      </c>
      <c r="C453" s="18" t="str">
        <f>IF(盘货信息!C453="","",盘货信息!C453)</f>
        <v/>
      </c>
      <c r="D453" s="18" t="str">
        <f t="shared" si="7"/>
        <v/>
      </c>
      <c r="E453" s="18" t="str">
        <f t="array" ref="E453">IF(C453="","",IF(_xlfn.XLOOKUP(A453&amp;B453&amp;C453,盘货信息!$A:$A&amp;盘货信息!$B:$B&amp;盘货信息!$C:$C,盘货信息!$N:$N)="","【立减到手价"&amp;_xlfn.XLOOKUP(A453&amp;B453&amp;C453,盘货信息!$A:$A&amp;盘货信息!$B:$B&amp;盘货信息!$C:$C,盘货信息!$F:$F)&amp;"元】","【焕新补贴预估价"&amp;_xlfn.XLOOKUP(A453&amp;B453&amp;C453,盘货信息!$A:$A&amp;盘货信息!$B:$B&amp;盘货信息!$C:$C,盘货信息!$N:$N)&amp;"元】"))</f>
        <v/>
      </c>
      <c r="F453" s="18" t="str">
        <f t="array" ref="F453">IF(C453="","",_xlfn.XLOOKUP(A453&amp;B453&amp;C453,盘货信息!$A:$A&amp;盘货信息!$B:$B&amp;盘货信息!$C:$C,盘货信息!$E:$E)&amp;"元到手价")</f>
        <v/>
      </c>
      <c r="G453" s="18" t="str">
        <f t="array" ref="G453">IF(C453="","",IF(_xlfn.XLOOKUP(A453&amp;B453&amp;C453,盘货信息!$A:$A&amp;盘货信息!$B:$B&amp;盘货信息!$C:$C,盘货信息!$I:$I)="","","88VIP95折"))</f>
        <v/>
      </c>
      <c r="H453" s="18" t="str">
        <f t="array" ref="H453">IF(C453="","",IF(_xlfn.XLOOKUP(A453&amp;B453&amp;C453,盘货信息!$A:$A&amp;盘货信息!$B:$B&amp;盘货信息!$C:$C,盘货信息!$J:$J)="","",_xlfn.XLOOKUP(A453&amp;B453&amp;C453,盘货信息!$A:$A&amp;盘货信息!$B:$B&amp;盘货信息!$C:$C,盘货信息!$J:$J)&amp;"元优惠卷"))</f>
        <v/>
      </c>
      <c r="I453" s="18" t="str">
        <f t="array" ref="I453">IF(C453="","",IF(_xlfn.XLOOKUP(A453&amp;B453&amp;C453,盘货信息!$A:$A&amp;盘货信息!$B:$B&amp;盘货信息!$C:$C,盘货信息!$R:$R)="","",_xlfn.XLOOKUP(A453&amp;B453&amp;C453,盘货信息!$A:$A&amp;盘货信息!$B:$B&amp;盘货信息!$C:$C,盘货信息!$R:$R)&amp;"元优惠卷"))</f>
        <v/>
      </c>
      <c r="J453" s="18" t="str">
        <f t="array" ref="J453">IF(C453="","",IF(_xlfn.XLOOKUP(A453&amp;B453&amp;C453,盘货信息!$A:$A&amp;盘货信息!$B:$B&amp;盘货信息!$C:$C,盘货信息!$K:$K)="","",IF(OR(_xlfn.XLOOKUP(A453&amp;B453&amp;C453,盘货信息!$A:$A&amp;盘货信息!$B:$B&amp;盘货信息!$C:$C,盘货信息!$G:$G)="参加",_xlfn.XLOOKUP(A453&amp;B453&amp;C453,盘货信息!$A:$A&amp;盘货信息!$B:$B&amp;盘货信息!$C:$C,盘货信息!$H:$H)="1（纯自补）"),_xlfn.XLOOKUP(A453&amp;B453&amp;C453,盘货信息!$A:$A&amp;盘货信息!$B:$B&amp;盘货信息!$C:$C,盘货信息!$K:$K)&amp;"元以旧换新（可无旧机换新）","")))</f>
        <v/>
      </c>
      <c r="K453" s="18" t="str">
        <f t="array" ref="K453">IF(C453="","",IF(_xlfn.XLOOKUP(A453&amp;B453&amp;C453,盘货信息!$A:$A&amp;盘货信息!$B:$B&amp;盘货信息!$C:$C,盘货信息!$L:$L)="","",_xlfn.XLOOKUP(A453&amp;B453&amp;C453,盘货信息!$A:$A&amp;盘货信息!$B:$B&amp;盘货信息!$C:$C,盘货信息!$L:$L)&amp;"元限时补贴"))</f>
        <v/>
      </c>
      <c r="L453" s="18" t="str">
        <f t="array" ref="L453">IF(C453="","",IF(_xlfn.XLOOKUP(A453&amp;B453&amp;C453,盘货信息!$A:$A&amp;盘货信息!$B:$B&amp;盘货信息!$C:$C,盘货信息!$M:$M)="","",_xlfn.XLOOKUP(A453&amp;B453&amp;C453,盘货信息!$A:$A&amp;盘货信息!$B:$B&amp;盘货信息!$C:$C,盘货信息!$M:$M)&amp;"元消费券"))</f>
        <v/>
      </c>
      <c r="M453" s="18" t="str">
        <f t="array" ref="M453">IF(C453="","",IF(_xlfn.XLOOKUP(A453&amp;B453&amp;C453,盘货信息!$A:$A&amp;盘货信息!$B:$B&amp;盘货信息!$C:$C,盘货信息!$G:$G)="不参加","","焕新补贴优惠【全民可用，不限地址】"))</f>
        <v/>
      </c>
    </row>
    <row r="454" customHeight="1" spans="1:13">
      <c r="A454" s="17" t="str">
        <f>IF(盘货信息!A454="","",盘货信息!A454)</f>
        <v/>
      </c>
      <c r="B454" s="17" t="str">
        <f>IF(盘货信息!B454="","",盘货信息!B454)</f>
        <v/>
      </c>
      <c r="C454" s="18" t="str">
        <f>IF(盘货信息!C454="","",盘货信息!C454)</f>
        <v/>
      </c>
      <c r="D454" s="18" t="str">
        <f t="shared" si="7"/>
        <v/>
      </c>
      <c r="E454" s="18" t="str">
        <f t="array" ref="E454">IF(C454="","",IF(_xlfn.XLOOKUP(A454&amp;B454&amp;C454,盘货信息!$A:$A&amp;盘货信息!$B:$B&amp;盘货信息!$C:$C,盘货信息!$N:$N)="","【立减到手价"&amp;_xlfn.XLOOKUP(A454&amp;B454&amp;C454,盘货信息!$A:$A&amp;盘货信息!$B:$B&amp;盘货信息!$C:$C,盘货信息!$F:$F)&amp;"元】","【焕新补贴预估价"&amp;_xlfn.XLOOKUP(A454&amp;B454&amp;C454,盘货信息!$A:$A&amp;盘货信息!$B:$B&amp;盘货信息!$C:$C,盘货信息!$N:$N)&amp;"元】"))</f>
        <v/>
      </c>
      <c r="F454" s="18" t="str">
        <f t="array" ref="F454">IF(C454="","",_xlfn.XLOOKUP(A454&amp;B454&amp;C454,盘货信息!$A:$A&amp;盘货信息!$B:$B&amp;盘货信息!$C:$C,盘货信息!$E:$E)&amp;"元到手价")</f>
        <v/>
      </c>
      <c r="G454" s="18" t="str">
        <f t="array" ref="G454">IF(C454="","",IF(_xlfn.XLOOKUP(A454&amp;B454&amp;C454,盘货信息!$A:$A&amp;盘货信息!$B:$B&amp;盘货信息!$C:$C,盘货信息!$I:$I)="","","88VIP95折"))</f>
        <v/>
      </c>
      <c r="H454" s="18" t="str">
        <f t="array" ref="H454">IF(C454="","",IF(_xlfn.XLOOKUP(A454&amp;B454&amp;C454,盘货信息!$A:$A&amp;盘货信息!$B:$B&amp;盘货信息!$C:$C,盘货信息!$J:$J)="","",_xlfn.XLOOKUP(A454&amp;B454&amp;C454,盘货信息!$A:$A&amp;盘货信息!$B:$B&amp;盘货信息!$C:$C,盘货信息!$J:$J)&amp;"元优惠卷"))</f>
        <v/>
      </c>
      <c r="I454" s="18" t="str">
        <f t="array" ref="I454">IF(C454="","",IF(_xlfn.XLOOKUP(A454&amp;B454&amp;C454,盘货信息!$A:$A&amp;盘货信息!$B:$B&amp;盘货信息!$C:$C,盘货信息!$R:$R)="","",_xlfn.XLOOKUP(A454&amp;B454&amp;C454,盘货信息!$A:$A&amp;盘货信息!$B:$B&amp;盘货信息!$C:$C,盘货信息!$R:$R)&amp;"元优惠卷"))</f>
        <v/>
      </c>
      <c r="J454" s="18" t="str">
        <f t="array" ref="J454">IF(C454="","",IF(_xlfn.XLOOKUP(A454&amp;B454&amp;C454,盘货信息!$A:$A&amp;盘货信息!$B:$B&amp;盘货信息!$C:$C,盘货信息!$K:$K)="","",IF(OR(_xlfn.XLOOKUP(A454&amp;B454&amp;C454,盘货信息!$A:$A&amp;盘货信息!$B:$B&amp;盘货信息!$C:$C,盘货信息!$G:$G)="参加",_xlfn.XLOOKUP(A454&amp;B454&amp;C454,盘货信息!$A:$A&amp;盘货信息!$B:$B&amp;盘货信息!$C:$C,盘货信息!$H:$H)="1（纯自补）"),_xlfn.XLOOKUP(A454&amp;B454&amp;C454,盘货信息!$A:$A&amp;盘货信息!$B:$B&amp;盘货信息!$C:$C,盘货信息!$K:$K)&amp;"元以旧换新（可无旧机换新）","")))</f>
        <v/>
      </c>
      <c r="K454" s="18" t="str">
        <f t="array" ref="K454">IF(C454="","",IF(_xlfn.XLOOKUP(A454&amp;B454&amp;C454,盘货信息!$A:$A&amp;盘货信息!$B:$B&amp;盘货信息!$C:$C,盘货信息!$L:$L)="","",_xlfn.XLOOKUP(A454&amp;B454&amp;C454,盘货信息!$A:$A&amp;盘货信息!$B:$B&amp;盘货信息!$C:$C,盘货信息!$L:$L)&amp;"元限时补贴"))</f>
        <v/>
      </c>
      <c r="L454" s="18" t="str">
        <f t="array" ref="L454">IF(C454="","",IF(_xlfn.XLOOKUP(A454&amp;B454&amp;C454,盘货信息!$A:$A&amp;盘货信息!$B:$B&amp;盘货信息!$C:$C,盘货信息!$M:$M)="","",_xlfn.XLOOKUP(A454&amp;B454&amp;C454,盘货信息!$A:$A&amp;盘货信息!$B:$B&amp;盘货信息!$C:$C,盘货信息!$M:$M)&amp;"元消费券"))</f>
        <v/>
      </c>
      <c r="M454" s="18" t="str">
        <f t="array" ref="M454">IF(C454="","",IF(_xlfn.XLOOKUP(A454&amp;B454&amp;C454,盘货信息!$A:$A&amp;盘货信息!$B:$B&amp;盘货信息!$C:$C,盘货信息!$G:$G)="不参加","","焕新补贴优惠【全民可用，不限地址】"))</f>
        <v/>
      </c>
    </row>
    <row r="455" customHeight="1" spans="1:13">
      <c r="A455" s="17" t="str">
        <f>IF(盘货信息!A455="","",盘货信息!A455)</f>
        <v/>
      </c>
      <c r="B455" s="17" t="str">
        <f>IF(盘货信息!B455="","",盘货信息!B455)</f>
        <v/>
      </c>
      <c r="C455" s="18" t="str">
        <f>IF(盘货信息!C455="","",盘货信息!C455)</f>
        <v/>
      </c>
      <c r="D455" s="18" t="str">
        <f t="shared" si="7"/>
        <v/>
      </c>
      <c r="E455" s="18" t="str">
        <f t="array" ref="E455">IF(C455="","",IF(_xlfn.XLOOKUP(A455&amp;B455&amp;C455,盘货信息!$A:$A&amp;盘货信息!$B:$B&amp;盘货信息!$C:$C,盘货信息!$N:$N)="","【立减到手价"&amp;_xlfn.XLOOKUP(A455&amp;B455&amp;C455,盘货信息!$A:$A&amp;盘货信息!$B:$B&amp;盘货信息!$C:$C,盘货信息!$F:$F)&amp;"元】","【焕新补贴预估价"&amp;_xlfn.XLOOKUP(A455&amp;B455&amp;C455,盘货信息!$A:$A&amp;盘货信息!$B:$B&amp;盘货信息!$C:$C,盘货信息!$N:$N)&amp;"元】"))</f>
        <v/>
      </c>
      <c r="F455" s="18" t="str">
        <f t="array" ref="F455">IF(C455="","",_xlfn.XLOOKUP(A455&amp;B455&amp;C455,盘货信息!$A:$A&amp;盘货信息!$B:$B&amp;盘货信息!$C:$C,盘货信息!$E:$E)&amp;"元到手价")</f>
        <v/>
      </c>
      <c r="G455" s="18" t="str">
        <f t="array" ref="G455">IF(C455="","",IF(_xlfn.XLOOKUP(A455&amp;B455&amp;C455,盘货信息!$A:$A&amp;盘货信息!$B:$B&amp;盘货信息!$C:$C,盘货信息!$I:$I)="","","88VIP95折"))</f>
        <v/>
      </c>
      <c r="H455" s="18" t="str">
        <f t="array" ref="H455">IF(C455="","",IF(_xlfn.XLOOKUP(A455&amp;B455&amp;C455,盘货信息!$A:$A&amp;盘货信息!$B:$B&amp;盘货信息!$C:$C,盘货信息!$J:$J)="","",_xlfn.XLOOKUP(A455&amp;B455&amp;C455,盘货信息!$A:$A&amp;盘货信息!$B:$B&amp;盘货信息!$C:$C,盘货信息!$J:$J)&amp;"元优惠卷"))</f>
        <v/>
      </c>
      <c r="I455" s="18" t="str">
        <f t="array" ref="I455">IF(C455="","",IF(_xlfn.XLOOKUP(A455&amp;B455&amp;C455,盘货信息!$A:$A&amp;盘货信息!$B:$B&amp;盘货信息!$C:$C,盘货信息!$R:$R)="","",_xlfn.XLOOKUP(A455&amp;B455&amp;C455,盘货信息!$A:$A&amp;盘货信息!$B:$B&amp;盘货信息!$C:$C,盘货信息!$R:$R)&amp;"元优惠卷"))</f>
        <v/>
      </c>
      <c r="J455" s="18" t="str">
        <f t="array" ref="J455">IF(C455="","",IF(_xlfn.XLOOKUP(A455&amp;B455&amp;C455,盘货信息!$A:$A&amp;盘货信息!$B:$B&amp;盘货信息!$C:$C,盘货信息!$K:$K)="","",IF(OR(_xlfn.XLOOKUP(A455&amp;B455&amp;C455,盘货信息!$A:$A&amp;盘货信息!$B:$B&amp;盘货信息!$C:$C,盘货信息!$G:$G)="参加",_xlfn.XLOOKUP(A455&amp;B455&amp;C455,盘货信息!$A:$A&amp;盘货信息!$B:$B&amp;盘货信息!$C:$C,盘货信息!$H:$H)="1（纯自补）"),_xlfn.XLOOKUP(A455&amp;B455&amp;C455,盘货信息!$A:$A&amp;盘货信息!$B:$B&amp;盘货信息!$C:$C,盘货信息!$K:$K)&amp;"元以旧换新（可无旧机换新）","")))</f>
        <v/>
      </c>
      <c r="K455" s="18" t="str">
        <f t="array" ref="K455">IF(C455="","",IF(_xlfn.XLOOKUP(A455&amp;B455&amp;C455,盘货信息!$A:$A&amp;盘货信息!$B:$B&amp;盘货信息!$C:$C,盘货信息!$L:$L)="","",_xlfn.XLOOKUP(A455&amp;B455&amp;C455,盘货信息!$A:$A&amp;盘货信息!$B:$B&amp;盘货信息!$C:$C,盘货信息!$L:$L)&amp;"元限时补贴"))</f>
        <v/>
      </c>
      <c r="L455" s="18" t="str">
        <f t="array" ref="L455">IF(C455="","",IF(_xlfn.XLOOKUP(A455&amp;B455&amp;C455,盘货信息!$A:$A&amp;盘货信息!$B:$B&amp;盘货信息!$C:$C,盘货信息!$M:$M)="","",_xlfn.XLOOKUP(A455&amp;B455&amp;C455,盘货信息!$A:$A&amp;盘货信息!$B:$B&amp;盘货信息!$C:$C,盘货信息!$M:$M)&amp;"元消费券"))</f>
        <v/>
      </c>
      <c r="M455" s="18" t="str">
        <f t="array" ref="M455">IF(C455="","",IF(_xlfn.XLOOKUP(A455&amp;B455&amp;C455,盘货信息!$A:$A&amp;盘货信息!$B:$B&amp;盘货信息!$C:$C,盘货信息!$G:$G)="不参加","","焕新补贴优惠【全民可用，不限地址】"))</f>
        <v/>
      </c>
    </row>
    <row r="456" customHeight="1" spans="1:13">
      <c r="A456" s="17" t="str">
        <f>IF(盘货信息!A456="","",盘货信息!A456)</f>
        <v/>
      </c>
      <c r="B456" s="17" t="str">
        <f>IF(盘货信息!B456="","",盘货信息!B456)</f>
        <v/>
      </c>
      <c r="C456" s="18" t="str">
        <f>IF(盘货信息!C456="","",盘货信息!C456)</f>
        <v/>
      </c>
      <c r="D456" s="18" t="str">
        <f t="shared" si="7"/>
        <v/>
      </c>
      <c r="E456" s="18" t="str">
        <f t="array" ref="E456">IF(C456="","",IF(_xlfn.XLOOKUP(A456&amp;B456&amp;C456,盘货信息!$A:$A&amp;盘货信息!$B:$B&amp;盘货信息!$C:$C,盘货信息!$N:$N)="","【立减到手价"&amp;_xlfn.XLOOKUP(A456&amp;B456&amp;C456,盘货信息!$A:$A&amp;盘货信息!$B:$B&amp;盘货信息!$C:$C,盘货信息!$F:$F)&amp;"元】","【焕新补贴预估价"&amp;_xlfn.XLOOKUP(A456&amp;B456&amp;C456,盘货信息!$A:$A&amp;盘货信息!$B:$B&amp;盘货信息!$C:$C,盘货信息!$N:$N)&amp;"元】"))</f>
        <v/>
      </c>
      <c r="F456" s="18" t="str">
        <f t="array" ref="F456">IF(C456="","",_xlfn.XLOOKUP(A456&amp;B456&amp;C456,盘货信息!$A:$A&amp;盘货信息!$B:$B&amp;盘货信息!$C:$C,盘货信息!$E:$E)&amp;"元到手价")</f>
        <v/>
      </c>
      <c r="G456" s="18" t="str">
        <f t="array" ref="G456">IF(C456="","",IF(_xlfn.XLOOKUP(A456&amp;B456&amp;C456,盘货信息!$A:$A&amp;盘货信息!$B:$B&amp;盘货信息!$C:$C,盘货信息!$I:$I)="","","88VIP95折"))</f>
        <v/>
      </c>
      <c r="H456" s="18" t="str">
        <f t="array" ref="H456">IF(C456="","",IF(_xlfn.XLOOKUP(A456&amp;B456&amp;C456,盘货信息!$A:$A&amp;盘货信息!$B:$B&amp;盘货信息!$C:$C,盘货信息!$J:$J)="","",_xlfn.XLOOKUP(A456&amp;B456&amp;C456,盘货信息!$A:$A&amp;盘货信息!$B:$B&amp;盘货信息!$C:$C,盘货信息!$J:$J)&amp;"元优惠卷"))</f>
        <v/>
      </c>
      <c r="I456" s="18" t="str">
        <f t="array" ref="I456">IF(C456="","",IF(_xlfn.XLOOKUP(A456&amp;B456&amp;C456,盘货信息!$A:$A&amp;盘货信息!$B:$B&amp;盘货信息!$C:$C,盘货信息!$R:$R)="","",_xlfn.XLOOKUP(A456&amp;B456&amp;C456,盘货信息!$A:$A&amp;盘货信息!$B:$B&amp;盘货信息!$C:$C,盘货信息!$R:$R)&amp;"元优惠卷"))</f>
        <v/>
      </c>
      <c r="J456" s="18" t="str">
        <f t="array" ref="J456">IF(C456="","",IF(_xlfn.XLOOKUP(A456&amp;B456&amp;C456,盘货信息!$A:$A&amp;盘货信息!$B:$B&amp;盘货信息!$C:$C,盘货信息!$K:$K)="","",IF(OR(_xlfn.XLOOKUP(A456&amp;B456&amp;C456,盘货信息!$A:$A&amp;盘货信息!$B:$B&amp;盘货信息!$C:$C,盘货信息!$G:$G)="参加",_xlfn.XLOOKUP(A456&amp;B456&amp;C456,盘货信息!$A:$A&amp;盘货信息!$B:$B&amp;盘货信息!$C:$C,盘货信息!$H:$H)="1（纯自补）"),_xlfn.XLOOKUP(A456&amp;B456&amp;C456,盘货信息!$A:$A&amp;盘货信息!$B:$B&amp;盘货信息!$C:$C,盘货信息!$K:$K)&amp;"元以旧换新（可无旧机换新）","")))</f>
        <v/>
      </c>
      <c r="K456" s="18" t="str">
        <f t="array" ref="K456">IF(C456="","",IF(_xlfn.XLOOKUP(A456&amp;B456&amp;C456,盘货信息!$A:$A&amp;盘货信息!$B:$B&amp;盘货信息!$C:$C,盘货信息!$L:$L)="","",_xlfn.XLOOKUP(A456&amp;B456&amp;C456,盘货信息!$A:$A&amp;盘货信息!$B:$B&amp;盘货信息!$C:$C,盘货信息!$L:$L)&amp;"元限时补贴"))</f>
        <v/>
      </c>
      <c r="L456" s="18" t="str">
        <f t="array" ref="L456">IF(C456="","",IF(_xlfn.XLOOKUP(A456&amp;B456&amp;C456,盘货信息!$A:$A&amp;盘货信息!$B:$B&amp;盘货信息!$C:$C,盘货信息!$M:$M)="","",_xlfn.XLOOKUP(A456&amp;B456&amp;C456,盘货信息!$A:$A&amp;盘货信息!$B:$B&amp;盘货信息!$C:$C,盘货信息!$M:$M)&amp;"元消费券"))</f>
        <v/>
      </c>
      <c r="M456" s="18" t="str">
        <f t="array" ref="M456">IF(C456="","",IF(_xlfn.XLOOKUP(A456&amp;B456&amp;C456,盘货信息!$A:$A&amp;盘货信息!$B:$B&amp;盘货信息!$C:$C,盘货信息!$G:$G)="不参加","","焕新补贴优惠【全民可用，不限地址】"))</f>
        <v/>
      </c>
    </row>
    <row r="457" customHeight="1" spans="1:13">
      <c r="A457" s="17" t="str">
        <f>IF(盘货信息!A457="","",盘货信息!A457)</f>
        <v/>
      </c>
      <c r="B457" s="17" t="str">
        <f>IF(盘货信息!B457="","",盘货信息!B457)</f>
        <v/>
      </c>
      <c r="C457" s="18" t="str">
        <f>IF(盘货信息!C457="","",盘货信息!C457)</f>
        <v/>
      </c>
      <c r="D457" s="18" t="str">
        <f t="shared" si="7"/>
        <v/>
      </c>
      <c r="E457" s="18" t="str">
        <f t="array" ref="E457">IF(C457="","",IF(_xlfn.XLOOKUP(A457&amp;B457&amp;C457,盘货信息!$A:$A&amp;盘货信息!$B:$B&amp;盘货信息!$C:$C,盘货信息!$N:$N)="","【立减到手价"&amp;_xlfn.XLOOKUP(A457&amp;B457&amp;C457,盘货信息!$A:$A&amp;盘货信息!$B:$B&amp;盘货信息!$C:$C,盘货信息!$F:$F)&amp;"元】","【焕新补贴预估价"&amp;_xlfn.XLOOKUP(A457&amp;B457&amp;C457,盘货信息!$A:$A&amp;盘货信息!$B:$B&amp;盘货信息!$C:$C,盘货信息!$N:$N)&amp;"元】"))</f>
        <v/>
      </c>
      <c r="F457" s="18" t="str">
        <f t="array" ref="F457">IF(C457="","",_xlfn.XLOOKUP(A457&amp;B457&amp;C457,盘货信息!$A:$A&amp;盘货信息!$B:$B&amp;盘货信息!$C:$C,盘货信息!$E:$E)&amp;"元到手价")</f>
        <v/>
      </c>
      <c r="G457" s="18" t="str">
        <f t="array" ref="G457">IF(C457="","",IF(_xlfn.XLOOKUP(A457&amp;B457&amp;C457,盘货信息!$A:$A&amp;盘货信息!$B:$B&amp;盘货信息!$C:$C,盘货信息!$I:$I)="","","88VIP95折"))</f>
        <v/>
      </c>
      <c r="H457" s="18" t="str">
        <f t="array" ref="H457">IF(C457="","",IF(_xlfn.XLOOKUP(A457&amp;B457&amp;C457,盘货信息!$A:$A&amp;盘货信息!$B:$B&amp;盘货信息!$C:$C,盘货信息!$J:$J)="","",_xlfn.XLOOKUP(A457&amp;B457&amp;C457,盘货信息!$A:$A&amp;盘货信息!$B:$B&amp;盘货信息!$C:$C,盘货信息!$J:$J)&amp;"元优惠卷"))</f>
        <v/>
      </c>
      <c r="I457" s="18" t="str">
        <f t="array" ref="I457">IF(C457="","",IF(_xlfn.XLOOKUP(A457&amp;B457&amp;C457,盘货信息!$A:$A&amp;盘货信息!$B:$B&amp;盘货信息!$C:$C,盘货信息!$R:$R)="","",_xlfn.XLOOKUP(A457&amp;B457&amp;C457,盘货信息!$A:$A&amp;盘货信息!$B:$B&amp;盘货信息!$C:$C,盘货信息!$R:$R)&amp;"元优惠卷"))</f>
        <v/>
      </c>
      <c r="J457" s="18" t="str">
        <f t="array" ref="J457">IF(C457="","",IF(_xlfn.XLOOKUP(A457&amp;B457&amp;C457,盘货信息!$A:$A&amp;盘货信息!$B:$B&amp;盘货信息!$C:$C,盘货信息!$K:$K)="","",IF(OR(_xlfn.XLOOKUP(A457&amp;B457&amp;C457,盘货信息!$A:$A&amp;盘货信息!$B:$B&amp;盘货信息!$C:$C,盘货信息!$G:$G)="参加",_xlfn.XLOOKUP(A457&amp;B457&amp;C457,盘货信息!$A:$A&amp;盘货信息!$B:$B&amp;盘货信息!$C:$C,盘货信息!$H:$H)="1（纯自补）"),_xlfn.XLOOKUP(A457&amp;B457&amp;C457,盘货信息!$A:$A&amp;盘货信息!$B:$B&amp;盘货信息!$C:$C,盘货信息!$K:$K)&amp;"元以旧换新（可无旧机换新）","")))</f>
        <v/>
      </c>
      <c r="K457" s="18" t="str">
        <f t="array" ref="K457">IF(C457="","",IF(_xlfn.XLOOKUP(A457&amp;B457&amp;C457,盘货信息!$A:$A&amp;盘货信息!$B:$B&amp;盘货信息!$C:$C,盘货信息!$L:$L)="","",_xlfn.XLOOKUP(A457&amp;B457&amp;C457,盘货信息!$A:$A&amp;盘货信息!$B:$B&amp;盘货信息!$C:$C,盘货信息!$L:$L)&amp;"元限时补贴"))</f>
        <v/>
      </c>
      <c r="L457" s="18" t="str">
        <f t="array" ref="L457">IF(C457="","",IF(_xlfn.XLOOKUP(A457&amp;B457&amp;C457,盘货信息!$A:$A&amp;盘货信息!$B:$B&amp;盘货信息!$C:$C,盘货信息!$M:$M)="","",_xlfn.XLOOKUP(A457&amp;B457&amp;C457,盘货信息!$A:$A&amp;盘货信息!$B:$B&amp;盘货信息!$C:$C,盘货信息!$M:$M)&amp;"元消费券"))</f>
        <v/>
      </c>
      <c r="M457" s="18" t="str">
        <f t="array" ref="M457">IF(C457="","",IF(_xlfn.XLOOKUP(A457&amp;B457&amp;C457,盘货信息!$A:$A&amp;盘货信息!$B:$B&amp;盘货信息!$C:$C,盘货信息!$G:$G)="不参加","","焕新补贴优惠【全民可用，不限地址】"))</f>
        <v/>
      </c>
    </row>
    <row r="458" customHeight="1" spans="1:13">
      <c r="A458" s="17" t="str">
        <f>IF(盘货信息!A458="","",盘货信息!A458)</f>
        <v/>
      </c>
      <c r="B458" s="17" t="str">
        <f>IF(盘货信息!B458="","",盘货信息!B458)</f>
        <v/>
      </c>
      <c r="C458" s="18" t="str">
        <f>IF(盘货信息!C458="","",盘货信息!C458)</f>
        <v/>
      </c>
      <c r="D458" s="18" t="str">
        <f t="shared" si="7"/>
        <v/>
      </c>
      <c r="E458" s="18" t="str">
        <f t="array" ref="E458">IF(C458="","",IF(_xlfn.XLOOKUP(A458&amp;B458&amp;C458,盘货信息!$A:$A&amp;盘货信息!$B:$B&amp;盘货信息!$C:$C,盘货信息!$N:$N)="","【立减到手价"&amp;_xlfn.XLOOKUP(A458&amp;B458&amp;C458,盘货信息!$A:$A&amp;盘货信息!$B:$B&amp;盘货信息!$C:$C,盘货信息!$F:$F)&amp;"元】","【焕新补贴预估价"&amp;_xlfn.XLOOKUP(A458&amp;B458&amp;C458,盘货信息!$A:$A&amp;盘货信息!$B:$B&amp;盘货信息!$C:$C,盘货信息!$N:$N)&amp;"元】"))</f>
        <v/>
      </c>
      <c r="F458" s="18" t="str">
        <f t="array" ref="F458">IF(C458="","",_xlfn.XLOOKUP(A458&amp;B458&amp;C458,盘货信息!$A:$A&amp;盘货信息!$B:$B&amp;盘货信息!$C:$C,盘货信息!$E:$E)&amp;"元到手价")</f>
        <v/>
      </c>
      <c r="G458" s="18" t="str">
        <f t="array" ref="G458">IF(C458="","",IF(_xlfn.XLOOKUP(A458&amp;B458&amp;C458,盘货信息!$A:$A&amp;盘货信息!$B:$B&amp;盘货信息!$C:$C,盘货信息!$I:$I)="","","88VIP95折"))</f>
        <v/>
      </c>
      <c r="H458" s="18" t="str">
        <f t="array" ref="H458">IF(C458="","",IF(_xlfn.XLOOKUP(A458&amp;B458&amp;C458,盘货信息!$A:$A&amp;盘货信息!$B:$B&amp;盘货信息!$C:$C,盘货信息!$J:$J)="","",_xlfn.XLOOKUP(A458&amp;B458&amp;C458,盘货信息!$A:$A&amp;盘货信息!$B:$B&amp;盘货信息!$C:$C,盘货信息!$J:$J)&amp;"元优惠卷"))</f>
        <v/>
      </c>
      <c r="I458" s="18" t="str">
        <f t="array" ref="I458">IF(C458="","",IF(_xlfn.XLOOKUP(A458&amp;B458&amp;C458,盘货信息!$A:$A&amp;盘货信息!$B:$B&amp;盘货信息!$C:$C,盘货信息!$R:$R)="","",_xlfn.XLOOKUP(A458&amp;B458&amp;C458,盘货信息!$A:$A&amp;盘货信息!$B:$B&amp;盘货信息!$C:$C,盘货信息!$R:$R)&amp;"元优惠卷"))</f>
        <v/>
      </c>
      <c r="J458" s="18" t="str">
        <f t="array" ref="J458">IF(C458="","",IF(_xlfn.XLOOKUP(A458&amp;B458&amp;C458,盘货信息!$A:$A&amp;盘货信息!$B:$B&amp;盘货信息!$C:$C,盘货信息!$K:$K)="","",IF(OR(_xlfn.XLOOKUP(A458&amp;B458&amp;C458,盘货信息!$A:$A&amp;盘货信息!$B:$B&amp;盘货信息!$C:$C,盘货信息!$G:$G)="参加",_xlfn.XLOOKUP(A458&amp;B458&amp;C458,盘货信息!$A:$A&amp;盘货信息!$B:$B&amp;盘货信息!$C:$C,盘货信息!$H:$H)="1（纯自补）"),_xlfn.XLOOKUP(A458&amp;B458&amp;C458,盘货信息!$A:$A&amp;盘货信息!$B:$B&amp;盘货信息!$C:$C,盘货信息!$K:$K)&amp;"元以旧换新（可无旧机换新）","")))</f>
        <v/>
      </c>
      <c r="K458" s="18" t="str">
        <f t="array" ref="K458">IF(C458="","",IF(_xlfn.XLOOKUP(A458&amp;B458&amp;C458,盘货信息!$A:$A&amp;盘货信息!$B:$B&amp;盘货信息!$C:$C,盘货信息!$L:$L)="","",_xlfn.XLOOKUP(A458&amp;B458&amp;C458,盘货信息!$A:$A&amp;盘货信息!$B:$B&amp;盘货信息!$C:$C,盘货信息!$L:$L)&amp;"元限时补贴"))</f>
        <v/>
      </c>
      <c r="L458" s="18" t="str">
        <f t="array" ref="L458">IF(C458="","",IF(_xlfn.XLOOKUP(A458&amp;B458&amp;C458,盘货信息!$A:$A&amp;盘货信息!$B:$B&amp;盘货信息!$C:$C,盘货信息!$M:$M)="","",_xlfn.XLOOKUP(A458&amp;B458&amp;C458,盘货信息!$A:$A&amp;盘货信息!$B:$B&amp;盘货信息!$C:$C,盘货信息!$M:$M)&amp;"元消费券"))</f>
        <v/>
      </c>
      <c r="M458" s="18" t="str">
        <f t="array" ref="M458">IF(C458="","",IF(_xlfn.XLOOKUP(A458&amp;B458&amp;C458,盘货信息!$A:$A&amp;盘货信息!$B:$B&amp;盘货信息!$C:$C,盘货信息!$G:$G)="不参加","","焕新补贴优惠【全民可用，不限地址】"))</f>
        <v/>
      </c>
    </row>
    <row r="459" customHeight="1" spans="1:13">
      <c r="A459" s="17" t="str">
        <f>IF(盘货信息!A459="","",盘货信息!A459)</f>
        <v/>
      </c>
      <c r="B459" s="17" t="str">
        <f>IF(盘货信息!B459="","",盘货信息!B459)</f>
        <v/>
      </c>
      <c r="C459" s="18" t="str">
        <f>IF(盘货信息!C459="","",盘货信息!C459)</f>
        <v/>
      </c>
      <c r="D459" s="18" t="str">
        <f t="shared" si="7"/>
        <v/>
      </c>
      <c r="E459" s="18" t="str">
        <f t="array" ref="E459">IF(C459="","",IF(_xlfn.XLOOKUP(A459&amp;B459&amp;C459,盘货信息!$A:$A&amp;盘货信息!$B:$B&amp;盘货信息!$C:$C,盘货信息!$N:$N)="","【立减到手价"&amp;_xlfn.XLOOKUP(A459&amp;B459&amp;C459,盘货信息!$A:$A&amp;盘货信息!$B:$B&amp;盘货信息!$C:$C,盘货信息!$F:$F)&amp;"元】","【焕新补贴预估价"&amp;_xlfn.XLOOKUP(A459&amp;B459&amp;C459,盘货信息!$A:$A&amp;盘货信息!$B:$B&amp;盘货信息!$C:$C,盘货信息!$N:$N)&amp;"元】"))</f>
        <v/>
      </c>
      <c r="F459" s="18" t="str">
        <f t="array" ref="F459">IF(C459="","",_xlfn.XLOOKUP(A459&amp;B459&amp;C459,盘货信息!$A:$A&amp;盘货信息!$B:$B&amp;盘货信息!$C:$C,盘货信息!$E:$E)&amp;"元到手价")</f>
        <v/>
      </c>
      <c r="G459" s="18" t="str">
        <f t="array" ref="G459">IF(C459="","",IF(_xlfn.XLOOKUP(A459&amp;B459&amp;C459,盘货信息!$A:$A&amp;盘货信息!$B:$B&amp;盘货信息!$C:$C,盘货信息!$I:$I)="","","88VIP95折"))</f>
        <v/>
      </c>
      <c r="H459" s="18" t="str">
        <f t="array" ref="H459">IF(C459="","",IF(_xlfn.XLOOKUP(A459&amp;B459&amp;C459,盘货信息!$A:$A&amp;盘货信息!$B:$B&amp;盘货信息!$C:$C,盘货信息!$J:$J)="","",_xlfn.XLOOKUP(A459&amp;B459&amp;C459,盘货信息!$A:$A&amp;盘货信息!$B:$B&amp;盘货信息!$C:$C,盘货信息!$J:$J)&amp;"元优惠卷"))</f>
        <v/>
      </c>
      <c r="I459" s="18" t="str">
        <f t="array" ref="I459">IF(C459="","",IF(_xlfn.XLOOKUP(A459&amp;B459&amp;C459,盘货信息!$A:$A&amp;盘货信息!$B:$B&amp;盘货信息!$C:$C,盘货信息!$R:$R)="","",_xlfn.XLOOKUP(A459&amp;B459&amp;C459,盘货信息!$A:$A&amp;盘货信息!$B:$B&amp;盘货信息!$C:$C,盘货信息!$R:$R)&amp;"元优惠卷"))</f>
        <v/>
      </c>
      <c r="J459" s="18" t="str">
        <f t="array" ref="J459">IF(C459="","",IF(_xlfn.XLOOKUP(A459&amp;B459&amp;C459,盘货信息!$A:$A&amp;盘货信息!$B:$B&amp;盘货信息!$C:$C,盘货信息!$K:$K)="","",IF(OR(_xlfn.XLOOKUP(A459&amp;B459&amp;C459,盘货信息!$A:$A&amp;盘货信息!$B:$B&amp;盘货信息!$C:$C,盘货信息!$G:$G)="参加",_xlfn.XLOOKUP(A459&amp;B459&amp;C459,盘货信息!$A:$A&amp;盘货信息!$B:$B&amp;盘货信息!$C:$C,盘货信息!$H:$H)="1（纯自补）"),_xlfn.XLOOKUP(A459&amp;B459&amp;C459,盘货信息!$A:$A&amp;盘货信息!$B:$B&amp;盘货信息!$C:$C,盘货信息!$K:$K)&amp;"元以旧换新（可无旧机换新）","")))</f>
        <v/>
      </c>
      <c r="K459" s="18" t="str">
        <f t="array" ref="K459">IF(C459="","",IF(_xlfn.XLOOKUP(A459&amp;B459&amp;C459,盘货信息!$A:$A&amp;盘货信息!$B:$B&amp;盘货信息!$C:$C,盘货信息!$L:$L)="","",_xlfn.XLOOKUP(A459&amp;B459&amp;C459,盘货信息!$A:$A&amp;盘货信息!$B:$B&amp;盘货信息!$C:$C,盘货信息!$L:$L)&amp;"元限时补贴"))</f>
        <v/>
      </c>
      <c r="L459" s="18" t="str">
        <f t="array" ref="L459">IF(C459="","",IF(_xlfn.XLOOKUP(A459&amp;B459&amp;C459,盘货信息!$A:$A&amp;盘货信息!$B:$B&amp;盘货信息!$C:$C,盘货信息!$M:$M)="","",_xlfn.XLOOKUP(A459&amp;B459&amp;C459,盘货信息!$A:$A&amp;盘货信息!$B:$B&amp;盘货信息!$C:$C,盘货信息!$M:$M)&amp;"元消费券"))</f>
        <v/>
      </c>
      <c r="M459" s="18" t="str">
        <f t="array" ref="M459">IF(C459="","",IF(_xlfn.XLOOKUP(A459&amp;B459&amp;C459,盘货信息!$A:$A&amp;盘货信息!$B:$B&amp;盘货信息!$C:$C,盘货信息!$G:$G)="不参加","","焕新补贴优惠【全民可用，不限地址】"))</f>
        <v/>
      </c>
    </row>
    <row r="460" customHeight="1" spans="1:13">
      <c r="A460" s="17" t="str">
        <f>IF(盘货信息!A460="","",盘货信息!A460)</f>
        <v/>
      </c>
      <c r="B460" s="17" t="str">
        <f>IF(盘货信息!B460="","",盘货信息!B460)</f>
        <v/>
      </c>
      <c r="C460" s="18" t="str">
        <f>IF(盘货信息!C460="","",盘货信息!C460)</f>
        <v/>
      </c>
      <c r="D460" s="18" t="str">
        <f t="shared" si="7"/>
        <v/>
      </c>
      <c r="E460" s="18" t="str">
        <f t="array" ref="E460">IF(C460="","",IF(_xlfn.XLOOKUP(A460&amp;B460&amp;C460,盘货信息!$A:$A&amp;盘货信息!$B:$B&amp;盘货信息!$C:$C,盘货信息!$N:$N)="","【立减到手价"&amp;_xlfn.XLOOKUP(A460&amp;B460&amp;C460,盘货信息!$A:$A&amp;盘货信息!$B:$B&amp;盘货信息!$C:$C,盘货信息!$F:$F)&amp;"元】","【焕新补贴预估价"&amp;_xlfn.XLOOKUP(A460&amp;B460&amp;C460,盘货信息!$A:$A&amp;盘货信息!$B:$B&amp;盘货信息!$C:$C,盘货信息!$N:$N)&amp;"元】"))</f>
        <v/>
      </c>
      <c r="F460" s="18" t="str">
        <f t="array" ref="F460">IF(C460="","",_xlfn.XLOOKUP(A460&amp;B460&amp;C460,盘货信息!$A:$A&amp;盘货信息!$B:$B&amp;盘货信息!$C:$C,盘货信息!$E:$E)&amp;"元到手价")</f>
        <v/>
      </c>
      <c r="G460" s="18" t="str">
        <f t="array" ref="G460">IF(C460="","",IF(_xlfn.XLOOKUP(A460&amp;B460&amp;C460,盘货信息!$A:$A&amp;盘货信息!$B:$B&amp;盘货信息!$C:$C,盘货信息!$I:$I)="","","88VIP95折"))</f>
        <v/>
      </c>
      <c r="H460" s="18" t="str">
        <f t="array" ref="H460">IF(C460="","",IF(_xlfn.XLOOKUP(A460&amp;B460&amp;C460,盘货信息!$A:$A&amp;盘货信息!$B:$B&amp;盘货信息!$C:$C,盘货信息!$J:$J)="","",_xlfn.XLOOKUP(A460&amp;B460&amp;C460,盘货信息!$A:$A&amp;盘货信息!$B:$B&amp;盘货信息!$C:$C,盘货信息!$J:$J)&amp;"元优惠卷"))</f>
        <v/>
      </c>
      <c r="I460" s="18" t="str">
        <f t="array" ref="I460">IF(C460="","",IF(_xlfn.XLOOKUP(A460&amp;B460&amp;C460,盘货信息!$A:$A&amp;盘货信息!$B:$B&amp;盘货信息!$C:$C,盘货信息!$R:$R)="","",_xlfn.XLOOKUP(A460&amp;B460&amp;C460,盘货信息!$A:$A&amp;盘货信息!$B:$B&amp;盘货信息!$C:$C,盘货信息!$R:$R)&amp;"元优惠卷"))</f>
        <v/>
      </c>
      <c r="J460" s="18" t="str">
        <f t="array" ref="J460">IF(C460="","",IF(_xlfn.XLOOKUP(A460&amp;B460&amp;C460,盘货信息!$A:$A&amp;盘货信息!$B:$B&amp;盘货信息!$C:$C,盘货信息!$K:$K)="","",IF(OR(_xlfn.XLOOKUP(A460&amp;B460&amp;C460,盘货信息!$A:$A&amp;盘货信息!$B:$B&amp;盘货信息!$C:$C,盘货信息!$G:$G)="参加",_xlfn.XLOOKUP(A460&amp;B460&amp;C460,盘货信息!$A:$A&amp;盘货信息!$B:$B&amp;盘货信息!$C:$C,盘货信息!$H:$H)="1（纯自补）"),_xlfn.XLOOKUP(A460&amp;B460&amp;C460,盘货信息!$A:$A&amp;盘货信息!$B:$B&amp;盘货信息!$C:$C,盘货信息!$K:$K)&amp;"元以旧换新（可无旧机换新）","")))</f>
        <v/>
      </c>
      <c r="K460" s="18" t="str">
        <f t="array" ref="K460">IF(C460="","",IF(_xlfn.XLOOKUP(A460&amp;B460&amp;C460,盘货信息!$A:$A&amp;盘货信息!$B:$B&amp;盘货信息!$C:$C,盘货信息!$L:$L)="","",_xlfn.XLOOKUP(A460&amp;B460&amp;C460,盘货信息!$A:$A&amp;盘货信息!$B:$B&amp;盘货信息!$C:$C,盘货信息!$L:$L)&amp;"元限时补贴"))</f>
        <v/>
      </c>
      <c r="L460" s="18" t="str">
        <f t="array" ref="L460">IF(C460="","",IF(_xlfn.XLOOKUP(A460&amp;B460&amp;C460,盘货信息!$A:$A&amp;盘货信息!$B:$B&amp;盘货信息!$C:$C,盘货信息!$M:$M)="","",_xlfn.XLOOKUP(A460&amp;B460&amp;C460,盘货信息!$A:$A&amp;盘货信息!$B:$B&amp;盘货信息!$C:$C,盘货信息!$M:$M)&amp;"元消费券"))</f>
        <v/>
      </c>
      <c r="M460" s="18" t="str">
        <f t="array" ref="M460">IF(C460="","",IF(_xlfn.XLOOKUP(A460&amp;B460&amp;C460,盘货信息!$A:$A&amp;盘货信息!$B:$B&amp;盘货信息!$C:$C,盘货信息!$G:$G)="不参加","","焕新补贴优惠【全民可用，不限地址】"))</f>
        <v/>
      </c>
    </row>
    <row r="461" customHeight="1" spans="1:13">
      <c r="A461" s="17" t="str">
        <f>IF(盘货信息!A461="","",盘货信息!A461)</f>
        <v/>
      </c>
      <c r="B461" s="17" t="str">
        <f>IF(盘货信息!B461="","",盘货信息!B461)</f>
        <v/>
      </c>
      <c r="C461" s="18" t="str">
        <f>IF(盘货信息!C461="","",盘货信息!C461)</f>
        <v/>
      </c>
      <c r="D461" s="18" t="str">
        <f t="shared" si="7"/>
        <v/>
      </c>
      <c r="E461" s="18" t="str">
        <f t="array" ref="E461">IF(C461="","",IF(_xlfn.XLOOKUP(A461&amp;B461&amp;C461,盘货信息!$A:$A&amp;盘货信息!$B:$B&amp;盘货信息!$C:$C,盘货信息!$N:$N)="","【立减到手价"&amp;_xlfn.XLOOKUP(A461&amp;B461&amp;C461,盘货信息!$A:$A&amp;盘货信息!$B:$B&amp;盘货信息!$C:$C,盘货信息!$F:$F)&amp;"元】","【焕新补贴预估价"&amp;_xlfn.XLOOKUP(A461&amp;B461&amp;C461,盘货信息!$A:$A&amp;盘货信息!$B:$B&amp;盘货信息!$C:$C,盘货信息!$N:$N)&amp;"元】"))</f>
        <v/>
      </c>
      <c r="F461" s="18" t="str">
        <f t="array" ref="F461">IF(C461="","",_xlfn.XLOOKUP(A461&amp;B461&amp;C461,盘货信息!$A:$A&amp;盘货信息!$B:$B&amp;盘货信息!$C:$C,盘货信息!$E:$E)&amp;"元到手价")</f>
        <v/>
      </c>
      <c r="G461" s="18" t="str">
        <f t="array" ref="G461">IF(C461="","",IF(_xlfn.XLOOKUP(A461&amp;B461&amp;C461,盘货信息!$A:$A&amp;盘货信息!$B:$B&amp;盘货信息!$C:$C,盘货信息!$I:$I)="","","88VIP95折"))</f>
        <v/>
      </c>
      <c r="H461" s="18" t="str">
        <f t="array" ref="H461">IF(C461="","",IF(_xlfn.XLOOKUP(A461&amp;B461&amp;C461,盘货信息!$A:$A&amp;盘货信息!$B:$B&amp;盘货信息!$C:$C,盘货信息!$J:$J)="","",_xlfn.XLOOKUP(A461&amp;B461&amp;C461,盘货信息!$A:$A&amp;盘货信息!$B:$B&amp;盘货信息!$C:$C,盘货信息!$J:$J)&amp;"元优惠卷"))</f>
        <v/>
      </c>
      <c r="I461" s="18" t="str">
        <f t="array" ref="I461">IF(C461="","",IF(_xlfn.XLOOKUP(A461&amp;B461&amp;C461,盘货信息!$A:$A&amp;盘货信息!$B:$B&amp;盘货信息!$C:$C,盘货信息!$R:$R)="","",_xlfn.XLOOKUP(A461&amp;B461&amp;C461,盘货信息!$A:$A&amp;盘货信息!$B:$B&amp;盘货信息!$C:$C,盘货信息!$R:$R)&amp;"元优惠卷"))</f>
        <v/>
      </c>
      <c r="J461" s="18" t="str">
        <f t="array" ref="J461">IF(C461="","",IF(_xlfn.XLOOKUP(A461&amp;B461&amp;C461,盘货信息!$A:$A&amp;盘货信息!$B:$B&amp;盘货信息!$C:$C,盘货信息!$K:$K)="","",IF(OR(_xlfn.XLOOKUP(A461&amp;B461&amp;C461,盘货信息!$A:$A&amp;盘货信息!$B:$B&amp;盘货信息!$C:$C,盘货信息!$G:$G)="参加",_xlfn.XLOOKUP(A461&amp;B461&amp;C461,盘货信息!$A:$A&amp;盘货信息!$B:$B&amp;盘货信息!$C:$C,盘货信息!$H:$H)="1（纯自补）"),_xlfn.XLOOKUP(A461&amp;B461&amp;C461,盘货信息!$A:$A&amp;盘货信息!$B:$B&amp;盘货信息!$C:$C,盘货信息!$K:$K)&amp;"元以旧换新（可无旧机换新）","")))</f>
        <v/>
      </c>
      <c r="K461" s="18" t="str">
        <f t="array" ref="K461">IF(C461="","",IF(_xlfn.XLOOKUP(A461&amp;B461&amp;C461,盘货信息!$A:$A&amp;盘货信息!$B:$B&amp;盘货信息!$C:$C,盘货信息!$L:$L)="","",_xlfn.XLOOKUP(A461&amp;B461&amp;C461,盘货信息!$A:$A&amp;盘货信息!$B:$B&amp;盘货信息!$C:$C,盘货信息!$L:$L)&amp;"元限时补贴"))</f>
        <v/>
      </c>
      <c r="L461" s="18" t="str">
        <f t="array" ref="L461">IF(C461="","",IF(_xlfn.XLOOKUP(A461&amp;B461&amp;C461,盘货信息!$A:$A&amp;盘货信息!$B:$B&amp;盘货信息!$C:$C,盘货信息!$M:$M)="","",_xlfn.XLOOKUP(A461&amp;B461&amp;C461,盘货信息!$A:$A&amp;盘货信息!$B:$B&amp;盘货信息!$C:$C,盘货信息!$M:$M)&amp;"元消费券"))</f>
        <v/>
      </c>
      <c r="M461" s="18" t="str">
        <f t="array" ref="M461">IF(C461="","",IF(_xlfn.XLOOKUP(A461&amp;B461&amp;C461,盘货信息!$A:$A&amp;盘货信息!$B:$B&amp;盘货信息!$C:$C,盘货信息!$G:$G)="不参加","","焕新补贴优惠【全民可用，不限地址】"))</f>
        <v/>
      </c>
    </row>
    <row r="462" customHeight="1" spans="1:13">
      <c r="A462" s="17" t="str">
        <f>IF(盘货信息!A462="","",盘货信息!A462)</f>
        <v/>
      </c>
      <c r="B462" s="17" t="str">
        <f>IF(盘货信息!B462="","",盘货信息!B462)</f>
        <v/>
      </c>
      <c r="C462" s="18" t="str">
        <f>IF(盘货信息!C462="","",盘货信息!C462)</f>
        <v/>
      </c>
      <c r="D462" s="18" t="str">
        <f t="shared" si="7"/>
        <v/>
      </c>
      <c r="E462" s="18" t="str">
        <f t="array" ref="E462">IF(C462="","",IF(_xlfn.XLOOKUP(A462&amp;B462&amp;C462,盘货信息!$A:$A&amp;盘货信息!$B:$B&amp;盘货信息!$C:$C,盘货信息!$N:$N)="","【立减到手价"&amp;_xlfn.XLOOKUP(A462&amp;B462&amp;C462,盘货信息!$A:$A&amp;盘货信息!$B:$B&amp;盘货信息!$C:$C,盘货信息!$F:$F)&amp;"元】","【焕新补贴预估价"&amp;_xlfn.XLOOKUP(A462&amp;B462&amp;C462,盘货信息!$A:$A&amp;盘货信息!$B:$B&amp;盘货信息!$C:$C,盘货信息!$N:$N)&amp;"元】"))</f>
        <v/>
      </c>
      <c r="F462" s="18" t="str">
        <f t="array" ref="F462">IF(C462="","",_xlfn.XLOOKUP(A462&amp;B462&amp;C462,盘货信息!$A:$A&amp;盘货信息!$B:$B&amp;盘货信息!$C:$C,盘货信息!$E:$E)&amp;"元到手价")</f>
        <v/>
      </c>
      <c r="G462" s="18" t="str">
        <f t="array" ref="G462">IF(C462="","",IF(_xlfn.XLOOKUP(A462&amp;B462&amp;C462,盘货信息!$A:$A&amp;盘货信息!$B:$B&amp;盘货信息!$C:$C,盘货信息!$I:$I)="","","88VIP95折"))</f>
        <v/>
      </c>
      <c r="H462" s="18" t="str">
        <f t="array" ref="H462">IF(C462="","",IF(_xlfn.XLOOKUP(A462&amp;B462&amp;C462,盘货信息!$A:$A&amp;盘货信息!$B:$B&amp;盘货信息!$C:$C,盘货信息!$J:$J)="","",_xlfn.XLOOKUP(A462&amp;B462&amp;C462,盘货信息!$A:$A&amp;盘货信息!$B:$B&amp;盘货信息!$C:$C,盘货信息!$J:$J)&amp;"元优惠卷"))</f>
        <v/>
      </c>
      <c r="I462" s="18" t="str">
        <f t="array" ref="I462">IF(C462="","",IF(_xlfn.XLOOKUP(A462&amp;B462&amp;C462,盘货信息!$A:$A&amp;盘货信息!$B:$B&amp;盘货信息!$C:$C,盘货信息!$R:$R)="","",_xlfn.XLOOKUP(A462&amp;B462&amp;C462,盘货信息!$A:$A&amp;盘货信息!$B:$B&amp;盘货信息!$C:$C,盘货信息!$R:$R)&amp;"元优惠卷"))</f>
        <v/>
      </c>
      <c r="J462" s="18" t="str">
        <f t="array" ref="J462">IF(C462="","",IF(_xlfn.XLOOKUP(A462&amp;B462&amp;C462,盘货信息!$A:$A&amp;盘货信息!$B:$B&amp;盘货信息!$C:$C,盘货信息!$K:$K)="","",IF(OR(_xlfn.XLOOKUP(A462&amp;B462&amp;C462,盘货信息!$A:$A&amp;盘货信息!$B:$B&amp;盘货信息!$C:$C,盘货信息!$G:$G)="参加",_xlfn.XLOOKUP(A462&amp;B462&amp;C462,盘货信息!$A:$A&amp;盘货信息!$B:$B&amp;盘货信息!$C:$C,盘货信息!$H:$H)="1（纯自补）"),_xlfn.XLOOKUP(A462&amp;B462&amp;C462,盘货信息!$A:$A&amp;盘货信息!$B:$B&amp;盘货信息!$C:$C,盘货信息!$K:$K)&amp;"元以旧换新（可无旧机换新）","")))</f>
        <v/>
      </c>
      <c r="K462" s="18" t="str">
        <f t="array" ref="K462">IF(C462="","",IF(_xlfn.XLOOKUP(A462&amp;B462&amp;C462,盘货信息!$A:$A&amp;盘货信息!$B:$B&amp;盘货信息!$C:$C,盘货信息!$L:$L)="","",_xlfn.XLOOKUP(A462&amp;B462&amp;C462,盘货信息!$A:$A&amp;盘货信息!$B:$B&amp;盘货信息!$C:$C,盘货信息!$L:$L)&amp;"元限时补贴"))</f>
        <v/>
      </c>
      <c r="L462" s="18" t="str">
        <f t="array" ref="L462">IF(C462="","",IF(_xlfn.XLOOKUP(A462&amp;B462&amp;C462,盘货信息!$A:$A&amp;盘货信息!$B:$B&amp;盘货信息!$C:$C,盘货信息!$M:$M)="","",_xlfn.XLOOKUP(A462&amp;B462&amp;C462,盘货信息!$A:$A&amp;盘货信息!$B:$B&amp;盘货信息!$C:$C,盘货信息!$M:$M)&amp;"元消费券"))</f>
        <v/>
      </c>
      <c r="M462" s="18" t="str">
        <f t="array" ref="M462">IF(C462="","",IF(_xlfn.XLOOKUP(A462&amp;B462&amp;C462,盘货信息!$A:$A&amp;盘货信息!$B:$B&amp;盘货信息!$C:$C,盘货信息!$G:$G)="不参加","","焕新补贴优惠【全民可用，不限地址】"))</f>
        <v/>
      </c>
    </row>
    <row r="463" customHeight="1" spans="1:13">
      <c r="A463" s="17" t="str">
        <f>IF(盘货信息!A463="","",盘货信息!A463)</f>
        <v/>
      </c>
      <c r="B463" s="17" t="str">
        <f>IF(盘货信息!B463="","",盘货信息!B463)</f>
        <v/>
      </c>
      <c r="C463" s="18" t="str">
        <f>IF(盘货信息!C463="","",盘货信息!C463)</f>
        <v/>
      </c>
      <c r="D463" s="18" t="str">
        <f t="shared" si="7"/>
        <v/>
      </c>
      <c r="E463" s="18" t="str">
        <f t="array" ref="E463">IF(C463="","",IF(_xlfn.XLOOKUP(A463&amp;B463&amp;C463,盘货信息!$A:$A&amp;盘货信息!$B:$B&amp;盘货信息!$C:$C,盘货信息!$N:$N)="","【立减到手价"&amp;_xlfn.XLOOKUP(A463&amp;B463&amp;C463,盘货信息!$A:$A&amp;盘货信息!$B:$B&amp;盘货信息!$C:$C,盘货信息!$F:$F)&amp;"元】","【焕新补贴预估价"&amp;_xlfn.XLOOKUP(A463&amp;B463&amp;C463,盘货信息!$A:$A&amp;盘货信息!$B:$B&amp;盘货信息!$C:$C,盘货信息!$N:$N)&amp;"元】"))</f>
        <v/>
      </c>
      <c r="F463" s="18" t="str">
        <f t="array" ref="F463">IF(C463="","",_xlfn.XLOOKUP(A463&amp;B463&amp;C463,盘货信息!$A:$A&amp;盘货信息!$B:$B&amp;盘货信息!$C:$C,盘货信息!$E:$E)&amp;"元到手价")</f>
        <v/>
      </c>
      <c r="G463" s="18" t="str">
        <f t="array" ref="G463">IF(C463="","",IF(_xlfn.XLOOKUP(A463&amp;B463&amp;C463,盘货信息!$A:$A&amp;盘货信息!$B:$B&amp;盘货信息!$C:$C,盘货信息!$I:$I)="","","88VIP95折"))</f>
        <v/>
      </c>
      <c r="H463" s="18" t="str">
        <f t="array" ref="H463">IF(C463="","",IF(_xlfn.XLOOKUP(A463&amp;B463&amp;C463,盘货信息!$A:$A&amp;盘货信息!$B:$B&amp;盘货信息!$C:$C,盘货信息!$J:$J)="","",_xlfn.XLOOKUP(A463&amp;B463&amp;C463,盘货信息!$A:$A&amp;盘货信息!$B:$B&amp;盘货信息!$C:$C,盘货信息!$J:$J)&amp;"元优惠卷"))</f>
        <v/>
      </c>
      <c r="I463" s="18" t="str">
        <f t="array" ref="I463">IF(C463="","",IF(_xlfn.XLOOKUP(A463&amp;B463&amp;C463,盘货信息!$A:$A&amp;盘货信息!$B:$B&amp;盘货信息!$C:$C,盘货信息!$R:$R)="","",_xlfn.XLOOKUP(A463&amp;B463&amp;C463,盘货信息!$A:$A&amp;盘货信息!$B:$B&amp;盘货信息!$C:$C,盘货信息!$R:$R)&amp;"元优惠卷"))</f>
        <v/>
      </c>
      <c r="J463" s="18" t="str">
        <f t="array" ref="J463">IF(C463="","",IF(_xlfn.XLOOKUP(A463&amp;B463&amp;C463,盘货信息!$A:$A&amp;盘货信息!$B:$B&amp;盘货信息!$C:$C,盘货信息!$K:$K)="","",IF(OR(_xlfn.XLOOKUP(A463&amp;B463&amp;C463,盘货信息!$A:$A&amp;盘货信息!$B:$B&amp;盘货信息!$C:$C,盘货信息!$G:$G)="参加",_xlfn.XLOOKUP(A463&amp;B463&amp;C463,盘货信息!$A:$A&amp;盘货信息!$B:$B&amp;盘货信息!$C:$C,盘货信息!$H:$H)="1（纯自补）"),_xlfn.XLOOKUP(A463&amp;B463&amp;C463,盘货信息!$A:$A&amp;盘货信息!$B:$B&amp;盘货信息!$C:$C,盘货信息!$K:$K)&amp;"元以旧换新（可无旧机换新）","")))</f>
        <v/>
      </c>
      <c r="K463" s="18" t="str">
        <f t="array" ref="K463">IF(C463="","",IF(_xlfn.XLOOKUP(A463&amp;B463&amp;C463,盘货信息!$A:$A&amp;盘货信息!$B:$B&amp;盘货信息!$C:$C,盘货信息!$L:$L)="","",_xlfn.XLOOKUP(A463&amp;B463&amp;C463,盘货信息!$A:$A&amp;盘货信息!$B:$B&amp;盘货信息!$C:$C,盘货信息!$L:$L)&amp;"元限时补贴"))</f>
        <v/>
      </c>
      <c r="L463" s="18" t="str">
        <f t="array" ref="L463">IF(C463="","",IF(_xlfn.XLOOKUP(A463&amp;B463&amp;C463,盘货信息!$A:$A&amp;盘货信息!$B:$B&amp;盘货信息!$C:$C,盘货信息!$M:$M)="","",_xlfn.XLOOKUP(A463&amp;B463&amp;C463,盘货信息!$A:$A&amp;盘货信息!$B:$B&amp;盘货信息!$C:$C,盘货信息!$M:$M)&amp;"元消费券"))</f>
        <v/>
      </c>
      <c r="M463" s="18" t="str">
        <f t="array" ref="M463">IF(C463="","",IF(_xlfn.XLOOKUP(A463&amp;B463&amp;C463,盘货信息!$A:$A&amp;盘货信息!$B:$B&amp;盘货信息!$C:$C,盘货信息!$G:$G)="不参加","","焕新补贴优惠【全民可用，不限地址】"))</f>
        <v/>
      </c>
    </row>
    <row r="464" customHeight="1" spans="1:13">
      <c r="A464" s="17" t="str">
        <f>IF(盘货信息!A464="","",盘货信息!A464)</f>
        <v/>
      </c>
      <c r="B464" s="17" t="str">
        <f>IF(盘货信息!B464="","",盘货信息!B464)</f>
        <v/>
      </c>
      <c r="C464" s="18" t="str">
        <f>IF(盘货信息!C464="","",盘货信息!C464)</f>
        <v/>
      </c>
      <c r="D464" s="18" t="str">
        <f t="shared" si="7"/>
        <v/>
      </c>
      <c r="E464" s="18" t="str">
        <f t="array" ref="E464">IF(C464="","",IF(_xlfn.XLOOKUP(A464&amp;B464&amp;C464,盘货信息!$A:$A&amp;盘货信息!$B:$B&amp;盘货信息!$C:$C,盘货信息!$N:$N)="","【立减到手价"&amp;_xlfn.XLOOKUP(A464&amp;B464&amp;C464,盘货信息!$A:$A&amp;盘货信息!$B:$B&amp;盘货信息!$C:$C,盘货信息!$F:$F)&amp;"元】","【焕新补贴预估价"&amp;_xlfn.XLOOKUP(A464&amp;B464&amp;C464,盘货信息!$A:$A&amp;盘货信息!$B:$B&amp;盘货信息!$C:$C,盘货信息!$N:$N)&amp;"元】"))</f>
        <v/>
      </c>
      <c r="F464" s="18" t="str">
        <f t="array" ref="F464">IF(C464="","",_xlfn.XLOOKUP(A464&amp;B464&amp;C464,盘货信息!$A:$A&amp;盘货信息!$B:$B&amp;盘货信息!$C:$C,盘货信息!$E:$E)&amp;"元到手价")</f>
        <v/>
      </c>
      <c r="G464" s="18" t="str">
        <f t="array" ref="G464">IF(C464="","",IF(_xlfn.XLOOKUP(A464&amp;B464&amp;C464,盘货信息!$A:$A&amp;盘货信息!$B:$B&amp;盘货信息!$C:$C,盘货信息!$I:$I)="","","88VIP95折"))</f>
        <v/>
      </c>
      <c r="H464" s="18" t="str">
        <f t="array" ref="H464">IF(C464="","",IF(_xlfn.XLOOKUP(A464&amp;B464&amp;C464,盘货信息!$A:$A&amp;盘货信息!$B:$B&amp;盘货信息!$C:$C,盘货信息!$J:$J)="","",_xlfn.XLOOKUP(A464&amp;B464&amp;C464,盘货信息!$A:$A&amp;盘货信息!$B:$B&amp;盘货信息!$C:$C,盘货信息!$J:$J)&amp;"元优惠卷"))</f>
        <v/>
      </c>
      <c r="I464" s="18" t="str">
        <f t="array" ref="I464">IF(C464="","",IF(_xlfn.XLOOKUP(A464&amp;B464&amp;C464,盘货信息!$A:$A&amp;盘货信息!$B:$B&amp;盘货信息!$C:$C,盘货信息!$R:$R)="","",_xlfn.XLOOKUP(A464&amp;B464&amp;C464,盘货信息!$A:$A&amp;盘货信息!$B:$B&amp;盘货信息!$C:$C,盘货信息!$R:$R)&amp;"元优惠卷"))</f>
        <v/>
      </c>
      <c r="J464" s="18" t="str">
        <f t="array" ref="J464">IF(C464="","",IF(_xlfn.XLOOKUP(A464&amp;B464&amp;C464,盘货信息!$A:$A&amp;盘货信息!$B:$B&amp;盘货信息!$C:$C,盘货信息!$K:$K)="","",IF(OR(_xlfn.XLOOKUP(A464&amp;B464&amp;C464,盘货信息!$A:$A&amp;盘货信息!$B:$B&amp;盘货信息!$C:$C,盘货信息!$G:$G)="参加",_xlfn.XLOOKUP(A464&amp;B464&amp;C464,盘货信息!$A:$A&amp;盘货信息!$B:$B&amp;盘货信息!$C:$C,盘货信息!$H:$H)="1（纯自补）"),_xlfn.XLOOKUP(A464&amp;B464&amp;C464,盘货信息!$A:$A&amp;盘货信息!$B:$B&amp;盘货信息!$C:$C,盘货信息!$K:$K)&amp;"元以旧换新（可无旧机换新）","")))</f>
        <v/>
      </c>
      <c r="K464" s="18" t="str">
        <f t="array" ref="K464">IF(C464="","",IF(_xlfn.XLOOKUP(A464&amp;B464&amp;C464,盘货信息!$A:$A&amp;盘货信息!$B:$B&amp;盘货信息!$C:$C,盘货信息!$L:$L)="","",_xlfn.XLOOKUP(A464&amp;B464&amp;C464,盘货信息!$A:$A&amp;盘货信息!$B:$B&amp;盘货信息!$C:$C,盘货信息!$L:$L)&amp;"元限时补贴"))</f>
        <v/>
      </c>
      <c r="L464" s="18" t="str">
        <f t="array" ref="L464">IF(C464="","",IF(_xlfn.XLOOKUP(A464&amp;B464&amp;C464,盘货信息!$A:$A&amp;盘货信息!$B:$B&amp;盘货信息!$C:$C,盘货信息!$M:$M)="","",_xlfn.XLOOKUP(A464&amp;B464&amp;C464,盘货信息!$A:$A&amp;盘货信息!$B:$B&amp;盘货信息!$C:$C,盘货信息!$M:$M)&amp;"元消费券"))</f>
        <v/>
      </c>
      <c r="M464" s="18" t="str">
        <f t="array" ref="M464">IF(C464="","",IF(_xlfn.XLOOKUP(A464&amp;B464&amp;C464,盘货信息!$A:$A&amp;盘货信息!$B:$B&amp;盘货信息!$C:$C,盘货信息!$G:$G)="不参加","","焕新补贴优惠【全民可用，不限地址】"))</f>
        <v/>
      </c>
    </row>
    <row r="465" customHeight="1" spans="1:13">
      <c r="A465" s="17" t="str">
        <f>IF(盘货信息!A465="","",盘货信息!A465)</f>
        <v/>
      </c>
      <c r="B465" s="17" t="str">
        <f>IF(盘货信息!B465="","",盘货信息!B465)</f>
        <v/>
      </c>
      <c r="C465" s="18" t="str">
        <f>IF(盘货信息!C465="","",盘货信息!C465)</f>
        <v/>
      </c>
      <c r="D465" s="18" t="str">
        <f t="shared" si="7"/>
        <v/>
      </c>
      <c r="E465" s="18" t="str">
        <f t="array" ref="E465">IF(C465="","",IF(_xlfn.XLOOKUP(A465&amp;B465&amp;C465,盘货信息!$A:$A&amp;盘货信息!$B:$B&amp;盘货信息!$C:$C,盘货信息!$N:$N)="","【立减到手价"&amp;_xlfn.XLOOKUP(A465&amp;B465&amp;C465,盘货信息!$A:$A&amp;盘货信息!$B:$B&amp;盘货信息!$C:$C,盘货信息!$F:$F)&amp;"元】","【焕新补贴预估价"&amp;_xlfn.XLOOKUP(A465&amp;B465&amp;C465,盘货信息!$A:$A&amp;盘货信息!$B:$B&amp;盘货信息!$C:$C,盘货信息!$N:$N)&amp;"元】"))</f>
        <v/>
      </c>
      <c r="F465" s="18" t="str">
        <f t="array" ref="F465">IF(C465="","",_xlfn.XLOOKUP(A465&amp;B465&amp;C465,盘货信息!$A:$A&amp;盘货信息!$B:$B&amp;盘货信息!$C:$C,盘货信息!$E:$E)&amp;"元到手价")</f>
        <v/>
      </c>
      <c r="G465" s="18" t="str">
        <f t="array" ref="G465">IF(C465="","",IF(_xlfn.XLOOKUP(A465&amp;B465&amp;C465,盘货信息!$A:$A&amp;盘货信息!$B:$B&amp;盘货信息!$C:$C,盘货信息!$I:$I)="","","88VIP95折"))</f>
        <v/>
      </c>
      <c r="H465" s="18" t="str">
        <f t="array" ref="H465">IF(C465="","",IF(_xlfn.XLOOKUP(A465&amp;B465&amp;C465,盘货信息!$A:$A&amp;盘货信息!$B:$B&amp;盘货信息!$C:$C,盘货信息!$J:$J)="","",_xlfn.XLOOKUP(A465&amp;B465&amp;C465,盘货信息!$A:$A&amp;盘货信息!$B:$B&amp;盘货信息!$C:$C,盘货信息!$J:$J)&amp;"元优惠卷"))</f>
        <v/>
      </c>
      <c r="I465" s="18" t="str">
        <f t="array" ref="I465">IF(C465="","",IF(_xlfn.XLOOKUP(A465&amp;B465&amp;C465,盘货信息!$A:$A&amp;盘货信息!$B:$B&amp;盘货信息!$C:$C,盘货信息!$R:$R)="","",_xlfn.XLOOKUP(A465&amp;B465&amp;C465,盘货信息!$A:$A&amp;盘货信息!$B:$B&amp;盘货信息!$C:$C,盘货信息!$R:$R)&amp;"元优惠卷"))</f>
        <v/>
      </c>
      <c r="J465" s="18" t="str">
        <f t="array" ref="J465">IF(C465="","",IF(_xlfn.XLOOKUP(A465&amp;B465&amp;C465,盘货信息!$A:$A&amp;盘货信息!$B:$B&amp;盘货信息!$C:$C,盘货信息!$K:$K)="","",IF(OR(_xlfn.XLOOKUP(A465&amp;B465&amp;C465,盘货信息!$A:$A&amp;盘货信息!$B:$B&amp;盘货信息!$C:$C,盘货信息!$G:$G)="参加",_xlfn.XLOOKUP(A465&amp;B465&amp;C465,盘货信息!$A:$A&amp;盘货信息!$B:$B&amp;盘货信息!$C:$C,盘货信息!$H:$H)="1（纯自补）"),_xlfn.XLOOKUP(A465&amp;B465&amp;C465,盘货信息!$A:$A&amp;盘货信息!$B:$B&amp;盘货信息!$C:$C,盘货信息!$K:$K)&amp;"元以旧换新（可无旧机换新）","")))</f>
        <v/>
      </c>
      <c r="K465" s="18" t="str">
        <f t="array" ref="K465">IF(C465="","",IF(_xlfn.XLOOKUP(A465&amp;B465&amp;C465,盘货信息!$A:$A&amp;盘货信息!$B:$B&amp;盘货信息!$C:$C,盘货信息!$L:$L)="","",_xlfn.XLOOKUP(A465&amp;B465&amp;C465,盘货信息!$A:$A&amp;盘货信息!$B:$B&amp;盘货信息!$C:$C,盘货信息!$L:$L)&amp;"元限时补贴"))</f>
        <v/>
      </c>
      <c r="L465" s="18" t="str">
        <f t="array" ref="L465">IF(C465="","",IF(_xlfn.XLOOKUP(A465&amp;B465&amp;C465,盘货信息!$A:$A&amp;盘货信息!$B:$B&amp;盘货信息!$C:$C,盘货信息!$M:$M)="","",_xlfn.XLOOKUP(A465&amp;B465&amp;C465,盘货信息!$A:$A&amp;盘货信息!$B:$B&amp;盘货信息!$C:$C,盘货信息!$M:$M)&amp;"元消费券"))</f>
        <v/>
      </c>
      <c r="M465" s="18" t="str">
        <f t="array" ref="M465">IF(C465="","",IF(_xlfn.XLOOKUP(A465&amp;B465&amp;C465,盘货信息!$A:$A&amp;盘货信息!$B:$B&amp;盘货信息!$C:$C,盘货信息!$G:$G)="不参加","","焕新补贴优惠【全民可用，不限地址】"))</f>
        <v/>
      </c>
    </row>
    <row r="466" customHeight="1" spans="1:13">
      <c r="A466" s="17" t="str">
        <f>IF(盘货信息!A466="","",盘货信息!A466)</f>
        <v/>
      </c>
      <c r="B466" s="17" t="str">
        <f>IF(盘货信息!B466="","",盘货信息!B466)</f>
        <v/>
      </c>
      <c r="C466" s="18" t="str">
        <f>IF(盘货信息!C466="","",盘货信息!C466)</f>
        <v/>
      </c>
      <c r="D466" s="18" t="str">
        <f t="shared" si="7"/>
        <v/>
      </c>
      <c r="E466" s="18" t="str">
        <f t="array" ref="E466">IF(C466="","",IF(_xlfn.XLOOKUP(A466&amp;B466&amp;C466,盘货信息!$A:$A&amp;盘货信息!$B:$B&amp;盘货信息!$C:$C,盘货信息!$N:$N)="","【立减到手价"&amp;_xlfn.XLOOKUP(A466&amp;B466&amp;C466,盘货信息!$A:$A&amp;盘货信息!$B:$B&amp;盘货信息!$C:$C,盘货信息!$F:$F)&amp;"元】","【焕新补贴预估价"&amp;_xlfn.XLOOKUP(A466&amp;B466&amp;C466,盘货信息!$A:$A&amp;盘货信息!$B:$B&amp;盘货信息!$C:$C,盘货信息!$N:$N)&amp;"元】"))</f>
        <v/>
      </c>
      <c r="F466" s="18" t="str">
        <f t="array" ref="F466">IF(C466="","",_xlfn.XLOOKUP(A466&amp;B466&amp;C466,盘货信息!$A:$A&amp;盘货信息!$B:$B&amp;盘货信息!$C:$C,盘货信息!$E:$E)&amp;"元到手价")</f>
        <v/>
      </c>
      <c r="G466" s="18" t="str">
        <f t="array" ref="G466">IF(C466="","",IF(_xlfn.XLOOKUP(A466&amp;B466&amp;C466,盘货信息!$A:$A&amp;盘货信息!$B:$B&amp;盘货信息!$C:$C,盘货信息!$I:$I)="","","88VIP95折"))</f>
        <v/>
      </c>
      <c r="H466" s="18" t="str">
        <f t="array" ref="H466">IF(C466="","",IF(_xlfn.XLOOKUP(A466&amp;B466&amp;C466,盘货信息!$A:$A&amp;盘货信息!$B:$B&amp;盘货信息!$C:$C,盘货信息!$J:$J)="","",_xlfn.XLOOKUP(A466&amp;B466&amp;C466,盘货信息!$A:$A&amp;盘货信息!$B:$B&amp;盘货信息!$C:$C,盘货信息!$J:$J)&amp;"元优惠卷"))</f>
        <v/>
      </c>
      <c r="I466" s="18" t="str">
        <f t="array" ref="I466">IF(C466="","",IF(_xlfn.XLOOKUP(A466&amp;B466&amp;C466,盘货信息!$A:$A&amp;盘货信息!$B:$B&amp;盘货信息!$C:$C,盘货信息!$R:$R)="","",_xlfn.XLOOKUP(A466&amp;B466&amp;C466,盘货信息!$A:$A&amp;盘货信息!$B:$B&amp;盘货信息!$C:$C,盘货信息!$R:$R)&amp;"元优惠卷"))</f>
        <v/>
      </c>
      <c r="J466" s="18" t="str">
        <f t="array" ref="J466">IF(C466="","",IF(_xlfn.XLOOKUP(A466&amp;B466&amp;C466,盘货信息!$A:$A&amp;盘货信息!$B:$B&amp;盘货信息!$C:$C,盘货信息!$K:$K)="","",IF(OR(_xlfn.XLOOKUP(A466&amp;B466&amp;C466,盘货信息!$A:$A&amp;盘货信息!$B:$B&amp;盘货信息!$C:$C,盘货信息!$G:$G)="参加",_xlfn.XLOOKUP(A466&amp;B466&amp;C466,盘货信息!$A:$A&amp;盘货信息!$B:$B&amp;盘货信息!$C:$C,盘货信息!$H:$H)="1（纯自补）"),_xlfn.XLOOKUP(A466&amp;B466&amp;C466,盘货信息!$A:$A&amp;盘货信息!$B:$B&amp;盘货信息!$C:$C,盘货信息!$K:$K)&amp;"元以旧换新（可无旧机换新）","")))</f>
        <v/>
      </c>
      <c r="K466" s="18" t="str">
        <f t="array" ref="K466">IF(C466="","",IF(_xlfn.XLOOKUP(A466&amp;B466&amp;C466,盘货信息!$A:$A&amp;盘货信息!$B:$B&amp;盘货信息!$C:$C,盘货信息!$L:$L)="","",_xlfn.XLOOKUP(A466&amp;B466&amp;C466,盘货信息!$A:$A&amp;盘货信息!$B:$B&amp;盘货信息!$C:$C,盘货信息!$L:$L)&amp;"元限时补贴"))</f>
        <v/>
      </c>
      <c r="L466" s="18" t="str">
        <f t="array" ref="L466">IF(C466="","",IF(_xlfn.XLOOKUP(A466&amp;B466&amp;C466,盘货信息!$A:$A&amp;盘货信息!$B:$B&amp;盘货信息!$C:$C,盘货信息!$M:$M)="","",_xlfn.XLOOKUP(A466&amp;B466&amp;C466,盘货信息!$A:$A&amp;盘货信息!$B:$B&amp;盘货信息!$C:$C,盘货信息!$M:$M)&amp;"元消费券"))</f>
        <v/>
      </c>
      <c r="M466" s="18" t="str">
        <f t="array" ref="M466">IF(C466="","",IF(_xlfn.XLOOKUP(A466&amp;B466&amp;C466,盘货信息!$A:$A&amp;盘货信息!$B:$B&amp;盘货信息!$C:$C,盘货信息!$G:$G)="不参加","","焕新补贴优惠【全民可用，不限地址】"))</f>
        <v/>
      </c>
    </row>
    <row r="467" customHeight="1" spans="1:13">
      <c r="A467" s="17" t="str">
        <f>IF(盘货信息!A467="","",盘货信息!A467)</f>
        <v/>
      </c>
      <c r="B467" s="17" t="str">
        <f>IF(盘货信息!B467="","",盘货信息!B467)</f>
        <v/>
      </c>
      <c r="C467" s="18" t="str">
        <f>IF(盘货信息!C467="","",盘货信息!C467)</f>
        <v/>
      </c>
      <c r="D467" s="18" t="str">
        <f t="shared" si="7"/>
        <v/>
      </c>
      <c r="E467" s="18" t="str">
        <f t="array" ref="E467">IF(C467="","",IF(_xlfn.XLOOKUP(A467&amp;B467&amp;C467,盘货信息!$A:$A&amp;盘货信息!$B:$B&amp;盘货信息!$C:$C,盘货信息!$N:$N)="","【立减到手价"&amp;_xlfn.XLOOKUP(A467&amp;B467&amp;C467,盘货信息!$A:$A&amp;盘货信息!$B:$B&amp;盘货信息!$C:$C,盘货信息!$F:$F)&amp;"元】","【焕新补贴预估价"&amp;_xlfn.XLOOKUP(A467&amp;B467&amp;C467,盘货信息!$A:$A&amp;盘货信息!$B:$B&amp;盘货信息!$C:$C,盘货信息!$N:$N)&amp;"元】"))</f>
        <v/>
      </c>
      <c r="F467" s="18" t="str">
        <f t="array" ref="F467">IF(C467="","",_xlfn.XLOOKUP(A467&amp;B467&amp;C467,盘货信息!$A:$A&amp;盘货信息!$B:$B&amp;盘货信息!$C:$C,盘货信息!$E:$E)&amp;"元到手价")</f>
        <v/>
      </c>
      <c r="G467" s="18" t="str">
        <f t="array" ref="G467">IF(C467="","",IF(_xlfn.XLOOKUP(A467&amp;B467&amp;C467,盘货信息!$A:$A&amp;盘货信息!$B:$B&amp;盘货信息!$C:$C,盘货信息!$I:$I)="","","88VIP95折"))</f>
        <v/>
      </c>
      <c r="H467" s="18" t="str">
        <f t="array" ref="H467">IF(C467="","",IF(_xlfn.XLOOKUP(A467&amp;B467&amp;C467,盘货信息!$A:$A&amp;盘货信息!$B:$B&amp;盘货信息!$C:$C,盘货信息!$J:$J)="","",_xlfn.XLOOKUP(A467&amp;B467&amp;C467,盘货信息!$A:$A&amp;盘货信息!$B:$B&amp;盘货信息!$C:$C,盘货信息!$J:$J)&amp;"元优惠卷"))</f>
        <v/>
      </c>
      <c r="I467" s="18" t="str">
        <f t="array" ref="I467">IF(C467="","",IF(_xlfn.XLOOKUP(A467&amp;B467&amp;C467,盘货信息!$A:$A&amp;盘货信息!$B:$B&amp;盘货信息!$C:$C,盘货信息!$R:$R)="","",_xlfn.XLOOKUP(A467&amp;B467&amp;C467,盘货信息!$A:$A&amp;盘货信息!$B:$B&amp;盘货信息!$C:$C,盘货信息!$R:$R)&amp;"元优惠卷"))</f>
        <v/>
      </c>
      <c r="J467" s="18" t="str">
        <f t="array" ref="J467">IF(C467="","",IF(_xlfn.XLOOKUP(A467&amp;B467&amp;C467,盘货信息!$A:$A&amp;盘货信息!$B:$B&amp;盘货信息!$C:$C,盘货信息!$K:$K)="","",IF(OR(_xlfn.XLOOKUP(A467&amp;B467&amp;C467,盘货信息!$A:$A&amp;盘货信息!$B:$B&amp;盘货信息!$C:$C,盘货信息!$G:$G)="参加",_xlfn.XLOOKUP(A467&amp;B467&amp;C467,盘货信息!$A:$A&amp;盘货信息!$B:$B&amp;盘货信息!$C:$C,盘货信息!$H:$H)="1（纯自补）"),_xlfn.XLOOKUP(A467&amp;B467&amp;C467,盘货信息!$A:$A&amp;盘货信息!$B:$B&amp;盘货信息!$C:$C,盘货信息!$K:$K)&amp;"元以旧换新（可无旧机换新）","")))</f>
        <v/>
      </c>
      <c r="K467" s="18" t="str">
        <f t="array" ref="K467">IF(C467="","",IF(_xlfn.XLOOKUP(A467&amp;B467&amp;C467,盘货信息!$A:$A&amp;盘货信息!$B:$B&amp;盘货信息!$C:$C,盘货信息!$L:$L)="","",_xlfn.XLOOKUP(A467&amp;B467&amp;C467,盘货信息!$A:$A&amp;盘货信息!$B:$B&amp;盘货信息!$C:$C,盘货信息!$L:$L)&amp;"元限时补贴"))</f>
        <v/>
      </c>
      <c r="L467" s="18" t="str">
        <f t="array" ref="L467">IF(C467="","",IF(_xlfn.XLOOKUP(A467&amp;B467&amp;C467,盘货信息!$A:$A&amp;盘货信息!$B:$B&amp;盘货信息!$C:$C,盘货信息!$M:$M)="","",_xlfn.XLOOKUP(A467&amp;B467&amp;C467,盘货信息!$A:$A&amp;盘货信息!$B:$B&amp;盘货信息!$C:$C,盘货信息!$M:$M)&amp;"元消费券"))</f>
        <v/>
      </c>
      <c r="M467" s="18" t="str">
        <f t="array" ref="M467">IF(C467="","",IF(_xlfn.XLOOKUP(A467&amp;B467&amp;C467,盘货信息!$A:$A&amp;盘货信息!$B:$B&amp;盘货信息!$C:$C,盘货信息!$G:$G)="不参加","","焕新补贴优惠【全民可用，不限地址】"))</f>
        <v/>
      </c>
    </row>
    <row r="468" customHeight="1" spans="1:13">
      <c r="A468" s="17" t="str">
        <f>IF(盘货信息!A468="","",盘货信息!A468)</f>
        <v/>
      </c>
      <c r="B468" s="17" t="str">
        <f>IF(盘货信息!B468="","",盘货信息!B468)</f>
        <v/>
      </c>
      <c r="C468" s="18" t="str">
        <f>IF(盘货信息!C468="","",盘货信息!C468)</f>
        <v/>
      </c>
      <c r="D468" s="18" t="str">
        <f t="shared" si="7"/>
        <v/>
      </c>
      <c r="E468" s="18" t="str">
        <f t="array" ref="E468">IF(C468="","",IF(_xlfn.XLOOKUP(A468&amp;B468&amp;C468,盘货信息!$A:$A&amp;盘货信息!$B:$B&amp;盘货信息!$C:$C,盘货信息!$N:$N)="","【立减到手价"&amp;_xlfn.XLOOKUP(A468&amp;B468&amp;C468,盘货信息!$A:$A&amp;盘货信息!$B:$B&amp;盘货信息!$C:$C,盘货信息!$F:$F)&amp;"元】","【焕新补贴预估价"&amp;_xlfn.XLOOKUP(A468&amp;B468&amp;C468,盘货信息!$A:$A&amp;盘货信息!$B:$B&amp;盘货信息!$C:$C,盘货信息!$N:$N)&amp;"元】"))</f>
        <v/>
      </c>
      <c r="F468" s="18" t="str">
        <f t="array" ref="F468">IF(C468="","",_xlfn.XLOOKUP(A468&amp;B468&amp;C468,盘货信息!$A:$A&amp;盘货信息!$B:$B&amp;盘货信息!$C:$C,盘货信息!$E:$E)&amp;"元到手价")</f>
        <v/>
      </c>
      <c r="G468" s="18" t="str">
        <f t="array" ref="G468">IF(C468="","",IF(_xlfn.XLOOKUP(A468&amp;B468&amp;C468,盘货信息!$A:$A&amp;盘货信息!$B:$B&amp;盘货信息!$C:$C,盘货信息!$I:$I)="","","88VIP95折"))</f>
        <v/>
      </c>
      <c r="H468" s="18" t="str">
        <f t="array" ref="H468">IF(C468="","",IF(_xlfn.XLOOKUP(A468&amp;B468&amp;C468,盘货信息!$A:$A&amp;盘货信息!$B:$B&amp;盘货信息!$C:$C,盘货信息!$J:$J)="","",_xlfn.XLOOKUP(A468&amp;B468&amp;C468,盘货信息!$A:$A&amp;盘货信息!$B:$B&amp;盘货信息!$C:$C,盘货信息!$J:$J)&amp;"元优惠卷"))</f>
        <v/>
      </c>
      <c r="I468" s="18" t="str">
        <f t="array" ref="I468">IF(C468="","",IF(_xlfn.XLOOKUP(A468&amp;B468&amp;C468,盘货信息!$A:$A&amp;盘货信息!$B:$B&amp;盘货信息!$C:$C,盘货信息!$R:$R)="","",_xlfn.XLOOKUP(A468&amp;B468&amp;C468,盘货信息!$A:$A&amp;盘货信息!$B:$B&amp;盘货信息!$C:$C,盘货信息!$R:$R)&amp;"元优惠卷"))</f>
        <v/>
      </c>
      <c r="J468" s="18" t="str">
        <f t="array" ref="J468">IF(C468="","",IF(_xlfn.XLOOKUP(A468&amp;B468&amp;C468,盘货信息!$A:$A&amp;盘货信息!$B:$B&amp;盘货信息!$C:$C,盘货信息!$K:$K)="","",IF(OR(_xlfn.XLOOKUP(A468&amp;B468&amp;C468,盘货信息!$A:$A&amp;盘货信息!$B:$B&amp;盘货信息!$C:$C,盘货信息!$G:$G)="参加",_xlfn.XLOOKUP(A468&amp;B468&amp;C468,盘货信息!$A:$A&amp;盘货信息!$B:$B&amp;盘货信息!$C:$C,盘货信息!$H:$H)="1（纯自补）"),_xlfn.XLOOKUP(A468&amp;B468&amp;C468,盘货信息!$A:$A&amp;盘货信息!$B:$B&amp;盘货信息!$C:$C,盘货信息!$K:$K)&amp;"元以旧换新（可无旧机换新）","")))</f>
        <v/>
      </c>
      <c r="K468" s="18" t="str">
        <f t="array" ref="K468">IF(C468="","",IF(_xlfn.XLOOKUP(A468&amp;B468&amp;C468,盘货信息!$A:$A&amp;盘货信息!$B:$B&amp;盘货信息!$C:$C,盘货信息!$L:$L)="","",_xlfn.XLOOKUP(A468&amp;B468&amp;C468,盘货信息!$A:$A&amp;盘货信息!$B:$B&amp;盘货信息!$C:$C,盘货信息!$L:$L)&amp;"元限时补贴"))</f>
        <v/>
      </c>
      <c r="L468" s="18" t="str">
        <f t="array" ref="L468">IF(C468="","",IF(_xlfn.XLOOKUP(A468&amp;B468&amp;C468,盘货信息!$A:$A&amp;盘货信息!$B:$B&amp;盘货信息!$C:$C,盘货信息!$M:$M)="","",_xlfn.XLOOKUP(A468&amp;B468&amp;C468,盘货信息!$A:$A&amp;盘货信息!$B:$B&amp;盘货信息!$C:$C,盘货信息!$M:$M)&amp;"元消费券"))</f>
        <v/>
      </c>
      <c r="M468" s="18" t="str">
        <f t="array" ref="M468">IF(C468="","",IF(_xlfn.XLOOKUP(A468&amp;B468&amp;C468,盘货信息!$A:$A&amp;盘货信息!$B:$B&amp;盘货信息!$C:$C,盘货信息!$G:$G)="不参加","","焕新补贴优惠【全民可用，不限地址】"))</f>
        <v/>
      </c>
    </row>
    <row r="469" customHeight="1" spans="1:13">
      <c r="A469" s="17" t="str">
        <f>IF(盘货信息!A469="","",盘货信息!A469)</f>
        <v/>
      </c>
      <c r="B469" s="17" t="str">
        <f>IF(盘货信息!B469="","",盘货信息!B469)</f>
        <v/>
      </c>
      <c r="C469" s="18" t="str">
        <f>IF(盘货信息!C469="","",盘货信息!C469)</f>
        <v/>
      </c>
      <c r="D469" s="18" t="str">
        <f t="shared" si="7"/>
        <v/>
      </c>
      <c r="E469" s="18" t="str">
        <f t="array" ref="E469">IF(C469="","",IF(_xlfn.XLOOKUP(A469&amp;B469&amp;C469,盘货信息!$A:$A&amp;盘货信息!$B:$B&amp;盘货信息!$C:$C,盘货信息!$N:$N)="","【立减到手价"&amp;_xlfn.XLOOKUP(A469&amp;B469&amp;C469,盘货信息!$A:$A&amp;盘货信息!$B:$B&amp;盘货信息!$C:$C,盘货信息!$F:$F)&amp;"元】","【焕新补贴预估价"&amp;_xlfn.XLOOKUP(A469&amp;B469&amp;C469,盘货信息!$A:$A&amp;盘货信息!$B:$B&amp;盘货信息!$C:$C,盘货信息!$N:$N)&amp;"元】"))</f>
        <v/>
      </c>
      <c r="F469" s="18" t="str">
        <f t="array" ref="F469">IF(C469="","",_xlfn.XLOOKUP(A469&amp;B469&amp;C469,盘货信息!$A:$A&amp;盘货信息!$B:$B&amp;盘货信息!$C:$C,盘货信息!$E:$E)&amp;"元到手价")</f>
        <v/>
      </c>
      <c r="G469" s="18" t="str">
        <f t="array" ref="G469">IF(C469="","",IF(_xlfn.XLOOKUP(A469&amp;B469&amp;C469,盘货信息!$A:$A&amp;盘货信息!$B:$B&amp;盘货信息!$C:$C,盘货信息!$I:$I)="","","88VIP95折"))</f>
        <v/>
      </c>
      <c r="H469" s="18" t="str">
        <f t="array" ref="H469">IF(C469="","",IF(_xlfn.XLOOKUP(A469&amp;B469&amp;C469,盘货信息!$A:$A&amp;盘货信息!$B:$B&amp;盘货信息!$C:$C,盘货信息!$J:$J)="","",_xlfn.XLOOKUP(A469&amp;B469&amp;C469,盘货信息!$A:$A&amp;盘货信息!$B:$B&amp;盘货信息!$C:$C,盘货信息!$J:$J)&amp;"元优惠卷"))</f>
        <v/>
      </c>
      <c r="I469" s="18" t="str">
        <f t="array" ref="I469">IF(C469="","",IF(_xlfn.XLOOKUP(A469&amp;B469&amp;C469,盘货信息!$A:$A&amp;盘货信息!$B:$B&amp;盘货信息!$C:$C,盘货信息!$R:$R)="","",_xlfn.XLOOKUP(A469&amp;B469&amp;C469,盘货信息!$A:$A&amp;盘货信息!$B:$B&amp;盘货信息!$C:$C,盘货信息!$R:$R)&amp;"元优惠卷"))</f>
        <v/>
      </c>
      <c r="J469" s="18" t="str">
        <f t="array" ref="J469">IF(C469="","",IF(_xlfn.XLOOKUP(A469&amp;B469&amp;C469,盘货信息!$A:$A&amp;盘货信息!$B:$B&amp;盘货信息!$C:$C,盘货信息!$K:$K)="","",IF(OR(_xlfn.XLOOKUP(A469&amp;B469&amp;C469,盘货信息!$A:$A&amp;盘货信息!$B:$B&amp;盘货信息!$C:$C,盘货信息!$G:$G)="参加",_xlfn.XLOOKUP(A469&amp;B469&amp;C469,盘货信息!$A:$A&amp;盘货信息!$B:$B&amp;盘货信息!$C:$C,盘货信息!$H:$H)="1（纯自补）"),_xlfn.XLOOKUP(A469&amp;B469&amp;C469,盘货信息!$A:$A&amp;盘货信息!$B:$B&amp;盘货信息!$C:$C,盘货信息!$K:$K)&amp;"元以旧换新（可无旧机换新）","")))</f>
        <v/>
      </c>
      <c r="K469" s="18" t="str">
        <f t="array" ref="K469">IF(C469="","",IF(_xlfn.XLOOKUP(A469&amp;B469&amp;C469,盘货信息!$A:$A&amp;盘货信息!$B:$B&amp;盘货信息!$C:$C,盘货信息!$L:$L)="","",_xlfn.XLOOKUP(A469&amp;B469&amp;C469,盘货信息!$A:$A&amp;盘货信息!$B:$B&amp;盘货信息!$C:$C,盘货信息!$L:$L)&amp;"元限时补贴"))</f>
        <v/>
      </c>
      <c r="L469" s="18" t="str">
        <f t="array" ref="L469">IF(C469="","",IF(_xlfn.XLOOKUP(A469&amp;B469&amp;C469,盘货信息!$A:$A&amp;盘货信息!$B:$B&amp;盘货信息!$C:$C,盘货信息!$M:$M)="","",_xlfn.XLOOKUP(A469&amp;B469&amp;C469,盘货信息!$A:$A&amp;盘货信息!$B:$B&amp;盘货信息!$C:$C,盘货信息!$M:$M)&amp;"元消费券"))</f>
        <v/>
      </c>
      <c r="M469" s="18" t="str">
        <f t="array" ref="M469">IF(C469="","",IF(_xlfn.XLOOKUP(A469&amp;B469&amp;C469,盘货信息!$A:$A&amp;盘货信息!$B:$B&amp;盘货信息!$C:$C,盘货信息!$G:$G)="不参加","","焕新补贴优惠【全民可用，不限地址】"))</f>
        <v/>
      </c>
    </row>
    <row r="470" customHeight="1" spans="1:13">
      <c r="A470" s="17" t="str">
        <f>IF(盘货信息!A470="","",盘货信息!A470)</f>
        <v/>
      </c>
      <c r="B470" s="17" t="str">
        <f>IF(盘货信息!B470="","",盘货信息!B470)</f>
        <v/>
      </c>
      <c r="C470" s="18" t="str">
        <f>IF(盘货信息!C470="","",盘货信息!C470)</f>
        <v/>
      </c>
      <c r="D470" s="18" t="str">
        <f t="shared" si="7"/>
        <v/>
      </c>
      <c r="E470" s="18" t="str">
        <f t="array" ref="E470">IF(C470="","",IF(_xlfn.XLOOKUP(A470&amp;B470&amp;C470,盘货信息!$A:$A&amp;盘货信息!$B:$B&amp;盘货信息!$C:$C,盘货信息!$N:$N)="","【立减到手价"&amp;_xlfn.XLOOKUP(A470&amp;B470&amp;C470,盘货信息!$A:$A&amp;盘货信息!$B:$B&amp;盘货信息!$C:$C,盘货信息!$F:$F)&amp;"元】","【焕新补贴预估价"&amp;_xlfn.XLOOKUP(A470&amp;B470&amp;C470,盘货信息!$A:$A&amp;盘货信息!$B:$B&amp;盘货信息!$C:$C,盘货信息!$N:$N)&amp;"元】"))</f>
        <v/>
      </c>
      <c r="F470" s="18" t="str">
        <f t="array" ref="F470">IF(C470="","",_xlfn.XLOOKUP(A470&amp;B470&amp;C470,盘货信息!$A:$A&amp;盘货信息!$B:$B&amp;盘货信息!$C:$C,盘货信息!$E:$E)&amp;"元到手价")</f>
        <v/>
      </c>
      <c r="G470" s="18" t="str">
        <f t="array" ref="G470">IF(C470="","",IF(_xlfn.XLOOKUP(A470&amp;B470&amp;C470,盘货信息!$A:$A&amp;盘货信息!$B:$B&amp;盘货信息!$C:$C,盘货信息!$I:$I)="","","88VIP95折"))</f>
        <v/>
      </c>
      <c r="H470" s="18" t="str">
        <f t="array" ref="H470">IF(C470="","",IF(_xlfn.XLOOKUP(A470&amp;B470&amp;C470,盘货信息!$A:$A&amp;盘货信息!$B:$B&amp;盘货信息!$C:$C,盘货信息!$J:$J)="","",_xlfn.XLOOKUP(A470&amp;B470&amp;C470,盘货信息!$A:$A&amp;盘货信息!$B:$B&amp;盘货信息!$C:$C,盘货信息!$J:$J)&amp;"元优惠卷"))</f>
        <v/>
      </c>
      <c r="I470" s="18" t="str">
        <f t="array" ref="I470">IF(C470="","",IF(_xlfn.XLOOKUP(A470&amp;B470&amp;C470,盘货信息!$A:$A&amp;盘货信息!$B:$B&amp;盘货信息!$C:$C,盘货信息!$R:$R)="","",_xlfn.XLOOKUP(A470&amp;B470&amp;C470,盘货信息!$A:$A&amp;盘货信息!$B:$B&amp;盘货信息!$C:$C,盘货信息!$R:$R)&amp;"元优惠卷"))</f>
        <v/>
      </c>
      <c r="J470" s="18" t="str">
        <f t="array" ref="J470">IF(C470="","",IF(_xlfn.XLOOKUP(A470&amp;B470&amp;C470,盘货信息!$A:$A&amp;盘货信息!$B:$B&amp;盘货信息!$C:$C,盘货信息!$K:$K)="","",IF(OR(_xlfn.XLOOKUP(A470&amp;B470&amp;C470,盘货信息!$A:$A&amp;盘货信息!$B:$B&amp;盘货信息!$C:$C,盘货信息!$G:$G)="参加",_xlfn.XLOOKUP(A470&amp;B470&amp;C470,盘货信息!$A:$A&amp;盘货信息!$B:$B&amp;盘货信息!$C:$C,盘货信息!$H:$H)="1（纯自补）"),_xlfn.XLOOKUP(A470&amp;B470&amp;C470,盘货信息!$A:$A&amp;盘货信息!$B:$B&amp;盘货信息!$C:$C,盘货信息!$K:$K)&amp;"元以旧换新（可无旧机换新）","")))</f>
        <v/>
      </c>
      <c r="K470" s="18" t="str">
        <f t="array" ref="K470">IF(C470="","",IF(_xlfn.XLOOKUP(A470&amp;B470&amp;C470,盘货信息!$A:$A&amp;盘货信息!$B:$B&amp;盘货信息!$C:$C,盘货信息!$L:$L)="","",_xlfn.XLOOKUP(A470&amp;B470&amp;C470,盘货信息!$A:$A&amp;盘货信息!$B:$B&amp;盘货信息!$C:$C,盘货信息!$L:$L)&amp;"元限时补贴"))</f>
        <v/>
      </c>
      <c r="L470" s="18" t="str">
        <f t="array" ref="L470">IF(C470="","",IF(_xlfn.XLOOKUP(A470&amp;B470&amp;C470,盘货信息!$A:$A&amp;盘货信息!$B:$B&amp;盘货信息!$C:$C,盘货信息!$M:$M)="","",_xlfn.XLOOKUP(A470&amp;B470&amp;C470,盘货信息!$A:$A&amp;盘货信息!$B:$B&amp;盘货信息!$C:$C,盘货信息!$M:$M)&amp;"元消费券"))</f>
        <v/>
      </c>
      <c r="M470" s="18" t="str">
        <f t="array" ref="M470">IF(C470="","",IF(_xlfn.XLOOKUP(A470&amp;B470&amp;C470,盘货信息!$A:$A&amp;盘货信息!$B:$B&amp;盘货信息!$C:$C,盘货信息!$G:$G)="不参加","","焕新补贴优惠【全民可用，不限地址】"))</f>
        <v/>
      </c>
    </row>
    <row r="471" customHeight="1" spans="1:13">
      <c r="A471" s="17" t="str">
        <f>IF(盘货信息!A471="","",盘货信息!A471)</f>
        <v/>
      </c>
      <c r="B471" s="17" t="str">
        <f>IF(盘货信息!B471="","",盘货信息!B471)</f>
        <v/>
      </c>
      <c r="C471" s="18" t="str">
        <f>IF(盘货信息!C471="","",盘货信息!C471)</f>
        <v/>
      </c>
      <c r="D471" s="18" t="str">
        <f t="shared" si="7"/>
        <v/>
      </c>
      <c r="E471" s="18" t="str">
        <f t="array" ref="E471">IF(C471="","",IF(_xlfn.XLOOKUP(A471&amp;B471&amp;C471,盘货信息!$A:$A&amp;盘货信息!$B:$B&amp;盘货信息!$C:$C,盘货信息!$N:$N)="","【立减到手价"&amp;_xlfn.XLOOKUP(A471&amp;B471&amp;C471,盘货信息!$A:$A&amp;盘货信息!$B:$B&amp;盘货信息!$C:$C,盘货信息!$F:$F)&amp;"元】","【焕新补贴预估价"&amp;_xlfn.XLOOKUP(A471&amp;B471&amp;C471,盘货信息!$A:$A&amp;盘货信息!$B:$B&amp;盘货信息!$C:$C,盘货信息!$N:$N)&amp;"元】"))</f>
        <v/>
      </c>
      <c r="F471" s="18" t="str">
        <f t="array" ref="F471">IF(C471="","",_xlfn.XLOOKUP(A471&amp;B471&amp;C471,盘货信息!$A:$A&amp;盘货信息!$B:$B&amp;盘货信息!$C:$C,盘货信息!$E:$E)&amp;"元到手价")</f>
        <v/>
      </c>
      <c r="G471" s="18" t="str">
        <f t="array" ref="G471">IF(C471="","",IF(_xlfn.XLOOKUP(A471&amp;B471&amp;C471,盘货信息!$A:$A&amp;盘货信息!$B:$B&amp;盘货信息!$C:$C,盘货信息!$I:$I)="","","88VIP95折"))</f>
        <v/>
      </c>
      <c r="H471" s="18" t="str">
        <f t="array" ref="H471">IF(C471="","",IF(_xlfn.XLOOKUP(A471&amp;B471&amp;C471,盘货信息!$A:$A&amp;盘货信息!$B:$B&amp;盘货信息!$C:$C,盘货信息!$J:$J)="","",_xlfn.XLOOKUP(A471&amp;B471&amp;C471,盘货信息!$A:$A&amp;盘货信息!$B:$B&amp;盘货信息!$C:$C,盘货信息!$J:$J)&amp;"元优惠卷"))</f>
        <v/>
      </c>
      <c r="I471" s="18" t="str">
        <f t="array" ref="I471">IF(C471="","",IF(_xlfn.XLOOKUP(A471&amp;B471&amp;C471,盘货信息!$A:$A&amp;盘货信息!$B:$B&amp;盘货信息!$C:$C,盘货信息!$R:$R)="","",_xlfn.XLOOKUP(A471&amp;B471&amp;C471,盘货信息!$A:$A&amp;盘货信息!$B:$B&amp;盘货信息!$C:$C,盘货信息!$R:$R)&amp;"元优惠卷"))</f>
        <v/>
      </c>
      <c r="J471" s="18" t="str">
        <f t="array" ref="J471">IF(C471="","",IF(_xlfn.XLOOKUP(A471&amp;B471&amp;C471,盘货信息!$A:$A&amp;盘货信息!$B:$B&amp;盘货信息!$C:$C,盘货信息!$K:$K)="","",IF(OR(_xlfn.XLOOKUP(A471&amp;B471&amp;C471,盘货信息!$A:$A&amp;盘货信息!$B:$B&amp;盘货信息!$C:$C,盘货信息!$G:$G)="参加",_xlfn.XLOOKUP(A471&amp;B471&amp;C471,盘货信息!$A:$A&amp;盘货信息!$B:$B&amp;盘货信息!$C:$C,盘货信息!$H:$H)="1（纯自补）"),_xlfn.XLOOKUP(A471&amp;B471&amp;C471,盘货信息!$A:$A&amp;盘货信息!$B:$B&amp;盘货信息!$C:$C,盘货信息!$K:$K)&amp;"元以旧换新（可无旧机换新）","")))</f>
        <v/>
      </c>
      <c r="K471" s="18" t="str">
        <f t="array" ref="K471">IF(C471="","",IF(_xlfn.XLOOKUP(A471&amp;B471&amp;C471,盘货信息!$A:$A&amp;盘货信息!$B:$B&amp;盘货信息!$C:$C,盘货信息!$L:$L)="","",_xlfn.XLOOKUP(A471&amp;B471&amp;C471,盘货信息!$A:$A&amp;盘货信息!$B:$B&amp;盘货信息!$C:$C,盘货信息!$L:$L)&amp;"元限时补贴"))</f>
        <v/>
      </c>
      <c r="L471" s="18" t="str">
        <f t="array" ref="L471">IF(C471="","",IF(_xlfn.XLOOKUP(A471&amp;B471&amp;C471,盘货信息!$A:$A&amp;盘货信息!$B:$B&amp;盘货信息!$C:$C,盘货信息!$M:$M)="","",_xlfn.XLOOKUP(A471&amp;B471&amp;C471,盘货信息!$A:$A&amp;盘货信息!$B:$B&amp;盘货信息!$C:$C,盘货信息!$M:$M)&amp;"元消费券"))</f>
        <v/>
      </c>
      <c r="M471" s="18" t="str">
        <f t="array" ref="M471">IF(C471="","",IF(_xlfn.XLOOKUP(A471&amp;B471&amp;C471,盘货信息!$A:$A&amp;盘货信息!$B:$B&amp;盘货信息!$C:$C,盘货信息!$G:$G)="不参加","","焕新补贴优惠【全民可用，不限地址】"))</f>
        <v/>
      </c>
    </row>
    <row r="472" customHeight="1" spans="1:13">
      <c r="A472" s="17" t="str">
        <f>IF(盘货信息!A472="","",盘货信息!A472)</f>
        <v/>
      </c>
      <c r="B472" s="17" t="str">
        <f>IF(盘货信息!B472="","",盘货信息!B472)</f>
        <v/>
      </c>
      <c r="C472" s="18" t="str">
        <f>IF(盘货信息!C472="","",盘货信息!C472)</f>
        <v/>
      </c>
      <c r="D472" s="18" t="str">
        <f t="shared" si="7"/>
        <v/>
      </c>
      <c r="E472" s="18" t="str">
        <f t="array" ref="E472">IF(C472="","",IF(_xlfn.XLOOKUP(A472&amp;B472&amp;C472,盘货信息!$A:$A&amp;盘货信息!$B:$B&amp;盘货信息!$C:$C,盘货信息!$N:$N)="","【立减到手价"&amp;_xlfn.XLOOKUP(A472&amp;B472&amp;C472,盘货信息!$A:$A&amp;盘货信息!$B:$B&amp;盘货信息!$C:$C,盘货信息!$F:$F)&amp;"元】","【焕新补贴预估价"&amp;_xlfn.XLOOKUP(A472&amp;B472&amp;C472,盘货信息!$A:$A&amp;盘货信息!$B:$B&amp;盘货信息!$C:$C,盘货信息!$N:$N)&amp;"元】"))</f>
        <v/>
      </c>
      <c r="F472" s="18" t="str">
        <f t="array" ref="F472">IF(C472="","",_xlfn.XLOOKUP(A472&amp;B472&amp;C472,盘货信息!$A:$A&amp;盘货信息!$B:$B&amp;盘货信息!$C:$C,盘货信息!$E:$E)&amp;"元到手价")</f>
        <v/>
      </c>
      <c r="G472" s="18" t="str">
        <f t="array" ref="G472">IF(C472="","",IF(_xlfn.XLOOKUP(A472&amp;B472&amp;C472,盘货信息!$A:$A&amp;盘货信息!$B:$B&amp;盘货信息!$C:$C,盘货信息!$I:$I)="","","88VIP95折"))</f>
        <v/>
      </c>
      <c r="H472" s="18" t="str">
        <f t="array" ref="H472">IF(C472="","",IF(_xlfn.XLOOKUP(A472&amp;B472&amp;C472,盘货信息!$A:$A&amp;盘货信息!$B:$B&amp;盘货信息!$C:$C,盘货信息!$J:$J)="","",_xlfn.XLOOKUP(A472&amp;B472&amp;C472,盘货信息!$A:$A&amp;盘货信息!$B:$B&amp;盘货信息!$C:$C,盘货信息!$J:$J)&amp;"元优惠卷"))</f>
        <v/>
      </c>
      <c r="I472" s="18" t="str">
        <f t="array" ref="I472">IF(C472="","",IF(_xlfn.XLOOKUP(A472&amp;B472&amp;C472,盘货信息!$A:$A&amp;盘货信息!$B:$B&amp;盘货信息!$C:$C,盘货信息!$R:$R)="","",_xlfn.XLOOKUP(A472&amp;B472&amp;C472,盘货信息!$A:$A&amp;盘货信息!$B:$B&amp;盘货信息!$C:$C,盘货信息!$R:$R)&amp;"元优惠卷"))</f>
        <v/>
      </c>
      <c r="J472" s="18" t="str">
        <f t="array" ref="J472">IF(C472="","",IF(_xlfn.XLOOKUP(A472&amp;B472&amp;C472,盘货信息!$A:$A&amp;盘货信息!$B:$B&amp;盘货信息!$C:$C,盘货信息!$K:$K)="","",IF(OR(_xlfn.XLOOKUP(A472&amp;B472&amp;C472,盘货信息!$A:$A&amp;盘货信息!$B:$B&amp;盘货信息!$C:$C,盘货信息!$G:$G)="参加",_xlfn.XLOOKUP(A472&amp;B472&amp;C472,盘货信息!$A:$A&amp;盘货信息!$B:$B&amp;盘货信息!$C:$C,盘货信息!$H:$H)="1（纯自补）"),_xlfn.XLOOKUP(A472&amp;B472&amp;C472,盘货信息!$A:$A&amp;盘货信息!$B:$B&amp;盘货信息!$C:$C,盘货信息!$K:$K)&amp;"元以旧换新（可无旧机换新）","")))</f>
        <v/>
      </c>
      <c r="K472" s="18" t="str">
        <f t="array" ref="K472">IF(C472="","",IF(_xlfn.XLOOKUP(A472&amp;B472&amp;C472,盘货信息!$A:$A&amp;盘货信息!$B:$B&amp;盘货信息!$C:$C,盘货信息!$L:$L)="","",_xlfn.XLOOKUP(A472&amp;B472&amp;C472,盘货信息!$A:$A&amp;盘货信息!$B:$B&amp;盘货信息!$C:$C,盘货信息!$L:$L)&amp;"元限时补贴"))</f>
        <v/>
      </c>
      <c r="L472" s="18" t="str">
        <f t="array" ref="L472">IF(C472="","",IF(_xlfn.XLOOKUP(A472&amp;B472&amp;C472,盘货信息!$A:$A&amp;盘货信息!$B:$B&amp;盘货信息!$C:$C,盘货信息!$M:$M)="","",_xlfn.XLOOKUP(A472&amp;B472&amp;C472,盘货信息!$A:$A&amp;盘货信息!$B:$B&amp;盘货信息!$C:$C,盘货信息!$M:$M)&amp;"元消费券"))</f>
        <v/>
      </c>
      <c r="M472" s="18" t="str">
        <f t="array" ref="M472">IF(C472="","",IF(_xlfn.XLOOKUP(A472&amp;B472&amp;C472,盘货信息!$A:$A&amp;盘货信息!$B:$B&amp;盘货信息!$C:$C,盘货信息!$G:$G)="不参加","","焕新补贴优惠【全民可用，不限地址】"))</f>
        <v/>
      </c>
    </row>
    <row r="473" customHeight="1" spans="1:13">
      <c r="A473" s="17" t="str">
        <f>IF(盘货信息!A473="","",盘货信息!A473)</f>
        <v/>
      </c>
      <c r="B473" s="17" t="str">
        <f>IF(盘货信息!B473="","",盘货信息!B473)</f>
        <v/>
      </c>
      <c r="C473" s="18" t="str">
        <f>IF(盘货信息!C473="","",盘货信息!C473)</f>
        <v/>
      </c>
      <c r="D473" s="18" t="str">
        <f t="shared" si="7"/>
        <v/>
      </c>
      <c r="E473" s="18" t="str">
        <f t="array" ref="E473">IF(C473="","",IF(_xlfn.XLOOKUP(A473&amp;B473&amp;C473,盘货信息!$A:$A&amp;盘货信息!$B:$B&amp;盘货信息!$C:$C,盘货信息!$N:$N)="","【立减到手价"&amp;_xlfn.XLOOKUP(A473&amp;B473&amp;C473,盘货信息!$A:$A&amp;盘货信息!$B:$B&amp;盘货信息!$C:$C,盘货信息!$F:$F)&amp;"元】","【焕新补贴预估价"&amp;_xlfn.XLOOKUP(A473&amp;B473&amp;C473,盘货信息!$A:$A&amp;盘货信息!$B:$B&amp;盘货信息!$C:$C,盘货信息!$N:$N)&amp;"元】"))</f>
        <v/>
      </c>
      <c r="F473" s="18" t="str">
        <f t="array" ref="F473">IF(C473="","",_xlfn.XLOOKUP(A473&amp;B473&amp;C473,盘货信息!$A:$A&amp;盘货信息!$B:$B&amp;盘货信息!$C:$C,盘货信息!$E:$E)&amp;"元到手价")</f>
        <v/>
      </c>
      <c r="G473" s="18" t="str">
        <f t="array" ref="G473">IF(C473="","",IF(_xlfn.XLOOKUP(A473&amp;B473&amp;C473,盘货信息!$A:$A&amp;盘货信息!$B:$B&amp;盘货信息!$C:$C,盘货信息!$I:$I)="","","88VIP95折"))</f>
        <v/>
      </c>
      <c r="H473" s="18" t="str">
        <f t="array" ref="H473">IF(C473="","",IF(_xlfn.XLOOKUP(A473&amp;B473&amp;C473,盘货信息!$A:$A&amp;盘货信息!$B:$B&amp;盘货信息!$C:$C,盘货信息!$J:$J)="","",_xlfn.XLOOKUP(A473&amp;B473&amp;C473,盘货信息!$A:$A&amp;盘货信息!$B:$B&amp;盘货信息!$C:$C,盘货信息!$J:$J)&amp;"元优惠卷"))</f>
        <v/>
      </c>
      <c r="I473" s="18" t="str">
        <f t="array" ref="I473">IF(C473="","",IF(_xlfn.XLOOKUP(A473&amp;B473&amp;C473,盘货信息!$A:$A&amp;盘货信息!$B:$B&amp;盘货信息!$C:$C,盘货信息!$R:$R)="","",_xlfn.XLOOKUP(A473&amp;B473&amp;C473,盘货信息!$A:$A&amp;盘货信息!$B:$B&amp;盘货信息!$C:$C,盘货信息!$R:$R)&amp;"元优惠卷"))</f>
        <v/>
      </c>
      <c r="J473" s="18" t="str">
        <f t="array" ref="J473">IF(C473="","",IF(_xlfn.XLOOKUP(A473&amp;B473&amp;C473,盘货信息!$A:$A&amp;盘货信息!$B:$B&amp;盘货信息!$C:$C,盘货信息!$K:$K)="","",IF(OR(_xlfn.XLOOKUP(A473&amp;B473&amp;C473,盘货信息!$A:$A&amp;盘货信息!$B:$B&amp;盘货信息!$C:$C,盘货信息!$G:$G)="参加",_xlfn.XLOOKUP(A473&amp;B473&amp;C473,盘货信息!$A:$A&amp;盘货信息!$B:$B&amp;盘货信息!$C:$C,盘货信息!$H:$H)="1（纯自补）"),_xlfn.XLOOKUP(A473&amp;B473&amp;C473,盘货信息!$A:$A&amp;盘货信息!$B:$B&amp;盘货信息!$C:$C,盘货信息!$K:$K)&amp;"元以旧换新（可无旧机换新）","")))</f>
        <v/>
      </c>
      <c r="K473" s="18" t="str">
        <f t="array" ref="K473">IF(C473="","",IF(_xlfn.XLOOKUP(A473&amp;B473&amp;C473,盘货信息!$A:$A&amp;盘货信息!$B:$B&amp;盘货信息!$C:$C,盘货信息!$L:$L)="","",_xlfn.XLOOKUP(A473&amp;B473&amp;C473,盘货信息!$A:$A&amp;盘货信息!$B:$B&amp;盘货信息!$C:$C,盘货信息!$L:$L)&amp;"元限时补贴"))</f>
        <v/>
      </c>
      <c r="L473" s="18" t="str">
        <f t="array" ref="L473">IF(C473="","",IF(_xlfn.XLOOKUP(A473&amp;B473&amp;C473,盘货信息!$A:$A&amp;盘货信息!$B:$B&amp;盘货信息!$C:$C,盘货信息!$M:$M)="","",_xlfn.XLOOKUP(A473&amp;B473&amp;C473,盘货信息!$A:$A&amp;盘货信息!$B:$B&amp;盘货信息!$C:$C,盘货信息!$M:$M)&amp;"元消费券"))</f>
        <v/>
      </c>
      <c r="M473" s="18" t="str">
        <f t="array" ref="M473">IF(C473="","",IF(_xlfn.XLOOKUP(A473&amp;B473&amp;C473,盘货信息!$A:$A&amp;盘货信息!$B:$B&amp;盘货信息!$C:$C,盘货信息!$G:$G)="不参加","","焕新补贴优惠【全民可用，不限地址】"))</f>
        <v/>
      </c>
    </row>
    <row r="474" customHeight="1" spans="1:13">
      <c r="A474" s="17" t="str">
        <f>IF(盘货信息!A474="","",盘货信息!A474)</f>
        <v/>
      </c>
      <c r="B474" s="17" t="str">
        <f>IF(盘货信息!B474="","",盘货信息!B474)</f>
        <v/>
      </c>
      <c r="C474" s="18" t="str">
        <f>IF(盘货信息!C474="","",盘货信息!C474)</f>
        <v/>
      </c>
      <c r="D474" s="18" t="str">
        <f t="shared" si="7"/>
        <v/>
      </c>
      <c r="E474" s="18" t="str">
        <f t="array" ref="E474">IF(C474="","",IF(_xlfn.XLOOKUP(A474&amp;B474&amp;C474,盘货信息!$A:$A&amp;盘货信息!$B:$B&amp;盘货信息!$C:$C,盘货信息!$N:$N)="","【立减到手价"&amp;_xlfn.XLOOKUP(A474&amp;B474&amp;C474,盘货信息!$A:$A&amp;盘货信息!$B:$B&amp;盘货信息!$C:$C,盘货信息!$F:$F)&amp;"元】","【焕新补贴预估价"&amp;_xlfn.XLOOKUP(A474&amp;B474&amp;C474,盘货信息!$A:$A&amp;盘货信息!$B:$B&amp;盘货信息!$C:$C,盘货信息!$N:$N)&amp;"元】"))</f>
        <v/>
      </c>
      <c r="F474" s="18" t="str">
        <f t="array" ref="F474">IF(C474="","",_xlfn.XLOOKUP(A474&amp;B474&amp;C474,盘货信息!$A:$A&amp;盘货信息!$B:$B&amp;盘货信息!$C:$C,盘货信息!$E:$E)&amp;"元到手价")</f>
        <v/>
      </c>
      <c r="G474" s="18" t="str">
        <f t="array" ref="G474">IF(C474="","",IF(_xlfn.XLOOKUP(A474&amp;B474&amp;C474,盘货信息!$A:$A&amp;盘货信息!$B:$B&amp;盘货信息!$C:$C,盘货信息!$I:$I)="","","88VIP95折"))</f>
        <v/>
      </c>
      <c r="H474" s="18" t="str">
        <f t="array" ref="H474">IF(C474="","",IF(_xlfn.XLOOKUP(A474&amp;B474&amp;C474,盘货信息!$A:$A&amp;盘货信息!$B:$B&amp;盘货信息!$C:$C,盘货信息!$J:$J)="","",_xlfn.XLOOKUP(A474&amp;B474&amp;C474,盘货信息!$A:$A&amp;盘货信息!$B:$B&amp;盘货信息!$C:$C,盘货信息!$J:$J)&amp;"元优惠卷"))</f>
        <v/>
      </c>
      <c r="I474" s="18" t="str">
        <f t="array" ref="I474">IF(C474="","",IF(_xlfn.XLOOKUP(A474&amp;B474&amp;C474,盘货信息!$A:$A&amp;盘货信息!$B:$B&amp;盘货信息!$C:$C,盘货信息!$R:$R)="","",_xlfn.XLOOKUP(A474&amp;B474&amp;C474,盘货信息!$A:$A&amp;盘货信息!$B:$B&amp;盘货信息!$C:$C,盘货信息!$R:$R)&amp;"元优惠卷"))</f>
        <v/>
      </c>
      <c r="J474" s="18" t="str">
        <f t="array" ref="J474">IF(C474="","",IF(_xlfn.XLOOKUP(A474&amp;B474&amp;C474,盘货信息!$A:$A&amp;盘货信息!$B:$B&amp;盘货信息!$C:$C,盘货信息!$K:$K)="","",IF(OR(_xlfn.XLOOKUP(A474&amp;B474&amp;C474,盘货信息!$A:$A&amp;盘货信息!$B:$B&amp;盘货信息!$C:$C,盘货信息!$G:$G)="参加",_xlfn.XLOOKUP(A474&amp;B474&amp;C474,盘货信息!$A:$A&amp;盘货信息!$B:$B&amp;盘货信息!$C:$C,盘货信息!$H:$H)="1（纯自补）"),_xlfn.XLOOKUP(A474&amp;B474&amp;C474,盘货信息!$A:$A&amp;盘货信息!$B:$B&amp;盘货信息!$C:$C,盘货信息!$K:$K)&amp;"元以旧换新（可无旧机换新）","")))</f>
        <v/>
      </c>
      <c r="K474" s="18" t="str">
        <f t="array" ref="K474">IF(C474="","",IF(_xlfn.XLOOKUP(A474&amp;B474&amp;C474,盘货信息!$A:$A&amp;盘货信息!$B:$B&amp;盘货信息!$C:$C,盘货信息!$L:$L)="","",_xlfn.XLOOKUP(A474&amp;B474&amp;C474,盘货信息!$A:$A&amp;盘货信息!$B:$B&amp;盘货信息!$C:$C,盘货信息!$L:$L)&amp;"元限时补贴"))</f>
        <v/>
      </c>
      <c r="L474" s="18" t="str">
        <f t="array" ref="L474">IF(C474="","",IF(_xlfn.XLOOKUP(A474&amp;B474&amp;C474,盘货信息!$A:$A&amp;盘货信息!$B:$B&amp;盘货信息!$C:$C,盘货信息!$M:$M)="","",_xlfn.XLOOKUP(A474&amp;B474&amp;C474,盘货信息!$A:$A&amp;盘货信息!$B:$B&amp;盘货信息!$C:$C,盘货信息!$M:$M)&amp;"元消费券"))</f>
        <v/>
      </c>
      <c r="M474" s="18" t="str">
        <f t="array" ref="M474">IF(C474="","",IF(_xlfn.XLOOKUP(A474&amp;B474&amp;C474,盘货信息!$A:$A&amp;盘货信息!$B:$B&amp;盘货信息!$C:$C,盘货信息!$G:$G)="不参加","","焕新补贴优惠【全民可用，不限地址】"))</f>
        <v/>
      </c>
    </row>
    <row r="475" customHeight="1" spans="1:13">
      <c r="A475" s="17" t="str">
        <f>IF(盘货信息!A475="","",盘货信息!A475)</f>
        <v/>
      </c>
      <c r="B475" s="17" t="str">
        <f>IF(盘货信息!B475="","",盘货信息!B475)</f>
        <v/>
      </c>
      <c r="C475" s="18" t="str">
        <f>IF(盘货信息!C475="","",盘货信息!C475)</f>
        <v/>
      </c>
      <c r="D475" s="18" t="str">
        <f t="shared" si="7"/>
        <v/>
      </c>
      <c r="E475" s="18" t="str">
        <f t="array" ref="E475">IF(C475="","",IF(_xlfn.XLOOKUP(A475&amp;B475&amp;C475,盘货信息!$A:$A&amp;盘货信息!$B:$B&amp;盘货信息!$C:$C,盘货信息!$N:$N)="","【立减到手价"&amp;_xlfn.XLOOKUP(A475&amp;B475&amp;C475,盘货信息!$A:$A&amp;盘货信息!$B:$B&amp;盘货信息!$C:$C,盘货信息!$F:$F)&amp;"元】","【焕新补贴预估价"&amp;_xlfn.XLOOKUP(A475&amp;B475&amp;C475,盘货信息!$A:$A&amp;盘货信息!$B:$B&amp;盘货信息!$C:$C,盘货信息!$N:$N)&amp;"元】"))</f>
        <v/>
      </c>
      <c r="F475" s="18" t="str">
        <f t="array" ref="F475">IF(C475="","",_xlfn.XLOOKUP(A475&amp;B475&amp;C475,盘货信息!$A:$A&amp;盘货信息!$B:$B&amp;盘货信息!$C:$C,盘货信息!$E:$E)&amp;"元到手价")</f>
        <v/>
      </c>
      <c r="G475" s="18" t="str">
        <f t="array" ref="G475">IF(C475="","",IF(_xlfn.XLOOKUP(A475&amp;B475&amp;C475,盘货信息!$A:$A&amp;盘货信息!$B:$B&amp;盘货信息!$C:$C,盘货信息!$I:$I)="","","88VIP95折"))</f>
        <v/>
      </c>
      <c r="H475" s="18" t="str">
        <f t="array" ref="H475">IF(C475="","",IF(_xlfn.XLOOKUP(A475&amp;B475&amp;C475,盘货信息!$A:$A&amp;盘货信息!$B:$B&amp;盘货信息!$C:$C,盘货信息!$J:$J)="","",_xlfn.XLOOKUP(A475&amp;B475&amp;C475,盘货信息!$A:$A&amp;盘货信息!$B:$B&amp;盘货信息!$C:$C,盘货信息!$J:$J)&amp;"元优惠卷"))</f>
        <v/>
      </c>
      <c r="I475" s="18" t="str">
        <f t="array" ref="I475">IF(C475="","",IF(_xlfn.XLOOKUP(A475&amp;B475&amp;C475,盘货信息!$A:$A&amp;盘货信息!$B:$B&amp;盘货信息!$C:$C,盘货信息!$R:$R)="","",_xlfn.XLOOKUP(A475&amp;B475&amp;C475,盘货信息!$A:$A&amp;盘货信息!$B:$B&amp;盘货信息!$C:$C,盘货信息!$R:$R)&amp;"元优惠卷"))</f>
        <v/>
      </c>
      <c r="J475" s="18" t="str">
        <f t="array" ref="J475">IF(C475="","",IF(_xlfn.XLOOKUP(A475&amp;B475&amp;C475,盘货信息!$A:$A&amp;盘货信息!$B:$B&amp;盘货信息!$C:$C,盘货信息!$K:$K)="","",IF(OR(_xlfn.XLOOKUP(A475&amp;B475&amp;C475,盘货信息!$A:$A&amp;盘货信息!$B:$B&amp;盘货信息!$C:$C,盘货信息!$G:$G)="参加",_xlfn.XLOOKUP(A475&amp;B475&amp;C475,盘货信息!$A:$A&amp;盘货信息!$B:$B&amp;盘货信息!$C:$C,盘货信息!$H:$H)="1（纯自补）"),_xlfn.XLOOKUP(A475&amp;B475&amp;C475,盘货信息!$A:$A&amp;盘货信息!$B:$B&amp;盘货信息!$C:$C,盘货信息!$K:$K)&amp;"元以旧换新（可无旧机换新）","")))</f>
        <v/>
      </c>
      <c r="K475" s="18" t="str">
        <f t="array" ref="K475">IF(C475="","",IF(_xlfn.XLOOKUP(A475&amp;B475&amp;C475,盘货信息!$A:$A&amp;盘货信息!$B:$B&amp;盘货信息!$C:$C,盘货信息!$L:$L)="","",_xlfn.XLOOKUP(A475&amp;B475&amp;C475,盘货信息!$A:$A&amp;盘货信息!$B:$B&amp;盘货信息!$C:$C,盘货信息!$L:$L)&amp;"元限时补贴"))</f>
        <v/>
      </c>
      <c r="L475" s="18" t="str">
        <f t="array" ref="L475">IF(C475="","",IF(_xlfn.XLOOKUP(A475&amp;B475&amp;C475,盘货信息!$A:$A&amp;盘货信息!$B:$B&amp;盘货信息!$C:$C,盘货信息!$M:$M)="","",_xlfn.XLOOKUP(A475&amp;B475&amp;C475,盘货信息!$A:$A&amp;盘货信息!$B:$B&amp;盘货信息!$C:$C,盘货信息!$M:$M)&amp;"元消费券"))</f>
        <v/>
      </c>
      <c r="M475" s="18" t="str">
        <f t="array" ref="M475">IF(C475="","",IF(_xlfn.XLOOKUP(A475&amp;B475&amp;C475,盘货信息!$A:$A&amp;盘货信息!$B:$B&amp;盘货信息!$C:$C,盘货信息!$G:$G)="不参加","","焕新补贴优惠【全民可用，不限地址】"))</f>
        <v/>
      </c>
    </row>
    <row r="476" customHeight="1" spans="1:13">
      <c r="A476" s="17" t="str">
        <f>IF(盘货信息!A476="","",盘货信息!A476)</f>
        <v/>
      </c>
      <c r="B476" s="17" t="str">
        <f>IF(盘货信息!B476="","",盘货信息!B476)</f>
        <v/>
      </c>
      <c r="C476" s="18" t="str">
        <f>IF(盘货信息!C476="","",盘货信息!C476)</f>
        <v/>
      </c>
      <c r="D476" s="18" t="str">
        <f t="shared" si="7"/>
        <v/>
      </c>
      <c r="E476" s="18" t="str">
        <f t="array" ref="E476">IF(C476="","",IF(_xlfn.XLOOKUP(A476&amp;B476&amp;C476,盘货信息!$A:$A&amp;盘货信息!$B:$B&amp;盘货信息!$C:$C,盘货信息!$N:$N)="","【立减到手价"&amp;_xlfn.XLOOKUP(A476&amp;B476&amp;C476,盘货信息!$A:$A&amp;盘货信息!$B:$B&amp;盘货信息!$C:$C,盘货信息!$F:$F)&amp;"元】","【焕新补贴预估价"&amp;_xlfn.XLOOKUP(A476&amp;B476&amp;C476,盘货信息!$A:$A&amp;盘货信息!$B:$B&amp;盘货信息!$C:$C,盘货信息!$N:$N)&amp;"元】"))</f>
        <v/>
      </c>
      <c r="F476" s="18" t="str">
        <f t="array" ref="F476">IF(C476="","",_xlfn.XLOOKUP(A476&amp;B476&amp;C476,盘货信息!$A:$A&amp;盘货信息!$B:$B&amp;盘货信息!$C:$C,盘货信息!$E:$E)&amp;"元到手价")</f>
        <v/>
      </c>
      <c r="G476" s="18" t="str">
        <f t="array" ref="G476">IF(C476="","",IF(_xlfn.XLOOKUP(A476&amp;B476&amp;C476,盘货信息!$A:$A&amp;盘货信息!$B:$B&amp;盘货信息!$C:$C,盘货信息!$I:$I)="","","88VIP95折"))</f>
        <v/>
      </c>
      <c r="H476" s="18" t="str">
        <f t="array" ref="H476">IF(C476="","",IF(_xlfn.XLOOKUP(A476&amp;B476&amp;C476,盘货信息!$A:$A&amp;盘货信息!$B:$B&amp;盘货信息!$C:$C,盘货信息!$J:$J)="","",_xlfn.XLOOKUP(A476&amp;B476&amp;C476,盘货信息!$A:$A&amp;盘货信息!$B:$B&amp;盘货信息!$C:$C,盘货信息!$J:$J)&amp;"元优惠卷"))</f>
        <v/>
      </c>
      <c r="I476" s="18" t="str">
        <f t="array" ref="I476">IF(C476="","",IF(_xlfn.XLOOKUP(A476&amp;B476&amp;C476,盘货信息!$A:$A&amp;盘货信息!$B:$B&amp;盘货信息!$C:$C,盘货信息!$R:$R)="","",_xlfn.XLOOKUP(A476&amp;B476&amp;C476,盘货信息!$A:$A&amp;盘货信息!$B:$B&amp;盘货信息!$C:$C,盘货信息!$R:$R)&amp;"元优惠卷"))</f>
        <v/>
      </c>
      <c r="J476" s="18" t="str">
        <f t="array" ref="J476">IF(C476="","",IF(_xlfn.XLOOKUP(A476&amp;B476&amp;C476,盘货信息!$A:$A&amp;盘货信息!$B:$B&amp;盘货信息!$C:$C,盘货信息!$K:$K)="","",IF(OR(_xlfn.XLOOKUP(A476&amp;B476&amp;C476,盘货信息!$A:$A&amp;盘货信息!$B:$B&amp;盘货信息!$C:$C,盘货信息!$G:$G)="参加",_xlfn.XLOOKUP(A476&amp;B476&amp;C476,盘货信息!$A:$A&amp;盘货信息!$B:$B&amp;盘货信息!$C:$C,盘货信息!$H:$H)="1（纯自补）"),_xlfn.XLOOKUP(A476&amp;B476&amp;C476,盘货信息!$A:$A&amp;盘货信息!$B:$B&amp;盘货信息!$C:$C,盘货信息!$K:$K)&amp;"元以旧换新（可无旧机换新）","")))</f>
        <v/>
      </c>
      <c r="K476" s="18" t="str">
        <f t="array" ref="K476">IF(C476="","",IF(_xlfn.XLOOKUP(A476&amp;B476&amp;C476,盘货信息!$A:$A&amp;盘货信息!$B:$B&amp;盘货信息!$C:$C,盘货信息!$L:$L)="","",_xlfn.XLOOKUP(A476&amp;B476&amp;C476,盘货信息!$A:$A&amp;盘货信息!$B:$B&amp;盘货信息!$C:$C,盘货信息!$L:$L)&amp;"元限时补贴"))</f>
        <v/>
      </c>
      <c r="L476" s="18" t="str">
        <f t="array" ref="L476">IF(C476="","",IF(_xlfn.XLOOKUP(A476&amp;B476&amp;C476,盘货信息!$A:$A&amp;盘货信息!$B:$B&amp;盘货信息!$C:$C,盘货信息!$M:$M)="","",_xlfn.XLOOKUP(A476&amp;B476&amp;C476,盘货信息!$A:$A&amp;盘货信息!$B:$B&amp;盘货信息!$C:$C,盘货信息!$M:$M)&amp;"元消费券"))</f>
        <v/>
      </c>
      <c r="M476" s="18" t="str">
        <f t="array" ref="M476">IF(C476="","",IF(_xlfn.XLOOKUP(A476&amp;B476&amp;C476,盘货信息!$A:$A&amp;盘货信息!$B:$B&amp;盘货信息!$C:$C,盘货信息!$G:$G)="不参加","","焕新补贴优惠【全民可用，不限地址】"))</f>
        <v/>
      </c>
    </row>
    <row r="477" customHeight="1" spans="1:13">
      <c r="A477" s="17" t="str">
        <f>IF(盘货信息!A477="","",盘货信息!A477)</f>
        <v/>
      </c>
      <c r="B477" s="17" t="str">
        <f>IF(盘货信息!B477="","",盘货信息!B477)</f>
        <v/>
      </c>
      <c r="C477" s="18" t="str">
        <f>IF(盘货信息!C477="","",盘货信息!C477)</f>
        <v/>
      </c>
      <c r="D477" s="18" t="str">
        <f t="shared" si="7"/>
        <v/>
      </c>
      <c r="E477" s="18" t="str">
        <f t="array" ref="E477">IF(C477="","",IF(_xlfn.XLOOKUP(A477&amp;B477&amp;C477,盘货信息!$A:$A&amp;盘货信息!$B:$B&amp;盘货信息!$C:$C,盘货信息!$N:$N)="","【立减到手价"&amp;_xlfn.XLOOKUP(A477&amp;B477&amp;C477,盘货信息!$A:$A&amp;盘货信息!$B:$B&amp;盘货信息!$C:$C,盘货信息!$F:$F)&amp;"元】","【焕新补贴预估价"&amp;_xlfn.XLOOKUP(A477&amp;B477&amp;C477,盘货信息!$A:$A&amp;盘货信息!$B:$B&amp;盘货信息!$C:$C,盘货信息!$N:$N)&amp;"元】"))</f>
        <v/>
      </c>
      <c r="F477" s="18" t="str">
        <f t="array" ref="F477">IF(C477="","",_xlfn.XLOOKUP(A477&amp;B477&amp;C477,盘货信息!$A:$A&amp;盘货信息!$B:$B&amp;盘货信息!$C:$C,盘货信息!$E:$E)&amp;"元到手价")</f>
        <v/>
      </c>
      <c r="G477" s="18" t="str">
        <f t="array" ref="G477">IF(C477="","",IF(_xlfn.XLOOKUP(A477&amp;B477&amp;C477,盘货信息!$A:$A&amp;盘货信息!$B:$B&amp;盘货信息!$C:$C,盘货信息!$I:$I)="","","88VIP95折"))</f>
        <v/>
      </c>
      <c r="H477" s="18" t="str">
        <f t="array" ref="H477">IF(C477="","",IF(_xlfn.XLOOKUP(A477&amp;B477&amp;C477,盘货信息!$A:$A&amp;盘货信息!$B:$B&amp;盘货信息!$C:$C,盘货信息!$J:$J)="","",_xlfn.XLOOKUP(A477&amp;B477&amp;C477,盘货信息!$A:$A&amp;盘货信息!$B:$B&amp;盘货信息!$C:$C,盘货信息!$J:$J)&amp;"元优惠卷"))</f>
        <v/>
      </c>
      <c r="I477" s="18" t="str">
        <f t="array" ref="I477">IF(C477="","",IF(_xlfn.XLOOKUP(A477&amp;B477&amp;C477,盘货信息!$A:$A&amp;盘货信息!$B:$B&amp;盘货信息!$C:$C,盘货信息!$R:$R)="","",_xlfn.XLOOKUP(A477&amp;B477&amp;C477,盘货信息!$A:$A&amp;盘货信息!$B:$B&amp;盘货信息!$C:$C,盘货信息!$R:$R)&amp;"元优惠卷"))</f>
        <v/>
      </c>
      <c r="J477" s="18" t="str">
        <f t="array" ref="J477">IF(C477="","",IF(_xlfn.XLOOKUP(A477&amp;B477&amp;C477,盘货信息!$A:$A&amp;盘货信息!$B:$B&amp;盘货信息!$C:$C,盘货信息!$K:$K)="","",IF(OR(_xlfn.XLOOKUP(A477&amp;B477&amp;C477,盘货信息!$A:$A&amp;盘货信息!$B:$B&amp;盘货信息!$C:$C,盘货信息!$G:$G)="参加",_xlfn.XLOOKUP(A477&amp;B477&amp;C477,盘货信息!$A:$A&amp;盘货信息!$B:$B&amp;盘货信息!$C:$C,盘货信息!$H:$H)="1（纯自补）"),_xlfn.XLOOKUP(A477&amp;B477&amp;C477,盘货信息!$A:$A&amp;盘货信息!$B:$B&amp;盘货信息!$C:$C,盘货信息!$K:$K)&amp;"元以旧换新（可无旧机换新）","")))</f>
        <v/>
      </c>
      <c r="K477" s="18" t="str">
        <f t="array" ref="K477">IF(C477="","",IF(_xlfn.XLOOKUP(A477&amp;B477&amp;C477,盘货信息!$A:$A&amp;盘货信息!$B:$B&amp;盘货信息!$C:$C,盘货信息!$L:$L)="","",_xlfn.XLOOKUP(A477&amp;B477&amp;C477,盘货信息!$A:$A&amp;盘货信息!$B:$B&amp;盘货信息!$C:$C,盘货信息!$L:$L)&amp;"元限时补贴"))</f>
        <v/>
      </c>
      <c r="L477" s="18" t="str">
        <f t="array" ref="L477">IF(C477="","",IF(_xlfn.XLOOKUP(A477&amp;B477&amp;C477,盘货信息!$A:$A&amp;盘货信息!$B:$B&amp;盘货信息!$C:$C,盘货信息!$M:$M)="","",_xlfn.XLOOKUP(A477&amp;B477&amp;C477,盘货信息!$A:$A&amp;盘货信息!$B:$B&amp;盘货信息!$C:$C,盘货信息!$M:$M)&amp;"元消费券"))</f>
        <v/>
      </c>
      <c r="M477" s="18" t="str">
        <f t="array" ref="M477">IF(C477="","",IF(_xlfn.XLOOKUP(A477&amp;B477&amp;C477,盘货信息!$A:$A&amp;盘货信息!$B:$B&amp;盘货信息!$C:$C,盘货信息!$G:$G)="不参加","","焕新补贴优惠【全民可用，不限地址】"))</f>
        <v/>
      </c>
    </row>
    <row r="478" customHeight="1" spans="1:13">
      <c r="A478" s="17" t="str">
        <f>IF(盘货信息!A478="","",盘货信息!A478)</f>
        <v/>
      </c>
      <c r="B478" s="17" t="str">
        <f>IF(盘货信息!B478="","",盘货信息!B478)</f>
        <v/>
      </c>
      <c r="C478" s="18" t="str">
        <f>IF(盘货信息!C478="","",盘货信息!C478)</f>
        <v/>
      </c>
      <c r="D478" s="18" t="str">
        <f t="shared" si="7"/>
        <v/>
      </c>
      <c r="E478" s="18" t="str">
        <f t="array" ref="E478">IF(C478="","",IF(_xlfn.XLOOKUP(A478&amp;B478&amp;C478,盘货信息!$A:$A&amp;盘货信息!$B:$B&amp;盘货信息!$C:$C,盘货信息!$N:$N)="","【立减到手价"&amp;_xlfn.XLOOKUP(A478&amp;B478&amp;C478,盘货信息!$A:$A&amp;盘货信息!$B:$B&amp;盘货信息!$C:$C,盘货信息!$F:$F)&amp;"元】","【焕新补贴预估价"&amp;_xlfn.XLOOKUP(A478&amp;B478&amp;C478,盘货信息!$A:$A&amp;盘货信息!$B:$B&amp;盘货信息!$C:$C,盘货信息!$N:$N)&amp;"元】"))</f>
        <v/>
      </c>
      <c r="F478" s="18" t="str">
        <f t="array" ref="F478">IF(C478="","",_xlfn.XLOOKUP(A478&amp;B478&amp;C478,盘货信息!$A:$A&amp;盘货信息!$B:$B&amp;盘货信息!$C:$C,盘货信息!$E:$E)&amp;"元到手价")</f>
        <v/>
      </c>
      <c r="G478" s="18" t="str">
        <f t="array" ref="G478">IF(C478="","",IF(_xlfn.XLOOKUP(A478&amp;B478&amp;C478,盘货信息!$A:$A&amp;盘货信息!$B:$B&amp;盘货信息!$C:$C,盘货信息!$I:$I)="","","88VIP95折"))</f>
        <v/>
      </c>
      <c r="H478" s="18" t="str">
        <f t="array" ref="H478">IF(C478="","",IF(_xlfn.XLOOKUP(A478&amp;B478&amp;C478,盘货信息!$A:$A&amp;盘货信息!$B:$B&amp;盘货信息!$C:$C,盘货信息!$J:$J)="","",_xlfn.XLOOKUP(A478&amp;B478&amp;C478,盘货信息!$A:$A&amp;盘货信息!$B:$B&amp;盘货信息!$C:$C,盘货信息!$J:$J)&amp;"元优惠卷"))</f>
        <v/>
      </c>
      <c r="I478" s="18" t="str">
        <f t="array" ref="I478">IF(C478="","",IF(_xlfn.XLOOKUP(A478&amp;B478&amp;C478,盘货信息!$A:$A&amp;盘货信息!$B:$B&amp;盘货信息!$C:$C,盘货信息!$R:$R)="","",_xlfn.XLOOKUP(A478&amp;B478&amp;C478,盘货信息!$A:$A&amp;盘货信息!$B:$B&amp;盘货信息!$C:$C,盘货信息!$R:$R)&amp;"元优惠卷"))</f>
        <v/>
      </c>
      <c r="J478" s="18" t="str">
        <f t="array" ref="J478">IF(C478="","",IF(_xlfn.XLOOKUP(A478&amp;B478&amp;C478,盘货信息!$A:$A&amp;盘货信息!$B:$B&amp;盘货信息!$C:$C,盘货信息!$K:$K)="","",IF(OR(_xlfn.XLOOKUP(A478&amp;B478&amp;C478,盘货信息!$A:$A&amp;盘货信息!$B:$B&amp;盘货信息!$C:$C,盘货信息!$G:$G)="参加",_xlfn.XLOOKUP(A478&amp;B478&amp;C478,盘货信息!$A:$A&amp;盘货信息!$B:$B&amp;盘货信息!$C:$C,盘货信息!$H:$H)="1（纯自补）"),_xlfn.XLOOKUP(A478&amp;B478&amp;C478,盘货信息!$A:$A&amp;盘货信息!$B:$B&amp;盘货信息!$C:$C,盘货信息!$K:$K)&amp;"元以旧换新（可无旧机换新）","")))</f>
        <v/>
      </c>
      <c r="K478" s="18" t="str">
        <f t="array" ref="K478">IF(C478="","",IF(_xlfn.XLOOKUP(A478&amp;B478&amp;C478,盘货信息!$A:$A&amp;盘货信息!$B:$B&amp;盘货信息!$C:$C,盘货信息!$L:$L)="","",_xlfn.XLOOKUP(A478&amp;B478&amp;C478,盘货信息!$A:$A&amp;盘货信息!$B:$B&amp;盘货信息!$C:$C,盘货信息!$L:$L)&amp;"元限时补贴"))</f>
        <v/>
      </c>
      <c r="L478" s="18" t="str">
        <f t="array" ref="L478">IF(C478="","",IF(_xlfn.XLOOKUP(A478&amp;B478&amp;C478,盘货信息!$A:$A&amp;盘货信息!$B:$B&amp;盘货信息!$C:$C,盘货信息!$M:$M)="","",_xlfn.XLOOKUP(A478&amp;B478&amp;C478,盘货信息!$A:$A&amp;盘货信息!$B:$B&amp;盘货信息!$C:$C,盘货信息!$M:$M)&amp;"元消费券"))</f>
        <v/>
      </c>
      <c r="M478" s="18" t="str">
        <f t="array" ref="M478">IF(C478="","",IF(_xlfn.XLOOKUP(A478&amp;B478&amp;C478,盘货信息!$A:$A&amp;盘货信息!$B:$B&amp;盘货信息!$C:$C,盘货信息!$G:$G)="不参加","","焕新补贴优惠【全民可用，不限地址】"))</f>
        <v/>
      </c>
    </row>
    <row r="479" customHeight="1" spans="1:13">
      <c r="A479" s="17" t="str">
        <f>IF(盘货信息!A479="","",盘货信息!A479)</f>
        <v/>
      </c>
      <c r="B479" s="17" t="str">
        <f>IF(盘货信息!B479="","",盘货信息!B479)</f>
        <v/>
      </c>
      <c r="C479" s="18" t="str">
        <f>IF(盘货信息!C479="","",盘货信息!C479)</f>
        <v/>
      </c>
      <c r="D479" s="18" t="str">
        <f t="shared" si="7"/>
        <v/>
      </c>
      <c r="E479" s="18" t="str">
        <f t="array" ref="E479">IF(C479="","",IF(_xlfn.XLOOKUP(A479&amp;B479&amp;C479,盘货信息!$A:$A&amp;盘货信息!$B:$B&amp;盘货信息!$C:$C,盘货信息!$N:$N)="","【立减到手价"&amp;_xlfn.XLOOKUP(A479&amp;B479&amp;C479,盘货信息!$A:$A&amp;盘货信息!$B:$B&amp;盘货信息!$C:$C,盘货信息!$F:$F)&amp;"元】","【焕新补贴预估价"&amp;_xlfn.XLOOKUP(A479&amp;B479&amp;C479,盘货信息!$A:$A&amp;盘货信息!$B:$B&amp;盘货信息!$C:$C,盘货信息!$N:$N)&amp;"元】"))</f>
        <v/>
      </c>
      <c r="F479" s="18" t="str">
        <f t="array" ref="F479">IF(C479="","",_xlfn.XLOOKUP(A479&amp;B479&amp;C479,盘货信息!$A:$A&amp;盘货信息!$B:$B&amp;盘货信息!$C:$C,盘货信息!$E:$E)&amp;"元到手价")</f>
        <v/>
      </c>
      <c r="G479" s="18" t="str">
        <f t="array" ref="G479">IF(C479="","",IF(_xlfn.XLOOKUP(A479&amp;B479&amp;C479,盘货信息!$A:$A&amp;盘货信息!$B:$B&amp;盘货信息!$C:$C,盘货信息!$I:$I)="","","88VIP95折"))</f>
        <v/>
      </c>
      <c r="H479" s="18" t="str">
        <f t="array" ref="H479">IF(C479="","",IF(_xlfn.XLOOKUP(A479&amp;B479&amp;C479,盘货信息!$A:$A&amp;盘货信息!$B:$B&amp;盘货信息!$C:$C,盘货信息!$J:$J)="","",_xlfn.XLOOKUP(A479&amp;B479&amp;C479,盘货信息!$A:$A&amp;盘货信息!$B:$B&amp;盘货信息!$C:$C,盘货信息!$J:$J)&amp;"元优惠卷"))</f>
        <v/>
      </c>
      <c r="I479" s="18" t="str">
        <f t="array" ref="I479">IF(C479="","",IF(_xlfn.XLOOKUP(A479&amp;B479&amp;C479,盘货信息!$A:$A&amp;盘货信息!$B:$B&amp;盘货信息!$C:$C,盘货信息!$R:$R)="","",_xlfn.XLOOKUP(A479&amp;B479&amp;C479,盘货信息!$A:$A&amp;盘货信息!$B:$B&amp;盘货信息!$C:$C,盘货信息!$R:$R)&amp;"元优惠卷"))</f>
        <v/>
      </c>
      <c r="J479" s="18" t="str">
        <f t="array" ref="J479">IF(C479="","",IF(_xlfn.XLOOKUP(A479&amp;B479&amp;C479,盘货信息!$A:$A&amp;盘货信息!$B:$B&amp;盘货信息!$C:$C,盘货信息!$K:$K)="","",IF(OR(_xlfn.XLOOKUP(A479&amp;B479&amp;C479,盘货信息!$A:$A&amp;盘货信息!$B:$B&amp;盘货信息!$C:$C,盘货信息!$G:$G)="参加",_xlfn.XLOOKUP(A479&amp;B479&amp;C479,盘货信息!$A:$A&amp;盘货信息!$B:$B&amp;盘货信息!$C:$C,盘货信息!$H:$H)="1（纯自补）"),_xlfn.XLOOKUP(A479&amp;B479&amp;C479,盘货信息!$A:$A&amp;盘货信息!$B:$B&amp;盘货信息!$C:$C,盘货信息!$K:$K)&amp;"元以旧换新（可无旧机换新）","")))</f>
        <v/>
      </c>
      <c r="K479" s="18" t="str">
        <f t="array" ref="K479">IF(C479="","",IF(_xlfn.XLOOKUP(A479&amp;B479&amp;C479,盘货信息!$A:$A&amp;盘货信息!$B:$B&amp;盘货信息!$C:$C,盘货信息!$L:$L)="","",_xlfn.XLOOKUP(A479&amp;B479&amp;C479,盘货信息!$A:$A&amp;盘货信息!$B:$B&amp;盘货信息!$C:$C,盘货信息!$L:$L)&amp;"元限时补贴"))</f>
        <v/>
      </c>
      <c r="L479" s="18" t="str">
        <f t="array" ref="L479">IF(C479="","",IF(_xlfn.XLOOKUP(A479&amp;B479&amp;C479,盘货信息!$A:$A&amp;盘货信息!$B:$B&amp;盘货信息!$C:$C,盘货信息!$M:$M)="","",_xlfn.XLOOKUP(A479&amp;B479&amp;C479,盘货信息!$A:$A&amp;盘货信息!$B:$B&amp;盘货信息!$C:$C,盘货信息!$M:$M)&amp;"元消费券"))</f>
        <v/>
      </c>
      <c r="M479" s="18" t="str">
        <f t="array" ref="M479">IF(C479="","",IF(_xlfn.XLOOKUP(A479&amp;B479&amp;C479,盘货信息!$A:$A&amp;盘货信息!$B:$B&amp;盘货信息!$C:$C,盘货信息!$G:$G)="不参加","","焕新补贴优惠【全民可用，不限地址】"))</f>
        <v/>
      </c>
    </row>
    <row r="480" customHeight="1" spans="1:13">
      <c r="A480" s="17" t="str">
        <f>IF(盘货信息!A480="","",盘货信息!A480)</f>
        <v/>
      </c>
      <c r="B480" s="17" t="str">
        <f>IF(盘货信息!B480="","",盘货信息!B480)</f>
        <v/>
      </c>
      <c r="C480" s="18" t="str">
        <f>IF(盘货信息!C480="","",盘货信息!C480)</f>
        <v/>
      </c>
      <c r="D480" s="18" t="str">
        <f t="shared" si="7"/>
        <v/>
      </c>
      <c r="E480" s="18" t="str">
        <f t="array" ref="E480">IF(C480="","",IF(_xlfn.XLOOKUP(A480&amp;B480&amp;C480,盘货信息!$A:$A&amp;盘货信息!$B:$B&amp;盘货信息!$C:$C,盘货信息!$N:$N)="","【立减到手价"&amp;_xlfn.XLOOKUP(A480&amp;B480&amp;C480,盘货信息!$A:$A&amp;盘货信息!$B:$B&amp;盘货信息!$C:$C,盘货信息!$F:$F)&amp;"元】","【焕新补贴预估价"&amp;_xlfn.XLOOKUP(A480&amp;B480&amp;C480,盘货信息!$A:$A&amp;盘货信息!$B:$B&amp;盘货信息!$C:$C,盘货信息!$N:$N)&amp;"元】"))</f>
        <v/>
      </c>
      <c r="F480" s="18" t="str">
        <f t="array" ref="F480">IF(C480="","",_xlfn.XLOOKUP(A480&amp;B480&amp;C480,盘货信息!$A:$A&amp;盘货信息!$B:$B&amp;盘货信息!$C:$C,盘货信息!$E:$E)&amp;"元到手价")</f>
        <v/>
      </c>
      <c r="G480" s="18" t="str">
        <f t="array" ref="G480">IF(C480="","",IF(_xlfn.XLOOKUP(A480&amp;B480&amp;C480,盘货信息!$A:$A&amp;盘货信息!$B:$B&amp;盘货信息!$C:$C,盘货信息!$I:$I)="","","88VIP95折"))</f>
        <v/>
      </c>
      <c r="H480" s="18" t="str">
        <f t="array" ref="H480">IF(C480="","",IF(_xlfn.XLOOKUP(A480&amp;B480&amp;C480,盘货信息!$A:$A&amp;盘货信息!$B:$B&amp;盘货信息!$C:$C,盘货信息!$J:$J)="","",_xlfn.XLOOKUP(A480&amp;B480&amp;C480,盘货信息!$A:$A&amp;盘货信息!$B:$B&amp;盘货信息!$C:$C,盘货信息!$J:$J)&amp;"元优惠卷"))</f>
        <v/>
      </c>
      <c r="I480" s="18" t="str">
        <f t="array" ref="I480">IF(C480="","",IF(_xlfn.XLOOKUP(A480&amp;B480&amp;C480,盘货信息!$A:$A&amp;盘货信息!$B:$B&amp;盘货信息!$C:$C,盘货信息!$R:$R)="","",_xlfn.XLOOKUP(A480&amp;B480&amp;C480,盘货信息!$A:$A&amp;盘货信息!$B:$B&amp;盘货信息!$C:$C,盘货信息!$R:$R)&amp;"元优惠卷"))</f>
        <v/>
      </c>
      <c r="J480" s="18" t="str">
        <f t="array" ref="J480">IF(C480="","",IF(_xlfn.XLOOKUP(A480&amp;B480&amp;C480,盘货信息!$A:$A&amp;盘货信息!$B:$B&amp;盘货信息!$C:$C,盘货信息!$K:$K)="","",IF(OR(_xlfn.XLOOKUP(A480&amp;B480&amp;C480,盘货信息!$A:$A&amp;盘货信息!$B:$B&amp;盘货信息!$C:$C,盘货信息!$G:$G)="参加",_xlfn.XLOOKUP(A480&amp;B480&amp;C480,盘货信息!$A:$A&amp;盘货信息!$B:$B&amp;盘货信息!$C:$C,盘货信息!$H:$H)="1（纯自补）"),_xlfn.XLOOKUP(A480&amp;B480&amp;C480,盘货信息!$A:$A&amp;盘货信息!$B:$B&amp;盘货信息!$C:$C,盘货信息!$K:$K)&amp;"元以旧换新（可无旧机换新）","")))</f>
        <v/>
      </c>
      <c r="K480" s="18" t="str">
        <f t="array" ref="K480">IF(C480="","",IF(_xlfn.XLOOKUP(A480&amp;B480&amp;C480,盘货信息!$A:$A&amp;盘货信息!$B:$B&amp;盘货信息!$C:$C,盘货信息!$L:$L)="","",_xlfn.XLOOKUP(A480&amp;B480&amp;C480,盘货信息!$A:$A&amp;盘货信息!$B:$B&amp;盘货信息!$C:$C,盘货信息!$L:$L)&amp;"元限时补贴"))</f>
        <v/>
      </c>
      <c r="L480" s="18" t="str">
        <f t="array" ref="L480">IF(C480="","",IF(_xlfn.XLOOKUP(A480&amp;B480&amp;C480,盘货信息!$A:$A&amp;盘货信息!$B:$B&amp;盘货信息!$C:$C,盘货信息!$M:$M)="","",_xlfn.XLOOKUP(A480&amp;B480&amp;C480,盘货信息!$A:$A&amp;盘货信息!$B:$B&amp;盘货信息!$C:$C,盘货信息!$M:$M)&amp;"元消费券"))</f>
        <v/>
      </c>
      <c r="M480" s="18" t="str">
        <f t="array" ref="M480">IF(C480="","",IF(_xlfn.XLOOKUP(A480&amp;B480&amp;C480,盘货信息!$A:$A&amp;盘货信息!$B:$B&amp;盘货信息!$C:$C,盘货信息!$G:$G)="不参加","","焕新补贴优惠【全民可用，不限地址】"))</f>
        <v/>
      </c>
    </row>
    <row r="481" customHeight="1" spans="1:13">
      <c r="A481" s="17" t="str">
        <f>IF(盘货信息!A481="","",盘货信息!A481)</f>
        <v/>
      </c>
      <c r="B481" s="17" t="str">
        <f>IF(盘货信息!B481="","",盘货信息!B481)</f>
        <v/>
      </c>
      <c r="C481" s="18" t="str">
        <f>IF(盘货信息!C481="","",盘货信息!C481)</f>
        <v/>
      </c>
      <c r="D481" s="18" t="str">
        <f t="shared" si="7"/>
        <v/>
      </c>
      <c r="E481" s="18" t="str">
        <f t="array" ref="E481">IF(C481="","",IF(_xlfn.XLOOKUP(A481&amp;B481&amp;C481,盘货信息!$A:$A&amp;盘货信息!$B:$B&amp;盘货信息!$C:$C,盘货信息!$N:$N)="","【立减到手价"&amp;_xlfn.XLOOKUP(A481&amp;B481&amp;C481,盘货信息!$A:$A&amp;盘货信息!$B:$B&amp;盘货信息!$C:$C,盘货信息!$F:$F)&amp;"元】","【焕新补贴预估价"&amp;_xlfn.XLOOKUP(A481&amp;B481&amp;C481,盘货信息!$A:$A&amp;盘货信息!$B:$B&amp;盘货信息!$C:$C,盘货信息!$N:$N)&amp;"元】"))</f>
        <v/>
      </c>
      <c r="F481" s="18" t="str">
        <f t="array" ref="F481">IF(C481="","",_xlfn.XLOOKUP(A481&amp;B481&amp;C481,盘货信息!$A:$A&amp;盘货信息!$B:$B&amp;盘货信息!$C:$C,盘货信息!$E:$E)&amp;"元到手价")</f>
        <v/>
      </c>
      <c r="G481" s="18" t="str">
        <f t="array" ref="G481">IF(C481="","",IF(_xlfn.XLOOKUP(A481&amp;B481&amp;C481,盘货信息!$A:$A&amp;盘货信息!$B:$B&amp;盘货信息!$C:$C,盘货信息!$I:$I)="","","88VIP95折"))</f>
        <v/>
      </c>
      <c r="H481" s="18" t="str">
        <f t="array" ref="H481">IF(C481="","",IF(_xlfn.XLOOKUP(A481&amp;B481&amp;C481,盘货信息!$A:$A&amp;盘货信息!$B:$B&amp;盘货信息!$C:$C,盘货信息!$J:$J)="","",_xlfn.XLOOKUP(A481&amp;B481&amp;C481,盘货信息!$A:$A&amp;盘货信息!$B:$B&amp;盘货信息!$C:$C,盘货信息!$J:$J)&amp;"元优惠卷"))</f>
        <v/>
      </c>
      <c r="I481" s="18" t="str">
        <f t="array" ref="I481">IF(C481="","",IF(_xlfn.XLOOKUP(A481&amp;B481&amp;C481,盘货信息!$A:$A&amp;盘货信息!$B:$B&amp;盘货信息!$C:$C,盘货信息!$R:$R)="","",_xlfn.XLOOKUP(A481&amp;B481&amp;C481,盘货信息!$A:$A&amp;盘货信息!$B:$B&amp;盘货信息!$C:$C,盘货信息!$R:$R)&amp;"元优惠卷"))</f>
        <v/>
      </c>
      <c r="J481" s="18" t="str">
        <f t="array" ref="J481">IF(C481="","",IF(_xlfn.XLOOKUP(A481&amp;B481&amp;C481,盘货信息!$A:$A&amp;盘货信息!$B:$B&amp;盘货信息!$C:$C,盘货信息!$K:$K)="","",IF(OR(_xlfn.XLOOKUP(A481&amp;B481&amp;C481,盘货信息!$A:$A&amp;盘货信息!$B:$B&amp;盘货信息!$C:$C,盘货信息!$G:$G)="参加",_xlfn.XLOOKUP(A481&amp;B481&amp;C481,盘货信息!$A:$A&amp;盘货信息!$B:$B&amp;盘货信息!$C:$C,盘货信息!$H:$H)="1（纯自补）"),_xlfn.XLOOKUP(A481&amp;B481&amp;C481,盘货信息!$A:$A&amp;盘货信息!$B:$B&amp;盘货信息!$C:$C,盘货信息!$K:$K)&amp;"元以旧换新（可无旧机换新）","")))</f>
        <v/>
      </c>
      <c r="K481" s="18" t="str">
        <f t="array" ref="K481">IF(C481="","",IF(_xlfn.XLOOKUP(A481&amp;B481&amp;C481,盘货信息!$A:$A&amp;盘货信息!$B:$B&amp;盘货信息!$C:$C,盘货信息!$L:$L)="","",_xlfn.XLOOKUP(A481&amp;B481&amp;C481,盘货信息!$A:$A&amp;盘货信息!$B:$B&amp;盘货信息!$C:$C,盘货信息!$L:$L)&amp;"元限时补贴"))</f>
        <v/>
      </c>
      <c r="L481" s="18" t="str">
        <f t="array" ref="L481">IF(C481="","",IF(_xlfn.XLOOKUP(A481&amp;B481&amp;C481,盘货信息!$A:$A&amp;盘货信息!$B:$B&amp;盘货信息!$C:$C,盘货信息!$M:$M)="","",_xlfn.XLOOKUP(A481&amp;B481&amp;C481,盘货信息!$A:$A&amp;盘货信息!$B:$B&amp;盘货信息!$C:$C,盘货信息!$M:$M)&amp;"元消费券"))</f>
        <v/>
      </c>
      <c r="M481" s="18" t="str">
        <f t="array" ref="M481">IF(C481="","",IF(_xlfn.XLOOKUP(A481&amp;B481&amp;C481,盘货信息!$A:$A&amp;盘货信息!$B:$B&amp;盘货信息!$C:$C,盘货信息!$G:$G)="不参加","","焕新补贴优惠【全民可用，不限地址】"))</f>
        <v/>
      </c>
    </row>
    <row r="482" customHeight="1" spans="1:13">
      <c r="A482" s="17" t="str">
        <f>IF(盘货信息!A482="","",盘货信息!A482)</f>
        <v/>
      </c>
      <c r="B482" s="17" t="str">
        <f>IF(盘货信息!B482="","",盘货信息!B482)</f>
        <v/>
      </c>
      <c r="C482" s="18" t="str">
        <f>IF(盘货信息!C482="","",盘货信息!C482)</f>
        <v/>
      </c>
      <c r="D482" s="18" t="str">
        <f t="shared" si="7"/>
        <v/>
      </c>
      <c r="E482" s="18" t="str">
        <f t="array" ref="E482">IF(C482="","",IF(_xlfn.XLOOKUP(A482&amp;B482&amp;C482,盘货信息!$A:$A&amp;盘货信息!$B:$B&amp;盘货信息!$C:$C,盘货信息!$N:$N)="","【立减到手价"&amp;_xlfn.XLOOKUP(A482&amp;B482&amp;C482,盘货信息!$A:$A&amp;盘货信息!$B:$B&amp;盘货信息!$C:$C,盘货信息!$F:$F)&amp;"元】","【焕新补贴预估价"&amp;_xlfn.XLOOKUP(A482&amp;B482&amp;C482,盘货信息!$A:$A&amp;盘货信息!$B:$B&amp;盘货信息!$C:$C,盘货信息!$N:$N)&amp;"元】"))</f>
        <v/>
      </c>
      <c r="F482" s="18" t="str">
        <f t="array" ref="F482">IF(C482="","",_xlfn.XLOOKUP(A482&amp;B482&amp;C482,盘货信息!$A:$A&amp;盘货信息!$B:$B&amp;盘货信息!$C:$C,盘货信息!$E:$E)&amp;"元到手价")</f>
        <v/>
      </c>
      <c r="G482" s="18" t="str">
        <f t="array" ref="G482">IF(C482="","",IF(_xlfn.XLOOKUP(A482&amp;B482&amp;C482,盘货信息!$A:$A&amp;盘货信息!$B:$B&amp;盘货信息!$C:$C,盘货信息!$I:$I)="","","88VIP95折"))</f>
        <v/>
      </c>
      <c r="H482" s="18" t="str">
        <f t="array" ref="H482">IF(C482="","",IF(_xlfn.XLOOKUP(A482&amp;B482&amp;C482,盘货信息!$A:$A&amp;盘货信息!$B:$B&amp;盘货信息!$C:$C,盘货信息!$J:$J)="","",_xlfn.XLOOKUP(A482&amp;B482&amp;C482,盘货信息!$A:$A&amp;盘货信息!$B:$B&amp;盘货信息!$C:$C,盘货信息!$J:$J)&amp;"元优惠卷"))</f>
        <v/>
      </c>
      <c r="I482" s="18" t="str">
        <f t="array" ref="I482">IF(C482="","",IF(_xlfn.XLOOKUP(A482&amp;B482&amp;C482,盘货信息!$A:$A&amp;盘货信息!$B:$B&amp;盘货信息!$C:$C,盘货信息!$R:$R)="","",_xlfn.XLOOKUP(A482&amp;B482&amp;C482,盘货信息!$A:$A&amp;盘货信息!$B:$B&amp;盘货信息!$C:$C,盘货信息!$R:$R)&amp;"元优惠卷"))</f>
        <v/>
      </c>
      <c r="J482" s="18" t="str">
        <f t="array" ref="J482">IF(C482="","",IF(_xlfn.XLOOKUP(A482&amp;B482&amp;C482,盘货信息!$A:$A&amp;盘货信息!$B:$B&amp;盘货信息!$C:$C,盘货信息!$K:$K)="","",IF(OR(_xlfn.XLOOKUP(A482&amp;B482&amp;C482,盘货信息!$A:$A&amp;盘货信息!$B:$B&amp;盘货信息!$C:$C,盘货信息!$G:$G)="参加",_xlfn.XLOOKUP(A482&amp;B482&amp;C482,盘货信息!$A:$A&amp;盘货信息!$B:$B&amp;盘货信息!$C:$C,盘货信息!$H:$H)="1（纯自补）"),_xlfn.XLOOKUP(A482&amp;B482&amp;C482,盘货信息!$A:$A&amp;盘货信息!$B:$B&amp;盘货信息!$C:$C,盘货信息!$K:$K)&amp;"元以旧换新（可无旧机换新）","")))</f>
        <v/>
      </c>
      <c r="K482" s="18" t="str">
        <f t="array" ref="K482">IF(C482="","",IF(_xlfn.XLOOKUP(A482&amp;B482&amp;C482,盘货信息!$A:$A&amp;盘货信息!$B:$B&amp;盘货信息!$C:$C,盘货信息!$L:$L)="","",_xlfn.XLOOKUP(A482&amp;B482&amp;C482,盘货信息!$A:$A&amp;盘货信息!$B:$B&amp;盘货信息!$C:$C,盘货信息!$L:$L)&amp;"元限时补贴"))</f>
        <v/>
      </c>
      <c r="L482" s="18" t="str">
        <f t="array" ref="L482">IF(C482="","",IF(_xlfn.XLOOKUP(A482&amp;B482&amp;C482,盘货信息!$A:$A&amp;盘货信息!$B:$B&amp;盘货信息!$C:$C,盘货信息!$M:$M)="","",_xlfn.XLOOKUP(A482&amp;B482&amp;C482,盘货信息!$A:$A&amp;盘货信息!$B:$B&amp;盘货信息!$C:$C,盘货信息!$M:$M)&amp;"元消费券"))</f>
        <v/>
      </c>
      <c r="M482" s="18" t="str">
        <f t="array" ref="M482">IF(C482="","",IF(_xlfn.XLOOKUP(A482&amp;B482&amp;C482,盘货信息!$A:$A&amp;盘货信息!$B:$B&amp;盘货信息!$C:$C,盘货信息!$G:$G)="不参加","","焕新补贴优惠【全民可用，不限地址】"))</f>
        <v/>
      </c>
    </row>
    <row r="483" customHeight="1" spans="1:13">
      <c r="A483" s="17" t="str">
        <f>IF(盘货信息!A483="","",盘货信息!A483)</f>
        <v/>
      </c>
      <c r="B483" s="17" t="str">
        <f>IF(盘货信息!B483="","",盘货信息!B483)</f>
        <v/>
      </c>
      <c r="C483" s="18" t="str">
        <f>IF(盘货信息!C483="","",盘货信息!C483)</f>
        <v/>
      </c>
      <c r="D483" s="18" t="str">
        <f t="shared" si="7"/>
        <v/>
      </c>
      <c r="E483" s="18" t="str">
        <f t="array" ref="E483">IF(C483="","",IF(_xlfn.XLOOKUP(A483&amp;B483&amp;C483,盘货信息!$A:$A&amp;盘货信息!$B:$B&amp;盘货信息!$C:$C,盘货信息!$N:$N)="","【立减到手价"&amp;_xlfn.XLOOKUP(A483&amp;B483&amp;C483,盘货信息!$A:$A&amp;盘货信息!$B:$B&amp;盘货信息!$C:$C,盘货信息!$F:$F)&amp;"元】","【焕新补贴预估价"&amp;_xlfn.XLOOKUP(A483&amp;B483&amp;C483,盘货信息!$A:$A&amp;盘货信息!$B:$B&amp;盘货信息!$C:$C,盘货信息!$N:$N)&amp;"元】"))</f>
        <v/>
      </c>
      <c r="F483" s="18" t="str">
        <f t="array" ref="F483">IF(C483="","",_xlfn.XLOOKUP(A483&amp;B483&amp;C483,盘货信息!$A:$A&amp;盘货信息!$B:$B&amp;盘货信息!$C:$C,盘货信息!$E:$E)&amp;"元到手价")</f>
        <v/>
      </c>
      <c r="G483" s="18" t="str">
        <f t="array" ref="G483">IF(C483="","",IF(_xlfn.XLOOKUP(A483&amp;B483&amp;C483,盘货信息!$A:$A&amp;盘货信息!$B:$B&amp;盘货信息!$C:$C,盘货信息!$I:$I)="","","88VIP95折"))</f>
        <v/>
      </c>
      <c r="H483" s="18" t="str">
        <f t="array" ref="H483">IF(C483="","",IF(_xlfn.XLOOKUP(A483&amp;B483&amp;C483,盘货信息!$A:$A&amp;盘货信息!$B:$B&amp;盘货信息!$C:$C,盘货信息!$J:$J)="","",_xlfn.XLOOKUP(A483&amp;B483&amp;C483,盘货信息!$A:$A&amp;盘货信息!$B:$B&amp;盘货信息!$C:$C,盘货信息!$J:$J)&amp;"元优惠卷"))</f>
        <v/>
      </c>
      <c r="I483" s="18" t="str">
        <f t="array" ref="I483">IF(C483="","",IF(_xlfn.XLOOKUP(A483&amp;B483&amp;C483,盘货信息!$A:$A&amp;盘货信息!$B:$B&amp;盘货信息!$C:$C,盘货信息!$R:$R)="","",_xlfn.XLOOKUP(A483&amp;B483&amp;C483,盘货信息!$A:$A&amp;盘货信息!$B:$B&amp;盘货信息!$C:$C,盘货信息!$R:$R)&amp;"元优惠卷"))</f>
        <v/>
      </c>
      <c r="J483" s="18" t="str">
        <f t="array" ref="J483">IF(C483="","",IF(_xlfn.XLOOKUP(A483&amp;B483&amp;C483,盘货信息!$A:$A&amp;盘货信息!$B:$B&amp;盘货信息!$C:$C,盘货信息!$K:$K)="","",IF(OR(_xlfn.XLOOKUP(A483&amp;B483&amp;C483,盘货信息!$A:$A&amp;盘货信息!$B:$B&amp;盘货信息!$C:$C,盘货信息!$G:$G)="参加",_xlfn.XLOOKUP(A483&amp;B483&amp;C483,盘货信息!$A:$A&amp;盘货信息!$B:$B&amp;盘货信息!$C:$C,盘货信息!$H:$H)="1（纯自补）"),_xlfn.XLOOKUP(A483&amp;B483&amp;C483,盘货信息!$A:$A&amp;盘货信息!$B:$B&amp;盘货信息!$C:$C,盘货信息!$K:$K)&amp;"元以旧换新（可无旧机换新）","")))</f>
        <v/>
      </c>
      <c r="K483" s="18" t="str">
        <f t="array" ref="K483">IF(C483="","",IF(_xlfn.XLOOKUP(A483&amp;B483&amp;C483,盘货信息!$A:$A&amp;盘货信息!$B:$B&amp;盘货信息!$C:$C,盘货信息!$L:$L)="","",_xlfn.XLOOKUP(A483&amp;B483&amp;C483,盘货信息!$A:$A&amp;盘货信息!$B:$B&amp;盘货信息!$C:$C,盘货信息!$L:$L)&amp;"元限时补贴"))</f>
        <v/>
      </c>
      <c r="L483" s="18" t="str">
        <f t="array" ref="L483">IF(C483="","",IF(_xlfn.XLOOKUP(A483&amp;B483&amp;C483,盘货信息!$A:$A&amp;盘货信息!$B:$B&amp;盘货信息!$C:$C,盘货信息!$M:$M)="","",_xlfn.XLOOKUP(A483&amp;B483&amp;C483,盘货信息!$A:$A&amp;盘货信息!$B:$B&amp;盘货信息!$C:$C,盘货信息!$M:$M)&amp;"元消费券"))</f>
        <v/>
      </c>
      <c r="M483" s="18" t="str">
        <f t="array" ref="M483">IF(C483="","",IF(_xlfn.XLOOKUP(A483&amp;B483&amp;C483,盘货信息!$A:$A&amp;盘货信息!$B:$B&amp;盘货信息!$C:$C,盘货信息!$G:$G)="不参加","","焕新补贴优惠【全民可用，不限地址】"))</f>
        <v/>
      </c>
    </row>
    <row r="484" customHeight="1" spans="1:13">
      <c r="A484" s="17" t="str">
        <f>IF(盘货信息!A484="","",盘货信息!A484)</f>
        <v/>
      </c>
      <c r="B484" s="17" t="str">
        <f>IF(盘货信息!B484="","",盘货信息!B484)</f>
        <v/>
      </c>
      <c r="C484" s="18" t="str">
        <f>IF(盘货信息!C484="","",盘货信息!C484)</f>
        <v/>
      </c>
      <c r="D484" s="18" t="str">
        <f t="shared" si="7"/>
        <v/>
      </c>
      <c r="E484" s="18" t="str">
        <f t="array" ref="E484">IF(C484="","",IF(_xlfn.XLOOKUP(A484&amp;B484&amp;C484,盘货信息!$A:$A&amp;盘货信息!$B:$B&amp;盘货信息!$C:$C,盘货信息!$N:$N)="","【立减到手价"&amp;_xlfn.XLOOKUP(A484&amp;B484&amp;C484,盘货信息!$A:$A&amp;盘货信息!$B:$B&amp;盘货信息!$C:$C,盘货信息!$F:$F)&amp;"元】","【焕新补贴预估价"&amp;_xlfn.XLOOKUP(A484&amp;B484&amp;C484,盘货信息!$A:$A&amp;盘货信息!$B:$B&amp;盘货信息!$C:$C,盘货信息!$N:$N)&amp;"元】"))</f>
        <v/>
      </c>
      <c r="F484" s="18" t="str">
        <f t="array" ref="F484">IF(C484="","",_xlfn.XLOOKUP(A484&amp;B484&amp;C484,盘货信息!$A:$A&amp;盘货信息!$B:$B&amp;盘货信息!$C:$C,盘货信息!$E:$E)&amp;"元到手价")</f>
        <v/>
      </c>
      <c r="G484" s="18" t="str">
        <f t="array" ref="G484">IF(C484="","",IF(_xlfn.XLOOKUP(A484&amp;B484&amp;C484,盘货信息!$A:$A&amp;盘货信息!$B:$B&amp;盘货信息!$C:$C,盘货信息!$I:$I)="","","88VIP95折"))</f>
        <v/>
      </c>
      <c r="H484" s="18" t="str">
        <f t="array" ref="H484">IF(C484="","",IF(_xlfn.XLOOKUP(A484&amp;B484&amp;C484,盘货信息!$A:$A&amp;盘货信息!$B:$B&amp;盘货信息!$C:$C,盘货信息!$J:$J)="","",_xlfn.XLOOKUP(A484&amp;B484&amp;C484,盘货信息!$A:$A&amp;盘货信息!$B:$B&amp;盘货信息!$C:$C,盘货信息!$J:$J)&amp;"元优惠卷"))</f>
        <v/>
      </c>
      <c r="I484" s="18" t="str">
        <f t="array" ref="I484">IF(C484="","",IF(_xlfn.XLOOKUP(A484&amp;B484&amp;C484,盘货信息!$A:$A&amp;盘货信息!$B:$B&amp;盘货信息!$C:$C,盘货信息!$R:$R)="","",_xlfn.XLOOKUP(A484&amp;B484&amp;C484,盘货信息!$A:$A&amp;盘货信息!$B:$B&amp;盘货信息!$C:$C,盘货信息!$R:$R)&amp;"元优惠卷"))</f>
        <v/>
      </c>
      <c r="J484" s="18" t="str">
        <f t="array" ref="J484">IF(C484="","",IF(_xlfn.XLOOKUP(A484&amp;B484&amp;C484,盘货信息!$A:$A&amp;盘货信息!$B:$B&amp;盘货信息!$C:$C,盘货信息!$K:$K)="","",IF(OR(_xlfn.XLOOKUP(A484&amp;B484&amp;C484,盘货信息!$A:$A&amp;盘货信息!$B:$B&amp;盘货信息!$C:$C,盘货信息!$G:$G)="参加",_xlfn.XLOOKUP(A484&amp;B484&amp;C484,盘货信息!$A:$A&amp;盘货信息!$B:$B&amp;盘货信息!$C:$C,盘货信息!$H:$H)="1（纯自补）"),_xlfn.XLOOKUP(A484&amp;B484&amp;C484,盘货信息!$A:$A&amp;盘货信息!$B:$B&amp;盘货信息!$C:$C,盘货信息!$K:$K)&amp;"元以旧换新（可无旧机换新）","")))</f>
        <v/>
      </c>
      <c r="K484" s="18" t="str">
        <f t="array" ref="K484">IF(C484="","",IF(_xlfn.XLOOKUP(A484&amp;B484&amp;C484,盘货信息!$A:$A&amp;盘货信息!$B:$B&amp;盘货信息!$C:$C,盘货信息!$L:$L)="","",_xlfn.XLOOKUP(A484&amp;B484&amp;C484,盘货信息!$A:$A&amp;盘货信息!$B:$B&amp;盘货信息!$C:$C,盘货信息!$L:$L)&amp;"元限时补贴"))</f>
        <v/>
      </c>
      <c r="L484" s="18" t="str">
        <f t="array" ref="L484">IF(C484="","",IF(_xlfn.XLOOKUP(A484&amp;B484&amp;C484,盘货信息!$A:$A&amp;盘货信息!$B:$B&amp;盘货信息!$C:$C,盘货信息!$M:$M)="","",_xlfn.XLOOKUP(A484&amp;B484&amp;C484,盘货信息!$A:$A&amp;盘货信息!$B:$B&amp;盘货信息!$C:$C,盘货信息!$M:$M)&amp;"元消费券"))</f>
        <v/>
      </c>
      <c r="M484" s="18" t="str">
        <f t="array" ref="M484">IF(C484="","",IF(_xlfn.XLOOKUP(A484&amp;B484&amp;C484,盘货信息!$A:$A&amp;盘货信息!$B:$B&amp;盘货信息!$C:$C,盘货信息!$G:$G)="不参加","","焕新补贴优惠【全民可用，不限地址】"))</f>
        <v/>
      </c>
    </row>
    <row r="485" customHeight="1" spans="1:13">
      <c r="A485" s="17" t="str">
        <f>IF(盘货信息!A485="","",盘货信息!A485)</f>
        <v/>
      </c>
      <c r="B485" s="17" t="str">
        <f>IF(盘货信息!B485="","",盘货信息!B485)</f>
        <v/>
      </c>
      <c r="C485" s="18" t="str">
        <f>IF(盘货信息!C485="","",盘货信息!C485)</f>
        <v/>
      </c>
      <c r="D485" s="18" t="str">
        <f t="shared" si="7"/>
        <v/>
      </c>
      <c r="E485" s="18" t="str">
        <f t="array" ref="E485">IF(C485="","",IF(_xlfn.XLOOKUP(A485&amp;B485&amp;C485,盘货信息!$A:$A&amp;盘货信息!$B:$B&amp;盘货信息!$C:$C,盘货信息!$N:$N)="","【立减到手价"&amp;_xlfn.XLOOKUP(A485&amp;B485&amp;C485,盘货信息!$A:$A&amp;盘货信息!$B:$B&amp;盘货信息!$C:$C,盘货信息!$F:$F)&amp;"元】","【焕新补贴预估价"&amp;_xlfn.XLOOKUP(A485&amp;B485&amp;C485,盘货信息!$A:$A&amp;盘货信息!$B:$B&amp;盘货信息!$C:$C,盘货信息!$N:$N)&amp;"元】"))</f>
        <v/>
      </c>
      <c r="F485" s="18" t="str">
        <f t="array" ref="F485">IF(C485="","",_xlfn.XLOOKUP(A485&amp;B485&amp;C485,盘货信息!$A:$A&amp;盘货信息!$B:$B&amp;盘货信息!$C:$C,盘货信息!$E:$E)&amp;"元到手价")</f>
        <v/>
      </c>
      <c r="G485" s="18" t="str">
        <f t="array" ref="G485">IF(C485="","",IF(_xlfn.XLOOKUP(A485&amp;B485&amp;C485,盘货信息!$A:$A&amp;盘货信息!$B:$B&amp;盘货信息!$C:$C,盘货信息!$I:$I)="","","88VIP95折"))</f>
        <v/>
      </c>
      <c r="H485" s="18" t="str">
        <f t="array" ref="H485">IF(C485="","",IF(_xlfn.XLOOKUP(A485&amp;B485&amp;C485,盘货信息!$A:$A&amp;盘货信息!$B:$B&amp;盘货信息!$C:$C,盘货信息!$J:$J)="","",_xlfn.XLOOKUP(A485&amp;B485&amp;C485,盘货信息!$A:$A&amp;盘货信息!$B:$B&amp;盘货信息!$C:$C,盘货信息!$J:$J)&amp;"元优惠卷"))</f>
        <v/>
      </c>
      <c r="I485" s="18" t="str">
        <f t="array" ref="I485">IF(C485="","",IF(_xlfn.XLOOKUP(A485&amp;B485&amp;C485,盘货信息!$A:$A&amp;盘货信息!$B:$B&amp;盘货信息!$C:$C,盘货信息!$R:$R)="","",_xlfn.XLOOKUP(A485&amp;B485&amp;C485,盘货信息!$A:$A&amp;盘货信息!$B:$B&amp;盘货信息!$C:$C,盘货信息!$R:$R)&amp;"元优惠卷"))</f>
        <v/>
      </c>
      <c r="J485" s="18" t="str">
        <f t="array" ref="J485">IF(C485="","",IF(_xlfn.XLOOKUP(A485&amp;B485&amp;C485,盘货信息!$A:$A&amp;盘货信息!$B:$B&amp;盘货信息!$C:$C,盘货信息!$K:$K)="","",IF(OR(_xlfn.XLOOKUP(A485&amp;B485&amp;C485,盘货信息!$A:$A&amp;盘货信息!$B:$B&amp;盘货信息!$C:$C,盘货信息!$G:$G)="参加",_xlfn.XLOOKUP(A485&amp;B485&amp;C485,盘货信息!$A:$A&amp;盘货信息!$B:$B&amp;盘货信息!$C:$C,盘货信息!$H:$H)="1（纯自补）"),_xlfn.XLOOKUP(A485&amp;B485&amp;C485,盘货信息!$A:$A&amp;盘货信息!$B:$B&amp;盘货信息!$C:$C,盘货信息!$K:$K)&amp;"元以旧换新（可无旧机换新）","")))</f>
        <v/>
      </c>
      <c r="K485" s="18" t="str">
        <f t="array" ref="K485">IF(C485="","",IF(_xlfn.XLOOKUP(A485&amp;B485&amp;C485,盘货信息!$A:$A&amp;盘货信息!$B:$B&amp;盘货信息!$C:$C,盘货信息!$L:$L)="","",_xlfn.XLOOKUP(A485&amp;B485&amp;C485,盘货信息!$A:$A&amp;盘货信息!$B:$B&amp;盘货信息!$C:$C,盘货信息!$L:$L)&amp;"元限时补贴"))</f>
        <v/>
      </c>
      <c r="L485" s="18" t="str">
        <f t="array" ref="L485">IF(C485="","",IF(_xlfn.XLOOKUP(A485&amp;B485&amp;C485,盘货信息!$A:$A&amp;盘货信息!$B:$B&amp;盘货信息!$C:$C,盘货信息!$M:$M)="","",_xlfn.XLOOKUP(A485&amp;B485&amp;C485,盘货信息!$A:$A&amp;盘货信息!$B:$B&amp;盘货信息!$C:$C,盘货信息!$M:$M)&amp;"元消费券"))</f>
        <v/>
      </c>
      <c r="M485" s="18" t="str">
        <f t="array" ref="M485">IF(C485="","",IF(_xlfn.XLOOKUP(A485&amp;B485&amp;C485,盘货信息!$A:$A&amp;盘货信息!$B:$B&amp;盘货信息!$C:$C,盘货信息!$G:$G)="不参加","","焕新补贴优惠【全民可用，不限地址】"))</f>
        <v/>
      </c>
    </row>
    <row r="486" customHeight="1" spans="1:13">
      <c r="A486" s="17" t="str">
        <f>IF(盘货信息!A486="","",盘货信息!A486)</f>
        <v/>
      </c>
      <c r="B486" s="17" t="str">
        <f>IF(盘货信息!B486="","",盘货信息!B486)</f>
        <v/>
      </c>
      <c r="C486" s="18" t="str">
        <f>IF(盘货信息!C486="","",盘货信息!C486)</f>
        <v/>
      </c>
      <c r="D486" s="18" t="str">
        <f t="shared" si="7"/>
        <v/>
      </c>
      <c r="E486" s="18" t="str">
        <f t="array" ref="E486">IF(C486="","",IF(_xlfn.XLOOKUP(A486&amp;B486&amp;C486,盘货信息!$A:$A&amp;盘货信息!$B:$B&amp;盘货信息!$C:$C,盘货信息!$N:$N)="","【立减到手价"&amp;_xlfn.XLOOKUP(A486&amp;B486&amp;C486,盘货信息!$A:$A&amp;盘货信息!$B:$B&amp;盘货信息!$C:$C,盘货信息!$F:$F)&amp;"元】","【焕新补贴预估价"&amp;_xlfn.XLOOKUP(A486&amp;B486&amp;C486,盘货信息!$A:$A&amp;盘货信息!$B:$B&amp;盘货信息!$C:$C,盘货信息!$N:$N)&amp;"元】"))</f>
        <v/>
      </c>
      <c r="F486" s="18" t="str">
        <f t="array" ref="F486">IF(C486="","",_xlfn.XLOOKUP(A486&amp;B486&amp;C486,盘货信息!$A:$A&amp;盘货信息!$B:$B&amp;盘货信息!$C:$C,盘货信息!$E:$E)&amp;"元到手价")</f>
        <v/>
      </c>
      <c r="G486" s="18" t="str">
        <f t="array" ref="G486">IF(C486="","",IF(_xlfn.XLOOKUP(A486&amp;B486&amp;C486,盘货信息!$A:$A&amp;盘货信息!$B:$B&amp;盘货信息!$C:$C,盘货信息!$I:$I)="","","88VIP95折"))</f>
        <v/>
      </c>
      <c r="H486" s="18" t="str">
        <f t="array" ref="H486">IF(C486="","",IF(_xlfn.XLOOKUP(A486&amp;B486&amp;C486,盘货信息!$A:$A&amp;盘货信息!$B:$B&amp;盘货信息!$C:$C,盘货信息!$J:$J)="","",_xlfn.XLOOKUP(A486&amp;B486&amp;C486,盘货信息!$A:$A&amp;盘货信息!$B:$B&amp;盘货信息!$C:$C,盘货信息!$J:$J)&amp;"元优惠卷"))</f>
        <v/>
      </c>
      <c r="I486" s="18" t="str">
        <f t="array" ref="I486">IF(C486="","",IF(_xlfn.XLOOKUP(A486&amp;B486&amp;C486,盘货信息!$A:$A&amp;盘货信息!$B:$B&amp;盘货信息!$C:$C,盘货信息!$R:$R)="","",_xlfn.XLOOKUP(A486&amp;B486&amp;C486,盘货信息!$A:$A&amp;盘货信息!$B:$B&amp;盘货信息!$C:$C,盘货信息!$R:$R)&amp;"元优惠卷"))</f>
        <v/>
      </c>
      <c r="J486" s="18" t="str">
        <f t="array" ref="J486">IF(C486="","",IF(_xlfn.XLOOKUP(A486&amp;B486&amp;C486,盘货信息!$A:$A&amp;盘货信息!$B:$B&amp;盘货信息!$C:$C,盘货信息!$K:$K)="","",IF(OR(_xlfn.XLOOKUP(A486&amp;B486&amp;C486,盘货信息!$A:$A&amp;盘货信息!$B:$B&amp;盘货信息!$C:$C,盘货信息!$G:$G)="参加",_xlfn.XLOOKUP(A486&amp;B486&amp;C486,盘货信息!$A:$A&amp;盘货信息!$B:$B&amp;盘货信息!$C:$C,盘货信息!$H:$H)="1（纯自补）"),_xlfn.XLOOKUP(A486&amp;B486&amp;C486,盘货信息!$A:$A&amp;盘货信息!$B:$B&amp;盘货信息!$C:$C,盘货信息!$K:$K)&amp;"元以旧换新（可无旧机换新）","")))</f>
        <v/>
      </c>
      <c r="K486" s="18" t="str">
        <f t="array" ref="K486">IF(C486="","",IF(_xlfn.XLOOKUP(A486&amp;B486&amp;C486,盘货信息!$A:$A&amp;盘货信息!$B:$B&amp;盘货信息!$C:$C,盘货信息!$L:$L)="","",_xlfn.XLOOKUP(A486&amp;B486&amp;C486,盘货信息!$A:$A&amp;盘货信息!$B:$B&amp;盘货信息!$C:$C,盘货信息!$L:$L)&amp;"元限时补贴"))</f>
        <v/>
      </c>
      <c r="L486" s="18" t="str">
        <f t="array" ref="L486">IF(C486="","",IF(_xlfn.XLOOKUP(A486&amp;B486&amp;C486,盘货信息!$A:$A&amp;盘货信息!$B:$B&amp;盘货信息!$C:$C,盘货信息!$M:$M)="","",_xlfn.XLOOKUP(A486&amp;B486&amp;C486,盘货信息!$A:$A&amp;盘货信息!$B:$B&amp;盘货信息!$C:$C,盘货信息!$M:$M)&amp;"元消费券"))</f>
        <v/>
      </c>
      <c r="M486" s="18" t="str">
        <f t="array" ref="M486">IF(C486="","",IF(_xlfn.XLOOKUP(A486&amp;B486&amp;C486,盘货信息!$A:$A&amp;盘货信息!$B:$B&amp;盘货信息!$C:$C,盘货信息!$G:$G)="不参加","","焕新补贴优惠【全民可用，不限地址】"))</f>
        <v/>
      </c>
    </row>
    <row r="487" customHeight="1" spans="1:13">
      <c r="A487" s="17" t="str">
        <f>IF(盘货信息!A487="","",盘货信息!A487)</f>
        <v/>
      </c>
      <c r="B487" s="17" t="str">
        <f>IF(盘货信息!B487="","",盘货信息!B487)</f>
        <v/>
      </c>
      <c r="C487" s="18" t="str">
        <f>IF(盘货信息!C487="","",盘货信息!C487)</f>
        <v/>
      </c>
      <c r="D487" s="18" t="str">
        <f t="shared" si="7"/>
        <v/>
      </c>
      <c r="E487" s="18" t="str">
        <f t="array" ref="E487">IF(C487="","",IF(_xlfn.XLOOKUP(A487&amp;B487&amp;C487,盘货信息!$A:$A&amp;盘货信息!$B:$B&amp;盘货信息!$C:$C,盘货信息!$N:$N)="","【立减到手价"&amp;_xlfn.XLOOKUP(A487&amp;B487&amp;C487,盘货信息!$A:$A&amp;盘货信息!$B:$B&amp;盘货信息!$C:$C,盘货信息!$F:$F)&amp;"元】","【焕新补贴预估价"&amp;_xlfn.XLOOKUP(A487&amp;B487&amp;C487,盘货信息!$A:$A&amp;盘货信息!$B:$B&amp;盘货信息!$C:$C,盘货信息!$N:$N)&amp;"元】"))</f>
        <v/>
      </c>
      <c r="F487" s="18" t="str">
        <f t="array" ref="F487">IF(C487="","",_xlfn.XLOOKUP(A487&amp;B487&amp;C487,盘货信息!$A:$A&amp;盘货信息!$B:$B&amp;盘货信息!$C:$C,盘货信息!$E:$E)&amp;"元到手价")</f>
        <v/>
      </c>
      <c r="G487" s="18" t="str">
        <f t="array" ref="G487">IF(C487="","",IF(_xlfn.XLOOKUP(A487&amp;B487&amp;C487,盘货信息!$A:$A&amp;盘货信息!$B:$B&amp;盘货信息!$C:$C,盘货信息!$I:$I)="","","88VIP95折"))</f>
        <v/>
      </c>
      <c r="H487" s="18" t="str">
        <f t="array" ref="H487">IF(C487="","",IF(_xlfn.XLOOKUP(A487&amp;B487&amp;C487,盘货信息!$A:$A&amp;盘货信息!$B:$B&amp;盘货信息!$C:$C,盘货信息!$J:$J)="","",_xlfn.XLOOKUP(A487&amp;B487&amp;C487,盘货信息!$A:$A&amp;盘货信息!$B:$B&amp;盘货信息!$C:$C,盘货信息!$J:$J)&amp;"元优惠卷"))</f>
        <v/>
      </c>
      <c r="I487" s="18" t="str">
        <f t="array" ref="I487">IF(C487="","",IF(_xlfn.XLOOKUP(A487&amp;B487&amp;C487,盘货信息!$A:$A&amp;盘货信息!$B:$B&amp;盘货信息!$C:$C,盘货信息!$R:$R)="","",_xlfn.XLOOKUP(A487&amp;B487&amp;C487,盘货信息!$A:$A&amp;盘货信息!$B:$B&amp;盘货信息!$C:$C,盘货信息!$R:$R)&amp;"元优惠卷"))</f>
        <v/>
      </c>
      <c r="J487" s="18" t="str">
        <f t="array" ref="J487">IF(C487="","",IF(_xlfn.XLOOKUP(A487&amp;B487&amp;C487,盘货信息!$A:$A&amp;盘货信息!$B:$B&amp;盘货信息!$C:$C,盘货信息!$K:$K)="","",IF(OR(_xlfn.XLOOKUP(A487&amp;B487&amp;C487,盘货信息!$A:$A&amp;盘货信息!$B:$B&amp;盘货信息!$C:$C,盘货信息!$G:$G)="参加",_xlfn.XLOOKUP(A487&amp;B487&amp;C487,盘货信息!$A:$A&amp;盘货信息!$B:$B&amp;盘货信息!$C:$C,盘货信息!$H:$H)="1（纯自补）"),_xlfn.XLOOKUP(A487&amp;B487&amp;C487,盘货信息!$A:$A&amp;盘货信息!$B:$B&amp;盘货信息!$C:$C,盘货信息!$K:$K)&amp;"元以旧换新（可无旧机换新）","")))</f>
        <v/>
      </c>
      <c r="K487" s="18" t="str">
        <f t="array" ref="K487">IF(C487="","",IF(_xlfn.XLOOKUP(A487&amp;B487&amp;C487,盘货信息!$A:$A&amp;盘货信息!$B:$B&amp;盘货信息!$C:$C,盘货信息!$L:$L)="","",_xlfn.XLOOKUP(A487&amp;B487&amp;C487,盘货信息!$A:$A&amp;盘货信息!$B:$B&amp;盘货信息!$C:$C,盘货信息!$L:$L)&amp;"元限时补贴"))</f>
        <v/>
      </c>
      <c r="L487" s="18" t="str">
        <f t="array" ref="L487">IF(C487="","",IF(_xlfn.XLOOKUP(A487&amp;B487&amp;C487,盘货信息!$A:$A&amp;盘货信息!$B:$B&amp;盘货信息!$C:$C,盘货信息!$M:$M)="","",_xlfn.XLOOKUP(A487&amp;B487&amp;C487,盘货信息!$A:$A&amp;盘货信息!$B:$B&amp;盘货信息!$C:$C,盘货信息!$M:$M)&amp;"元消费券"))</f>
        <v/>
      </c>
      <c r="M487" s="18" t="str">
        <f t="array" ref="M487">IF(C487="","",IF(_xlfn.XLOOKUP(A487&amp;B487&amp;C487,盘货信息!$A:$A&amp;盘货信息!$B:$B&amp;盘货信息!$C:$C,盘货信息!$G:$G)="不参加","","焕新补贴优惠【全民可用，不限地址】"))</f>
        <v/>
      </c>
    </row>
    <row r="488" customHeight="1" spans="1:13">
      <c r="A488" s="17" t="str">
        <f>IF(盘货信息!A488="","",盘货信息!A488)</f>
        <v/>
      </c>
      <c r="B488" s="17" t="str">
        <f>IF(盘货信息!B488="","",盘货信息!B488)</f>
        <v/>
      </c>
      <c r="C488" s="18" t="str">
        <f>IF(盘货信息!C488="","",盘货信息!C488)</f>
        <v/>
      </c>
      <c r="D488" s="18" t="str">
        <f t="shared" si="7"/>
        <v/>
      </c>
      <c r="E488" s="18" t="str">
        <f t="array" ref="E488">IF(C488="","",IF(_xlfn.XLOOKUP(A488&amp;B488&amp;C488,盘货信息!$A:$A&amp;盘货信息!$B:$B&amp;盘货信息!$C:$C,盘货信息!$N:$N)="","【立减到手价"&amp;_xlfn.XLOOKUP(A488&amp;B488&amp;C488,盘货信息!$A:$A&amp;盘货信息!$B:$B&amp;盘货信息!$C:$C,盘货信息!$F:$F)&amp;"元】","【焕新补贴预估价"&amp;_xlfn.XLOOKUP(A488&amp;B488&amp;C488,盘货信息!$A:$A&amp;盘货信息!$B:$B&amp;盘货信息!$C:$C,盘货信息!$N:$N)&amp;"元】"))</f>
        <v/>
      </c>
      <c r="F488" s="18" t="str">
        <f t="array" ref="F488">IF(C488="","",_xlfn.XLOOKUP(A488&amp;B488&amp;C488,盘货信息!$A:$A&amp;盘货信息!$B:$B&amp;盘货信息!$C:$C,盘货信息!$E:$E)&amp;"元到手价")</f>
        <v/>
      </c>
      <c r="G488" s="18" t="str">
        <f t="array" ref="G488">IF(C488="","",IF(_xlfn.XLOOKUP(A488&amp;B488&amp;C488,盘货信息!$A:$A&amp;盘货信息!$B:$B&amp;盘货信息!$C:$C,盘货信息!$I:$I)="","","88VIP95折"))</f>
        <v/>
      </c>
      <c r="H488" s="18" t="str">
        <f t="array" ref="H488">IF(C488="","",IF(_xlfn.XLOOKUP(A488&amp;B488&amp;C488,盘货信息!$A:$A&amp;盘货信息!$B:$B&amp;盘货信息!$C:$C,盘货信息!$J:$J)="","",_xlfn.XLOOKUP(A488&amp;B488&amp;C488,盘货信息!$A:$A&amp;盘货信息!$B:$B&amp;盘货信息!$C:$C,盘货信息!$J:$J)&amp;"元优惠卷"))</f>
        <v/>
      </c>
      <c r="I488" s="18" t="str">
        <f t="array" ref="I488">IF(C488="","",IF(_xlfn.XLOOKUP(A488&amp;B488&amp;C488,盘货信息!$A:$A&amp;盘货信息!$B:$B&amp;盘货信息!$C:$C,盘货信息!$R:$R)="","",_xlfn.XLOOKUP(A488&amp;B488&amp;C488,盘货信息!$A:$A&amp;盘货信息!$B:$B&amp;盘货信息!$C:$C,盘货信息!$R:$R)&amp;"元优惠卷"))</f>
        <v/>
      </c>
      <c r="J488" s="18" t="str">
        <f t="array" ref="J488">IF(C488="","",IF(_xlfn.XLOOKUP(A488&amp;B488&amp;C488,盘货信息!$A:$A&amp;盘货信息!$B:$B&amp;盘货信息!$C:$C,盘货信息!$K:$K)="","",IF(OR(_xlfn.XLOOKUP(A488&amp;B488&amp;C488,盘货信息!$A:$A&amp;盘货信息!$B:$B&amp;盘货信息!$C:$C,盘货信息!$G:$G)="参加",_xlfn.XLOOKUP(A488&amp;B488&amp;C488,盘货信息!$A:$A&amp;盘货信息!$B:$B&amp;盘货信息!$C:$C,盘货信息!$H:$H)="1（纯自补）"),_xlfn.XLOOKUP(A488&amp;B488&amp;C488,盘货信息!$A:$A&amp;盘货信息!$B:$B&amp;盘货信息!$C:$C,盘货信息!$K:$K)&amp;"元以旧换新（可无旧机换新）","")))</f>
        <v/>
      </c>
      <c r="K488" s="18" t="str">
        <f t="array" ref="K488">IF(C488="","",IF(_xlfn.XLOOKUP(A488&amp;B488&amp;C488,盘货信息!$A:$A&amp;盘货信息!$B:$B&amp;盘货信息!$C:$C,盘货信息!$L:$L)="","",_xlfn.XLOOKUP(A488&amp;B488&amp;C488,盘货信息!$A:$A&amp;盘货信息!$B:$B&amp;盘货信息!$C:$C,盘货信息!$L:$L)&amp;"元限时补贴"))</f>
        <v/>
      </c>
      <c r="L488" s="18" t="str">
        <f t="array" ref="L488">IF(C488="","",IF(_xlfn.XLOOKUP(A488&amp;B488&amp;C488,盘货信息!$A:$A&amp;盘货信息!$B:$B&amp;盘货信息!$C:$C,盘货信息!$M:$M)="","",_xlfn.XLOOKUP(A488&amp;B488&amp;C488,盘货信息!$A:$A&amp;盘货信息!$B:$B&amp;盘货信息!$C:$C,盘货信息!$M:$M)&amp;"元消费券"))</f>
        <v/>
      </c>
      <c r="M488" s="18" t="str">
        <f t="array" ref="M488">IF(C488="","",IF(_xlfn.XLOOKUP(A488&amp;B488&amp;C488,盘货信息!$A:$A&amp;盘货信息!$B:$B&amp;盘货信息!$C:$C,盘货信息!$G:$G)="不参加","","焕新补贴优惠【全民可用，不限地址】"))</f>
        <v/>
      </c>
    </row>
    <row r="489" customHeight="1" spans="1:13">
      <c r="A489" s="17" t="str">
        <f>IF(盘货信息!A489="","",盘货信息!A489)</f>
        <v/>
      </c>
      <c r="B489" s="17" t="str">
        <f>IF(盘货信息!B489="","",盘货信息!B489)</f>
        <v/>
      </c>
      <c r="C489" s="18" t="str">
        <f>IF(盘货信息!C489="","",盘货信息!C489)</f>
        <v/>
      </c>
      <c r="D489" s="18" t="str">
        <f t="shared" si="7"/>
        <v/>
      </c>
      <c r="E489" s="18" t="str">
        <f t="array" ref="E489">IF(C489="","",IF(_xlfn.XLOOKUP(A489&amp;B489&amp;C489,盘货信息!$A:$A&amp;盘货信息!$B:$B&amp;盘货信息!$C:$C,盘货信息!$N:$N)="","【立减到手价"&amp;_xlfn.XLOOKUP(A489&amp;B489&amp;C489,盘货信息!$A:$A&amp;盘货信息!$B:$B&amp;盘货信息!$C:$C,盘货信息!$F:$F)&amp;"元】","【焕新补贴预估价"&amp;_xlfn.XLOOKUP(A489&amp;B489&amp;C489,盘货信息!$A:$A&amp;盘货信息!$B:$B&amp;盘货信息!$C:$C,盘货信息!$N:$N)&amp;"元】"))</f>
        <v/>
      </c>
      <c r="F489" s="18" t="str">
        <f t="array" ref="F489">IF(C489="","",_xlfn.XLOOKUP(A489&amp;B489&amp;C489,盘货信息!$A:$A&amp;盘货信息!$B:$B&amp;盘货信息!$C:$C,盘货信息!$E:$E)&amp;"元到手价")</f>
        <v/>
      </c>
      <c r="G489" s="18" t="str">
        <f t="array" ref="G489">IF(C489="","",IF(_xlfn.XLOOKUP(A489&amp;B489&amp;C489,盘货信息!$A:$A&amp;盘货信息!$B:$B&amp;盘货信息!$C:$C,盘货信息!$I:$I)="","","88VIP95折"))</f>
        <v/>
      </c>
      <c r="H489" s="18" t="str">
        <f t="array" ref="H489">IF(C489="","",IF(_xlfn.XLOOKUP(A489&amp;B489&amp;C489,盘货信息!$A:$A&amp;盘货信息!$B:$B&amp;盘货信息!$C:$C,盘货信息!$J:$J)="","",_xlfn.XLOOKUP(A489&amp;B489&amp;C489,盘货信息!$A:$A&amp;盘货信息!$B:$B&amp;盘货信息!$C:$C,盘货信息!$J:$J)&amp;"元优惠卷"))</f>
        <v/>
      </c>
      <c r="I489" s="18" t="str">
        <f t="array" ref="I489">IF(C489="","",IF(_xlfn.XLOOKUP(A489&amp;B489&amp;C489,盘货信息!$A:$A&amp;盘货信息!$B:$B&amp;盘货信息!$C:$C,盘货信息!$R:$R)="","",_xlfn.XLOOKUP(A489&amp;B489&amp;C489,盘货信息!$A:$A&amp;盘货信息!$B:$B&amp;盘货信息!$C:$C,盘货信息!$R:$R)&amp;"元优惠卷"))</f>
        <v/>
      </c>
      <c r="J489" s="18" t="str">
        <f t="array" ref="J489">IF(C489="","",IF(_xlfn.XLOOKUP(A489&amp;B489&amp;C489,盘货信息!$A:$A&amp;盘货信息!$B:$B&amp;盘货信息!$C:$C,盘货信息!$K:$K)="","",IF(OR(_xlfn.XLOOKUP(A489&amp;B489&amp;C489,盘货信息!$A:$A&amp;盘货信息!$B:$B&amp;盘货信息!$C:$C,盘货信息!$G:$G)="参加",_xlfn.XLOOKUP(A489&amp;B489&amp;C489,盘货信息!$A:$A&amp;盘货信息!$B:$B&amp;盘货信息!$C:$C,盘货信息!$H:$H)="1（纯自补）"),_xlfn.XLOOKUP(A489&amp;B489&amp;C489,盘货信息!$A:$A&amp;盘货信息!$B:$B&amp;盘货信息!$C:$C,盘货信息!$K:$K)&amp;"元以旧换新（可无旧机换新）","")))</f>
        <v/>
      </c>
      <c r="K489" s="18" t="str">
        <f t="array" ref="K489">IF(C489="","",IF(_xlfn.XLOOKUP(A489&amp;B489&amp;C489,盘货信息!$A:$A&amp;盘货信息!$B:$B&amp;盘货信息!$C:$C,盘货信息!$L:$L)="","",_xlfn.XLOOKUP(A489&amp;B489&amp;C489,盘货信息!$A:$A&amp;盘货信息!$B:$B&amp;盘货信息!$C:$C,盘货信息!$L:$L)&amp;"元限时补贴"))</f>
        <v/>
      </c>
      <c r="L489" s="18" t="str">
        <f t="array" ref="L489">IF(C489="","",IF(_xlfn.XLOOKUP(A489&amp;B489&amp;C489,盘货信息!$A:$A&amp;盘货信息!$B:$B&amp;盘货信息!$C:$C,盘货信息!$M:$M)="","",_xlfn.XLOOKUP(A489&amp;B489&amp;C489,盘货信息!$A:$A&amp;盘货信息!$B:$B&amp;盘货信息!$C:$C,盘货信息!$M:$M)&amp;"元消费券"))</f>
        <v/>
      </c>
      <c r="M489" s="18" t="str">
        <f t="array" ref="M489">IF(C489="","",IF(_xlfn.XLOOKUP(A489&amp;B489&amp;C489,盘货信息!$A:$A&amp;盘货信息!$B:$B&amp;盘货信息!$C:$C,盘货信息!$G:$G)="不参加","","焕新补贴优惠【全民可用，不限地址】"))</f>
        <v/>
      </c>
    </row>
    <row r="490" customHeight="1" spans="1:13">
      <c r="A490" s="17" t="str">
        <f>IF(盘货信息!A490="","",盘货信息!A490)</f>
        <v/>
      </c>
      <c r="B490" s="17" t="str">
        <f>IF(盘货信息!B490="","",盘货信息!B490)</f>
        <v/>
      </c>
      <c r="C490" s="18" t="str">
        <f>IF(盘货信息!C490="","",盘货信息!C490)</f>
        <v/>
      </c>
      <c r="D490" s="18" t="str">
        <f t="shared" si="7"/>
        <v/>
      </c>
      <c r="E490" s="18" t="str">
        <f t="array" ref="E490">IF(C490="","",IF(_xlfn.XLOOKUP(A490&amp;B490&amp;C490,盘货信息!$A:$A&amp;盘货信息!$B:$B&amp;盘货信息!$C:$C,盘货信息!$N:$N)="","【立减到手价"&amp;_xlfn.XLOOKUP(A490&amp;B490&amp;C490,盘货信息!$A:$A&amp;盘货信息!$B:$B&amp;盘货信息!$C:$C,盘货信息!$F:$F)&amp;"元】","【焕新补贴预估价"&amp;_xlfn.XLOOKUP(A490&amp;B490&amp;C490,盘货信息!$A:$A&amp;盘货信息!$B:$B&amp;盘货信息!$C:$C,盘货信息!$N:$N)&amp;"元】"))</f>
        <v/>
      </c>
      <c r="F490" s="18" t="str">
        <f t="array" ref="F490">IF(C490="","",_xlfn.XLOOKUP(A490&amp;B490&amp;C490,盘货信息!$A:$A&amp;盘货信息!$B:$B&amp;盘货信息!$C:$C,盘货信息!$E:$E)&amp;"元到手价")</f>
        <v/>
      </c>
      <c r="G490" s="18" t="str">
        <f t="array" ref="G490">IF(C490="","",IF(_xlfn.XLOOKUP(A490&amp;B490&amp;C490,盘货信息!$A:$A&amp;盘货信息!$B:$B&amp;盘货信息!$C:$C,盘货信息!$I:$I)="","","88VIP95折"))</f>
        <v/>
      </c>
      <c r="H490" s="18" t="str">
        <f t="array" ref="H490">IF(C490="","",IF(_xlfn.XLOOKUP(A490&amp;B490&amp;C490,盘货信息!$A:$A&amp;盘货信息!$B:$B&amp;盘货信息!$C:$C,盘货信息!$J:$J)="","",_xlfn.XLOOKUP(A490&amp;B490&amp;C490,盘货信息!$A:$A&amp;盘货信息!$B:$B&amp;盘货信息!$C:$C,盘货信息!$J:$J)&amp;"元优惠卷"))</f>
        <v/>
      </c>
      <c r="I490" s="18" t="str">
        <f t="array" ref="I490">IF(C490="","",IF(_xlfn.XLOOKUP(A490&amp;B490&amp;C490,盘货信息!$A:$A&amp;盘货信息!$B:$B&amp;盘货信息!$C:$C,盘货信息!$R:$R)="","",_xlfn.XLOOKUP(A490&amp;B490&amp;C490,盘货信息!$A:$A&amp;盘货信息!$B:$B&amp;盘货信息!$C:$C,盘货信息!$R:$R)&amp;"元优惠卷"))</f>
        <v/>
      </c>
      <c r="J490" s="18" t="str">
        <f t="array" ref="J490">IF(C490="","",IF(_xlfn.XLOOKUP(A490&amp;B490&amp;C490,盘货信息!$A:$A&amp;盘货信息!$B:$B&amp;盘货信息!$C:$C,盘货信息!$K:$K)="","",IF(OR(_xlfn.XLOOKUP(A490&amp;B490&amp;C490,盘货信息!$A:$A&amp;盘货信息!$B:$B&amp;盘货信息!$C:$C,盘货信息!$G:$G)="参加",_xlfn.XLOOKUP(A490&amp;B490&amp;C490,盘货信息!$A:$A&amp;盘货信息!$B:$B&amp;盘货信息!$C:$C,盘货信息!$H:$H)="1（纯自补）"),_xlfn.XLOOKUP(A490&amp;B490&amp;C490,盘货信息!$A:$A&amp;盘货信息!$B:$B&amp;盘货信息!$C:$C,盘货信息!$K:$K)&amp;"元以旧换新（可无旧机换新）","")))</f>
        <v/>
      </c>
      <c r="K490" s="18" t="str">
        <f t="array" ref="K490">IF(C490="","",IF(_xlfn.XLOOKUP(A490&amp;B490&amp;C490,盘货信息!$A:$A&amp;盘货信息!$B:$B&amp;盘货信息!$C:$C,盘货信息!$L:$L)="","",_xlfn.XLOOKUP(A490&amp;B490&amp;C490,盘货信息!$A:$A&amp;盘货信息!$B:$B&amp;盘货信息!$C:$C,盘货信息!$L:$L)&amp;"元限时补贴"))</f>
        <v/>
      </c>
      <c r="L490" s="18" t="str">
        <f t="array" ref="L490">IF(C490="","",IF(_xlfn.XLOOKUP(A490&amp;B490&amp;C490,盘货信息!$A:$A&amp;盘货信息!$B:$B&amp;盘货信息!$C:$C,盘货信息!$M:$M)="","",_xlfn.XLOOKUP(A490&amp;B490&amp;C490,盘货信息!$A:$A&amp;盘货信息!$B:$B&amp;盘货信息!$C:$C,盘货信息!$M:$M)&amp;"元消费券"))</f>
        <v/>
      </c>
      <c r="M490" s="18" t="str">
        <f t="array" ref="M490">IF(C490="","",IF(_xlfn.XLOOKUP(A490&amp;B490&amp;C490,盘货信息!$A:$A&amp;盘货信息!$B:$B&amp;盘货信息!$C:$C,盘货信息!$G:$G)="不参加","","焕新补贴优惠【全民可用，不限地址】"))</f>
        <v/>
      </c>
    </row>
    <row r="491" customHeight="1" spans="1:13">
      <c r="A491" s="17" t="str">
        <f>IF(盘货信息!A491="","",盘货信息!A491)</f>
        <v/>
      </c>
      <c r="B491" s="17" t="str">
        <f>IF(盘货信息!B491="","",盘货信息!B491)</f>
        <v/>
      </c>
      <c r="C491" s="18" t="str">
        <f>IF(盘货信息!C491="","",盘货信息!C491)</f>
        <v/>
      </c>
      <c r="D491" s="18" t="str">
        <f t="shared" si="7"/>
        <v/>
      </c>
      <c r="E491" s="18" t="str">
        <f t="array" ref="E491">IF(C491="","",IF(_xlfn.XLOOKUP(A491&amp;B491&amp;C491,盘货信息!$A:$A&amp;盘货信息!$B:$B&amp;盘货信息!$C:$C,盘货信息!$N:$N)="","【立减到手价"&amp;_xlfn.XLOOKUP(A491&amp;B491&amp;C491,盘货信息!$A:$A&amp;盘货信息!$B:$B&amp;盘货信息!$C:$C,盘货信息!$F:$F)&amp;"元】","【焕新补贴预估价"&amp;_xlfn.XLOOKUP(A491&amp;B491&amp;C491,盘货信息!$A:$A&amp;盘货信息!$B:$B&amp;盘货信息!$C:$C,盘货信息!$N:$N)&amp;"元】"))</f>
        <v/>
      </c>
      <c r="F491" s="18" t="str">
        <f t="array" ref="F491">IF(C491="","",_xlfn.XLOOKUP(A491&amp;B491&amp;C491,盘货信息!$A:$A&amp;盘货信息!$B:$B&amp;盘货信息!$C:$C,盘货信息!$E:$E)&amp;"元到手价")</f>
        <v/>
      </c>
      <c r="G491" s="18" t="str">
        <f t="array" ref="G491">IF(C491="","",IF(_xlfn.XLOOKUP(A491&amp;B491&amp;C491,盘货信息!$A:$A&amp;盘货信息!$B:$B&amp;盘货信息!$C:$C,盘货信息!$I:$I)="","","88VIP95折"))</f>
        <v/>
      </c>
      <c r="H491" s="18" t="str">
        <f t="array" ref="H491">IF(C491="","",IF(_xlfn.XLOOKUP(A491&amp;B491&amp;C491,盘货信息!$A:$A&amp;盘货信息!$B:$B&amp;盘货信息!$C:$C,盘货信息!$J:$J)="","",_xlfn.XLOOKUP(A491&amp;B491&amp;C491,盘货信息!$A:$A&amp;盘货信息!$B:$B&amp;盘货信息!$C:$C,盘货信息!$J:$J)&amp;"元优惠卷"))</f>
        <v/>
      </c>
      <c r="I491" s="18" t="str">
        <f t="array" ref="I491">IF(C491="","",IF(_xlfn.XLOOKUP(A491&amp;B491&amp;C491,盘货信息!$A:$A&amp;盘货信息!$B:$B&amp;盘货信息!$C:$C,盘货信息!$R:$R)="","",_xlfn.XLOOKUP(A491&amp;B491&amp;C491,盘货信息!$A:$A&amp;盘货信息!$B:$B&amp;盘货信息!$C:$C,盘货信息!$R:$R)&amp;"元优惠卷"))</f>
        <v/>
      </c>
      <c r="J491" s="18" t="str">
        <f t="array" ref="J491">IF(C491="","",IF(_xlfn.XLOOKUP(A491&amp;B491&amp;C491,盘货信息!$A:$A&amp;盘货信息!$B:$B&amp;盘货信息!$C:$C,盘货信息!$K:$K)="","",IF(OR(_xlfn.XLOOKUP(A491&amp;B491&amp;C491,盘货信息!$A:$A&amp;盘货信息!$B:$B&amp;盘货信息!$C:$C,盘货信息!$G:$G)="参加",_xlfn.XLOOKUP(A491&amp;B491&amp;C491,盘货信息!$A:$A&amp;盘货信息!$B:$B&amp;盘货信息!$C:$C,盘货信息!$H:$H)="1（纯自补）"),_xlfn.XLOOKUP(A491&amp;B491&amp;C491,盘货信息!$A:$A&amp;盘货信息!$B:$B&amp;盘货信息!$C:$C,盘货信息!$K:$K)&amp;"元以旧换新（可无旧机换新）","")))</f>
        <v/>
      </c>
      <c r="K491" s="18" t="str">
        <f t="array" ref="K491">IF(C491="","",IF(_xlfn.XLOOKUP(A491&amp;B491&amp;C491,盘货信息!$A:$A&amp;盘货信息!$B:$B&amp;盘货信息!$C:$C,盘货信息!$L:$L)="","",_xlfn.XLOOKUP(A491&amp;B491&amp;C491,盘货信息!$A:$A&amp;盘货信息!$B:$B&amp;盘货信息!$C:$C,盘货信息!$L:$L)&amp;"元限时补贴"))</f>
        <v/>
      </c>
      <c r="L491" s="18" t="str">
        <f t="array" ref="L491">IF(C491="","",IF(_xlfn.XLOOKUP(A491&amp;B491&amp;C491,盘货信息!$A:$A&amp;盘货信息!$B:$B&amp;盘货信息!$C:$C,盘货信息!$M:$M)="","",_xlfn.XLOOKUP(A491&amp;B491&amp;C491,盘货信息!$A:$A&amp;盘货信息!$B:$B&amp;盘货信息!$C:$C,盘货信息!$M:$M)&amp;"元消费券"))</f>
        <v/>
      </c>
      <c r="M491" s="18" t="str">
        <f t="array" ref="M491">IF(C491="","",IF(_xlfn.XLOOKUP(A491&amp;B491&amp;C491,盘货信息!$A:$A&amp;盘货信息!$B:$B&amp;盘货信息!$C:$C,盘货信息!$G:$G)="不参加","","焕新补贴优惠【全民可用，不限地址】"))</f>
        <v/>
      </c>
    </row>
    <row r="492" customHeight="1" spans="1:13">
      <c r="A492" s="17" t="str">
        <f>IF(盘货信息!A492="","",盘货信息!A492)</f>
        <v/>
      </c>
      <c r="B492" s="17" t="str">
        <f>IF(盘货信息!B492="","",盘货信息!B492)</f>
        <v/>
      </c>
      <c r="C492" s="18" t="str">
        <f>IF(盘货信息!C492="","",盘货信息!C492)</f>
        <v/>
      </c>
      <c r="D492" s="18" t="str">
        <f t="shared" si="7"/>
        <v/>
      </c>
      <c r="E492" s="18" t="str">
        <f t="array" ref="E492">IF(C492="","",IF(_xlfn.XLOOKUP(A492&amp;B492&amp;C492,盘货信息!$A:$A&amp;盘货信息!$B:$B&amp;盘货信息!$C:$C,盘货信息!$N:$N)="","【立减到手价"&amp;_xlfn.XLOOKUP(A492&amp;B492&amp;C492,盘货信息!$A:$A&amp;盘货信息!$B:$B&amp;盘货信息!$C:$C,盘货信息!$F:$F)&amp;"元】","【焕新补贴预估价"&amp;_xlfn.XLOOKUP(A492&amp;B492&amp;C492,盘货信息!$A:$A&amp;盘货信息!$B:$B&amp;盘货信息!$C:$C,盘货信息!$N:$N)&amp;"元】"))</f>
        <v/>
      </c>
      <c r="F492" s="18" t="str">
        <f t="array" ref="F492">IF(C492="","",_xlfn.XLOOKUP(A492&amp;B492&amp;C492,盘货信息!$A:$A&amp;盘货信息!$B:$B&amp;盘货信息!$C:$C,盘货信息!$E:$E)&amp;"元到手价")</f>
        <v/>
      </c>
      <c r="G492" s="18" t="str">
        <f t="array" ref="G492">IF(C492="","",IF(_xlfn.XLOOKUP(A492&amp;B492&amp;C492,盘货信息!$A:$A&amp;盘货信息!$B:$B&amp;盘货信息!$C:$C,盘货信息!$I:$I)="","","88VIP95折"))</f>
        <v/>
      </c>
      <c r="H492" s="18" t="str">
        <f t="array" ref="H492">IF(C492="","",IF(_xlfn.XLOOKUP(A492&amp;B492&amp;C492,盘货信息!$A:$A&amp;盘货信息!$B:$B&amp;盘货信息!$C:$C,盘货信息!$J:$J)="","",_xlfn.XLOOKUP(A492&amp;B492&amp;C492,盘货信息!$A:$A&amp;盘货信息!$B:$B&amp;盘货信息!$C:$C,盘货信息!$J:$J)&amp;"元优惠卷"))</f>
        <v/>
      </c>
      <c r="I492" s="18" t="str">
        <f t="array" ref="I492">IF(C492="","",IF(_xlfn.XLOOKUP(A492&amp;B492&amp;C492,盘货信息!$A:$A&amp;盘货信息!$B:$B&amp;盘货信息!$C:$C,盘货信息!$R:$R)="","",_xlfn.XLOOKUP(A492&amp;B492&amp;C492,盘货信息!$A:$A&amp;盘货信息!$B:$B&amp;盘货信息!$C:$C,盘货信息!$R:$R)&amp;"元优惠卷"))</f>
        <v/>
      </c>
      <c r="J492" s="18" t="str">
        <f t="array" ref="J492">IF(C492="","",IF(_xlfn.XLOOKUP(A492&amp;B492&amp;C492,盘货信息!$A:$A&amp;盘货信息!$B:$B&amp;盘货信息!$C:$C,盘货信息!$K:$K)="","",IF(OR(_xlfn.XLOOKUP(A492&amp;B492&amp;C492,盘货信息!$A:$A&amp;盘货信息!$B:$B&amp;盘货信息!$C:$C,盘货信息!$G:$G)="参加",_xlfn.XLOOKUP(A492&amp;B492&amp;C492,盘货信息!$A:$A&amp;盘货信息!$B:$B&amp;盘货信息!$C:$C,盘货信息!$H:$H)="1（纯自补）"),_xlfn.XLOOKUP(A492&amp;B492&amp;C492,盘货信息!$A:$A&amp;盘货信息!$B:$B&amp;盘货信息!$C:$C,盘货信息!$K:$K)&amp;"元以旧换新（可无旧机换新）","")))</f>
        <v/>
      </c>
      <c r="K492" s="18" t="str">
        <f t="array" ref="K492">IF(C492="","",IF(_xlfn.XLOOKUP(A492&amp;B492&amp;C492,盘货信息!$A:$A&amp;盘货信息!$B:$B&amp;盘货信息!$C:$C,盘货信息!$L:$L)="","",_xlfn.XLOOKUP(A492&amp;B492&amp;C492,盘货信息!$A:$A&amp;盘货信息!$B:$B&amp;盘货信息!$C:$C,盘货信息!$L:$L)&amp;"元限时补贴"))</f>
        <v/>
      </c>
      <c r="L492" s="18" t="str">
        <f t="array" ref="L492">IF(C492="","",IF(_xlfn.XLOOKUP(A492&amp;B492&amp;C492,盘货信息!$A:$A&amp;盘货信息!$B:$B&amp;盘货信息!$C:$C,盘货信息!$M:$M)="","",_xlfn.XLOOKUP(A492&amp;B492&amp;C492,盘货信息!$A:$A&amp;盘货信息!$B:$B&amp;盘货信息!$C:$C,盘货信息!$M:$M)&amp;"元消费券"))</f>
        <v/>
      </c>
      <c r="M492" s="18" t="str">
        <f t="array" ref="M492">IF(C492="","",IF(_xlfn.XLOOKUP(A492&amp;B492&amp;C492,盘货信息!$A:$A&amp;盘货信息!$B:$B&amp;盘货信息!$C:$C,盘货信息!$G:$G)="不参加","","焕新补贴优惠【全民可用，不限地址】"))</f>
        <v/>
      </c>
    </row>
    <row r="493" customHeight="1" spans="1:13">
      <c r="A493" s="17" t="str">
        <f>IF(盘货信息!A493="","",盘货信息!A493)</f>
        <v/>
      </c>
      <c r="B493" s="17" t="str">
        <f>IF(盘货信息!B493="","",盘货信息!B493)</f>
        <v/>
      </c>
      <c r="C493" s="18" t="str">
        <f>IF(盘货信息!C493="","",盘货信息!C493)</f>
        <v/>
      </c>
      <c r="D493" s="18" t="str">
        <f t="shared" si="7"/>
        <v/>
      </c>
      <c r="E493" s="18" t="str">
        <f t="array" ref="E493">IF(C493="","",IF(_xlfn.XLOOKUP(A493&amp;B493&amp;C493,盘货信息!$A:$A&amp;盘货信息!$B:$B&amp;盘货信息!$C:$C,盘货信息!$N:$N)="","【立减到手价"&amp;_xlfn.XLOOKUP(A493&amp;B493&amp;C493,盘货信息!$A:$A&amp;盘货信息!$B:$B&amp;盘货信息!$C:$C,盘货信息!$F:$F)&amp;"元】","【焕新补贴预估价"&amp;_xlfn.XLOOKUP(A493&amp;B493&amp;C493,盘货信息!$A:$A&amp;盘货信息!$B:$B&amp;盘货信息!$C:$C,盘货信息!$N:$N)&amp;"元】"))</f>
        <v/>
      </c>
      <c r="F493" s="18" t="str">
        <f t="array" ref="F493">IF(C493="","",_xlfn.XLOOKUP(A493&amp;B493&amp;C493,盘货信息!$A:$A&amp;盘货信息!$B:$B&amp;盘货信息!$C:$C,盘货信息!$E:$E)&amp;"元到手价")</f>
        <v/>
      </c>
      <c r="G493" s="18" t="str">
        <f t="array" ref="G493">IF(C493="","",IF(_xlfn.XLOOKUP(A493&amp;B493&amp;C493,盘货信息!$A:$A&amp;盘货信息!$B:$B&amp;盘货信息!$C:$C,盘货信息!$I:$I)="","","88VIP95折"))</f>
        <v/>
      </c>
      <c r="H493" s="18" t="str">
        <f t="array" ref="H493">IF(C493="","",IF(_xlfn.XLOOKUP(A493&amp;B493&amp;C493,盘货信息!$A:$A&amp;盘货信息!$B:$B&amp;盘货信息!$C:$C,盘货信息!$J:$J)="","",_xlfn.XLOOKUP(A493&amp;B493&amp;C493,盘货信息!$A:$A&amp;盘货信息!$B:$B&amp;盘货信息!$C:$C,盘货信息!$J:$J)&amp;"元优惠卷"))</f>
        <v/>
      </c>
      <c r="I493" s="18" t="str">
        <f t="array" ref="I493">IF(C493="","",IF(_xlfn.XLOOKUP(A493&amp;B493&amp;C493,盘货信息!$A:$A&amp;盘货信息!$B:$B&amp;盘货信息!$C:$C,盘货信息!$R:$R)="","",_xlfn.XLOOKUP(A493&amp;B493&amp;C493,盘货信息!$A:$A&amp;盘货信息!$B:$B&amp;盘货信息!$C:$C,盘货信息!$R:$R)&amp;"元优惠卷"))</f>
        <v/>
      </c>
      <c r="J493" s="18" t="str">
        <f t="array" ref="J493">IF(C493="","",IF(_xlfn.XLOOKUP(A493&amp;B493&amp;C493,盘货信息!$A:$A&amp;盘货信息!$B:$B&amp;盘货信息!$C:$C,盘货信息!$K:$K)="","",IF(OR(_xlfn.XLOOKUP(A493&amp;B493&amp;C493,盘货信息!$A:$A&amp;盘货信息!$B:$B&amp;盘货信息!$C:$C,盘货信息!$G:$G)="参加",_xlfn.XLOOKUP(A493&amp;B493&amp;C493,盘货信息!$A:$A&amp;盘货信息!$B:$B&amp;盘货信息!$C:$C,盘货信息!$H:$H)="1（纯自补）"),_xlfn.XLOOKUP(A493&amp;B493&amp;C493,盘货信息!$A:$A&amp;盘货信息!$B:$B&amp;盘货信息!$C:$C,盘货信息!$K:$K)&amp;"元以旧换新（可无旧机换新）","")))</f>
        <v/>
      </c>
      <c r="K493" s="18" t="str">
        <f t="array" ref="K493">IF(C493="","",IF(_xlfn.XLOOKUP(A493&amp;B493&amp;C493,盘货信息!$A:$A&amp;盘货信息!$B:$B&amp;盘货信息!$C:$C,盘货信息!$L:$L)="","",_xlfn.XLOOKUP(A493&amp;B493&amp;C493,盘货信息!$A:$A&amp;盘货信息!$B:$B&amp;盘货信息!$C:$C,盘货信息!$L:$L)&amp;"元限时补贴"))</f>
        <v/>
      </c>
      <c r="L493" s="18" t="str">
        <f t="array" ref="L493">IF(C493="","",IF(_xlfn.XLOOKUP(A493&amp;B493&amp;C493,盘货信息!$A:$A&amp;盘货信息!$B:$B&amp;盘货信息!$C:$C,盘货信息!$M:$M)="","",_xlfn.XLOOKUP(A493&amp;B493&amp;C493,盘货信息!$A:$A&amp;盘货信息!$B:$B&amp;盘货信息!$C:$C,盘货信息!$M:$M)&amp;"元消费券"))</f>
        <v/>
      </c>
      <c r="M493" s="18" t="str">
        <f t="array" ref="M493">IF(C493="","",IF(_xlfn.XLOOKUP(A493&amp;B493&amp;C493,盘货信息!$A:$A&amp;盘货信息!$B:$B&amp;盘货信息!$C:$C,盘货信息!$G:$G)="不参加","","焕新补贴优惠【全民可用，不限地址】"))</f>
        <v/>
      </c>
    </row>
    <row r="494" customHeight="1" spans="1:13">
      <c r="A494" s="17" t="str">
        <f>IF(盘货信息!A494="","",盘货信息!A494)</f>
        <v/>
      </c>
      <c r="B494" s="17" t="str">
        <f>IF(盘货信息!B494="","",盘货信息!B494)</f>
        <v/>
      </c>
      <c r="C494" s="18" t="str">
        <f>IF(盘货信息!C494="","",盘货信息!C494)</f>
        <v/>
      </c>
      <c r="D494" s="18" t="str">
        <f t="shared" si="7"/>
        <v/>
      </c>
      <c r="E494" s="18" t="str">
        <f t="array" ref="E494">IF(C494="","",IF(_xlfn.XLOOKUP(A494&amp;B494&amp;C494,盘货信息!$A:$A&amp;盘货信息!$B:$B&amp;盘货信息!$C:$C,盘货信息!$N:$N)="","【立减到手价"&amp;_xlfn.XLOOKUP(A494&amp;B494&amp;C494,盘货信息!$A:$A&amp;盘货信息!$B:$B&amp;盘货信息!$C:$C,盘货信息!$F:$F)&amp;"元】","【焕新补贴预估价"&amp;_xlfn.XLOOKUP(A494&amp;B494&amp;C494,盘货信息!$A:$A&amp;盘货信息!$B:$B&amp;盘货信息!$C:$C,盘货信息!$N:$N)&amp;"元】"))</f>
        <v/>
      </c>
      <c r="F494" s="18" t="str">
        <f t="array" ref="F494">IF(C494="","",_xlfn.XLOOKUP(A494&amp;B494&amp;C494,盘货信息!$A:$A&amp;盘货信息!$B:$B&amp;盘货信息!$C:$C,盘货信息!$E:$E)&amp;"元到手价")</f>
        <v/>
      </c>
      <c r="G494" s="18" t="str">
        <f t="array" ref="G494">IF(C494="","",IF(_xlfn.XLOOKUP(A494&amp;B494&amp;C494,盘货信息!$A:$A&amp;盘货信息!$B:$B&amp;盘货信息!$C:$C,盘货信息!$I:$I)="","","88VIP95折"))</f>
        <v/>
      </c>
      <c r="H494" s="18" t="str">
        <f t="array" ref="H494">IF(C494="","",IF(_xlfn.XLOOKUP(A494&amp;B494&amp;C494,盘货信息!$A:$A&amp;盘货信息!$B:$B&amp;盘货信息!$C:$C,盘货信息!$J:$J)="","",_xlfn.XLOOKUP(A494&amp;B494&amp;C494,盘货信息!$A:$A&amp;盘货信息!$B:$B&amp;盘货信息!$C:$C,盘货信息!$J:$J)&amp;"元优惠卷"))</f>
        <v/>
      </c>
      <c r="I494" s="18" t="str">
        <f t="array" ref="I494">IF(C494="","",IF(_xlfn.XLOOKUP(A494&amp;B494&amp;C494,盘货信息!$A:$A&amp;盘货信息!$B:$B&amp;盘货信息!$C:$C,盘货信息!$R:$R)="","",_xlfn.XLOOKUP(A494&amp;B494&amp;C494,盘货信息!$A:$A&amp;盘货信息!$B:$B&amp;盘货信息!$C:$C,盘货信息!$R:$R)&amp;"元优惠卷"))</f>
        <v/>
      </c>
      <c r="J494" s="18" t="str">
        <f t="array" ref="J494">IF(C494="","",IF(_xlfn.XLOOKUP(A494&amp;B494&amp;C494,盘货信息!$A:$A&amp;盘货信息!$B:$B&amp;盘货信息!$C:$C,盘货信息!$K:$K)="","",IF(OR(_xlfn.XLOOKUP(A494&amp;B494&amp;C494,盘货信息!$A:$A&amp;盘货信息!$B:$B&amp;盘货信息!$C:$C,盘货信息!$G:$G)="参加",_xlfn.XLOOKUP(A494&amp;B494&amp;C494,盘货信息!$A:$A&amp;盘货信息!$B:$B&amp;盘货信息!$C:$C,盘货信息!$H:$H)="1（纯自补）"),_xlfn.XLOOKUP(A494&amp;B494&amp;C494,盘货信息!$A:$A&amp;盘货信息!$B:$B&amp;盘货信息!$C:$C,盘货信息!$K:$K)&amp;"元以旧换新（可无旧机换新）","")))</f>
        <v/>
      </c>
      <c r="K494" s="18" t="str">
        <f t="array" ref="K494">IF(C494="","",IF(_xlfn.XLOOKUP(A494&amp;B494&amp;C494,盘货信息!$A:$A&amp;盘货信息!$B:$B&amp;盘货信息!$C:$C,盘货信息!$L:$L)="","",_xlfn.XLOOKUP(A494&amp;B494&amp;C494,盘货信息!$A:$A&amp;盘货信息!$B:$B&amp;盘货信息!$C:$C,盘货信息!$L:$L)&amp;"元限时补贴"))</f>
        <v/>
      </c>
      <c r="L494" s="18" t="str">
        <f t="array" ref="L494">IF(C494="","",IF(_xlfn.XLOOKUP(A494&amp;B494&amp;C494,盘货信息!$A:$A&amp;盘货信息!$B:$B&amp;盘货信息!$C:$C,盘货信息!$M:$M)="","",_xlfn.XLOOKUP(A494&amp;B494&amp;C494,盘货信息!$A:$A&amp;盘货信息!$B:$B&amp;盘货信息!$C:$C,盘货信息!$M:$M)&amp;"元消费券"))</f>
        <v/>
      </c>
      <c r="M494" s="18" t="str">
        <f t="array" ref="M494">IF(C494="","",IF(_xlfn.XLOOKUP(A494&amp;B494&amp;C494,盘货信息!$A:$A&amp;盘货信息!$B:$B&amp;盘货信息!$C:$C,盘货信息!$G:$G)="不参加","","焕新补贴优惠【全民可用，不限地址】"))</f>
        <v/>
      </c>
    </row>
    <row r="495" customHeight="1" spans="1:13">
      <c r="A495" s="17" t="str">
        <f>IF(盘货信息!A495="","",盘货信息!A495)</f>
        <v/>
      </c>
      <c r="B495" s="17" t="str">
        <f>IF(盘货信息!B495="","",盘货信息!B495)</f>
        <v/>
      </c>
      <c r="C495" s="18" t="str">
        <f>IF(盘货信息!C495="","",盘货信息!C495)</f>
        <v/>
      </c>
      <c r="D495" s="18" t="str">
        <f t="shared" si="7"/>
        <v/>
      </c>
      <c r="E495" s="18" t="str">
        <f t="array" ref="E495">IF(C495="","",IF(_xlfn.XLOOKUP(A495&amp;B495&amp;C495,盘货信息!$A:$A&amp;盘货信息!$B:$B&amp;盘货信息!$C:$C,盘货信息!$N:$N)="","【立减到手价"&amp;_xlfn.XLOOKUP(A495&amp;B495&amp;C495,盘货信息!$A:$A&amp;盘货信息!$B:$B&amp;盘货信息!$C:$C,盘货信息!$F:$F)&amp;"元】","【焕新补贴预估价"&amp;_xlfn.XLOOKUP(A495&amp;B495&amp;C495,盘货信息!$A:$A&amp;盘货信息!$B:$B&amp;盘货信息!$C:$C,盘货信息!$N:$N)&amp;"元】"))</f>
        <v/>
      </c>
      <c r="F495" s="18" t="str">
        <f t="array" ref="F495">IF(C495="","",_xlfn.XLOOKUP(A495&amp;B495&amp;C495,盘货信息!$A:$A&amp;盘货信息!$B:$B&amp;盘货信息!$C:$C,盘货信息!$E:$E)&amp;"元到手价")</f>
        <v/>
      </c>
      <c r="G495" s="18" t="str">
        <f t="array" ref="G495">IF(C495="","",IF(_xlfn.XLOOKUP(A495&amp;B495&amp;C495,盘货信息!$A:$A&amp;盘货信息!$B:$B&amp;盘货信息!$C:$C,盘货信息!$I:$I)="","","88VIP95折"))</f>
        <v/>
      </c>
      <c r="H495" s="18" t="str">
        <f t="array" ref="H495">IF(C495="","",IF(_xlfn.XLOOKUP(A495&amp;B495&amp;C495,盘货信息!$A:$A&amp;盘货信息!$B:$B&amp;盘货信息!$C:$C,盘货信息!$J:$J)="","",_xlfn.XLOOKUP(A495&amp;B495&amp;C495,盘货信息!$A:$A&amp;盘货信息!$B:$B&amp;盘货信息!$C:$C,盘货信息!$J:$J)&amp;"元优惠卷"))</f>
        <v/>
      </c>
      <c r="I495" s="18" t="str">
        <f t="array" ref="I495">IF(C495="","",IF(_xlfn.XLOOKUP(A495&amp;B495&amp;C495,盘货信息!$A:$A&amp;盘货信息!$B:$B&amp;盘货信息!$C:$C,盘货信息!$R:$R)="","",_xlfn.XLOOKUP(A495&amp;B495&amp;C495,盘货信息!$A:$A&amp;盘货信息!$B:$B&amp;盘货信息!$C:$C,盘货信息!$R:$R)&amp;"元优惠卷"))</f>
        <v/>
      </c>
      <c r="J495" s="18" t="str">
        <f t="array" ref="J495">IF(C495="","",IF(_xlfn.XLOOKUP(A495&amp;B495&amp;C495,盘货信息!$A:$A&amp;盘货信息!$B:$B&amp;盘货信息!$C:$C,盘货信息!$K:$K)="","",IF(OR(_xlfn.XLOOKUP(A495&amp;B495&amp;C495,盘货信息!$A:$A&amp;盘货信息!$B:$B&amp;盘货信息!$C:$C,盘货信息!$G:$G)="参加",_xlfn.XLOOKUP(A495&amp;B495&amp;C495,盘货信息!$A:$A&amp;盘货信息!$B:$B&amp;盘货信息!$C:$C,盘货信息!$H:$H)="1（纯自补）"),_xlfn.XLOOKUP(A495&amp;B495&amp;C495,盘货信息!$A:$A&amp;盘货信息!$B:$B&amp;盘货信息!$C:$C,盘货信息!$K:$K)&amp;"元以旧换新（可无旧机换新）","")))</f>
        <v/>
      </c>
      <c r="K495" s="18" t="str">
        <f t="array" ref="K495">IF(C495="","",IF(_xlfn.XLOOKUP(A495&amp;B495&amp;C495,盘货信息!$A:$A&amp;盘货信息!$B:$B&amp;盘货信息!$C:$C,盘货信息!$L:$L)="","",_xlfn.XLOOKUP(A495&amp;B495&amp;C495,盘货信息!$A:$A&amp;盘货信息!$B:$B&amp;盘货信息!$C:$C,盘货信息!$L:$L)&amp;"元限时补贴"))</f>
        <v/>
      </c>
      <c r="L495" s="18" t="str">
        <f t="array" ref="L495">IF(C495="","",IF(_xlfn.XLOOKUP(A495&amp;B495&amp;C495,盘货信息!$A:$A&amp;盘货信息!$B:$B&amp;盘货信息!$C:$C,盘货信息!$M:$M)="","",_xlfn.XLOOKUP(A495&amp;B495&amp;C495,盘货信息!$A:$A&amp;盘货信息!$B:$B&amp;盘货信息!$C:$C,盘货信息!$M:$M)&amp;"元消费券"))</f>
        <v/>
      </c>
      <c r="M495" s="18" t="str">
        <f t="array" ref="M495">IF(C495="","",IF(_xlfn.XLOOKUP(A495&amp;B495&amp;C495,盘货信息!$A:$A&amp;盘货信息!$B:$B&amp;盘货信息!$C:$C,盘货信息!$G:$G)="不参加","","焕新补贴优惠【全民可用，不限地址】"))</f>
        <v/>
      </c>
    </row>
    <row r="496" customHeight="1" spans="1:13">
      <c r="A496" s="17" t="str">
        <f>IF(盘货信息!A496="","",盘货信息!A496)</f>
        <v/>
      </c>
      <c r="B496" s="17" t="str">
        <f>IF(盘货信息!B496="","",盘货信息!B496)</f>
        <v/>
      </c>
      <c r="C496" s="18" t="str">
        <f>IF(盘货信息!C496="","",盘货信息!C496)</f>
        <v/>
      </c>
      <c r="D496" s="18" t="str">
        <f t="shared" si="7"/>
        <v/>
      </c>
      <c r="E496" s="18" t="str">
        <f t="array" ref="E496">IF(C496="","",IF(_xlfn.XLOOKUP(A496&amp;B496&amp;C496,盘货信息!$A:$A&amp;盘货信息!$B:$B&amp;盘货信息!$C:$C,盘货信息!$N:$N)="","【立减到手价"&amp;_xlfn.XLOOKUP(A496&amp;B496&amp;C496,盘货信息!$A:$A&amp;盘货信息!$B:$B&amp;盘货信息!$C:$C,盘货信息!$F:$F)&amp;"元】","【焕新补贴预估价"&amp;_xlfn.XLOOKUP(A496&amp;B496&amp;C496,盘货信息!$A:$A&amp;盘货信息!$B:$B&amp;盘货信息!$C:$C,盘货信息!$N:$N)&amp;"元】"))</f>
        <v/>
      </c>
      <c r="F496" s="18" t="str">
        <f t="array" ref="F496">IF(C496="","",_xlfn.XLOOKUP(A496&amp;B496&amp;C496,盘货信息!$A:$A&amp;盘货信息!$B:$B&amp;盘货信息!$C:$C,盘货信息!$E:$E)&amp;"元到手价")</f>
        <v/>
      </c>
      <c r="G496" s="18" t="str">
        <f t="array" ref="G496">IF(C496="","",IF(_xlfn.XLOOKUP(A496&amp;B496&amp;C496,盘货信息!$A:$A&amp;盘货信息!$B:$B&amp;盘货信息!$C:$C,盘货信息!$I:$I)="","","88VIP95折"))</f>
        <v/>
      </c>
      <c r="H496" s="18" t="str">
        <f t="array" ref="H496">IF(C496="","",IF(_xlfn.XLOOKUP(A496&amp;B496&amp;C496,盘货信息!$A:$A&amp;盘货信息!$B:$B&amp;盘货信息!$C:$C,盘货信息!$J:$J)="","",_xlfn.XLOOKUP(A496&amp;B496&amp;C496,盘货信息!$A:$A&amp;盘货信息!$B:$B&amp;盘货信息!$C:$C,盘货信息!$J:$J)&amp;"元优惠卷"))</f>
        <v/>
      </c>
      <c r="I496" s="18" t="str">
        <f t="array" ref="I496">IF(C496="","",IF(_xlfn.XLOOKUP(A496&amp;B496&amp;C496,盘货信息!$A:$A&amp;盘货信息!$B:$B&amp;盘货信息!$C:$C,盘货信息!$R:$R)="","",_xlfn.XLOOKUP(A496&amp;B496&amp;C496,盘货信息!$A:$A&amp;盘货信息!$B:$B&amp;盘货信息!$C:$C,盘货信息!$R:$R)&amp;"元优惠卷"))</f>
        <v/>
      </c>
      <c r="J496" s="18" t="str">
        <f t="array" ref="J496">IF(C496="","",IF(_xlfn.XLOOKUP(A496&amp;B496&amp;C496,盘货信息!$A:$A&amp;盘货信息!$B:$B&amp;盘货信息!$C:$C,盘货信息!$K:$K)="","",IF(OR(_xlfn.XLOOKUP(A496&amp;B496&amp;C496,盘货信息!$A:$A&amp;盘货信息!$B:$B&amp;盘货信息!$C:$C,盘货信息!$G:$G)="参加",_xlfn.XLOOKUP(A496&amp;B496&amp;C496,盘货信息!$A:$A&amp;盘货信息!$B:$B&amp;盘货信息!$C:$C,盘货信息!$H:$H)="1（纯自补）"),_xlfn.XLOOKUP(A496&amp;B496&amp;C496,盘货信息!$A:$A&amp;盘货信息!$B:$B&amp;盘货信息!$C:$C,盘货信息!$K:$K)&amp;"元以旧换新（可无旧机换新）","")))</f>
        <v/>
      </c>
      <c r="K496" s="18" t="str">
        <f t="array" ref="K496">IF(C496="","",IF(_xlfn.XLOOKUP(A496&amp;B496&amp;C496,盘货信息!$A:$A&amp;盘货信息!$B:$B&amp;盘货信息!$C:$C,盘货信息!$L:$L)="","",_xlfn.XLOOKUP(A496&amp;B496&amp;C496,盘货信息!$A:$A&amp;盘货信息!$B:$B&amp;盘货信息!$C:$C,盘货信息!$L:$L)&amp;"元限时补贴"))</f>
        <v/>
      </c>
      <c r="L496" s="18" t="str">
        <f t="array" ref="L496">IF(C496="","",IF(_xlfn.XLOOKUP(A496&amp;B496&amp;C496,盘货信息!$A:$A&amp;盘货信息!$B:$B&amp;盘货信息!$C:$C,盘货信息!$M:$M)="","",_xlfn.XLOOKUP(A496&amp;B496&amp;C496,盘货信息!$A:$A&amp;盘货信息!$B:$B&amp;盘货信息!$C:$C,盘货信息!$M:$M)&amp;"元消费券"))</f>
        <v/>
      </c>
      <c r="M496" s="18" t="str">
        <f t="array" ref="M496">IF(C496="","",IF(_xlfn.XLOOKUP(A496&amp;B496&amp;C496,盘货信息!$A:$A&amp;盘货信息!$B:$B&amp;盘货信息!$C:$C,盘货信息!$G:$G)="不参加","","焕新补贴优惠【全民可用，不限地址】"))</f>
        <v/>
      </c>
    </row>
    <row r="497" customHeight="1" spans="1:13">
      <c r="A497" s="17" t="str">
        <f>IF(盘货信息!A497="","",盘货信息!A497)</f>
        <v/>
      </c>
      <c r="B497" s="17" t="str">
        <f>IF(盘货信息!B497="","",盘货信息!B497)</f>
        <v/>
      </c>
      <c r="C497" s="18" t="str">
        <f>IF(盘货信息!C497="","",盘货信息!C497)</f>
        <v/>
      </c>
      <c r="D497" s="18" t="str">
        <f t="shared" si="7"/>
        <v/>
      </c>
      <c r="E497" s="18" t="str">
        <f t="array" ref="E497">IF(C497="","",IF(_xlfn.XLOOKUP(A497&amp;B497&amp;C497,盘货信息!$A:$A&amp;盘货信息!$B:$B&amp;盘货信息!$C:$C,盘货信息!$N:$N)="","【立减到手价"&amp;_xlfn.XLOOKUP(A497&amp;B497&amp;C497,盘货信息!$A:$A&amp;盘货信息!$B:$B&amp;盘货信息!$C:$C,盘货信息!$F:$F)&amp;"元】","【焕新补贴预估价"&amp;_xlfn.XLOOKUP(A497&amp;B497&amp;C497,盘货信息!$A:$A&amp;盘货信息!$B:$B&amp;盘货信息!$C:$C,盘货信息!$N:$N)&amp;"元】"))</f>
        <v/>
      </c>
      <c r="F497" s="18" t="str">
        <f t="array" ref="F497">IF(C497="","",_xlfn.XLOOKUP(A497&amp;B497&amp;C497,盘货信息!$A:$A&amp;盘货信息!$B:$B&amp;盘货信息!$C:$C,盘货信息!$E:$E)&amp;"元到手价")</f>
        <v/>
      </c>
      <c r="G497" s="18" t="str">
        <f t="array" ref="G497">IF(C497="","",IF(_xlfn.XLOOKUP(A497&amp;B497&amp;C497,盘货信息!$A:$A&amp;盘货信息!$B:$B&amp;盘货信息!$C:$C,盘货信息!$I:$I)="","","88VIP95折"))</f>
        <v/>
      </c>
      <c r="H497" s="18" t="str">
        <f t="array" ref="H497">IF(C497="","",IF(_xlfn.XLOOKUP(A497&amp;B497&amp;C497,盘货信息!$A:$A&amp;盘货信息!$B:$B&amp;盘货信息!$C:$C,盘货信息!$J:$J)="","",_xlfn.XLOOKUP(A497&amp;B497&amp;C497,盘货信息!$A:$A&amp;盘货信息!$B:$B&amp;盘货信息!$C:$C,盘货信息!$J:$J)&amp;"元优惠卷"))</f>
        <v/>
      </c>
      <c r="I497" s="18" t="str">
        <f t="array" ref="I497">IF(C497="","",IF(_xlfn.XLOOKUP(A497&amp;B497&amp;C497,盘货信息!$A:$A&amp;盘货信息!$B:$B&amp;盘货信息!$C:$C,盘货信息!$R:$R)="","",_xlfn.XLOOKUP(A497&amp;B497&amp;C497,盘货信息!$A:$A&amp;盘货信息!$B:$B&amp;盘货信息!$C:$C,盘货信息!$R:$R)&amp;"元优惠卷"))</f>
        <v/>
      </c>
      <c r="J497" s="18" t="str">
        <f t="array" ref="J497">IF(C497="","",IF(_xlfn.XLOOKUP(A497&amp;B497&amp;C497,盘货信息!$A:$A&amp;盘货信息!$B:$B&amp;盘货信息!$C:$C,盘货信息!$K:$K)="","",IF(OR(_xlfn.XLOOKUP(A497&amp;B497&amp;C497,盘货信息!$A:$A&amp;盘货信息!$B:$B&amp;盘货信息!$C:$C,盘货信息!$G:$G)="参加",_xlfn.XLOOKUP(A497&amp;B497&amp;C497,盘货信息!$A:$A&amp;盘货信息!$B:$B&amp;盘货信息!$C:$C,盘货信息!$H:$H)="1（纯自补）"),_xlfn.XLOOKUP(A497&amp;B497&amp;C497,盘货信息!$A:$A&amp;盘货信息!$B:$B&amp;盘货信息!$C:$C,盘货信息!$K:$K)&amp;"元以旧换新（可无旧机换新）","")))</f>
        <v/>
      </c>
      <c r="K497" s="18" t="str">
        <f t="array" ref="K497">IF(C497="","",IF(_xlfn.XLOOKUP(A497&amp;B497&amp;C497,盘货信息!$A:$A&amp;盘货信息!$B:$B&amp;盘货信息!$C:$C,盘货信息!$L:$L)="","",_xlfn.XLOOKUP(A497&amp;B497&amp;C497,盘货信息!$A:$A&amp;盘货信息!$B:$B&amp;盘货信息!$C:$C,盘货信息!$L:$L)&amp;"元限时补贴"))</f>
        <v/>
      </c>
      <c r="L497" s="18" t="str">
        <f t="array" ref="L497">IF(C497="","",IF(_xlfn.XLOOKUP(A497&amp;B497&amp;C497,盘货信息!$A:$A&amp;盘货信息!$B:$B&amp;盘货信息!$C:$C,盘货信息!$M:$M)="","",_xlfn.XLOOKUP(A497&amp;B497&amp;C497,盘货信息!$A:$A&amp;盘货信息!$B:$B&amp;盘货信息!$C:$C,盘货信息!$M:$M)&amp;"元消费券"))</f>
        <v/>
      </c>
      <c r="M497" s="18" t="str">
        <f t="array" ref="M497">IF(C497="","",IF(_xlfn.XLOOKUP(A497&amp;B497&amp;C497,盘货信息!$A:$A&amp;盘货信息!$B:$B&amp;盘货信息!$C:$C,盘货信息!$G:$G)="不参加","","焕新补贴优惠【全民可用，不限地址】"))</f>
        <v/>
      </c>
    </row>
    <row r="498" customHeight="1" spans="1:13">
      <c r="A498" s="17" t="str">
        <f>IF(盘货信息!A498="","",盘货信息!A498)</f>
        <v/>
      </c>
      <c r="B498" s="17" t="str">
        <f>IF(盘货信息!B498="","",盘货信息!B498)</f>
        <v/>
      </c>
      <c r="C498" s="18" t="str">
        <f>IF(盘货信息!C498="","",盘货信息!C498)</f>
        <v/>
      </c>
      <c r="D498" s="18" t="str">
        <f t="shared" si="7"/>
        <v/>
      </c>
      <c r="E498" s="18" t="str">
        <f t="array" ref="E498">IF(C498="","",IF(_xlfn.XLOOKUP(A498&amp;B498&amp;C498,盘货信息!$A:$A&amp;盘货信息!$B:$B&amp;盘货信息!$C:$C,盘货信息!$N:$N)="","【立减到手价"&amp;_xlfn.XLOOKUP(A498&amp;B498&amp;C498,盘货信息!$A:$A&amp;盘货信息!$B:$B&amp;盘货信息!$C:$C,盘货信息!$F:$F)&amp;"元】","【焕新补贴预估价"&amp;_xlfn.XLOOKUP(A498&amp;B498&amp;C498,盘货信息!$A:$A&amp;盘货信息!$B:$B&amp;盘货信息!$C:$C,盘货信息!$N:$N)&amp;"元】"))</f>
        <v/>
      </c>
      <c r="F498" s="18" t="str">
        <f t="array" ref="F498">IF(C498="","",_xlfn.XLOOKUP(A498&amp;B498&amp;C498,盘货信息!$A:$A&amp;盘货信息!$B:$B&amp;盘货信息!$C:$C,盘货信息!$E:$E)&amp;"元到手价")</f>
        <v/>
      </c>
      <c r="G498" s="18" t="str">
        <f t="array" ref="G498">IF(C498="","",IF(_xlfn.XLOOKUP(A498&amp;B498&amp;C498,盘货信息!$A:$A&amp;盘货信息!$B:$B&amp;盘货信息!$C:$C,盘货信息!$I:$I)="","","88VIP95折"))</f>
        <v/>
      </c>
      <c r="H498" s="18" t="str">
        <f t="array" ref="H498">IF(C498="","",IF(_xlfn.XLOOKUP(A498&amp;B498&amp;C498,盘货信息!$A:$A&amp;盘货信息!$B:$B&amp;盘货信息!$C:$C,盘货信息!$J:$J)="","",_xlfn.XLOOKUP(A498&amp;B498&amp;C498,盘货信息!$A:$A&amp;盘货信息!$B:$B&amp;盘货信息!$C:$C,盘货信息!$J:$J)&amp;"元优惠卷"))</f>
        <v/>
      </c>
      <c r="I498" s="18" t="str">
        <f t="array" ref="I498">IF(C498="","",IF(_xlfn.XLOOKUP(A498&amp;B498&amp;C498,盘货信息!$A:$A&amp;盘货信息!$B:$B&amp;盘货信息!$C:$C,盘货信息!$R:$R)="","",_xlfn.XLOOKUP(A498&amp;B498&amp;C498,盘货信息!$A:$A&amp;盘货信息!$B:$B&amp;盘货信息!$C:$C,盘货信息!$R:$R)&amp;"元优惠卷"))</f>
        <v/>
      </c>
      <c r="J498" s="18" t="str">
        <f t="array" ref="J498">IF(C498="","",IF(_xlfn.XLOOKUP(A498&amp;B498&amp;C498,盘货信息!$A:$A&amp;盘货信息!$B:$B&amp;盘货信息!$C:$C,盘货信息!$K:$K)="","",IF(OR(_xlfn.XLOOKUP(A498&amp;B498&amp;C498,盘货信息!$A:$A&amp;盘货信息!$B:$B&amp;盘货信息!$C:$C,盘货信息!$G:$G)="参加",_xlfn.XLOOKUP(A498&amp;B498&amp;C498,盘货信息!$A:$A&amp;盘货信息!$B:$B&amp;盘货信息!$C:$C,盘货信息!$H:$H)="1（纯自补）"),_xlfn.XLOOKUP(A498&amp;B498&amp;C498,盘货信息!$A:$A&amp;盘货信息!$B:$B&amp;盘货信息!$C:$C,盘货信息!$K:$K)&amp;"元以旧换新（可无旧机换新）","")))</f>
        <v/>
      </c>
      <c r="K498" s="18" t="str">
        <f t="array" ref="K498">IF(C498="","",IF(_xlfn.XLOOKUP(A498&amp;B498&amp;C498,盘货信息!$A:$A&amp;盘货信息!$B:$B&amp;盘货信息!$C:$C,盘货信息!$L:$L)="","",_xlfn.XLOOKUP(A498&amp;B498&amp;C498,盘货信息!$A:$A&amp;盘货信息!$B:$B&amp;盘货信息!$C:$C,盘货信息!$L:$L)&amp;"元限时补贴"))</f>
        <v/>
      </c>
      <c r="L498" s="18" t="str">
        <f t="array" ref="L498">IF(C498="","",IF(_xlfn.XLOOKUP(A498&amp;B498&amp;C498,盘货信息!$A:$A&amp;盘货信息!$B:$B&amp;盘货信息!$C:$C,盘货信息!$M:$M)="","",_xlfn.XLOOKUP(A498&amp;B498&amp;C498,盘货信息!$A:$A&amp;盘货信息!$B:$B&amp;盘货信息!$C:$C,盘货信息!$M:$M)&amp;"元消费券"))</f>
        <v/>
      </c>
      <c r="M498" s="18" t="str">
        <f t="array" ref="M498">IF(C498="","",IF(_xlfn.XLOOKUP(A498&amp;B498&amp;C498,盘货信息!$A:$A&amp;盘货信息!$B:$B&amp;盘货信息!$C:$C,盘货信息!$G:$G)="不参加","","焕新补贴优惠【全民可用，不限地址】"))</f>
        <v/>
      </c>
    </row>
    <row r="499" customHeight="1" spans="1:13">
      <c r="A499" s="17" t="str">
        <f>IF(盘货信息!A499="","",盘货信息!A499)</f>
        <v/>
      </c>
      <c r="B499" s="17" t="str">
        <f>IF(盘货信息!B499="","",盘货信息!B499)</f>
        <v/>
      </c>
      <c r="C499" s="18" t="str">
        <f>IF(盘货信息!C499="","",盘货信息!C499)</f>
        <v/>
      </c>
      <c r="D499" s="18" t="str">
        <f t="shared" si="7"/>
        <v/>
      </c>
      <c r="E499" s="18" t="str">
        <f t="array" ref="E499">IF(C499="","",IF(_xlfn.XLOOKUP(A499&amp;B499&amp;C499,盘货信息!$A:$A&amp;盘货信息!$B:$B&amp;盘货信息!$C:$C,盘货信息!$N:$N)="","【立减到手价"&amp;_xlfn.XLOOKUP(A499&amp;B499&amp;C499,盘货信息!$A:$A&amp;盘货信息!$B:$B&amp;盘货信息!$C:$C,盘货信息!$F:$F)&amp;"元】","【焕新补贴预估价"&amp;_xlfn.XLOOKUP(A499&amp;B499&amp;C499,盘货信息!$A:$A&amp;盘货信息!$B:$B&amp;盘货信息!$C:$C,盘货信息!$N:$N)&amp;"元】"))</f>
        <v/>
      </c>
      <c r="F499" s="18" t="str">
        <f t="array" ref="F499">IF(C499="","",_xlfn.XLOOKUP(A499&amp;B499&amp;C499,盘货信息!$A:$A&amp;盘货信息!$B:$B&amp;盘货信息!$C:$C,盘货信息!$E:$E)&amp;"元到手价")</f>
        <v/>
      </c>
      <c r="G499" s="18" t="str">
        <f t="array" ref="G499">IF(C499="","",IF(_xlfn.XLOOKUP(A499&amp;B499&amp;C499,盘货信息!$A:$A&amp;盘货信息!$B:$B&amp;盘货信息!$C:$C,盘货信息!$I:$I)="","","88VIP95折"))</f>
        <v/>
      </c>
      <c r="H499" s="18" t="str">
        <f t="array" ref="H499">IF(C499="","",IF(_xlfn.XLOOKUP(A499&amp;B499&amp;C499,盘货信息!$A:$A&amp;盘货信息!$B:$B&amp;盘货信息!$C:$C,盘货信息!$J:$J)="","",_xlfn.XLOOKUP(A499&amp;B499&amp;C499,盘货信息!$A:$A&amp;盘货信息!$B:$B&amp;盘货信息!$C:$C,盘货信息!$J:$J)&amp;"元优惠卷"))</f>
        <v/>
      </c>
      <c r="I499" s="18" t="str">
        <f t="array" ref="I499">IF(C499="","",IF(_xlfn.XLOOKUP(A499&amp;B499&amp;C499,盘货信息!$A:$A&amp;盘货信息!$B:$B&amp;盘货信息!$C:$C,盘货信息!$R:$R)="","",_xlfn.XLOOKUP(A499&amp;B499&amp;C499,盘货信息!$A:$A&amp;盘货信息!$B:$B&amp;盘货信息!$C:$C,盘货信息!$R:$R)&amp;"元优惠卷"))</f>
        <v/>
      </c>
      <c r="J499" s="18" t="str">
        <f t="array" ref="J499">IF(C499="","",IF(_xlfn.XLOOKUP(A499&amp;B499&amp;C499,盘货信息!$A:$A&amp;盘货信息!$B:$B&amp;盘货信息!$C:$C,盘货信息!$K:$K)="","",IF(OR(_xlfn.XLOOKUP(A499&amp;B499&amp;C499,盘货信息!$A:$A&amp;盘货信息!$B:$B&amp;盘货信息!$C:$C,盘货信息!$G:$G)="参加",_xlfn.XLOOKUP(A499&amp;B499&amp;C499,盘货信息!$A:$A&amp;盘货信息!$B:$B&amp;盘货信息!$C:$C,盘货信息!$H:$H)="1（纯自补）"),_xlfn.XLOOKUP(A499&amp;B499&amp;C499,盘货信息!$A:$A&amp;盘货信息!$B:$B&amp;盘货信息!$C:$C,盘货信息!$K:$K)&amp;"元以旧换新（可无旧机换新）","")))</f>
        <v/>
      </c>
      <c r="K499" s="18" t="str">
        <f t="array" ref="K499">IF(C499="","",IF(_xlfn.XLOOKUP(A499&amp;B499&amp;C499,盘货信息!$A:$A&amp;盘货信息!$B:$B&amp;盘货信息!$C:$C,盘货信息!$L:$L)="","",_xlfn.XLOOKUP(A499&amp;B499&amp;C499,盘货信息!$A:$A&amp;盘货信息!$B:$B&amp;盘货信息!$C:$C,盘货信息!$L:$L)&amp;"元限时补贴"))</f>
        <v/>
      </c>
      <c r="L499" s="18" t="str">
        <f t="array" ref="L499">IF(C499="","",IF(_xlfn.XLOOKUP(A499&amp;B499&amp;C499,盘货信息!$A:$A&amp;盘货信息!$B:$B&amp;盘货信息!$C:$C,盘货信息!$M:$M)="","",_xlfn.XLOOKUP(A499&amp;B499&amp;C499,盘货信息!$A:$A&amp;盘货信息!$B:$B&amp;盘货信息!$C:$C,盘货信息!$M:$M)&amp;"元消费券"))</f>
        <v/>
      </c>
      <c r="M499" s="18" t="str">
        <f t="array" ref="M499">IF(C499="","",IF(_xlfn.XLOOKUP(A499&amp;B499&amp;C499,盘货信息!$A:$A&amp;盘货信息!$B:$B&amp;盘货信息!$C:$C,盘货信息!$G:$G)="不参加","","焕新补贴优惠【全民可用，不限地址】"))</f>
        <v/>
      </c>
    </row>
    <row r="500" customHeight="1" spans="1:13">
      <c r="A500" s="17" t="str">
        <f>IF(盘货信息!A500="","",盘货信息!A500)</f>
        <v/>
      </c>
      <c r="B500" s="17" t="str">
        <f>IF(盘货信息!B500="","",盘货信息!B500)</f>
        <v/>
      </c>
      <c r="C500" s="18" t="str">
        <f>IF(盘货信息!C500="","",盘货信息!C500)</f>
        <v/>
      </c>
      <c r="D500" s="18" t="str">
        <f t="shared" si="7"/>
        <v/>
      </c>
      <c r="E500" s="18" t="str">
        <f t="array" ref="E500">IF(C500="","",IF(_xlfn.XLOOKUP(A500&amp;B500&amp;C500,盘货信息!$A:$A&amp;盘货信息!$B:$B&amp;盘货信息!$C:$C,盘货信息!$N:$N)="","【立减到手价"&amp;_xlfn.XLOOKUP(A500&amp;B500&amp;C500,盘货信息!$A:$A&amp;盘货信息!$B:$B&amp;盘货信息!$C:$C,盘货信息!$F:$F)&amp;"元】","【焕新补贴预估价"&amp;_xlfn.XLOOKUP(A500&amp;B500&amp;C500,盘货信息!$A:$A&amp;盘货信息!$B:$B&amp;盘货信息!$C:$C,盘货信息!$N:$N)&amp;"元】"))</f>
        <v/>
      </c>
      <c r="F500" s="18" t="str">
        <f t="array" ref="F500">IF(C500="","",_xlfn.XLOOKUP(A500&amp;B500&amp;C500,盘货信息!$A:$A&amp;盘货信息!$B:$B&amp;盘货信息!$C:$C,盘货信息!$E:$E)&amp;"元到手价")</f>
        <v/>
      </c>
      <c r="G500" s="18" t="str">
        <f t="array" ref="G500">IF(C500="","",IF(_xlfn.XLOOKUP(A500&amp;B500&amp;C500,盘货信息!$A:$A&amp;盘货信息!$B:$B&amp;盘货信息!$C:$C,盘货信息!$I:$I)="","","88VIP95折"))</f>
        <v/>
      </c>
      <c r="H500" s="18" t="str">
        <f t="array" ref="H500">IF(C500="","",IF(_xlfn.XLOOKUP(A500&amp;B500&amp;C500,盘货信息!$A:$A&amp;盘货信息!$B:$B&amp;盘货信息!$C:$C,盘货信息!$J:$J)="","",_xlfn.XLOOKUP(A500&amp;B500&amp;C500,盘货信息!$A:$A&amp;盘货信息!$B:$B&amp;盘货信息!$C:$C,盘货信息!$J:$J)&amp;"元优惠卷"))</f>
        <v/>
      </c>
      <c r="I500" s="18" t="str">
        <f t="array" ref="I500">IF(C500="","",IF(_xlfn.XLOOKUP(A500&amp;B500&amp;C500,盘货信息!$A:$A&amp;盘货信息!$B:$B&amp;盘货信息!$C:$C,盘货信息!$R:$R)="","",_xlfn.XLOOKUP(A500&amp;B500&amp;C500,盘货信息!$A:$A&amp;盘货信息!$B:$B&amp;盘货信息!$C:$C,盘货信息!$R:$R)&amp;"元优惠卷"))</f>
        <v/>
      </c>
      <c r="J500" s="18" t="str">
        <f t="array" ref="J500">IF(C500="","",IF(_xlfn.XLOOKUP(A500&amp;B500&amp;C500,盘货信息!$A:$A&amp;盘货信息!$B:$B&amp;盘货信息!$C:$C,盘货信息!$K:$K)="","",IF(OR(_xlfn.XLOOKUP(A500&amp;B500&amp;C500,盘货信息!$A:$A&amp;盘货信息!$B:$B&amp;盘货信息!$C:$C,盘货信息!$G:$G)="参加",_xlfn.XLOOKUP(A500&amp;B500&amp;C500,盘货信息!$A:$A&amp;盘货信息!$B:$B&amp;盘货信息!$C:$C,盘货信息!$H:$H)="1（纯自补）"),_xlfn.XLOOKUP(A500&amp;B500&amp;C500,盘货信息!$A:$A&amp;盘货信息!$B:$B&amp;盘货信息!$C:$C,盘货信息!$K:$K)&amp;"元以旧换新（可无旧机换新）","")))</f>
        <v/>
      </c>
      <c r="K500" s="18" t="str">
        <f t="array" ref="K500">IF(C500="","",IF(_xlfn.XLOOKUP(A500&amp;B500&amp;C500,盘货信息!$A:$A&amp;盘货信息!$B:$B&amp;盘货信息!$C:$C,盘货信息!$L:$L)="","",_xlfn.XLOOKUP(A500&amp;B500&amp;C500,盘货信息!$A:$A&amp;盘货信息!$B:$B&amp;盘货信息!$C:$C,盘货信息!$L:$L)&amp;"元限时补贴"))</f>
        <v/>
      </c>
      <c r="L500" s="18" t="str">
        <f t="array" ref="L500">IF(C500="","",IF(_xlfn.XLOOKUP(A500&amp;B500&amp;C500,盘货信息!$A:$A&amp;盘货信息!$B:$B&amp;盘货信息!$C:$C,盘货信息!$M:$M)="","",_xlfn.XLOOKUP(A500&amp;B500&amp;C500,盘货信息!$A:$A&amp;盘货信息!$B:$B&amp;盘货信息!$C:$C,盘货信息!$M:$M)&amp;"元消费券"))</f>
        <v/>
      </c>
      <c r="M500" s="18" t="str">
        <f t="array" ref="M500">IF(C500="","",IF(_xlfn.XLOOKUP(A500&amp;B500&amp;C500,盘货信息!$A:$A&amp;盘货信息!$B:$B&amp;盘货信息!$C:$C,盘货信息!$G:$G)="不参加","","焕新补贴优惠【全民可用，不限地址】"))</f>
        <v/>
      </c>
    </row>
    <row r="501" customHeight="1" spans="1:13">
      <c r="A501" s="17" t="str">
        <f>IF(盘货信息!A501="","",盘货信息!A501)</f>
        <v/>
      </c>
      <c r="B501" s="17" t="str">
        <f>IF(盘货信息!B501="","",盘货信息!B501)</f>
        <v/>
      </c>
      <c r="C501" s="18" t="str">
        <f>IF(盘货信息!C501="","",盘货信息!C501)</f>
        <v/>
      </c>
      <c r="D501" s="18" t="str">
        <f t="shared" si="7"/>
        <v/>
      </c>
      <c r="E501" s="18" t="str">
        <f t="array" ref="E501">IF(C501="","",IF(_xlfn.XLOOKUP(A501&amp;B501&amp;C501,盘货信息!$A:$A&amp;盘货信息!$B:$B&amp;盘货信息!$C:$C,盘货信息!$N:$N)="","【立减到手价"&amp;_xlfn.XLOOKUP(A501&amp;B501&amp;C501,盘货信息!$A:$A&amp;盘货信息!$B:$B&amp;盘货信息!$C:$C,盘货信息!$F:$F)&amp;"元】","【焕新补贴预估价"&amp;_xlfn.XLOOKUP(A501&amp;B501&amp;C501,盘货信息!$A:$A&amp;盘货信息!$B:$B&amp;盘货信息!$C:$C,盘货信息!$N:$N)&amp;"元】"))</f>
        <v/>
      </c>
      <c r="F501" s="18" t="str">
        <f t="array" ref="F501">IF(C501="","",_xlfn.XLOOKUP(A501&amp;B501&amp;C501,盘货信息!$A:$A&amp;盘货信息!$B:$B&amp;盘货信息!$C:$C,盘货信息!$E:$E)&amp;"元到手价")</f>
        <v/>
      </c>
      <c r="G501" s="18" t="str">
        <f t="array" ref="G501">IF(C501="","",IF(_xlfn.XLOOKUP(A501&amp;B501&amp;C501,盘货信息!$A:$A&amp;盘货信息!$B:$B&amp;盘货信息!$C:$C,盘货信息!$I:$I)="","","88VIP95折"))</f>
        <v/>
      </c>
      <c r="H501" s="18" t="str">
        <f t="array" ref="H501">IF(C501="","",IF(_xlfn.XLOOKUP(A501&amp;B501&amp;C501,盘货信息!$A:$A&amp;盘货信息!$B:$B&amp;盘货信息!$C:$C,盘货信息!$J:$J)="","",_xlfn.XLOOKUP(A501&amp;B501&amp;C501,盘货信息!$A:$A&amp;盘货信息!$B:$B&amp;盘货信息!$C:$C,盘货信息!$J:$J)&amp;"元优惠卷"))</f>
        <v/>
      </c>
      <c r="I501" s="18" t="str">
        <f t="array" ref="I501">IF(C501="","",IF(_xlfn.XLOOKUP(A501&amp;B501&amp;C501,盘货信息!$A:$A&amp;盘货信息!$B:$B&amp;盘货信息!$C:$C,盘货信息!$R:$R)="","",_xlfn.XLOOKUP(A501&amp;B501&amp;C501,盘货信息!$A:$A&amp;盘货信息!$B:$B&amp;盘货信息!$C:$C,盘货信息!$R:$R)&amp;"元优惠卷"))</f>
        <v/>
      </c>
      <c r="J501" s="18" t="str">
        <f t="array" ref="J501">IF(C501="","",IF(_xlfn.XLOOKUP(A501&amp;B501&amp;C501,盘货信息!$A:$A&amp;盘货信息!$B:$B&amp;盘货信息!$C:$C,盘货信息!$K:$K)="","",IF(OR(_xlfn.XLOOKUP(A501&amp;B501&amp;C501,盘货信息!$A:$A&amp;盘货信息!$B:$B&amp;盘货信息!$C:$C,盘货信息!$G:$G)="参加",_xlfn.XLOOKUP(A501&amp;B501&amp;C501,盘货信息!$A:$A&amp;盘货信息!$B:$B&amp;盘货信息!$C:$C,盘货信息!$H:$H)="1（纯自补）"),_xlfn.XLOOKUP(A501&amp;B501&amp;C501,盘货信息!$A:$A&amp;盘货信息!$B:$B&amp;盘货信息!$C:$C,盘货信息!$K:$K)&amp;"元以旧换新（可无旧机换新）","")))</f>
        <v/>
      </c>
      <c r="K501" s="18" t="str">
        <f t="array" ref="K501">IF(C501="","",IF(_xlfn.XLOOKUP(A501&amp;B501&amp;C501,盘货信息!$A:$A&amp;盘货信息!$B:$B&amp;盘货信息!$C:$C,盘货信息!$L:$L)="","",_xlfn.XLOOKUP(A501&amp;B501&amp;C501,盘货信息!$A:$A&amp;盘货信息!$B:$B&amp;盘货信息!$C:$C,盘货信息!$L:$L)&amp;"元限时补贴"))</f>
        <v/>
      </c>
      <c r="L501" s="18" t="str">
        <f t="array" ref="L501">IF(C501="","",IF(_xlfn.XLOOKUP(A501&amp;B501&amp;C501,盘货信息!$A:$A&amp;盘货信息!$B:$B&amp;盘货信息!$C:$C,盘货信息!$M:$M)="","",_xlfn.XLOOKUP(A501&amp;B501&amp;C501,盘货信息!$A:$A&amp;盘货信息!$B:$B&amp;盘货信息!$C:$C,盘货信息!$M:$M)&amp;"元消费券"))</f>
        <v/>
      </c>
      <c r="M501" s="18" t="str">
        <f t="array" ref="M501">IF(C501="","",IF(_xlfn.XLOOKUP(A501&amp;B501&amp;C501,盘货信息!$A:$A&amp;盘货信息!$B:$B&amp;盘货信息!$C:$C,盘货信息!$G:$G)="不参加","","焕新补贴优惠【全民可用，不限地址】"))</f>
        <v/>
      </c>
    </row>
  </sheetData>
  <autoFilter xmlns:etc="http://www.wps.cn/officeDocument/2017/etCustomData" ref="A1:M50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50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8.88888888888889" defaultRowHeight="15" customHeight="1"/>
  <cols>
    <col min="1" max="1" width="23.1111111111111" style="12" customWidth="1"/>
    <col min="2" max="2" width="23.6296296296296" style="12" customWidth="1"/>
    <col min="3" max="4" width="34.0740740740741" style="13" customWidth="1"/>
    <col min="5" max="14" width="15.7777777777778" style="13" customWidth="1"/>
  </cols>
  <sheetData>
    <row r="1" customHeight="1" spans="1:14">
      <c r="A1" s="14" t="str">
        <f>IF(盘货信息!A1="","",盘货信息!A1)</f>
        <v>ID</v>
      </c>
      <c r="B1" s="14" t="str">
        <f>IF(盘货信息!B1="","",盘货信息!B1)</f>
        <v>SKUID</v>
      </c>
      <c r="C1" s="15" t="str">
        <f>IF(盘货信息!C1="","",盘货信息!C1)</f>
        <v>型号</v>
      </c>
      <c r="D1" s="15" t="s">
        <v>18</v>
      </c>
      <c r="E1" s="16" t="s">
        <v>45</v>
      </c>
      <c r="F1" s="16" t="s">
        <v>46</v>
      </c>
      <c r="G1" s="16" t="s">
        <v>47</v>
      </c>
      <c r="H1" s="16" t="s">
        <v>48</v>
      </c>
      <c r="I1" s="16" t="s">
        <v>49</v>
      </c>
      <c r="J1" s="15">
        <v>1</v>
      </c>
      <c r="K1" s="15">
        <v>2</v>
      </c>
      <c r="L1" s="15">
        <v>3</v>
      </c>
      <c r="M1" s="15">
        <v>4</v>
      </c>
      <c r="N1" s="15">
        <v>5</v>
      </c>
    </row>
    <row r="2" customHeight="1" spans="1:14">
      <c r="A2" s="17" t="str">
        <f>IF(盘货信息!A2="","",盘货信息!A2)</f>
        <v/>
      </c>
      <c r="B2" s="17" t="str">
        <f>IF(盘货信息!B2="","",盘货信息!B2)</f>
        <v/>
      </c>
      <c r="C2" s="18" t="str">
        <f>IF(盘货信息!C2="","",盘货信息!C2)</f>
        <v/>
      </c>
      <c r="D2" s="18" t="str">
        <f t="shared" ref="D2:D65" si="0">_xlfn.TEXTJOIN(CHAR(10),TRUE,E2:I2)</f>
        <v/>
      </c>
      <c r="E2" s="18" t="str">
        <f>_xlfn.LET(_xlpm.A,IF(ISNUMBER(SEARCH("晒单",J2)),"【晒单】"&amp;MID(J2,SEARCH("晒单",J2)+LEN("晒单"),LEN(J2))&amp;"（需晒单后联系客服登记）",IF(ISNUMBER(SEARCH("包修",J2)),"【购机】"&amp;MID(J2,SEARCH("购机",J2)+LEN("购机"),LEN(J2)),IF(ISNUMBER(SEARCH("叠放支架",J2)),"【赠品】"&amp;MID(J2,SEARCH("购机",J2)+LEN("购机"),LEN(J2)),IF(ISNUMBER(SEARCH("秀图",J2)),"【秀图】"&amp;MID(J2,SEARCH("秀图",J2)+LEN("秀图"),LEN(J2)),IF(J2="*","【赠品】"&amp;J2,""))))),IFERROR(LEFT(_xlpm.A,FIND("【",_xlpm.A,FIND("】",_xlpm.A)+1)-1)&amp;MID(_xlpm.A,FIND("】",_xlpm.A,FIND("】",_xlpm.A)+1)+1,LEN(_xlpm.A)),_xlpm.A))</f>
        <v/>
      </c>
      <c r="F2" s="18" t="str">
        <f>_xlfn.LET(_xlpm.A,IF(ISNUMBER(SEARCH("晒单",K2)),"【晒单】"&amp;MID(K2,SEARCH("晒单",K2)+LEN("晒单"),LEN(K2))&amp;"（需晒单后联系客服登记）",IF(ISNUMBER(SEARCH("包修",K2)),"【购机】"&amp;MID(K2,SEARCH("购机",K2)+LEN("购机"),LEN(K2)),IF(ISNUMBER(SEARCH("叠放支架",K2)),"【赠品】"&amp;MID(K2,SEARCH("购机",K2)+LEN("购机"),LEN(K2)),IF(ISNUMBER(SEARCH("秀图",K2)),"【秀图】"&amp;MID(K2,SEARCH("秀图",K2)+LEN("秀图"),LEN(K2)),"")))),IFERROR(LEFT(_xlpm.A,FIND("【",_xlpm.A,FIND("】",_xlpm.A)+1)-1)&amp;MID(_xlpm.A,FIND("】",_xlpm.A,FIND("】",_xlpm.A)+1)+1,LEN(_xlpm.A)),_xlpm.A))</f>
        <v/>
      </c>
      <c r="G2" s="18" t="str">
        <f>_xlfn.LET(_xlpm.A,IF(ISNUMBER(SEARCH("晒单",L2)),"【晒单】"&amp;MID(L2,SEARCH("晒单",L2)+LEN("晒单"),LEN(L2))&amp;"（需晒单后联系客服登记）",IF(ISNUMBER(SEARCH("包修",L2)),"【购机】"&amp;MID(L2,SEARCH("购机",L2)+LEN("购机"),LEN(L2)),IF(ISNUMBER(SEARCH("叠放支架",L2)),"【赠品】"&amp;MID(L2,SEARCH("购机",L2)+LEN("购机"),LEN(L2)),IF(ISNUMBER(SEARCH("秀图",L2)),"【秀图】"&amp;MID(L2,SEARCH("秀图",L2)+LEN("秀图"),LEN(L2)),"")))),IFERROR(LEFT(_xlpm.A,FIND("【",_xlpm.A,FIND("】",_xlpm.A)+1)-1)&amp;MID(_xlpm.A,FIND("】",_xlpm.A,FIND("】",_xlpm.A)+1)+1,LEN(_xlpm.A)),_xlpm.A))</f>
        <v/>
      </c>
      <c r="H2" s="18" t="str">
        <f>_xlfn.LET(_xlpm.A,IF(ISNUMBER(SEARCH("晒单",M2)),"【晒单】"&amp;MID(M2,SEARCH("晒单",M2)+LEN("晒单"),LEN(M2))&amp;"（需晒单后联系客服登记）",IF(ISNUMBER(SEARCH("包修",M2)),"【购机】"&amp;MID(M2,SEARCH("购机",M2)+LEN("购机"),LEN(M2)),IF(ISNUMBER(SEARCH("叠放支架",M2)),"【赠品】"&amp;MID(M2,SEARCH("购机",M2)+LEN("购机"),LEN(M2)),IF(ISNUMBER(SEARCH("秀图",M2)),"【秀图】"&amp;MID(M2,SEARCH("秀图",M2)+LEN("秀图"),LEN(M2)),"")))),IFERROR(LEFT(_xlpm.A,FIND("【",_xlpm.A,FIND("】",_xlpm.A)+1)-1)&amp;MID(_xlpm.A,FIND("】",_xlpm.A,FIND("】",_xlpm.A)+1)+1,LEN(_xlpm.A)),_xlpm.A))</f>
        <v/>
      </c>
      <c r="I2" s="18" t="str">
        <f>_xlfn.LET(_xlpm.A,IF(ISNUMBER(SEARCH("晒单",N2)),"【晒单】"&amp;MID(N2,SEARCH("晒单",N2)+LEN("晒单"),LEN(N2))&amp;"（需晒单后联系客服登记）",IF(ISNUMBER(SEARCH("包修",N2)),"【购机】"&amp;MID(N2,SEARCH("购机",N2)+LEN("购机"),LEN(N2)),IF(ISNUMBER(SEARCH("叠放支架",N2)),"【赠品】"&amp;MID(N2,SEARCH("购机",N2)+LEN("购机"),LEN(N2)),IF(ISNUMBER(SEARCH("秀图",N2)),"【秀图】"&amp;MID(N2,SEARCH("秀图",N2)+LEN("秀图"),LEN(N2)),"")))),IFERROR(LEFT(_xlpm.A,FIND("【",_xlpm.A,FIND("】",_xlpm.A)+1)-1)&amp;MID(_xlpm.A,FIND("】",_xlpm.A,FIND("】",_xlpm.A)+1)+1,LEN(_xlpm.A)),_xlpm.A))</f>
        <v/>
      </c>
      <c r="J2" s="18" t="str" cm="1">
        <f t="array" ref="J2">IFERROR(INDEX(_xlfn.TEXTSPLIT(_xlfn.XLOOKUP($A2&amp;$B2&amp;$C2,盘货信息!$A:$A&amp;盘货信息!$B:$B&amp;盘货信息!$C:$C,盘货信息!$S:$S),CHAR(10),,TRUE),1,COLUMN(A1)),"")</f>
        <v/>
      </c>
      <c r="K2" s="18" t="str" cm="1">
        <f t="array" ref="K2">IFERROR(INDEX(_xlfn.TEXTSPLIT(_xlfn.XLOOKUP($A2&amp;$B2&amp;$C2,盘货信息!$A:$A&amp;盘货信息!$B:$B&amp;盘货信息!$C:$C,盘货信息!$S:$S),CHAR(10),,TRUE),1,COLUMN(B1)),"")</f>
        <v/>
      </c>
      <c r="L2" s="18" t="str" cm="1">
        <f t="array" ref="L2">IFERROR(INDEX(_xlfn.TEXTSPLIT(_xlfn.XLOOKUP($A2&amp;$B2&amp;$C2,盘货信息!$A:$A&amp;盘货信息!$B:$B&amp;盘货信息!$C:$C,盘货信息!$S:$S),CHAR(10),,TRUE),1,COLUMN(C1)),"")</f>
        <v/>
      </c>
      <c r="M2" s="18" t="str" cm="1">
        <f t="array" ref="M2">IFERROR(INDEX(_xlfn.TEXTSPLIT(_xlfn.XLOOKUP($A2&amp;$B2&amp;$C2,盘货信息!$A:$A&amp;盘货信息!$B:$B&amp;盘货信息!$C:$C,盘货信息!$S:$S),CHAR(10),,TRUE),1,COLUMN(D1)),"")</f>
        <v/>
      </c>
      <c r="N2" s="18" t="str" cm="1">
        <f t="array" ref="N2">IFERROR(INDEX(_xlfn.TEXTSPLIT(_xlfn.XLOOKUP($A2&amp;$B2&amp;$C2,盘货信息!$A:$A&amp;盘货信息!$B:$B&amp;盘货信息!$C:$C,盘货信息!$S:$S),CHAR(10),,TRUE),1,COLUMN(E1)),"")</f>
        <v/>
      </c>
    </row>
    <row r="3" customHeight="1" spans="1:14">
      <c r="A3" s="17" t="str">
        <f>IF(盘货信息!A3="","",盘货信息!A3)</f>
        <v/>
      </c>
      <c r="B3" s="17" t="str">
        <f>IF(盘货信息!B3="","",盘货信息!B3)</f>
        <v/>
      </c>
      <c r="C3" s="18" t="str">
        <f>IF(盘货信息!C3="","",盘货信息!C3)</f>
        <v/>
      </c>
      <c r="D3" s="18" t="str">
        <f t="shared" si="0"/>
        <v/>
      </c>
      <c r="E3" s="18" t="str">
        <f>_xlfn.LET(_xlpm.A,IF(ISNUMBER(SEARCH("晒单",J3)),"【晒单】"&amp;MID(J3,SEARCH("晒单",J3)+LEN("晒单"),LEN(J3))&amp;"（需晒单后联系客服登记）",IF(ISNUMBER(SEARCH("包修",J3)),"【购机】"&amp;MID(J3,SEARCH("购机",J3)+LEN("购机"),LEN(J3)),IF(ISNUMBER(SEARCH("叠放支架",J3)),"【赠品】"&amp;MID(J3,SEARCH("购机",J3)+LEN("购机"),LEN(J3)),IF(ISNUMBER(SEARCH("秀图",J3)),"【秀图】"&amp;MID(J3,SEARCH("秀图",J3)+LEN("秀图"),LEN(J3)),"")))),IFERROR(LEFT(_xlpm.A,FIND("【",_xlpm.A,FIND("】",_xlpm.A)+1)-1)&amp;MID(_xlpm.A,FIND("】",_xlpm.A,FIND("】",_xlpm.A)+1)+1,LEN(_xlpm.A)),_xlpm.A))</f>
        <v/>
      </c>
      <c r="F3" s="18" t="str">
        <f>_xlfn.LET(_xlpm.A,IF(ISNUMBER(SEARCH("晒单",K3)),"【晒单】"&amp;MID(K3,SEARCH("晒单",K3)+LEN("晒单"),LEN(K3))&amp;"（需晒单后联系客服登记）",IF(ISNUMBER(SEARCH("包修",K3)),"【购机】"&amp;MID(K3,SEARCH("购机",K3)+LEN("购机"),LEN(K3)),IF(ISNUMBER(SEARCH("叠放支架",K3)),"【赠品】"&amp;MID(K3,SEARCH("购机",K3)+LEN("购机"),LEN(K3)),IF(ISNUMBER(SEARCH("秀图",K3)),"【秀图】"&amp;MID(K3,SEARCH("秀图",K3)+LEN("秀图"),LEN(K3)),"")))),IFERROR(LEFT(_xlpm.A,FIND("【",_xlpm.A,FIND("】",_xlpm.A)+1)-1)&amp;MID(_xlpm.A,FIND("】",_xlpm.A,FIND("】",_xlpm.A)+1)+1,LEN(_xlpm.A)),_xlpm.A))</f>
        <v/>
      </c>
      <c r="G3" s="18" t="str">
        <f>_xlfn.LET(_xlpm.A,IF(ISNUMBER(SEARCH("晒单",L3)),"【晒单】"&amp;MID(L3,SEARCH("晒单",L3)+LEN("晒单"),LEN(L3))&amp;"（需晒单后联系客服登记）",IF(ISNUMBER(SEARCH("包修",L3)),"【购机】"&amp;MID(L3,SEARCH("购机",L3)+LEN("购机"),LEN(L3)),IF(ISNUMBER(SEARCH("叠放支架",L3)),"【赠品】"&amp;MID(L3,SEARCH("购机",L3)+LEN("购机"),LEN(L3)),IF(ISNUMBER(SEARCH("秀图",L3)),"【秀图】"&amp;MID(L3,SEARCH("秀图",L3)+LEN("秀图"),LEN(L3)),"")))),IFERROR(LEFT(_xlpm.A,FIND("【",_xlpm.A,FIND("】",_xlpm.A)+1)-1)&amp;MID(_xlpm.A,FIND("】",_xlpm.A,FIND("】",_xlpm.A)+1)+1,LEN(_xlpm.A)),_xlpm.A))</f>
        <v/>
      </c>
      <c r="H3" s="18" t="str">
        <f>_xlfn.LET(_xlpm.A,IF(ISNUMBER(SEARCH("晒单",M3)),"【晒单】"&amp;MID(M3,SEARCH("晒单",M3)+LEN("晒单"),LEN(M3))&amp;"（需晒单后联系客服登记）",IF(ISNUMBER(SEARCH("包修",M3)),"【购机】"&amp;MID(M3,SEARCH("购机",M3)+LEN("购机"),LEN(M3)),IF(ISNUMBER(SEARCH("叠放支架",M3)),"【赠品】"&amp;MID(M3,SEARCH("购机",M3)+LEN("购机"),LEN(M3)),IF(ISNUMBER(SEARCH("秀图",M3)),"【秀图】"&amp;MID(M3,SEARCH("秀图",M3)+LEN("秀图"),LEN(M3)),"")))),IFERROR(LEFT(_xlpm.A,FIND("【",_xlpm.A,FIND("】",_xlpm.A)+1)-1)&amp;MID(_xlpm.A,FIND("】",_xlpm.A,FIND("】",_xlpm.A)+1)+1,LEN(_xlpm.A)),_xlpm.A))</f>
        <v/>
      </c>
      <c r="I3" s="18" t="str">
        <f>_xlfn.LET(_xlpm.A,IF(ISNUMBER(SEARCH("晒单",N3)),"【晒单】"&amp;MID(N3,SEARCH("晒单",N3)+LEN("晒单"),LEN(N3))&amp;"（需晒单后联系客服登记）",IF(ISNUMBER(SEARCH("包修",N3)),"【购机】"&amp;MID(N3,SEARCH("购机",N3)+LEN("购机"),LEN(N3)),IF(ISNUMBER(SEARCH("叠放支架",N3)),"【赠品】"&amp;MID(N3,SEARCH("购机",N3)+LEN("购机"),LEN(N3)),IF(ISNUMBER(SEARCH("秀图",N3)),"【秀图】"&amp;MID(N3,SEARCH("秀图",N3)+LEN("秀图"),LEN(N3)),"")))),IFERROR(LEFT(_xlpm.A,FIND("【",_xlpm.A,FIND("】",_xlpm.A)+1)-1)&amp;MID(_xlpm.A,FIND("】",_xlpm.A,FIND("】",_xlpm.A)+1)+1,LEN(_xlpm.A)),_xlpm.A))</f>
        <v/>
      </c>
      <c r="J3" s="18" t="str" cm="1">
        <f t="array" ref="J3">IFERROR(INDEX(_xlfn.TEXTSPLIT(_xlfn.XLOOKUP($A3&amp;$B3&amp;$C3,盘货信息!$A:$A&amp;盘货信息!$B:$B&amp;盘货信息!$C:$C,盘货信息!$S:$S),CHAR(10),,TRUE),1,COLUMN(A2)),"")</f>
        <v/>
      </c>
      <c r="K3" s="18" t="str" cm="1">
        <f t="array" ref="K3">IFERROR(INDEX(_xlfn.TEXTSPLIT(_xlfn.XLOOKUP($A3&amp;$B3&amp;$C3,盘货信息!$A:$A&amp;盘货信息!$B:$B&amp;盘货信息!$C:$C,盘货信息!$S:$S),CHAR(10),,TRUE),1,COLUMN(B2)),"")</f>
        <v/>
      </c>
      <c r="L3" s="18" t="str" cm="1">
        <f t="array" ref="L3">IFERROR(INDEX(_xlfn.TEXTSPLIT(_xlfn.XLOOKUP($A3&amp;$B3&amp;$C3,盘货信息!$A:$A&amp;盘货信息!$B:$B&amp;盘货信息!$C:$C,盘货信息!$S:$S),CHAR(10),,TRUE),1,COLUMN(C2)),"")</f>
        <v/>
      </c>
      <c r="M3" s="18" t="str" cm="1">
        <f t="array" ref="M3">IFERROR(INDEX(_xlfn.TEXTSPLIT(_xlfn.XLOOKUP($A3&amp;$B3&amp;$C3,盘货信息!$A:$A&amp;盘货信息!$B:$B&amp;盘货信息!$C:$C,盘货信息!$S:$S),CHAR(10),,TRUE),1,COLUMN(D2)),"")</f>
        <v/>
      </c>
      <c r="N3" s="18" t="str" cm="1">
        <f t="array" ref="N3">IFERROR(INDEX(_xlfn.TEXTSPLIT(_xlfn.XLOOKUP($A3&amp;$B3&amp;$C3,盘货信息!$A:$A&amp;盘货信息!$B:$B&amp;盘货信息!$C:$C,盘货信息!$S:$S),CHAR(10),,TRUE),1,COLUMN(E2)),"")</f>
        <v/>
      </c>
    </row>
    <row r="4" customHeight="1" spans="1:14">
      <c r="A4" s="17" t="str">
        <f>IF(盘货信息!A4="","",盘货信息!A4)</f>
        <v/>
      </c>
      <c r="B4" s="17" t="str">
        <f>IF(盘货信息!B4="","",盘货信息!B4)</f>
        <v/>
      </c>
      <c r="C4" s="18" t="str">
        <f>IF(盘货信息!C4="","",盘货信息!C4)</f>
        <v/>
      </c>
      <c r="D4" s="18" t="str">
        <f t="shared" si="0"/>
        <v/>
      </c>
      <c r="E4" s="18" t="str">
        <f>_xlfn.LET(_xlpm.A,IF(ISNUMBER(SEARCH("晒单",J4)),"【晒单】"&amp;MID(J4,SEARCH("晒单",J4)+LEN("晒单"),LEN(J4))&amp;"（需晒单后联系客服登记）",IF(ISNUMBER(SEARCH("包修",J4)),"【购机】"&amp;MID(J4,SEARCH("购机",J4)+LEN("购机"),LEN(J4)),IF(ISNUMBER(SEARCH("叠放支架",J4)),"【赠品】"&amp;MID(J4,SEARCH("购机",J4)+LEN("购机"),LEN(J4)),IF(ISNUMBER(SEARCH("秀图",J4)),"【秀图】"&amp;MID(J4,SEARCH("秀图",J4)+LEN("秀图"),LEN(J4)),"")))),IFERROR(LEFT(_xlpm.A,FIND("【",_xlpm.A,FIND("】",_xlpm.A)+1)-1)&amp;MID(_xlpm.A,FIND("】",_xlpm.A,FIND("】",_xlpm.A)+1)+1,LEN(_xlpm.A)),_xlpm.A))</f>
        <v/>
      </c>
      <c r="F4" s="18" t="str">
        <f>_xlfn.LET(_xlpm.A,IF(ISNUMBER(SEARCH("晒单",K4)),"【晒单】"&amp;MID(K4,SEARCH("晒单",K4)+LEN("晒单"),LEN(K4))&amp;"（需晒单后联系客服登记）",IF(ISNUMBER(SEARCH("包修",K4)),"【购机】"&amp;MID(K4,SEARCH("购机",K4)+LEN("购机"),LEN(K4)),IF(ISNUMBER(SEARCH("叠放支架",K4)),"【赠品】"&amp;MID(K4,SEARCH("购机",K4)+LEN("购机"),LEN(K4)),IF(ISNUMBER(SEARCH("秀图",K4)),"【秀图】"&amp;MID(K4,SEARCH("秀图",K4)+LEN("秀图"),LEN(K4)),"")))),IFERROR(LEFT(_xlpm.A,FIND("【",_xlpm.A,FIND("】",_xlpm.A)+1)-1)&amp;MID(_xlpm.A,FIND("】",_xlpm.A,FIND("】",_xlpm.A)+1)+1,LEN(_xlpm.A)),_xlpm.A))</f>
        <v/>
      </c>
      <c r="G4" s="18" t="str">
        <f>_xlfn.LET(_xlpm.A,IF(ISNUMBER(SEARCH("晒单",L4)),"【晒单】"&amp;MID(L4,SEARCH("晒单",L4)+LEN("晒单"),LEN(L4))&amp;"（需晒单后联系客服登记）",IF(ISNUMBER(SEARCH("包修",L4)),"【购机】"&amp;MID(L4,SEARCH("购机",L4)+LEN("购机"),LEN(L4)),IF(ISNUMBER(SEARCH("叠放支架",L4)),"【赠品】"&amp;MID(L4,SEARCH("购机",L4)+LEN("购机"),LEN(L4)),IF(ISNUMBER(SEARCH("秀图",L4)),"【秀图】"&amp;MID(L4,SEARCH("秀图",L4)+LEN("秀图"),LEN(L4)),"")))),IFERROR(LEFT(_xlpm.A,FIND("【",_xlpm.A,FIND("】",_xlpm.A)+1)-1)&amp;MID(_xlpm.A,FIND("】",_xlpm.A,FIND("】",_xlpm.A)+1)+1,LEN(_xlpm.A)),_xlpm.A))</f>
        <v/>
      </c>
      <c r="H4" s="18" t="str">
        <f>_xlfn.LET(_xlpm.A,IF(ISNUMBER(SEARCH("晒单",M4)),"【晒单】"&amp;MID(M4,SEARCH("晒单",M4)+LEN("晒单"),LEN(M4))&amp;"（需晒单后联系客服登记）",IF(ISNUMBER(SEARCH("包修",M4)),"【购机】"&amp;MID(M4,SEARCH("购机",M4)+LEN("购机"),LEN(M4)),IF(ISNUMBER(SEARCH("叠放支架",M4)),"【赠品】"&amp;MID(M4,SEARCH("购机",M4)+LEN("购机"),LEN(M4)),IF(ISNUMBER(SEARCH("秀图",M4)),"【秀图】"&amp;MID(M4,SEARCH("秀图",M4)+LEN("秀图"),LEN(M4)),"")))),IFERROR(LEFT(_xlpm.A,FIND("【",_xlpm.A,FIND("】",_xlpm.A)+1)-1)&amp;MID(_xlpm.A,FIND("】",_xlpm.A,FIND("】",_xlpm.A)+1)+1,LEN(_xlpm.A)),_xlpm.A))</f>
        <v/>
      </c>
      <c r="I4" s="18" t="str">
        <f>_xlfn.LET(_xlpm.A,IF(ISNUMBER(SEARCH("晒单",N4)),"【晒单】"&amp;MID(N4,SEARCH("晒单",N4)+LEN("晒单"),LEN(N4))&amp;"（需晒单后联系客服登记）",IF(ISNUMBER(SEARCH("包修",N4)),"【购机】"&amp;MID(N4,SEARCH("购机",N4)+LEN("购机"),LEN(N4)),IF(ISNUMBER(SEARCH("叠放支架",N4)),"【赠品】"&amp;MID(N4,SEARCH("购机",N4)+LEN("购机"),LEN(N4)),IF(ISNUMBER(SEARCH("秀图",N4)),"【秀图】"&amp;MID(N4,SEARCH("秀图",N4)+LEN("秀图"),LEN(N4)),"")))),IFERROR(LEFT(_xlpm.A,FIND("【",_xlpm.A,FIND("】",_xlpm.A)+1)-1)&amp;MID(_xlpm.A,FIND("】",_xlpm.A,FIND("】",_xlpm.A)+1)+1,LEN(_xlpm.A)),_xlpm.A))</f>
        <v/>
      </c>
      <c r="J4" s="18" t="str" cm="1">
        <f t="array" ref="J4">IFERROR(INDEX(_xlfn.TEXTSPLIT(_xlfn.XLOOKUP($A4&amp;$B4&amp;$C4,盘货信息!$A:$A&amp;盘货信息!$B:$B&amp;盘货信息!$C:$C,盘货信息!$S:$S),CHAR(10),,TRUE),1,COLUMN(A3)),"")</f>
        <v/>
      </c>
      <c r="K4" s="18" t="str" cm="1">
        <f t="array" ref="K4">IFERROR(INDEX(_xlfn.TEXTSPLIT(_xlfn.XLOOKUP($A4&amp;$B4&amp;$C4,盘货信息!$A:$A&amp;盘货信息!$B:$B&amp;盘货信息!$C:$C,盘货信息!$S:$S),CHAR(10),,TRUE),1,COLUMN(B3)),"")</f>
        <v/>
      </c>
      <c r="L4" s="18" t="str" cm="1">
        <f t="array" ref="L4">IFERROR(INDEX(_xlfn.TEXTSPLIT(_xlfn.XLOOKUP($A4&amp;$B4&amp;$C4,盘货信息!$A:$A&amp;盘货信息!$B:$B&amp;盘货信息!$C:$C,盘货信息!$S:$S),CHAR(10),,TRUE),1,COLUMN(C3)),"")</f>
        <v/>
      </c>
      <c r="M4" s="18" t="str" cm="1">
        <f t="array" ref="M4">IFERROR(INDEX(_xlfn.TEXTSPLIT(_xlfn.XLOOKUP($A4&amp;$B4&amp;$C4,盘货信息!$A:$A&amp;盘货信息!$B:$B&amp;盘货信息!$C:$C,盘货信息!$S:$S),CHAR(10),,TRUE),1,COLUMN(D3)),"")</f>
        <v/>
      </c>
      <c r="N4" s="18" t="str" cm="1">
        <f t="array" ref="N4">IFERROR(INDEX(_xlfn.TEXTSPLIT(_xlfn.XLOOKUP($A4&amp;$B4&amp;$C4,盘货信息!$A:$A&amp;盘货信息!$B:$B&amp;盘货信息!$C:$C,盘货信息!$S:$S),CHAR(10),,TRUE),1,COLUMN(E3)),"")</f>
        <v/>
      </c>
    </row>
    <row r="5" customHeight="1" spans="1:14">
      <c r="A5" s="17" t="str">
        <f>IF(盘货信息!A5="","",盘货信息!A5)</f>
        <v/>
      </c>
      <c r="B5" s="17" t="str">
        <f>IF(盘货信息!B5="","",盘货信息!B5)</f>
        <v/>
      </c>
      <c r="C5" s="18" t="str">
        <f>IF(盘货信息!C5="","",盘货信息!C5)</f>
        <v/>
      </c>
      <c r="D5" s="18" t="str">
        <f t="shared" si="0"/>
        <v/>
      </c>
      <c r="E5" s="18" t="str">
        <f>_xlfn.LET(_xlpm.A,IF(ISNUMBER(SEARCH("晒单",J5)),"【晒单】"&amp;MID(J5,SEARCH("晒单",J5)+LEN("晒单"),LEN(J5))&amp;"（需晒单后联系客服登记）",IF(ISNUMBER(SEARCH("包修",J5)),"【购机】"&amp;MID(J5,SEARCH("购机",J5)+LEN("购机"),LEN(J5)),IF(ISNUMBER(SEARCH("叠放支架",J5)),"【赠品】"&amp;MID(J5,SEARCH("购机",J5)+LEN("购机"),LEN(J5)),IF(ISNUMBER(SEARCH("秀图",J5)),"【秀图】"&amp;MID(J5,SEARCH("秀图",J5)+LEN("秀图"),LEN(J5)),"")))),IFERROR(LEFT(_xlpm.A,FIND("【",_xlpm.A,FIND("】",_xlpm.A)+1)-1)&amp;MID(_xlpm.A,FIND("】",_xlpm.A,FIND("】",_xlpm.A)+1)+1,LEN(_xlpm.A)),_xlpm.A))</f>
        <v/>
      </c>
      <c r="F5" s="18" t="str">
        <f>_xlfn.LET(_xlpm.A,IF(ISNUMBER(SEARCH("晒单",K5)),"【晒单】"&amp;MID(K5,SEARCH("晒单",K5)+LEN("晒单"),LEN(K5))&amp;"（需晒单后联系客服登记）",IF(ISNUMBER(SEARCH("包修",K5)),"【购机】"&amp;MID(K5,SEARCH("购机",K5)+LEN("购机"),LEN(K5)),IF(ISNUMBER(SEARCH("叠放支架",K5)),"【赠品】"&amp;MID(K5,SEARCH("购机",K5)+LEN("购机"),LEN(K5)),IF(ISNUMBER(SEARCH("秀图",K5)),"【秀图】"&amp;MID(K5,SEARCH("秀图",K5)+LEN("秀图"),LEN(K5)),"")))),IFERROR(LEFT(_xlpm.A,FIND("【",_xlpm.A,FIND("】",_xlpm.A)+1)-1)&amp;MID(_xlpm.A,FIND("】",_xlpm.A,FIND("】",_xlpm.A)+1)+1,LEN(_xlpm.A)),_xlpm.A))</f>
        <v/>
      </c>
      <c r="G5" s="18" t="str">
        <f>_xlfn.LET(_xlpm.A,IF(ISNUMBER(SEARCH("晒单",L5)),"【晒单】"&amp;MID(L5,SEARCH("晒单",L5)+LEN("晒单"),LEN(L5))&amp;"（需晒单后联系客服登记）",IF(ISNUMBER(SEARCH("包修",L5)),"【购机】"&amp;MID(L5,SEARCH("购机",L5)+LEN("购机"),LEN(L5)),IF(ISNUMBER(SEARCH("叠放支架",L5)),"【赠品】"&amp;MID(L5,SEARCH("购机",L5)+LEN("购机"),LEN(L5)),IF(ISNUMBER(SEARCH("秀图",L5)),"【秀图】"&amp;MID(L5,SEARCH("秀图",L5)+LEN("秀图"),LEN(L5)),"")))),IFERROR(LEFT(_xlpm.A,FIND("【",_xlpm.A,FIND("】",_xlpm.A)+1)-1)&amp;MID(_xlpm.A,FIND("】",_xlpm.A,FIND("】",_xlpm.A)+1)+1,LEN(_xlpm.A)),_xlpm.A))</f>
        <v/>
      </c>
      <c r="H5" s="18" t="str">
        <f>_xlfn.LET(_xlpm.A,IF(ISNUMBER(SEARCH("晒单",M5)),"【晒单】"&amp;MID(M5,SEARCH("晒单",M5)+LEN("晒单"),LEN(M5))&amp;"（需晒单后联系客服登记）",IF(ISNUMBER(SEARCH("包修",M5)),"【购机】"&amp;MID(M5,SEARCH("购机",M5)+LEN("购机"),LEN(M5)),IF(ISNUMBER(SEARCH("叠放支架",M5)),"【赠品】"&amp;MID(M5,SEARCH("购机",M5)+LEN("购机"),LEN(M5)),IF(ISNUMBER(SEARCH("秀图",M5)),"【秀图】"&amp;MID(M5,SEARCH("秀图",M5)+LEN("秀图"),LEN(M5)),"")))),IFERROR(LEFT(_xlpm.A,FIND("【",_xlpm.A,FIND("】",_xlpm.A)+1)-1)&amp;MID(_xlpm.A,FIND("】",_xlpm.A,FIND("】",_xlpm.A)+1)+1,LEN(_xlpm.A)),_xlpm.A))</f>
        <v/>
      </c>
      <c r="I5" s="18" t="str">
        <f>_xlfn.LET(_xlpm.A,IF(ISNUMBER(SEARCH("晒单",N5)),"【晒单】"&amp;MID(N5,SEARCH("晒单",N5)+LEN("晒单"),LEN(N5))&amp;"（需晒单后联系客服登记）",IF(ISNUMBER(SEARCH("包修",N5)),"【购机】"&amp;MID(N5,SEARCH("购机",N5)+LEN("购机"),LEN(N5)),IF(ISNUMBER(SEARCH("叠放支架",N5)),"【赠品】"&amp;MID(N5,SEARCH("购机",N5)+LEN("购机"),LEN(N5)),IF(ISNUMBER(SEARCH("秀图",N5)),"【秀图】"&amp;MID(N5,SEARCH("秀图",N5)+LEN("秀图"),LEN(N5)),"")))),IFERROR(LEFT(_xlpm.A,FIND("【",_xlpm.A,FIND("】",_xlpm.A)+1)-1)&amp;MID(_xlpm.A,FIND("】",_xlpm.A,FIND("】",_xlpm.A)+1)+1,LEN(_xlpm.A)),_xlpm.A))</f>
        <v/>
      </c>
      <c r="J5" s="18" t="str" cm="1">
        <f t="array" ref="J5">IFERROR(INDEX(_xlfn.TEXTSPLIT(_xlfn.XLOOKUP($A5&amp;$B5&amp;$C5,盘货信息!$A:$A&amp;盘货信息!$B:$B&amp;盘货信息!$C:$C,盘货信息!$S:$S),CHAR(10),,TRUE),1,COLUMN(A4)),"")</f>
        <v/>
      </c>
      <c r="K5" s="18" t="str" cm="1">
        <f t="array" ref="K5">IFERROR(INDEX(_xlfn.TEXTSPLIT(_xlfn.XLOOKUP($A5&amp;$B5&amp;$C5,盘货信息!$A:$A&amp;盘货信息!$B:$B&amp;盘货信息!$C:$C,盘货信息!$S:$S),CHAR(10),,TRUE),1,COLUMN(B4)),"")</f>
        <v/>
      </c>
      <c r="L5" s="18" t="str" cm="1">
        <f t="array" ref="L5">IFERROR(INDEX(_xlfn.TEXTSPLIT(_xlfn.XLOOKUP($A5&amp;$B5&amp;$C5,盘货信息!$A:$A&amp;盘货信息!$B:$B&amp;盘货信息!$C:$C,盘货信息!$S:$S),CHAR(10),,TRUE),1,COLUMN(C4)),"")</f>
        <v/>
      </c>
      <c r="M5" s="18" t="str" cm="1">
        <f t="array" ref="M5">IFERROR(INDEX(_xlfn.TEXTSPLIT(_xlfn.XLOOKUP($A5&amp;$B5&amp;$C5,盘货信息!$A:$A&amp;盘货信息!$B:$B&amp;盘货信息!$C:$C,盘货信息!$S:$S),CHAR(10),,TRUE),1,COLUMN(D4)),"")</f>
        <v/>
      </c>
      <c r="N5" s="18" t="str" cm="1">
        <f t="array" ref="N5">IFERROR(INDEX(_xlfn.TEXTSPLIT(_xlfn.XLOOKUP($A5&amp;$B5&amp;$C5,盘货信息!$A:$A&amp;盘货信息!$B:$B&amp;盘货信息!$C:$C,盘货信息!$S:$S),CHAR(10),,TRUE),1,COLUMN(E4)),"")</f>
        <v/>
      </c>
    </row>
    <row r="6" customHeight="1" spans="1:14">
      <c r="A6" s="17" t="str">
        <f>IF(盘货信息!A6="","",盘货信息!A6)</f>
        <v/>
      </c>
      <c r="B6" s="17" t="str">
        <f>IF(盘货信息!B6="","",盘货信息!B6)</f>
        <v/>
      </c>
      <c r="C6" s="18" t="str">
        <f>IF(盘货信息!C6="","",盘货信息!C6)</f>
        <v/>
      </c>
      <c r="D6" s="18" t="str">
        <f t="shared" si="0"/>
        <v/>
      </c>
      <c r="E6" s="18" t="str">
        <f>_xlfn.LET(_xlpm.A,IF(ISNUMBER(SEARCH("晒单",J6)),"【晒单】"&amp;MID(J6,SEARCH("晒单",J6)+LEN("晒单"),LEN(J6))&amp;"（需晒单后联系客服登记）",IF(ISNUMBER(SEARCH("包修",J6)),"【购机】"&amp;MID(J6,SEARCH("购机",J6)+LEN("购机"),LEN(J6)),IF(ISNUMBER(SEARCH("叠放支架",J6)),"【赠品】"&amp;MID(J6,SEARCH("购机",J6)+LEN("购机"),LEN(J6)),IF(ISNUMBER(SEARCH("秀图",J6)),"【秀图】"&amp;MID(J6,SEARCH("秀图",J6)+LEN("秀图"),LEN(J6)),"")))),IFERROR(LEFT(_xlpm.A,FIND("【",_xlpm.A,FIND("】",_xlpm.A)+1)-1)&amp;MID(_xlpm.A,FIND("】",_xlpm.A,FIND("】",_xlpm.A)+1)+1,LEN(_xlpm.A)),_xlpm.A))</f>
        <v/>
      </c>
      <c r="F6" s="18" t="str">
        <f>_xlfn.LET(_xlpm.A,IF(ISNUMBER(SEARCH("晒单",K6)),"【晒单】"&amp;MID(K6,SEARCH("晒单",K6)+LEN("晒单"),LEN(K6))&amp;"（需晒单后联系客服登记）",IF(ISNUMBER(SEARCH("包修",K6)),"【购机】"&amp;MID(K6,SEARCH("购机",K6)+LEN("购机"),LEN(K6)),IF(ISNUMBER(SEARCH("叠放支架",K6)),"【赠品】"&amp;MID(K6,SEARCH("购机",K6)+LEN("购机"),LEN(K6)),IF(ISNUMBER(SEARCH("秀图",K6)),"【秀图】"&amp;MID(K6,SEARCH("秀图",K6)+LEN("秀图"),LEN(K6)),"")))),IFERROR(LEFT(_xlpm.A,FIND("【",_xlpm.A,FIND("】",_xlpm.A)+1)-1)&amp;MID(_xlpm.A,FIND("】",_xlpm.A,FIND("】",_xlpm.A)+1)+1,LEN(_xlpm.A)),_xlpm.A))</f>
        <v/>
      </c>
      <c r="G6" s="18" t="str">
        <f>_xlfn.LET(_xlpm.A,IF(ISNUMBER(SEARCH("晒单",L6)),"【晒单】"&amp;MID(L6,SEARCH("晒单",L6)+LEN("晒单"),LEN(L6))&amp;"（需晒单后联系客服登记）",IF(ISNUMBER(SEARCH("包修",L6)),"【购机】"&amp;MID(L6,SEARCH("购机",L6)+LEN("购机"),LEN(L6)),IF(ISNUMBER(SEARCH("叠放支架",L6)),"【赠品】"&amp;MID(L6,SEARCH("购机",L6)+LEN("购机"),LEN(L6)),IF(ISNUMBER(SEARCH("秀图",L6)),"【秀图】"&amp;MID(L6,SEARCH("秀图",L6)+LEN("秀图"),LEN(L6)),"")))),IFERROR(LEFT(_xlpm.A,FIND("【",_xlpm.A,FIND("】",_xlpm.A)+1)-1)&amp;MID(_xlpm.A,FIND("】",_xlpm.A,FIND("】",_xlpm.A)+1)+1,LEN(_xlpm.A)),_xlpm.A))</f>
        <v/>
      </c>
      <c r="H6" s="18" t="str">
        <f>_xlfn.LET(_xlpm.A,IF(ISNUMBER(SEARCH("晒单",M6)),"【晒单】"&amp;MID(M6,SEARCH("晒单",M6)+LEN("晒单"),LEN(M6))&amp;"（需晒单后联系客服登记）",IF(ISNUMBER(SEARCH("包修",M6)),"【购机】"&amp;MID(M6,SEARCH("购机",M6)+LEN("购机"),LEN(M6)),IF(ISNUMBER(SEARCH("叠放支架",M6)),"【赠品】"&amp;MID(M6,SEARCH("购机",M6)+LEN("购机"),LEN(M6)),IF(ISNUMBER(SEARCH("秀图",M6)),"【秀图】"&amp;MID(M6,SEARCH("秀图",M6)+LEN("秀图"),LEN(M6)),"")))),IFERROR(LEFT(_xlpm.A,FIND("【",_xlpm.A,FIND("】",_xlpm.A)+1)-1)&amp;MID(_xlpm.A,FIND("】",_xlpm.A,FIND("】",_xlpm.A)+1)+1,LEN(_xlpm.A)),_xlpm.A))</f>
        <v/>
      </c>
      <c r="I6" s="18" t="str">
        <f>_xlfn.LET(_xlpm.A,IF(ISNUMBER(SEARCH("晒单",N6)),"【晒单】"&amp;MID(N6,SEARCH("晒单",N6)+LEN("晒单"),LEN(N6))&amp;"（需晒单后联系客服登记）",IF(ISNUMBER(SEARCH("包修",N6)),"【购机】"&amp;MID(N6,SEARCH("购机",N6)+LEN("购机"),LEN(N6)),IF(ISNUMBER(SEARCH("叠放支架",N6)),"【赠品】"&amp;MID(N6,SEARCH("购机",N6)+LEN("购机"),LEN(N6)),IF(ISNUMBER(SEARCH("秀图",N6)),"【秀图】"&amp;MID(N6,SEARCH("秀图",N6)+LEN("秀图"),LEN(N6)),"")))),IFERROR(LEFT(_xlpm.A,FIND("【",_xlpm.A,FIND("】",_xlpm.A)+1)-1)&amp;MID(_xlpm.A,FIND("】",_xlpm.A,FIND("】",_xlpm.A)+1)+1,LEN(_xlpm.A)),_xlpm.A))</f>
        <v/>
      </c>
      <c r="J6" s="18" t="str" cm="1">
        <f t="array" ref="J6">IFERROR(INDEX(_xlfn.TEXTSPLIT(_xlfn.XLOOKUP($A6&amp;$B6&amp;$C6,盘货信息!$A:$A&amp;盘货信息!$B:$B&amp;盘货信息!$C:$C,盘货信息!$S:$S),CHAR(10),,TRUE),1,COLUMN(A5)),"")</f>
        <v/>
      </c>
      <c r="K6" s="18" t="str" cm="1">
        <f t="array" ref="K6">IFERROR(INDEX(_xlfn.TEXTSPLIT(_xlfn.XLOOKUP($A6&amp;$B6&amp;$C6,盘货信息!$A:$A&amp;盘货信息!$B:$B&amp;盘货信息!$C:$C,盘货信息!$S:$S),CHAR(10),,TRUE),1,COLUMN(B5)),"")</f>
        <v/>
      </c>
      <c r="L6" s="18" t="str" cm="1">
        <f t="array" ref="L6">IFERROR(INDEX(_xlfn.TEXTSPLIT(_xlfn.XLOOKUP($A6&amp;$B6&amp;$C6,盘货信息!$A:$A&amp;盘货信息!$B:$B&amp;盘货信息!$C:$C,盘货信息!$S:$S),CHAR(10),,TRUE),1,COLUMN(C5)),"")</f>
        <v/>
      </c>
      <c r="M6" s="18" t="str" cm="1">
        <f t="array" ref="M6">IFERROR(INDEX(_xlfn.TEXTSPLIT(_xlfn.XLOOKUP($A6&amp;$B6&amp;$C6,盘货信息!$A:$A&amp;盘货信息!$B:$B&amp;盘货信息!$C:$C,盘货信息!$S:$S),CHAR(10),,TRUE),1,COLUMN(D5)),"")</f>
        <v/>
      </c>
      <c r="N6" s="18" t="str" cm="1">
        <f t="array" ref="N6">IFERROR(INDEX(_xlfn.TEXTSPLIT(_xlfn.XLOOKUP($A6&amp;$B6&amp;$C6,盘货信息!$A:$A&amp;盘货信息!$B:$B&amp;盘货信息!$C:$C,盘货信息!$S:$S),CHAR(10),,TRUE),1,COLUMN(E5)),"")</f>
        <v/>
      </c>
    </row>
    <row r="7" customHeight="1" spans="1:14">
      <c r="A7" s="17" t="str">
        <f>IF(盘货信息!A7="","",盘货信息!A7)</f>
        <v/>
      </c>
      <c r="B7" s="17" t="str">
        <f>IF(盘货信息!B7="","",盘货信息!B7)</f>
        <v/>
      </c>
      <c r="C7" s="18" t="str">
        <f>IF(盘货信息!C7="","",盘货信息!C7)</f>
        <v/>
      </c>
      <c r="D7" s="18" t="str">
        <f t="shared" si="0"/>
        <v/>
      </c>
      <c r="E7" s="18" t="str">
        <f>_xlfn.LET(_xlpm.A,IF(ISNUMBER(SEARCH("晒单",J7)),"【晒单】"&amp;MID(J7,SEARCH("晒单",J7)+LEN("晒单"),LEN(J7))&amp;"（需晒单后联系客服登记）",IF(ISNUMBER(SEARCH("包修",J7)),"【购机】"&amp;MID(J7,SEARCH("购机",J7)+LEN("购机"),LEN(J7)),IF(ISNUMBER(SEARCH("叠放支架",J7)),"【赠品】"&amp;MID(J7,SEARCH("购机",J7)+LEN("购机"),LEN(J7)),IF(ISNUMBER(SEARCH("秀图",J7)),"【秀图】"&amp;MID(J7,SEARCH("秀图",J7)+LEN("秀图"),LEN(J7)),"")))),IFERROR(LEFT(_xlpm.A,FIND("【",_xlpm.A,FIND("】",_xlpm.A)+1)-1)&amp;MID(_xlpm.A,FIND("】",_xlpm.A,FIND("】",_xlpm.A)+1)+1,LEN(_xlpm.A)),_xlpm.A))</f>
        <v/>
      </c>
      <c r="F7" s="18" t="str">
        <f>_xlfn.LET(_xlpm.A,IF(ISNUMBER(SEARCH("晒单",K7)),"【晒单】"&amp;MID(K7,SEARCH("晒单",K7)+LEN("晒单"),LEN(K7))&amp;"（需晒单后联系客服登记）",IF(ISNUMBER(SEARCH("包修",K7)),"【购机】"&amp;MID(K7,SEARCH("购机",K7)+LEN("购机"),LEN(K7)),IF(ISNUMBER(SEARCH("叠放支架",K7)),"【赠品】"&amp;MID(K7,SEARCH("购机",K7)+LEN("购机"),LEN(K7)),IF(ISNUMBER(SEARCH("秀图",K7)),"【秀图】"&amp;MID(K7,SEARCH("秀图",K7)+LEN("秀图"),LEN(K7)),"")))),IFERROR(LEFT(_xlpm.A,FIND("【",_xlpm.A,FIND("】",_xlpm.A)+1)-1)&amp;MID(_xlpm.A,FIND("】",_xlpm.A,FIND("】",_xlpm.A)+1)+1,LEN(_xlpm.A)),_xlpm.A))</f>
        <v/>
      </c>
      <c r="G7" s="18" t="str">
        <f>_xlfn.LET(_xlpm.A,IF(ISNUMBER(SEARCH("晒单",L7)),"【晒单】"&amp;MID(L7,SEARCH("晒单",L7)+LEN("晒单"),LEN(L7))&amp;"（需晒单后联系客服登记）",IF(ISNUMBER(SEARCH("包修",L7)),"【购机】"&amp;MID(L7,SEARCH("购机",L7)+LEN("购机"),LEN(L7)),IF(ISNUMBER(SEARCH("叠放支架",L7)),"【赠品】"&amp;MID(L7,SEARCH("购机",L7)+LEN("购机"),LEN(L7)),IF(ISNUMBER(SEARCH("秀图",L7)),"【秀图】"&amp;MID(L7,SEARCH("秀图",L7)+LEN("秀图"),LEN(L7)),"")))),IFERROR(LEFT(_xlpm.A,FIND("【",_xlpm.A,FIND("】",_xlpm.A)+1)-1)&amp;MID(_xlpm.A,FIND("】",_xlpm.A,FIND("】",_xlpm.A)+1)+1,LEN(_xlpm.A)),_xlpm.A))</f>
        <v/>
      </c>
      <c r="H7" s="18" t="str">
        <f>_xlfn.LET(_xlpm.A,IF(ISNUMBER(SEARCH("晒单",M7)),"【晒单】"&amp;MID(M7,SEARCH("晒单",M7)+LEN("晒单"),LEN(M7))&amp;"（需晒单后联系客服登记）",IF(ISNUMBER(SEARCH("包修",M7)),"【购机】"&amp;MID(M7,SEARCH("购机",M7)+LEN("购机"),LEN(M7)),IF(ISNUMBER(SEARCH("叠放支架",M7)),"【赠品】"&amp;MID(M7,SEARCH("购机",M7)+LEN("购机"),LEN(M7)),IF(ISNUMBER(SEARCH("秀图",M7)),"【秀图】"&amp;MID(M7,SEARCH("秀图",M7)+LEN("秀图"),LEN(M7)),"")))),IFERROR(LEFT(_xlpm.A,FIND("【",_xlpm.A,FIND("】",_xlpm.A)+1)-1)&amp;MID(_xlpm.A,FIND("】",_xlpm.A,FIND("】",_xlpm.A)+1)+1,LEN(_xlpm.A)),_xlpm.A))</f>
        <v/>
      </c>
      <c r="I7" s="18" t="str">
        <f>_xlfn.LET(_xlpm.A,IF(ISNUMBER(SEARCH("晒单",N7)),"【晒单】"&amp;MID(N7,SEARCH("晒单",N7)+LEN("晒单"),LEN(N7))&amp;"（需晒单后联系客服登记）",IF(ISNUMBER(SEARCH("包修",N7)),"【购机】"&amp;MID(N7,SEARCH("购机",N7)+LEN("购机"),LEN(N7)),IF(ISNUMBER(SEARCH("叠放支架",N7)),"【赠品】"&amp;MID(N7,SEARCH("购机",N7)+LEN("购机"),LEN(N7)),IF(ISNUMBER(SEARCH("秀图",N7)),"【秀图】"&amp;MID(N7,SEARCH("秀图",N7)+LEN("秀图"),LEN(N7)),"")))),IFERROR(LEFT(_xlpm.A,FIND("【",_xlpm.A,FIND("】",_xlpm.A)+1)-1)&amp;MID(_xlpm.A,FIND("】",_xlpm.A,FIND("】",_xlpm.A)+1)+1,LEN(_xlpm.A)),_xlpm.A))</f>
        <v/>
      </c>
      <c r="J7" s="18" t="str" cm="1">
        <f t="array" ref="J7">IFERROR(INDEX(_xlfn.TEXTSPLIT(_xlfn.XLOOKUP($A7&amp;$B7&amp;$C7,盘货信息!$A:$A&amp;盘货信息!$B:$B&amp;盘货信息!$C:$C,盘货信息!$S:$S),CHAR(10),,TRUE),1,COLUMN(A6)),"")</f>
        <v/>
      </c>
      <c r="K7" s="18" t="str" cm="1">
        <f t="array" ref="K7">IFERROR(INDEX(_xlfn.TEXTSPLIT(_xlfn.XLOOKUP($A7&amp;$B7&amp;$C7,盘货信息!$A:$A&amp;盘货信息!$B:$B&amp;盘货信息!$C:$C,盘货信息!$S:$S),CHAR(10),,TRUE),1,COLUMN(B6)),"")</f>
        <v/>
      </c>
      <c r="L7" s="18" t="str" cm="1">
        <f t="array" ref="L7">IFERROR(INDEX(_xlfn.TEXTSPLIT(_xlfn.XLOOKUP($A7&amp;$B7&amp;$C7,盘货信息!$A:$A&amp;盘货信息!$B:$B&amp;盘货信息!$C:$C,盘货信息!$S:$S),CHAR(10),,TRUE),1,COLUMN(C6)),"")</f>
        <v/>
      </c>
      <c r="M7" s="18" t="str" cm="1">
        <f t="array" ref="M7">IFERROR(INDEX(_xlfn.TEXTSPLIT(_xlfn.XLOOKUP($A7&amp;$B7&amp;$C7,盘货信息!$A:$A&amp;盘货信息!$B:$B&amp;盘货信息!$C:$C,盘货信息!$S:$S),CHAR(10),,TRUE),1,COLUMN(D6)),"")</f>
        <v/>
      </c>
      <c r="N7" s="18" t="str" cm="1">
        <f t="array" ref="N7">IFERROR(INDEX(_xlfn.TEXTSPLIT(_xlfn.XLOOKUP($A7&amp;$B7&amp;$C7,盘货信息!$A:$A&amp;盘货信息!$B:$B&amp;盘货信息!$C:$C,盘货信息!$S:$S),CHAR(10),,TRUE),1,COLUMN(E6)),"")</f>
        <v/>
      </c>
    </row>
    <row r="8" customHeight="1" spans="1:14">
      <c r="A8" s="17" t="str">
        <f>IF(盘货信息!A8="","",盘货信息!A8)</f>
        <v/>
      </c>
      <c r="B8" s="17" t="str">
        <f>IF(盘货信息!B8="","",盘货信息!B8)</f>
        <v/>
      </c>
      <c r="C8" s="18" t="str">
        <f>IF(盘货信息!C8="","",盘货信息!C8)</f>
        <v/>
      </c>
      <c r="D8" s="18" t="str">
        <f t="shared" si="0"/>
        <v/>
      </c>
      <c r="E8" s="18" t="str">
        <f>_xlfn.LET(_xlpm.A,IF(ISNUMBER(SEARCH("晒单",J8)),"【晒单】"&amp;MID(J8,SEARCH("晒单",J8)+LEN("晒单"),LEN(J8))&amp;"（需晒单后联系客服登记）",IF(ISNUMBER(SEARCH("包修",J8)),"【购机】"&amp;MID(J8,SEARCH("购机",J8)+LEN("购机"),LEN(J8)),IF(ISNUMBER(SEARCH("叠放支架",J8)),"【赠品】"&amp;MID(J8,SEARCH("购机",J8)+LEN("购机"),LEN(J8)),IF(ISNUMBER(SEARCH("秀图",J8)),"【秀图】"&amp;MID(J8,SEARCH("秀图",J8)+LEN("秀图"),LEN(J8)),"")))),IFERROR(LEFT(_xlpm.A,FIND("【",_xlpm.A,FIND("】",_xlpm.A)+1)-1)&amp;MID(_xlpm.A,FIND("】",_xlpm.A,FIND("】",_xlpm.A)+1)+1,LEN(_xlpm.A)),_xlpm.A))</f>
        <v/>
      </c>
      <c r="F8" s="18" t="str">
        <f>_xlfn.LET(_xlpm.A,IF(ISNUMBER(SEARCH("晒单",K8)),"【晒单】"&amp;MID(K8,SEARCH("晒单",K8)+LEN("晒单"),LEN(K8))&amp;"（需晒单后联系客服登记）",IF(ISNUMBER(SEARCH("包修",K8)),"【购机】"&amp;MID(K8,SEARCH("购机",K8)+LEN("购机"),LEN(K8)),IF(ISNUMBER(SEARCH("叠放支架",K8)),"【赠品】"&amp;MID(K8,SEARCH("购机",K8)+LEN("购机"),LEN(K8)),IF(ISNUMBER(SEARCH("秀图",K8)),"【秀图】"&amp;MID(K8,SEARCH("秀图",K8)+LEN("秀图"),LEN(K8)),"")))),IFERROR(LEFT(_xlpm.A,FIND("【",_xlpm.A,FIND("】",_xlpm.A)+1)-1)&amp;MID(_xlpm.A,FIND("】",_xlpm.A,FIND("】",_xlpm.A)+1)+1,LEN(_xlpm.A)),_xlpm.A))</f>
        <v/>
      </c>
      <c r="G8" s="18" t="str">
        <f>_xlfn.LET(_xlpm.A,IF(ISNUMBER(SEARCH("晒单",L8)),"【晒单】"&amp;MID(L8,SEARCH("晒单",L8)+LEN("晒单"),LEN(L8))&amp;"（需晒单后联系客服登记）",IF(ISNUMBER(SEARCH("包修",L8)),"【购机】"&amp;MID(L8,SEARCH("购机",L8)+LEN("购机"),LEN(L8)),IF(ISNUMBER(SEARCH("叠放支架",L8)),"【赠品】"&amp;MID(L8,SEARCH("购机",L8)+LEN("购机"),LEN(L8)),IF(ISNUMBER(SEARCH("秀图",L8)),"【秀图】"&amp;MID(L8,SEARCH("秀图",L8)+LEN("秀图"),LEN(L8)),"")))),IFERROR(LEFT(_xlpm.A,FIND("【",_xlpm.A,FIND("】",_xlpm.A)+1)-1)&amp;MID(_xlpm.A,FIND("】",_xlpm.A,FIND("】",_xlpm.A)+1)+1,LEN(_xlpm.A)),_xlpm.A))</f>
        <v/>
      </c>
      <c r="H8" s="18" t="str">
        <f>_xlfn.LET(_xlpm.A,IF(ISNUMBER(SEARCH("晒单",M8)),"【晒单】"&amp;MID(M8,SEARCH("晒单",M8)+LEN("晒单"),LEN(M8))&amp;"（需晒单后联系客服登记）",IF(ISNUMBER(SEARCH("包修",M8)),"【购机】"&amp;MID(M8,SEARCH("购机",M8)+LEN("购机"),LEN(M8)),IF(ISNUMBER(SEARCH("叠放支架",M8)),"【赠品】"&amp;MID(M8,SEARCH("购机",M8)+LEN("购机"),LEN(M8)),IF(ISNUMBER(SEARCH("秀图",M8)),"【秀图】"&amp;MID(M8,SEARCH("秀图",M8)+LEN("秀图"),LEN(M8)),"")))),IFERROR(LEFT(_xlpm.A,FIND("【",_xlpm.A,FIND("】",_xlpm.A)+1)-1)&amp;MID(_xlpm.A,FIND("】",_xlpm.A,FIND("】",_xlpm.A)+1)+1,LEN(_xlpm.A)),_xlpm.A))</f>
        <v/>
      </c>
      <c r="I8" s="18" t="str">
        <f>_xlfn.LET(_xlpm.A,IF(ISNUMBER(SEARCH("晒单",N8)),"【晒单】"&amp;MID(N8,SEARCH("晒单",N8)+LEN("晒单"),LEN(N8))&amp;"（需晒单后联系客服登记）",IF(ISNUMBER(SEARCH("包修",N8)),"【购机】"&amp;MID(N8,SEARCH("购机",N8)+LEN("购机"),LEN(N8)),IF(ISNUMBER(SEARCH("叠放支架",N8)),"【赠品】"&amp;MID(N8,SEARCH("购机",N8)+LEN("购机"),LEN(N8)),IF(ISNUMBER(SEARCH("秀图",N8)),"【秀图】"&amp;MID(N8,SEARCH("秀图",N8)+LEN("秀图"),LEN(N8)),"")))),IFERROR(LEFT(_xlpm.A,FIND("【",_xlpm.A,FIND("】",_xlpm.A)+1)-1)&amp;MID(_xlpm.A,FIND("】",_xlpm.A,FIND("】",_xlpm.A)+1)+1,LEN(_xlpm.A)),_xlpm.A))</f>
        <v/>
      </c>
      <c r="J8" s="18" t="str" cm="1">
        <f t="array" ref="J8">IFERROR(INDEX(_xlfn.TEXTSPLIT(_xlfn.XLOOKUP($A8&amp;$B8&amp;$C8,盘货信息!$A:$A&amp;盘货信息!$B:$B&amp;盘货信息!$C:$C,盘货信息!$S:$S),CHAR(10),,TRUE),1,COLUMN(A7)),"")</f>
        <v/>
      </c>
      <c r="K8" s="18" t="str" cm="1">
        <f t="array" ref="K8">IFERROR(INDEX(_xlfn.TEXTSPLIT(_xlfn.XLOOKUP($A8&amp;$B8&amp;$C8,盘货信息!$A:$A&amp;盘货信息!$B:$B&amp;盘货信息!$C:$C,盘货信息!$S:$S),CHAR(10),,TRUE),1,COLUMN(B7)),"")</f>
        <v/>
      </c>
      <c r="L8" s="18" t="str" cm="1">
        <f t="array" ref="L8">IFERROR(INDEX(_xlfn.TEXTSPLIT(_xlfn.XLOOKUP($A8&amp;$B8&amp;$C8,盘货信息!$A:$A&amp;盘货信息!$B:$B&amp;盘货信息!$C:$C,盘货信息!$S:$S),CHAR(10),,TRUE),1,COLUMN(C7)),"")</f>
        <v/>
      </c>
      <c r="M8" s="18" t="str" cm="1">
        <f t="array" ref="M8">IFERROR(INDEX(_xlfn.TEXTSPLIT(_xlfn.XLOOKUP($A8&amp;$B8&amp;$C8,盘货信息!$A:$A&amp;盘货信息!$B:$B&amp;盘货信息!$C:$C,盘货信息!$S:$S),CHAR(10),,TRUE),1,COLUMN(D7)),"")</f>
        <v/>
      </c>
      <c r="N8" s="18" t="str" cm="1">
        <f t="array" ref="N8">IFERROR(INDEX(_xlfn.TEXTSPLIT(_xlfn.XLOOKUP($A8&amp;$B8&amp;$C8,盘货信息!$A:$A&amp;盘货信息!$B:$B&amp;盘货信息!$C:$C,盘货信息!$S:$S),CHAR(10),,TRUE),1,COLUMN(E7)),"")</f>
        <v/>
      </c>
    </row>
    <row r="9" customHeight="1" spans="1:14">
      <c r="A9" s="17" t="str">
        <f>IF(盘货信息!A9="","",盘货信息!A9)</f>
        <v/>
      </c>
      <c r="B9" s="17" t="str">
        <f>IF(盘货信息!B9="","",盘货信息!B9)</f>
        <v/>
      </c>
      <c r="C9" s="18" t="str">
        <f>IF(盘货信息!C9="","",盘货信息!C9)</f>
        <v/>
      </c>
      <c r="D9" s="18" t="str">
        <f t="shared" si="0"/>
        <v/>
      </c>
      <c r="E9" s="18" t="str">
        <f>_xlfn.LET(_xlpm.A,IF(ISNUMBER(SEARCH("晒单",J9)),"【晒单】"&amp;MID(J9,SEARCH("晒单",J9)+LEN("晒单"),LEN(J9))&amp;"（需晒单后联系客服登记）",IF(ISNUMBER(SEARCH("包修",J9)),"【购机】"&amp;MID(J9,SEARCH("购机",J9)+LEN("购机"),LEN(J9)),IF(ISNUMBER(SEARCH("叠放支架",J9)),"【赠品】"&amp;MID(J9,SEARCH("购机",J9)+LEN("购机"),LEN(J9)),IF(ISNUMBER(SEARCH("秀图",J9)),"【秀图】"&amp;MID(J9,SEARCH("秀图",J9)+LEN("秀图"),LEN(J9)),"")))),IFERROR(LEFT(_xlpm.A,FIND("【",_xlpm.A,FIND("】",_xlpm.A)+1)-1)&amp;MID(_xlpm.A,FIND("】",_xlpm.A,FIND("】",_xlpm.A)+1)+1,LEN(_xlpm.A)),_xlpm.A))</f>
        <v/>
      </c>
      <c r="F9" s="18" t="str">
        <f>_xlfn.LET(_xlpm.A,IF(ISNUMBER(SEARCH("晒单",K9)),"【晒单】"&amp;MID(K9,SEARCH("晒单",K9)+LEN("晒单"),LEN(K9))&amp;"（需晒单后联系客服登记）",IF(ISNUMBER(SEARCH("包修",K9)),"【购机】"&amp;MID(K9,SEARCH("购机",K9)+LEN("购机"),LEN(K9)),IF(ISNUMBER(SEARCH("叠放支架",K9)),"【赠品】"&amp;MID(K9,SEARCH("购机",K9)+LEN("购机"),LEN(K9)),IF(ISNUMBER(SEARCH("秀图",K9)),"【秀图】"&amp;MID(K9,SEARCH("秀图",K9)+LEN("秀图"),LEN(K9)),"")))),IFERROR(LEFT(_xlpm.A,FIND("【",_xlpm.A,FIND("】",_xlpm.A)+1)-1)&amp;MID(_xlpm.A,FIND("】",_xlpm.A,FIND("】",_xlpm.A)+1)+1,LEN(_xlpm.A)),_xlpm.A))</f>
        <v/>
      </c>
      <c r="G9" s="18" t="str">
        <f>_xlfn.LET(_xlpm.A,IF(ISNUMBER(SEARCH("晒单",L9)),"【晒单】"&amp;MID(L9,SEARCH("晒单",L9)+LEN("晒单"),LEN(L9))&amp;"（需晒单后联系客服登记）",IF(ISNUMBER(SEARCH("包修",L9)),"【购机】"&amp;MID(L9,SEARCH("购机",L9)+LEN("购机"),LEN(L9)),IF(ISNUMBER(SEARCH("叠放支架",L9)),"【赠品】"&amp;MID(L9,SEARCH("购机",L9)+LEN("购机"),LEN(L9)),IF(ISNUMBER(SEARCH("秀图",L9)),"【秀图】"&amp;MID(L9,SEARCH("秀图",L9)+LEN("秀图"),LEN(L9)),"")))),IFERROR(LEFT(_xlpm.A,FIND("【",_xlpm.A,FIND("】",_xlpm.A)+1)-1)&amp;MID(_xlpm.A,FIND("】",_xlpm.A,FIND("】",_xlpm.A)+1)+1,LEN(_xlpm.A)),_xlpm.A))</f>
        <v/>
      </c>
      <c r="H9" s="18" t="str">
        <f>_xlfn.LET(_xlpm.A,IF(ISNUMBER(SEARCH("晒单",M9)),"【晒单】"&amp;MID(M9,SEARCH("晒单",M9)+LEN("晒单"),LEN(M9))&amp;"（需晒单后联系客服登记）",IF(ISNUMBER(SEARCH("包修",M9)),"【购机】"&amp;MID(M9,SEARCH("购机",M9)+LEN("购机"),LEN(M9)),IF(ISNUMBER(SEARCH("叠放支架",M9)),"【赠品】"&amp;MID(M9,SEARCH("购机",M9)+LEN("购机"),LEN(M9)),IF(ISNUMBER(SEARCH("秀图",M9)),"【秀图】"&amp;MID(M9,SEARCH("秀图",M9)+LEN("秀图"),LEN(M9)),"")))),IFERROR(LEFT(_xlpm.A,FIND("【",_xlpm.A,FIND("】",_xlpm.A)+1)-1)&amp;MID(_xlpm.A,FIND("】",_xlpm.A,FIND("】",_xlpm.A)+1)+1,LEN(_xlpm.A)),_xlpm.A))</f>
        <v/>
      </c>
      <c r="I9" s="18" t="str">
        <f>_xlfn.LET(_xlpm.A,IF(ISNUMBER(SEARCH("晒单",N9)),"【晒单】"&amp;MID(N9,SEARCH("晒单",N9)+LEN("晒单"),LEN(N9))&amp;"（需晒单后联系客服登记）",IF(ISNUMBER(SEARCH("包修",N9)),"【购机】"&amp;MID(N9,SEARCH("购机",N9)+LEN("购机"),LEN(N9)),IF(ISNUMBER(SEARCH("叠放支架",N9)),"【赠品】"&amp;MID(N9,SEARCH("购机",N9)+LEN("购机"),LEN(N9)),IF(ISNUMBER(SEARCH("秀图",N9)),"【秀图】"&amp;MID(N9,SEARCH("秀图",N9)+LEN("秀图"),LEN(N9)),"")))),IFERROR(LEFT(_xlpm.A,FIND("【",_xlpm.A,FIND("】",_xlpm.A)+1)-1)&amp;MID(_xlpm.A,FIND("】",_xlpm.A,FIND("】",_xlpm.A)+1)+1,LEN(_xlpm.A)),_xlpm.A))</f>
        <v/>
      </c>
      <c r="J9" s="18" t="str" cm="1">
        <f t="array" ref="J9">IFERROR(INDEX(_xlfn.TEXTSPLIT(_xlfn.XLOOKUP($A9&amp;$B9&amp;$C9,盘货信息!$A:$A&amp;盘货信息!$B:$B&amp;盘货信息!$C:$C,盘货信息!$S:$S),CHAR(10),,TRUE),1,COLUMN(A8)),"")</f>
        <v/>
      </c>
      <c r="K9" s="18" t="str" cm="1">
        <f t="array" ref="K9">IFERROR(INDEX(_xlfn.TEXTSPLIT(_xlfn.XLOOKUP($A9&amp;$B9&amp;$C9,盘货信息!$A:$A&amp;盘货信息!$B:$B&amp;盘货信息!$C:$C,盘货信息!$S:$S),CHAR(10),,TRUE),1,COLUMN(B8)),"")</f>
        <v/>
      </c>
      <c r="L9" s="18" t="str" cm="1">
        <f t="array" ref="L9">IFERROR(INDEX(_xlfn.TEXTSPLIT(_xlfn.XLOOKUP($A9&amp;$B9&amp;$C9,盘货信息!$A:$A&amp;盘货信息!$B:$B&amp;盘货信息!$C:$C,盘货信息!$S:$S),CHAR(10),,TRUE),1,COLUMN(C8)),"")</f>
        <v/>
      </c>
      <c r="M9" s="18" t="str" cm="1">
        <f t="array" ref="M9">IFERROR(INDEX(_xlfn.TEXTSPLIT(_xlfn.XLOOKUP($A9&amp;$B9&amp;$C9,盘货信息!$A:$A&amp;盘货信息!$B:$B&amp;盘货信息!$C:$C,盘货信息!$S:$S),CHAR(10),,TRUE),1,COLUMN(D8)),"")</f>
        <v/>
      </c>
      <c r="N9" s="18" t="str" cm="1">
        <f t="array" ref="N9">IFERROR(INDEX(_xlfn.TEXTSPLIT(_xlfn.XLOOKUP($A9&amp;$B9&amp;$C9,盘货信息!$A:$A&amp;盘货信息!$B:$B&amp;盘货信息!$C:$C,盘货信息!$S:$S),CHAR(10),,TRUE),1,COLUMN(E8)),"")</f>
        <v/>
      </c>
    </row>
    <row r="10" customHeight="1" spans="1:14">
      <c r="A10" s="17" t="str">
        <f>IF(盘货信息!A10="","",盘货信息!A10)</f>
        <v/>
      </c>
      <c r="B10" s="17" t="str">
        <f>IF(盘货信息!B10="","",盘货信息!B10)</f>
        <v/>
      </c>
      <c r="C10" s="18" t="str">
        <f>IF(盘货信息!C10="","",盘货信息!C10)</f>
        <v/>
      </c>
      <c r="D10" s="18" t="str">
        <f t="shared" si="0"/>
        <v/>
      </c>
      <c r="E10" s="18" t="str">
        <f>_xlfn.LET(_xlpm.A,IF(ISNUMBER(SEARCH("晒单",J10)),"【晒单】"&amp;MID(J10,SEARCH("晒单",J10)+LEN("晒单"),LEN(J10))&amp;"（需晒单后联系客服登记）",IF(ISNUMBER(SEARCH("包修",J10)),"【购机】"&amp;MID(J10,SEARCH("购机",J10)+LEN("购机"),LEN(J10)),IF(ISNUMBER(SEARCH("叠放支架",J10)),"【赠品】"&amp;MID(J10,SEARCH("购机",J10)+LEN("购机"),LEN(J10)),IF(ISNUMBER(SEARCH("秀图",J10)),"【秀图】"&amp;MID(J10,SEARCH("秀图",J10)+LEN("秀图"),LEN(J10)),"")))),IFERROR(LEFT(_xlpm.A,FIND("【",_xlpm.A,FIND("】",_xlpm.A)+1)-1)&amp;MID(_xlpm.A,FIND("】",_xlpm.A,FIND("】",_xlpm.A)+1)+1,LEN(_xlpm.A)),_xlpm.A))</f>
        <v/>
      </c>
      <c r="F10" s="18" t="str">
        <f>_xlfn.LET(_xlpm.A,IF(ISNUMBER(SEARCH("晒单",K10)),"【晒单】"&amp;MID(K10,SEARCH("晒单",K10)+LEN("晒单"),LEN(K10))&amp;"（需晒单后联系客服登记）",IF(ISNUMBER(SEARCH("包修",K10)),"【购机】"&amp;MID(K10,SEARCH("购机",K10)+LEN("购机"),LEN(K10)),IF(ISNUMBER(SEARCH("叠放支架",K10)),"【赠品】"&amp;MID(K10,SEARCH("购机",K10)+LEN("购机"),LEN(K10)),IF(ISNUMBER(SEARCH("秀图",K10)),"【秀图】"&amp;MID(K10,SEARCH("秀图",K10)+LEN("秀图"),LEN(K10)),"")))),IFERROR(LEFT(_xlpm.A,FIND("【",_xlpm.A,FIND("】",_xlpm.A)+1)-1)&amp;MID(_xlpm.A,FIND("】",_xlpm.A,FIND("】",_xlpm.A)+1)+1,LEN(_xlpm.A)),_xlpm.A))</f>
        <v/>
      </c>
      <c r="G10" s="18" t="str">
        <f>_xlfn.LET(_xlpm.A,IF(ISNUMBER(SEARCH("晒单",L10)),"【晒单】"&amp;MID(L10,SEARCH("晒单",L10)+LEN("晒单"),LEN(L10))&amp;"（需晒单后联系客服登记）",IF(ISNUMBER(SEARCH("包修",L10)),"【购机】"&amp;MID(L10,SEARCH("购机",L10)+LEN("购机"),LEN(L10)),IF(ISNUMBER(SEARCH("叠放支架",L10)),"【赠品】"&amp;MID(L10,SEARCH("购机",L10)+LEN("购机"),LEN(L10)),IF(ISNUMBER(SEARCH("秀图",L10)),"【秀图】"&amp;MID(L10,SEARCH("秀图",L10)+LEN("秀图"),LEN(L10)),"")))),IFERROR(LEFT(_xlpm.A,FIND("【",_xlpm.A,FIND("】",_xlpm.A)+1)-1)&amp;MID(_xlpm.A,FIND("】",_xlpm.A,FIND("】",_xlpm.A)+1)+1,LEN(_xlpm.A)),_xlpm.A))</f>
        <v/>
      </c>
      <c r="H10" s="18" t="str">
        <f>_xlfn.LET(_xlpm.A,IF(ISNUMBER(SEARCH("晒单",M10)),"【晒单】"&amp;MID(M10,SEARCH("晒单",M10)+LEN("晒单"),LEN(M10))&amp;"（需晒单后联系客服登记）",IF(ISNUMBER(SEARCH("包修",M10)),"【购机】"&amp;MID(M10,SEARCH("购机",M10)+LEN("购机"),LEN(M10)),IF(ISNUMBER(SEARCH("叠放支架",M10)),"【赠品】"&amp;MID(M10,SEARCH("购机",M10)+LEN("购机"),LEN(M10)),IF(ISNUMBER(SEARCH("秀图",M10)),"【秀图】"&amp;MID(M10,SEARCH("秀图",M10)+LEN("秀图"),LEN(M10)),"")))),IFERROR(LEFT(_xlpm.A,FIND("【",_xlpm.A,FIND("】",_xlpm.A)+1)-1)&amp;MID(_xlpm.A,FIND("】",_xlpm.A,FIND("】",_xlpm.A)+1)+1,LEN(_xlpm.A)),_xlpm.A))</f>
        <v/>
      </c>
      <c r="I10" s="18" t="str">
        <f>_xlfn.LET(_xlpm.A,IF(ISNUMBER(SEARCH("晒单",N10)),"【晒单】"&amp;MID(N10,SEARCH("晒单",N10)+LEN("晒单"),LEN(N10))&amp;"（需晒单后联系客服登记）",IF(ISNUMBER(SEARCH("包修",N10)),"【购机】"&amp;MID(N10,SEARCH("购机",N10)+LEN("购机"),LEN(N10)),IF(ISNUMBER(SEARCH("叠放支架",N10)),"【赠品】"&amp;MID(N10,SEARCH("购机",N10)+LEN("购机"),LEN(N10)),IF(ISNUMBER(SEARCH("秀图",N10)),"【秀图】"&amp;MID(N10,SEARCH("秀图",N10)+LEN("秀图"),LEN(N10)),"")))),IFERROR(LEFT(_xlpm.A,FIND("【",_xlpm.A,FIND("】",_xlpm.A)+1)-1)&amp;MID(_xlpm.A,FIND("】",_xlpm.A,FIND("】",_xlpm.A)+1)+1,LEN(_xlpm.A)),_xlpm.A))</f>
        <v/>
      </c>
      <c r="J10" s="18" t="str" cm="1">
        <f t="array" ref="J10">IFERROR(INDEX(_xlfn.TEXTSPLIT(_xlfn.XLOOKUP($A10&amp;$B10&amp;$C10,盘货信息!$A:$A&amp;盘货信息!$B:$B&amp;盘货信息!$C:$C,盘货信息!$S:$S),CHAR(10),,TRUE),1,COLUMN(A9)),"")</f>
        <v/>
      </c>
      <c r="K10" s="18" t="str" cm="1">
        <f t="array" ref="K10">IFERROR(INDEX(_xlfn.TEXTSPLIT(_xlfn.XLOOKUP($A10&amp;$B10&amp;$C10,盘货信息!$A:$A&amp;盘货信息!$B:$B&amp;盘货信息!$C:$C,盘货信息!$S:$S),CHAR(10),,TRUE),1,COLUMN(B9)),"")</f>
        <v/>
      </c>
      <c r="L10" s="18" t="str" cm="1">
        <f t="array" ref="L10">IFERROR(INDEX(_xlfn.TEXTSPLIT(_xlfn.XLOOKUP($A10&amp;$B10&amp;$C10,盘货信息!$A:$A&amp;盘货信息!$B:$B&amp;盘货信息!$C:$C,盘货信息!$S:$S),CHAR(10),,TRUE),1,COLUMN(C9)),"")</f>
        <v/>
      </c>
      <c r="M10" s="18" t="str" cm="1">
        <f t="array" ref="M10">IFERROR(INDEX(_xlfn.TEXTSPLIT(_xlfn.XLOOKUP($A10&amp;$B10&amp;$C10,盘货信息!$A:$A&amp;盘货信息!$B:$B&amp;盘货信息!$C:$C,盘货信息!$S:$S),CHAR(10),,TRUE),1,COLUMN(D9)),"")</f>
        <v/>
      </c>
      <c r="N10" s="18" t="str" cm="1">
        <f t="array" ref="N10">IFERROR(INDEX(_xlfn.TEXTSPLIT(_xlfn.XLOOKUP($A10&amp;$B10&amp;$C10,盘货信息!$A:$A&amp;盘货信息!$B:$B&amp;盘货信息!$C:$C,盘货信息!$S:$S),CHAR(10),,TRUE),1,COLUMN(E9)),"")</f>
        <v/>
      </c>
    </row>
    <row r="11" customHeight="1" spans="1:14">
      <c r="A11" s="17" t="str">
        <f>IF(盘货信息!A11="","",盘货信息!A11)</f>
        <v/>
      </c>
      <c r="B11" s="17" t="str">
        <f>IF(盘货信息!B11="","",盘货信息!B11)</f>
        <v/>
      </c>
      <c r="C11" s="18" t="str">
        <f>IF(盘货信息!C11="","",盘货信息!C11)</f>
        <v/>
      </c>
      <c r="D11" s="18" t="str">
        <f t="shared" si="0"/>
        <v/>
      </c>
      <c r="E11" s="18" t="str">
        <f>_xlfn.LET(_xlpm.A,IF(ISNUMBER(SEARCH("晒单",J11)),"【晒单】"&amp;MID(J11,SEARCH("晒单",J11)+LEN("晒单"),LEN(J11))&amp;"（需晒单后联系客服登记）",IF(ISNUMBER(SEARCH("包修",J11)),"【购机】"&amp;MID(J11,SEARCH("购机",J11)+LEN("购机"),LEN(J11)),IF(ISNUMBER(SEARCH("叠放支架",J11)),"【赠品】"&amp;MID(J11,SEARCH("购机",J11)+LEN("购机"),LEN(J11)),IF(ISNUMBER(SEARCH("秀图",J11)),"【秀图】"&amp;MID(J11,SEARCH("秀图",J11)+LEN("秀图"),LEN(J11)),"")))),IFERROR(LEFT(_xlpm.A,FIND("【",_xlpm.A,FIND("】",_xlpm.A)+1)-1)&amp;MID(_xlpm.A,FIND("】",_xlpm.A,FIND("】",_xlpm.A)+1)+1,LEN(_xlpm.A)),_xlpm.A))</f>
        <v/>
      </c>
      <c r="F11" s="18" t="str">
        <f>_xlfn.LET(_xlpm.A,IF(ISNUMBER(SEARCH("晒单",K11)),"【晒单】"&amp;MID(K11,SEARCH("晒单",K11)+LEN("晒单"),LEN(K11))&amp;"（需晒单后联系客服登记）",IF(ISNUMBER(SEARCH("包修",K11)),"【购机】"&amp;MID(K11,SEARCH("购机",K11)+LEN("购机"),LEN(K11)),IF(ISNUMBER(SEARCH("叠放支架",K11)),"【赠品】"&amp;MID(K11,SEARCH("购机",K11)+LEN("购机"),LEN(K11)),IF(ISNUMBER(SEARCH("秀图",K11)),"【秀图】"&amp;MID(K11,SEARCH("秀图",K11)+LEN("秀图"),LEN(K11)),"")))),IFERROR(LEFT(_xlpm.A,FIND("【",_xlpm.A,FIND("】",_xlpm.A)+1)-1)&amp;MID(_xlpm.A,FIND("】",_xlpm.A,FIND("】",_xlpm.A)+1)+1,LEN(_xlpm.A)),_xlpm.A))</f>
        <v/>
      </c>
      <c r="G11" s="18" t="str">
        <f>_xlfn.LET(_xlpm.A,IF(ISNUMBER(SEARCH("晒单",L11)),"【晒单】"&amp;MID(L11,SEARCH("晒单",L11)+LEN("晒单"),LEN(L11))&amp;"（需晒单后联系客服登记）",IF(ISNUMBER(SEARCH("包修",L11)),"【购机】"&amp;MID(L11,SEARCH("购机",L11)+LEN("购机"),LEN(L11)),IF(ISNUMBER(SEARCH("叠放支架",L11)),"【赠品】"&amp;MID(L11,SEARCH("购机",L11)+LEN("购机"),LEN(L11)),IF(ISNUMBER(SEARCH("秀图",L11)),"【秀图】"&amp;MID(L11,SEARCH("秀图",L11)+LEN("秀图"),LEN(L11)),"")))),IFERROR(LEFT(_xlpm.A,FIND("【",_xlpm.A,FIND("】",_xlpm.A)+1)-1)&amp;MID(_xlpm.A,FIND("】",_xlpm.A,FIND("】",_xlpm.A)+1)+1,LEN(_xlpm.A)),_xlpm.A))</f>
        <v/>
      </c>
      <c r="H11" s="18" t="str">
        <f>_xlfn.LET(_xlpm.A,IF(ISNUMBER(SEARCH("晒单",M11)),"【晒单】"&amp;MID(M11,SEARCH("晒单",M11)+LEN("晒单"),LEN(M11))&amp;"（需晒单后联系客服登记）",IF(ISNUMBER(SEARCH("包修",M11)),"【购机】"&amp;MID(M11,SEARCH("购机",M11)+LEN("购机"),LEN(M11)),IF(ISNUMBER(SEARCH("叠放支架",M11)),"【赠品】"&amp;MID(M11,SEARCH("购机",M11)+LEN("购机"),LEN(M11)),IF(ISNUMBER(SEARCH("秀图",M11)),"【秀图】"&amp;MID(M11,SEARCH("秀图",M11)+LEN("秀图"),LEN(M11)),"")))),IFERROR(LEFT(_xlpm.A,FIND("【",_xlpm.A,FIND("】",_xlpm.A)+1)-1)&amp;MID(_xlpm.A,FIND("】",_xlpm.A,FIND("】",_xlpm.A)+1)+1,LEN(_xlpm.A)),_xlpm.A))</f>
        <v/>
      </c>
      <c r="I11" s="18" t="str">
        <f>_xlfn.LET(_xlpm.A,IF(ISNUMBER(SEARCH("晒单",N11)),"【晒单】"&amp;MID(N11,SEARCH("晒单",N11)+LEN("晒单"),LEN(N11))&amp;"（需晒单后联系客服登记）",IF(ISNUMBER(SEARCH("包修",N11)),"【购机】"&amp;MID(N11,SEARCH("购机",N11)+LEN("购机"),LEN(N11)),IF(ISNUMBER(SEARCH("叠放支架",N11)),"【赠品】"&amp;MID(N11,SEARCH("购机",N11)+LEN("购机"),LEN(N11)),IF(ISNUMBER(SEARCH("秀图",N11)),"【秀图】"&amp;MID(N11,SEARCH("秀图",N11)+LEN("秀图"),LEN(N11)),"")))),IFERROR(LEFT(_xlpm.A,FIND("【",_xlpm.A,FIND("】",_xlpm.A)+1)-1)&amp;MID(_xlpm.A,FIND("】",_xlpm.A,FIND("】",_xlpm.A)+1)+1,LEN(_xlpm.A)),_xlpm.A))</f>
        <v/>
      </c>
      <c r="J11" s="18" t="str" cm="1">
        <f t="array" ref="J11">IFERROR(INDEX(_xlfn.TEXTSPLIT(_xlfn.XLOOKUP($A11&amp;$B11&amp;$C11,盘货信息!$A:$A&amp;盘货信息!$B:$B&amp;盘货信息!$C:$C,盘货信息!$S:$S),CHAR(10),,TRUE),1,COLUMN(A10)),"")</f>
        <v/>
      </c>
      <c r="K11" s="18" t="str" cm="1">
        <f t="array" ref="K11">IFERROR(INDEX(_xlfn.TEXTSPLIT(_xlfn.XLOOKUP($A11&amp;$B11&amp;$C11,盘货信息!$A:$A&amp;盘货信息!$B:$B&amp;盘货信息!$C:$C,盘货信息!$S:$S),CHAR(10),,TRUE),1,COLUMN(B10)),"")</f>
        <v/>
      </c>
      <c r="L11" s="18" t="str" cm="1">
        <f t="array" ref="L11">IFERROR(INDEX(_xlfn.TEXTSPLIT(_xlfn.XLOOKUP($A11&amp;$B11&amp;$C11,盘货信息!$A:$A&amp;盘货信息!$B:$B&amp;盘货信息!$C:$C,盘货信息!$S:$S),CHAR(10),,TRUE),1,COLUMN(C10)),"")</f>
        <v/>
      </c>
      <c r="M11" s="18" t="str" cm="1">
        <f t="array" ref="M11">IFERROR(INDEX(_xlfn.TEXTSPLIT(_xlfn.XLOOKUP($A11&amp;$B11&amp;$C11,盘货信息!$A:$A&amp;盘货信息!$B:$B&amp;盘货信息!$C:$C,盘货信息!$S:$S),CHAR(10),,TRUE),1,COLUMN(D10)),"")</f>
        <v/>
      </c>
      <c r="N11" s="18" t="str" cm="1">
        <f t="array" ref="N11">IFERROR(INDEX(_xlfn.TEXTSPLIT(_xlfn.XLOOKUP($A11&amp;$B11&amp;$C11,盘货信息!$A:$A&amp;盘货信息!$B:$B&amp;盘货信息!$C:$C,盘货信息!$S:$S),CHAR(10),,TRUE),1,COLUMN(E10)),"")</f>
        <v/>
      </c>
    </row>
    <row r="12" customHeight="1" spans="1:14">
      <c r="A12" s="17" t="str">
        <f>IF(盘货信息!A12="","",盘货信息!A12)</f>
        <v/>
      </c>
      <c r="B12" s="17" t="str">
        <f>IF(盘货信息!B12="","",盘货信息!B12)</f>
        <v/>
      </c>
      <c r="C12" s="18" t="str">
        <f>IF(盘货信息!C12="","",盘货信息!C12)</f>
        <v/>
      </c>
      <c r="D12" s="18" t="str">
        <f t="shared" si="0"/>
        <v/>
      </c>
      <c r="E12" s="18" t="str">
        <f>_xlfn.LET(_xlpm.A,IF(ISNUMBER(SEARCH("晒单",J12)),"【晒单】"&amp;MID(J12,SEARCH("晒单",J12)+LEN("晒单"),LEN(J12))&amp;"（需晒单后联系客服登记）",IF(ISNUMBER(SEARCH("包修",J12)),"【购机】"&amp;MID(J12,SEARCH("购机",J12)+LEN("购机"),LEN(J12)),IF(ISNUMBER(SEARCH("叠放支架",J12)),"【赠品】"&amp;MID(J12,SEARCH("购机",J12)+LEN("购机"),LEN(J12)),IF(ISNUMBER(SEARCH("秀图",J12)),"【秀图】"&amp;MID(J12,SEARCH("秀图",J12)+LEN("秀图"),LEN(J12)),"")))),IFERROR(LEFT(_xlpm.A,FIND("【",_xlpm.A,FIND("】",_xlpm.A)+1)-1)&amp;MID(_xlpm.A,FIND("】",_xlpm.A,FIND("】",_xlpm.A)+1)+1,LEN(_xlpm.A)),_xlpm.A))</f>
        <v/>
      </c>
      <c r="F12" s="18" t="str">
        <f>_xlfn.LET(_xlpm.A,IF(ISNUMBER(SEARCH("晒单",K12)),"【晒单】"&amp;MID(K12,SEARCH("晒单",K12)+LEN("晒单"),LEN(K12))&amp;"（需晒单后联系客服登记）",IF(ISNUMBER(SEARCH("包修",K12)),"【购机】"&amp;MID(K12,SEARCH("购机",K12)+LEN("购机"),LEN(K12)),IF(ISNUMBER(SEARCH("叠放支架",K12)),"【赠品】"&amp;MID(K12,SEARCH("购机",K12)+LEN("购机"),LEN(K12)),IF(ISNUMBER(SEARCH("秀图",K12)),"【秀图】"&amp;MID(K12,SEARCH("秀图",K12)+LEN("秀图"),LEN(K12)),"")))),IFERROR(LEFT(_xlpm.A,FIND("【",_xlpm.A,FIND("】",_xlpm.A)+1)-1)&amp;MID(_xlpm.A,FIND("】",_xlpm.A,FIND("】",_xlpm.A)+1)+1,LEN(_xlpm.A)),_xlpm.A))</f>
        <v/>
      </c>
      <c r="G12" s="18" t="str">
        <f>_xlfn.LET(_xlpm.A,IF(ISNUMBER(SEARCH("晒单",L12)),"【晒单】"&amp;MID(L12,SEARCH("晒单",L12)+LEN("晒单"),LEN(L12))&amp;"（需晒单后联系客服登记）",IF(ISNUMBER(SEARCH("包修",L12)),"【购机】"&amp;MID(L12,SEARCH("购机",L12)+LEN("购机"),LEN(L12)),IF(ISNUMBER(SEARCH("叠放支架",L12)),"【赠品】"&amp;MID(L12,SEARCH("购机",L12)+LEN("购机"),LEN(L12)),IF(ISNUMBER(SEARCH("秀图",L12)),"【秀图】"&amp;MID(L12,SEARCH("秀图",L12)+LEN("秀图"),LEN(L12)),"")))),IFERROR(LEFT(_xlpm.A,FIND("【",_xlpm.A,FIND("】",_xlpm.A)+1)-1)&amp;MID(_xlpm.A,FIND("】",_xlpm.A,FIND("】",_xlpm.A)+1)+1,LEN(_xlpm.A)),_xlpm.A))</f>
        <v/>
      </c>
      <c r="H12" s="18" t="str">
        <f>_xlfn.LET(_xlpm.A,IF(ISNUMBER(SEARCH("晒单",M12)),"【晒单】"&amp;MID(M12,SEARCH("晒单",M12)+LEN("晒单"),LEN(M12))&amp;"（需晒单后联系客服登记）",IF(ISNUMBER(SEARCH("包修",M12)),"【购机】"&amp;MID(M12,SEARCH("购机",M12)+LEN("购机"),LEN(M12)),IF(ISNUMBER(SEARCH("叠放支架",M12)),"【赠品】"&amp;MID(M12,SEARCH("购机",M12)+LEN("购机"),LEN(M12)),IF(ISNUMBER(SEARCH("秀图",M12)),"【秀图】"&amp;MID(M12,SEARCH("秀图",M12)+LEN("秀图"),LEN(M12)),"")))),IFERROR(LEFT(_xlpm.A,FIND("【",_xlpm.A,FIND("】",_xlpm.A)+1)-1)&amp;MID(_xlpm.A,FIND("】",_xlpm.A,FIND("】",_xlpm.A)+1)+1,LEN(_xlpm.A)),_xlpm.A))</f>
        <v/>
      </c>
      <c r="I12" s="18" t="str">
        <f>_xlfn.LET(_xlpm.A,IF(ISNUMBER(SEARCH("晒单",N12)),"【晒单】"&amp;MID(N12,SEARCH("晒单",N12)+LEN("晒单"),LEN(N12))&amp;"（需晒单后联系客服登记）",IF(ISNUMBER(SEARCH("包修",N12)),"【购机】"&amp;MID(N12,SEARCH("购机",N12)+LEN("购机"),LEN(N12)),IF(ISNUMBER(SEARCH("叠放支架",N12)),"【赠品】"&amp;MID(N12,SEARCH("购机",N12)+LEN("购机"),LEN(N12)),IF(ISNUMBER(SEARCH("秀图",N12)),"【秀图】"&amp;MID(N12,SEARCH("秀图",N12)+LEN("秀图"),LEN(N12)),"")))),IFERROR(LEFT(_xlpm.A,FIND("【",_xlpm.A,FIND("】",_xlpm.A)+1)-1)&amp;MID(_xlpm.A,FIND("】",_xlpm.A,FIND("】",_xlpm.A)+1)+1,LEN(_xlpm.A)),_xlpm.A))</f>
        <v/>
      </c>
      <c r="J12" s="18" t="str" cm="1">
        <f t="array" ref="J12">IFERROR(INDEX(_xlfn.TEXTSPLIT(_xlfn.XLOOKUP($A12&amp;$B12&amp;$C12,盘货信息!$A:$A&amp;盘货信息!$B:$B&amp;盘货信息!$C:$C,盘货信息!$S:$S),CHAR(10),,TRUE),1,COLUMN(A11)),"")</f>
        <v/>
      </c>
      <c r="K12" s="18" t="str" cm="1">
        <f t="array" ref="K12">IFERROR(INDEX(_xlfn.TEXTSPLIT(_xlfn.XLOOKUP($A12&amp;$B12&amp;$C12,盘货信息!$A:$A&amp;盘货信息!$B:$B&amp;盘货信息!$C:$C,盘货信息!$S:$S),CHAR(10),,TRUE),1,COLUMN(B11)),"")</f>
        <v/>
      </c>
      <c r="L12" s="18" t="str" cm="1">
        <f t="array" ref="L12">IFERROR(INDEX(_xlfn.TEXTSPLIT(_xlfn.XLOOKUP($A12&amp;$B12&amp;$C12,盘货信息!$A:$A&amp;盘货信息!$B:$B&amp;盘货信息!$C:$C,盘货信息!$S:$S),CHAR(10),,TRUE),1,COLUMN(C11)),"")</f>
        <v/>
      </c>
      <c r="M12" s="18" t="str" cm="1">
        <f t="array" ref="M12">IFERROR(INDEX(_xlfn.TEXTSPLIT(_xlfn.XLOOKUP($A12&amp;$B12&amp;$C12,盘货信息!$A:$A&amp;盘货信息!$B:$B&amp;盘货信息!$C:$C,盘货信息!$S:$S),CHAR(10),,TRUE),1,COLUMN(D11)),"")</f>
        <v/>
      </c>
      <c r="N12" s="18" t="str" cm="1">
        <f t="array" ref="N12">IFERROR(INDEX(_xlfn.TEXTSPLIT(_xlfn.XLOOKUP($A12&amp;$B12&amp;$C12,盘货信息!$A:$A&amp;盘货信息!$B:$B&amp;盘货信息!$C:$C,盘货信息!$S:$S),CHAR(10),,TRUE),1,COLUMN(E11)),"")</f>
        <v/>
      </c>
    </row>
    <row r="13" customHeight="1" spans="1:14">
      <c r="A13" s="17" t="str">
        <f>IF(盘货信息!A13="","",盘货信息!A13)</f>
        <v/>
      </c>
      <c r="B13" s="17" t="str">
        <f>IF(盘货信息!B13="","",盘货信息!B13)</f>
        <v/>
      </c>
      <c r="C13" s="18" t="str">
        <f>IF(盘货信息!C13="","",盘货信息!C13)</f>
        <v/>
      </c>
      <c r="D13" s="18" t="str">
        <f t="shared" si="0"/>
        <v/>
      </c>
      <c r="E13" s="18" t="str">
        <f>_xlfn.LET(_xlpm.A,IF(ISNUMBER(SEARCH("晒单",J13)),"【晒单】"&amp;MID(J13,SEARCH("晒单",J13)+LEN("晒单"),LEN(J13))&amp;"（需晒单后联系客服登记）",IF(ISNUMBER(SEARCH("包修",J13)),"【购机】"&amp;MID(J13,SEARCH("购机",J13)+LEN("购机"),LEN(J13)),IF(ISNUMBER(SEARCH("叠放支架",J13)),"【赠品】"&amp;MID(J13,SEARCH("购机",J13)+LEN("购机"),LEN(J13)),IF(ISNUMBER(SEARCH("秀图",J13)),"【秀图】"&amp;MID(J13,SEARCH("秀图",J13)+LEN("秀图"),LEN(J13)),"")))),IFERROR(LEFT(_xlpm.A,FIND("【",_xlpm.A,FIND("】",_xlpm.A)+1)-1)&amp;MID(_xlpm.A,FIND("】",_xlpm.A,FIND("】",_xlpm.A)+1)+1,LEN(_xlpm.A)),_xlpm.A))</f>
        <v/>
      </c>
      <c r="F13" s="18" t="str">
        <f>_xlfn.LET(_xlpm.A,IF(ISNUMBER(SEARCH("晒单",K13)),"【晒单】"&amp;MID(K13,SEARCH("晒单",K13)+LEN("晒单"),LEN(K13))&amp;"（需晒单后联系客服登记）",IF(ISNUMBER(SEARCH("包修",K13)),"【购机】"&amp;MID(K13,SEARCH("购机",K13)+LEN("购机"),LEN(K13)),IF(ISNUMBER(SEARCH("叠放支架",K13)),"【赠品】"&amp;MID(K13,SEARCH("购机",K13)+LEN("购机"),LEN(K13)),IF(ISNUMBER(SEARCH("秀图",K13)),"【秀图】"&amp;MID(K13,SEARCH("秀图",K13)+LEN("秀图"),LEN(K13)),"")))),IFERROR(LEFT(_xlpm.A,FIND("【",_xlpm.A,FIND("】",_xlpm.A)+1)-1)&amp;MID(_xlpm.A,FIND("】",_xlpm.A,FIND("】",_xlpm.A)+1)+1,LEN(_xlpm.A)),_xlpm.A))</f>
        <v/>
      </c>
      <c r="G13" s="18" t="str">
        <f>_xlfn.LET(_xlpm.A,IF(ISNUMBER(SEARCH("晒单",L13)),"【晒单】"&amp;MID(L13,SEARCH("晒单",L13)+LEN("晒单"),LEN(L13))&amp;"（需晒单后联系客服登记）",IF(ISNUMBER(SEARCH("包修",L13)),"【购机】"&amp;MID(L13,SEARCH("购机",L13)+LEN("购机"),LEN(L13)),IF(ISNUMBER(SEARCH("叠放支架",L13)),"【赠品】"&amp;MID(L13,SEARCH("购机",L13)+LEN("购机"),LEN(L13)),IF(ISNUMBER(SEARCH("秀图",L13)),"【秀图】"&amp;MID(L13,SEARCH("秀图",L13)+LEN("秀图"),LEN(L13)),"")))),IFERROR(LEFT(_xlpm.A,FIND("【",_xlpm.A,FIND("】",_xlpm.A)+1)-1)&amp;MID(_xlpm.A,FIND("】",_xlpm.A,FIND("】",_xlpm.A)+1)+1,LEN(_xlpm.A)),_xlpm.A))</f>
        <v/>
      </c>
      <c r="H13" s="18" t="str">
        <f>_xlfn.LET(_xlpm.A,IF(ISNUMBER(SEARCH("晒单",M13)),"【晒单】"&amp;MID(M13,SEARCH("晒单",M13)+LEN("晒单"),LEN(M13))&amp;"（需晒单后联系客服登记）",IF(ISNUMBER(SEARCH("包修",M13)),"【购机】"&amp;MID(M13,SEARCH("购机",M13)+LEN("购机"),LEN(M13)),IF(ISNUMBER(SEARCH("叠放支架",M13)),"【赠品】"&amp;MID(M13,SEARCH("购机",M13)+LEN("购机"),LEN(M13)),IF(ISNUMBER(SEARCH("秀图",M13)),"【秀图】"&amp;MID(M13,SEARCH("秀图",M13)+LEN("秀图"),LEN(M13)),"")))),IFERROR(LEFT(_xlpm.A,FIND("【",_xlpm.A,FIND("】",_xlpm.A)+1)-1)&amp;MID(_xlpm.A,FIND("】",_xlpm.A,FIND("】",_xlpm.A)+1)+1,LEN(_xlpm.A)),_xlpm.A))</f>
        <v/>
      </c>
      <c r="I13" s="18" t="str">
        <f>_xlfn.LET(_xlpm.A,IF(ISNUMBER(SEARCH("晒单",N13)),"【晒单】"&amp;MID(N13,SEARCH("晒单",N13)+LEN("晒单"),LEN(N13))&amp;"（需晒单后联系客服登记）",IF(ISNUMBER(SEARCH("包修",N13)),"【购机】"&amp;MID(N13,SEARCH("购机",N13)+LEN("购机"),LEN(N13)),IF(ISNUMBER(SEARCH("叠放支架",N13)),"【赠品】"&amp;MID(N13,SEARCH("购机",N13)+LEN("购机"),LEN(N13)),IF(ISNUMBER(SEARCH("秀图",N13)),"【秀图】"&amp;MID(N13,SEARCH("秀图",N13)+LEN("秀图"),LEN(N13)),"")))),IFERROR(LEFT(_xlpm.A,FIND("【",_xlpm.A,FIND("】",_xlpm.A)+1)-1)&amp;MID(_xlpm.A,FIND("】",_xlpm.A,FIND("】",_xlpm.A)+1)+1,LEN(_xlpm.A)),_xlpm.A))</f>
        <v/>
      </c>
      <c r="J13" s="18" t="str" cm="1">
        <f t="array" ref="J13">IFERROR(INDEX(_xlfn.TEXTSPLIT(_xlfn.XLOOKUP($A13&amp;$B13&amp;$C13,盘货信息!$A:$A&amp;盘货信息!$B:$B&amp;盘货信息!$C:$C,盘货信息!$S:$S),CHAR(10),,TRUE),1,COLUMN(A12)),"")</f>
        <v/>
      </c>
      <c r="K13" s="18" t="str" cm="1">
        <f t="array" ref="K13">IFERROR(INDEX(_xlfn.TEXTSPLIT(_xlfn.XLOOKUP($A13&amp;$B13&amp;$C13,盘货信息!$A:$A&amp;盘货信息!$B:$B&amp;盘货信息!$C:$C,盘货信息!$S:$S),CHAR(10),,TRUE),1,COLUMN(B12)),"")</f>
        <v/>
      </c>
      <c r="L13" s="18" t="str" cm="1">
        <f t="array" ref="L13">IFERROR(INDEX(_xlfn.TEXTSPLIT(_xlfn.XLOOKUP($A13&amp;$B13&amp;$C13,盘货信息!$A:$A&amp;盘货信息!$B:$B&amp;盘货信息!$C:$C,盘货信息!$S:$S),CHAR(10),,TRUE),1,COLUMN(C12)),"")</f>
        <v/>
      </c>
      <c r="M13" s="18" t="str" cm="1">
        <f t="array" ref="M13">IFERROR(INDEX(_xlfn.TEXTSPLIT(_xlfn.XLOOKUP($A13&amp;$B13&amp;$C13,盘货信息!$A:$A&amp;盘货信息!$B:$B&amp;盘货信息!$C:$C,盘货信息!$S:$S),CHAR(10),,TRUE),1,COLUMN(D12)),"")</f>
        <v/>
      </c>
      <c r="N13" s="18" t="str" cm="1">
        <f t="array" ref="N13">IFERROR(INDEX(_xlfn.TEXTSPLIT(_xlfn.XLOOKUP($A13&amp;$B13&amp;$C13,盘货信息!$A:$A&amp;盘货信息!$B:$B&amp;盘货信息!$C:$C,盘货信息!$S:$S),CHAR(10),,TRUE),1,COLUMN(E12)),"")</f>
        <v/>
      </c>
    </row>
    <row r="14" customHeight="1" spans="1:14">
      <c r="A14" s="17" t="str">
        <f>IF(盘货信息!A14="","",盘货信息!A14)</f>
        <v/>
      </c>
      <c r="B14" s="17" t="str">
        <f>IF(盘货信息!B14="","",盘货信息!B14)</f>
        <v/>
      </c>
      <c r="C14" s="18" t="str">
        <f>IF(盘货信息!C14="","",盘货信息!C14)</f>
        <v/>
      </c>
      <c r="D14" s="18" t="str">
        <f t="shared" si="0"/>
        <v/>
      </c>
      <c r="E14" s="18" t="str">
        <f>_xlfn.LET(_xlpm.A,IF(ISNUMBER(SEARCH("晒单",J14)),"【晒单】"&amp;MID(J14,SEARCH("晒单",J14)+LEN("晒单"),LEN(J14))&amp;"（需晒单后联系客服登记）",IF(ISNUMBER(SEARCH("包修",J14)),"【购机】"&amp;MID(J14,SEARCH("购机",J14)+LEN("购机"),LEN(J14)),IF(ISNUMBER(SEARCH("叠放支架",J14)),"【赠品】"&amp;MID(J14,SEARCH("购机",J14)+LEN("购机"),LEN(J14)),IF(ISNUMBER(SEARCH("秀图",J14)),"【秀图】"&amp;MID(J14,SEARCH("秀图",J14)+LEN("秀图"),LEN(J14)),"")))),IFERROR(LEFT(_xlpm.A,FIND("【",_xlpm.A,FIND("】",_xlpm.A)+1)-1)&amp;MID(_xlpm.A,FIND("】",_xlpm.A,FIND("】",_xlpm.A)+1)+1,LEN(_xlpm.A)),_xlpm.A))</f>
        <v/>
      </c>
      <c r="F14" s="18" t="str">
        <f>_xlfn.LET(_xlpm.A,IF(ISNUMBER(SEARCH("晒单",K14)),"【晒单】"&amp;MID(K14,SEARCH("晒单",K14)+LEN("晒单"),LEN(K14))&amp;"（需晒单后联系客服登记）",IF(ISNUMBER(SEARCH("包修",K14)),"【购机】"&amp;MID(K14,SEARCH("购机",K14)+LEN("购机"),LEN(K14)),IF(ISNUMBER(SEARCH("叠放支架",K14)),"【赠品】"&amp;MID(K14,SEARCH("购机",K14)+LEN("购机"),LEN(K14)),IF(ISNUMBER(SEARCH("秀图",K14)),"【秀图】"&amp;MID(K14,SEARCH("秀图",K14)+LEN("秀图"),LEN(K14)),"")))),IFERROR(LEFT(_xlpm.A,FIND("【",_xlpm.A,FIND("】",_xlpm.A)+1)-1)&amp;MID(_xlpm.A,FIND("】",_xlpm.A,FIND("】",_xlpm.A)+1)+1,LEN(_xlpm.A)),_xlpm.A))</f>
        <v/>
      </c>
      <c r="G14" s="18" t="str">
        <f>_xlfn.LET(_xlpm.A,IF(ISNUMBER(SEARCH("晒单",L14)),"【晒单】"&amp;MID(L14,SEARCH("晒单",L14)+LEN("晒单"),LEN(L14))&amp;"（需晒单后联系客服登记）",IF(ISNUMBER(SEARCH("包修",L14)),"【购机】"&amp;MID(L14,SEARCH("购机",L14)+LEN("购机"),LEN(L14)),IF(ISNUMBER(SEARCH("叠放支架",L14)),"【赠品】"&amp;MID(L14,SEARCH("购机",L14)+LEN("购机"),LEN(L14)),IF(ISNUMBER(SEARCH("秀图",L14)),"【秀图】"&amp;MID(L14,SEARCH("秀图",L14)+LEN("秀图"),LEN(L14)),"")))),IFERROR(LEFT(_xlpm.A,FIND("【",_xlpm.A,FIND("】",_xlpm.A)+1)-1)&amp;MID(_xlpm.A,FIND("】",_xlpm.A,FIND("】",_xlpm.A)+1)+1,LEN(_xlpm.A)),_xlpm.A))</f>
        <v/>
      </c>
      <c r="H14" s="18" t="str">
        <f>_xlfn.LET(_xlpm.A,IF(ISNUMBER(SEARCH("晒单",M14)),"【晒单】"&amp;MID(M14,SEARCH("晒单",M14)+LEN("晒单"),LEN(M14))&amp;"（需晒单后联系客服登记）",IF(ISNUMBER(SEARCH("包修",M14)),"【购机】"&amp;MID(M14,SEARCH("购机",M14)+LEN("购机"),LEN(M14)),IF(ISNUMBER(SEARCH("叠放支架",M14)),"【赠品】"&amp;MID(M14,SEARCH("购机",M14)+LEN("购机"),LEN(M14)),IF(ISNUMBER(SEARCH("秀图",M14)),"【秀图】"&amp;MID(M14,SEARCH("秀图",M14)+LEN("秀图"),LEN(M14)),"")))),IFERROR(LEFT(_xlpm.A,FIND("【",_xlpm.A,FIND("】",_xlpm.A)+1)-1)&amp;MID(_xlpm.A,FIND("】",_xlpm.A,FIND("】",_xlpm.A)+1)+1,LEN(_xlpm.A)),_xlpm.A))</f>
        <v/>
      </c>
      <c r="I14" s="18" t="str">
        <f>_xlfn.LET(_xlpm.A,IF(ISNUMBER(SEARCH("晒单",N14)),"【晒单】"&amp;MID(N14,SEARCH("晒单",N14)+LEN("晒单"),LEN(N14))&amp;"（需晒单后联系客服登记）",IF(ISNUMBER(SEARCH("包修",N14)),"【购机】"&amp;MID(N14,SEARCH("购机",N14)+LEN("购机"),LEN(N14)),IF(ISNUMBER(SEARCH("叠放支架",N14)),"【赠品】"&amp;MID(N14,SEARCH("购机",N14)+LEN("购机"),LEN(N14)),IF(ISNUMBER(SEARCH("秀图",N14)),"【秀图】"&amp;MID(N14,SEARCH("秀图",N14)+LEN("秀图"),LEN(N14)),"")))),IFERROR(LEFT(_xlpm.A,FIND("【",_xlpm.A,FIND("】",_xlpm.A)+1)-1)&amp;MID(_xlpm.A,FIND("】",_xlpm.A,FIND("】",_xlpm.A)+1)+1,LEN(_xlpm.A)),_xlpm.A))</f>
        <v/>
      </c>
      <c r="J14" s="18" t="str" cm="1">
        <f t="array" ref="J14">IFERROR(INDEX(_xlfn.TEXTSPLIT(_xlfn.XLOOKUP($A14&amp;$B14&amp;$C14,盘货信息!$A:$A&amp;盘货信息!$B:$B&amp;盘货信息!$C:$C,盘货信息!$S:$S),CHAR(10),,TRUE),1,COLUMN(A13)),"")</f>
        <v/>
      </c>
      <c r="K14" s="18" t="str" cm="1">
        <f t="array" ref="K14">IFERROR(INDEX(_xlfn.TEXTSPLIT(_xlfn.XLOOKUP($A14&amp;$B14&amp;$C14,盘货信息!$A:$A&amp;盘货信息!$B:$B&amp;盘货信息!$C:$C,盘货信息!$S:$S),CHAR(10),,TRUE),1,COLUMN(B13)),"")</f>
        <v/>
      </c>
      <c r="L14" s="18" t="str" cm="1">
        <f t="array" ref="L14">IFERROR(INDEX(_xlfn.TEXTSPLIT(_xlfn.XLOOKUP($A14&amp;$B14&amp;$C14,盘货信息!$A:$A&amp;盘货信息!$B:$B&amp;盘货信息!$C:$C,盘货信息!$S:$S),CHAR(10),,TRUE),1,COLUMN(C13)),"")</f>
        <v/>
      </c>
      <c r="M14" s="18" t="str" cm="1">
        <f t="array" ref="M14">IFERROR(INDEX(_xlfn.TEXTSPLIT(_xlfn.XLOOKUP($A14&amp;$B14&amp;$C14,盘货信息!$A:$A&amp;盘货信息!$B:$B&amp;盘货信息!$C:$C,盘货信息!$S:$S),CHAR(10),,TRUE),1,COLUMN(D13)),"")</f>
        <v/>
      </c>
      <c r="N14" s="18" t="str" cm="1">
        <f t="array" ref="N14">IFERROR(INDEX(_xlfn.TEXTSPLIT(_xlfn.XLOOKUP($A14&amp;$B14&amp;$C14,盘货信息!$A:$A&amp;盘货信息!$B:$B&amp;盘货信息!$C:$C,盘货信息!$S:$S),CHAR(10),,TRUE),1,COLUMN(E13)),"")</f>
        <v/>
      </c>
    </row>
    <row r="15" customHeight="1" spans="1:14">
      <c r="A15" s="17" t="str">
        <f>IF(盘货信息!A15="","",盘货信息!A15)</f>
        <v/>
      </c>
      <c r="B15" s="17" t="str">
        <f>IF(盘货信息!B15="","",盘货信息!B15)</f>
        <v/>
      </c>
      <c r="C15" s="18" t="str">
        <f>IF(盘货信息!C15="","",盘货信息!C15)</f>
        <v/>
      </c>
      <c r="D15" s="18" t="str">
        <f t="shared" si="0"/>
        <v/>
      </c>
      <c r="E15" s="18" t="str">
        <f>_xlfn.LET(_xlpm.A,IF(ISNUMBER(SEARCH("晒单",J15)),"【晒单】"&amp;MID(J15,SEARCH("晒单",J15)+LEN("晒单"),LEN(J15))&amp;"（需晒单后联系客服登记）",IF(ISNUMBER(SEARCH("包修",J15)),"【购机】"&amp;MID(J15,SEARCH("购机",J15)+LEN("购机"),LEN(J15)),IF(ISNUMBER(SEARCH("叠放支架",J15)),"【赠品】"&amp;MID(J15,SEARCH("购机",J15)+LEN("购机"),LEN(J15)),IF(ISNUMBER(SEARCH("秀图",J15)),"【秀图】"&amp;MID(J15,SEARCH("秀图",J15)+LEN("秀图"),LEN(J15)),"")))),IFERROR(LEFT(_xlpm.A,FIND("【",_xlpm.A,FIND("】",_xlpm.A)+1)-1)&amp;MID(_xlpm.A,FIND("】",_xlpm.A,FIND("】",_xlpm.A)+1)+1,LEN(_xlpm.A)),_xlpm.A))</f>
        <v/>
      </c>
      <c r="F15" s="18" t="str">
        <f>_xlfn.LET(_xlpm.A,IF(ISNUMBER(SEARCH("晒单",K15)),"【晒单】"&amp;MID(K15,SEARCH("晒单",K15)+LEN("晒单"),LEN(K15))&amp;"（需晒单后联系客服登记）",IF(ISNUMBER(SEARCH("包修",K15)),"【购机】"&amp;MID(K15,SEARCH("购机",K15)+LEN("购机"),LEN(K15)),IF(ISNUMBER(SEARCH("叠放支架",K15)),"【赠品】"&amp;MID(K15,SEARCH("购机",K15)+LEN("购机"),LEN(K15)),IF(ISNUMBER(SEARCH("秀图",K15)),"【秀图】"&amp;MID(K15,SEARCH("秀图",K15)+LEN("秀图"),LEN(K15)),"")))),IFERROR(LEFT(_xlpm.A,FIND("【",_xlpm.A,FIND("】",_xlpm.A)+1)-1)&amp;MID(_xlpm.A,FIND("】",_xlpm.A,FIND("】",_xlpm.A)+1)+1,LEN(_xlpm.A)),_xlpm.A))</f>
        <v/>
      </c>
      <c r="G15" s="18" t="str">
        <f>_xlfn.LET(_xlpm.A,IF(ISNUMBER(SEARCH("晒单",L15)),"【晒单】"&amp;MID(L15,SEARCH("晒单",L15)+LEN("晒单"),LEN(L15))&amp;"（需晒单后联系客服登记）",IF(ISNUMBER(SEARCH("包修",L15)),"【购机】"&amp;MID(L15,SEARCH("购机",L15)+LEN("购机"),LEN(L15)),IF(ISNUMBER(SEARCH("叠放支架",L15)),"【赠品】"&amp;MID(L15,SEARCH("购机",L15)+LEN("购机"),LEN(L15)),IF(ISNUMBER(SEARCH("秀图",L15)),"【秀图】"&amp;MID(L15,SEARCH("秀图",L15)+LEN("秀图"),LEN(L15)),"")))),IFERROR(LEFT(_xlpm.A,FIND("【",_xlpm.A,FIND("】",_xlpm.A)+1)-1)&amp;MID(_xlpm.A,FIND("】",_xlpm.A,FIND("】",_xlpm.A)+1)+1,LEN(_xlpm.A)),_xlpm.A))</f>
        <v/>
      </c>
      <c r="H15" s="18" t="str">
        <f>_xlfn.LET(_xlpm.A,IF(ISNUMBER(SEARCH("晒单",M15)),"【晒单】"&amp;MID(M15,SEARCH("晒单",M15)+LEN("晒单"),LEN(M15))&amp;"（需晒单后联系客服登记）",IF(ISNUMBER(SEARCH("包修",M15)),"【购机】"&amp;MID(M15,SEARCH("购机",M15)+LEN("购机"),LEN(M15)),IF(ISNUMBER(SEARCH("叠放支架",M15)),"【赠品】"&amp;MID(M15,SEARCH("购机",M15)+LEN("购机"),LEN(M15)),IF(ISNUMBER(SEARCH("秀图",M15)),"【秀图】"&amp;MID(M15,SEARCH("秀图",M15)+LEN("秀图"),LEN(M15)),"")))),IFERROR(LEFT(_xlpm.A,FIND("【",_xlpm.A,FIND("】",_xlpm.A)+1)-1)&amp;MID(_xlpm.A,FIND("】",_xlpm.A,FIND("】",_xlpm.A)+1)+1,LEN(_xlpm.A)),_xlpm.A))</f>
        <v/>
      </c>
      <c r="I15" s="18" t="str">
        <f>_xlfn.LET(_xlpm.A,IF(ISNUMBER(SEARCH("晒单",N15)),"【晒单】"&amp;MID(N15,SEARCH("晒单",N15)+LEN("晒单"),LEN(N15))&amp;"（需晒单后联系客服登记）",IF(ISNUMBER(SEARCH("包修",N15)),"【购机】"&amp;MID(N15,SEARCH("购机",N15)+LEN("购机"),LEN(N15)),IF(ISNUMBER(SEARCH("叠放支架",N15)),"【赠品】"&amp;MID(N15,SEARCH("购机",N15)+LEN("购机"),LEN(N15)),IF(ISNUMBER(SEARCH("秀图",N15)),"【秀图】"&amp;MID(N15,SEARCH("秀图",N15)+LEN("秀图"),LEN(N15)),"")))),IFERROR(LEFT(_xlpm.A,FIND("【",_xlpm.A,FIND("】",_xlpm.A)+1)-1)&amp;MID(_xlpm.A,FIND("】",_xlpm.A,FIND("】",_xlpm.A)+1)+1,LEN(_xlpm.A)),_xlpm.A))</f>
        <v/>
      </c>
      <c r="J15" s="18" t="str" cm="1">
        <f t="array" ref="J15">IFERROR(INDEX(_xlfn.TEXTSPLIT(_xlfn.XLOOKUP($A15&amp;$B15&amp;$C15,盘货信息!$A:$A&amp;盘货信息!$B:$B&amp;盘货信息!$C:$C,盘货信息!$S:$S),CHAR(10),,TRUE),1,COLUMN(A14)),"")</f>
        <v/>
      </c>
      <c r="K15" s="18" t="str" cm="1">
        <f t="array" ref="K15">IFERROR(INDEX(_xlfn.TEXTSPLIT(_xlfn.XLOOKUP($A15&amp;$B15&amp;$C15,盘货信息!$A:$A&amp;盘货信息!$B:$B&amp;盘货信息!$C:$C,盘货信息!$S:$S),CHAR(10),,TRUE),1,COLUMN(B14)),"")</f>
        <v/>
      </c>
      <c r="L15" s="18" t="str" cm="1">
        <f t="array" ref="L15">IFERROR(INDEX(_xlfn.TEXTSPLIT(_xlfn.XLOOKUP($A15&amp;$B15&amp;$C15,盘货信息!$A:$A&amp;盘货信息!$B:$B&amp;盘货信息!$C:$C,盘货信息!$S:$S),CHAR(10),,TRUE),1,COLUMN(C14)),"")</f>
        <v/>
      </c>
      <c r="M15" s="18" t="str" cm="1">
        <f t="array" ref="M15">IFERROR(INDEX(_xlfn.TEXTSPLIT(_xlfn.XLOOKUP($A15&amp;$B15&amp;$C15,盘货信息!$A:$A&amp;盘货信息!$B:$B&amp;盘货信息!$C:$C,盘货信息!$S:$S),CHAR(10),,TRUE),1,COLUMN(D14)),"")</f>
        <v/>
      </c>
      <c r="N15" s="18" t="str" cm="1">
        <f t="array" ref="N15">IFERROR(INDEX(_xlfn.TEXTSPLIT(_xlfn.XLOOKUP($A15&amp;$B15&amp;$C15,盘货信息!$A:$A&amp;盘货信息!$B:$B&amp;盘货信息!$C:$C,盘货信息!$S:$S),CHAR(10),,TRUE),1,COLUMN(E14)),"")</f>
        <v/>
      </c>
    </row>
    <row r="16" customHeight="1" spans="1:14">
      <c r="A16" s="17" t="str">
        <f>IF(盘货信息!A16="","",盘货信息!A16)</f>
        <v/>
      </c>
      <c r="B16" s="17" t="str">
        <f>IF(盘货信息!B16="","",盘货信息!B16)</f>
        <v/>
      </c>
      <c r="C16" s="18" t="str">
        <f>IF(盘货信息!C16="","",盘货信息!C16)</f>
        <v/>
      </c>
      <c r="D16" s="18" t="str">
        <f t="shared" si="0"/>
        <v/>
      </c>
      <c r="E16" s="18" t="str">
        <f>_xlfn.LET(_xlpm.A,IF(ISNUMBER(SEARCH("晒单",J16)),"【晒单】"&amp;MID(J16,SEARCH("晒单",J16)+LEN("晒单"),LEN(J16))&amp;"（需晒单后联系客服登记）",IF(ISNUMBER(SEARCH("包修",J16)),"【购机】"&amp;MID(J16,SEARCH("购机",J16)+LEN("购机"),LEN(J16)),IF(ISNUMBER(SEARCH("叠放支架",J16)),"【赠品】"&amp;MID(J16,SEARCH("购机",J16)+LEN("购机"),LEN(J16)),IF(ISNUMBER(SEARCH("秀图",J16)),"【秀图】"&amp;MID(J16,SEARCH("秀图",J16)+LEN("秀图"),LEN(J16)),"")))),IFERROR(LEFT(_xlpm.A,FIND("【",_xlpm.A,FIND("】",_xlpm.A)+1)-1)&amp;MID(_xlpm.A,FIND("】",_xlpm.A,FIND("】",_xlpm.A)+1)+1,LEN(_xlpm.A)),_xlpm.A))</f>
        <v/>
      </c>
      <c r="F16" s="18" t="str">
        <f>_xlfn.LET(_xlpm.A,IF(ISNUMBER(SEARCH("晒单",K16)),"【晒单】"&amp;MID(K16,SEARCH("晒单",K16)+LEN("晒单"),LEN(K16))&amp;"（需晒单后联系客服登记）",IF(ISNUMBER(SEARCH("包修",K16)),"【购机】"&amp;MID(K16,SEARCH("购机",K16)+LEN("购机"),LEN(K16)),IF(ISNUMBER(SEARCH("叠放支架",K16)),"【赠品】"&amp;MID(K16,SEARCH("购机",K16)+LEN("购机"),LEN(K16)),IF(ISNUMBER(SEARCH("秀图",K16)),"【秀图】"&amp;MID(K16,SEARCH("秀图",K16)+LEN("秀图"),LEN(K16)),"")))),IFERROR(LEFT(_xlpm.A,FIND("【",_xlpm.A,FIND("】",_xlpm.A)+1)-1)&amp;MID(_xlpm.A,FIND("】",_xlpm.A,FIND("】",_xlpm.A)+1)+1,LEN(_xlpm.A)),_xlpm.A))</f>
        <v/>
      </c>
      <c r="G16" s="18" t="str">
        <f>_xlfn.LET(_xlpm.A,IF(ISNUMBER(SEARCH("晒单",L16)),"【晒单】"&amp;MID(L16,SEARCH("晒单",L16)+LEN("晒单"),LEN(L16))&amp;"（需晒单后联系客服登记）",IF(ISNUMBER(SEARCH("包修",L16)),"【购机】"&amp;MID(L16,SEARCH("购机",L16)+LEN("购机"),LEN(L16)),IF(ISNUMBER(SEARCH("叠放支架",L16)),"【赠品】"&amp;MID(L16,SEARCH("购机",L16)+LEN("购机"),LEN(L16)),IF(ISNUMBER(SEARCH("秀图",L16)),"【秀图】"&amp;MID(L16,SEARCH("秀图",L16)+LEN("秀图"),LEN(L16)),"")))),IFERROR(LEFT(_xlpm.A,FIND("【",_xlpm.A,FIND("】",_xlpm.A)+1)-1)&amp;MID(_xlpm.A,FIND("】",_xlpm.A,FIND("】",_xlpm.A)+1)+1,LEN(_xlpm.A)),_xlpm.A))</f>
        <v/>
      </c>
      <c r="H16" s="18" t="str">
        <f>_xlfn.LET(_xlpm.A,IF(ISNUMBER(SEARCH("晒单",M16)),"【晒单】"&amp;MID(M16,SEARCH("晒单",M16)+LEN("晒单"),LEN(M16))&amp;"（需晒单后联系客服登记）",IF(ISNUMBER(SEARCH("包修",M16)),"【购机】"&amp;MID(M16,SEARCH("购机",M16)+LEN("购机"),LEN(M16)),IF(ISNUMBER(SEARCH("叠放支架",M16)),"【赠品】"&amp;MID(M16,SEARCH("购机",M16)+LEN("购机"),LEN(M16)),IF(ISNUMBER(SEARCH("秀图",M16)),"【秀图】"&amp;MID(M16,SEARCH("秀图",M16)+LEN("秀图"),LEN(M16)),"")))),IFERROR(LEFT(_xlpm.A,FIND("【",_xlpm.A,FIND("】",_xlpm.A)+1)-1)&amp;MID(_xlpm.A,FIND("】",_xlpm.A,FIND("】",_xlpm.A)+1)+1,LEN(_xlpm.A)),_xlpm.A))</f>
        <v/>
      </c>
      <c r="I16" s="18" t="str">
        <f>_xlfn.LET(_xlpm.A,IF(ISNUMBER(SEARCH("晒单",N16)),"【晒单】"&amp;MID(N16,SEARCH("晒单",N16)+LEN("晒单"),LEN(N16))&amp;"（需晒单后联系客服登记）",IF(ISNUMBER(SEARCH("包修",N16)),"【购机】"&amp;MID(N16,SEARCH("购机",N16)+LEN("购机"),LEN(N16)),IF(ISNUMBER(SEARCH("叠放支架",N16)),"【赠品】"&amp;MID(N16,SEARCH("购机",N16)+LEN("购机"),LEN(N16)),IF(ISNUMBER(SEARCH("秀图",N16)),"【秀图】"&amp;MID(N16,SEARCH("秀图",N16)+LEN("秀图"),LEN(N16)),"")))),IFERROR(LEFT(_xlpm.A,FIND("【",_xlpm.A,FIND("】",_xlpm.A)+1)-1)&amp;MID(_xlpm.A,FIND("】",_xlpm.A,FIND("】",_xlpm.A)+1)+1,LEN(_xlpm.A)),_xlpm.A))</f>
        <v/>
      </c>
      <c r="J16" s="18" t="str" cm="1">
        <f t="array" ref="J16">IFERROR(INDEX(_xlfn.TEXTSPLIT(_xlfn.XLOOKUP($A16&amp;$B16&amp;$C16,盘货信息!$A:$A&amp;盘货信息!$B:$B&amp;盘货信息!$C:$C,盘货信息!$S:$S),CHAR(10),,TRUE),1,COLUMN(A15)),"")</f>
        <v/>
      </c>
      <c r="K16" s="18" t="str" cm="1">
        <f t="array" ref="K16">IFERROR(INDEX(_xlfn.TEXTSPLIT(_xlfn.XLOOKUP($A16&amp;$B16&amp;$C16,盘货信息!$A:$A&amp;盘货信息!$B:$B&amp;盘货信息!$C:$C,盘货信息!$S:$S),CHAR(10),,TRUE),1,COLUMN(B15)),"")</f>
        <v/>
      </c>
      <c r="L16" s="18" t="str" cm="1">
        <f t="array" ref="L16">IFERROR(INDEX(_xlfn.TEXTSPLIT(_xlfn.XLOOKUP($A16&amp;$B16&amp;$C16,盘货信息!$A:$A&amp;盘货信息!$B:$B&amp;盘货信息!$C:$C,盘货信息!$S:$S),CHAR(10),,TRUE),1,COLUMN(C15)),"")</f>
        <v/>
      </c>
      <c r="M16" s="18" t="str" cm="1">
        <f t="array" ref="M16">IFERROR(INDEX(_xlfn.TEXTSPLIT(_xlfn.XLOOKUP($A16&amp;$B16&amp;$C16,盘货信息!$A:$A&amp;盘货信息!$B:$B&amp;盘货信息!$C:$C,盘货信息!$S:$S),CHAR(10),,TRUE),1,COLUMN(D15)),"")</f>
        <v/>
      </c>
      <c r="N16" s="18" t="str" cm="1">
        <f t="array" ref="N16">IFERROR(INDEX(_xlfn.TEXTSPLIT(_xlfn.XLOOKUP($A16&amp;$B16&amp;$C16,盘货信息!$A:$A&amp;盘货信息!$B:$B&amp;盘货信息!$C:$C,盘货信息!$S:$S),CHAR(10),,TRUE),1,COLUMN(E15)),"")</f>
        <v/>
      </c>
    </row>
    <row r="17" customHeight="1" spans="1:14">
      <c r="A17" s="17" t="str">
        <f>IF(盘货信息!A17="","",盘货信息!A17)</f>
        <v/>
      </c>
      <c r="B17" s="17" t="str">
        <f>IF(盘货信息!B17="","",盘货信息!B17)</f>
        <v/>
      </c>
      <c r="C17" s="18" t="str">
        <f>IF(盘货信息!C17="","",盘货信息!C17)</f>
        <v/>
      </c>
      <c r="D17" s="18" t="str">
        <f t="shared" si="0"/>
        <v/>
      </c>
      <c r="E17" s="18" t="str">
        <f>_xlfn.LET(_xlpm.A,IF(ISNUMBER(SEARCH("晒单",J17)),"【晒单】"&amp;MID(J17,SEARCH("晒单",J17)+LEN("晒单"),LEN(J17))&amp;"（需晒单后联系客服登记）",IF(ISNUMBER(SEARCH("包修",J17)),"【购机】"&amp;MID(J17,SEARCH("购机",J17)+LEN("购机"),LEN(J17)),IF(ISNUMBER(SEARCH("叠放支架",J17)),"【赠品】"&amp;MID(J17,SEARCH("购机",J17)+LEN("购机"),LEN(J17)),IF(ISNUMBER(SEARCH("秀图",J17)),"【秀图】"&amp;MID(J17,SEARCH("秀图",J17)+LEN("秀图"),LEN(J17)),"")))),IFERROR(LEFT(_xlpm.A,FIND("【",_xlpm.A,FIND("】",_xlpm.A)+1)-1)&amp;MID(_xlpm.A,FIND("】",_xlpm.A,FIND("】",_xlpm.A)+1)+1,LEN(_xlpm.A)),_xlpm.A))</f>
        <v/>
      </c>
      <c r="F17" s="18" t="str">
        <f>_xlfn.LET(_xlpm.A,IF(ISNUMBER(SEARCH("晒单",K17)),"【晒单】"&amp;MID(K17,SEARCH("晒单",K17)+LEN("晒单"),LEN(K17))&amp;"（需晒单后联系客服登记）",IF(ISNUMBER(SEARCH("包修",K17)),"【购机】"&amp;MID(K17,SEARCH("购机",K17)+LEN("购机"),LEN(K17)),IF(ISNUMBER(SEARCH("叠放支架",K17)),"【赠品】"&amp;MID(K17,SEARCH("购机",K17)+LEN("购机"),LEN(K17)),IF(ISNUMBER(SEARCH("秀图",K17)),"【秀图】"&amp;MID(K17,SEARCH("秀图",K17)+LEN("秀图"),LEN(K17)),"")))),IFERROR(LEFT(_xlpm.A,FIND("【",_xlpm.A,FIND("】",_xlpm.A)+1)-1)&amp;MID(_xlpm.A,FIND("】",_xlpm.A,FIND("】",_xlpm.A)+1)+1,LEN(_xlpm.A)),_xlpm.A))</f>
        <v/>
      </c>
      <c r="G17" s="18" t="str">
        <f>_xlfn.LET(_xlpm.A,IF(ISNUMBER(SEARCH("晒单",L17)),"【晒单】"&amp;MID(L17,SEARCH("晒单",L17)+LEN("晒单"),LEN(L17))&amp;"（需晒单后联系客服登记）",IF(ISNUMBER(SEARCH("包修",L17)),"【购机】"&amp;MID(L17,SEARCH("购机",L17)+LEN("购机"),LEN(L17)),IF(ISNUMBER(SEARCH("叠放支架",L17)),"【赠品】"&amp;MID(L17,SEARCH("购机",L17)+LEN("购机"),LEN(L17)),IF(ISNUMBER(SEARCH("秀图",L17)),"【秀图】"&amp;MID(L17,SEARCH("秀图",L17)+LEN("秀图"),LEN(L17)),"")))),IFERROR(LEFT(_xlpm.A,FIND("【",_xlpm.A,FIND("】",_xlpm.A)+1)-1)&amp;MID(_xlpm.A,FIND("】",_xlpm.A,FIND("】",_xlpm.A)+1)+1,LEN(_xlpm.A)),_xlpm.A))</f>
        <v/>
      </c>
      <c r="H17" s="18" t="str">
        <f>_xlfn.LET(_xlpm.A,IF(ISNUMBER(SEARCH("晒单",M17)),"【晒单】"&amp;MID(M17,SEARCH("晒单",M17)+LEN("晒单"),LEN(M17))&amp;"（需晒单后联系客服登记）",IF(ISNUMBER(SEARCH("包修",M17)),"【购机】"&amp;MID(M17,SEARCH("购机",M17)+LEN("购机"),LEN(M17)),IF(ISNUMBER(SEARCH("叠放支架",M17)),"【赠品】"&amp;MID(M17,SEARCH("购机",M17)+LEN("购机"),LEN(M17)),IF(ISNUMBER(SEARCH("秀图",M17)),"【秀图】"&amp;MID(M17,SEARCH("秀图",M17)+LEN("秀图"),LEN(M17)),"")))),IFERROR(LEFT(_xlpm.A,FIND("【",_xlpm.A,FIND("】",_xlpm.A)+1)-1)&amp;MID(_xlpm.A,FIND("】",_xlpm.A,FIND("】",_xlpm.A)+1)+1,LEN(_xlpm.A)),_xlpm.A))</f>
        <v/>
      </c>
      <c r="I17" s="18" t="str">
        <f>_xlfn.LET(_xlpm.A,IF(ISNUMBER(SEARCH("晒单",N17)),"【晒单】"&amp;MID(N17,SEARCH("晒单",N17)+LEN("晒单"),LEN(N17))&amp;"（需晒单后联系客服登记）",IF(ISNUMBER(SEARCH("包修",N17)),"【购机】"&amp;MID(N17,SEARCH("购机",N17)+LEN("购机"),LEN(N17)),IF(ISNUMBER(SEARCH("叠放支架",N17)),"【赠品】"&amp;MID(N17,SEARCH("购机",N17)+LEN("购机"),LEN(N17)),IF(ISNUMBER(SEARCH("秀图",N17)),"【秀图】"&amp;MID(N17,SEARCH("秀图",N17)+LEN("秀图"),LEN(N17)),"")))),IFERROR(LEFT(_xlpm.A,FIND("【",_xlpm.A,FIND("】",_xlpm.A)+1)-1)&amp;MID(_xlpm.A,FIND("】",_xlpm.A,FIND("】",_xlpm.A)+1)+1,LEN(_xlpm.A)),_xlpm.A))</f>
        <v/>
      </c>
      <c r="J17" s="18" t="str" cm="1">
        <f t="array" ref="J17">IFERROR(INDEX(_xlfn.TEXTSPLIT(_xlfn.XLOOKUP($A17&amp;$B17&amp;$C17,盘货信息!$A:$A&amp;盘货信息!$B:$B&amp;盘货信息!$C:$C,盘货信息!$S:$S),CHAR(10),,TRUE),1,COLUMN(A16)),"")</f>
        <v/>
      </c>
      <c r="K17" s="18" t="str" cm="1">
        <f t="array" ref="K17">IFERROR(INDEX(_xlfn.TEXTSPLIT(_xlfn.XLOOKUP($A17&amp;$B17&amp;$C17,盘货信息!$A:$A&amp;盘货信息!$B:$B&amp;盘货信息!$C:$C,盘货信息!$S:$S),CHAR(10),,TRUE),1,COLUMN(B16)),"")</f>
        <v/>
      </c>
      <c r="L17" s="18" t="str" cm="1">
        <f t="array" ref="L17">IFERROR(INDEX(_xlfn.TEXTSPLIT(_xlfn.XLOOKUP($A17&amp;$B17&amp;$C17,盘货信息!$A:$A&amp;盘货信息!$B:$B&amp;盘货信息!$C:$C,盘货信息!$S:$S),CHAR(10),,TRUE),1,COLUMN(C16)),"")</f>
        <v/>
      </c>
      <c r="M17" s="18" t="str" cm="1">
        <f t="array" ref="M17">IFERROR(INDEX(_xlfn.TEXTSPLIT(_xlfn.XLOOKUP($A17&amp;$B17&amp;$C17,盘货信息!$A:$A&amp;盘货信息!$B:$B&amp;盘货信息!$C:$C,盘货信息!$S:$S),CHAR(10),,TRUE),1,COLUMN(D16)),"")</f>
        <v/>
      </c>
      <c r="N17" s="18" t="str" cm="1">
        <f t="array" ref="N17">IFERROR(INDEX(_xlfn.TEXTSPLIT(_xlfn.XLOOKUP($A17&amp;$B17&amp;$C17,盘货信息!$A:$A&amp;盘货信息!$B:$B&amp;盘货信息!$C:$C,盘货信息!$S:$S),CHAR(10),,TRUE),1,COLUMN(E16)),"")</f>
        <v/>
      </c>
    </row>
    <row r="18" customHeight="1" spans="1:14">
      <c r="A18" s="17" t="str">
        <f>IF(盘货信息!A18="","",盘货信息!A18)</f>
        <v/>
      </c>
      <c r="B18" s="17" t="str">
        <f>IF(盘货信息!B18="","",盘货信息!B18)</f>
        <v/>
      </c>
      <c r="C18" s="18" t="str">
        <f>IF(盘货信息!C18="","",盘货信息!C18)</f>
        <v/>
      </c>
      <c r="D18" s="18" t="str">
        <f t="shared" si="0"/>
        <v/>
      </c>
      <c r="E18" s="18" t="str">
        <f>_xlfn.LET(_xlpm.A,IF(ISNUMBER(SEARCH("晒单",J18)),"【晒单】"&amp;MID(J18,SEARCH("晒单",J18)+LEN("晒单"),LEN(J18))&amp;"（需晒单后联系客服登记）",IF(ISNUMBER(SEARCH("包修",J18)),"【购机】"&amp;MID(J18,SEARCH("购机",J18)+LEN("购机"),LEN(J18)),IF(ISNUMBER(SEARCH("叠放支架",J18)),"【赠品】"&amp;MID(J18,SEARCH("购机",J18)+LEN("购机"),LEN(J18)),IF(ISNUMBER(SEARCH("秀图",J18)),"【秀图】"&amp;MID(J18,SEARCH("秀图",J18)+LEN("秀图"),LEN(J18)),"")))),IFERROR(LEFT(_xlpm.A,FIND("【",_xlpm.A,FIND("】",_xlpm.A)+1)-1)&amp;MID(_xlpm.A,FIND("】",_xlpm.A,FIND("】",_xlpm.A)+1)+1,LEN(_xlpm.A)),_xlpm.A))</f>
        <v/>
      </c>
      <c r="F18" s="18" t="str">
        <f>_xlfn.LET(_xlpm.A,IF(ISNUMBER(SEARCH("晒单",K18)),"【晒单】"&amp;MID(K18,SEARCH("晒单",K18)+LEN("晒单"),LEN(K18))&amp;"（需晒单后联系客服登记）",IF(ISNUMBER(SEARCH("包修",K18)),"【购机】"&amp;MID(K18,SEARCH("购机",K18)+LEN("购机"),LEN(K18)),IF(ISNUMBER(SEARCH("叠放支架",K18)),"【赠品】"&amp;MID(K18,SEARCH("购机",K18)+LEN("购机"),LEN(K18)),IF(ISNUMBER(SEARCH("秀图",K18)),"【秀图】"&amp;MID(K18,SEARCH("秀图",K18)+LEN("秀图"),LEN(K18)),"")))),IFERROR(LEFT(_xlpm.A,FIND("【",_xlpm.A,FIND("】",_xlpm.A)+1)-1)&amp;MID(_xlpm.A,FIND("】",_xlpm.A,FIND("】",_xlpm.A)+1)+1,LEN(_xlpm.A)),_xlpm.A))</f>
        <v/>
      </c>
      <c r="G18" s="18" t="str">
        <f>_xlfn.LET(_xlpm.A,IF(ISNUMBER(SEARCH("晒单",L18)),"【晒单】"&amp;MID(L18,SEARCH("晒单",L18)+LEN("晒单"),LEN(L18))&amp;"（需晒单后联系客服登记）",IF(ISNUMBER(SEARCH("包修",L18)),"【购机】"&amp;MID(L18,SEARCH("购机",L18)+LEN("购机"),LEN(L18)),IF(ISNUMBER(SEARCH("叠放支架",L18)),"【赠品】"&amp;MID(L18,SEARCH("购机",L18)+LEN("购机"),LEN(L18)),IF(ISNUMBER(SEARCH("秀图",L18)),"【秀图】"&amp;MID(L18,SEARCH("秀图",L18)+LEN("秀图"),LEN(L18)),"")))),IFERROR(LEFT(_xlpm.A,FIND("【",_xlpm.A,FIND("】",_xlpm.A)+1)-1)&amp;MID(_xlpm.A,FIND("】",_xlpm.A,FIND("】",_xlpm.A)+1)+1,LEN(_xlpm.A)),_xlpm.A))</f>
        <v/>
      </c>
      <c r="H18" s="18" t="str">
        <f>_xlfn.LET(_xlpm.A,IF(ISNUMBER(SEARCH("晒单",M18)),"【晒单】"&amp;MID(M18,SEARCH("晒单",M18)+LEN("晒单"),LEN(M18))&amp;"（需晒单后联系客服登记）",IF(ISNUMBER(SEARCH("包修",M18)),"【购机】"&amp;MID(M18,SEARCH("购机",M18)+LEN("购机"),LEN(M18)),IF(ISNUMBER(SEARCH("叠放支架",M18)),"【赠品】"&amp;MID(M18,SEARCH("购机",M18)+LEN("购机"),LEN(M18)),IF(ISNUMBER(SEARCH("秀图",M18)),"【秀图】"&amp;MID(M18,SEARCH("秀图",M18)+LEN("秀图"),LEN(M18)),"")))),IFERROR(LEFT(_xlpm.A,FIND("【",_xlpm.A,FIND("】",_xlpm.A)+1)-1)&amp;MID(_xlpm.A,FIND("】",_xlpm.A,FIND("】",_xlpm.A)+1)+1,LEN(_xlpm.A)),_xlpm.A))</f>
        <v/>
      </c>
      <c r="I18" s="18" t="str">
        <f>_xlfn.LET(_xlpm.A,IF(ISNUMBER(SEARCH("晒单",N18)),"【晒单】"&amp;MID(N18,SEARCH("晒单",N18)+LEN("晒单"),LEN(N18))&amp;"（需晒单后联系客服登记）",IF(ISNUMBER(SEARCH("包修",N18)),"【购机】"&amp;MID(N18,SEARCH("购机",N18)+LEN("购机"),LEN(N18)),IF(ISNUMBER(SEARCH("叠放支架",N18)),"【赠品】"&amp;MID(N18,SEARCH("购机",N18)+LEN("购机"),LEN(N18)),IF(ISNUMBER(SEARCH("秀图",N18)),"【秀图】"&amp;MID(N18,SEARCH("秀图",N18)+LEN("秀图"),LEN(N18)),"")))),IFERROR(LEFT(_xlpm.A,FIND("【",_xlpm.A,FIND("】",_xlpm.A)+1)-1)&amp;MID(_xlpm.A,FIND("】",_xlpm.A,FIND("】",_xlpm.A)+1)+1,LEN(_xlpm.A)),_xlpm.A))</f>
        <v/>
      </c>
      <c r="J18" s="18" t="str" cm="1">
        <f t="array" ref="J18">IFERROR(INDEX(_xlfn.TEXTSPLIT(_xlfn.XLOOKUP($A18&amp;$B18&amp;$C18,盘货信息!$A:$A&amp;盘货信息!$B:$B&amp;盘货信息!$C:$C,盘货信息!$S:$S),CHAR(10),,TRUE),1,COLUMN(A17)),"")</f>
        <v/>
      </c>
      <c r="K18" s="18" t="str" cm="1">
        <f t="array" ref="K18">IFERROR(INDEX(_xlfn.TEXTSPLIT(_xlfn.XLOOKUP($A18&amp;$B18&amp;$C18,盘货信息!$A:$A&amp;盘货信息!$B:$B&amp;盘货信息!$C:$C,盘货信息!$S:$S),CHAR(10),,TRUE),1,COLUMN(B17)),"")</f>
        <v/>
      </c>
      <c r="L18" s="18" t="str" cm="1">
        <f t="array" ref="L18">IFERROR(INDEX(_xlfn.TEXTSPLIT(_xlfn.XLOOKUP($A18&amp;$B18&amp;$C18,盘货信息!$A:$A&amp;盘货信息!$B:$B&amp;盘货信息!$C:$C,盘货信息!$S:$S),CHAR(10),,TRUE),1,COLUMN(C17)),"")</f>
        <v/>
      </c>
      <c r="M18" s="18" t="str" cm="1">
        <f t="array" ref="M18">IFERROR(INDEX(_xlfn.TEXTSPLIT(_xlfn.XLOOKUP($A18&amp;$B18&amp;$C18,盘货信息!$A:$A&amp;盘货信息!$B:$B&amp;盘货信息!$C:$C,盘货信息!$S:$S),CHAR(10),,TRUE),1,COLUMN(D17)),"")</f>
        <v/>
      </c>
      <c r="N18" s="18" t="str" cm="1">
        <f t="array" ref="N18">IFERROR(INDEX(_xlfn.TEXTSPLIT(_xlfn.XLOOKUP($A18&amp;$B18&amp;$C18,盘货信息!$A:$A&amp;盘货信息!$B:$B&amp;盘货信息!$C:$C,盘货信息!$S:$S),CHAR(10),,TRUE),1,COLUMN(E17)),"")</f>
        <v/>
      </c>
    </row>
    <row r="19" customHeight="1" spans="1:14">
      <c r="A19" s="17" t="str">
        <f>IF(盘货信息!A19="","",盘货信息!A19)</f>
        <v/>
      </c>
      <c r="B19" s="17" t="str">
        <f>IF(盘货信息!B19="","",盘货信息!B19)</f>
        <v/>
      </c>
      <c r="C19" s="18" t="str">
        <f>IF(盘货信息!C19="","",盘货信息!C19)</f>
        <v/>
      </c>
      <c r="D19" s="18" t="str">
        <f t="shared" si="0"/>
        <v/>
      </c>
      <c r="E19" s="18" t="str">
        <f>_xlfn.LET(_xlpm.A,IF(ISNUMBER(SEARCH("晒单",J19)),"【晒单】"&amp;MID(J19,SEARCH("晒单",J19)+LEN("晒单"),LEN(J19))&amp;"（需晒单后联系客服登记）",IF(ISNUMBER(SEARCH("包修",J19)),"【购机】"&amp;MID(J19,SEARCH("购机",J19)+LEN("购机"),LEN(J19)),IF(ISNUMBER(SEARCH("叠放支架",J19)),"【赠品】"&amp;MID(J19,SEARCH("购机",J19)+LEN("购机"),LEN(J19)),IF(ISNUMBER(SEARCH("秀图",J19)),"【秀图】"&amp;MID(J19,SEARCH("秀图",J19)+LEN("秀图"),LEN(J19)),"")))),IFERROR(LEFT(_xlpm.A,FIND("【",_xlpm.A,FIND("】",_xlpm.A)+1)-1)&amp;MID(_xlpm.A,FIND("】",_xlpm.A,FIND("】",_xlpm.A)+1)+1,LEN(_xlpm.A)),_xlpm.A))</f>
        <v/>
      </c>
      <c r="F19" s="18" t="str">
        <f>_xlfn.LET(_xlpm.A,IF(ISNUMBER(SEARCH("晒单",K19)),"【晒单】"&amp;MID(K19,SEARCH("晒单",K19)+LEN("晒单"),LEN(K19))&amp;"（需晒单后联系客服登记）",IF(ISNUMBER(SEARCH("包修",K19)),"【购机】"&amp;MID(K19,SEARCH("购机",K19)+LEN("购机"),LEN(K19)),IF(ISNUMBER(SEARCH("叠放支架",K19)),"【赠品】"&amp;MID(K19,SEARCH("购机",K19)+LEN("购机"),LEN(K19)),IF(ISNUMBER(SEARCH("秀图",K19)),"【秀图】"&amp;MID(K19,SEARCH("秀图",K19)+LEN("秀图"),LEN(K19)),"")))),IFERROR(LEFT(_xlpm.A,FIND("【",_xlpm.A,FIND("】",_xlpm.A)+1)-1)&amp;MID(_xlpm.A,FIND("】",_xlpm.A,FIND("】",_xlpm.A)+1)+1,LEN(_xlpm.A)),_xlpm.A))</f>
        <v/>
      </c>
      <c r="G19" s="18" t="str">
        <f>_xlfn.LET(_xlpm.A,IF(ISNUMBER(SEARCH("晒单",L19)),"【晒单】"&amp;MID(L19,SEARCH("晒单",L19)+LEN("晒单"),LEN(L19))&amp;"（需晒单后联系客服登记）",IF(ISNUMBER(SEARCH("包修",L19)),"【购机】"&amp;MID(L19,SEARCH("购机",L19)+LEN("购机"),LEN(L19)),IF(ISNUMBER(SEARCH("叠放支架",L19)),"【赠品】"&amp;MID(L19,SEARCH("购机",L19)+LEN("购机"),LEN(L19)),IF(ISNUMBER(SEARCH("秀图",L19)),"【秀图】"&amp;MID(L19,SEARCH("秀图",L19)+LEN("秀图"),LEN(L19)),"")))),IFERROR(LEFT(_xlpm.A,FIND("【",_xlpm.A,FIND("】",_xlpm.A)+1)-1)&amp;MID(_xlpm.A,FIND("】",_xlpm.A,FIND("】",_xlpm.A)+1)+1,LEN(_xlpm.A)),_xlpm.A))</f>
        <v/>
      </c>
      <c r="H19" s="18" t="str">
        <f>_xlfn.LET(_xlpm.A,IF(ISNUMBER(SEARCH("晒单",M19)),"【晒单】"&amp;MID(M19,SEARCH("晒单",M19)+LEN("晒单"),LEN(M19))&amp;"（需晒单后联系客服登记）",IF(ISNUMBER(SEARCH("包修",M19)),"【购机】"&amp;MID(M19,SEARCH("购机",M19)+LEN("购机"),LEN(M19)),IF(ISNUMBER(SEARCH("叠放支架",M19)),"【赠品】"&amp;MID(M19,SEARCH("购机",M19)+LEN("购机"),LEN(M19)),IF(ISNUMBER(SEARCH("秀图",M19)),"【秀图】"&amp;MID(M19,SEARCH("秀图",M19)+LEN("秀图"),LEN(M19)),"")))),IFERROR(LEFT(_xlpm.A,FIND("【",_xlpm.A,FIND("】",_xlpm.A)+1)-1)&amp;MID(_xlpm.A,FIND("】",_xlpm.A,FIND("】",_xlpm.A)+1)+1,LEN(_xlpm.A)),_xlpm.A))</f>
        <v/>
      </c>
      <c r="I19" s="18" t="str">
        <f>_xlfn.LET(_xlpm.A,IF(ISNUMBER(SEARCH("晒单",N19)),"【晒单】"&amp;MID(N19,SEARCH("晒单",N19)+LEN("晒单"),LEN(N19))&amp;"（需晒单后联系客服登记）",IF(ISNUMBER(SEARCH("包修",N19)),"【购机】"&amp;MID(N19,SEARCH("购机",N19)+LEN("购机"),LEN(N19)),IF(ISNUMBER(SEARCH("叠放支架",N19)),"【赠品】"&amp;MID(N19,SEARCH("购机",N19)+LEN("购机"),LEN(N19)),IF(ISNUMBER(SEARCH("秀图",N19)),"【秀图】"&amp;MID(N19,SEARCH("秀图",N19)+LEN("秀图"),LEN(N19)),"")))),IFERROR(LEFT(_xlpm.A,FIND("【",_xlpm.A,FIND("】",_xlpm.A)+1)-1)&amp;MID(_xlpm.A,FIND("】",_xlpm.A,FIND("】",_xlpm.A)+1)+1,LEN(_xlpm.A)),_xlpm.A))</f>
        <v/>
      </c>
      <c r="J19" s="18" t="str" cm="1">
        <f t="array" ref="J19">IFERROR(INDEX(_xlfn.TEXTSPLIT(_xlfn.XLOOKUP($A19&amp;$B19&amp;$C19,盘货信息!$A:$A&amp;盘货信息!$B:$B&amp;盘货信息!$C:$C,盘货信息!$S:$S),CHAR(10),,TRUE),1,COLUMN(A18)),"")</f>
        <v/>
      </c>
      <c r="K19" s="18" t="str" cm="1">
        <f t="array" ref="K19">IFERROR(INDEX(_xlfn.TEXTSPLIT(_xlfn.XLOOKUP($A19&amp;$B19&amp;$C19,盘货信息!$A:$A&amp;盘货信息!$B:$B&amp;盘货信息!$C:$C,盘货信息!$S:$S),CHAR(10),,TRUE),1,COLUMN(B18)),"")</f>
        <v/>
      </c>
      <c r="L19" s="18" t="str" cm="1">
        <f t="array" ref="L19">IFERROR(INDEX(_xlfn.TEXTSPLIT(_xlfn.XLOOKUP($A19&amp;$B19&amp;$C19,盘货信息!$A:$A&amp;盘货信息!$B:$B&amp;盘货信息!$C:$C,盘货信息!$S:$S),CHAR(10),,TRUE),1,COLUMN(C18)),"")</f>
        <v/>
      </c>
      <c r="M19" s="18" t="str" cm="1">
        <f t="array" ref="M19">IFERROR(INDEX(_xlfn.TEXTSPLIT(_xlfn.XLOOKUP($A19&amp;$B19&amp;$C19,盘货信息!$A:$A&amp;盘货信息!$B:$B&amp;盘货信息!$C:$C,盘货信息!$S:$S),CHAR(10),,TRUE),1,COLUMN(D18)),"")</f>
        <v/>
      </c>
      <c r="N19" s="18" t="str" cm="1">
        <f t="array" ref="N19">IFERROR(INDEX(_xlfn.TEXTSPLIT(_xlfn.XLOOKUP($A19&amp;$B19&amp;$C19,盘货信息!$A:$A&amp;盘货信息!$B:$B&amp;盘货信息!$C:$C,盘货信息!$S:$S),CHAR(10),,TRUE),1,COLUMN(E18)),"")</f>
        <v/>
      </c>
    </row>
    <row r="20" customHeight="1" spans="1:14">
      <c r="A20" s="17" t="str">
        <f>IF(盘货信息!A20="","",盘货信息!A20)</f>
        <v/>
      </c>
      <c r="B20" s="17" t="str">
        <f>IF(盘货信息!B20="","",盘货信息!B20)</f>
        <v/>
      </c>
      <c r="C20" s="18" t="str">
        <f>IF(盘货信息!C20="","",盘货信息!C20)</f>
        <v/>
      </c>
      <c r="D20" s="18" t="str">
        <f t="shared" si="0"/>
        <v/>
      </c>
      <c r="E20" s="18" t="str">
        <f>_xlfn.LET(_xlpm.A,IF(ISNUMBER(SEARCH("晒单",J20)),"【晒单】"&amp;MID(J20,SEARCH("晒单",J20)+LEN("晒单"),LEN(J20))&amp;"（需晒单后联系客服登记）",IF(ISNUMBER(SEARCH("包修",J20)),"【购机】"&amp;MID(J20,SEARCH("购机",J20)+LEN("购机"),LEN(J20)),IF(ISNUMBER(SEARCH("叠放支架",J20)),"【赠品】"&amp;MID(J20,SEARCH("购机",J20)+LEN("购机"),LEN(J20)),IF(ISNUMBER(SEARCH("秀图",J20)),"【秀图】"&amp;MID(J20,SEARCH("秀图",J20)+LEN("秀图"),LEN(J20)),"")))),IFERROR(LEFT(_xlpm.A,FIND("【",_xlpm.A,FIND("】",_xlpm.A)+1)-1)&amp;MID(_xlpm.A,FIND("】",_xlpm.A,FIND("】",_xlpm.A)+1)+1,LEN(_xlpm.A)),_xlpm.A))</f>
        <v/>
      </c>
      <c r="F20" s="18" t="str">
        <f>_xlfn.LET(_xlpm.A,IF(ISNUMBER(SEARCH("晒单",K20)),"【晒单】"&amp;MID(K20,SEARCH("晒单",K20)+LEN("晒单"),LEN(K20))&amp;"（需晒单后联系客服登记）",IF(ISNUMBER(SEARCH("包修",K20)),"【购机】"&amp;MID(K20,SEARCH("购机",K20)+LEN("购机"),LEN(K20)),IF(ISNUMBER(SEARCH("叠放支架",K20)),"【赠品】"&amp;MID(K20,SEARCH("购机",K20)+LEN("购机"),LEN(K20)),IF(ISNUMBER(SEARCH("秀图",K20)),"【秀图】"&amp;MID(K20,SEARCH("秀图",K20)+LEN("秀图"),LEN(K20)),"")))),IFERROR(LEFT(_xlpm.A,FIND("【",_xlpm.A,FIND("】",_xlpm.A)+1)-1)&amp;MID(_xlpm.A,FIND("】",_xlpm.A,FIND("】",_xlpm.A)+1)+1,LEN(_xlpm.A)),_xlpm.A))</f>
        <v/>
      </c>
      <c r="G20" s="18" t="str">
        <f>_xlfn.LET(_xlpm.A,IF(ISNUMBER(SEARCH("晒单",L20)),"【晒单】"&amp;MID(L20,SEARCH("晒单",L20)+LEN("晒单"),LEN(L20))&amp;"（需晒单后联系客服登记）",IF(ISNUMBER(SEARCH("包修",L20)),"【购机】"&amp;MID(L20,SEARCH("购机",L20)+LEN("购机"),LEN(L20)),IF(ISNUMBER(SEARCH("叠放支架",L20)),"【赠品】"&amp;MID(L20,SEARCH("购机",L20)+LEN("购机"),LEN(L20)),IF(ISNUMBER(SEARCH("秀图",L20)),"【秀图】"&amp;MID(L20,SEARCH("秀图",L20)+LEN("秀图"),LEN(L20)),"")))),IFERROR(LEFT(_xlpm.A,FIND("【",_xlpm.A,FIND("】",_xlpm.A)+1)-1)&amp;MID(_xlpm.A,FIND("】",_xlpm.A,FIND("】",_xlpm.A)+1)+1,LEN(_xlpm.A)),_xlpm.A))</f>
        <v/>
      </c>
      <c r="H20" s="18" t="str">
        <f>_xlfn.LET(_xlpm.A,IF(ISNUMBER(SEARCH("晒单",M20)),"【晒单】"&amp;MID(M20,SEARCH("晒单",M20)+LEN("晒单"),LEN(M20))&amp;"（需晒单后联系客服登记）",IF(ISNUMBER(SEARCH("包修",M20)),"【购机】"&amp;MID(M20,SEARCH("购机",M20)+LEN("购机"),LEN(M20)),IF(ISNUMBER(SEARCH("叠放支架",M20)),"【赠品】"&amp;MID(M20,SEARCH("购机",M20)+LEN("购机"),LEN(M20)),IF(ISNUMBER(SEARCH("秀图",M20)),"【秀图】"&amp;MID(M20,SEARCH("秀图",M20)+LEN("秀图"),LEN(M20)),"")))),IFERROR(LEFT(_xlpm.A,FIND("【",_xlpm.A,FIND("】",_xlpm.A)+1)-1)&amp;MID(_xlpm.A,FIND("】",_xlpm.A,FIND("】",_xlpm.A)+1)+1,LEN(_xlpm.A)),_xlpm.A))</f>
        <v/>
      </c>
      <c r="I20" s="18" t="str">
        <f>_xlfn.LET(_xlpm.A,IF(ISNUMBER(SEARCH("晒单",N20)),"【晒单】"&amp;MID(N20,SEARCH("晒单",N20)+LEN("晒单"),LEN(N20))&amp;"（需晒单后联系客服登记）",IF(ISNUMBER(SEARCH("包修",N20)),"【购机】"&amp;MID(N20,SEARCH("购机",N20)+LEN("购机"),LEN(N20)),IF(ISNUMBER(SEARCH("叠放支架",N20)),"【赠品】"&amp;MID(N20,SEARCH("购机",N20)+LEN("购机"),LEN(N20)),IF(ISNUMBER(SEARCH("秀图",N20)),"【秀图】"&amp;MID(N20,SEARCH("秀图",N20)+LEN("秀图"),LEN(N20)),"")))),IFERROR(LEFT(_xlpm.A,FIND("【",_xlpm.A,FIND("】",_xlpm.A)+1)-1)&amp;MID(_xlpm.A,FIND("】",_xlpm.A,FIND("】",_xlpm.A)+1)+1,LEN(_xlpm.A)),_xlpm.A))</f>
        <v/>
      </c>
      <c r="J20" s="18" t="str" cm="1">
        <f t="array" ref="J20">IFERROR(INDEX(_xlfn.TEXTSPLIT(_xlfn.XLOOKUP($A20&amp;$B20&amp;$C20,盘货信息!$A:$A&amp;盘货信息!$B:$B&amp;盘货信息!$C:$C,盘货信息!$S:$S),CHAR(10),,TRUE),1,COLUMN(A19)),"")</f>
        <v/>
      </c>
      <c r="K20" s="18" t="str" cm="1">
        <f t="array" ref="K20">IFERROR(INDEX(_xlfn.TEXTSPLIT(_xlfn.XLOOKUP($A20&amp;$B20&amp;$C20,盘货信息!$A:$A&amp;盘货信息!$B:$B&amp;盘货信息!$C:$C,盘货信息!$S:$S),CHAR(10),,TRUE),1,COLUMN(B19)),"")</f>
        <v/>
      </c>
      <c r="L20" s="18" t="str" cm="1">
        <f t="array" ref="L20">IFERROR(INDEX(_xlfn.TEXTSPLIT(_xlfn.XLOOKUP($A20&amp;$B20&amp;$C20,盘货信息!$A:$A&amp;盘货信息!$B:$B&amp;盘货信息!$C:$C,盘货信息!$S:$S),CHAR(10),,TRUE),1,COLUMN(C19)),"")</f>
        <v/>
      </c>
      <c r="M20" s="18" t="str" cm="1">
        <f t="array" ref="M20">IFERROR(INDEX(_xlfn.TEXTSPLIT(_xlfn.XLOOKUP($A20&amp;$B20&amp;$C20,盘货信息!$A:$A&amp;盘货信息!$B:$B&amp;盘货信息!$C:$C,盘货信息!$S:$S),CHAR(10),,TRUE),1,COLUMN(D19)),"")</f>
        <v/>
      </c>
      <c r="N20" s="18" t="str" cm="1">
        <f t="array" ref="N20">IFERROR(INDEX(_xlfn.TEXTSPLIT(_xlfn.XLOOKUP($A20&amp;$B20&amp;$C20,盘货信息!$A:$A&amp;盘货信息!$B:$B&amp;盘货信息!$C:$C,盘货信息!$S:$S),CHAR(10),,TRUE),1,COLUMN(E19)),"")</f>
        <v/>
      </c>
    </row>
    <row r="21" customHeight="1" spans="1:14">
      <c r="A21" s="17" t="str">
        <f>IF(盘货信息!A21="","",盘货信息!A21)</f>
        <v/>
      </c>
      <c r="B21" s="17" t="str">
        <f>IF(盘货信息!B21="","",盘货信息!B21)</f>
        <v/>
      </c>
      <c r="C21" s="18" t="str">
        <f>IF(盘货信息!C21="","",盘货信息!C21)</f>
        <v/>
      </c>
      <c r="D21" s="18" t="str">
        <f t="shared" si="0"/>
        <v/>
      </c>
      <c r="E21" s="18" t="str">
        <f>_xlfn.LET(_xlpm.A,IF(ISNUMBER(SEARCH("晒单",J21)),"【晒单】"&amp;MID(J21,SEARCH("晒单",J21)+LEN("晒单"),LEN(J21))&amp;"（需晒单后联系客服登记）",IF(ISNUMBER(SEARCH("包修",J21)),"【购机】"&amp;MID(J21,SEARCH("购机",J21)+LEN("购机"),LEN(J21)),IF(ISNUMBER(SEARCH("叠放支架",J21)),"【赠品】"&amp;MID(J21,SEARCH("购机",J21)+LEN("购机"),LEN(J21)),IF(ISNUMBER(SEARCH("秀图",J21)),"【秀图】"&amp;MID(J21,SEARCH("秀图",J21)+LEN("秀图"),LEN(J21)),"")))),IFERROR(LEFT(_xlpm.A,FIND("【",_xlpm.A,FIND("】",_xlpm.A)+1)-1)&amp;MID(_xlpm.A,FIND("】",_xlpm.A,FIND("】",_xlpm.A)+1)+1,LEN(_xlpm.A)),_xlpm.A))</f>
        <v/>
      </c>
      <c r="F21" s="18" t="str">
        <f>_xlfn.LET(_xlpm.A,IF(ISNUMBER(SEARCH("晒单",K21)),"【晒单】"&amp;MID(K21,SEARCH("晒单",K21)+LEN("晒单"),LEN(K21))&amp;"（需晒单后联系客服登记）",IF(ISNUMBER(SEARCH("包修",K21)),"【购机】"&amp;MID(K21,SEARCH("购机",K21)+LEN("购机"),LEN(K21)),IF(ISNUMBER(SEARCH("叠放支架",K21)),"【赠品】"&amp;MID(K21,SEARCH("购机",K21)+LEN("购机"),LEN(K21)),IF(ISNUMBER(SEARCH("秀图",K21)),"【秀图】"&amp;MID(K21,SEARCH("秀图",K21)+LEN("秀图"),LEN(K21)),"")))),IFERROR(LEFT(_xlpm.A,FIND("【",_xlpm.A,FIND("】",_xlpm.A)+1)-1)&amp;MID(_xlpm.A,FIND("】",_xlpm.A,FIND("】",_xlpm.A)+1)+1,LEN(_xlpm.A)),_xlpm.A))</f>
        <v/>
      </c>
      <c r="G21" s="18" t="str">
        <f>_xlfn.LET(_xlpm.A,IF(ISNUMBER(SEARCH("晒单",L21)),"【晒单】"&amp;MID(L21,SEARCH("晒单",L21)+LEN("晒单"),LEN(L21))&amp;"（需晒单后联系客服登记）",IF(ISNUMBER(SEARCH("包修",L21)),"【购机】"&amp;MID(L21,SEARCH("购机",L21)+LEN("购机"),LEN(L21)),IF(ISNUMBER(SEARCH("叠放支架",L21)),"【赠品】"&amp;MID(L21,SEARCH("购机",L21)+LEN("购机"),LEN(L21)),IF(ISNUMBER(SEARCH("秀图",L21)),"【秀图】"&amp;MID(L21,SEARCH("秀图",L21)+LEN("秀图"),LEN(L21)),"")))),IFERROR(LEFT(_xlpm.A,FIND("【",_xlpm.A,FIND("】",_xlpm.A)+1)-1)&amp;MID(_xlpm.A,FIND("】",_xlpm.A,FIND("】",_xlpm.A)+1)+1,LEN(_xlpm.A)),_xlpm.A))</f>
        <v/>
      </c>
      <c r="H21" s="18" t="str">
        <f>_xlfn.LET(_xlpm.A,IF(ISNUMBER(SEARCH("晒单",M21)),"【晒单】"&amp;MID(M21,SEARCH("晒单",M21)+LEN("晒单"),LEN(M21))&amp;"（需晒单后联系客服登记）",IF(ISNUMBER(SEARCH("包修",M21)),"【购机】"&amp;MID(M21,SEARCH("购机",M21)+LEN("购机"),LEN(M21)),IF(ISNUMBER(SEARCH("叠放支架",M21)),"【赠品】"&amp;MID(M21,SEARCH("购机",M21)+LEN("购机"),LEN(M21)),IF(ISNUMBER(SEARCH("秀图",M21)),"【秀图】"&amp;MID(M21,SEARCH("秀图",M21)+LEN("秀图"),LEN(M21)),"")))),IFERROR(LEFT(_xlpm.A,FIND("【",_xlpm.A,FIND("】",_xlpm.A)+1)-1)&amp;MID(_xlpm.A,FIND("】",_xlpm.A,FIND("】",_xlpm.A)+1)+1,LEN(_xlpm.A)),_xlpm.A))</f>
        <v/>
      </c>
      <c r="I21" s="18" t="str">
        <f>_xlfn.LET(_xlpm.A,IF(ISNUMBER(SEARCH("晒单",N21)),"【晒单】"&amp;MID(N21,SEARCH("晒单",N21)+LEN("晒单"),LEN(N21))&amp;"（需晒单后联系客服登记）",IF(ISNUMBER(SEARCH("包修",N21)),"【购机】"&amp;MID(N21,SEARCH("购机",N21)+LEN("购机"),LEN(N21)),IF(ISNUMBER(SEARCH("叠放支架",N21)),"【赠品】"&amp;MID(N21,SEARCH("购机",N21)+LEN("购机"),LEN(N21)),IF(ISNUMBER(SEARCH("秀图",N21)),"【秀图】"&amp;MID(N21,SEARCH("秀图",N21)+LEN("秀图"),LEN(N21)),"")))),IFERROR(LEFT(_xlpm.A,FIND("【",_xlpm.A,FIND("】",_xlpm.A)+1)-1)&amp;MID(_xlpm.A,FIND("】",_xlpm.A,FIND("】",_xlpm.A)+1)+1,LEN(_xlpm.A)),_xlpm.A))</f>
        <v/>
      </c>
      <c r="J21" s="18" t="str" cm="1">
        <f t="array" ref="J21">IFERROR(INDEX(_xlfn.TEXTSPLIT(_xlfn.XLOOKUP($A21&amp;$B21&amp;$C21,盘货信息!$A:$A&amp;盘货信息!$B:$B&amp;盘货信息!$C:$C,盘货信息!$S:$S),CHAR(10),,TRUE),1,COLUMN(A20)),"")</f>
        <v/>
      </c>
      <c r="K21" s="18" t="str" cm="1">
        <f t="array" ref="K21">IFERROR(INDEX(_xlfn.TEXTSPLIT(_xlfn.XLOOKUP($A21&amp;$B21&amp;$C21,盘货信息!$A:$A&amp;盘货信息!$B:$B&amp;盘货信息!$C:$C,盘货信息!$S:$S),CHAR(10),,TRUE),1,COLUMN(B20)),"")</f>
        <v/>
      </c>
      <c r="L21" s="18" t="str" cm="1">
        <f t="array" ref="L21">IFERROR(INDEX(_xlfn.TEXTSPLIT(_xlfn.XLOOKUP($A21&amp;$B21&amp;$C21,盘货信息!$A:$A&amp;盘货信息!$B:$B&amp;盘货信息!$C:$C,盘货信息!$S:$S),CHAR(10),,TRUE),1,COLUMN(C20)),"")</f>
        <v/>
      </c>
      <c r="M21" s="18" t="str" cm="1">
        <f t="array" ref="M21">IFERROR(INDEX(_xlfn.TEXTSPLIT(_xlfn.XLOOKUP($A21&amp;$B21&amp;$C21,盘货信息!$A:$A&amp;盘货信息!$B:$B&amp;盘货信息!$C:$C,盘货信息!$S:$S),CHAR(10),,TRUE),1,COLUMN(D20)),"")</f>
        <v/>
      </c>
      <c r="N21" s="18" t="str" cm="1">
        <f t="array" ref="N21">IFERROR(INDEX(_xlfn.TEXTSPLIT(_xlfn.XLOOKUP($A21&amp;$B21&amp;$C21,盘货信息!$A:$A&amp;盘货信息!$B:$B&amp;盘货信息!$C:$C,盘货信息!$S:$S),CHAR(10),,TRUE),1,COLUMN(E20)),"")</f>
        <v/>
      </c>
    </row>
    <row r="22" customHeight="1" spans="1:14">
      <c r="A22" s="17" t="str">
        <f>IF(盘货信息!A22="","",盘货信息!A22)</f>
        <v/>
      </c>
      <c r="B22" s="17" t="str">
        <f>IF(盘货信息!B22="","",盘货信息!B22)</f>
        <v/>
      </c>
      <c r="C22" s="18" t="str">
        <f>IF(盘货信息!C22="","",盘货信息!C22)</f>
        <v/>
      </c>
      <c r="D22" s="18" t="str">
        <f t="shared" si="0"/>
        <v/>
      </c>
      <c r="E22" s="18" t="str">
        <f>_xlfn.LET(_xlpm.A,IF(ISNUMBER(SEARCH("晒单",J22)),"【晒单】"&amp;MID(J22,SEARCH("晒单",J22)+LEN("晒单"),LEN(J22))&amp;"（需晒单后联系客服登记）",IF(ISNUMBER(SEARCH("包修",J22)),"【购机】"&amp;MID(J22,SEARCH("购机",J22)+LEN("购机"),LEN(J22)),IF(ISNUMBER(SEARCH("叠放支架",J22)),"【赠品】"&amp;MID(J22,SEARCH("购机",J22)+LEN("购机"),LEN(J22)),IF(ISNUMBER(SEARCH("秀图",J22)),"【秀图】"&amp;MID(J22,SEARCH("秀图",J22)+LEN("秀图"),LEN(J22)),"")))),IFERROR(LEFT(_xlpm.A,FIND("【",_xlpm.A,FIND("】",_xlpm.A)+1)-1)&amp;MID(_xlpm.A,FIND("】",_xlpm.A,FIND("】",_xlpm.A)+1)+1,LEN(_xlpm.A)),_xlpm.A))</f>
        <v/>
      </c>
      <c r="F22" s="18" t="str">
        <f>_xlfn.LET(_xlpm.A,IF(ISNUMBER(SEARCH("晒单",K22)),"【晒单】"&amp;MID(K22,SEARCH("晒单",K22)+LEN("晒单"),LEN(K22))&amp;"（需晒单后联系客服登记）",IF(ISNUMBER(SEARCH("包修",K22)),"【购机】"&amp;MID(K22,SEARCH("购机",K22)+LEN("购机"),LEN(K22)),IF(ISNUMBER(SEARCH("叠放支架",K22)),"【赠品】"&amp;MID(K22,SEARCH("购机",K22)+LEN("购机"),LEN(K22)),IF(ISNUMBER(SEARCH("秀图",K22)),"【秀图】"&amp;MID(K22,SEARCH("秀图",K22)+LEN("秀图"),LEN(K22)),"")))),IFERROR(LEFT(_xlpm.A,FIND("【",_xlpm.A,FIND("】",_xlpm.A)+1)-1)&amp;MID(_xlpm.A,FIND("】",_xlpm.A,FIND("】",_xlpm.A)+1)+1,LEN(_xlpm.A)),_xlpm.A))</f>
        <v/>
      </c>
      <c r="G22" s="18" t="str">
        <f>_xlfn.LET(_xlpm.A,IF(ISNUMBER(SEARCH("晒单",L22)),"【晒单】"&amp;MID(L22,SEARCH("晒单",L22)+LEN("晒单"),LEN(L22))&amp;"（需晒单后联系客服登记）",IF(ISNUMBER(SEARCH("包修",L22)),"【购机】"&amp;MID(L22,SEARCH("购机",L22)+LEN("购机"),LEN(L22)),IF(ISNUMBER(SEARCH("叠放支架",L22)),"【赠品】"&amp;MID(L22,SEARCH("购机",L22)+LEN("购机"),LEN(L22)),IF(ISNUMBER(SEARCH("秀图",L22)),"【秀图】"&amp;MID(L22,SEARCH("秀图",L22)+LEN("秀图"),LEN(L22)),"")))),IFERROR(LEFT(_xlpm.A,FIND("【",_xlpm.A,FIND("】",_xlpm.A)+1)-1)&amp;MID(_xlpm.A,FIND("】",_xlpm.A,FIND("】",_xlpm.A)+1)+1,LEN(_xlpm.A)),_xlpm.A))</f>
        <v/>
      </c>
      <c r="H22" s="18" t="str">
        <f>_xlfn.LET(_xlpm.A,IF(ISNUMBER(SEARCH("晒单",M22)),"【晒单】"&amp;MID(M22,SEARCH("晒单",M22)+LEN("晒单"),LEN(M22))&amp;"（需晒单后联系客服登记）",IF(ISNUMBER(SEARCH("包修",M22)),"【购机】"&amp;MID(M22,SEARCH("购机",M22)+LEN("购机"),LEN(M22)),IF(ISNUMBER(SEARCH("叠放支架",M22)),"【赠品】"&amp;MID(M22,SEARCH("购机",M22)+LEN("购机"),LEN(M22)),IF(ISNUMBER(SEARCH("秀图",M22)),"【秀图】"&amp;MID(M22,SEARCH("秀图",M22)+LEN("秀图"),LEN(M22)),"")))),IFERROR(LEFT(_xlpm.A,FIND("【",_xlpm.A,FIND("】",_xlpm.A)+1)-1)&amp;MID(_xlpm.A,FIND("】",_xlpm.A,FIND("】",_xlpm.A)+1)+1,LEN(_xlpm.A)),_xlpm.A))</f>
        <v/>
      </c>
      <c r="I22" s="18" t="str">
        <f>_xlfn.LET(_xlpm.A,IF(ISNUMBER(SEARCH("晒单",N22)),"【晒单】"&amp;MID(N22,SEARCH("晒单",N22)+LEN("晒单"),LEN(N22))&amp;"（需晒单后联系客服登记）",IF(ISNUMBER(SEARCH("包修",N22)),"【购机】"&amp;MID(N22,SEARCH("购机",N22)+LEN("购机"),LEN(N22)),IF(ISNUMBER(SEARCH("叠放支架",N22)),"【赠品】"&amp;MID(N22,SEARCH("购机",N22)+LEN("购机"),LEN(N22)),IF(ISNUMBER(SEARCH("秀图",N22)),"【秀图】"&amp;MID(N22,SEARCH("秀图",N22)+LEN("秀图"),LEN(N22)),"")))),IFERROR(LEFT(_xlpm.A,FIND("【",_xlpm.A,FIND("】",_xlpm.A)+1)-1)&amp;MID(_xlpm.A,FIND("】",_xlpm.A,FIND("】",_xlpm.A)+1)+1,LEN(_xlpm.A)),_xlpm.A))</f>
        <v/>
      </c>
      <c r="J22" s="18" t="str" cm="1">
        <f t="array" ref="J22">IFERROR(INDEX(_xlfn.TEXTSPLIT(_xlfn.XLOOKUP($A22&amp;$B22&amp;$C22,盘货信息!$A:$A&amp;盘货信息!$B:$B&amp;盘货信息!$C:$C,盘货信息!$S:$S),CHAR(10),,TRUE),1,COLUMN(A21)),"")</f>
        <v/>
      </c>
      <c r="K22" s="18" t="str" cm="1">
        <f t="array" ref="K22">IFERROR(INDEX(_xlfn.TEXTSPLIT(_xlfn.XLOOKUP($A22&amp;$B22&amp;$C22,盘货信息!$A:$A&amp;盘货信息!$B:$B&amp;盘货信息!$C:$C,盘货信息!$S:$S),CHAR(10),,TRUE),1,COLUMN(B21)),"")</f>
        <v/>
      </c>
      <c r="L22" s="18" t="str" cm="1">
        <f t="array" ref="L22">IFERROR(INDEX(_xlfn.TEXTSPLIT(_xlfn.XLOOKUP($A22&amp;$B22&amp;$C22,盘货信息!$A:$A&amp;盘货信息!$B:$B&amp;盘货信息!$C:$C,盘货信息!$S:$S),CHAR(10),,TRUE),1,COLUMN(C21)),"")</f>
        <v/>
      </c>
      <c r="M22" s="18" t="str" cm="1">
        <f t="array" ref="M22">IFERROR(INDEX(_xlfn.TEXTSPLIT(_xlfn.XLOOKUP($A22&amp;$B22&amp;$C22,盘货信息!$A:$A&amp;盘货信息!$B:$B&amp;盘货信息!$C:$C,盘货信息!$S:$S),CHAR(10),,TRUE),1,COLUMN(D21)),"")</f>
        <v/>
      </c>
      <c r="N22" s="18" t="str" cm="1">
        <f t="array" ref="N22">IFERROR(INDEX(_xlfn.TEXTSPLIT(_xlfn.XLOOKUP($A22&amp;$B22&amp;$C22,盘货信息!$A:$A&amp;盘货信息!$B:$B&amp;盘货信息!$C:$C,盘货信息!$S:$S),CHAR(10),,TRUE),1,COLUMN(E21)),"")</f>
        <v/>
      </c>
    </row>
    <row r="23" customHeight="1" spans="1:14">
      <c r="A23" s="17" t="str">
        <f>IF(盘货信息!A23="","",盘货信息!A23)</f>
        <v/>
      </c>
      <c r="B23" s="17" t="str">
        <f>IF(盘货信息!B23="","",盘货信息!B23)</f>
        <v/>
      </c>
      <c r="C23" s="18" t="str">
        <f>IF(盘货信息!C23="","",盘货信息!C23)</f>
        <v/>
      </c>
      <c r="D23" s="18" t="str">
        <f t="shared" si="0"/>
        <v/>
      </c>
      <c r="E23" s="18" t="str">
        <f>_xlfn.LET(_xlpm.A,IF(ISNUMBER(SEARCH("晒单",J23)),"【晒单】"&amp;MID(J23,SEARCH("晒单",J23)+LEN("晒单"),LEN(J23))&amp;"（需晒单后联系客服登记）",IF(ISNUMBER(SEARCH("包修",J23)),"【购机】"&amp;MID(J23,SEARCH("购机",J23)+LEN("购机"),LEN(J23)),IF(ISNUMBER(SEARCH("叠放支架",J23)),"【赠品】"&amp;MID(J23,SEARCH("购机",J23)+LEN("购机"),LEN(J23)),IF(ISNUMBER(SEARCH("秀图",J23)),"【秀图】"&amp;MID(J23,SEARCH("秀图",J23)+LEN("秀图"),LEN(J23)),"")))),IFERROR(LEFT(_xlpm.A,FIND("【",_xlpm.A,FIND("】",_xlpm.A)+1)-1)&amp;MID(_xlpm.A,FIND("】",_xlpm.A,FIND("】",_xlpm.A)+1)+1,LEN(_xlpm.A)),_xlpm.A))</f>
        <v/>
      </c>
      <c r="F23" s="18" t="str">
        <f>_xlfn.LET(_xlpm.A,IF(ISNUMBER(SEARCH("晒单",K23)),"【晒单】"&amp;MID(K23,SEARCH("晒单",K23)+LEN("晒单"),LEN(K23))&amp;"（需晒单后联系客服登记）",IF(ISNUMBER(SEARCH("包修",K23)),"【购机】"&amp;MID(K23,SEARCH("购机",K23)+LEN("购机"),LEN(K23)),IF(ISNUMBER(SEARCH("叠放支架",K23)),"【赠品】"&amp;MID(K23,SEARCH("购机",K23)+LEN("购机"),LEN(K23)),IF(ISNUMBER(SEARCH("秀图",K23)),"【秀图】"&amp;MID(K23,SEARCH("秀图",K23)+LEN("秀图"),LEN(K23)),"")))),IFERROR(LEFT(_xlpm.A,FIND("【",_xlpm.A,FIND("】",_xlpm.A)+1)-1)&amp;MID(_xlpm.A,FIND("】",_xlpm.A,FIND("】",_xlpm.A)+1)+1,LEN(_xlpm.A)),_xlpm.A))</f>
        <v/>
      </c>
      <c r="G23" s="18" t="str">
        <f>_xlfn.LET(_xlpm.A,IF(ISNUMBER(SEARCH("晒单",L23)),"【晒单】"&amp;MID(L23,SEARCH("晒单",L23)+LEN("晒单"),LEN(L23))&amp;"（需晒单后联系客服登记）",IF(ISNUMBER(SEARCH("包修",L23)),"【购机】"&amp;MID(L23,SEARCH("购机",L23)+LEN("购机"),LEN(L23)),IF(ISNUMBER(SEARCH("叠放支架",L23)),"【赠品】"&amp;MID(L23,SEARCH("购机",L23)+LEN("购机"),LEN(L23)),IF(ISNUMBER(SEARCH("秀图",L23)),"【秀图】"&amp;MID(L23,SEARCH("秀图",L23)+LEN("秀图"),LEN(L23)),"")))),IFERROR(LEFT(_xlpm.A,FIND("【",_xlpm.A,FIND("】",_xlpm.A)+1)-1)&amp;MID(_xlpm.A,FIND("】",_xlpm.A,FIND("】",_xlpm.A)+1)+1,LEN(_xlpm.A)),_xlpm.A))</f>
        <v/>
      </c>
      <c r="H23" s="18" t="str">
        <f>_xlfn.LET(_xlpm.A,IF(ISNUMBER(SEARCH("晒单",M23)),"【晒单】"&amp;MID(M23,SEARCH("晒单",M23)+LEN("晒单"),LEN(M23))&amp;"（需晒单后联系客服登记）",IF(ISNUMBER(SEARCH("包修",M23)),"【购机】"&amp;MID(M23,SEARCH("购机",M23)+LEN("购机"),LEN(M23)),IF(ISNUMBER(SEARCH("叠放支架",M23)),"【赠品】"&amp;MID(M23,SEARCH("购机",M23)+LEN("购机"),LEN(M23)),IF(ISNUMBER(SEARCH("秀图",M23)),"【秀图】"&amp;MID(M23,SEARCH("秀图",M23)+LEN("秀图"),LEN(M23)),"")))),IFERROR(LEFT(_xlpm.A,FIND("【",_xlpm.A,FIND("】",_xlpm.A)+1)-1)&amp;MID(_xlpm.A,FIND("】",_xlpm.A,FIND("】",_xlpm.A)+1)+1,LEN(_xlpm.A)),_xlpm.A))</f>
        <v/>
      </c>
      <c r="I23" s="18" t="str">
        <f>_xlfn.LET(_xlpm.A,IF(ISNUMBER(SEARCH("晒单",N23)),"【晒单】"&amp;MID(N23,SEARCH("晒单",N23)+LEN("晒单"),LEN(N23))&amp;"（需晒单后联系客服登记）",IF(ISNUMBER(SEARCH("包修",N23)),"【购机】"&amp;MID(N23,SEARCH("购机",N23)+LEN("购机"),LEN(N23)),IF(ISNUMBER(SEARCH("叠放支架",N23)),"【赠品】"&amp;MID(N23,SEARCH("购机",N23)+LEN("购机"),LEN(N23)),IF(ISNUMBER(SEARCH("秀图",N23)),"【秀图】"&amp;MID(N23,SEARCH("秀图",N23)+LEN("秀图"),LEN(N23)),"")))),IFERROR(LEFT(_xlpm.A,FIND("【",_xlpm.A,FIND("】",_xlpm.A)+1)-1)&amp;MID(_xlpm.A,FIND("】",_xlpm.A,FIND("】",_xlpm.A)+1)+1,LEN(_xlpm.A)),_xlpm.A))</f>
        <v/>
      </c>
      <c r="J23" s="18" t="str" cm="1">
        <f t="array" ref="J23">IFERROR(INDEX(_xlfn.TEXTSPLIT(_xlfn.XLOOKUP($A23&amp;$B23&amp;$C23,盘货信息!$A:$A&amp;盘货信息!$B:$B&amp;盘货信息!$C:$C,盘货信息!$S:$S),CHAR(10),,TRUE),1,COLUMN(A22)),"")</f>
        <v/>
      </c>
      <c r="K23" s="18" t="str" cm="1">
        <f t="array" ref="K23">IFERROR(INDEX(_xlfn.TEXTSPLIT(_xlfn.XLOOKUP($A23&amp;$B23&amp;$C23,盘货信息!$A:$A&amp;盘货信息!$B:$B&amp;盘货信息!$C:$C,盘货信息!$S:$S),CHAR(10),,TRUE),1,COLUMN(B22)),"")</f>
        <v/>
      </c>
      <c r="L23" s="18" t="str" cm="1">
        <f t="array" ref="L23">IFERROR(INDEX(_xlfn.TEXTSPLIT(_xlfn.XLOOKUP($A23&amp;$B23&amp;$C23,盘货信息!$A:$A&amp;盘货信息!$B:$B&amp;盘货信息!$C:$C,盘货信息!$S:$S),CHAR(10),,TRUE),1,COLUMN(C22)),"")</f>
        <v/>
      </c>
      <c r="M23" s="18" t="str" cm="1">
        <f t="array" ref="M23">IFERROR(INDEX(_xlfn.TEXTSPLIT(_xlfn.XLOOKUP($A23&amp;$B23&amp;$C23,盘货信息!$A:$A&amp;盘货信息!$B:$B&amp;盘货信息!$C:$C,盘货信息!$S:$S),CHAR(10),,TRUE),1,COLUMN(D22)),"")</f>
        <v/>
      </c>
      <c r="N23" s="18" t="str" cm="1">
        <f t="array" ref="N23">IFERROR(INDEX(_xlfn.TEXTSPLIT(_xlfn.XLOOKUP($A23&amp;$B23&amp;$C23,盘货信息!$A:$A&amp;盘货信息!$B:$B&amp;盘货信息!$C:$C,盘货信息!$S:$S),CHAR(10),,TRUE),1,COLUMN(E22)),"")</f>
        <v/>
      </c>
    </row>
    <row r="24" customHeight="1" spans="1:14">
      <c r="A24" s="17" t="str">
        <f>IF(盘货信息!A24="","",盘货信息!A24)</f>
        <v/>
      </c>
      <c r="B24" s="17" t="str">
        <f>IF(盘货信息!B24="","",盘货信息!B24)</f>
        <v/>
      </c>
      <c r="C24" s="18" t="str">
        <f>IF(盘货信息!C24="","",盘货信息!C24)</f>
        <v/>
      </c>
      <c r="D24" s="18" t="str">
        <f t="shared" si="0"/>
        <v/>
      </c>
      <c r="E24" s="18" t="str">
        <f>_xlfn.LET(_xlpm.A,IF(ISNUMBER(SEARCH("晒单",J24)),"【晒单】"&amp;MID(J24,SEARCH("晒单",J24)+LEN("晒单"),LEN(J24))&amp;"（需晒单后联系客服登记）",IF(ISNUMBER(SEARCH("包修",J24)),"【购机】"&amp;MID(J24,SEARCH("购机",J24)+LEN("购机"),LEN(J24)),IF(ISNUMBER(SEARCH("叠放支架",J24)),"【赠品】"&amp;MID(J24,SEARCH("购机",J24)+LEN("购机"),LEN(J24)),IF(ISNUMBER(SEARCH("秀图",J24)),"【秀图】"&amp;MID(J24,SEARCH("秀图",J24)+LEN("秀图"),LEN(J24)),"")))),IFERROR(LEFT(_xlpm.A,FIND("【",_xlpm.A,FIND("】",_xlpm.A)+1)-1)&amp;MID(_xlpm.A,FIND("】",_xlpm.A,FIND("】",_xlpm.A)+1)+1,LEN(_xlpm.A)),_xlpm.A))</f>
        <v/>
      </c>
      <c r="F24" s="18" t="str">
        <f>_xlfn.LET(_xlpm.A,IF(ISNUMBER(SEARCH("晒单",K24)),"【晒单】"&amp;MID(K24,SEARCH("晒单",K24)+LEN("晒单"),LEN(K24))&amp;"（需晒单后联系客服登记）",IF(ISNUMBER(SEARCH("包修",K24)),"【购机】"&amp;MID(K24,SEARCH("购机",K24)+LEN("购机"),LEN(K24)),IF(ISNUMBER(SEARCH("叠放支架",K24)),"【赠品】"&amp;MID(K24,SEARCH("购机",K24)+LEN("购机"),LEN(K24)),IF(ISNUMBER(SEARCH("秀图",K24)),"【秀图】"&amp;MID(K24,SEARCH("秀图",K24)+LEN("秀图"),LEN(K24)),"")))),IFERROR(LEFT(_xlpm.A,FIND("【",_xlpm.A,FIND("】",_xlpm.A)+1)-1)&amp;MID(_xlpm.A,FIND("】",_xlpm.A,FIND("】",_xlpm.A)+1)+1,LEN(_xlpm.A)),_xlpm.A))</f>
        <v/>
      </c>
      <c r="G24" s="18" t="str">
        <f>_xlfn.LET(_xlpm.A,IF(ISNUMBER(SEARCH("晒单",L24)),"【晒单】"&amp;MID(L24,SEARCH("晒单",L24)+LEN("晒单"),LEN(L24))&amp;"（需晒单后联系客服登记）",IF(ISNUMBER(SEARCH("包修",L24)),"【购机】"&amp;MID(L24,SEARCH("购机",L24)+LEN("购机"),LEN(L24)),IF(ISNUMBER(SEARCH("叠放支架",L24)),"【赠品】"&amp;MID(L24,SEARCH("购机",L24)+LEN("购机"),LEN(L24)),IF(ISNUMBER(SEARCH("秀图",L24)),"【秀图】"&amp;MID(L24,SEARCH("秀图",L24)+LEN("秀图"),LEN(L24)),"")))),IFERROR(LEFT(_xlpm.A,FIND("【",_xlpm.A,FIND("】",_xlpm.A)+1)-1)&amp;MID(_xlpm.A,FIND("】",_xlpm.A,FIND("】",_xlpm.A)+1)+1,LEN(_xlpm.A)),_xlpm.A))</f>
        <v/>
      </c>
      <c r="H24" s="18" t="str">
        <f>_xlfn.LET(_xlpm.A,IF(ISNUMBER(SEARCH("晒单",M24)),"【晒单】"&amp;MID(M24,SEARCH("晒单",M24)+LEN("晒单"),LEN(M24))&amp;"（需晒单后联系客服登记）",IF(ISNUMBER(SEARCH("包修",M24)),"【购机】"&amp;MID(M24,SEARCH("购机",M24)+LEN("购机"),LEN(M24)),IF(ISNUMBER(SEARCH("叠放支架",M24)),"【赠品】"&amp;MID(M24,SEARCH("购机",M24)+LEN("购机"),LEN(M24)),IF(ISNUMBER(SEARCH("秀图",M24)),"【秀图】"&amp;MID(M24,SEARCH("秀图",M24)+LEN("秀图"),LEN(M24)),"")))),IFERROR(LEFT(_xlpm.A,FIND("【",_xlpm.A,FIND("】",_xlpm.A)+1)-1)&amp;MID(_xlpm.A,FIND("】",_xlpm.A,FIND("】",_xlpm.A)+1)+1,LEN(_xlpm.A)),_xlpm.A))</f>
        <v/>
      </c>
      <c r="I24" s="18" t="str">
        <f>_xlfn.LET(_xlpm.A,IF(ISNUMBER(SEARCH("晒单",N24)),"【晒单】"&amp;MID(N24,SEARCH("晒单",N24)+LEN("晒单"),LEN(N24))&amp;"（需晒单后联系客服登记）",IF(ISNUMBER(SEARCH("包修",N24)),"【购机】"&amp;MID(N24,SEARCH("购机",N24)+LEN("购机"),LEN(N24)),IF(ISNUMBER(SEARCH("叠放支架",N24)),"【赠品】"&amp;MID(N24,SEARCH("购机",N24)+LEN("购机"),LEN(N24)),IF(ISNUMBER(SEARCH("秀图",N24)),"【秀图】"&amp;MID(N24,SEARCH("秀图",N24)+LEN("秀图"),LEN(N24)),"")))),IFERROR(LEFT(_xlpm.A,FIND("【",_xlpm.A,FIND("】",_xlpm.A)+1)-1)&amp;MID(_xlpm.A,FIND("】",_xlpm.A,FIND("】",_xlpm.A)+1)+1,LEN(_xlpm.A)),_xlpm.A))</f>
        <v/>
      </c>
      <c r="J24" s="18" t="str" cm="1">
        <f t="array" ref="J24">IFERROR(INDEX(_xlfn.TEXTSPLIT(_xlfn.XLOOKUP($A24&amp;$B24&amp;$C24,盘货信息!$A:$A&amp;盘货信息!$B:$B&amp;盘货信息!$C:$C,盘货信息!$S:$S),CHAR(10),,TRUE),1,COLUMN(A23)),"")</f>
        <v/>
      </c>
      <c r="K24" s="18" t="str" cm="1">
        <f t="array" ref="K24">IFERROR(INDEX(_xlfn.TEXTSPLIT(_xlfn.XLOOKUP($A24&amp;$B24&amp;$C24,盘货信息!$A:$A&amp;盘货信息!$B:$B&amp;盘货信息!$C:$C,盘货信息!$S:$S),CHAR(10),,TRUE),1,COLUMN(B23)),"")</f>
        <v/>
      </c>
      <c r="L24" s="18" t="str" cm="1">
        <f t="array" ref="L24">IFERROR(INDEX(_xlfn.TEXTSPLIT(_xlfn.XLOOKUP($A24&amp;$B24&amp;$C24,盘货信息!$A:$A&amp;盘货信息!$B:$B&amp;盘货信息!$C:$C,盘货信息!$S:$S),CHAR(10),,TRUE),1,COLUMN(C23)),"")</f>
        <v/>
      </c>
      <c r="M24" s="18" t="str" cm="1">
        <f t="array" ref="M24">IFERROR(INDEX(_xlfn.TEXTSPLIT(_xlfn.XLOOKUP($A24&amp;$B24&amp;$C24,盘货信息!$A:$A&amp;盘货信息!$B:$B&amp;盘货信息!$C:$C,盘货信息!$S:$S),CHAR(10),,TRUE),1,COLUMN(D23)),"")</f>
        <v/>
      </c>
      <c r="N24" s="18" t="str" cm="1">
        <f t="array" ref="N24">IFERROR(INDEX(_xlfn.TEXTSPLIT(_xlfn.XLOOKUP($A24&amp;$B24&amp;$C24,盘货信息!$A:$A&amp;盘货信息!$B:$B&amp;盘货信息!$C:$C,盘货信息!$S:$S),CHAR(10),,TRUE),1,COLUMN(E23)),"")</f>
        <v/>
      </c>
    </row>
    <row r="25" customHeight="1" spans="1:14">
      <c r="A25" s="17" t="str">
        <f>IF(盘货信息!A25="","",盘货信息!A25)</f>
        <v/>
      </c>
      <c r="B25" s="17" t="str">
        <f>IF(盘货信息!B25="","",盘货信息!B25)</f>
        <v/>
      </c>
      <c r="C25" s="18" t="str">
        <f>IF(盘货信息!C25="","",盘货信息!C25)</f>
        <v/>
      </c>
      <c r="D25" s="18" t="str">
        <f t="shared" si="0"/>
        <v/>
      </c>
      <c r="E25" s="18" t="str">
        <f>_xlfn.LET(_xlpm.A,IF(ISNUMBER(SEARCH("晒单",J25)),"【晒单】"&amp;MID(J25,SEARCH("晒单",J25)+LEN("晒单"),LEN(J25))&amp;"（需晒单后联系客服登记）",IF(ISNUMBER(SEARCH("包修",J25)),"【购机】"&amp;MID(J25,SEARCH("购机",J25)+LEN("购机"),LEN(J25)),IF(ISNUMBER(SEARCH("叠放支架",J25)),"【赠品】"&amp;MID(J25,SEARCH("购机",J25)+LEN("购机"),LEN(J25)),IF(ISNUMBER(SEARCH("秀图",J25)),"【秀图】"&amp;MID(J25,SEARCH("秀图",J25)+LEN("秀图"),LEN(J25)),"")))),IFERROR(LEFT(_xlpm.A,FIND("【",_xlpm.A,FIND("】",_xlpm.A)+1)-1)&amp;MID(_xlpm.A,FIND("】",_xlpm.A,FIND("】",_xlpm.A)+1)+1,LEN(_xlpm.A)),_xlpm.A))</f>
        <v/>
      </c>
      <c r="F25" s="18" t="str">
        <f>_xlfn.LET(_xlpm.A,IF(ISNUMBER(SEARCH("晒单",K25)),"【晒单】"&amp;MID(K25,SEARCH("晒单",K25)+LEN("晒单"),LEN(K25))&amp;"（需晒单后联系客服登记）",IF(ISNUMBER(SEARCH("包修",K25)),"【购机】"&amp;MID(K25,SEARCH("购机",K25)+LEN("购机"),LEN(K25)),IF(ISNUMBER(SEARCH("叠放支架",K25)),"【赠品】"&amp;MID(K25,SEARCH("购机",K25)+LEN("购机"),LEN(K25)),IF(ISNUMBER(SEARCH("秀图",K25)),"【秀图】"&amp;MID(K25,SEARCH("秀图",K25)+LEN("秀图"),LEN(K25)),"")))),IFERROR(LEFT(_xlpm.A,FIND("【",_xlpm.A,FIND("】",_xlpm.A)+1)-1)&amp;MID(_xlpm.A,FIND("】",_xlpm.A,FIND("】",_xlpm.A)+1)+1,LEN(_xlpm.A)),_xlpm.A))</f>
        <v/>
      </c>
      <c r="G25" s="18" t="str">
        <f>_xlfn.LET(_xlpm.A,IF(ISNUMBER(SEARCH("晒单",L25)),"【晒单】"&amp;MID(L25,SEARCH("晒单",L25)+LEN("晒单"),LEN(L25))&amp;"（需晒单后联系客服登记）",IF(ISNUMBER(SEARCH("包修",L25)),"【购机】"&amp;MID(L25,SEARCH("购机",L25)+LEN("购机"),LEN(L25)),IF(ISNUMBER(SEARCH("叠放支架",L25)),"【赠品】"&amp;MID(L25,SEARCH("购机",L25)+LEN("购机"),LEN(L25)),IF(ISNUMBER(SEARCH("秀图",L25)),"【秀图】"&amp;MID(L25,SEARCH("秀图",L25)+LEN("秀图"),LEN(L25)),"")))),IFERROR(LEFT(_xlpm.A,FIND("【",_xlpm.A,FIND("】",_xlpm.A)+1)-1)&amp;MID(_xlpm.A,FIND("】",_xlpm.A,FIND("】",_xlpm.A)+1)+1,LEN(_xlpm.A)),_xlpm.A))</f>
        <v/>
      </c>
      <c r="H25" s="18" t="str">
        <f>_xlfn.LET(_xlpm.A,IF(ISNUMBER(SEARCH("晒单",M25)),"【晒单】"&amp;MID(M25,SEARCH("晒单",M25)+LEN("晒单"),LEN(M25))&amp;"（需晒单后联系客服登记）",IF(ISNUMBER(SEARCH("包修",M25)),"【购机】"&amp;MID(M25,SEARCH("购机",M25)+LEN("购机"),LEN(M25)),IF(ISNUMBER(SEARCH("叠放支架",M25)),"【赠品】"&amp;MID(M25,SEARCH("购机",M25)+LEN("购机"),LEN(M25)),IF(ISNUMBER(SEARCH("秀图",M25)),"【秀图】"&amp;MID(M25,SEARCH("秀图",M25)+LEN("秀图"),LEN(M25)),"")))),IFERROR(LEFT(_xlpm.A,FIND("【",_xlpm.A,FIND("】",_xlpm.A)+1)-1)&amp;MID(_xlpm.A,FIND("】",_xlpm.A,FIND("】",_xlpm.A)+1)+1,LEN(_xlpm.A)),_xlpm.A))</f>
        <v/>
      </c>
      <c r="I25" s="18" t="str">
        <f>_xlfn.LET(_xlpm.A,IF(ISNUMBER(SEARCH("晒单",N25)),"【晒单】"&amp;MID(N25,SEARCH("晒单",N25)+LEN("晒单"),LEN(N25))&amp;"（需晒单后联系客服登记）",IF(ISNUMBER(SEARCH("包修",N25)),"【购机】"&amp;MID(N25,SEARCH("购机",N25)+LEN("购机"),LEN(N25)),IF(ISNUMBER(SEARCH("叠放支架",N25)),"【赠品】"&amp;MID(N25,SEARCH("购机",N25)+LEN("购机"),LEN(N25)),IF(ISNUMBER(SEARCH("秀图",N25)),"【秀图】"&amp;MID(N25,SEARCH("秀图",N25)+LEN("秀图"),LEN(N25)),"")))),IFERROR(LEFT(_xlpm.A,FIND("【",_xlpm.A,FIND("】",_xlpm.A)+1)-1)&amp;MID(_xlpm.A,FIND("】",_xlpm.A,FIND("】",_xlpm.A)+1)+1,LEN(_xlpm.A)),_xlpm.A))</f>
        <v/>
      </c>
      <c r="J25" s="18" t="str" cm="1">
        <f t="array" ref="J25">IFERROR(INDEX(_xlfn.TEXTSPLIT(_xlfn.XLOOKUP($A25&amp;$B25&amp;$C25,盘货信息!$A:$A&amp;盘货信息!$B:$B&amp;盘货信息!$C:$C,盘货信息!$S:$S),CHAR(10),,TRUE),1,COLUMN(A24)),"")</f>
        <v/>
      </c>
      <c r="K25" s="18" t="str" cm="1">
        <f t="array" ref="K25">IFERROR(INDEX(_xlfn.TEXTSPLIT(_xlfn.XLOOKUP($A25&amp;$B25&amp;$C25,盘货信息!$A:$A&amp;盘货信息!$B:$B&amp;盘货信息!$C:$C,盘货信息!$S:$S),CHAR(10),,TRUE),1,COLUMN(B24)),"")</f>
        <v/>
      </c>
      <c r="L25" s="18" t="str" cm="1">
        <f t="array" ref="L25">IFERROR(INDEX(_xlfn.TEXTSPLIT(_xlfn.XLOOKUP($A25&amp;$B25&amp;$C25,盘货信息!$A:$A&amp;盘货信息!$B:$B&amp;盘货信息!$C:$C,盘货信息!$S:$S),CHAR(10),,TRUE),1,COLUMN(C24)),"")</f>
        <v/>
      </c>
      <c r="M25" s="18" t="str" cm="1">
        <f t="array" ref="M25">IFERROR(INDEX(_xlfn.TEXTSPLIT(_xlfn.XLOOKUP($A25&amp;$B25&amp;$C25,盘货信息!$A:$A&amp;盘货信息!$B:$B&amp;盘货信息!$C:$C,盘货信息!$S:$S),CHAR(10),,TRUE),1,COLUMN(D24)),"")</f>
        <v/>
      </c>
      <c r="N25" s="18" t="str" cm="1">
        <f t="array" ref="N25">IFERROR(INDEX(_xlfn.TEXTSPLIT(_xlfn.XLOOKUP($A25&amp;$B25&amp;$C25,盘货信息!$A:$A&amp;盘货信息!$B:$B&amp;盘货信息!$C:$C,盘货信息!$S:$S),CHAR(10),,TRUE),1,COLUMN(E24)),"")</f>
        <v/>
      </c>
    </row>
    <row r="26" customHeight="1" spans="1:14">
      <c r="A26" s="17" t="str">
        <f>IF(盘货信息!A26="","",盘货信息!A26)</f>
        <v/>
      </c>
      <c r="B26" s="17" t="str">
        <f>IF(盘货信息!B26="","",盘货信息!B26)</f>
        <v/>
      </c>
      <c r="C26" s="18" t="str">
        <f>IF(盘货信息!C26="","",盘货信息!C26)</f>
        <v/>
      </c>
      <c r="D26" s="18" t="str">
        <f t="shared" si="0"/>
        <v/>
      </c>
      <c r="E26" s="18" t="str">
        <f>_xlfn.LET(_xlpm.A,IF(ISNUMBER(SEARCH("晒单",J26)),"【晒单】"&amp;MID(J26,SEARCH("晒单",J26)+LEN("晒单"),LEN(J26))&amp;"（需晒单后联系客服登记）",IF(ISNUMBER(SEARCH("包修",J26)),"【购机】"&amp;MID(J26,SEARCH("购机",J26)+LEN("购机"),LEN(J26)),IF(ISNUMBER(SEARCH("叠放支架",J26)),"【赠品】"&amp;MID(J26,SEARCH("购机",J26)+LEN("购机"),LEN(J26)),IF(ISNUMBER(SEARCH("秀图",J26)),"【秀图】"&amp;MID(J26,SEARCH("秀图",J26)+LEN("秀图"),LEN(J26)),"")))),IFERROR(LEFT(_xlpm.A,FIND("【",_xlpm.A,FIND("】",_xlpm.A)+1)-1)&amp;MID(_xlpm.A,FIND("】",_xlpm.A,FIND("】",_xlpm.A)+1)+1,LEN(_xlpm.A)),_xlpm.A))</f>
        <v/>
      </c>
      <c r="F26" s="18" t="str">
        <f>_xlfn.LET(_xlpm.A,IF(ISNUMBER(SEARCH("晒单",K26)),"【晒单】"&amp;MID(K26,SEARCH("晒单",K26)+LEN("晒单"),LEN(K26))&amp;"（需晒单后联系客服登记）",IF(ISNUMBER(SEARCH("包修",K26)),"【购机】"&amp;MID(K26,SEARCH("购机",K26)+LEN("购机"),LEN(K26)),IF(ISNUMBER(SEARCH("叠放支架",K26)),"【赠品】"&amp;MID(K26,SEARCH("购机",K26)+LEN("购机"),LEN(K26)),IF(ISNUMBER(SEARCH("秀图",K26)),"【秀图】"&amp;MID(K26,SEARCH("秀图",K26)+LEN("秀图"),LEN(K26)),"")))),IFERROR(LEFT(_xlpm.A,FIND("【",_xlpm.A,FIND("】",_xlpm.A)+1)-1)&amp;MID(_xlpm.A,FIND("】",_xlpm.A,FIND("】",_xlpm.A)+1)+1,LEN(_xlpm.A)),_xlpm.A))</f>
        <v/>
      </c>
      <c r="G26" s="18" t="str">
        <f>_xlfn.LET(_xlpm.A,IF(ISNUMBER(SEARCH("晒单",L26)),"【晒单】"&amp;MID(L26,SEARCH("晒单",L26)+LEN("晒单"),LEN(L26))&amp;"（需晒单后联系客服登记）",IF(ISNUMBER(SEARCH("包修",L26)),"【购机】"&amp;MID(L26,SEARCH("购机",L26)+LEN("购机"),LEN(L26)),IF(ISNUMBER(SEARCH("叠放支架",L26)),"【赠品】"&amp;MID(L26,SEARCH("购机",L26)+LEN("购机"),LEN(L26)),IF(ISNUMBER(SEARCH("秀图",L26)),"【秀图】"&amp;MID(L26,SEARCH("秀图",L26)+LEN("秀图"),LEN(L26)),"")))),IFERROR(LEFT(_xlpm.A,FIND("【",_xlpm.A,FIND("】",_xlpm.A)+1)-1)&amp;MID(_xlpm.A,FIND("】",_xlpm.A,FIND("】",_xlpm.A)+1)+1,LEN(_xlpm.A)),_xlpm.A))</f>
        <v/>
      </c>
      <c r="H26" s="18" t="str">
        <f>_xlfn.LET(_xlpm.A,IF(ISNUMBER(SEARCH("晒单",M26)),"【晒单】"&amp;MID(M26,SEARCH("晒单",M26)+LEN("晒单"),LEN(M26))&amp;"（需晒单后联系客服登记）",IF(ISNUMBER(SEARCH("包修",M26)),"【购机】"&amp;MID(M26,SEARCH("购机",M26)+LEN("购机"),LEN(M26)),IF(ISNUMBER(SEARCH("叠放支架",M26)),"【赠品】"&amp;MID(M26,SEARCH("购机",M26)+LEN("购机"),LEN(M26)),IF(ISNUMBER(SEARCH("秀图",M26)),"【秀图】"&amp;MID(M26,SEARCH("秀图",M26)+LEN("秀图"),LEN(M26)),"")))),IFERROR(LEFT(_xlpm.A,FIND("【",_xlpm.A,FIND("】",_xlpm.A)+1)-1)&amp;MID(_xlpm.A,FIND("】",_xlpm.A,FIND("】",_xlpm.A)+1)+1,LEN(_xlpm.A)),_xlpm.A))</f>
        <v/>
      </c>
      <c r="I26" s="18" t="str">
        <f>_xlfn.LET(_xlpm.A,IF(ISNUMBER(SEARCH("晒单",N26)),"【晒单】"&amp;MID(N26,SEARCH("晒单",N26)+LEN("晒单"),LEN(N26))&amp;"（需晒单后联系客服登记）",IF(ISNUMBER(SEARCH("包修",N26)),"【购机】"&amp;MID(N26,SEARCH("购机",N26)+LEN("购机"),LEN(N26)),IF(ISNUMBER(SEARCH("叠放支架",N26)),"【赠品】"&amp;MID(N26,SEARCH("购机",N26)+LEN("购机"),LEN(N26)),IF(ISNUMBER(SEARCH("秀图",N26)),"【秀图】"&amp;MID(N26,SEARCH("秀图",N26)+LEN("秀图"),LEN(N26)),"")))),IFERROR(LEFT(_xlpm.A,FIND("【",_xlpm.A,FIND("】",_xlpm.A)+1)-1)&amp;MID(_xlpm.A,FIND("】",_xlpm.A,FIND("】",_xlpm.A)+1)+1,LEN(_xlpm.A)),_xlpm.A))</f>
        <v/>
      </c>
      <c r="J26" s="18" t="str" cm="1">
        <f t="array" ref="J26">IFERROR(INDEX(_xlfn.TEXTSPLIT(_xlfn.XLOOKUP($A26&amp;$B26&amp;$C26,盘货信息!$A:$A&amp;盘货信息!$B:$B&amp;盘货信息!$C:$C,盘货信息!$S:$S),CHAR(10),,TRUE),1,COLUMN(A25)),"")</f>
        <v/>
      </c>
      <c r="K26" s="18" t="str" cm="1">
        <f t="array" ref="K26">IFERROR(INDEX(_xlfn.TEXTSPLIT(_xlfn.XLOOKUP($A26&amp;$B26&amp;$C26,盘货信息!$A:$A&amp;盘货信息!$B:$B&amp;盘货信息!$C:$C,盘货信息!$S:$S),CHAR(10),,TRUE),1,COLUMN(B25)),"")</f>
        <v/>
      </c>
      <c r="L26" s="18" t="str" cm="1">
        <f t="array" ref="L26">IFERROR(INDEX(_xlfn.TEXTSPLIT(_xlfn.XLOOKUP($A26&amp;$B26&amp;$C26,盘货信息!$A:$A&amp;盘货信息!$B:$B&amp;盘货信息!$C:$C,盘货信息!$S:$S),CHAR(10),,TRUE),1,COLUMN(C25)),"")</f>
        <v/>
      </c>
      <c r="M26" s="18" t="str" cm="1">
        <f t="array" ref="M26">IFERROR(INDEX(_xlfn.TEXTSPLIT(_xlfn.XLOOKUP($A26&amp;$B26&amp;$C26,盘货信息!$A:$A&amp;盘货信息!$B:$B&amp;盘货信息!$C:$C,盘货信息!$S:$S),CHAR(10),,TRUE),1,COLUMN(D25)),"")</f>
        <v/>
      </c>
      <c r="N26" s="18" t="str" cm="1">
        <f t="array" ref="N26">IFERROR(INDEX(_xlfn.TEXTSPLIT(_xlfn.XLOOKUP($A26&amp;$B26&amp;$C26,盘货信息!$A:$A&amp;盘货信息!$B:$B&amp;盘货信息!$C:$C,盘货信息!$S:$S),CHAR(10),,TRUE),1,COLUMN(E25)),"")</f>
        <v/>
      </c>
    </row>
    <row r="27" customHeight="1" spans="1:14">
      <c r="A27" s="17" t="str">
        <f>IF(盘货信息!A27="","",盘货信息!A27)</f>
        <v/>
      </c>
      <c r="B27" s="17" t="str">
        <f>IF(盘货信息!B27="","",盘货信息!B27)</f>
        <v/>
      </c>
      <c r="C27" s="18" t="str">
        <f>IF(盘货信息!C27="","",盘货信息!C27)</f>
        <v/>
      </c>
      <c r="D27" s="18" t="str">
        <f t="shared" si="0"/>
        <v/>
      </c>
      <c r="E27" s="18" t="str">
        <f>_xlfn.LET(_xlpm.A,IF(ISNUMBER(SEARCH("晒单",J27)),"【晒单】"&amp;MID(J27,SEARCH("晒单",J27)+LEN("晒单"),LEN(J27))&amp;"（需晒单后联系客服登记）",IF(ISNUMBER(SEARCH("包修",J27)),"【购机】"&amp;MID(J27,SEARCH("购机",J27)+LEN("购机"),LEN(J27)),IF(ISNUMBER(SEARCH("叠放支架",J27)),"【赠品】"&amp;MID(J27,SEARCH("购机",J27)+LEN("购机"),LEN(J27)),IF(ISNUMBER(SEARCH("秀图",J27)),"【秀图】"&amp;MID(J27,SEARCH("秀图",J27)+LEN("秀图"),LEN(J27)),"")))),IFERROR(LEFT(_xlpm.A,FIND("【",_xlpm.A,FIND("】",_xlpm.A)+1)-1)&amp;MID(_xlpm.A,FIND("】",_xlpm.A,FIND("】",_xlpm.A)+1)+1,LEN(_xlpm.A)),_xlpm.A))</f>
        <v/>
      </c>
      <c r="F27" s="18" t="str">
        <f>_xlfn.LET(_xlpm.A,IF(ISNUMBER(SEARCH("晒单",K27)),"【晒单】"&amp;MID(K27,SEARCH("晒单",K27)+LEN("晒单"),LEN(K27))&amp;"（需晒单后联系客服登记）",IF(ISNUMBER(SEARCH("包修",K27)),"【购机】"&amp;MID(K27,SEARCH("购机",K27)+LEN("购机"),LEN(K27)),IF(ISNUMBER(SEARCH("叠放支架",K27)),"【赠品】"&amp;MID(K27,SEARCH("购机",K27)+LEN("购机"),LEN(K27)),IF(ISNUMBER(SEARCH("秀图",K27)),"【秀图】"&amp;MID(K27,SEARCH("秀图",K27)+LEN("秀图"),LEN(K27)),"")))),IFERROR(LEFT(_xlpm.A,FIND("【",_xlpm.A,FIND("】",_xlpm.A)+1)-1)&amp;MID(_xlpm.A,FIND("】",_xlpm.A,FIND("】",_xlpm.A)+1)+1,LEN(_xlpm.A)),_xlpm.A))</f>
        <v/>
      </c>
      <c r="G27" s="18" t="str">
        <f>_xlfn.LET(_xlpm.A,IF(ISNUMBER(SEARCH("晒单",L27)),"【晒单】"&amp;MID(L27,SEARCH("晒单",L27)+LEN("晒单"),LEN(L27))&amp;"（需晒单后联系客服登记）",IF(ISNUMBER(SEARCH("包修",L27)),"【购机】"&amp;MID(L27,SEARCH("购机",L27)+LEN("购机"),LEN(L27)),IF(ISNUMBER(SEARCH("叠放支架",L27)),"【赠品】"&amp;MID(L27,SEARCH("购机",L27)+LEN("购机"),LEN(L27)),IF(ISNUMBER(SEARCH("秀图",L27)),"【秀图】"&amp;MID(L27,SEARCH("秀图",L27)+LEN("秀图"),LEN(L27)),"")))),IFERROR(LEFT(_xlpm.A,FIND("【",_xlpm.A,FIND("】",_xlpm.A)+1)-1)&amp;MID(_xlpm.A,FIND("】",_xlpm.A,FIND("】",_xlpm.A)+1)+1,LEN(_xlpm.A)),_xlpm.A))</f>
        <v/>
      </c>
      <c r="H27" s="18" t="str">
        <f>_xlfn.LET(_xlpm.A,IF(ISNUMBER(SEARCH("晒单",M27)),"【晒单】"&amp;MID(M27,SEARCH("晒单",M27)+LEN("晒单"),LEN(M27))&amp;"（需晒单后联系客服登记）",IF(ISNUMBER(SEARCH("包修",M27)),"【购机】"&amp;MID(M27,SEARCH("购机",M27)+LEN("购机"),LEN(M27)),IF(ISNUMBER(SEARCH("叠放支架",M27)),"【赠品】"&amp;MID(M27,SEARCH("购机",M27)+LEN("购机"),LEN(M27)),IF(ISNUMBER(SEARCH("秀图",M27)),"【秀图】"&amp;MID(M27,SEARCH("秀图",M27)+LEN("秀图"),LEN(M27)),"")))),IFERROR(LEFT(_xlpm.A,FIND("【",_xlpm.A,FIND("】",_xlpm.A)+1)-1)&amp;MID(_xlpm.A,FIND("】",_xlpm.A,FIND("】",_xlpm.A)+1)+1,LEN(_xlpm.A)),_xlpm.A))</f>
        <v/>
      </c>
      <c r="I27" s="18" t="str">
        <f>_xlfn.LET(_xlpm.A,IF(ISNUMBER(SEARCH("晒单",N27)),"【晒单】"&amp;MID(N27,SEARCH("晒单",N27)+LEN("晒单"),LEN(N27))&amp;"（需晒单后联系客服登记）",IF(ISNUMBER(SEARCH("包修",N27)),"【购机】"&amp;MID(N27,SEARCH("购机",N27)+LEN("购机"),LEN(N27)),IF(ISNUMBER(SEARCH("叠放支架",N27)),"【赠品】"&amp;MID(N27,SEARCH("购机",N27)+LEN("购机"),LEN(N27)),IF(ISNUMBER(SEARCH("秀图",N27)),"【秀图】"&amp;MID(N27,SEARCH("秀图",N27)+LEN("秀图"),LEN(N27)),"")))),IFERROR(LEFT(_xlpm.A,FIND("【",_xlpm.A,FIND("】",_xlpm.A)+1)-1)&amp;MID(_xlpm.A,FIND("】",_xlpm.A,FIND("】",_xlpm.A)+1)+1,LEN(_xlpm.A)),_xlpm.A))</f>
        <v/>
      </c>
      <c r="J27" s="18" t="str" cm="1">
        <f t="array" ref="J27">IFERROR(INDEX(_xlfn.TEXTSPLIT(_xlfn.XLOOKUP($A27&amp;$B27&amp;$C27,盘货信息!$A:$A&amp;盘货信息!$B:$B&amp;盘货信息!$C:$C,盘货信息!$S:$S),CHAR(10),,TRUE),1,COLUMN(A26)),"")</f>
        <v/>
      </c>
      <c r="K27" s="18" t="str" cm="1">
        <f t="array" ref="K27">IFERROR(INDEX(_xlfn.TEXTSPLIT(_xlfn.XLOOKUP($A27&amp;$B27&amp;$C27,盘货信息!$A:$A&amp;盘货信息!$B:$B&amp;盘货信息!$C:$C,盘货信息!$S:$S),CHAR(10),,TRUE),1,COLUMN(B26)),"")</f>
        <v/>
      </c>
      <c r="L27" s="18" t="str" cm="1">
        <f t="array" ref="L27">IFERROR(INDEX(_xlfn.TEXTSPLIT(_xlfn.XLOOKUP($A27&amp;$B27&amp;$C27,盘货信息!$A:$A&amp;盘货信息!$B:$B&amp;盘货信息!$C:$C,盘货信息!$S:$S),CHAR(10),,TRUE),1,COLUMN(C26)),"")</f>
        <v/>
      </c>
      <c r="M27" s="18" t="str" cm="1">
        <f t="array" ref="M27">IFERROR(INDEX(_xlfn.TEXTSPLIT(_xlfn.XLOOKUP($A27&amp;$B27&amp;$C27,盘货信息!$A:$A&amp;盘货信息!$B:$B&amp;盘货信息!$C:$C,盘货信息!$S:$S),CHAR(10),,TRUE),1,COLUMN(D26)),"")</f>
        <v/>
      </c>
      <c r="N27" s="18" t="str" cm="1">
        <f t="array" ref="N27">IFERROR(INDEX(_xlfn.TEXTSPLIT(_xlfn.XLOOKUP($A27&amp;$B27&amp;$C27,盘货信息!$A:$A&amp;盘货信息!$B:$B&amp;盘货信息!$C:$C,盘货信息!$S:$S),CHAR(10),,TRUE),1,COLUMN(E26)),"")</f>
        <v/>
      </c>
    </row>
    <row r="28" customHeight="1" spans="1:14">
      <c r="A28" s="17" t="str">
        <f>IF(盘货信息!A28="","",盘货信息!A28)</f>
        <v/>
      </c>
      <c r="B28" s="17" t="str">
        <f>IF(盘货信息!B28="","",盘货信息!B28)</f>
        <v/>
      </c>
      <c r="C28" s="18" t="str">
        <f>IF(盘货信息!C28="","",盘货信息!C28)</f>
        <v/>
      </c>
      <c r="D28" s="18" t="str">
        <f t="shared" si="0"/>
        <v/>
      </c>
      <c r="E28" s="18" t="str">
        <f>_xlfn.LET(_xlpm.A,IF(ISNUMBER(SEARCH("晒单",J28)),"【晒单】"&amp;MID(J28,SEARCH("晒单",J28)+LEN("晒单"),LEN(J28))&amp;"（需晒单后联系客服登记）",IF(ISNUMBER(SEARCH("包修",J28)),"【购机】"&amp;MID(J28,SEARCH("购机",J28)+LEN("购机"),LEN(J28)),IF(ISNUMBER(SEARCH("叠放支架",J28)),"【赠品】"&amp;MID(J28,SEARCH("购机",J28)+LEN("购机"),LEN(J28)),IF(ISNUMBER(SEARCH("秀图",J28)),"【秀图】"&amp;MID(J28,SEARCH("秀图",J28)+LEN("秀图"),LEN(J28)),"")))),IFERROR(LEFT(_xlpm.A,FIND("【",_xlpm.A,FIND("】",_xlpm.A)+1)-1)&amp;MID(_xlpm.A,FIND("】",_xlpm.A,FIND("】",_xlpm.A)+1)+1,LEN(_xlpm.A)),_xlpm.A))</f>
        <v/>
      </c>
      <c r="F28" s="18" t="str">
        <f>_xlfn.LET(_xlpm.A,IF(ISNUMBER(SEARCH("晒单",K28)),"【晒单】"&amp;MID(K28,SEARCH("晒单",K28)+LEN("晒单"),LEN(K28))&amp;"（需晒单后联系客服登记）",IF(ISNUMBER(SEARCH("包修",K28)),"【购机】"&amp;MID(K28,SEARCH("购机",K28)+LEN("购机"),LEN(K28)),IF(ISNUMBER(SEARCH("叠放支架",K28)),"【赠品】"&amp;MID(K28,SEARCH("购机",K28)+LEN("购机"),LEN(K28)),IF(ISNUMBER(SEARCH("秀图",K28)),"【秀图】"&amp;MID(K28,SEARCH("秀图",K28)+LEN("秀图"),LEN(K28)),"")))),IFERROR(LEFT(_xlpm.A,FIND("【",_xlpm.A,FIND("】",_xlpm.A)+1)-1)&amp;MID(_xlpm.A,FIND("】",_xlpm.A,FIND("】",_xlpm.A)+1)+1,LEN(_xlpm.A)),_xlpm.A))</f>
        <v/>
      </c>
      <c r="G28" s="18" t="str">
        <f>_xlfn.LET(_xlpm.A,IF(ISNUMBER(SEARCH("晒单",L28)),"【晒单】"&amp;MID(L28,SEARCH("晒单",L28)+LEN("晒单"),LEN(L28))&amp;"（需晒单后联系客服登记）",IF(ISNUMBER(SEARCH("包修",L28)),"【购机】"&amp;MID(L28,SEARCH("购机",L28)+LEN("购机"),LEN(L28)),IF(ISNUMBER(SEARCH("叠放支架",L28)),"【赠品】"&amp;MID(L28,SEARCH("购机",L28)+LEN("购机"),LEN(L28)),IF(ISNUMBER(SEARCH("秀图",L28)),"【秀图】"&amp;MID(L28,SEARCH("秀图",L28)+LEN("秀图"),LEN(L28)),"")))),IFERROR(LEFT(_xlpm.A,FIND("【",_xlpm.A,FIND("】",_xlpm.A)+1)-1)&amp;MID(_xlpm.A,FIND("】",_xlpm.A,FIND("】",_xlpm.A)+1)+1,LEN(_xlpm.A)),_xlpm.A))</f>
        <v/>
      </c>
      <c r="H28" s="18" t="str">
        <f>_xlfn.LET(_xlpm.A,IF(ISNUMBER(SEARCH("晒单",M28)),"【晒单】"&amp;MID(M28,SEARCH("晒单",M28)+LEN("晒单"),LEN(M28))&amp;"（需晒单后联系客服登记）",IF(ISNUMBER(SEARCH("包修",M28)),"【购机】"&amp;MID(M28,SEARCH("购机",M28)+LEN("购机"),LEN(M28)),IF(ISNUMBER(SEARCH("叠放支架",M28)),"【赠品】"&amp;MID(M28,SEARCH("购机",M28)+LEN("购机"),LEN(M28)),IF(ISNUMBER(SEARCH("秀图",M28)),"【秀图】"&amp;MID(M28,SEARCH("秀图",M28)+LEN("秀图"),LEN(M28)),"")))),IFERROR(LEFT(_xlpm.A,FIND("【",_xlpm.A,FIND("】",_xlpm.A)+1)-1)&amp;MID(_xlpm.A,FIND("】",_xlpm.A,FIND("】",_xlpm.A)+1)+1,LEN(_xlpm.A)),_xlpm.A))</f>
        <v/>
      </c>
      <c r="I28" s="18" t="str">
        <f>_xlfn.LET(_xlpm.A,IF(ISNUMBER(SEARCH("晒单",N28)),"【晒单】"&amp;MID(N28,SEARCH("晒单",N28)+LEN("晒单"),LEN(N28))&amp;"（需晒单后联系客服登记）",IF(ISNUMBER(SEARCH("包修",N28)),"【购机】"&amp;MID(N28,SEARCH("购机",N28)+LEN("购机"),LEN(N28)),IF(ISNUMBER(SEARCH("叠放支架",N28)),"【赠品】"&amp;MID(N28,SEARCH("购机",N28)+LEN("购机"),LEN(N28)),IF(ISNUMBER(SEARCH("秀图",N28)),"【秀图】"&amp;MID(N28,SEARCH("秀图",N28)+LEN("秀图"),LEN(N28)),"")))),IFERROR(LEFT(_xlpm.A,FIND("【",_xlpm.A,FIND("】",_xlpm.A)+1)-1)&amp;MID(_xlpm.A,FIND("】",_xlpm.A,FIND("】",_xlpm.A)+1)+1,LEN(_xlpm.A)),_xlpm.A))</f>
        <v/>
      </c>
      <c r="J28" s="18" t="str" cm="1">
        <f t="array" ref="J28">IFERROR(INDEX(_xlfn.TEXTSPLIT(_xlfn.XLOOKUP($A28&amp;$B28&amp;$C28,盘货信息!$A:$A&amp;盘货信息!$B:$B&amp;盘货信息!$C:$C,盘货信息!$S:$S),CHAR(10),,TRUE),1,COLUMN(A27)),"")</f>
        <v/>
      </c>
      <c r="K28" s="18" t="str" cm="1">
        <f t="array" ref="K28">IFERROR(INDEX(_xlfn.TEXTSPLIT(_xlfn.XLOOKUP($A28&amp;$B28&amp;$C28,盘货信息!$A:$A&amp;盘货信息!$B:$B&amp;盘货信息!$C:$C,盘货信息!$S:$S),CHAR(10),,TRUE),1,COLUMN(B27)),"")</f>
        <v/>
      </c>
      <c r="L28" s="18" t="str" cm="1">
        <f t="array" ref="L28">IFERROR(INDEX(_xlfn.TEXTSPLIT(_xlfn.XLOOKUP($A28&amp;$B28&amp;$C28,盘货信息!$A:$A&amp;盘货信息!$B:$B&amp;盘货信息!$C:$C,盘货信息!$S:$S),CHAR(10),,TRUE),1,COLUMN(C27)),"")</f>
        <v/>
      </c>
      <c r="M28" s="18" t="str" cm="1">
        <f t="array" ref="M28">IFERROR(INDEX(_xlfn.TEXTSPLIT(_xlfn.XLOOKUP($A28&amp;$B28&amp;$C28,盘货信息!$A:$A&amp;盘货信息!$B:$B&amp;盘货信息!$C:$C,盘货信息!$S:$S),CHAR(10),,TRUE),1,COLUMN(D27)),"")</f>
        <v/>
      </c>
      <c r="N28" s="18" t="str" cm="1">
        <f t="array" ref="N28">IFERROR(INDEX(_xlfn.TEXTSPLIT(_xlfn.XLOOKUP($A28&amp;$B28&amp;$C28,盘货信息!$A:$A&amp;盘货信息!$B:$B&amp;盘货信息!$C:$C,盘货信息!$S:$S),CHAR(10),,TRUE),1,COLUMN(E27)),"")</f>
        <v/>
      </c>
    </row>
    <row r="29" customHeight="1" spans="1:14">
      <c r="A29" s="17" t="str">
        <f>IF(盘货信息!A29="","",盘货信息!A29)</f>
        <v/>
      </c>
      <c r="B29" s="17" t="str">
        <f>IF(盘货信息!B29="","",盘货信息!B29)</f>
        <v/>
      </c>
      <c r="C29" s="18" t="str">
        <f>IF(盘货信息!C29="","",盘货信息!C29)</f>
        <v/>
      </c>
      <c r="D29" s="18" t="str">
        <f t="shared" si="0"/>
        <v/>
      </c>
      <c r="E29" s="18" t="str">
        <f>_xlfn.LET(_xlpm.A,IF(ISNUMBER(SEARCH("晒单",J29)),"【晒单】"&amp;MID(J29,SEARCH("晒单",J29)+LEN("晒单"),LEN(J29))&amp;"（需晒单后联系客服登记）",IF(ISNUMBER(SEARCH("包修",J29)),"【购机】"&amp;MID(J29,SEARCH("购机",J29)+LEN("购机"),LEN(J29)),IF(ISNUMBER(SEARCH("叠放支架",J29)),"【赠品】"&amp;MID(J29,SEARCH("购机",J29)+LEN("购机"),LEN(J29)),IF(ISNUMBER(SEARCH("秀图",J29)),"【秀图】"&amp;MID(J29,SEARCH("秀图",J29)+LEN("秀图"),LEN(J29)),"")))),IFERROR(LEFT(_xlpm.A,FIND("【",_xlpm.A,FIND("】",_xlpm.A)+1)-1)&amp;MID(_xlpm.A,FIND("】",_xlpm.A,FIND("】",_xlpm.A)+1)+1,LEN(_xlpm.A)),_xlpm.A))</f>
        <v/>
      </c>
      <c r="F29" s="18" t="str">
        <f>_xlfn.LET(_xlpm.A,IF(ISNUMBER(SEARCH("晒单",K29)),"【晒单】"&amp;MID(K29,SEARCH("晒单",K29)+LEN("晒单"),LEN(K29))&amp;"（需晒单后联系客服登记）",IF(ISNUMBER(SEARCH("包修",K29)),"【购机】"&amp;MID(K29,SEARCH("购机",K29)+LEN("购机"),LEN(K29)),IF(ISNUMBER(SEARCH("叠放支架",K29)),"【赠品】"&amp;MID(K29,SEARCH("购机",K29)+LEN("购机"),LEN(K29)),IF(ISNUMBER(SEARCH("秀图",K29)),"【秀图】"&amp;MID(K29,SEARCH("秀图",K29)+LEN("秀图"),LEN(K29)),"")))),IFERROR(LEFT(_xlpm.A,FIND("【",_xlpm.A,FIND("】",_xlpm.A)+1)-1)&amp;MID(_xlpm.A,FIND("】",_xlpm.A,FIND("】",_xlpm.A)+1)+1,LEN(_xlpm.A)),_xlpm.A))</f>
        <v/>
      </c>
      <c r="G29" s="18" t="str">
        <f>_xlfn.LET(_xlpm.A,IF(ISNUMBER(SEARCH("晒单",L29)),"【晒单】"&amp;MID(L29,SEARCH("晒单",L29)+LEN("晒单"),LEN(L29))&amp;"（需晒单后联系客服登记）",IF(ISNUMBER(SEARCH("包修",L29)),"【购机】"&amp;MID(L29,SEARCH("购机",L29)+LEN("购机"),LEN(L29)),IF(ISNUMBER(SEARCH("叠放支架",L29)),"【赠品】"&amp;MID(L29,SEARCH("购机",L29)+LEN("购机"),LEN(L29)),IF(ISNUMBER(SEARCH("秀图",L29)),"【秀图】"&amp;MID(L29,SEARCH("秀图",L29)+LEN("秀图"),LEN(L29)),"")))),IFERROR(LEFT(_xlpm.A,FIND("【",_xlpm.A,FIND("】",_xlpm.A)+1)-1)&amp;MID(_xlpm.A,FIND("】",_xlpm.A,FIND("】",_xlpm.A)+1)+1,LEN(_xlpm.A)),_xlpm.A))</f>
        <v/>
      </c>
      <c r="H29" s="18" t="str">
        <f>_xlfn.LET(_xlpm.A,IF(ISNUMBER(SEARCH("晒单",M29)),"【晒单】"&amp;MID(M29,SEARCH("晒单",M29)+LEN("晒单"),LEN(M29))&amp;"（需晒单后联系客服登记）",IF(ISNUMBER(SEARCH("包修",M29)),"【购机】"&amp;MID(M29,SEARCH("购机",M29)+LEN("购机"),LEN(M29)),IF(ISNUMBER(SEARCH("叠放支架",M29)),"【赠品】"&amp;MID(M29,SEARCH("购机",M29)+LEN("购机"),LEN(M29)),IF(ISNUMBER(SEARCH("秀图",M29)),"【秀图】"&amp;MID(M29,SEARCH("秀图",M29)+LEN("秀图"),LEN(M29)),"")))),IFERROR(LEFT(_xlpm.A,FIND("【",_xlpm.A,FIND("】",_xlpm.A)+1)-1)&amp;MID(_xlpm.A,FIND("】",_xlpm.A,FIND("】",_xlpm.A)+1)+1,LEN(_xlpm.A)),_xlpm.A))</f>
        <v/>
      </c>
      <c r="I29" s="18" t="str">
        <f>_xlfn.LET(_xlpm.A,IF(ISNUMBER(SEARCH("晒单",N29)),"【晒单】"&amp;MID(N29,SEARCH("晒单",N29)+LEN("晒单"),LEN(N29))&amp;"（需晒单后联系客服登记）",IF(ISNUMBER(SEARCH("包修",N29)),"【购机】"&amp;MID(N29,SEARCH("购机",N29)+LEN("购机"),LEN(N29)),IF(ISNUMBER(SEARCH("叠放支架",N29)),"【赠品】"&amp;MID(N29,SEARCH("购机",N29)+LEN("购机"),LEN(N29)),IF(ISNUMBER(SEARCH("秀图",N29)),"【秀图】"&amp;MID(N29,SEARCH("秀图",N29)+LEN("秀图"),LEN(N29)),"")))),IFERROR(LEFT(_xlpm.A,FIND("【",_xlpm.A,FIND("】",_xlpm.A)+1)-1)&amp;MID(_xlpm.A,FIND("】",_xlpm.A,FIND("】",_xlpm.A)+1)+1,LEN(_xlpm.A)),_xlpm.A))</f>
        <v/>
      </c>
      <c r="J29" s="18" t="str" cm="1">
        <f t="array" ref="J29">IFERROR(INDEX(_xlfn.TEXTSPLIT(_xlfn.XLOOKUP($A29&amp;$B29&amp;$C29,盘货信息!$A:$A&amp;盘货信息!$B:$B&amp;盘货信息!$C:$C,盘货信息!$S:$S),CHAR(10),,TRUE),1,COLUMN(A28)),"")</f>
        <v/>
      </c>
      <c r="K29" s="18" t="str" cm="1">
        <f t="array" ref="K29">IFERROR(INDEX(_xlfn.TEXTSPLIT(_xlfn.XLOOKUP($A29&amp;$B29&amp;$C29,盘货信息!$A:$A&amp;盘货信息!$B:$B&amp;盘货信息!$C:$C,盘货信息!$S:$S),CHAR(10),,TRUE),1,COLUMN(B28)),"")</f>
        <v/>
      </c>
      <c r="L29" s="18" t="str" cm="1">
        <f t="array" ref="L29">IFERROR(INDEX(_xlfn.TEXTSPLIT(_xlfn.XLOOKUP($A29&amp;$B29&amp;$C29,盘货信息!$A:$A&amp;盘货信息!$B:$B&amp;盘货信息!$C:$C,盘货信息!$S:$S),CHAR(10),,TRUE),1,COLUMN(C28)),"")</f>
        <v/>
      </c>
      <c r="M29" s="18" t="str" cm="1">
        <f t="array" ref="M29">IFERROR(INDEX(_xlfn.TEXTSPLIT(_xlfn.XLOOKUP($A29&amp;$B29&amp;$C29,盘货信息!$A:$A&amp;盘货信息!$B:$B&amp;盘货信息!$C:$C,盘货信息!$S:$S),CHAR(10),,TRUE),1,COLUMN(D28)),"")</f>
        <v/>
      </c>
      <c r="N29" s="18" t="str" cm="1">
        <f t="array" ref="N29">IFERROR(INDEX(_xlfn.TEXTSPLIT(_xlfn.XLOOKUP($A29&amp;$B29&amp;$C29,盘货信息!$A:$A&amp;盘货信息!$B:$B&amp;盘货信息!$C:$C,盘货信息!$S:$S),CHAR(10),,TRUE),1,COLUMN(E28)),"")</f>
        <v/>
      </c>
    </row>
    <row r="30" customHeight="1" spans="1:14">
      <c r="A30" s="17" t="str">
        <f>IF(盘货信息!A30="","",盘货信息!A30)</f>
        <v/>
      </c>
      <c r="B30" s="17" t="str">
        <f>IF(盘货信息!B30="","",盘货信息!B30)</f>
        <v/>
      </c>
      <c r="C30" s="18" t="str">
        <f>IF(盘货信息!C30="","",盘货信息!C30)</f>
        <v/>
      </c>
      <c r="D30" s="18" t="str">
        <f t="shared" si="0"/>
        <v/>
      </c>
      <c r="E30" s="18" t="str">
        <f>_xlfn.LET(_xlpm.A,IF(ISNUMBER(SEARCH("晒单",J30)),"【晒单】"&amp;MID(J30,SEARCH("晒单",J30)+LEN("晒单"),LEN(J30))&amp;"（需晒单后联系客服登记）",IF(ISNUMBER(SEARCH("包修",J30)),"【购机】"&amp;MID(J30,SEARCH("购机",J30)+LEN("购机"),LEN(J30)),IF(ISNUMBER(SEARCH("叠放支架",J30)),"【赠品】"&amp;MID(J30,SEARCH("购机",J30)+LEN("购机"),LEN(J30)),IF(ISNUMBER(SEARCH("秀图",J30)),"【秀图】"&amp;MID(J30,SEARCH("秀图",J30)+LEN("秀图"),LEN(J30)),"")))),IFERROR(LEFT(_xlpm.A,FIND("【",_xlpm.A,FIND("】",_xlpm.A)+1)-1)&amp;MID(_xlpm.A,FIND("】",_xlpm.A,FIND("】",_xlpm.A)+1)+1,LEN(_xlpm.A)),_xlpm.A))</f>
        <v/>
      </c>
      <c r="F30" s="18" t="str">
        <f>_xlfn.LET(_xlpm.A,IF(ISNUMBER(SEARCH("晒单",K30)),"【晒单】"&amp;MID(K30,SEARCH("晒单",K30)+LEN("晒单"),LEN(K30))&amp;"（需晒单后联系客服登记）",IF(ISNUMBER(SEARCH("包修",K30)),"【购机】"&amp;MID(K30,SEARCH("购机",K30)+LEN("购机"),LEN(K30)),IF(ISNUMBER(SEARCH("叠放支架",K30)),"【赠品】"&amp;MID(K30,SEARCH("购机",K30)+LEN("购机"),LEN(K30)),IF(ISNUMBER(SEARCH("秀图",K30)),"【秀图】"&amp;MID(K30,SEARCH("秀图",K30)+LEN("秀图"),LEN(K30)),"")))),IFERROR(LEFT(_xlpm.A,FIND("【",_xlpm.A,FIND("】",_xlpm.A)+1)-1)&amp;MID(_xlpm.A,FIND("】",_xlpm.A,FIND("】",_xlpm.A)+1)+1,LEN(_xlpm.A)),_xlpm.A))</f>
        <v/>
      </c>
      <c r="G30" s="18" t="str">
        <f>_xlfn.LET(_xlpm.A,IF(ISNUMBER(SEARCH("晒单",L30)),"【晒单】"&amp;MID(L30,SEARCH("晒单",L30)+LEN("晒单"),LEN(L30))&amp;"（需晒单后联系客服登记）",IF(ISNUMBER(SEARCH("包修",L30)),"【购机】"&amp;MID(L30,SEARCH("购机",L30)+LEN("购机"),LEN(L30)),IF(ISNUMBER(SEARCH("叠放支架",L30)),"【赠品】"&amp;MID(L30,SEARCH("购机",L30)+LEN("购机"),LEN(L30)),IF(ISNUMBER(SEARCH("秀图",L30)),"【秀图】"&amp;MID(L30,SEARCH("秀图",L30)+LEN("秀图"),LEN(L30)),"")))),IFERROR(LEFT(_xlpm.A,FIND("【",_xlpm.A,FIND("】",_xlpm.A)+1)-1)&amp;MID(_xlpm.A,FIND("】",_xlpm.A,FIND("】",_xlpm.A)+1)+1,LEN(_xlpm.A)),_xlpm.A))</f>
        <v/>
      </c>
      <c r="H30" s="18" t="str">
        <f>_xlfn.LET(_xlpm.A,IF(ISNUMBER(SEARCH("晒单",M30)),"【晒单】"&amp;MID(M30,SEARCH("晒单",M30)+LEN("晒单"),LEN(M30))&amp;"（需晒单后联系客服登记）",IF(ISNUMBER(SEARCH("包修",M30)),"【购机】"&amp;MID(M30,SEARCH("购机",M30)+LEN("购机"),LEN(M30)),IF(ISNUMBER(SEARCH("叠放支架",M30)),"【赠品】"&amp;MID(M30,SEARCH("购机",M30)+LEN("购机"),LEN(M30)),IF(ISNUMBER(SEARCH("秀图",M30)),"【秀图】"&amp;MID(M30,SEARCH("秀图",M30)+LEN("秀图"),LEN(M30)),"")))),IFERROR(LEFT(_xlpm.A,FIND("【",_xlpm.A,FIND("】",_xlpm.A)+1)-1)&amp;MID(_xlpm.A,FIND("】",_xlpm.A,FIND("】",_xlpm.A)+1)+1,LEN(_xlpm.A)),_xlpm.A))</f>
        <v/>
      </c>
      <c r="I30" s="18" t="str">
        <f>_xlfn.LET(_xlpm.A,IF(ISNUMBER(SEARCH("晒单",N30)),"【晒单】"&amp;MID(N30,SEARCH("晒单",N30)+LEN("晒单"),LEN(N30))&amp;"（需晒单后联系客服登记）",IF(ISNUMBER(SEARCH("包修",N30)),"【购机】"&amp;MID(N30,SEARCH("购机",N30)+LEN("购机"),LEN(N30)),IF(ISNUMBER(SEARCH("叠放支架",N30)),"【赠品】"&amp;MID(N30,SEARCH("购机",N30)+LEN("购机"),LEN(N30)),IF(ISNUMBER(SEARCH("秀图",N30)),"【秀图】"&amp;MID(N30,SEARCH("秀图",N30)+LEN("秀图"),LEN(N30)),"")))),IFERROR(LEFT(_xlpm.A,FIND("【",_xlpm.A,FIND("】",_xlpm.A)+1)-1)&amp;MID(_xlpm.A,FIND("】",_xlpm.A,FIND("】",_xlpm.A)+1)+1,LEN(_xlpm.A)),_xlpm.A))</f>
        <v/>
      </c>
      <c r="J30" s="18" t="str" cm="1">
        <f t="array" ref="J30">IFERROR(INDEX(_xlfn.TEXTSPLIT(_xlfn.XLOOKUP($A30&amp;$B30&amp;$C30,盘货信息!$A:$A&amp;盘货信息!$B:$B&amp;盘货信息!$C:$C,盘货信息!$S:$S),CHAR(10),,TRUE),1,COLUMN(A29)),"")</f>
        <v/>
      </c>
      <c r="K30" s="18" t="str" cm="1">
        <f t="array" ref="K30">IFERROR(INDEX(_xlfn.TEXTSPLIT(_xlfn.XLOOKUP($A30&amp;$B30&amp;$C30,盘货信息!$A:$A&amp;盘货信息!$B:$B&amp;盘货信息!$C:$C,盘货信息!$S:$S),CHAR(10),,TRUE),1,COLUMN(B29)),"")</f>
        <v/>
      </c>
      <c r="L30" s="18" t="str" cm="1">
        <f t="array" ref="L30">IFERROR(INDEX(_xlfn.TEXTSPLIT(_xlfn.XLOOKUP($A30&amp;$B30&amp;$C30,盘货信息!$A:$A&amp;盘货信息!$B:$B&amp;盘货信息!$C:$C,盘货信息!$S:$S),CHAR(10),,TRUE),1,COLUMN(C29)),"")</f>
        <v/>
      </c>
      <c r="M30" s="18" t="str" cm="1">
        <f t="array" ref="M30">IFERROR(INDEX(_xlfn.TEXTSPLIT(_xlfn.XLOOKUP($A30&amp;$B30&amp;$C30,盘货信息!$A:$A&amp;盘货信息!$B:$B&amp;盘货信息!$C:$C,盘货信息!$S:$S),CHAR(10),,TRUE),1,COLUMN(D29)),"")</f>
        <v/>
      </c>
      <c r="N30" s="18" t="str" cm="1">
        <f t="array" ref="N30">IFERROR(INDEX(_xlfn.TEXTSPLIT(_xlfn.XLOOKUP($A30&amp;$B30&amp;$C30,盘货信息!$A:$A&amp;盘货信息!$B:$B&amp;盘货信息!$C:$C,盘货信息!$S:$S),CHAR(10),,TRUE),1,COLUMN(E29)),"")</f>
        <v/>
      </c>
    </row>
    <row r="31" customHeight="1" spans="1:14">
      <c r="A31" s="17" t="str">
        <f>IF(盘货信息!A31="","",盘货信息!A31)</f>
        <v/>
      </c>
      <c r="B31" s="17" t="str">
        <f>IF(盘货信息!B31="","",盘货信息!B31)</f>
        <v/>
      </c>
      <c r="C31" s="18" t="str">
        <f>IF(盘货信息!C31="","",盘货信息!C31)</f>
        <v/>
      </c>
      <c r="D31" s="18" t="str">
        <f t="shared" si="0"/>
        <v/>
      </c>
      <c r="E31" s="18" t="str">
        <f>_xlfn.LET(_xlpm.A,IF(ISNUMBER(SEARCH("晒单",J31)),"【晒单】"&amp;MID(J31,SEARCH("晒单",J31)+LEN("晒单"),LEN(J31))&amp;"（需晒单后联系客服登记）",IF(ISNUMBER(SEARCH("包修",J31)),"【购机】"&amp;MID(J31,SEARCH("购机",J31)+LEN("购机"),LEN(J31)),IF(ISNUMBER(SEARCH("叠放支架",J31)),"【赠品】"&amp;MID(J31,SEARCH("购机",J31)+LEN("购机"),LEN(J31)),IF(ISNUMBER(SEARCH("秀图",J31)),"【秀图】"&amp;MID(J31,SEARCH("秀图",J31)+LEN("秀图"),LEN(J31)),"")))),IFERROR(LEFT(_xlpm.A,FIND("【",_xlpm.A,FIND("】",_xlpm.A)+1)-1)&amp;MID(_xlpm.A,FIND("】",_xlpm.A,FIND("】",_xlpm.A)+1)+1,LEN(_xlpm.A)),_xlpm.A))</f>
        <v/>
      </c>
      <c r="F31" s="18" t="str">
        <f>_xlfn.LET(_xlpm.A,IF(ISNUMBER(SEARCH("晒单",K31)),"【晒单】"&amp;MID(K31,SEARCH("晒单",K31)+LEN("晒单"),LEN(K31))&amp;"（需晒单后联系客服登记）",IF(ISNUMBER(SEARCH("包修",K31)),"【购机】"&amp;MID(K31,SEARCH("购机",K31)+LEN("购机"),LEN(K31)),IF(ISNUMBER(SEARCH("叠放支架",K31)),"【赠品】"&amp;MID(K31,SEARCH("购机",K31)+LEN("购机"),LEN(K31)),IF(ISNUMBER(SEARCH("秀图",K31)),"【秀图】"&amp;MID(K31,SEARCH("秀图",K31)+LEN("秀图"),LEN(K31)),"")))),IFERROR(LEFT(_xlpm.A,FIND("【",_xlpm.A,FIND("】",_xlpm.A)+1)-1)&amp;MID(_xlpm.A,FIND("】",_xlpm.A,FIND("】",_xlpm.A)+1)+1,LEN(_xlpm.A)),_xlpm.A))</f>
        <v/>
      </c>
      <c r="G31" s="18" t="str">
        <f>_xlfn.LET(_xlpm.A,IF(ISNUMBER(SEARCH("晒单",L31)),"【晒单】"&amp;MID(L31,SEARCH("晒单",L31)+LEN("晒单"),LEN(L31))&amp;"（需晒单后联系客服登记）",IF(ISNUMBER(SEARCH("包修",L31)),"【购机】"&amp;MID(L31,SEARCH("购机",L31)+LEN("购机"),LEN(L31)),IF(ISNUMBER(SEARCH("叠放支架",L31)),"【赠品】"&amp;MID(L31,SEARCH("购机",L31)+LEN("购机"),LEN(L31)),IF(ISNUMBER(SEARCH("秀图",L31)),"【秀图】"&amp;MID(L31,SEARCH("秀图",L31)+LEN("秀图"),LEN(L31)),"")))),IFERROR(LEFT(_xlpm.A,FIND("【",_xlpm.A,FIND("】",_xlpm.A)+1)-1)&amp;MID(_xlpm.A,FIND("】",_xlpm.A,FIND("】",_xlpm.A)+1)+1,LEN(_xlpm.A)),_xlpm.A))</f>
        <v/>
      </c>
      <c r="H31" s="18" t="str">
        <f>_xlfn.LET(_xlpm.A,IF(ISNUMBER(SEARCH("晒单",M31)),"【晒单】"&amp;MID(M31,SEARCH("晒单",M31)+LEN("晒单"),LEN(M31))&amp;"（需晒单后联系客服登记）",IF(ISNUMBER(SEARCH("包修",M31)),"【购机】"&amp;MID(M31,SEARCH("购机",M31)+LEN("购机"),LEN(M31)),IF(ISNUMBER(SEARCH("叠放支架",M31)),"【赠品】"&amp;MID(M31,SEARCH("购机",M31)+LEN("购机"),LEN(M31)),IF(ISNUMBER(SEARCH("秀图",M31)),"【秀图】"&amp;MID(M31,SEARCH("秀图",M31)+LEN("秀图"),LEN(M31)),"")))),IFERROR(LEFT(_xlpm.A,FIND("【",_xlpm.A,FIND("】",_xlpm.A)+1)-1)&amp;MID(_xlpm.A,FIND("】",_xlpm.A,FIND("】",_xlpm.A)+1)+1,LEN(_xlpm.A)),_xlpm.A))</f>
        <v/>
      </c>
      <c r="I31" s="18" t="str">
        <f>_xlfn.LET(_xlpm.A,IF(ISNUMBER(SEARCH("晒单",N31)),"【晒单】"&amp;MID(N31,SEARCH("晒单",N31)+LEN("晒单"),LEN(N31))&amp;"（需晒单后联系客服登记）",IF(ISNUMBER(SEARCH("包修",N31)),"【购机】"&amp;MID(N31,SEARCH("购机",N31)+LEN("购机"),LEN(N31)),IF(ISNUMBER(SEARCH("叠放支架",N31)),"【赠品】"&amp;MID(N31,SEARCH("购机",N31)+LEN("购机"),LEN(N31)),IF(ISNUMBER(SEARCH("秀图",N31)),"【秀图】"&amp;MID(N31,SEARCH("秀图",N31)+LEN("秀图"),LEN(N31)),"")))),IFERROR(LEFT(_xlpm.A,FIND("【",_xlpm.A,FIND("】",_xlpm.A)+1)-1)&amp;MID(_xlpm.A,FIND("】",_xlpm.A,FIND("】",_xlpm.A)+1)+1,LEN(_xlpm.A)),_xlpm.A))</f>
        <v/>
      </c>
      <c r="J31" s="18" t="str" cm="1">
        <f t="array" ref="J31">IFERROR(INDEX(_xlfn.TEXTSPLIT(_xlfn.XLOOKUP($A31&amp;$B31&amp;$C31,盘货信息!$A:$A&amp;盘货信息!$B:$B&amp;盘货信息!$C:$C,盘货信息!$S:$S),CHAR(10),,TRUE),1,COLUMN(A30)),"")</f>
        <v/>
      </c>
      <c r="K31" s="18" t="str" cm="1">
        <f t="array" ref="K31">IFERROR(INDEX(_xlfn.TEXTSPLIT(_xlfn.XLOOKUP($A31&amp;$B31&amp;$C31,盘货信息!$A:$A&amp;盘货信息!$B:$B&amp;盘货信息!$C:$C,盘货信息!$S:$S),CHAR(10),,TRUE),1,COLUMN(B30)),"")</f>
        <v/>
      </c>
      <c r="L31" s="18" t="str" cm="1">
        <f t="array" ref="L31">IFERROR(INDEX(_xlfn.TEXTSPLIT(_xlfn.XLOOKUP($A31&amp;$B31&amp;$C31,盘货信息!$A:$A&amp;盘货信息!$B:$B&amp;盘货信息!$C:$C,盘货信息!$S:$S),CHAR(10),,TRUE),1,COLUMN(C30)),"")</f>
        <v/>
      </c>
      <c r="M31" s="18" t="str" cm="1">
        <f t="array" ref="M31">IFERROR(INDEX(_xlfn.TEXTSPLIT(_xlfn.XLOOKUP($A31&amp;$B31&amp;$C31,盘货信息!$A:$A&amp;盘货信息!$B:$B&amp;盘货信息!$C:$C,盘货信息!$S:$S),CHAR(10),,TRUE),1,COLUMN(D30)),"")</f>
        <v/>
      </c>
      <c r="N31" s="18" t="str" cm="1">
        <f t="array" ref="N31">IFERROR(INDEX(_xlfn.TEXTSPLIT(_xlfn.XLOOKUP($A31&amp;$B31&amp;$C31,盘货信息!$A:$A&amp;盘货信息!$B:$B&amp;盘货信息!$C:$C,盘货信息!$S:$S),CHAR(10),,TRUE),1,COLUMN(E30)),"")</f>
        <v/>
      </c>
    </row>
    <row r="32" customHeight="1" spans="1:14">
      <c r="A32" s="17" t="str">
        <f>IF(盘货信息!A32="","",盘货信息!A32)</f>
        <v/>
      </c>
      <c r="B32" s="17" t="str">
        <f>IF(盘货信息!B32="","",盘货信息!B32)</f>
        <v/>
      </c>
      <c r="C32" s="18" t="str">
        <f>IF(盘货信息!C32="","",盘货信息!C32)</f>
        <v/>
      </c>
      <c r="D32" s="18" t="str">
        <f t="shared" si="0"/>
        <v/>
      </c>
      <c r="E32" s="18" t="str">
        <f>_xlfn.LET(_xlpm.A,IF(ISNUMBER(SEARCH("晒单",J32)),"【晒单】"&amp;MID(J32,SEARCH("晒单",J32)+LEN("晒单"),LEN(J32))&amp;"（需晒单后联系客服登记）",IF(ISNUMBER(SEARCH("包修",J32)),"【购机】"&amp;MID(J32,SEARCH("购机",J32)+LEN("购机"),LEN(J32)),IF(ISNUMBER(SEARCH("叠放支架",J32)),"【赠品】"&amp;MID(J32,SEARCH("购机",J32)+LEN("购机"),LEN(J32)),IF(ISNUMBER(SEARCH("秀图",J32)),"【秀图】"&amp;MID(J32,SEARCH("秀图",J32)+LEN("秀图"),LEN(J32)),"")))),IFERROR(LEFT(_xlpm.A,FIND("【",_xlpm.A,FIND("】",_xlpm.A)+1)-1)&amp;MID(_xlpm.A,FIND("】",_xlpm.A,FIND("】",_xlpm.A)+1)+1,LEN(_xlpm.A)),_xlpm.A))</f>
        <v/>
      </c>
      <c r="F32" s="18" t="str">
        <f>_xlfn.LET(_xlpm.A,IF(ISNUMBER(SEARCH("晒单",K32)),"【晒单】"&amp;MID(K32,SEARCH("晒单",K32)+LEN("晒单"),LEN(K32))&amp;"（需晒单后联系客服登记）",IF(ISNUMBER(SEARCH("包修",K32)),"【购机】"&amp;MID(K32,SEARCH("购机",K32)+LEN("购机"),LEN(K32)),IF(ISNUMBER(SEARCH("叠放支架",K32)),"【赠品】"&amp;MID(K32,SEARCH("购机",K32)+LEN("购机"),LEN(K32)),IF(ISNUMBER(SEARCH("秀图",K32)),"【秀图】"&amp;MID(K32,SEARCH("秀图",K32)+LEN("秀图"),LEN(K32)),"")))),IFERROR(LEFT(_xlpm.A,FIND("【",_xlpm.A,FIND("】",_xlpm.A)+1)-1)&amp;MID(_xlpm.A,FIND("】",_xlpm.A,FIND("】",_xlpm.A)+1)+1,LEN(_xlpm.A)),_xlpm.A))</f>
        <v/>
      </c>
      <c r="G32" s="18" t="str">
        <f>_xlfn.LET(_xlpm.A,IF(ISNUMBER(SEARCH("晒单",L32)),"【晒单】"&amp;MID(L32,SEARCH("晒单",L32)+LEN("晒单"),LEN(L32))&amp;"（需晒单后联系客服登记）",IF(ISNUMBER(SEARCH("包修",L32)),"【购机】"&amp;MID(L32,SEARCH("购机",L32)+LEN("购机"),LEN(L32)),IF(ISNUMBER(SEARCH("叠放支架",L32)),"【赠品】"&amp;MID(L32,SEARCH("购机",L32)+LEN("购机"),LEN(L32)),IF(ISNUMBER(SEARCH("秀图",L32)),"【秀图】"&amp;MID(L32,SEARCH("秀图",L32)+LEN("秀图"),LEN(L32)),"")))),IFERROR(LEFT(_xlpm.A,FIND("【",_xlpm.A,FIND("】",_xlpm.A)+1)-1)&amp;MID(_xlpm.A,FIND("】",_xlpm.A,FIND("】",_xlpm.A)+1)+1,LEN(_xlpm.A)),_xlpm.A))</f>
        <v/>
      </c>
      <c r="H32" s="18" t="str">
        <f>_xlfn.LET(_xlpm.A,IF(ISNUMBER(SEARCH("晒单",M32)),"【晒单】"&amp;MID(M32,SEARCH("晒单",M32)+LEN("晒单"),LEN(M32))&amp;"（需晒单后联系客服登记）",IF(ISNUMBER(SEARCH("包修",M32)),"【购机】"&amp;MID(M32,SEARCH("购机",M32)+LEN("购机"),LEN(M32)),IF(ISNUMBER(SEARCH("叠放支架",M32)),"【赠品】"&amp;MID(M32,SEARCH("购机",M32)+LEN("购机"),LEN(M32)),IF(ISNUMBER(SEARCH("秀图",M32)),"【秀图】"&amp;MID(M32,SEARCH("秀图",M32)+LEN("秀图"),LEN(M32)),"")))),IFERROR(LEFT(_xlpm.A,FIND("【",_xlpm.A,FIND("】",_xlpm.A)+1)-1)&amp;MID(_xlpm.A,FIND("】",_xlpm.A,FIND("】",_xlpm.A)+1)+1,LEN(_xlpm.A)),_xlpm.A))</f>
        <v/>
      </c>
      <c r="I32" s="18" t="str">
        <f>_xlfn.LET(_xlpm.A,IF(ISNUMBER(SEARCH("晒单",N32)),"【晒单】"&amp;MID(N32,SEARCH("晒单",N32)+LEN("晒单"),LEN(N32))&amp;"（需晒单后联系客服登记）",IF(ISNUMBER(SEARCH("包修",N32)),"【购机】"&amp;MID(N32,SEARCH("购机",N32)+LEN("购机"),LEN(N32)),IF(ISNUMBER(SEARCH("叠放支架",N32)),"【赠品】"&amp;MID(N32,SEARCH("购机",N32)+LEN("购机"),LEN(N32)),IF(ISNUMBER(SEARCH("秀图",N32)),"【秀图】"&amp;MID(N32,SEARCH("秀图",N32)+LEN("秀图"),LEN(N32)),"")))),IFERROR(LEFT(_xlpm.A,FIND("【",_xlpm.A,FIND("】",_xlpm.A)+1)-1)&amp;MID(_xlpm.A,FIND("】",_xlpm.A,FIND("】",_xlpm.A)+1)+1,LEN(_xlpm.A)),_xlpm.A))</f>
        <v/>
      </c>
      <c r="J32" s="18" t="str" cm="1">
        <f t="array" ref="J32">IFERROR(INDEX(_xlfn.TEXTSPLIT(_xlfn.XLOOKUP($A32&amp;$B32&amp;$C32,盘货信息!$A:$A&amp;盘货信息!$B:$B&amp;盘货信息!$C:$C,盘货信息!$S:$S),CHAR(10),,TRUE),1,COLUMN(A31)),"")</f>
        <v/>
      </c>
      <c r="K32" s="18" t="str" cm="1">
        <f t="array" ref="K32">IFERROR(INDEX(_xlfn.TEXTSPLIT(_xlfn.XLOOKUP($A32&amp;$B32&amp;$C32,盘货信息!$A:$A&amp;盘货信息!$B:$B&amp;盘货信息!$C:$C,盘货信息!$S:$S),CHAR(10),,TRUE),1,COLUMN(B31)),"")</f>
        <v/>
      </c>
      <c r="L32" s="18" t="str" cm="1">
        <f t="array" ref="L32">IFERROR(INDEX(_xlfn.TEXTSPLIT(_xlfn.XLOOKUP($A32&amp;$B32&amp;$C32,盘货信息!$A:$A&amp;盘货信息!$B:$B&amp;盘货信息!$C:$C,盘货信息!$S:$S),CHAR(10),,TRUE),1,COLUMN(C31)),"")</f>
        <v/>
      </c>
      <c r="M32" s="18" t="str" cm="1">
        <f t="array" ref="M32">IFERROR(INDEX(_xlfn.TEXTSPLIT(_xlfn.XLOOKUP($A32&amp;$B32&amp;$C32,盘货信息!$A:$A&amp;盘货信息!$B:$B&amp;盘货信息!$C:$C,盘货信息!$S:$S),CHAR(10),,TRUE),1,COLUMN(D31)),"")</f>
        <v/>
      </c>
      <c r="N32" s="18" t="str" cm="1">
        <f t="array" ref="N32">IFERROR(INDEX(_xlfn.TEXTSPLIT(_xlfn.XLOOKUP($A32&amp;$B32&amp;$C32,盘货信息!$A:$A&amp;盘货信息!$B:$B&amp;盘货信息!$C:$C,盘货信息!$S:$S),CHAR(10),,TRUE),1,COLUMN(E31)),"")</f>
        <v/>
      </c>
    </row>
    <row r="33" customHeight="1" spans="1:14">
      <c r="A33" s="17" t="str">
        <f>IF(盘货信息!A33="","",盘货信息!A33)</f>
        <v/>
      </c>
      <c r="B33" s="17" t="str">
        <f>IF(盘货信息!B33="","",盘货信息!B33)</f>
        <v/>
      </c>
      <c r="C33" s="18" t="str">
        <f>IF(盘货信息!C33="","",盘货信息!C33)</f>
        <v/>
      </c>
      <c r="D33" s="18" t="str">
        <f t="shared" si="0"/>
        <v/>
      </c>
      <c r="E33" s="18" t="str">
        <f>_xlfn.LET(_xlpm.A,IF(ISNUMBER(SEARCH("晒单",J33)),"【晒单】"&amp;MID(J33,SEARCH("晒单",J33)+LEN("晒单"),LEN(J33))&amp;"（需晒单后联系客服登记）",IF(ISNUMBER(SEARCH("包修",J33)),"【购机】"&amp;MID(J33,SEARCH("购机",J33)+LEN("购机"),LEN(J33)),IF(ISNUMBER(SEARCH("叠放支架",J33)),"【赠品】"&amp;MID(J33,SEARCH("购机",J33)+LEN("购机"),LEN(J33)),IF(ISNUMBER(SEARCH("秀图",J33)),"【秀图】"&amp;MID(J33,SEARCH("秀图",J33)+LEN("秀图"),LEN(J33)),"")))),IFERROR(LEFT(_xlpm.A,FIND("【",_xlpm.A,FIND("】",_xlpm.A)+1)-1)&amp;MID(_xlpm.A,FIND("】",_xlpm.A,FIND("】",_xlpm.A)+1)+1,LEN(_xlpm.A)),_xlpm.A))</f>
        <v/>
      </c>
      <c r="F33" s="18" t="str">
        <f>_xlfn.LET(_xlpm.A,IF(ISNUMBER(SEARCH("晒单",K33)),"【晒单】"&amp;MID(K33,SEARCH("晒单",K33)+LEN("晒单"),LEN(K33))&amp;"（需晒单后联系客服登记）",IF(ISNUMBER(SEARCH("包修",K33)),"【购机】"&amp;MID(K33,SEARCH("购机",K33)+LEN("购机"),LEN(K33)),IF(ISNUMBER(SEARCH("叠放支架",K33)),"【赠品】"&amp;MID(K33,SEARCH("购机",K33)+LEN("购机"),LEN(K33)),IF(ISNUMBER(SEARCH("秀图",K33)),"【秀图】"&amp;MID(K33,SEARCH("秀图",K33)+LEN("秀图"),LEN(K33)),"")))),IFERROR(LEFT(_xlpm.A,FIND("【",_xlpm.A,FIND("】",_xlpm.A)+1)-1)&amp;MID(_xlpm.A,FIND("】",_xlpm.A,FIND("】",_xlpm.A)+1)+1,LEN(_xlpm.A)),_xlpm.A))</f>
        <v/>
      </c>
      <c r="G33" s="18" t="str">
        <f>_xlfn.LET(_xlpm.A,IF(ISNUMBER(SEARCH("晒单",L33)),"【晒单】"&amp;MID(L33,SEARCH("晒单",L33)+LEN("晒单"),LEN(L33))&amp;"（需晒单后联系客服登记）",IF(ISNUMBER(SEARCH("包修",L33)),"【购机】"&amp;MID(L33,SEARCH("购机",L33)+LEN("购机"),LEN(L33)),IF(ISNUMBER(SEARCH("叠放支架",L33)),"【赠品】"&amp;MID(L33,SEARCH("购机",L33)+LEN("购机"),LEN(L33)),IF(ISNUMBER(SEARCH("秀图",L33)),"【秀图】"&amp;MID(L33,SEARCH("秀图",L33)+LEN("秀图"),LEN(L33)),"")))),IFERROR(LEFT(_xlpm.A,FIND("【",_xlpm.A,FIND("】",_xlpm.A)+1)-1)&amp;MID(_xlpm.A,FIND("】",_xlpm.A,FIND("】",_xlpm.A)+1)+1,LEN(_xlpm.A)),_xlpm.A))</f>
        <v/>
      </c>
      <c r="H33" s="18" t="str">
        <f>_xlfn.LET(_xlpm.A,IF(ISNUMBER(SEARCH("晒单",M33)),"【晒单】"&amp;MID(M33,SEARCH("晒单",M33)+LEN("晒单"),LEN(M33))&amp;"（需晒单后联系客服登记）",IF(ISNUMBER(SEARCH("包修",M33)),"【购机】"&amp;MID(M33,SEARCH("购机",M33)+LEN("购机"),LEN(M33)),IF(ISNUMBER(SEARCH("叠放支架",M33)),"【赠品】"&amp;MID(M33,SEARCH("购机",M33)+LEN("购机"),LEN(M33)),IF(ISNUMBER(SEARCH("秀图",M33)),"【秀图】"&amp;MID(M33,SEARCH("秀图",M33)+LEN("秀图"),LEN(M33)),"")))),IFERROR(LEFT(_xlpm.A,FIND("【",_xlpm.A,FIND("】",_xlpm.A)+1)-1)&amp;MID(_xlpm.A,FIND("】",_xlpm.A,FIND("】",_xlpm.A)+1)+1,LEN(_xlpm.A)),_xlpm.A))</f>
        <v/>
      </c>
      <c r="I33" s="18" t="str">
        <f>_xlfn.LET(_xlpm.A,IF(ISNUMBER(SEARCH("晒单",N33)),"【晒单】"&amp;MID(N33,SEARCH("晒单",N33)+LEN("晒单"),LEN(N33))&amp;"（需晒单后联系客服登记）",IF(ISNUMBER(SEARCH("包修",N33)),"【购机】"&amp;MID(N33,SEARCH("购机",N33)+LEN("购机"),LEN(N33)),IF(ISNUMBER(SEARCH("叠放支架",N33)),"【赠品】"&amp;MID(N33,SEARCH("购机",N33)+LEN("购机"),LEN(N33)),IF(ISNUMBER(SEARCH("秀图",N33)),"【秀图】"&amp;MID(N33,SEARCH("秀图",N33)+LEN("秀图"),LEN(N33)),"")))),IFERROR(LEFT(_xlpm.A,FIND("【",_xlpm.A,FIND("】",_xlpm.A)+1)-1)&amp;MID(_xlpm.A,FIND("】",_xlpm.A,FIND("】",_xlpm.A)+1)+1,LEN(_xlpm.A)),_xlpm.A))</f>
        <v/>
      </c>
      <c r="J33" s="18" t="str" cm="1">
        <f t="array" ref="J33">IFERROR(INDEX(_xlfn.TEXTSPLIT(_xlfn.XLOOKUP($A33&amp;$B33&amp;$C33,盘货信息!$A:$A&amp;盘货信息!$B:$B&amp;盘货信息!$C:$C,盘货信息!$S:$S),CHAR(10),,TRUE),1,COLUMN(A32)),"")</f>
        <v/>
      </c>
      <c r="K33" s="18" t="str" cm="1">
        <f t="array" ref="K33">IFERROR(INDEX(_xlfn.TEXTSPLIT(_xlfn.XLOOKUP($A33&amp;$B33&amp;$C33,盘货信息!$A:$A&amp;盘货信息!$B:$B&amp;盘货信息!$C:$C,盘货信息!$S:$S),CHAR(10),,TRUE),1,COLUMN(B32)),"")</f>
        <v/>
      </c>
      <c r="L33" s="18" t="str" cm="1">
        <f t="array" ref="L33">IFERROR(INDEX(_xlfn.TEXTSPLIT(_xlfn.XLOOKUP($A33&amp;$B33&amp;$C33,盘货信息!$A:$A&amp;盘货信息!$B:$B&amp;盘货信息!$C:$C,盘货信息!$S:$S),CHAR(10),,TRUE),1,COLUMN(C32)),"")</f>
        <v/>
      </c>
      <c r="M33" s="18" t="str" cm="1">
        <f t="array" ref="M33">IFERROR(INDEX(_xlfn.TEXTSPLIT(_xlfn.XLOOKUP($A33&amp;$B33&amp;$C33,盘货信息!$A:$A&amp;盘货信息!$B:$B&amp;盘货信息!$C:$C,盘货信息!$S:$S),CHAR(10),,TRUE),1,COLUMN(D32)),"")</f>
        <v/>
      </c>
      <c r="N33" s="18" t="str" cm="1">
        <f t="array" ref="N33">IFERROR(INDEX(_xlfn.TEXTSPLIT(_xlfn.XLOOKUP($A33&amp;$B33&amp;$C33,盘货信息!$A:$A&amp;盘货信息!$B:$B&amp;盘货信息!$C:$C,盘货信息!$S:$S),CHAR(10),,TRUE),1,COLUMN(E32)),"")</f>
        <v/>
      </c>
    </row>
    <row r="34" customHeight="1" spans="1:14">
      <c r="A34" s="17" t="str">
        <f>IF(盘货信息!A34="","",盘货信息!A34)</f>
        <v/>
      </c>
      <c r="B34" s="17" t="str">
        <f>IF(盘货信息!B34="","",盘货信息!B34)</f>
        <v/>
      </c>
      <c r="C34" s="18" t="str">
        <f>IF(盘货信息!C34="","",盘货信息!C34)</f>
        <v/>
      </c>
      <c r="D34" s="18" t="str">
        <f t="shared" si="0"/>
        <v/>
      </c>
      <c r="E34" s="18" t="str">
        <f>_xlfn.LET(_xlpm.A,IF(ISNUMBER(SEARCH("晒单",J34)),"【晒单】"&amp;MID(J34,SEARCH("晒单",J34)+LEN("晒单"),LEN(J34))&amp;"（需晒单后联系客服登记）",IF(ISNUMBER(SEARCH("包修",J34)),"【购机】"&amp;MID(J34,SEARCH("购机",J34)+LEN("购机"),LEN(J34)),IF(ISNUMBER(SEARCH("叠放支架",J34)),"【赠品】"&amp;MID(J34,SEARCH("购机",J34)+LEN("购机"),LEN(J34)),IF(ISNUMBER(SEARCH("秀图",J34)),"【秀图】"&amp;MID(J34,SEARCH("秀图",J34)+LEN("秀图"),LEN(J34)),"")))),IFERROR(LEFT(_xlpm.A,FIND("【",_xlpm.A,FIND("】",_xlpm.A)+1)-1)&amp;MID(_xlpm.A,FIND("】",_xlpm.A,FIND("】",_xlpm.A)+1)+1,LEN(_xlpm.A)),_xlpm.A))</f>
        <v/>
      </c>
      <c r="F34" s="18" t="str">
        <f>_xlfn.LET(_xlpm.A,IF(ISNUMBER(SEARCH("晒单",K34)),"【晒单】"&amp;MID(K34,SEARCH("晒单",K34)+LEN("晒单"),LEN(K34))&amp;"（需晒单后联系客服登记）",IF(ISNUMBER(SEARCH("包修",K34)),"【购机】"&amp;MID(K34,SEARCH("购机",K34)+LEN("购机"),LEN(K34)),IF(ISNUMBER(SEARCH("叠放支架",K34)),"【赠品】"&amp;MID(K34,SEARCH("购机",K34)+LEN("购机"),LEN(K34)),IF(ISNUMBER(SEARCH("秀图",K34)),"【秀图】"&amp;MID(K34,SEARCH("秀图",K34)+LEN("秀图"),LEN(K34)),"")))),IFERROR(LEFT(_xlpm.A,FIND("【",_xlpm.A,FIND("】",_xlpm.A)+1)-1)&amp;MID(_xlpm.A,FIND("】",_xlpm.A,FIND("】",_xlpm.A)+1)+1,LEN(_xlpm.A)),_xlpm.A))</f>
        <v/>
      </c>
      <c r="G34" s="18" t="str">
        <f>_xlfn.LET(_xlpm.A,IF(ISNUMBER(SEARCH("晒单",L34)),"【晒单】"&amp;MID(L34,SEARCH("晒单",L34)+LEN("晒单"),LEN(L34))&amp;"（需晒单后联系客服登记）",IF(ISNUMBER(SEARCH("包修",L34)),"【购机】"&amp;MID(L34,SEARCH("购机",L34)+LEN("购机"),LEN(L34)),IF(ISNUMBER(SEARCH("叠放支架",L34)),"【赠品】"&amp;MID(L34,SEARCH("购机",L34)+LEN("购机"),LEN(L34)),IF(ISNUMBER(SEARCH("秀图",L34)),"【秀图】"&amp;MID(L34,SEARCH("秀图",L34)+LEN("秀图"),LEN(L34)),"")))),IFERROR(LEFT(_xlpm.A,FIND("【",_xlpm.A,FIND("】",_xlpm.A)+1)-1)&amp;MID(_xlpm.A,FIND("】",_xlpm.A,FIND("】",_xlpm.A)+1)+1,LEN(_xlpm.A)),_xlpm.A))</f>
        <v/>
      </c>
      <c r="H34" s="18" t="str">
        <f>_xlfn.LET(_xlpm.A,IF(ISNUMBER(SEARCH("晒单",M34)),"【晒单】"&amp;MID(M34,SEARCH("晒单",M34)+LEN("晒单"),LEN(M34))&amp;"（需晒单后联系客服登记）",IF(ISNUMBER(SEARCH("包修",M34)),"【购机】"&amp;MID(M34,SEARCH("购机",M34)+LEN("购机"),LEN(M34)),IF(ISNUMBER(SEARCH("叠放支架",M34)),"【赠品】"&amp;MID(M34,SEARCH("购机",M34)+LEN("购机"),LEN(M34)),IF(ISNUMBER(SEARCH("秀图",M34)),"【秀图】"&amp;MID(M34,SEARCH("秀图",M34)+LEN("秀图"),LEN(M34)),"")))),IFERROR(LEFT(_xlpm.A,FIND("【",_xlpm.A,FIND("】",_xlpm.A)+1)-1)&amp;MID(_xlpm.A,FIND("】",_xlpm.A,FIND("】",_xlpm.A)+1)+1,LEN(_xlpm.A)),_xlpm.A))</f>
        <v/>
      </c>
      <c r="I34" s="18" t="str">
        <f>_xlfn.LET(_xlpm.A,IF(ISNUMBER(SEARCH("晒单",N34)),"【晒单】"&amp;MID(N34,SEARCH("晒单",N34)+LEN("晒单"),LEN(N34))&amp;"（需晒单后联系客服登记）",IF(ISNUMBER(SEARCH("包修",N34)),"【购机】"&amp;MID(N34,SEARCH("购机",N34)+LEN("购机"),LEN(N34)),IF(ISNUMBER(SEARCH("叠放支架",N34)),"【赠品】"&amp;MID(N34,SEARCH("购机",N34)+LEN("购机"),LEN(N34)),IF(ISNUMBER(SEARCH("秀图",N34)),"【秀图】"&amp;MID(N34,SEARCH("秀图",N34)+LEN("秀图"),LEN(N34)),"")))),IFERROR(LEFT(_xlpm.A,FIND("【",_xlpm.A,FIND("】",_xlpm.A)+1)-1)&amp;MID(_xlpm.A,FIND("】",_xlpm.A,FIND("】",_xlpm.A)+1)+1,LEN(_xlpm.A)),_xlpm.A))</f>
        <v/>
      </c>
      <c r="J34" s="18" t="str" cm="1">
        <f t="array" ref="J34">IFERROR(INDEX(_xlfn.TEXTSPLIT(_xlfn.XLOOKUP($A34&amp;$B34&amp;$C34,盘货信息!$A:$A&amp;盘货信息!$B:$B&amp;盘货信息!$C:$C,盘货信息!$S:$S),CHAR(10),,TRUE),1,COLUMN(A33)),"")</f>
        <v/>
      </c>
      <c r="K34" s="18" t="str" cm="1">
        <f t="array" ref="K34">IFERROR(INDEX(_xlfn.TEXTSPLIT(_xlfn.XLOOKUP($A34&amp;$B34&amp;$C34,盘货信息!$A:$A&amp;盘货信息!$B:$B&amp;盘货信息!$C:$C,盘货信息!$S:$S),CHAR(10),,TRUE),1,COLUMN(B33)),"")</f>
        <v/>
      </c>
      <c r="L34" s="18" t="str" cm="1">
        <f t="array" ref="L34">IFERROR(INDEX(_xlfn.TEXTSPLIT(_xlfn.XLOOKUP($A34&amp;$B34&amp;$C34,盘货信息!$A:$A&amp;盘货信息!$B:$B&amp;盘货信息!$C:$C,盘货信息!$S:$S),CHAR(10),,TRUE),1,COLUMN(C33)),"")</f>
        <v/>
      </c>
      <c r="M34" s="18" t="str" cm="1">
        <f t="array" ref="M34">IFERROR(INDEX(_xlfn.TEXTSPLIT(_xlfn.XLOOKUP($A34&amp;$B34&amp;$C34,盘货信息!$A:$A&amp;盘货信息!$B:$B&amp;盘货信息!$C:$C,盘货信息!$S:$S),CHAR(10),,TRUE),1,COLUMN(D33)),"")</f>
        <v/>
      </c>
      <c r="N34" s="18" t="str" cm="1">
        <f t="array" ref="N34">IFERROR(INDEX(_xlfn.TEXTSPLIT(_xlfn.XLOOKUP($A34&amp;$B34&amp;$C34,盘货信息!$A:$A&amp;盘货信息!$B:$B&amp;盘货信息!$C:$C,盘货信息!$S:$S),CHAR(10),,TRUE),1,COLUMN(E33)),"")</f>
        <v/>
      </c>
    </row>
    <row r="35" customHeight="1" spans="1:14">
      <c r="A35" s="17" t="str">
        <f>IF(盘货信息!A35="","",盘货信息!A35)</f>
        <v/>
      </c>
      <c r="B35" s="17" t="str">
        <f>IF(盘货信息!B35="","",盘货信息!B35)</f>
        <v/>
      </c>
      <c r="C35" s="18" t="str">
        <f>IF(盘货信息!C35="","",盘货信息!C35)</f>
        <v/>
      </c>
      <c r="D35" s="18" t="str">
        <f t="shared" si="0"/>
        <v/>
      </c>
      <c r="E35" s="18" t="str">
        <f>_xlfn.LET(_xlpm.A,IF(ISNUMBER(SEARCH("晒单",J35)),"【晒单】"&amp;MID(J35,SEARCH("晒单",J35)+LEN("晒单"),LEN(J35))&amp;"（需晒单后联系客服登记）",IF(ISNUMBER(SEARCH("包修",J35)),"【购机】"&amp;MID(J35,SEARCH("购机",J35)+LEN("购机"),LEN(J35)),IF(ISNUMBER(SEARCH("叠放支架",J35)),"【赠品】"&amp;MID(J35,SEARCH("购机",J35)+LEN("购机"),LEN(J35)),IF(ISNUMBER(SEARCH("秀图",J35)),"【秀图】"&amp;MID(J35,SEARCH("秀图",J35)+LEN("秀图"),LEN(J35)),"")))),IFERROR(LEFT(_xlpm.A,FIND("【",_xlpm.A,FIND("】",_xlpm.A)+1)-1)&amp;MID(_xlpm.A,FIND("】",_xlpm.A,FIND("】",_xlpm.A)+1)+1,LEN(_xlpm.A)),_xlpm.A))</f>
        <v/>
      </c>
      <c r="F35" s="18" t="str">
        <f>_xlfn.LET(_xlpm.A,IF(ISNUMBER(SEARCH("晒单",K35)),"【晒单】"&amp;MID(K35,SEARCH("晒单",K35)+LEN("晒单"),LEN(K35))&amp;"（需晒单后联系客服登记）",IF(ISNUMBER(SEARCH("包修",K35)),"【购机】"&amp;MID(K35,SEARCH("购机",K35)+LEN("购机"),LEN(K35)),IF(ISNUMBER(SEARCH("叠放支架",K35)),"【赠品】"&amp;MID(K35,SEARCH("购机",K35)+LEN("购机"),LEN(K35)),IF(ISNUMBER(SEARCH("秀图",K35)),"【秀图】"&amp;MID(K35,SEARCH("秀图",K35)+LEN("秀图"),LEN(K35)),"")))),IFERROR(LEFT(_xlpm.A,FIND("【",_xlpm.A,FIND("】",_xlpm.A)+1)-1)&amp;MID(_xlpm.A,FIND("】",_xlpm.A,FIND("】",_xlpm.A)+1)+1,LEN(_xlpm.A)),_xlpm.A))</f>
        <v/>
      </c>
      <c r="G35" s="18" t="str">
        <f>_xlfn.LET(_xlpm.A,IF(ISNUMBER(SEARCH("晒单",L35)),"【晒单】"&amp;MID(L35,SEARCH("晒单",L35)+LEN("晒单"),LEN(L35))&amp;"（需晒单后联系客服登记）",IF(ISNUMBER(SEARCH("包修",L35)),"【购机】"&amp;MID(L35,SEARCH("购机",L35)+LEN("购机"),LEN(L35)),IF(ISNUMBER(SEARCH("叠放支架",L35)),"【赠品】"&amp;MID(L35,SEARCH("购机",L35)+LEN("购机"),LEN(L35)),IF(ISNUMBER(SEARCH("秀图",L35)),"【秀图】"&amp;MID(L35,SEARCH("秀图",L35)+LEN("秀图"),LEN(L35)),"")))),IFERROR(LEFT(_xlpm.A,FIND("【",_xlpm.A,FIND("】",_xlpm.A)+1)-1)&amp;MID(_xlpm.A,FIND("】",_xlpm.A,FIND("】",_xlpm.A)+1)+1,LEN(_xlpm.A)),_xlpm.A))</f>
        <v/>
      </c>
      <c r="H35" s="18" t="str">
        <f>_xlfn.LET(_xlpm.A,IF(ISNUMBER(SEARCH("晒单",M35)),"【晒单】"&amp;MID(M35,SEARCH("晒单",M35)+LEN("晒单"),LEN(M35))&amp;"（需晒单后联系客服登记）",IF(ISNUMBER(SEARCH("包修",M35)),"【购机】"&amp;MID(M35,SEARCH("购机",M35)+LEN("购机"),LEN(M35)),IF(ISNUMBER(SEARCH("叠放支架",M35)),"【赠品】"&amp;MID(M35,SEARCH("购机",M35)+LEN("购机"),LEN(M35)),IF(ISNUMBER(SEARCH("秀图",M35)),"【秀图】"&amp;MID(M35,SEARCH("秀图",M35)+LEN("秀图"),LEN(M35)),"")))),IFERROR(LEFT(_xlpm.A,FIND("【",_xlpm.A,FIND("】",_xlpm.A)+1)-1)&amp;MID(_xlpm.A,FIND("】",_xlpm.A,FIND("】",_xlpm.A)+1)+1,LEN(_xlpm.A)),_xlpm.A))</f>
        <v/>
      </c>
      <c r="I35" s="18" t="str">
        <f>_xlfn.LET(_xlpm.A,IF(ISNUMBER(SEARCH("晒单",N35)),"【晒单】"&amp;MID(N35,SEARCH("晒单",N35)+LEN("晒单"),LEN(N35))&amp;"（需晒单后联系客服登记）",IF(ISNUMBER(SEARCH("包修",N35)),"【购机】"&amp;MID(N35,SEARCH("购机",N35)+LEN("购机"),LEN(N35)),IF(ISNUMBER(SEARCH("叠放支架",N35)),"【赠品】"&amp;MID(N35,SEARCH("购机",N35)+LEN("购机"),LEN(N35)),IF(ISNUMBER(SEARCH("秀图",N35)),"【秀图】"&amp;MID(N35,SEARCH("秀图",N35)+LEN("秀图"),LEN(N35)),"")))),IFERROR(LEFT(_xlpm.A,FIND("【",_xlpm.A,FIND("】",_xlpm.A)+1)-1)&amp;MID(_xlpm.A,FIND("】",_xlpm.A,FIND("】",_xlpm.A)+1)+1,LEN(_xlpm.A)),_xlpm.A))</f>
        <v/>
      </c>
      <c r="J35" s="18" t="str" cm="1">
        <f t="array" ref="J35">IFERROR(INDEX(_xlfn.TEXTSPLIT(_xlfn.XLOOKUP($A35&amp;$B35&amp;$C35,盘货信息!$A:$A&amp;盘货信息!$B:$B&amp;盘货信息!$C:$C,盘货信息!$S:$S),CHAR(10),,TRUE),1,COLUMN(A34)),"")</f>
        <v/>
      </c>
      <c r="K35" s="18" t="str" cm="1">
        <f t="array" ref="K35">IFERROR(INDEX(_xlfn.TEXTSPLIT(_xlfn.XLOOKUP($A35&amp;$B35&amp;$C35,盘货信息!$A:$A&amp;盘货信息!$B:$B&amp;盘货信息!$C:$C,盘货信息!$S:$S),CHAR(10),,TRUE),1,COLUMN(B34)),"")</f>
        <v/>
      </c>
      <c r="L35" s="18" t="str" cm="1">
        <f t="array" ref="L35">IFERROR(INDEX(_xlfn.TEXTSPLIT(_xlfn.XLOOKUP($A35&amp;$B35&amp;$C35,盘货信息!$A:$A&amp;盘货信息!$B:$B&amp;盘货信息!$C:$C,盘货信息!$S:$S),CHAR(10),,TRUE),1,COLUMN(C34)),"")</f>
        <v/>
      </c>
      <c r="M35" s="18" t="str" cm="1">
        <f t="array" ref="M35">IFERROR(INDEX(_xlfn.TEXTSPLIT(_xlfn.XLOOKUP($A35&amp;$B35&amp;$C35,盘货信息!$A:$A&amp;盘货信息!$B:$B&amp;盘货信息!$C:$C,盘货信息!$S:$S),CHAR(10),,TRUE),1,COLUMN(D34)),"")</f>
        <v/>
      </c>
      <c r="N35" s="18" t="str" cm="1">
        <f t="array" ref="N35">IFERROR(INDEX(_xlfn.TEXTSPLIT(_xlfn.XLOOKUP($A35&amp;$B35&amp;$C35,盘货信息!$A:$A&amp;盘货信息!$B:$B&amp;盘货信息!$C:$C,盘货信息!$S:$S),CHAR(10),,TRUE),1,COLUMN(E34)),"")</f>
        <v/>
      </c>
    </row>
    <row r="36" customHeight="1" spans="1:14">
      <c r="A36" s="17" t="str">
        <f>IF(盘货信息!A36="","",盘货信息!A36)</f>
        <v/>
      </c>
      <c r="B36" s="17" t="str">
        <f>IF(盘货信息!B36="","",盘货信息!B36)</f>
        <v/>
      </c>
      <c r="C36" s="18" t="str">
        <f>IF(盘货信息!C36="","",盘货信息!C36)</f>
        <v/>
      </c>
      <c r="D36" s="18" t="str">
        <f t="shared" si="0"/>
        <v/>
      </c>
      <c r="E36" s="18" t="str">
        <f>_xlfn.LET(_xlpm.A,IF(ISNUMBER(SEARCH("晒单",J36)),"【晒单】"&amp;MID(J36,SEARCH("晒单",J36)+LEN("晒单"),LEN(J36))&amp;"（需晒单后联系客服登记）",IF(ISNUMBER(SEARCH("包修",J36)),"【购机】"&amp;MID(J36,SEARCH("购机",J36)+LEN("购机"),LEN(J36)),IF(ISNUMBER(SEARCH("叠放支架",J36)),"【赠品】"&amp;MID(J36,SEARCH("购机",J36)+LEN("购机"),LEN(J36)),IF(ISNUMBER(SEARCH("秀图",J36)),"【秀图】"&amp;MID(J36,SEARCH("秀图",J36)+LEN("秀图"),LEN(J36)),"")))),IFERROR(LEFT(_xlpm.A,FIND("【",_xlpm.A,FIND("】",_xlpm.A)+1)-1)&amp;MID(_xlpm.A,FIND("】",_xlpm.A,FIND("】",_xlpm.A)+1)+1,LEN(_xlpm.A)),_xlpm.A))</f>
        <v/>
      </c>
      <c r="F36" s="18" t="str">
        <f>_xlfn.LET(_xlpm.A,IF(ISNUMBER(SEARCH("晒单",K36)),"【晒单】"&amp;MID(K36,SEARCH("晒单",K36)+LEN("晒单"),LEN(K36))&amp;"（需晒单后联系客服登记）",IF(ISNUMBER(SEARCH("包修",K36)),"【购机】"&amp;MID(K36,SEARCH("购机",K36)+LEN("购机"),LEN(K36)),IF(ISNUMBER(SEARCH("叠放支架",K36)),"【赠品】"&amp;MID(K36,SEARCH("购机",K36)+LEN("购机"),LEN(K36)),IF(ISNUMBER(SEARCH("秀图",K36)),"【秀图】"&amp;MID(K36,SEARCH("秀图",K36)+LEN("秀图"),LEN(K36)),"")))),IFERROR(LEFT(_xlpm.A,FIND("【",_xlpm.A,FIND("】",_xlpm.A)+1)-1)&amp;MID(_xlpm.A,FIND("】",_xlpm.A,FIND("】",_xlpm.A)+1)+1,LEN(_xlpm.A)),_xlpm.A))</f>
        <v/>
      </c>
      <c r="G36" s="18" t="str">
        <f>_xlfn.LET(_xlpm.A,IF(ISNUMBER(SEARCH("晒单",L36)),"【晒单】"&amp;MID(L36,SEARCH("晒单",L36)+LEN("晒单"),LEN(L36))&amp;"（需晒单后联系客服登记）",IF(ISNUMBER(SEARCH("包修",L36)),"【购机】"&amp;MID(L36,SEARCH("购机",L36)+LEN("购机"),LEN(L36)),IF(ISNUMBER(SEARCH("叠放支架",L36)),"【赠品】"&amp;MID(L36,SEARCH("购机",L36)+LEN("购机"),LEN(L36)),IF(ISNUMBER(SEARCH("秀图",L36)),"【秀图】"&amp;MID(L36,SEARCH("秀图",L36)+LEN("秀图"),LEN(L36)),"")))),IFERROR(LEFT(_xlpm.A,FIND("【",_xlpm.A,FIND("】",_xlpm.A)+1)-1)&amp;MID(_xlpm.A,FIND("】",_xlpm.A,FIND("】",_xlpm.A)+1)+1,LEN(_xlpm.A)),_xlpm.A))</f>
        <v/>
      </c>
      <c r="H36" s="18" t="str">
        <f>_xlfn.LET(_xlpm.A,IF(ISNUMBER(SEARCH("晒单",M36)),"【晒单】"&amp;MID(M36,SEARCH("晒单",M36)+LEN("晒单"),LEN(M36))&amp;"（需晒单后联系客服登记）",IF(ISNUMBER(SEARCH("包修",M36)),"【购机】"&amp;MID(M36,SEARCH("购机",M36)+LEN("购机"),LEN(M36)),IF(ISNUMBER(SEARCH("叠放支架",M36)),"【赠品】"&amp;MID(M36,SEARCH("购机",M36)+LEN("购机"),LEN(M36)),IF(ISNUMBER(SEARCH("秀图",M36)),"【秀图】"&amp;MID(M36,SEARCH("秀图",M36)+LEN("秀图"),LEN(M36)),"")))),IFERROR(LEFT(_xlpm.A,FIND("【",_xlpm.A,FIND("】",_xlpm.A)+1)-1)&amp;MID(_xlpm.A,FIND("】",_xlpm.A,FIND("】",_xlpm.A)+1)+1,LEN(_xlpm.A)),_xlpm.A))</f>
        <v/>
      </c>
      <c r="I36" s="18" t="str">
        <f>_xlfn.LET(_xlpm.A,IF(ISNUMBER(SEARCH("晒单",N36)),"【晒单】"&amp;MID(N36,SEARCH("晒单",N36)+LEN("晒单"),LEN(N36))&amp;"（需晒单后联系客服登记）",IF(ISNUMBER(SEARCH("包修",N36)),"【购机】"&amp;MID(N36,SEARCH("购机",N36)+LEN("购机"),LEN(N36)),IF(ISNUMBER(SEARCH("叠放支架",N36)),"【赠品】"&amp;MID(N36,SEARCH("购机",N36)+LEN("购机"),LEN(N36)),IF(ISNUMBER(SEARCH("秀图",N36)),"【秀图】"&amp;MID(N36,SEARCH("秀图",N36)+LEN("秀图"),LEN(N36)),"")))),IFERROR(LEFT(_xlpm.A,FIND("【",_xlpm.A,FIND("】",_xlpm.A)+1)-1)&amp;MID(_xlpm.A,FIND("】",_xlpm.A,FIND("】",_xlpm.A)+1)+1,LEN(_xlpm.A)),_xlpm.A))</f>
        <v/>
      </c>
      <c r="J36" s="18" t="str" cm="1">
        <f t="array" ref="J36">IFERROR(INDEX(_xlfn.TEXTSPLIT(_xlfn.XLOOKUP($A36&amp;$B36&amp;$C36,盘货信息!$A:$A&amp;盘货信息!$B:$B&amp;盘货信息!$C:$C,盘货信息!$S:$S),CHAR(10),,TRUE),1,COLUMN(A35)),"")</f>
        <v/>
      </c>
      <c r="K36" s="18" t="str" cm="1">
        <f t="array" ref="K36">IFERROR(INDEX(_xlfn.TEXTSPLIT(_xlfn.XLOOKUP($A36&amp;$B36&amp;$C36,盘货信息!$A:$A&amp;盘货信息!$B:$B&amp;盘货信息!$C:$C,盘货信息!$S:$S),CHAR(10),,TRUE),1,COLUMN(B35)),"")</f>
        <v/>
      </c>
      <c r="L36" s="18" t="str" cm="1">
        <f t="array" ref="L36">IFERROR(INDEX(_xlfn.TEXTSPLIT(_xlfn.XLOOKUP($A36&amp;$B36&amp;$C36,盘货信息!$A:$A&amp;盘货信息!$B:$B&amp;盘货信息!$C:$C,盘货信息!$S:$S),CHAR(10),,TRUE),1,COLUMN(C35)),"")</f>
        <v/>
      </c>
      <c r="M36" s="18" t="str" cm="1">
        <f t="array" ref="M36">IFERROR(INDEX(_xlfn.TEXTSPLIT(_xlfn.XLOOKUP($A36&amp;$B36&amp;$C36,盘货信息!$A:$A&amp;盘货信息!$B:$B&amp;盘货信息!$C:$C,盘货信息!$S:$S),CHAR(10),,TRUE),1,COLUMN(D35)),"")</f>
        <v/>
      </c>
      <c r="N36" s="18" t="str" cm="1">
        <f t="array" ref="N36">IFERROR(INDEX(_xlfn.TEXTSPLIT(_xlfn.XLOOKUP($A36&amp;$B36&amp;$C36,盘货信息!$A:$A&amp;盘货信息!$B:$B&amp;盘货信息!$C:$C,盘货信息!$S:$S),CHAR(10),,TRUE),1,COLUMN(E35)),"")</f>
        <v/>
      </c>
    </row>
    <row r="37" customHeight="1" spans="1:14">
      <c r="A37" s="17" t="str">
        <f>IF(盘货信息!A37="","",盘货信息!A37)</f>
        <v/>
      </c>
      <c r="B37" s="17" t="str">
        <f>IF(盘货信息!B37="","",盘货信息!B37)</f>
        <v/>
      </c>
      <c r="C37" s="18" t="str">
        <f>IF(盘货信息!C37="","",盘货信息!C37)</f>
        <v/>
      </c>
      <c r="D37" s="18" t="str">
        <f t="shared" si="0"/>
        <v/>
      </c>
      <c r="E37" s="18" t="str">
        <f>_xlfn.LET(_xlpm.A,IF(ISNUMBER(SEARCH("晒单",J37)),"【晒单】"&amp;MID(J37,SEARCH("晒单",J37)+LEN("晒单"),LEN(J37))&amp;"（需晒单后联系客服登记）",IF(ISNUMBER(SEARCH("包修",J37)),"【购机】"&amp;MID(J37,SEARCH("购机",J37)+LEN("购机"),LEN(J37)),IF(ISNUMBER(SEARCH("叠放支架",J37)),"【赠品】"&amp;MID(J37,SEARCH("购机",J37)+LEN("购机"),LEN(J37)),IF(ISNUMBER(SEARCH("秀图",J37)),"【秀图】"&amp;MID(J37,SEARCH("秀图",J37)+LEN("秀图"),LEN(J37)),"")))),IFERROR(LEFT(_xlpm.A,FIND("【",_xlpm.A,FIND("】",_xlpm.A)+1)-1)&amp;MID(_xlpm.A,FIND("】",_xlpm.A,FIND("】",_xlpm.A)+1)+1,LEN(_xlpm.A)),_xlpm.A))</f>
        <v/>
      </c>
      <c r="F37" s="18" t="str">
        <f>_xlfn.LET(_xlpm.A,IF(ISNUMBER(SEARCH("晒单",K37)),"【晒单】"&amp;MID(K37,SEARCH("晒单",K37)+LEN("晒单"),LEN(K37))&amp;"（需晒单后联系客服登记）",IF(ISNUMBER(SEARCH("包修",K37)),"【购机】"&amp;MID(K37,SEARCH("购机",K37)+LEN("购机"),LEN(K37)),IF(ISNUMBER(SEARCH("叠放支架",K37)),"【赠品】"&amp;MID(K37,SEARCH("购机",K37)+LEN("购机"),LEN(K37)),IF(ISNUMBER(SEARCH("秀图",K37)),"【秀图】"&amp;MID(K37,SEARCH("秀图",K37)+LEN("秀图"),LEN(K37)),"")))),IFERROR(LEFT(_xlpm.A,FIND("【",_xlpm.A,FIND("】",_xlpm.A)+1)-1)&amp;MID(_xlpm.A,FIND("】",_xlpm.A,FIND("】",_xlpm.A)+1)+1,LEN(_xlpm.A)),_xlpm.A))</f>
        <v/>
      </c>
      <c r="G37" s="18" t="str">
        <f>_xlfn.LET(_xlpm.A,IF(ISNUMBER(SEARCH("晒单",L37)),"【晒单】"&amp;MID(L37,SEARCH("晒单",L37)+LEN("晒单"),LEN(L37))&amp;"（需晒单后联系客服登记）",IF(ISNUMBER(SEARCH("包修",L37)),"【购机】"&amp;MID(L37,SEARCH("购机",L37)+LEN("购机"),LEN(L37)),IF(ISNUMBER(SEARCH("叠放支架",L37)),"【赠品】"&amp;MID(L37,SEARCH("购机",L37)+LEN("购机"),LEN(L37)),IF(ISNUMBER(SEARCH("秀图",L37)),"【秀图】"&amp;MID(L37,SEARCH("秀图",L37)+LEN("秀图"),LEN(L37)),"")))),IFERROR(LEFT(_xlpm.A,FIND("【",_xlpm.A,FIND("】",_xlpm.A)+1)-1)&amp;MID(_xlpm.A,FIND("】",_xlpm.A,FIND("】",_xlpm.A)+1)+1,LEN(_xlpm.A)),_xlpm.A))</f>
        <v/>
      </c>
      <c r="H37" s="18" t="str">
        <f>_xlfn.LET(_xlpm.A,IF(ISNUMBER(SEARCH("晒单",M37)),"【晒单】"&amp;MID(M37,SEARCH("晒单",M37)+LEN("晒单"),LEN(M37))&amp;"（需晒单后联系客服登记）",IF(ISNUMBER(SEARCH("包修",M37)),"【购机】"&amp;MID(M37,SEARCH("购机",M37)+LEN("购机"),LEN(M37)),IF(ISNUMBER(SEARCH("叠放支架",M37)),"【赠品】"&amp;MID(M37,SEARCH("购机",M37)+LEN("购机"),LEN(M37)),IF(ISNUMBER(SEARCH("秀图",M37)),"【秀图】"&amp;MID(M37,SEARCH("秀图",M37)+LEN("秀图"),LEN(M37)),"")))),IFERROR(LEFT(_xlpm.A,FIND("【",_xlpm.A,FIND("】",_xlpm.A)+1)-1)&amp;MID(_xlpm.A,FIND("】",_xlpm.A,FIND("】",_xlpm.A)+1)+1,LEN(_xlpm.A)),_xlpm.A))</f>
        <v/>
      </c>
      <c r="I37" s="18" t="str">
        <f>_xlfn.LET(_xlpm.A,IF(ISNUMBER(SEARCH("晒单",N37)),"【晒单】"&amp;MID(N37,SEARCH("晒单",N37)+LEN("晒单"),LEN(N37))&amp;"（需晒单后联系客服登记）",IF(ISNUMBER(SEARCH("包修",N37)),"【购机】"&amp;MID(N37,SEARCH("购机",N37)+LEN("购机"),LEN(N37)),IF(ISNUMBER(SEARCH("叠放支架",N37)),"【赠品】"&amp;MID(N37,SEARCH("购机",N37)+LEN("购机"),LEN(N37)),IF(ISNUMBER(SEARCH("秀图",N37)),"【秀图】"&amp;MID(N37,SEARCH("秀图",N37)+LEN("秀图"),LEN(N37)),"")))),IFERROR(LEFT(_xlpm.A,FIND("【",_xlpm.A,FIND("】",_xlpm.A)+1)-1)&amp;MID(_xlpm.A,FIND("】",_xlpm.A,FIND("】",_xlpm.A)+1)+1,LEN(_xlpm.A)),_xlpm.A))</f>
        <v/>
      </c>
      <c r="J37" s="18" t="str" cm="1">
        <f t="array" ref="J37">IFERROR(INDEX(_xlfn.TEXTSPLIT(_xlfn.XLOOKUP($A37&amp;$B37&amp;$C37,盘货信息!$A:$A&amp;盘货信息!$B:$B&amp;盘货信息!$C:$C,盘货信息!$S:$S),CHAR(10),,TRUE),1,COLUMN(A36)),"")</f>
        <v/>
      </c>
      <c r="K37" s="18" t="str" cm="1">
        <f t="array" ref="K37">IFERROR(INDEX(_xlfn.TEXTSPLIT(_xlfn.XLOOKUP($A37&amp;$B37&amp;$C37,盘货信息!$A:$A&amp;盘货信息!$B:$B&amp;盘货信息!$C:$C,盘货信息!$S:$S),CHAR(10),,TRUE),1,COLUMN(B36)),"")</f>
        <v/>
      </c>
      <c r="L37" s="18" t="str" cm="1">
        <f t="array" ref="L37">IFERROR(INDEX(_xlfn.TEXTSPLIT(_xlfn.XLOOKUP($A37&amp;$B37&amp;$C37,盘货信息!$A:$A&amp;盘货信息!$B:$B&amp;盘货信息!$C:$C,盘货信息!$S:$S),CHAR(10),,TRUE),1,COLUMN(C36)),"")</f>
        <v/>
      </c>
      <c r="M37" s="18" t="str" cm="1">
        <f t="array" ref="M37">IFERROR(INDEX(_xlfn.TEXTSPLIT(_xlfn.XLOOKUP($A37&amp;$B37&amp;$C37,盘货信息!$A:$A&amp;盘货信息!$B:$B&amp;盘货信息!$C:$C,盘货信息!$S:$S),CHAR(10),,TRUE),1,COLUMN(D36)),"")</f>
        <v/>
      </c>
      <c r="N37" s="18" t="str" cm="1">
        <f t="array" ref="N37">IFERROR(INDEX(_xlfn.TEXTSPLIT(_xlfn.XLOOKUP($A37&amp;$B37&amp;$C37,盘货信息!$A:$A&amp;盘货信息!$B:$B&amp;盘货信息!$C:$C,盘货信息!$S:$S),CHAR(10),,TRUE),1,COLUMN(E36)),"")</f>
        <v/>
      </c>
    </row>
    <row r="38" customHeight="1" spans="1:14">
      <c r="A38" s="17" t="str">
        <f>IF(盘货信息!A38="","",盘货信息!A38)</f>
        <v/>
      </c>
      <c r="B38" s="17" t="str">
        <f>IF(盘货信息!B38="","",盘货信息!B38)</f>
        <v/>
      </c>
      <c r="C38" s="18" t="str">
        <f>IF(盘货信息!C38="","",盘货信息!C38)</f>
        <v/>
      </c>
      <c r="D38" s="18" t="str">
        <f t="shared" si="0"/>
        <v/>
      </c>
      <c r="E38" s="18" t="str">
        <f>_xlfn.LET(_xlpm.A,IF(ISNUMBER(SEARCH("晒单",J38)),"【晒单】"&amp;MID(J38,SEARCH("晒单",J38)+LEN("晒单"),LEN(J38))&amp;"（需晒单后联系客服登记）",IF(ISNUMBER(SEARCH("包修",J38)),"【购机】"&amp;MID(J38,SEARCH("购机",J38)+LEN("购机"),LEN(J38)),IF(ISNUMBER(SEARCH("叠放支架",J38)),"【赠品】"&amp;MID(J38,SEARCH("购机",J38)+LEN("购机"),LEN(J38)),IF(ISNUMBER(SEARCH("秀图",J38)),"【秀图】"&amp;MID(J38,SEARCH("秀图",J38)+LEN("秀图"),LEN(J38)),"")))),IFERROR(LEFT(_xlpm.A,FIND("【",_xlpm.A,FIND("】",_xlpm.A)+1)-1)&amp;MID(_xlpm.A,FIND("】",_xlpm.A,FIND("】",_xlpm.A)+1)+1,LEN(_xlpm.A)),_xlpm.A))</f>
        <v/>
      </c>
      <c r="F38" s="18" t="str">
        <f>_xlfn.LET(_xlpm.A,IF(ISNUMBER(SEARCH("晒单",K38)),"【晒单】"&amp;MID(K38,SEARCH("晒单",K38)+LEN("晒单"),LEN(K38))&amp;"（需晒单后联系客服登记）",IF(ISNUMBER(SEARCH("包修",K38)),"【购机】"&amp;MID(K38,SEARCH("购机",K38)+LEN("购机"),LEN(K38)),IF(ISNUMBER(SEARCH("叠放支架",K38)),"【赠品】"&amp;MID(K38,SEARCH("购机",K38)+LEN("购机"),LEN(K38)),IF(ISNUMBER(SEARCH("秀图",K38)),"【秀图】"&amp;MID(K38,SEARCH("秀图",K38)+LEN("秀图"),LEN(K38)),"")))),IFERROR(LEFT(_xlpm.A,FIND("【",_xlpm.A,FIND("】",_xlpm.A)+1)-1)&amp;MID(_xlpm.A,FIND("】",_xlpm.A,FIND("】",_xlpm.A)+1)+1,LEN(_xlpm.A)),_xlpm.A))</f>
        <v/>
      </c>
      <c r="G38" s="18" t="str">
        <f>_xlfn.LET(_xlpm.A,IF(ISNUMBER(SEARCH("晒单",L38)),"【晒单】"&amp;MID(L38,SEARCH("晒单",L38)+LEN("晒单"),LEN(L38))&amp;"（需晒单后联系客服登记）",IF(ISNUMBER(SEARCH("包修",L38)),"【购机】"&amp;MID(L38,SEARCH("购机",L38)+LEN("购机"),LEN(L38)),IF(ISNUMBER(SEARCH("叠放支架",L38)),"【赠品】"&amp;MID(L38,SEARCH("购机",L38)+LEN("购机"),LEN(L38)),IF(ISNUMBER(SEARCH("秀图",L38)),"【秀图】"&amp;MID(L38,SEARCH("秀图",L38)+LEN("秀图"),LEN(L38)),"")))),IFERROR(LEFT(_xlpm.A,FIND("【",_xlpm.A,FIND("】",_xlpm.A)+1)-1)&amp;MID(_xlpm.A,FIND("】",_xlpm.A,FIND("】",_xlpm.A)+1)+1,LEN(_xlpm.A)),_xlpm.A))</f>
        <v/>
      </c>
      <c r="H38" s="18" t="str">
        <f>_xlfn.LET(_xlpm.A,IF(ISNUMBER(SEARCH("晒单",M38)),"【晒单】"&amp;MID(M38,SEARCH("晒单",M38)+LEN("晒单"),LEN(M38))&amp;"（需晒单后联系客服登记）",IF(ISNUMBER(SEARCH("包修",M38)),"【购机】"&amp;MID(M38,SEARCH("购机",M38)+LEN("购机"),LEN(M38)),IF(ISNUMBER(SEARCH("叠放支架",M38)),"【赠品】"&amp;MID(M38,SEARCH("购机",M38)+LEN("购机"),LEN(M38)),IF(ISNUMBER(SEARCH("秀图",M38)),"【秀图】"&amp;MID(M38,SEARCH("秀图",M38)+LEN("秀图"),LEN(M38)),"")))),IFERROR(LEFT(_xlpm.A,FIND("【",_xlpm.A,FIND("】",_xlpm.A)+1)-1)&amp;MID(_xlpm.A,FIND("】",_xlpm.A,FIND("】",_xlpm.A)+1)+1,LEN(_xlpm.A)),_xlpm.A))</f>
        <v/>
      </c>
      <c r="I38" s="18" t="str">
        <f>_xlfn.LET(_xlpm.A,IF(ISNUMBER(SEARCH("晒单",N38)),"【晒单】"&amp;MID(N38,SEARCH("晒单",N38)+LEN("晒单"),LEN(N38))&amp;"（需晒单后联系客服登记）",IF(ISNUMBER(SEARCH("包修",N38)),"【购机】"&amp;MID(N38,SEARCH("购机",N38)+LEN("购机"),LEN(N38)),IF(ISNUMBER(SEARCH("叠放支架",N38)),"【赠品】"&amp;MID(N38,SEARCH("购机",N38)+LEN("购机"),LEN(N38)),IF(ISNUMBER(SEARCH("秀图",N38)),"【秀图】"&amp;MID(N38,SEARCH("秀图",N38)+LEN("秀图"),LEN(N38)),"")))),IFERROR(LEFT(_xlpm.A,FIND("【",_xlpm.A,FIND("】",_xlpm.A)+1)-1)&amp;MID(_xlpm.A,FIND("】",_xlpm.A,FIND("】",_xlpm.A)+1)+1,LEN(_xlpm.A)),_xlpm.A))</f>
        <v/>
      </c>
      <c r="J38" s="18" t="str" cm="1">
        <f t="array" ref="J38">IFERROR(INDEX(_xlfn.TEXTSPLIT(_xlfn.XLOOKUP($A38&amp;$B38&amp;$C38,盘货信息!$A:$A&amp;盘货信息!$B:$B&amp;盘货信息!$C:$C,盘货信息!$S:$S),CHAR(10),,TRUE),1,COLUMN(A37)),"")</f>
        <v/>
      </c>
      <c r="K38" s="18" t="str" cm="1">
        <f t="array" ref="K38">IFERROR(INDEX(_xlfn.TEXTSPLIT(_xlfn.XLOOKUP($A38&amp;$B38&amp;$C38,盘货信息!$A:$A&amp;盘货信息!$B:$B&amp;盘货信息!$C:$C,盘货信息!$S:$S),CHAR(10),,TRUE),1,COLUMN(B37)),"")</f>
        <v/>
      </c>
      <c r="L38" s="18" t="str" cm="1">
        <f t="array" ref="L38">IFERROR(INDEX(_xlfn.TEXTSPLIT(_xlfn.XLOOKUP($A38&amp;$B38&amp;$C38,盘货信息!$A:$A&amp;盘货信息!$B:$B&amp;盘货信息!$C:$C,盘货信息!$S:$S),CHAR(10),,TRUE),1,COLUMN(C37)),"")</f>
        <v/>
      </c>
      <c r="M38" s="18" t="str" cm="1">
        <f t="array" ref="M38">IFERROR(INDEX(_xlfn.TEXTSPLIT(_xlfn.XLOOKUP($A38&amp;$B38&amp;$C38,盘货信息!$A:$A&amp;盘货信息!$B:$B&amp;盘货信息!$C:$C,盘货信息!$S:$S),CHAR(10),,TRUE),1,COLUMN(D37)),"")</f>
        <v/>
      </c>
      <c r="N38" s="18" t="str" cm="1">
        <f t="array" ref="N38">IFERROR(INDEX(_xlfn.TEXTSPLIT(_xlfn.XLOOKUP($A38&amp;$B38&amp;$C38,盘货信息!$A:$A&amp;盘货信息!$B:$B&amp;盘货信息!$C:$C,盘货信息!$S:$S),CHAR(10),,TRUE),1,COLUMN(E37)),"")</f>
        <v/>
      </c>
    </row>
    <row r="39" customHeight="1" spans="1:14">
      <c r="A39" s="17" t="str">
        <f>IF(盘货信息!A39="","",盘货信息!A39)</f>
        <v/>
      </c>
      <c r="B39" s="17" t="str">
        <f>IF(盘货信息!B39="","",盘货信息!B39)</f>
        <v/>
      </c>
      <c r="C39" s="18" t="str">
        <f>IF(盘货信息!C39="","",盘货信息!C39)</f>
        <v/>
      </c>
      <c r="D39" s="18" t="str">
        <f t="shared" si="0"/>
        <v/>
      </c>
      <c r="E39" s="18" t="str">
        <f>_xlfn.LET(_xlpm.A,IF(ISNUMBER(SEARCH("晒单",J39)),"【晒单】"&amp;MID(J39,SEARCH("晒单",J39)+LEN("晒单"),LEN(J39))&amp;"（需晒单后联系客服登记）",IF(ISNUMBER(SEARCH("包修",J39)),"【购机】"&amp;MID(J39,SEARCH("购机",J39)+LEN("购机"),LEN(J39)),IF(ISNUMBER(SEARCH("叠放支架",J39)),"【赠品】"&amp;MID(J39,SEARCH("购机",J39)+LEN("购机"),LEN(J39)),IF(ISNUMBER(SEARCH("秀图",J39)),"【秀图】"&amp;MID(J39,SEARCH("秀图",J39)+LEN("秀图"),LEN(J39)),"")))),IFERROR(LEFT(_xlpm.A,FIND("【",_xlpm.A,FIND("】",_xlpm.A)+1)-1)&amp;MID(_xlpm.A,FIND("】",_xlpm.A,FIND("】",_xlpm.A)+1)+1,LEN(_xlpm.A)),_xlpm.A))</f>
        <v/>
      </c>
      <c r="F39" s="18" t="str">
        <f>_xlfn.LET(_xlpm.A,IF(ISNUMBER(SEARCH("晒单",K39)),"【晒单】"&amp;MID(K39,SEARCH("晒单",K39)+LEN("晒单"),LEN(K39))&amp;"（需晒单后联系客服登记）",IF(ISNUMBER(SEARCH("包修",K39)),"【购机】"&amp;MID(K39,SEARCH("购机",K39)+LEN("购机"),LEN(K39)),IF(ISNUMBER(SEARCH("叠放支架",K39)),"【赠品】"&amp;MID(K39,SEARCH("购机",K39)+LEN("购机"),LEN(K39)),IF(ISNUMBER(SEARCH("秀图",K39)),"【秀图】"&amp;MID(K39,SEARCH("秀图",K39)+LEN("秀图"),LEN(K39)),"")))),IFERROR(LEFT(_xlpm.A,FIND("【",_xlpm.A,FIND("】",_xlpm.A)+1)-1)&amp;MID(_xlpm.A,FIND("】",_xlpm.A,FIND("】",_xlpm.A)+1)+1,LEN(_xlpm.A)),_xlpm.A))</f>
        <v/>
      </c>
      <c r="G39" s="18" t="str">
        <f>_xlfn.LET(_xlpm.A,IF(ISNUMBER(SEARCH("晒单",L39)),"【晒单】"&amp;MID(L39,SEARCH("晒单",L39)+LEN("晒单"),LEN(L39))&amp;"（需晒单后联系客服登记）",IF(ISNUMBER(SEARCH("包修",L39)),"【购机】"&amp;MID(L39,SEARCH("购机",L39)+LEN("购机"),LEN(L39)),IF(ISNUMBER(SEARCH("叠放支架",L39)),"【赠品】"&amp;MID(L39,SEARCH("购机",L39)+LEN("购机"),LEN(L39)),IF(ISNUMBER(SEARCH("秀图",L39)),"【秀图】"&amp;MID(L39,SEARCH("秀图",L39)+LEN("秀图"),LEN(L39)),"")))),IFERROR(LEFT(_xlpm.A,FIND("【",_xlpm.A,FIND("】",_xlpm.A)+1)-1)&amp;MID(_xlpm.A,FIND("】",_xlpm.A,FIND("】",_xlpm.A)+1)+1,LEN(_xlpm.A)),_xlpm.A))</f>
        <v/>
      </c>
      <c r="H39" s="18" t="str">
        <f>_xlfn.LET(_xlpm.A,IF(ISNUMBER(SEARCH("晒单",M39)),"【晒单】"&amp;MID(M39,SEARCH("晒单",M39)+LEN("晒单"),LEN(M39))&amp;"（需晒单后联系客服登记）",IF(ISNUMBER(SEARCH("包修",M39)),"【购机】"&amp;MID(M39,SEARCH("购机",M39)+LEN("购机"),LEN(M39)),IF(ISNUMBER(SEARCH("叠放支架",M39)),"【赠品】"&amp;MID(M39,SEARCH("购机",M39)+LEN("购机"),LEN(M39)),IF(ISNUMBER(SEARCH("秀图",M39)),"【秀图】"&amp;MID(M39,SEARCH("秀图",M39)+LEN("秀图"),LEN(M39)),"")))),IFERROR(LEFT(_xlpm.A,FIND("【",_xlpm.A,FIND("】",_xlpm.A)+1)-1)&amp;MID(_xlpm.A,FIND("】",_xlpm.A,FIND("】",_xlpm.A)+1)+1,LEN(_xlpm.A)),_xlpm.A))</f>
        <v/>
      </c>
      <c r="I39" s="18" t="str">
        <f>_xlfn.LET(_xlpm.A,IF(ISNUMBER(SEARCH("晒单",N39)),"【晒单】"&amp;MID(N39,SEARCH("晒单",N39)+LEN("晒单"),LEN(N39))&amp;"（需晒单后联系客服登记）",IF(ISNUMBER(SEARCH("包修",N39)),"【购机】"&amp;MID(N39,SEARCH("购机",N39)+LEN("购机"),LEN(N39)),IF(ISNUMBER(SEARCH("叠放支架",N39)),"【赠品】"&amp;MID(N39,SEARCH("购机",N39)+LEN("购机"),LEN(N39)),IF(ISNUMBER(SEARCH("秀图",N39)),"【秀图】"&amp;MID(N39,SEARCH("秀图",N39)+LEN("秀图"),LEN(N39)),"")))),IFERROR(LEFT(_xlpm.A,FIND("【",_xlpm.A,FIND("】",_xlpm.A)+1)-1)&amp;MID(_xlpm.A,FIND("】",_xlpm.A,FIND("】",_xlpm.A)+1)+1,LEN(_xlpm.A)),_xlpm.A))</f>
        <v/>
      </c>
      <c r="J39" s="18" t="str" cm="1">
        <f t="array" ref="J39">IFERROR(INDEX(_xlfn.TEXTSPLIT(_xlfn.XLOOKUP($A39&amp;$B39&amp;$C39,盘货信息!$A:$A&amp;盘货信息!$B:$B&amp;盘货信息!$C:$C,盘货信息!$S:$S),CHAR(10),,TRUE),1,COLUMN(A38)),"")</f>
        <v/>
      </c>
      <c r="K39" s="18" t="str" cm="1">
        <f t="array" ref="K39">IFERROR(INDEX(_xlfn.TEXTSPLIT(_xlfn.XLOOKUP($A39&amp;$B39&amp;$C39,盘货信息!$A:$A&amp;盘货信息!$B:$B&amp;盘货信息!$C:$C,盘货信息!$S:$S),CHAR(10),,TRUE),1,COLUMN(B38)),"")</f>
        <v/>
      </c>
      <c r="L39" s="18" t="str" cm="1">
        <f t="array" ref="L39">IFERROR(INDEX(_xlfn.TEXTSPLIT(_xlfn.XLOOKUP($A39&amp;$B39&amp;$C39,盘货信息!$A:$A&amp;盘货信息!$B:$B&amp;盘货信息!$C:$C,盘货信息!$S:$S),CHAR(10),,TRUE),1,COLUMN(C38)),"")</f>
        <v/>
      </c>
      <c r="M39" s="18" t="str" cm="1">
        <f t="array" ref="M39">IFERROR(INDEX(_xlfn.TEXTSPLIT(_xlfn.XLOOKUP($A39&amp;$B39&amp;$C39,盘货信息!$A:$A&amp;盘货信息!$B:$B&amp;盘货信息!$C:$C,盘货信息!$S:$S),CHAR(10),,TRUE),1,COLUMN(D38)),"")</f>
        <v/>
      </c>
      <c r="N39" s="18" t="str" cm="1">
        <f t="array" ref="N39">IFERROR(INDEX(_xlfn.TEXTSPLIT(_xlfn.XLOOKUP($A39&amp;$B39&amp;$C39,盘货信息!$A:$A&amp;盘货信息!$B:$B&amp;盘货信息!$C:$C,盘货信息!$S:$S),CHAR(10),,TRUE),1,COLUMN(E38)),"")</f>
        <v/>
      </c>
    </row>
    <row r="40" customHeight="1" spans="1:14">
      <c r="A40" s="17" t="str">
        <f>IF(盘货信息!A40="","",盘货信息!A40)</f>
        <v/>
      </c>
      <c r="B40" s="17" t="str">
        <f>IF(盘货信息!B40="","",盘货信息!B40)</f>
        <v/>
      </c>
      <c r="C40" s="18" t="str">
        <f>IF(盘货信息!C40="","",盘货信息!C40)</f>
        <v/>
      </c>
      <c r="D40" s="18" t="str">
        <f t="shared" si="0"/>
        <v/>
      </c>
      <c r="E40" s="18" t="str">
        <f>_xlfn.LET(_xlpm.A,IF(ISNUMBER(SEARCH("晒单",J40)),"【晒单】"&amp;MID(J40,SEARCH("晒单",J40)+LEN("晒单"),LEN(J40))&amp;"（需晒单后联系客服登记）",IF(ISNUMBER(SEARCH("包修",J40)),"【购机】"&amp;MID(J40,SEARCH("购机",J40)+LEN("购机"),LEN(J40)),IF(ISNUMBER(SEARCH("叠放支架",J40)),"【赠品】"&amp;MID(J40,SEARCH("购机",J40)+LEN("购机"),LEN(J40)),IF(ISNUMBER(SEARCH("秀图",J40)),"【秀图】"&amp;MID(J40,SEARCH("秀图",J40)+LEN("秀图"),LEN(J40)),"")))),IFERROR(LEFT(_xlpm.A,FIND("【",_xlpm.A,FIND("】",_xlpm.A)+1)-1)&amp;MID(_xlpm.A,FIND("】",_xlpm.A,FIND("】",_xlpm.A)+1)+1,LEN(_xlpm.A)),_xlpm.A))</f>
        <v/>
      </c>
      <c r="F40" s="18" t="str">
        <f>_xlfn.LET(_xlpm.A,IF(ISNUMBER(SEARCH("晒单",K40)),"【晒单】"&amp;MID(K40,SEARCH("晒单",K40)+LEN("晒单"),LEN(K40))&amp;"（需晒单后联系客服登记）",IF(ISNUMBER(SEARCH("包修",K40)),"【购机】"&amp;MID(K40,SEARCH("购机",K40)+LEN("购机"),LEN(K40)),IF(ISNUMBER(SEARCH("叠放支架",K40)),"【赠品】"&amp;MID(K40,SEARCH("购机",K40)+LEN("购机"),LEN(K40)),IF(ISNUMBER(SEARCH("秀图",K40)),"【秀图】"&amp;MID(K40,SEARCH("秀图",K40)+LEN("秀图"),LEN(K40)),"")))),IFERROR(LEFT(_xlpm.A,FIND("【",_xlpm.A,FIND("】",_xlpm.A)+1)-1)&amp;MID(_xlpm.A,FIND("】",_xlpm.A,FIND("】",_xlpm.A)+1)+1,LEN(_xlpm.A)),_xlpm.A))</f>
        <v/>
      </c>
      <c r="G40" s="18" t="str">
        <f>_xlfn.LET(_xlpm.A,IF(ISNUMBER(SEARCH("晒单",L40)),"【晒单】"&amp;MID(L40,SEARCH("晒单",L40)+LEN("晒单"),LEN(L40))&amp;"（需晒单后联系客服登记）",IF(ISNUMBER(SEARCH("包修",L40)),"【购机】"&amp;MID(L40,SEARCH("购机",L40)+LEN("购机"),LEN(L40)),IF(ISNUMBER(SEARCH("叠放支架",L40)),"【赠品】"&amp;MID(L40,SEARCH("购机",L40)+LEN("购机"),LEN(L40)),IF(ISNUMBER(SEARCH("秀图",L40)),"【秀图】"&amp;MID(L40,SEARCH("秀图",L40)+LEN("秀图"),LEN(L40)),"")))),IFERROR(LEFT(_xlpm.A,FIND("【",_xlpm.A,FIND("】",_xlpm.A)+1)-1)&amp;MID(_xlpm.A,FIND("】",_xlpm.A,FIND("】",_xlpm.A)+1)+1,LEN(_xlpm.A)),_xlpm.A))</f>
        <v/>
      </c>
      <c r="H40" s="18" t="str">
        <f>_xlfn.LET(_xlpm.A,IF(ISNUMBER(SEARCH("晒单",M40)),"【晒单】"&amp;MID(M40,SEARCH("晒单",M40)+LEN("晒单"),LEN(M40))&amp;"（需晒单后联系客服登记）",IF(ISNUMBER(SEARCH("包修",M40)),"【购机】"&amp;MID(M40,SEARCH("购机",M40)+LEN("购机"),LEN(M40)),IF(ISNUMBER(SEARCH("叠放支架",M40)),"【赠品】"&amp;MID(M40,SEARCH("购机",M40)+LEN("购机"),LEN(M40)),IF(ISNUMBER(SEARCH("秀图",M40)),"【秀图】"&amp;MID(M40,SEARCH("秀图",M40)+LEN("秀图"),LEN(M40)),"")))),IFERROR(LEFT(_xlpm.A,FIND("【",_xlpm.A,FIND("】",_xlpm.A)+1)-1)&amp;MID(_xlpm.A,FIND("】",_xlpm.A,FIND("】",_xlpm.A)+1)+1,LEN(_xlpm.A)),_xlpm.A))</f>
        <v/>
      </c>
      <c r="I40" s="18" t="str">
        <f>_xlfn.LET(_xlpm.A,IF(ISNUMBER(SEARCH("晒单",N40)),"【晒单】"&amp;MID(N40,SEARCH("晒单",N40)+LEN("晒单"),LEN(N40))&amp;"（需晒单后联系客服登记）",IF(ISNUMBER(SEARCH("包修",N40)),"【购机】"&amp;MID(N40,SEARCH("购机",N40)+LEN("购机"),LEN(N40)),IF(ISNUMBER(SEARCH("叠放支架",N40)),"【赠品】"&amp;MID(N40,SEARCH("购机",N40)+LEN("购机"),LEN(N40)),IF(ISNUMBER(SEARCH("秀图",N40)),"【秀图】"&amp;MID(N40,SEARCH("秀图",N40)+LEN("秀图"),LEN(N40)),"")))),IFERROR(LEFT(_xlpm.A,FIND("【",_xlpm.A,FIND("】",_xlpm.A)+1)-1)&amp;MID(_xlpm.A,FIND("】",_xlpm.A,FIND("】",_xlpm.A)+1)+1,LEN(_xlpm.A)),_xlpm.A))</f>
        <v/>
      </c>
      <c r="J40" s="18" t="str" cm="1">
        <f t="array" ref="J40">IFERROR(INDEX(_xlfn.TEXTSPLIT(_xlfn.XLOOKUP($A40&amp;$B40&amp;$C40,盘货信息!$A:$A&amp;盘货信息!$B:$B&amp;盘货信息!$C:$C,盘货信息!$S:$S),CHAR(10),,TRUE),1,COLUMN(A39)),"")</f>
        <v/>
      </c>
      <c r="K40" s="18" t="str" cm="1">
        <f t="array" ref="K40">IFERROR(INDEX(_xlfn.TEXTSPLIT(_xlfn.XLOOKUP($A40&amp;$B40&amp;$C40,盘货信息!$A:$A&amp;盘货信息!$B:$B&amp;盘货信息!$C:$C,盘货信息!$S:$S),CHAR(10),,TRUE),1,COLUMN(B39)),"")</f>
        <v/>
      </c>
      <c r="L40" s="18" t="str" cm="1">
        <f t="array" ref="L40">IFERROR(INDEX(_xlfn.TEXTSPLIT(_xlfn.XLOOKUP($A40&amp;$B40&amp;$C40,盘货信息!$A:$A&amp;盘货信息!$B:$B&amp;盘货信息!$C:$C,盘货信息!$S:$S),CHAR(10),,TRUE),1,COLUMN(C39)),"")</f>
        <v/>
      </c>
      <c r="M40" s="18" t="str" cm="1">
        <f t="array" ref="M40">IFERROR(INDEX(_xlfn.TEXTSPLIT(_xlfn.XLOOKUP($A40&amp;$B40&amp;$C40,盘货信息!$A:$A&amp;盘货信息!$B:$B&amp;盘货信息!$C:$C,盘货信息!$S:$S),CHAR(10),,TRUE),1,COLUMN(D39)),"")</f>
        <v/>
      </c>
      <c r="N40" s="18" t="str" cm="1">
        <f t="array" ref="N40">IFERROR(INDEX(_xlfn.TEXTSPLIT(_xlfn.XLOOKUP($A40&amp;$B40&amp;$C40,盘货信息!$A:$A&amp;盘货信息!$B:$B&amp;盘货信息!$C:$C,盘货信息!$S:$S),CHAR(10),,TRUE),1,COLUMN(E39)),"")</f>
        <v/>
      </c>
    </row>
    <row r="41" customHeight="1" spans="1:14">
      <c r="A41" s="17" t="str">
        <f>IF(盘货信息!A41="","",盘货信息!A41)</f>
        <v/>
      </c>
      <c r="B41" s="17" t="str">
        <f>IF(盘货信息!B41="","",盘货信息!B41)</f>
        <v/>
      </c>
      <c r="C41" s="18" t="str">
        <f>IF(盘货信息!C41="","",盘货信息!C41)</f>
        <v/>
      </c>
      <c r="D41" s="18" t="str">
        <f t="shared" si="0"/>
        <v/>
      </c>
      <c r="E41" s="18" t="str">
        <f>_xlfn.LET(_xlpm.A,IF(ISNUMBER(SEARCH("晒单",J41)),"【晒单】"&amp;MID(J41,SEARCH("晒单",J41)+LEN("晒单"),LEN(J41))&amp;"（需晒单后联系客服登记）",IF(ISNUMBER(SEARCH("包修",J41)),"【购机】"&amp;MID(J41,SEARCH("购机",J41)+LEN("购机"),LEN(J41)),IF(ISNUMBER(SEARCH("叠放支架",J41)),"【赠品】"&amp;MID(J41,SEARCH("购机",J41)+LEN("购机"),LEN(J41)),IF(ISNUMBER(SEARCH("秀图",J41)),"【秀图】"&amp;MID(J41,SEARCH("秀图",J41)+LEN("秀图"),LEN(J41)),"")))),IFERROR(LEFT(_xlpm.A,FIND("【",_xlpm.A,FIND("】",_xlpm.A)+1)-1)&amp;MID(_xlpm.A,FIND("】",_xlpm.A,FIND("】",_xlpm.A)+1)+1,LEN(_xlpm.A)),_xlpm.A))</f>
        <v/>
      </c>
      <c r="F41" s="18" t="str">
        <f>_xlfn.LET(_xlpm.A,IF(ISNUMBER(SEARCH("晒单",K41)),"【晒单】"&amp;MID(K41,SEARCH("晒单",K41)+LEN("晒单"),LEN(K41))&amp;"（需晒单后联系客服登记）",IF(ISNUMBER(SEARCH("包修",K41)),"【购机】"&amp;MID(K41,SEARCH("购机",K41)+LEN("购机"),LEN(K41)),IF(ISNUMBER(SEARCH("叠放支架",K41)),"【赠品】"&amp;MID(K41,SEARCH("购机",K41)+LEN("购机"),LEN(K41)),IF(ISNUMBER(SEARCH("秀图",K41)),"【秀图】"&amp;MID(K41,SEARCH("秀图",K41)+LEN("秀图"),LEN(K41)),"")))),IFERROR(LEFT(_xlpm.A,FIND("【",_xlpm.A,FIND("】",_xlpm.A)+1)-1)&amp;MID(_xlpm.A,FIND("】",_xlpm.A,FIND("】",_xlpm.A)+1)+1,LEN(_xlpm.A)),_xlpm.A))</f>
        <v/>
      </c>
      <c r="G41" s="18" t="str">
        <f>_xlfn.LET(_xlpm.A,IF(ISNUMBER(SEARCH("晒单",L41)),"【晒单】"&amp;MID(L41,SEARCH("晒单",L41)+LEN("晒单"),LEN(L41))&amp;"（需晒单后联系客服登记）",IF(ISNUMBER(SEARCH("包修",L41)),"【购机】"&amp;MID(L41,SEARCH("购机",L41)+LEN("购机"),LEN(L41)),IF(ISNUMBER(SEARCH("叠放支架",L41)),"【赠品】"&amp;MID(L41,SEARCH("购机",L41)+LEN("购机"),LEN(L41)),IF(ISNUMBER(SEARCH("秀图",L41)),"【秀图】"&amp;MID(L41,SEARCH("秀图",L41)+LEN("秀图"),LEN(L41)),"")))),IFERROR(LEFT(_xlpm.A,FIND("【",_xlpm.A,FIND("】",_xlpm.A)+1)-1)&amp;MID(_xlpm.A,FIND("】",_xlpm.A,FIND("】",_xlpm.A)+1)+1,LEN(_xlpm.A)),_xlpm.A))</f>
        <v/>
      </c>
      <c r="H41" s="18" t="str">
        <f>_xlfn.LET(_xlpm.A,IF(ISNUMBER(SEARCH("晒单",M41)),"【晒单】"&amp;MID(M41,SEARCH("晒单",M41)+LEN("晒单"),LEN(M41))&amp;"（需晒单后联系客服登记）",IF(ISNUMBER(SEARCH("包修",M41)),"【购机】"&amp;MID(M41,SEARCH("购机",M41)+LEN("购机"),LEN(M41)),IF(ISNUMBER(SEARCH("叠放支架",M41)),"【赠品】"&amp;MID(M41,SEARCH("购机",M41)+LEN("购机"),LEN(M41)),IF(ISNUMBER(SEARCH("秀图",M41)),"【秀图】"&amp;MID(M41,SEARCH("秀图",M41)+LEN("秀图"),LEN(M41)),"")))),IFERROR(LEFT(_xlpm.A,FIND("【",_xlpm.A,FIND("】",_xlpm.A)+1)-1)&amp;MID(_xlpm.A,FIND("】",_xlpm.A,FIND("】",_xlpm.A)+1)+1,LEN(_xlpm.A)),_xlpm.A))</f>
        <v/>
      </c>
      <c r="I41" s="18" t="str">
        <f>_xlfn.LET(_xlpm.A,IF(ISNUMBER(SEARCH("晒单",N41)),"【晒单】"&amp;MID(N41,SEARCH("晒单",N41)+LEN("晒单"),LEN(N41))&amp;"（需晒单后联系客服登记）",IF(ISNUMBER(SEARCH("包修",N41)),"【购机】"&amp;MID(N41,SEARCH("购机",N41)+LEN("购机"),LEN(N41)),IF(ISNUMBER(SEARCH("叠放支架",N41)),"【赠品】"&amp;MID(N41,SEARCH("购机",N41)+LEN("购机"),LEN(N41)),IF(ISNUMBER(SEARCH("秀图",N41)),"【秀图】"&amp;MID(N41,SEARCH("秀图",N41)+LEN("秀图"),LEN(N41)),"")))),IFERROR(LEFT(_xlpm.A,FIND("【",_xlpm.A,FIND("】",_xlpm.A)+1)-1)&amp;MID(_xlpm.A,FIND("】",_xlpm.A,FIND("】",_xlpm.A)+1)+1,LEN(_xlpm.A)),_xlpm.A))</f>
        <v/>
      </c>
      <c r="J41" s="18" t="str" cm="1">
        <f t="array" ref="J41">IFERROR(INDEX(_xlfn.TEXTSPLIT(_xlfn.XLOOKUP($A41&amp;$B41&amp;$C41,盘货信息!$A:$A&amp;盘货信息!$B:$B&amp;盘货信息!$C:$C,盘货信息!$S:$S),CHAR(10),,TRUE),1,COLUMN(A40)),"")</f>
        <v/>
      </c>
      <c r="K41" s="18" t="str" cm="1">
        <f t="array" ref="K41">IFERROR(INDEX(_xlfn.TEXTSPLIT(_xlfn.XLOOKUP($A41&amp;$B41&amp;$C41,盘货信息!$A:$A&amp;盘货信息!$B:$B&amp;盘货信息!$C:$C,盘货信息!$S:$S),CHAR(10),,TRUE),1,COLUMN(B40)),"")</f>
        <v/>
      </c>
      <c r="L41" s="18" t="str" cm="1">
        <f t="array" ref="L41">IFERROR(INDEX(_xlfn.TEXTSPLIT(_xlfn.XLOOKUP($A41&amp;$B41&amp;$C41,盘货信息!$A:$A&amp;盘货信息!$B:$B&amp;盘货信息!$C:$C,盘货信息!$S:$S),CHAR(10),,TRUE),1,COLUMN(C40)),"")</f>
        <v/>
      </c>
      <c r="M41" s="18" t="str" cm="1">
        <f t="array" ref="M41">IFERROR(INDEX(_xlfn.TEXTSPLIT(_xlfn.XLOOKUP($A41&amp;$B41&amp;$C41,盘货信息!$A:$A&amp;盘货信息!$B:$B&amp;盘货信息!$C:$C,盘货信息!$S:$S),CHAR(10),,TRUE),1,COLUMN(D40)),"")</f>
        <v/>
      </c>
      <c r="N41" s="18" t="str" cm="1">
        <f t="array" ref="N41">IFERROR(INDEX(_xlfn.TEXTSPLIT(_xlfn.XLOOKUP($A41&amp;$B41&amp;$C41,盘货信息!$A:$A&amp;盘货信息!$B:$B&amp;盘货信息!$C:$C,盘货信息!$S:$S),CHAR(10),,TRUE),1,COLUMN(E40)),"")</f>
        <v/>
      </c>
    </row>
    <row r="42" customHeight="1" spans="1:14">
      <c r="A42" s="17" t="str">
        <f>IF(盘货信息!A42="","",盘货信息!A42)</f>
        <v/>
      </c>
      <c r="B42" s="17" t="str">
        <f>IF(盘货信息!B42="","",盘货信息!B42)</f>
        <v/>
      </c>
      <c r="C42" s="18" t="str">
        <f>IF(盘货信息!C42="","",盘货信息!C42)</f>
        <v/>
      </c>
      <c r="D42" s="18" t="str">
        <f t="shared" si="0"/>
        <v/>
      </c>
      <c r="E42" s="18" t="str">
        <f>_xlfn.LET(_xlpm.A,IF(ISNUMBER(SEARCH("晒单",J42)),"【晒单】"&amp;MID(J42,SEARCH("晒单",J42)+LEN("晒单"),LEN(J42))&amp;"（需晒单后联系客服登记）",IF(ISNUMBER(SEARCH("包修",J42)),"【购机】"&amp;MID(J42,SEARCH("购机",J42)+LEN("购机"),LEN(J42)),IF(ISNUMBER(SEARCH("叠放支架",J42)),"【赠品】"&amp;MID(J42,SEARCH("购机",J42)+LEN("购机"),LEN(J42)),IF(ISNUMBER(SEARCH("秀图",J42)),"【秀图】"&amp;MID(J42,SEARCH("秀图",J42)+LEN("秀图"),LEN(J42)),"")))),IFERROR(LEFT(_xlpm.A,FIND("【",_xlpm.A,FIND("】",_xlpm.A)+1)-1)&amp;MID(_xlpm.A,FIND("】",_xlpm.A,FIND("】",_xlpm.A)+1)+1,LEN(_xlpm.A)),_xlpm.A))</f>
        <v/>
      </c>
      <c r="F42" s="18" t="str">
        <f>_xlfn.LET(_xlpm.A,IF(ISNUMBER(SEARCH("晒单",K42)),"【晒单】"&amp;MID(K42,SEARCH("晒单",K42)+LEN("晒单"),LEN(K42))&amp;"（需晒单后联系客服登记）",IF(ISNUMBER(SEARCH("包修",K42)),"【购机】"&amp;MID(K42,SEARCH("购机",K42)+LEN("购机"),LEN(K42)),IF(ISNUMBER(SEARCH("叠放支架",K42)),"【赠品】"&amp;MID(K42,SEARCH("购机",K42)+LEN("购机"),LEN(K42)),IF(ISNUMBER(SEARCH("秀图",K42)),"【秀图】"&amp;MID(K42,SEARCH("秀图",K42)+LEN("秀图"),LEN(K42)),"")))),IFERROR(LEFT(_xlpm.A,FIND("【",_xlpm.A,FIND("】",_xlpm.A)+1)-1)&amp;MID(_xlpm.A,FIND("】",_xlpm.A,FIND("】",_xlpm.A)+1)+1,LEN(_xlpm.A)),_xlpm.A))</f>
        <v/>
      </c>
      <c r="G42" s="18" t="str">
        <f>_xlfn.LET(_xlpm.A,IF(ISNUMBER(SEARCH("晒单",L42)),"【晒单】"&amp;MID(L42,SEARCH("晒单",L42)+LEN("晒单"),LEN(L42))&amp;"（需晒单后联系客服登记）",IF(ISNUMBER(SEARCH("包修",L42)),"【购机】"&amp;MID(L42,SEARCH("购机",L42)+LEN("购机"),LEN(L42)),IF(ISNUMBER(SEARCH("叠放支架",L42)),"【赠品】"&amp;MID(L42,SEARCH("购机",L42)+LEN("购机"),LEN(L42)),IF(ISNUMBER(SEARCH("秀图",L42)),"【秀图】"&amp;MID(L42,SEARCH("秀图",L42)+LEN("秀图"),LEN(L42)),"")))),IFERROR(LEFT(_xlpm.A,FIND("【",_xlpm.A,FIND("】",_xlpm.A)+1)-1)&amp;MID(_xlpm.A,FIND("】",_xlpm.A,FIND("】",_xlpm.A)+1)+1,LEN(_xlpm.A)),_xlpm.A))</f>
        <v/>
      </c>
      <c r="H42" s="18" t="str">
        <f>_xlfn.LET(_xlpm.A,IF(ISNUMBER(SEARCH("晒单",M42)),"【晒单】"&amp;MID(M42,SEARCH("晒单",M42)+LEN("晒单"),LEN(M42))&amp;"（需晒单后联系客服登记）",IF(ISNUMBER(SEARCH("包修",M42)),"【购机】"&amp;MID(M42,SEARCH("购机",M42)+LEN("购机"),LEN(M42)),IF(ISNUMBER(SEARCH("叠放支架",M42)),"【赠品】"&amp;MID(M42,SEARCH("购机",M42)+LEN("购机"),LEN(M42)),IF(ISNUMBER(SEARCH("秀图",M42)),"【秀图】"&amp;MID(M42,SEARCH("秀图",M42)+LEN("秀图"),LEN(M42)),"")))),IFERROR(LEFT(_xlpm.A,FIND("【",_xlpm.A,FIND("】",_xlpm.A)+1)-1)&amp;MID(_xlpm.A,FIND("】",_xlpm.A,FIND("】",_xlpm.A)+1)+1,LEN(_xlpm.A)),_xlpm.A))</f>
        <v/>
      </c>
      <c r="I42" s="18" t="str">
        <f>_xlfn.LET(_xlpm.A,IF(ISNUMBER(SEARCH("晒单",N42)),"【晒单】"&amp;MID(N42,SEARCH("晒单",N42)+LEN("晒单"),LEN(N42))&amp;"（需晒单后联系客服登记）",IF(ISNUMBER(SEARCH("包修",N42)),"【购机】"&amp;MID(N42,SEARCH("购机",N42)+LEN("购机"),LEN(N42)),IF(ISNUMBER(SEARCH("叠放支架",N42)),"【赠品】"&amp;MID(N42,SEARCH("购机",N42)+LEN("购机"),LEN(N42)),IF(ISNUMBER(SEARCH("秀图",N42)),"【秀图】"&amp;MID(N42,SEARCH("秀图",N42)+LEN("秀图"),LEN(N42)),"")))),IFERROR(LEFT(_xlpm.A,FIND("【",_xlpm.A,FIND("】",_xlpm.A)+1)-1)&amp;MID(_xlpm.A,FIND("】",_xlpm.A,FIND("】",_xlpm.A)+1)+1,LEN(_xlpm.A)),_xlpm.A))</f>
        <v/>
      </c>
      <c r="J42" s="18" t="str" cm="1">
        <f t="array" ref="J42">IFERROR(INDEX(_xlfn.TEXTSPLIT(_xlfn.XLOOKUP($A42&amp;$B42&amp;$C42,盘货信息!$A:$A&amp;盘货信息!$B:$B&amp;盘货信息!$C:$C,盘货信息!$S:$S),CHAR(10),,TRUE),1,COLUMN(A41)),"")</f>
        <v/>
      </c>
      <c r="K42" s="18" t="str" cm="1">
        <f t="array" ref="K42">IFERROR(INDEX(_xlfn.TEXTSPLIT(_xlfn.XLOOKUP($A42&amp;$B42&amp;$C42,盘货信息!$A:$A&amp;盘货信息!$B:$B&amp;盘货信息!$C:$C,盘货信息!$S:$S),CHAR(10),,TRUE),1,COLUMN(B41)),"")</f>
        <v/>
      </c>
      <c r="L42" s="18" t="str" cm="1">
        <f t="array" ref="L42">IFERROR(INDEX(_xlfn.TEXTSPLIT(_xlfn.XLOOKUP($A42&amp;$B42&amp;$C42,盘货信息!$A:$A&amp;盘货信息!$B:$B&amp;盘货信息!$C:$C,盘货信息!$S:$S),CHAR(10),,TRUE),1,COLUMN(C41)),"")</f>
        <v/>
      </c>
      <c r="M42" s="18" t="str" cm="1">
        <f t="array" ref="M42">IFERROR(INDEX(_xlfn.TEXTSPLIT(_xlfn.XLOOKUP($A42&amp;$B42&amp;$C42,盘货信息!$A:$A&amp;盘货信息!$B:$B&amp;盘货信息!$C:$C,盘货信息!$S:$S),CHAR(10),,TRUE),1,COLUMN(D41)),"")</f>
        <v/>
      </c>
      <c r="N42" s="18" t="str" cm="1">
        <f t="array" ref="N42">IFERROR(INDEX(_xlfn.TEXTSPLIT(_xlfn.XLOOKUP($A42&amp;$B42&amp;$C42,盘货信息!$A:$A&amp;盘货信息!$B:$B&amp;盘货信息!$C:$C,盘货信息!$S:$S),CHAR(10),,TRUE),1,COLUMN(E41)),"")</f>
        <v/>
      </c>
    </row>
    <row r="43" customHeight="1" spans="1:14">
      <c r="A43" s="17" t="str">
        <f>IF(盘货信息!A43="","",盘货信息!A43)</f>
        <v/>
      </c>
      <c r="B43" s="17" t="str">
        <f>IF(盘货信息!B43="","",盘货信息!B43)</f>
        <v/>
      </c>
      <c r="C43" s="18" t="str">
        <f>IF(盘货信息!C43="","",盘货信息!C43)</f>
        <v/>
      </c>
      <c r="D43" s="18" t="str">
        <f t="shared" si="0"/>
        <v/>
      </c>
      <c r="E43" s="18" t="str">
        <f>_xlfn.LET(_xlpm.A,IF(ISNUMBER(SEARCH("晒单",J43)),"【晒单】"&amp;MID(J43,SEARCH("晒单",J43)+LEN("晒单"),LEN(J43))&amp;"（需晒单后联系客服登记）",IF(ISNUMBER(SEARCH("包修",J43)),"【购机】"&amp;MID(J43,SEARCH("购机",J43)+LEN("购机"),LEN(J43)),IF(ISNUMBER(SEARCH("叠放支架",J43)),"【赠品】"&amp;MID(J43,SEARCH("购机",J43)+LEN("购机"),LEN(J43)),IF(ISNUMBER(SEARCH("秀图",J43)),"【秀图】"&amp;MID(J43,SEARCH("秀图",J43)+LEN("秀图"),LEN(J43)),"")))),IFERROR(LEFT(_xlpm.A,FIND("【",_xlpm.A,FIND("】",_xlpm.A)+1)-1)&amp;MID(_xlpm.A,FIND("】",_xlpm.A,FIND("】",_xlpm.A)+1)+1,LEN(_xlpm.A)),_xlpm.A))</f>
        <v/>
      </c>
      <c r="F43" s="18" t="str">
        <f>_xlfn.LET(_xlpm.A,IF(ISNUMBER(SEARCH("晒单",K43)),"【晒单】"&amp;MID(K43,SEARCH("晒单",K43)+LEN("晒单"),LEN(K43))&amp;"（需晒单后联系客服登记）",IF(ISNUMBER(SEARCH("包修",K43)),"【购机】"&amp;MID(K43,SEARCH("购机",K43)+LEN("购机"),LEN(K43)),IF(ISNUMBER(SEARCH("叠放支架",K43)),"【赠品】"&amp;MID(K43,SEARCH("购机",K43)+LEN("购机"),LEN(K43)),IF(ISNUMBER(SEARCH("秀图",K43)),"【秀图】"&amp;MID(K43,SEARCH("秀图",K43)+LEN("秀图"),LEN(K43)),"")))),IFERROR(LEFT(_xlpm.A,FIND("【",_xlpm.A,FIND("】",_xlpm.A)+1)-1)&amp;MID(_xlpm.A,FIND("】",_xlpm.A,FIND("】",_xlpm.A)+1)+1,LEN(_xlpm.A)),_xlpm.A))</f>
        <v/>
      </c>
      <c r="G43" s="18" t="str">
        <f>_xlfn.LET(_xlpm.A,IF(ISNUMBER(SEARCH("晒单",L43)),"【晒单】"&amp;MID(L43,SEARCH("晒单",L43)+LEN("晒单"),LEN(L43))&amp;"（需晒单后联系客服登记）",IF(ISNUMBER(SEARCH("包修",L43)),"【购机】"&amp;MID(L43,SEARCH("购机",L43)+LEN("购机"),LEN(L43)),IF(ISNUMBER(SEARCH("叠放支架",L43)),"【赠品】"&amp;MID(L43,SEARCH("购机",L43)+LEN("购机"),LEN(L43)),IF(ISNUMBER(SEARCH("秀图",L43)),"【秀图】"&amp;MID(L43,SEARCH("秀图",L43)+LEN("秀图"),LEN(L43)),"")))),IFERROR(LEFT(_xlpm.A,FIND("【",_xlpm.A,FIND("】",_xlpm.A)+1)-1)&amp;MID(_xlpm.A,FIND("】",_xlpm.A,FIND("】",_xlpm.A)+1)+1,LEN(_xlpm.A)),_xlpm.A))</f>
        <v/>
      </c>
      <c r="H43" s="18" t="str">
        <f>_xlfn.LET(_xlpm.A,IF(ISNUMBER(SEARCH("晒单",M43)),"【晒单】"&amp;MID(M43,SEARCH("晒单",M43)+LEN("晒单"),LEN(M43))&amp;"（需晒单后联系客服登记）",IF(ISNUMBER(SEARCH("包修",M43)),"【购机】"&amp;MID(M43,SEARCH("购机",M43)+LEN("购机"),LEN(M43)),IF(ISNUMBER(SEARCH("叠放支架",M43)),"【赠品】"&amp;MID(M43,SEARCH("购机",M43)+LEN("购机"),LEN(M43)),IF(ISNUMBER(SEARCH("秀图",M43)),"【秀图】"&amp;MID(M43,SEARCH("秀图",M43)+LEN("秀图"),LEN(M43)),"")))),IFERROR(LEFT(_xlpm.A,FIND("【",_xlpm.A,FIND("】",_xlpm.A)+1)-1)&amp;MID(_xlpm.A,FIND("】",_xlpm.A,FIND("】",_xlpm.A)+1)+1,LEN(_xlpm.A)),_xlpm.A))</f>
        <v/>
      </c>
      <c r="I43" s="18" t="str">
        <f>_xlfn.LET(_xlpm.A,IF(ISNUMBER(SEARCH("晒单",N43)),"【晒单】"&amp;MID(N43,SEARCH("晒单",N43)+LEN("晒单"),LEN(N43))&amp;"（需晒单后联系客服登记）",IF(ISNUMBER(SEARCH("包修",N43)),"【购机】"&amp;MID(N43,SEARCH("购机",N43)+LEN("购机"),LEN(N43)),IF(ISNUMBER(SEARCH("叠放支架",N43)),"【赠品】"&amp;MID(N43,SEARCH("购机",N43)+LEN("购机"),LEN(N43)),IF(ISNUMBER(SEARCH("秀图",N43)),"【秀图】"&amp;MID(N43,SEARCH("秀图",N43)+LEN("秀图"),LEN(N43)),"")))),IFERROR(LEFT(_xlpm.A,FIND("【",_xlpm.A,FIND("】",_xlpm.A)+1)-1)&amp;MID(_xlpm.A,FIND("】",_xlpm.A,FIND("】",_xlpm.A)+1)+1,LEN(_xlpm.A)),_xlpm.A))</f>
        <v/>
      </c>
      <c r="J43" s="18" t="str" cm="1">
        <f t="array" ref="J43">IFERROR(INDEX(_xlfn.TEXTSPLIT(_xlfn.XLOOKUP($A43&amp;$B43&amp;$C43,盘货信息!$A:$A&amp;盘货信息!$B:$B&amp;盘货信息!$C:$C,盘货信息!$S:$S),CHAR(10),,TRUE),1,COLUMN(A42)),"")</f>
        <v/>
      </c>
      <c r="K43" s="18" t="str" cm="1">
        <f t="array" ref="K43">IFERROR(INDEX(_xlfn.TEXTSPLIT(_xlfn.XLOOKUP($A43&amp;$B43&amp;$C43,盘货信息!$A:$A&amp;盘货信息!$B:$B&amp;盘货信息!$C:$C,盘货信息!$S:$S),CHAR(10),,TRUE),1,COLUMN(B42)),"")</f>
        <v/>
      </c>
      <c r="L43" s="18" t="str" cm="1">
        <f t="array" ref="L43">IFERROR(INDEX(_xlfn.TEXTSPLIT(_xlfn.XLOOKUP($A43&amp;$B43&amp;$C43,盘货信息!$A:$A&amp;盘货信息!$B:$B&amp;盘货信息!$C:$C,盘货信息!$S:$S),CHAR(10),,TRUE),1,COLUMN(C42)),"")</f>
        <v/>
      </c>
      <c r="M43" s="18" t="str" cm="1">
        <f t="array" ref="M43">IFERROR(INDEX(_xlfn.TEXTSPLIT(_xlfn.XLOOKUP($A43&amp;$B43&amp;$C43,盘货信息!$A:$A&amp;盘货信息!$B:$B&amp;盘货信息!$C:$C,盘货信息!$S:$S),CHAR(10),,TRUE),1,COLUMN(D42)),"")</f>
        <v/>
      </c>
      <c r="N43" s="18" t="str" cm="1">
        <f t="array" ref="N43">IFERROR(INDEX(_xlfn.TEXTSPLIT(_xlfn.XLOOKUP($A43&amp;$B43&amp;$C43,盘货信息!$A:$A&amp;盘货信息!$B:$B&amp;盘货信息!$C:$C,盘货信息!$S:$S),CHAR(10),,TRUE),1,COLUMN(E42)),"")</f>
        <v/>
      </c>
    </row>
    <row r="44" customHeight="1" spans="1:14">
      <c r="A44" s="17" t="str">
        <f>IF(盘货信息!A44="","",盘货信息!A44)</f>
        <v/>
      </c>
      <c r="B44" s="17" t="str">
        <f>IF(盘货信息!B44="","",盘货信息!B44)</f>
        <v/>
      </c>
      <c r="C44" s="18" t="str">
        <f>IF(盘货信息!C44="","",盘货信息!C44)</f>
        <v/>
      </c>
      <c r="D44" s="18" t="str">
        <f t="shared" si="0"/>
        <v/>
      </c>
      <c r="E44" s="18" t="str">
        <f>_xlfn.LET(_xlpm.A,IF(ISNUMBER(SEARCH("晒单",J44)),"【晒单】"&amp;MID(J44,SEARCH("晒单",J44)+LEN("晒单"),LEN(J44))&amp;"（需晒单后联系客服登记）",IF(ISNUMBER(SEARCH("包修",J44)),"【购机】"&amp;MID(J44,SEARCH("购机",J44)+LEN("购机"),LEN(J44)),IF(ISNUMBER(SEARCH("叠放支架",J44)),"【赠品】"&amp;MID(J44,SEARCH("购机",J44)+LEN("购机"),LEN(J44)),IF(ISNUMBER(SEARCH("秀图",J44)),"【秀图】"&amp;MID(J44,SEARCH("秀图",J44)+LEN("秀图"),LEN(J44)),"")))),IFERROR(LEFT(_xlpm.A,FIND("【",_xlpm.A,FIND("】",_xlpm.A)+1)-1)&amp;MID(_xlpm.A,FIND("】",_xlpm.A,FIND("】",_xlpm.A)+1)+1,LEN(_xlpm.A)),_xlpm.A))</f>
        <v/>
      </c>
      <c r="F44" s="18" t="str">
        <f>_xlfn.LET(_xlpm.A,IF(ISNUMBER(SEARCH("晒单",K44)),"【晒单】"&amp;MID(K44,SEARCH("晒单",K44)+LEN("晒单"),LEN(K44))&amp;"（需晒单后联系客服登记）",IF(ISNUMBER(SEARCH("包修",K44)),"【购机】"&amp;MID(K44,SEARCH("购机",K44)+LEN("购机"),LEN(K44)),IF(ISNUMBER(SEARCH("叠放支架",K44)),"【赠品】"&amp;MID(K44,SEARCH("购机",K44)+LEN("购机"),LEN(K44)),IF(ISNUMBER(SEARCH("秀图",K44)),"【秀图】"&amp;MID(K44,SEARCH("秀图",K44)+LEN("秀图"),LEN(K44)),"")))),IFERROR(LEFT(_xlpm.A,FIND("【",_xlpm.A,FIND("】",_xlpm.A)+1)-1)&amp;MID(_xlpm.A,FIND("】",_xlpm.A,FIND("】",_xlpm.A)+1)+1,LEN(_xlpm.A)),_xlpm.A))</f>
        <v/>
      </c>
      <c r="G44" s="18" t="str">
        <f>_xlfn.LET(_xlpm.A,IF(ISNUMBER(SEARCH("晒单",L44)),"【晒单】"&amp;MID(L44,SEARCH("晒单",L44)+LEN("晒单"),LEN(L44))&amp;"（需晒单后联系客服登记）",IF(ISNUMBER(SEARCH("包修",L44)),"【购机】"&amp;MID(L44,SEARCH("购机",L44)+LEN("购机"),LEN(L44)),IF(ISNUMBER(SEARCH("叠放支架",L44)),"【赠品】"&amp;MID(L44,SEARCH("购机",L44)+LEN("购机"),LEN(L44)),IF(ISNUMBER(SEARCH("秀图",L44)),"【秀图】"&amp;MID(L44,SEARCH("秀图",L44)+LEN("秀图"),LEN(L44)),"")))),IFERROR(LEFT(_xlpm.A,FIND("【",_xlpm.A,FIND("】",_xlpm.A)+1)-1)&amp;MID(_xlpm.A,FIND("】",_xlpm.A,FIND("】",_xlpm.A)+1)+1,LEN(_xlpm.A)),_xlpm.A))</f>
        <v/>
      </c>
      <c r="H44" s="18" t="str">
        <f>_xlfn.LET(_xlpm.A,IF(ISNUMBER(SEARCH("晒单",M44)),"【晒单】"&amp;MID(M44,SEARCH("晒单",M44)+LEN("晒单"),LEN(M44))&amp;"（需晒单后联系客服登记）",IF(ISNUMBER(SEARCH("包修",M44)),"【购机】"&amp;MID(M44,SEARCH("购机",M44)+LEN("购机"),LEN(M44)),IF(ISNUMBER(SEARCH("叠放支架",M44)),"【赠品】"&amp;MID(M44,SEARCH("购机",M44)+LEN("购机"),LEN(M44)),IF(ISNUMBER(SEARCH("秀图",M44)),"【秀图】"&amp;MID(M44,SEARCH("秀图",M44)+LEN("秀图"),LEN(M44)),"")))),IFERROR(LEFT(_xlpm.A,FIND("【",_xlpm.A,FIND("】",_xlpm.A)+1)-1)&amp;MID(_xlpm.A,FIND("】",_xlpm.A,FIND("】",_xlpm.A)+1)+1,LEN(_xlpm.A)),_xlpm.A))</f>
        <v/>
      </c>
      <c r="I44" s="18" t="str">
        <f>_xlfn.LET(_xlpm.A,IF(ISNUMBER(SEARCH("晒单",N44)),"【晒单】"&amp;MID(N44,SEARCH("晒单",N44)+LEN("晒单"),LEN(N44))&amp;"（需晒单后联系客服登记）",IF(ISNUMBER(SEARCH("包修",N44)),"【购机】"&amp;MID(N44,SEARCH("购机",N44)+LEN("购机"),LEN(N44)),IF(ISNUMBER(SEARCH("叠放支架",N44)),"【赠品】"&amp;MID(N44,SEARCH("购机",N44)+LEN("购机"),LEN(N44)),IF(ISNUMBER(SEARCH("秀图",N44)),"【秀图】"&amp;MID(N44,SEARCH("秀图",N44)+LEN("秀图"),LEN(N44)),"")))),IFERROR(LEFT(_xlpm.A,FIND("【",_xlpm.A,FIND("】",_xlpm.A)+1)-1)&amp;MID(_xlpm.A,FIND("】",_xlpm.A,FIND("】",_xlpm.A)+1)+1,LEN(_xlpm.A)),_xlpm.A))</f>
        <v/>
      </c>
      <c r="J44" s="18" t="str" cm="1">
        <f t="array" ref="J44">IFERROR(INDEX(_xlfn.TEXTSPLIT(_xlfn.XLOOKUP($A44&amp;$B44&amp;$C44,盘货信息!$A:$A&amp;盘货信息!$B:$B&amp;盘货信息!$C:$C,盘货信息!$S:$S),CHAR(10),,TRUE),1,COLUMN(A43)),"")</f>
        <v/>
      </c>
      <c r="K44" s="18" t="str" cm="1">
        <f t="array" ref="K44">IFERROR(INDEX(_xlfn.TEXTSPLIT(_xlfn.XLOOKUP($A44&amp;$B44&amp;$C44,盘货信息!$A:$A&amp;盘货信息!$B:$B&amp;盘货信息!$C:$C,盘货信息!$S:$S),CHAR(10),,TRUE),1,COLUMN(B43)),"")</f>
        <v/>
      </c>
      <c r="L44" s="18" t="str" cm="1">
        <f t="array" ref="L44">IFERROR(INDEX(_xlfn.TEXTSPLIT(_xlfn.XLOOKUP($A44&amp;$B44&amp;$C44,盘货信息!$A:$A&amp;盘货信息!$B:$B&amp;盘货信息!$C:$C,盘货信息!$S:$S),CHAR(10),,TRUE),1,COLUMN(C43)),"")</f>
        <v/>
      </c>
      <c r="M44" s="18" t="str" cm="1">
        <f t="array" ref="M44">IFERROR(INDEX(_xlfn.TEXTSPLIT(_xlfn.XLOOKUP($A44&amp;$B44&amp;$C44,盘货信息!$A:$A&amp;盘货信息!$B:$B&amp;盘货信息!$C:$C,盘货信息!$S:$S),CHAR(10),,TRUE),1,COLUMN(D43)),"")</f>
        <v/>
      </c>
      <c r="N44" s="18" t="str" cm="1">
        <f t="array" ref="N44">IFERROR(INDEX(_xlfn.TEXTSPLIT(_xlfn.XLOOKUP($A44&amp;$B44&amp;$C44,盘货信息!$A:$A&amp;盘货信息!$B:$B&amp;盘货信息!$C:$C,盘货信息!$S:$S),CHAR(10),,TRUE),1,COLUMN(E43)),"")</f>
        <v/>
      </c>
    </row>
    <row r="45" customHeight="1" spans="1:14">
      <c r="A45" s="17" t="str">
        <f>IF(盘货信息!A45="","",盘货信息!A45)</f>
        <v/>
      </c>
      <c r="B45" s="17" t="str">
        <f>IF(盘货信息!B45="","",盘货信息!B45)</f>
        <v/>
      </c>
      <c r="C45" s="18" t="str">
        <f>IF(盘货信息!C45="","",盘货信息!C45)</f>
        <v/>
      </c>
      <c r="D45" s="18" t="str">
        <f t="shared" si="0"/>
        <v/>
      </c>
      <c r="E45" s="18" t="str">
        <f>_xlfn.LET(_xlpm.A,IF(ISNUMBER(SEARCH("晒单",J45)),"【晒单】"&amp;MID(J45,SEARCH("晒单",J45)+LEN("晒单"),LEN(J45))&amp;"（需晒单后联系客服登记）",IF(ISNUMBER(SEARCH("包修",J45)),"【购机】"&amp;MID(J45,SEARCH("购机",J45)+LEN("购机"),LEN(J45)),IF(ISNUMBER(SEARCH("叠放支架",J45)),"【赠品】"&amp;MID(J45,SEARCH("购机",J45)+LEN("购机"),LEN(J45)),IF(ISNUMBER(SEARCH("秀图",J45)),"【秀图】"&amp;MID(J45,SEARCH("秀图",J45)+LEN("秀图"),LEN(J45)),"")))),IFERROR(LEFT(_xlpm.A,FIND("【",_xlpm.A,FIND("】",_xlpm.A)+1)-1)&amp;MID(_xlpm.A,FIND("】",_xlpm.A,FIND("】",_xlpm.A)+1)+1,LEN(_xlpm.A)),_xlpm.A))</f>
        <v/>
      </c>
      <c r="F45" s="18" t="str">
        <f>_xlfn.LET(_xlpm.A,IF(ISNUMBER(SEARCH("晒单",K45)),"【晒单】"&amp;MID(K45,SEARCH("晒单",K45)+LEN("晒单"),LEN(K45))&amp;"（需晒单后联系客服登记）",IF(ISNUMBER(SEARCH("包修",K45)),"【购机】"&amp;MID(K45,SEARCH("购机",K45)+LEN("购机"),LEN(K45)),IF(ISNUMBER(SEARCH("叠放支架",K45)),"【赠品】"&amp;MID(K45,SEARCH("购机",K45)+LEN("购机"),LEN(K45)),IF(ISNUMBER(SEARCH("秀图",K45)),"【秀图】"&amp;MID(K45,SEARCH("秀图",K45)+LEN("秀图"),LEN(K45)),"")))),IFERROR(LEFT(_xlpm.A,FIND("【",_xlpm.A,FIND("】",_xlpm.A)+1)-1)&amp;MID(_xlpm.A,FIND("】",_xlpm.A,FIND("】",_xlpm.A)+1)+1,LEN(_xlpm.A)),_xlpm.A))</f>
        <v/>
      </c>
      <c r="G45" s="18" t="str">
        <f>_xlfn.LET(_xlpm.A,IF(ISNUMBER(SEARCH("晒单",L45)),"【晒单】"&amp;MID(L45,SEARCH("晒单",L45)+LEN("晒单"),LEN(L45))&amp;"（需晒单后联系客服登记）",IF(ISNUMBER(SEARCH("包修",L45)),"【购机】"&amp;MID(L45,SEARCH("购机",L45)+LEN("购机"),LEN(L45)),IF(ISNUMBER(SEARCH("叠放支架",L45)),"【赠品】"&amp;MID(L45,SEARCH("购机",L45)+LEN("购机"),LEN(L45)),IF(ISNUMBER(SEARCH("秀图",L45)),"【秀图】"&amp;MID(L45,SEARCH("秀图",L45)+LEN("秀图"),LEN(L45)),"")))),IFERROR(LEFT(_xlpm.A,FIND("【",_xlpm.A,FIND("】",_xlpm.A)+1)-1)&amp;MID(_xlpm.A,FIND("】",_xlpm.A,FIND("】",_xlpm.A)+1)+1,LEN(_xlpm.A)),_xlpm.A))</f>
        <v/>
      </c>
      <c r="H45" s="18" t="str">
        <f>_xlfn.LET(_xlpm.A,IF(ISNUMBER(SEARCH("晒单",M45)),"【晒单】"&amp;MID(M45,SEARCH("晒单",M45)+LEN("晒单"),LEN(M45))&amp;"（需晒单后联系客服登记）",IF(ISNUMBER(SEARCH("包修",M45)),"【购机】"&amp;MID(M45,SEARCH("购机",M45)+LEN("购机"),LEN(M45)),IF(ISNUMBER(SEARCH("叠放支架",M45)),"【赠品】"&amp;MID(M45,SEARCH("购机",M45)+LEN("购机"),LEN(M45)),IF(ISNUMBER(SEARCH("秀图",M45)),"【秀图】"&amp;MID(M45,SEARCH("秀图",M45)+LEN("秀图"),LEN(M45)),"")))),IFERROR(LEFT(_xlpm.A,FIND("【",_xlpm.A,FIND("】",_xlpm.A)+1)-1)&amp;MID(_xlpm.A,FIND("】",_xlpm.A,FIND("】",_xlpm.A)+1)+1,LEN(_xlpm.A)),_xlpm.A))</f>
        <v/>
      </c>
      <c r="I45" s="18" t="str">
        <f>_xlfn.LET(_xlpm.A,IF(ISNUMBER(SEARCH("晒单",N45)),"【晒单】"&amp;MID(N45,SEARCH("晒单",N45)+LEN("晒单"),LEN(N45))&amp;"（需晒单后联系客服登记）",IF(ISNUMBER(SEARCH("包修",N45)),"【购机】"&amp;MID(N45,SEARCH("购机",N45)+LEN("购机"),LEN(N45)),IF(ISNUMBER(SEARCH("叠放支架",N45)),"【赠品】"&amp;MID(N45,SEARCH("购机",N45)+LEN("购机"),LEN(N45)),IF(ISNUMBER(SEARCH("秀图",N45)),"【秀图】"&amp;MID(N45,SEARCH("秀图",N45)+LEN("秀图"),LEN(N45)),"")))),IFERROR(LEFT(_xlpm.A,FIND("【",_xlpm.A,FIND("】",_xlpm.A)+1)-1)&amp;MID(_xlpm.A,FIND("】",_xlpm.A,FIND("】",_xlpm.A)+1)+1,LEN(_xlpm.A)),_xlpm.A))</f>
        <v/>
      </c>
      <c r="J45" s="18" t="str" cm="1">
        <f t="array" ref="J45">IFERROR(INDEX(_xlfn.TEXTSPLIT(_xlfn.XLOOKUP($A45&amp;$B45&amp;$C45,盘货信息!$A:$A&amp;盘货信息!$B:$B&amp;盘货信息!$C:$C,盘货信息!$S:$S),CHAR(10),,TRUE),1,COLUMN(A44)),"")</f>
        <v/>
      </c>
      <c r="K45" s="18" t="str" cm="1">
        <f t="array" ref="K45">IFERROR(INDEX(_xlfn.TEXTSPLIT(_xlfn.XLOOKUP($A45&amp;$B45&amp;$C45,盘货信息!$A:$A&amp;盘货信息!$B:$B&amp;盘货信息!$C:$C,盘货信息!$S:$S),CHAR(10),,TRUE),1,COLUMN(B44)),"")</f>
        <v/>
      </c>
      <c r="L45" s="18" t="str" cm="1">
        <f t="array" ref="L45">IFERROR(INDEX(_xlfn.TEXTSPLIT(_xlfn.XLOOKUP($A45&amp;$B45&amp;$C45,盘货信息!$A:$A&amp;盘货信息!$B:$B&amp;盘货信息!$C:$C,盘货信息!$S:$S),CHAR(10),,TRUE),1,COLUMN(C44)),"")</f>
        <v/>
      </c>
      <c r="M45" s="18" t="str" cm="1">
        <f t="array" ref="M45">IFERROR(INDEX(_xlfn.TEXTSPLIT(_xlfn.XLOOKUP($A45&amp;$B45&amp;$C45,盘货信息!$A:$A&amp;盘货信息!$B:$B&amp;盘货信息!$C:$C,盘货信息!$S:$S),CHAR(10),,TRUE),1,COLUMN(D44)),"")</f>
        <v/>
      </c>
      <c r="N45" s="18" t="str" cm="1">
        <f t="array" ref="N45">IFERROR(INDEX(_xlfn.TEXTSPLIT(_xlfn.XLOOKUP($A45&amp;$B45&amp;$C45,盘货信息!$A:$A&amp;盘货信息!$B:$B&amp;盘货信息!$C:$C,盘货信息!$S:$S),CHAR(10),,TRUE),1,COLUMN(E44)),"")</f>
        <v/>
      </c>
    </row>
    <row r="46" customHeight="1" spans="1:14">
      <c r="A46" s="17" t="str">
        <f>IF(盘货信息!A46="","",盘货信息!A46)</f>
        <v/>
      </c>
      <c r="B46" s="17" t="str">
        <f>IF(盘货信息!B46="","",盘货信息!B46)</f>
        <v/>
      </c>
      <c r="C46" s="18" t="str">
        <f>IF(盘货信息!C46="","",盘货信息!C46)</f>
        <v/>
      </c>
      <c r="D46" s="18" t="str">
        <f t="shared" si="0"/>
        <v/>
      </c>
      <c r="E46" s="18" t="str">
        <f>_xlfn.LET(_xlpm.A,IF(ISNUMBER(SEARCH("晒单",J46)),"【晒单】"&amp;MID(J46,SEARCH("晒单",J46)+LEN("晒单"),LEN(J46))&amp;"（需晒单后联系客服登记）",IF(ISNUMBER(SEARCH("包修",J46)),"【购机】"&amp;MID(J46,SEARCH("购机",J46)+LEN("购机"),LEN(J46)),IF(ISNUMBER(SEARCH("叠放支架",J46)),"【赠品】"&amp;MID(J46,SEARCH("购机",J46)+LEN("购机"),LEN(J46)),IF(ISNUMBER(SEARCH("秀图",J46)),"【秀图】"&amp;MID(J46,SEARCH("秀图",J46)+LEN("秀图"),LEN(J46)),"")))),IFERROR(LEFT(_xlpm.A,FIND("【",_xlpm.A,FIND("】",_xlpm.A)+1)-1)&amp;MID(_xlpm.A,FIND("】",_xlpm.A,FIND("】",_xlpm.A)+1)+1,LEN(_xlpm.A)),_xlpm.A))</f>
        <v/>
      </c>
      <c r="F46" s="18" t="str">
        <f>_xlfn.LET(_xlpm.A,IF(ISNUMBER(SEARCH("晒单",K46)),"【晒单】"&amp;MID(K46,SEARCH("晒单",K46)+LEN("晒单"),LEN(K46))&amp;"（需晒单后联系客服登记）",IF(ISNUMBER(SEARCH("包修",K46)),"【购机】"&amp;MID(K46,SEARCH("购机",K46)+LEN("购机"),LEN(K46)),IF(ISNUMBER(SEARCH("叠放支架",K46)),"【赠品】"&amp;MID(K46,SEARCH("购机",K46)+LEN("购机"),LEN(K46)),IF(ISNUMBER(SEARCH("秀图",K46)),"【秀图】"&amp;MID(K46,SEARCH("秀图",K46)+LEN("秀图"),LEN(K46)),"")))),IFERROR(LEFT(_xlpm.A,FIND("【",_xlpm.A,FIND("】",_xlpm.A)+1)-1)&amp;MID(_xlpm.A,FIND("】",_xlpm.A,FIND("】",_xlpm.A)+1)+1,LEN(_xlpm.A)),_xlpm.A))</f>
        <v/>
      </c>
      <c r="G46" s="18" t="str">
        <f>_xlfn.LET(_xlpm.A,IF(ISNUMBER(SEARCH("晒单",L46)),"【晒单】"&amp;MID(L46,SEARCH("晒单",L46)+LEN("晒单"),LEN(L46))&amp;"（需晒单后联系客服登记）",IF(ISNUMBER(SEARCH("包修",L46)),"【购机】"&amp;MID(L46,SEARCH("购机",L46)+LEN("购机"),LEN(L46)),IF(ISNUMBER(SEARCH("叠放支架",L46)),"【赠品】"&amp;MID(L46,SEARCH("购机",L46)+LEN("购机"),LEN(L46)),IF(ISNUMBER(SEARCH("秀图",L46)),"【秀图】"&amp;MID(L46,SEARCH("秀图",L46)+LEN("秀图"),LEN(L46)),"")))),IFERROR(LEFT(_xlpm.A,FIND("【",_xlpm.A,FIND("】",_xlpm.A)+1)-1)&amp;MID(_xlpm.A,FIND("】",_xlpm.A,FIND("】",_xlpm.A)+1)+1,LEN(_xlpm.A)),_xlpm.A))</f>
        <v/>
      </c>
      <c r="H46" s="18" t="str">
        <f>_xlfn.LET(_xlpm.A,IF(ISNUMBER(SEARCH("晒单",M46)),"【晒单】"&amp;MID(M46,SEARCH("晒单",M46)+LEN("晒单"),LEN(M46))&amp;"（需晒单后联系客服登记）",IF(ISNUMBER(SEARCH("包修",M46)),"【购机】"&amp;MID(M46,SEARCH("购机",M46)+LEN("购机"),LEN(M46)),IF(ISNUMBER(SEARCH("叠放支架",M46)),"【赠品】"&amp;MID(M46,SEARCH("购机",M46)+LEN("购机"),LEN(M46)),IF(ISNUMBER(SEARCH("秀图",M46)),"【秀图】"&amp;MID(M46,SEARCH("秀图",M46)+LEN("秀图"),LEN(M46)),"")))),IFERROR(LEFT(_xlpm.A,FIND("【",_xlpm.A,FIND("】",_xlpm.A)+1)-1)&amp;MID(_xlpm.A,FIND("】",_xlpm.A,FIND("】",_xlpm.A)+1)+1,LEN(_xlpm.A)),_xlpm.A))</f>
        <v/>
      </c>
      <c r="I46" s="18" t="str">
        <f>_xlfn.LET(_xlpm.A,IF(ISNUMBER(SEARCH("晒单",N46)),"【晒单】"&amp;MID(N46,SEARCH("晒单",N46)+LEN("晒单"),LEN(N46))&amp;"（需晒单后联系客服登记）",IF(ISNUMBER(SEARCH("包修",N46)),"【购机】"&amp;MID(N46,SEARCH("购机",N46)+LEN("购机"),LEN(N46)),IF(ISNUMBER(SEARCH("叠放支架",N46)),"【赠品】"&amp;MID(N46,SEARCH("购机",N46)+LEN("购机"),LEN(N46)),IF(ISNUMBER(SEARCH("秀图",N46)),"【秀图】"&amp;MID(N46,SEARCH("秀图",N46)+LEN("秀图"),LEN(N46)),"")))),IFERROR(LEFT(_xlpm.A,FIND("【",_xlpm.A,FIND("】",_xlpm.A)+1)-1)&amp;MID(_xlpm.A,FIND("】",_xlpm.A,FIND("】",_xlpm.A)+1)+1,LEN(_xlpm.A)),_xlpm.A))</f>
        <v/>
      </c>
      <c r="J46" s="18" t="str" cm="1">
        <f t="array" ref="J46">IFERROR(INDEX(_xlfn.TEXTSPLIT(_xlfn.XLOOKUP($A46&amp;$B46&amp;$C46,盘货信息!$A:$A&amp;盘货信息!$B:$B&amp;盘货信息!$C:$C,盘货信息!$S:$S),CHAR(10),,TRUE),1,COLUMN(A45)),"")</f>
        <v/>
      </c>
      <c r="K46" s="18" t="str" cm="1">
        <f t="array" ref="K46">IFERROR(INDEX(_xlfn.TEXTSPLIT(_xlfn.XLOOKUP($A46&amp;$B46&amp;$C46,盘货信息!$A:$A&amp;盘货信息!$B:$B&amp;盘货信息!$C:$C,盘货信息!$S:$S),CHAR(10),,TRUE),1,COLUMN(B45)),"")</f>
        <v/>
      </c>
      <c r="L46" s="18" t="str" cm="1">
        <f t="array" ref="L46">IFERROR(INDEX(_xlfn.TEXTSPLIT(_xlfn.XLOOKUP($A46&amp;$B46&amp;$C46,盘货信息!$A:$A&amp;盘货信息!$B:$B&amp;盘货信息!$C:$C,盘货信息!$S:$S),CHAR(10),,TRUE),1,COLUMN(C45)),"")</f>
        <v/>
      </c>
      <c r="M46" s="18" t="str" cm="1">
        <f t="array" ref="M46">IFERROR(INDEX(_xlfn.TEXTSPLIT(_xlfn.XLOOKUP($A46&amp;$B46&amp;$C46,盘货信息!$A:$A&amp;盘货信息!$B:$B&amp;盘货信息!$C:$C,盘货信息!$S:$S),CHAR(10),,TRUE),1,COLUMN(D45)),"")</f>
        <v/>
      </c>
      <c r="N46" s="18" t="str" cm="1">
        <f t="array" ref="N46">IFERROR(INDEX(_xlfn.TEXTSPLIT(_xlfn.XLOOKUP($A46&amp;$B46&amp;$C46,盘货信息!$A:$A&amp;盘货信息!$B:$B&amp;盘货信息!$C:$C,盘货信息!$S:$S),CHAR(10),,TRUE),1,COLUMN(E45)),"")</f>
        <v/>
      </c>
    </row>
    <row r="47" customHeight="1" spans="1:14">
      <c r="A47" s="17" t="str">
        <f>IF(盘货信息!A47="","",盘货信息!A47)</f>
        <v/>
      </c>
      <c r="B47" s="17" t="str">
        <f>IF(盘货信息!B47="","",盘货信息!B47)</f>
        <v/>
      </c>
      <c r="C47" s="18" t="str">
        <f>IF(盘货信息!C47="","",盘货信息!C47)</f>
        <v/>
      </c>
      <c r="D47" s="18" t="str">
        <f t="shared" si="0"/>
        <v/>
      </c>
      <c r="E47" s="18" t="str">
        <f>_xlfn.LET(_xlpm.A,IF(ISNUMBER(SEARCH("晒单",J47)),"【晒单】"&amp;MID(J47,SEARCH("晒单",J47)+LEN("晒单"),LEN(J47))&amp;"（需晒单后联系客服登记）",IF(ISNUMBER(SEARCH("包修",J47)),"【购机】"&amp;MID(J47,SEARCH("购机",J47)+LEN("购机"),LEN(J47)),IF(ISNUMBER(SEARCH("叠放支架",J47)),"【赠品】"&amp;MID(J47,SEARCH("购机",J47)+LEN("购机"),LEN(J47)),IF(ISNUMBER(SEARCH("秀图",J47)),"【秀图】"&amp;MID(J47,SEARCH("秀图",J47)+LEN("秀图"),LEN(J47)),"")))),IFERROR(LEFT(_xlpm.A,FIND("【",_xlpm.A,FIND("】",_xlpm.A)+1)-1)&amp;MID(_xlpm.A,FIND("】",_xlpm.A,FIND("】",_xlpm.A)+1)+1,LEN(_xlpm.A)),_xlpm.A))</f>
        <v/>
      </c>
      <c r="F47" s="18" t="str">
        <f>_xlfn.LET(_xlpm.A,IF(ISNUMBER(SEARCH("晒单",K47)),"【晒单】"&amp;MID(K47,SEARCH("晒单",K47)+LEN("晒单"),LEN(K47))&amp;"（需晒单后联系客服登记）",IF(ISNUMBER(SEARCH("包修",K47)),"【购机】"&amp;MID(K47,SEARCH("购机",K47)+LEN("购机"),LEN(K47)),IF(ISNUMBER(SEARCH("叠放支架",K47)),"【赠品】"&amp;MID(K47,SEARCH("购机",K47)+LEN("购机"),LEN(K47)),IF(ISNUMBER(SEARCH("秀图",K47)),"【秀图】"&amp;MID(K47,SEARCH("秀图",K47)+LEN("秀图"),LEN(K47)),"")))),IFERROR(LEFT(_xlpm.A,FIND("【",_xlpm.A,FIND("】",_xlpm.A)+1)-1)&amp;MID(_xlpm.A,FIND("】",_xlpm.A,FIND("】",_xlpm.A)+1)+1,LEN(_xlpm.A)),_xlpm.A))</f>
        <v/>
      </c>
      <c r="G47" s="18" t="str">
        <f>_xlfn.LET(_xlpm.A,IF(ISNUMBER(SEARCH("晒单",L47)),"【晒单】"&amp;MID(L47,SEARCH("晒单",L47)+LEN("晒单"),LEN(L47))&amp;"（需晒单后联系客服登记）",IF(ISNUMBER(SEARCH("包修",L47)),"【购机】"&amp;MID(L47,SEARCH("购机",L47)+LEN("购机"),LEN(L47)),IF(ISNUMBER(SEARCH("叠放支架",L47)),"【赠品】"&amp;MID(L47,SEARCH("购机",L47)+LEN("购机"),LEN(L47)),IF(ISNUMBER(SEARCH("秀图",L47)),"【秀图】"&amp;MID(L47,SEARCH("秀图",L47)+LEN("秀图"),LEN(L47)),"")))),IFERROR(LEFT(_xlpm.A,FIND("【",_xlpm.A,FIND("】",_xlpm.A)+1)-1)&amp;MID(_xlpm.A,FIND("】",_xlpm.A,FIND("】",_xlpm.A)+1)+1,LEN(_xlpm.A)),_xlpm.A))</f>
        <v/>
      </c>
      <c r="H47" s="18" t="str">
        <f>_xlfn.LET(_xlpm.A,IF(ISNUMBER(SEARCH("晒单",M47)),"【晒单】"&amp;MID(M47,SEARCH("晒单",M47)+LEN("晒单"),LEN(M47))&amp;"（需晒单后联系客服登记）",IF(ISNUMBER(SEARCH("包修",M47)),"【购机】"&amp;MID(M47,SEARCH("购机",M47)+LEN("购机"),LEN(M47)),IF(ISNUMBER(SEARCH("叠放支架",M47)),"【赠品】"&amp;MID(M47,SEARCH("购机",M47)+LEN("购机"),LEN(M47)),IF(ISNUMBER(SEARCH("秀图",M47)),"【秀图】"&amp;MID(M47,SEARCH("秀图",M47)+LEN("秀图"),LEN(M47)),"")))),IFERROR(LEFT(_xlpm.A,FIND("【",_xlpm.A,FIND("】",_xlpm.A)+1)-1)&amp;MID(_xlpm.A,FIND("】",_xlpm.A,FIND("】",_xlpm.A)+1)+1,LEN(_xlpm.A)),_xlpm.A))</f>
        <v/>
      </c>
      <c r="I47" s="18" t="str">
        <f>_xlfn.LET(_xlpm.A,IF(ISNUMBER(SEARCH("晒单",N47)),"【晒单】"&amp;MID(N47,SEARCH("晒单",N47)+LEN("晒单"),LEN(N47))&amp;"（需晒单后联系客服登记）",IF(ISNUMBER(SEARCH("包修",N47)),"【购机】"&amp;MID(N47,SEARCH("购机",N47)+LEN("购机"),LEN(N47)),IF(ISNUMBER(SEARCH("叠放支架",N47)),"【赠品】"&amp;MID(N47,SEARCH("购机",N47)+LEN("购机"),LEN(N47)),IF(ISNUMBER(SEARCH("秀图",N47)),"【秀图】"&amp;MID(N47,SEARCH("秀图",N47)+LEN("秀图"),LEN(N47)),"")))),IFERROR(LEFT(_xlpm.A,FIND("【",_xlpm.A,FIND("】",_xlpm.A)+1)-1)&amp;MID(_xlpm.A,FIND("】",_xlpm.A,FIND("】",_xlpm.A)+1)+1,LEN(_xlpm.A)),_xlpm.A))</f>
        <v/>
      </c>
      <c r="J47" s="18" t="str" cm="1">
        <f t="array" ref="J47">IFERROR(INDEX(_xlfn.TEXTSPLIT(_xlfn.XLOOKUP($A47&amp;$B47&amp;$C47,盘货信息!$A:$A&amp;盘货信息!$B:$B&amp;盘货信息!$C:$C,盘货信息!$S:$S),CHAR(10),,TRUE),1,COLUMN(A46)),"")</f>
        <v/>
      </c>
      <c r="K47" s="18" t="str" cm="1">
        <f t="array" ref="K47">IFERROR(INDEX(_xlfn.TEXTSPLIT(_xlfn.XLOOKUP($A47&amp;$B47&amp;$C47,盘货信息!$A:$A&amp;盘货信息!$B:$B&amp;盘货信息!$C:$C,盘货信息!$S:$S),CHAR(10),,TRUE),1,COLUMN(B46)),"")</f>
        <v/>
      </c>
      <c r="L47" s="18" t="str" cm="1">
        <f t="array" ref="L47">IFERROR(INDEX(_xlfn.TEXTSPLIT(_xlfn.XLOOKUP($A47&amp;$B47&amp;$C47,盘货信息!$A:$A&amp;盘货信息!$B:$B&amp;盘货信息!$C:$C,盘货信息!$S:$S),CHAR(10),,TRUE),1,COLUMN(C46)),"")</f>
        <v/>
      </c>
      <c r="M47" s="18" t="str" cm="1">
        <f t="array" ref="M47">IFERROR(INDEX(_xlfn.TEXTSPLIT(_xlfn.XLOOKUP($A47&amp;$B47&amp;$C47,盘货信息!$A:$A&amp;盘货信息!$B:$B&amp;盘货信息!$C:$C,盘货信息!$S:$S),CHAR(10),,TRUE),1,COLUMN(D46)),"")</f>
        <v/>
      </c>
      <c r="N47" s="18" t="str" cm="1">
        <f t="array" ref="N47">IFERROR(INDEX(_xlfn.TEXTSPLIT(_xlfn.XLOOKUP($A47&amp;$B47&amp;$C47,盘货信息!$A:$A&amp;盘货信息!$B:$B&amp;盘货信息!$C:$C,盘货信息!$S:$S),CHAR(10),,TRUE),1,COLUMN(E46)),"")</f>
        <v/>
      </c>
    </row>
    <row r="48" customHeight="1" spans="1:14">
      <c r="A48" s="17" t="str">
        <f>IF(盘货信息!A48="","",盘货信息!A48)</f>
        <v/>
      </c>
      <c r="B48" s="17" t="str">
        <f>IF(盘货信息!B48="","",盘货信息!B48)</f>
        <v/>
      </c>
      <c r="C48" s="18" t="str">
        <f>IF(盘货信息!C48="","",盘货信息!C48)</f>
        <v/>
      </c>
      <c r="D48" s="18" t="str">
        <f t="shared" si="0"/>
        <v/>
      </c>
      <c r="E48" s="18" t="str">
        <f>_xlfn.LET(_xlpm.A,IF(ISNUMBER(SEARCH("晒单",J48)),"【晒单】"&amp;MID(J48,SEARCH("晒单",J48)+LEN("晒单"),LEN(J48))&amp;"（需晒单后联系客服登记）",IF(ISNUMBER(SEARCH("包修",J48)),"【购机】"&amp;MID(J48,SEARCH("购机",J48)+LEN("购机"),LEN(J48)),IF(ISNUMBER(SEARCH("叠放支架",J48)),"【赠品】"&amp;MID(J48,SEARCH("购机",J48)+LEN("购机"),LEN(J48)),IF(ISNUMBER(SEARCH("秀图",J48)),"【秀图】"&amp;MID(J48,SEARCH("秀图",J48)+LEN("秀图"),LEN(J48)),"")))),IFERROR(LEFT(_xlpm.A,FIND("【",_xlpm.A,FIND("】",_xlpm.A)+1)-1)&amp;MID(_xlpm.A,FIND("】",_xlpm.A,FIND("】",_xlpm.A)+1)+1,LEN(_xlpm.A)),_xlpm.A))</f>
        <v/>
      </c>
      <c r="F48" s="18" t="str">
        <f>_xlfn.LET(_xlpm.A,IF(ISNUMBER(SEARCH("晒单",K48)),"【晒单】"&amp;MID(K48,SEARCH("晒单",K48)+LEN("晒单"),LEN(K48))&amp;"（需晒单后联系客服登记）",IF(ISNUMBER(SEARCH("包修",K48)),"【购机】"&amp;MID(K48,SEARCH("购机",K48)+LEN("购机"),LEN(K48)),IF(ISNUMBER(SEARCH("叠放支架",K48)),"【赠品】"&amp;MID(K48,SEARCH("购机",K48)+LEN("购机"),LEN(K48)),IF(ISNUMBER(SEARCH("秀图",K48)),"【秀图】"&amp;MID(K48,SEARCH("秀图",K48)+LEN("秀图"),LEN(K48)),"")))),IFERROR(LEFT(_xlpm.A,FIND("【",_xlpm.A,FIND("】",_xlpm.A)+1)-1)&amp;MID(_xlpm.A,FIND("】",_xlpm.A,FIND("】",_xlpm.A)+1)+1,LEN(_xlpm.A)),_xlpm.A))</f>
        <v/>
      </c>
      <c r="G48" s="18" t="str">
        <f>_xlfn.LET(_xlpm.A,IF(ISNUMBER(SEARCH("晒单",L48)),"【晒单】"&amp;MID(L48,SEARCH("晒单",L48)+LEN("晒单"),LEN(L48))&amp;"（需晒单后联系客服登记）",IF(ISNUMBER(SEARCH("包修",L48)),"【购机】"&amp;MID(L48,SEARCH("购机",L48)+LEN("购机"),LEN(L48)),IF(ISNUMBER(SEARCH("叠放支架",L48)),"【赠品】"&amp;MID(L48,SEARCH("购机",L48)+LEN("购机"),LEN(L48)),IF(ISNUMBER(SEARCH("秀图",L48)),"【秀图】"&amp;MID(L48,SEARCH("秀图",L48)+LEN("秀图"),LEN(L48)),"")))),IFERROR(LEFT(_xlpm.A,FIND("【",_xlpm.A,FIND("】",_xlpm.A)+1)-1)&amp;MID(_xlpm.A,FIND("】",_xlpm.A,FIND("】",_xlpm.A)+1)+1,LEN(_xlpm.A)),_xlpm.A))</f>
        <v/>
      </c>
      <c r="H48" s="18" t="str">
        <f>_xlfn.LET(_xlpm.A,IF(ISNUMBER(SEARCH("晒单",M48)),"【晒单】"&amp;MID(M48,SEARCH("晒单",M48)+LEN("晒单"),LEN(M48))&amp;"（需晒单后联系客服登记）",IF(ISNUMBER(SEARCH("包修",M48)),"【购机】"&amp;MID(M48,SEARCH("购机",M48)+LEN("购机"),LEN(M48)),IF(ISNUMBER(SEARCH("叠放支架",M48)),"【赠品】"&amp;MID(M48,SEARCH("购机",M48)+LEN("购机"),LEN(M48)),IF(ISNUMBER(SEARCH("秀图",M48)),"【秀图】"&amp;MID(M48,SEARCH("秀图",M48)+LEN("秀图"),LEN(M48)),"")))),IFERROR(LEFT(_xlpm.A,FIND("【",_xlpm.A,FIND("】",_xlpm.A)+1)-1)&amp;MID(_xlpm.A,FIND("】",_xlpm.A,FIND("】",_xlpm.A)+1)+1,LEN(_xlpm.A)),_xlpm.A))</f>
        <v/>
      </c>
      <c r="I48" s="18" t="str">
        <f>_xlfn.LET(_xlpm.A,IF(ISNUMBER(SEARCH("晒单",N48)),"【晒单】"&amp;MID(N48,SEARCH("晒单",N48)+LEN("晒单"),LEN(N48))&amp;"（需晒单后联系客服登记）",IF(ISNUMBER(SEARCH("包修",N48)),"【购机】"&amp;MID(N48,SEARCH("购机",N48)+LEN("购机"),LEN(N48)),IF(ISNUMBER(SEARCH("叠放支架",N48)),"【赠品】"&amp;MID(N48,SEARCH("购机",N48)+LEN("购机"),LEN(N48)),IF(ISNUMBER(SEARCH("秀图",N48)),"【秀图】"&amp;MID(N48,SEARCH("秀图",N48)+LEN("秀图"),LEN(N48)),"")))),IFERROR(LEFT(_xlpm.A,FIND("【",_xlpm.A,FIND("】",_xlpm.A)+1)-1)&amp;MID(_xlpm.A,FIND("】",_xlpm.A,FIND("】",_xlpm.A)+1)+1,LEN(_xlpm.A)),_xlpm.A))</f>
        <v/>
      </c>
      <c r="J48" s="18" t="str" cm="1">
        <f t="array" ref="J48">IFERROR(INDEX(_xlfn.TEXTSPLIT(_xlfn.XLOOKUP($A48&amp;$B48&amp;$C48,盘货信息!$A:$A&amp;盘货信息!$B:$B&amp;盘货信息!$C:$C,盘货信息!$S:$S),CHAR(10),,TRUE),1,COLUMN(A47)),"")</f>
        <v/>
      </c>
      <c r="K48" s="18" t="str" cm="1">
        <f t="array" ref="K48">IFERROR(INDEX(_xlfn.TEXTSPLIT(_xlfn.XLOOKUP($A48&amp;$B48&amp;$C48,盘货信息!$A:$A&amp;盘货信息!$B:$B&amp;盘货信息!$C:$C,盘货信息!$S:$S),CHAR(10),,TRUE),1,COLUMN(B47)),"")</f>
        <v/>
      </c>
      <c r="L48" s="18" t="str" cm="1">
        <f t="array" ref="L48">IFERROR(INDEX(_xlfn.TEXTSPLIT(_xlfn.XLOOKUP($A48&amp;$B48&amp;$C48,盘货信息!$A:$A&amp;盘货信息!$B:$B&amp;盘货信息!$C:$C,盘货信息!$S:$S),CHAR(10),,TRUE),1,COLUMN(C47)),"")</f>
        <v/>
      </c>
      <c r="M48" s="18" t="str" cm="1">
        <f t="array" ref="M48">IFERROR(INDEX(_xlfn.TEXTSPLIT(_xlfn.XLOOKUP($A48&amp;$B48&amp;$C48,盘货信息!$A:$A&amp;盘货信息!$B:$B&amp;盘货信息!$C:$C,盘货信息!$S:$S),CHAR(10),,TRUE),1,COLUMN(D47)),"")</f>
        <v/>
      </c>
      <c r="N48" s="18" t="str" cm="1">
        <f t="array" ref="N48">IFERROR(INDEX(_xlfn.TEXTSPLIT(_xlfn.XLOOKUP($A48&amp;$B48&amp;$C48,盘货信息!$A:$A&amp;盘货信息!$B:$B&amp;盘货信息!$C:$C,盘货信息!$S:$S),CHAR(10),,TRUE),1,COLUMN(E47)),"")</f>
        <v/>
      </c>
    </row>
    <row r="49" customHeight="1" spans="1:14">
      <c r="A49" s="17" t="str">
        <f>IF(盘货信息!A49="","",盘货信息!A49)</f>
        <v/>
      </c>
      <c r="B49" s="17" t="str">
        <f>IF(盘货信息!B49="","",盘货信息!B49)</f>
        <v/>
      </c>
      <c r="C49" s="18" t="str">
        <f>IF(盘货信息!C49="","",盘货信息!C49)</f>
        <v/>
      </c>
      <c r="D49" s="18" t="str">
        <f t="shared" si="0"/>
        <v/>
      </c>
      <c r="E49" s="18" t="str">
        <f>_xlfn.LET(_xlpm.A,IF(ISNUMBER(SEARCH("晒单",J49)),"【晒单】"&amp;MID(J49,SEARCH("晒单",J49)+LEN("晒单"),LEN(J49))&amp;"（需晒单后联系客服登记）",IF(ISNUMBER(SEARCH("包修",J49)),"【购机】"&amp;MID(J49,SEARCH("购机",J49)+LEN("购机"),LEN(J49)),IF(ISNUMBER(SEARCH("叠放支架",J49)),"【赠品】"&amp;MID(J49,SEARCH("购机",J49)+LEN("购机"),LEN(J49)),IF(ISNUMBER(SEARCH("秀图",J49)),"【秀图】"&amp;MID(J49,SEARCH("秀图",J49)+LEN("秀图"),LEN(J49)),"")))),IFERROR(LEFT(_xlpm.A,FIND("【",_xlpm.A,FIND("】",_xlpm.A)+1)-1)&amp;MID(_xlpm.A,FIND("】",_xlpm.A,FIND("】",_xlpm.A)+1)+1,LEN(_xlpm.A)),_xlpm.A))</f>
        <v/>
      </c>
      <c r="F49" s="18" t="str">
        <f>_xlfn.LET(_xlpm.A,IF(ISNUMBER(SEARCH("晒单",K49)),"【晒单】"&amp;MID(K49,SEARCH("晒单",K49)+LEN("晒单"),LEN(K49))&amp;"（需晒单后联系客服登记）",IF(ISNUMBER(SEARCH("包修",K49)),"【购机】"&amp;MID(K49,SEARCH("购机",K49)+LEN("购机"),LEN(K49)),IF(ISNUMBER(SEARCH("叠放支架",K49)),"【赠品】"&amp;MID(K49,SEARCH("购机",K49)+LEN("购机"),LEN(K49)),IF(ISNUMBER(SEARCH("秀图",K49)),"【秀图】"&amp;MID(K49,SEARCH("秀图",K49)+LEN("秀图"),LEN(K49)),"")))),IFERROR(LEFT(_xlpm.A,FIND("【",_xlpm.A,FIND("】",_xlpm.A)+1)-1)&amp;MID(_xlpm.A,FIND("】",_xlpm.A,FIND("】",_xlpm.A)+1)+1,LEN(_xlpm.A)),_xlpm.A))</f>
        <v/>
      </c>
      <c r="G49" s="18" t="str">
        <f>_xlfn.LET(_xlpm.A,IF(ISNUMBER(SEARCH("晒单",L49)),"【晒单】"&amp;MID(L49,SEARCH("晒单",L49)+LEN("晒单"),LEN(L49))&amp;"（需晒单后联系客服登记）",IF(ISNUMBER(SEARCH("包修",L49)),"【购机】"&amp;MID(L49,SEARCH("购机",L49)+LEN("购机"),LEN(L49)),IF(ISNUMBER(SEARCH("叠放支架",L49)),"【赠品】"&amp;MID(L49,SEARCH("购机",L49)+LEN("购机"),LEN(L49)),IF(ISNUMBER(SEARCH("秀图",L49)),"【秀图】"&amp;MID(L49,SEARCH("秀图",L49)+LEN("秀图"),LEN(L49)),"")))),IFERROR(LEFT(_xlpm.A,FIND("【",_xlpm.A,FIND("】",_xlpm.A)+1)-1)&amp;MID(_xlpm.A,FIND("】",_xlpm.A,FIND("】",_xlpm.A)+1)+1,LEN(_xlpm.A)),_xlpm.A))</f>
        <v/>
      </c>
      <c r="H49" s="18" t="str">
        <f>_xlfn.LET(_xlpm.A,IF(ISNUMBER(SEARCH("晒单",M49)),"【晒单】"&amp;MID(M49,SEARCH("晒单",M49)+LEN("晒单"),LEN(M49))&amp;"（需晒单后联系客服登记）",IF(ISNUMBER(SEARCH("包修",M49)),"【购机】"&amp;MID(M49,SEARCH("购机",M49)+LEN("购机"),LEN(M49)),IF(ISNUMBER(SEARCH("叠放支架",M49)),"【赠品】"&amp;MID(M49,SEARCH("购机",M49)+LEN("购机"),LEN(M49)),IF(ISNUMBER(SEARCH("秀图",M49)),"【秀图】"&amp;MID(M49,SEARCH("秀图",M49)+LEN("秀图"),LEN(M49)),"")))),IFERROR(LEFT(_xlpm.A,FIND("【",_xlpm.A,FIND("】",_xlpm.A)+1)-1)&amp;MID(_xlpm.A,FIND("】",_xlpm.A,FIND("】",_xlpm.A)+1)+1,LEN(_xlpm.A)),_xlpm.A))</f>
        <v/>
      </c>
      <c r="I49" s="18" t="str">
        <f>_xlfn.LET(_xlpm.A,IF(ISNUMBER(SEARCH("晒单",N49)),"【晒单】"&amp;MID(N49,SEARCH("晒单",N49)+LEN("晒单"),LEN(N49))&amp;"（需晒单后联系客服登记）",IF(ISNUMBER(SEARCH("包修",N49)),"【购机】"&amp;MID(N49,SEARCH("购机",N49)+LEN("购机"),LEN(N49)),IF(ISNUMBER(SEARCH("叠放支架",N49)),"【赠品】"&amp;MID(N49,SEARCH("购机",N49)+LEN("购机"),LEN(N49)),IF(ISNUMBER(SEARCH("秀图",N49)),"【秀图】"&amp;MID(N49,SEARCH("秀图",N49)+LEN("秀图"),LEN(N49)),"")))),IFERROR(LEFT(_xlpm.A,FIND("【",_xlpm.A,FIND("】",_xlpm.A)+1)-1)&amp;MID(_xlpm.A,FIND("】",_xlpm.A,FIND("】",_xlpm.A)+1)+1,LEN(_xlpm.A)),_xlpm.A))</f>
        <v/>
      </c>
      <c r="J49" s="18" t="str" cm="1">
        <f t="array" ref="J49">IFERROR(INDEX(_xlfn.TEXTSPLIT(_xlfn.XLOOKUP($A49&amp;$B49&amp;$C49,盘货信息!$A:$A&amp;盘货信息!$B:$B&amp;盘货信息!$C:$C,盘货信息!$S:$S),CHAR(10),,TRUE),1,COLUMN(A48)),"")</f>
        <v/>
      </c>
      <c r="K49" s="18" t="str" cm="1">
        <f t="array" ref="K49">IFERROR(INDEX(_xlfn.TEXTSPLIT(_xlfn.XLOOKUP($A49&amp;$B49&amp;$C49,盘货信息!$A:$A&amp;盘货信息!$B:$B&amp;盘货信息!$C:$C,盘货信息!$S:$S),CHAR(10),,TRUE),1,COLUMN(B48)),"")</f>
        <v/>
      </c>
      <c r="L49" s="18" t="str" cm="1">
        <f t="array" ref="L49">IFERROR(INDEX(_xlfn.TEXTSPLIT(_xlfn.XLOOKUP($A49&amp;$B49&amp;$C49,盘货信息!$A:$A&amp;盘货信息!$B:$B&amp;盘货信息!$C:$C,盘货信息!$S:$S),CHAR(10),,TRUE),1,COLUMN(C48)),"")</f>
        <v/>
      </c>
      <c r="M49" s="18" t="str" cm="1">
        <f t="array" ref="M49">IFERROR(INDEX(_xlfn.TEXTSPLIT(_xlfn.XLOOKUP($A49&amp;$B49&amp;$C49,盘货信息!$A:$A&amp;盘货信息!$B:$B&amp;盘货信息!$C:$C,盘货信息!$S:$S),CHAR(10),,TRUE),1,COLUMN(D48)),"")</f>
        <v/>
      </c>
      <c r="N49" s="18" t="str" cm="1">
        <f t="array" ref="N49">IFERROR(INDEX(_xlfn.TEXTSPLIT(_xlfn.XLOOKUP($A49&amp;$B49&amp;$C49,盘货信息!$A:$A&amp;盘货信息!$B:$B&amp;盘货信息!$C:$C,盘货信息!$S:$S),CHAR(10),,TRUE),1,COLUMN(E48)),"")</f>
        <v/>
      </c>
    </row>
    <row r="50" customHeight="1" spans="1:14">
      <c r="A50" s="17" t="str">
        <f>IF(盘货信息!A50="","",盘货信息!A50)</f>
        <v/>
      </c>
      <c r="B50" s="17" t="str">
        <f>IF(盘货信息!B50="","",盘货信息!B50)</f>
        <v/>
      </c>
      <c r="C50" s="18" t="str">
        <f>IF(盘货信息!C50="","",盘货信息!C50)</f>
        <v/>
      </c>
      <c r="D50" s="18" t="str">
        <f t="shared" si="0"/>
        <v/>
      </c>
      <c r="E50" s="18" t="str">
        <f>_xlfn.LET(_xlpm.A,IF(ISNUMBER(SEARCH("晒单",J50)),"【晒单】"&amp;MID(J50,SEARCH("晒单",J50)+LEN("晒单"),LEN(J50))&amp;"（需晒单后联系客服登记）",IF(ISNUMBER(SEARCH("包修",J50)),"【购机】"&amp;MID(J50,SEARCH("购机",J50)+LEN("购机"),LEN(J50)),IF(ISNUMBER(SEARCH("叠放支架",J50)),"【赠品】"&amp;MID(J50,SEARCH("购机",J50)+LEN("购机"),LEN(J50)),IF(ISNUMBER(SEARCH("秀图",J50)),"【秀图】"&amp;MID(J50,SEARCH("秀图",J50)+LEN("秀图"),LEN(J50)),"")))),IFERROR(LEFT(_xlpm.A,FIND("【",_xlpm.A,FIND("】",_xlpm.A)+1)-1)&amp;MID(_xlpm.A,FIND("】",_xlpm.A,FIND("】",_xlpm.A)+1)+1,LEN(_xlpm.A)),_xlpm.A))</f>
        <v/>
      </c>
      <c r="F50" s="18" t="str">
        <f>_xlfn.LET(_xlpm.A,IF(ISNUMBER(SEARCH("晒单",K50)),"【晒单】"&amp;MID(K50,SEARCH("晒单",K50)+LEN("晒单"),LEN(K50))&amp;"（需晒单后联系客服登记）",IF(ISNUMBER(SEARCH("包修",K50)),"【购机】"&amp;MID(K50,SEARCH("购机",K50)+LEN("购机"),LEN(K50)),IF(ISNUMBER(SEARCH("叠放支架",K50)),"【赠品】"&amp;MID(K50,SEARCH("购机",K50)+LEN("购机"),LEN(K50)),IF(ISNUMBER(SEARCH("秀图",K50)),"【秀图】"&amp;MID(K50,SEARCH("秀图",K50)+LEN("秀图"),LEN(K50)),"")))),IFERROR(LEFT(_xlpm.A,FIND("【",_xlpm.A,FIND("】",_xlpm.A)+1)-1)&amp;MID(_xlpm.A,FIND("】",_xlpm.A,FIND("】",_xlpm.A)+1)+1,LEN(_xlpm.A)),_xlpm.A))</f>
        <v/>
      </c>
      <c r="G50" s="18" t="str">
        <f>_xlfn.LET(_xlpm.A,IF(ISNUMBER(SEARCH("晒单",L50)),"【晒单】"&amp;MID(L50,SEARCH("晒单",L50)+LEN("晒单"),LEN(L50))&amp;"（需晒单后联系客服登记）",IF(ISNUMBER(SEARCH("包修",L50)),"【购机】"&amp;MID(L50,SEARCH("购机",L50)+LEN("购机"),LEN(L50)),IF(ISNUMBER(SEARCH("叠放支架",L50)),"【赠品】"&amp;MID(L50,SEARCH("购机",L50)+LEN("购机"),LEN(L50)),IF(ISNUMBER(SEARCH("秀图",L50)),"【秀图】"&amp;MID(L50,SEARCH("秀图",L50)+LEN("秀图"),LEN(L50)),"")))),IFERROR(LEFT(_xlpm.A,FIND("【",_xlpm.A,FIND("】",_xlpm.A)+1)-1)&amp;MID(_xlpm.A,FIND("】",_xlpm.A,FIND("】",_xlpm.A)+1)+1,LEN(_xlpm.A)),_xlpm.A))</f>
        <v/>
      </c>
      <c r="H50" s="18" t="str">
        <f>_xlfn.LET(_xlpm.A,IF(ISNUMBER(SEARCH("晒单",M50)),"【晒单】"&amp;MID(M50,SEARCH("晒单",M50)+LEN("晒单"),LEN(M50))&amp;"（需晒单后联系客服登记）",IF(ISNUMBER(SEARCH("包修",M50)),"【购机】"&amp;MID(M50,SEARCH("购机",M50)+LEN("购机"),LEN(M50)),IF(ISNUMBER(SEARCH("叠放支架",M50)),"【赠品】"&amp;MID(M50,SEARCH("购机",M50)+LEN("购机"),LEN(M50)),IF(ISNUMBER(SEARCH("秀图",M50)),"【秀图】"&amp;MID(M50,SEARCH("秀图",M50)+LEN("秀图"),LEN(M50)),"")))),IFERROR(LEFT(_xlpm.A,FIND("【",_xlpm.A,FIND("】",_xlpm.A)+1)-1)&amp;MID(_xlpm.A,FIND("】",_xlpm.A,FIND("】",_xlpm.A)+1)+1,LEN(_xlpm.A)),_xlpm.A))</f>
        <v/>
      </c>
      <c r="I50" s="18" t="str">
        <f>_xlfn.LET(_xlpm.A,IF(ISNUMBER(SEARCH("晒单",N50)),"【晒单】"&amp;MID(N50,SEARCH("晒单",N50)+LEN("晒单"),LEN(N50))&amp;"（需晒单后联系客服登记）",IF(ISNUMBER(SEARCH("包修",N50)),"【购机】"&amp;MID(N50,SEARCH("购机",N50)+LEN("购机"),LEN(N50)),IF(ISNUMBER(SEARCH("叠放支架",N50)),"【赠品】"&amp;MID(N50,SEARCH("购机",N50)+LEN("购机"),LEN(N50)),IF(ISNUMBER(SEARCH("秀图",N50)),"【秀图】"&amp;MID(N50,SEARCH("秀图",N50)+LEN("秀图"),LEN(N50)),"")))),IFERROR(LEFT(_xlpm.A,FIND("【",_xlpm.A,FIND("】",_xlpm.A)+1)-1)&amp;MID(_xlpm.A,FIND("】",_xlpm.A,FIND("】",_xlpm.A)+1)+1,LEN(_xlpm.A)),_xlpm.A))</f>
        <v/>
      </c>
      <c r="J50" s="18" t="str" cm="1">
        <f t="array" ref="J50">IFERROR(INDEX(_xlfn.TEXTSPLIT(_xlfn.XLOOKUP($A50&amp;$B50&amp;$C50,盘货信息!$A:$A&amp;盘货信息!$B:$B&amp;盘货信息!$C:$C,盘货信息!$S:$S),CHAR(10),,TRUE),1,COLUMN(A49)),"")</f>
        <v/>
      </c>
      <c r="K50" s="18" t="str" cm="1">
        <f t="array" ref="K50">IFERROR(INDEX(_xlfn.TEXTSPLIT(_xlfn.XLOOKUP($A50&amp;$B50&amp;$C50,盘货信息!$A:$A&amp;盘货信息!$B:$B&amp;盘货信息!$C:$C,盘货信息!$S:$S),CHAR(10),,TRUE),1,COLUMN(B49)),"")</f>
        <v/>
      </c>
      <c r="L50" s="18" t="str" cm="1">
        <f t="array" ref="L50">IFERROR(INDEX(_xlfn.TEXTSPLIT(_xlfn.XLOOKUP($A50&amp;$B50&amp;$C50,盘货信息!$A:$A&amp;盘货信息!$B:$B&amp;盘货信息!$C:$C,盘货信息!$S:$S),CHAR(10),,TRUE),1,COLUMN(C49)),"")</f>
        <v/>
      </c>
      <c r="M50" s="18" t="str" cm="1">
        <f t="array" ref="M50">IFERROR(INDEX(_xlfn.TEXTSPLIT(_xlfn.XLOOKUP($A50&amp;$B50&amp;$C50,盘货信息!$A:$A&amp;盘货信息!$B:$B&amp;盘货信息!$C:$C,盘货信息!$S:$S),CHAR(10),,TRUE),1,COLUMN(D49)),"")</f>
        <v/>
      </c>
      <c r="N50" s="18" t="str" cm="1">
        <f t="array" ref="N50">IFERROR(INDEX(_xlfn.TEXTSPLIT(_xlfn.XLOOKUP($A50&amp;$B50&amp;$C50,盘货信息!$A:$A&amp;盘货信息!$B:$B&amp;盘货信息!$C:$C,盘货信息!$S:$S),CHAR(10),,TRUE),1,COLUMN(E49)),"")</f>
        <v/>
      </c>
    </row>
    <row r="51" customHeight="1" spans="1:14">
      <c r="A51" s="17" t="str">
        <f>IF(盘货信息!A51="","",盘货信息!A51)</f>
        <v/>
      </c>
      <c r="B51" s="17" t="str">
        <f>IF(盘货信息!B51="","",盘货信息!B51)</f>
        <v/>
      </c>
      <c r="C51" s="18" t="str">
        <f>IF(盘货信息!C51="","",盘货信息!C51)</f>
        <v/>
      </c>
      <c r="D51" s="18" t="str">
        <f t="shared" si="0"/>
        <v/>
      </c>
      <c r="E51" s="18" t="str">
        <f>_xlfn.LET(_xlpm.A,IF(ISNUMBER(SEARCH("晒单",J51)),"【晒单】"&amp;MID(J51,SEARCH("晒单",J51)+LEN("晒单"),LEN(J51))&amp;"（需晒单后联系客服登记）",IF(ISNUMBER(SEARCH("包修",J51)),"【购机】"&amp;MID(J51,SEARCH("购机",J51)+LEN("购机"),LEN(J51)),IF(ISNUMBER(SEARCH("叠放支架",J51)),"【赠品】"&amp;MID(J51,SEARCH("购机",J51)+LEN("购机"),LEN(J51)),IF(ISNUMBER(SEARCH("秀图",J51)),"【秀图】"&amp;MID(J51,SEARCH("秀图",J51)+LEN("秀图"),LEN(J51)),"")))),IFERROR(LEFT(_xlpm.A,FIND("【",_xlpm.A,FIND("】",_xlpm.A)+1)-1)&amp;MID(_xlpm.A,FIND("】",_xlpm.A,FIND("】",_xlpm.A)+1)+1,LEN(_xlpm.A)),_xlpm.A))</f>
        <v/>
      </c>
      <c r="F51" s="18" t="str">
        <f>_xlfn.LET(_xlpm.A,IF(ISNUMBER(SEARCH("晒单",K51)),"【晒单】"&amp;MID(K51,SEARCH("晒单",K51)+LEN("晒单"),LEN(K51))&amp;"（需晒单后联系客服登记）",IF(ISNUMBER(SEARCH("包修",K51)),"【购机】"&amp;MID(K51,SEARCH("购机",K51)+LEN("购机"),LEN(K51)),IF(ISNUMBER(SEARCH("叠放支架",K51)),"【赠品】"&amp;MID(K51,SEARCH("购机",K51)+LEN("购机"),LEN(K51)),IF(ISNUMBER(SEARCH("秀图",K51)),"【秀图】"&amp;MID(K51,SEARCH("秀图",K51)+LEN("秀图"),LEN(K51)),"")))),IFERROR(LEFT(_xlpm.A,FIND("【",_xlpm.A,FIND("】",_xlpm.A)+1)-1)&amp;MID(_xlpm.A,FIND("】",_xlpm.A,FIND("】",_xlpm.A)+1)+1,LEN(_xlpm.A)),_xlpm.A))</f>
        <v/>
      </c>
      <c r="G51" s="18" t="str">
        <f>_xlfn.LET(_xlpm.A,IF(ISNUMBER(SEARCH("晒单",L51)),"【晒单】"&amp;MID(L51,SEARCH("晒单",L51)+LEN("晒单"),LEN(L51))&amp;"（需晒单后联系客服登记）",IF(ISNUMBER(SEARCH("包修",L51)),"【购机】"&amp;MID(L51,SEARCH("购机",L51)+LEN("购机"),LEN(L51)),IF(ISNUMBER(SEARCH("叠放支架",L51)),"【赠品】"&amp;MID(L51,SEARCH("购机",L51)+LEN("购机"),LEN(L51)),IF(ISNUMBER(SEARCH("秀图",L51)),"【秀图】"&amp;MID(L51,SEARCH("秀图",L51)+LEN("秀图"),LEN(L51)),"")))),IFERROR(LEFT(_xlpm.A,FIND("【",_xlpm.A,FIND("】",_xlpm.A)+1)-1)&amp;MID(_xlpm.A,FIND("】",_xlpm.A,FIND("】",_xlpm.A)+1)+1,LEN(_xlpm.A)),_xlpm.A))</f>
        <v/>
      </c>
      <c r="H51" s="18" t="str">
        <f>_xlfn.LET(_xlpm.A,IF(ISNUMBER(SEARCH("晒单",M51)),"【晒单】"&amp;MID(M51,SEARCH("晒单",M51)+LEN("晒单"),LEN(M51))&amp;"（需晒单后联系客服登记）",IF(ISNUMBER(SEARCH("包修",M51)),"【购机】"&amp;MID(M51,SEARCH("购机",M51)+LEN("购机"),LEN(M51)),IF(ISNUMBER(SEARCH("叠放支架",M51)),"【赠品】"&amp;MID(M51,SEARCH("购机",M51)+LEN("购机"),LEN(M51)),IF(ISNUMBER(SEARCH("秀图",M51)),"【秀图】"&amp;MID(M51,SEARCH("秀图",M51)+LEN("秀图"),LEN(M51)),"")))),IFERROR(LEFT(_xlpm.A,FIND("【",_xlpm.A,FIND("】",_xlpm.A)+1)-1)&amp;MID(_xlpm.A,FIND("】",_xlpm.A,FIND("】",_xlpm.A)+1)+1,LEN(_xlpm.A)),_xlpm.A))</f>
        <v/>
      </c>
      <c r="I51" s="18" t="str">
        <f>_xlfn.LET(_xlpm.A,IF(ISNUMBER(SEARCH("晒单",N51)),"【晒单】"&amp;MID(N51,SEARCH("晒单",N51)+LEN("晒单"),LEN(N51))&amp;"（需晒单后联系客服登记）",IF(ISNUMBER(SEARCH("包修",N51)),"【购机】"&amp;MID(N51,SEARCH("购机",N51)+LEN("购机"),LEN(N51)),IF(ISNUMBER(SEARCH("叠放支架",N51)),"【赠品】"&amp;MID(N51,SEARCH("购机",N51)+LEN("购机"),LEN(N51)),IF(ISNUMBER(SEARCH("秀图",N51)),"【秀图】"&amp;MID(N51,SEARCH("秀图",N51)+LEN("秀图"),LEN(N51)),"")))),IFERROR(LEFT(_xlpm.A,FIND("【",_xlpm.A,FIND("】",_xlpm.A)+1)-1)&amp;MID(_xlpm.A,FIND("】",_xlpm.A,FIND("】",_xlpm.A)+1)+1,LEN(_xlpm.A)),_xlpm.A))</f>
        <v/>
      </c>
      <c r="J51" s="18" t="str" cm="1">
        <f t="array" ref="J51">IFERROR(INDEX(_xlfn.TEXTSPLIT(_xlfn.XLOOKUP($A51&amp;$B51&amp;$C51,盘货信息!$A:$A&amp;盘货信息!$B:$B&amp;盘货信息!$C:$C,盘货信息!$S:$S),CHAR(10),,TRUE),1,COLUMN(A50)),"")</f>
        <v/>
      </c>
      <c r="K51" s="18" t="str" cm="1">
        <f t="array" ref="K51">IFERROR(INDEX(_xlfn.TEXTSPLIT(_xlfn.XLOOKUP($A51&amp;$B51&amp;$C51,盘货信息!$A:$A&amp;盘货信息!$B:$B&amp;盘货信息!$C:$C,盘货信息!$S:$S),CHAR(10),,TRUE),1,COLUMN(B50)),"")</f>
        <v/>
      </c>
      <c r="L51" s="18" t="str" cm="1">
        <f t="array" ref="L51">IFERROR(INDEX(_xlfn.TEXTSPLIT(_xlfn.XLOOKUP($A51&amp;$B51&amp;$C51,盘货信息!$A:$A&amp;盘货信息!$B:$B&amp;盘货信息!$C:$C,盘货信息!$S:$S),CHAR(10),,TRUE),1,COLUMN(C50)),"")</f>
        <v/>
      </c>
      <c r="M51" s="18" t="str" cm="1">
        <f t="array" ref="M51">IFERROR(INDEX(_xlfn.TEXTSPLIT(_xlfn.XLOOKUP($A51&amp;$B51&amp;$C51,盘货信息!$A:$A&amp;盘货信息!$B:$B&amp;盘货信息!$C:$C,盘货信息!$S:$S),CHAR(10),,TRUE),1,COLUMN(D50)),"")</f>
        <v/>
      </c>
      <c r="N51" s="18" t="str" cm="1">
        <f t="array" ref="N51">IFERROR(INDEX(_xlfn.TEXTSPLIT(_xlfn.XLOOKUP($A51&amp;$B51&amp;$C51,盘货信息!$A:$A&amp;盘货信息!$B:$B&amp;盘货信息!$C:$C,盘货信息!$S:$S),CHAR(10),,TRUE),1,COLUMN(E50)),"")</f>
        <v/>
      </c>
    </row>
    <row r="52" customHeight="1" spans="1:14">
      <c r="A52" s="17" t="str">
        <f>IF(盘货信息!A52="","",盘货信息!A52)</f>
        <v/>
      </c>
      <c r="B52" s="17" t="str">
        <f>IF(盘货信息!B52="","",盘货信息!B52)</f>
        <v/>
      </c>
      <c r="C52" s="18" t="str">
        <f>IF(盘货信息!C52="","",盘货信息!C52)</f>
        <v/>
      </c>
      <c r="D52" s="18" t="str">
        <f t="shared" si="0"/>
        <v/>
      </c>
      <c r="E52" s="18" t="str">
        <f>_xlfn.LET(_xlpm.A,IF(ISNUMBER(SEARCH("晒单",J52)),"【晒单】"&amp;MID(J52,SEARCH("晒单",J52)+LEN("晒单"),LEN(J52))&amp;"（需晒单后联系客服登记）",IF(ISNUMBER(SEARCH("包修",J52)),"【购机】"&amp;MID(J52,SEARCH("购机",J52)+LEN("购机"),LEN(J52)),IF(ISNUMBER(SEARCH("叠放支架",J52)),"【赠品】"&amp;MID(J52,SEARCH("购机",J52)+LEN("购机"),LEN(J52)),IF(ISNUMBER(SEARCH("秀图",J52)),"【秀图】"&amp;MID(J52,SEARCH("秀图",J52)+LEN("秀图"),LEN(J52)),"")))),IFERROR(LEFT(_xlpm.A,FIND("【",_xlpm.A,FIND("】",_xlpm.A)+1)-1)&amp;MID(_xlpm.A,FIND("】",_xlpm.A,FIND("】",_xlpm.A)+1)+1,LEN(_xlpm.A)),_xlpm.A))</f>
        <v/>
      </c>
      <c r="F52" s="18" t="str">
        <f>_xlfn.LET(_xlpm.A,IF(ISNUMBER(SEARCH("晒单",K52)),"【晒单】"&amp;MID(K52,SEARCH("晒单",K52)+LEN("晒单"),LEN(K52))&amp;"（需晒单后联系客服登记）",IF(ISNUMBER(SEARCH("包修",K52)),"【购机】"&amp;MID(K52,SEARCH("购机",K52)+LEN("购机"),LEN(K52)),IF(ISNUMBER(SEARCH("叠放支架",K52)),"【赠品】"&amp;MID(K52,SEARCH("购机",K52)+LEN("购机"),LEN(K52)),IF(ISNUMBER(SEARCH("秀图",K52)),"【秀图】"&amp;MID(K52,SEARCH("秀图",K52)+LEN("秀图"),LEN(K52)),"")))),IFERROR(LEFT(_xlpm.A,FIND("【",_xlpm.A,FIND("】",_xlpm.A)+1)-1)&amp;MID(_xlpm.A,FIND("】",_xlpm.A,FIND("】",_xlpm.A)+1)+1,LEN(_xlpm.A)),_xlpm.A))</f>
        <v/>
      </c>
      <c r="G52" s="18" t="str">
        <f>_xlfn.LET(_xlpm.A,IF(ISNUMBER(SEARCH("晒单",L52)),"【晒单】"&amp;MID(L52,SEARCH("晒单",L52)+LEN("晒单"),LEN(L52))&amp;"（需晒单后联系客服登记）",IF(ISNUMBER(SEARCH("包修",L52)),"【购机】"&amp;MID(L52,SEARCH("购机",L52)+LEN("购机"),LEN(L52)),IF(ISNUMBER(SEARCH("叠放支架",L52)),"【赠品】"&amp;MID(L52,SEARCH("购机",L52)+LEN("购机"),LEN(L52)),IF(ISNUMBER(SEARCH("秀图",L52)),"【秀图】"&amp;MID(L52,SEARCH("秀图",L52)+LEN("秀图"),LEN(L52)),"")))),IFERROR(LEFT(_xlpm.A,FIND("【",_xlpm.A,FIND("】",_xlpm.A)+1)-1)&amp;MID(_xlpm.A,FIND("】",_xlpm.A,FIND("】",_xlpm.A)+1)+1,LEN(_xlpm.A)),_xlpm.A))</f>
        <v/>
      </c>
      <c r="H52" s="18" t="str">
        <f>_xlfn.LET(_xlpm.A,IF(ISNUMBER(SEARCH("晒单",M52)),"【晒单】"&amp;MID(M52,SEARCH("晒单",M52)+LEN("晒单"),LEN(M52))&amp;"（需晒单后联系客服登记）",IF(ISNUMBER(SEARCH("包修",M52)),"【购机】"&amp;MID(M52,SEARCH("购机",M52)+LEN("购机"),LEN(M52)),IF(ISNUMBER(SEARCH("叠放支架",M52)),"【赠品】"&amp;MID(M52,SEARCH("购机",M52)+LEN("购机"),LEN(M52)),IF(ISNUMBER(SEARCH("秀图",M52)),"【秀图】"&amp;MID(M52,SEARCH("秀图",M52)+LEN("秀图"),LEN(M52)),"")))),IFERROR(LEFT(_xlpm.A,FIND("【",_xlpm.A,FIND("】",_xlpm.A)+1)-1)&amp;MID(_xlpm.A,FIND("】",_xlpm.A,FIND("】",_xlpm.A)+1)+1,LEN(_xlpm.A)),_xlpm.A))</f>
        <v/>
      </c>
      <c r="I52" s="18" t="str">
        <f>_xlfn.LET(_xlpm.A,IF(ISNUMBER(SEARCH("晒单",N52)),"【晒单】"&amp;MID(N52,SEARCH("晒单",N52)+LEN("晒单"),LEN(N52))&amp;"（需晒单后联系客服登记）",IF(ISNUMBER(SEARCH("包修",N52)),"【购机】"&amp;MID(N52,SEARCH("购机",N52)+LEN("购机"),LEN(N52)),IF(ISNUMBER(SEARCH("叠放支架",N52)),"【赠品】"&amp;MID(N52,SEARCH("购机",N52)+LEN("购机"),LEN(N52)),IF(ISNUMBER(SEARCH("秀图",N52)),"【秀图】"&amp;MID(N52,SEARCH("秀图",N52)+LEN("秀图"),LEN(N52)),"")))),IFERROR(LEFT(_xlpm.A,FIND("【",_xlpm.A,FIND("】",_xlpm.A)+1)-1)&amp;MID(_xlpm.A,FIND("】",_xlpm.A,FIND("】",_xlpm.A)+1)+1,LEN(_xlpm.A)),_xlpm.A))</f>
        <v/>
      </c>
      <c r="J52" s="18" t="str" cm="1">
        <f t="array" ref="J52">IFERROR(INDEX(_xlfn.TEXTSPLIT(_xlfn.XLOOKUP($A52&amp;$B52&amp;$C52,盘货信息!$A:$A&amp;盘货信息!$B:$B&amp;盘货信息!$C:$C,盘货信息!$S:$S),CHAR(10),,TRUE),1,COLUMN(A51)),"")</f>
        <v/>
      </c>
      <c r="K52" s="18" t="str" cm="1">
        <f t="array" ref="K52">IFERROR(INDEX(_xlfn.TEXTSPLIT(_xlfn.XLOOKUP($A52&amp;$B52&amp;$C52,盘货信息!$A:$A&amp;盘货信息!$B:$B&amp;盘货信息!$C:$C,盘货信息!$S:$S),CHAR(10),,TRUE),1,COLUMN(B51)),"")</f>
        <v/>
      </c>
      <c r="L52" s="18" t="str" cm="1">
        <f t="array" ref="L52">IFERROR(INDEX(_xlfn.TEXTSPLIT(_xlfn.XLOOKUP($A52&amp;$B52&amp;$C52,盘货信息!$A:$A&amp;盘货信息!$B:$B&amp;盘货信息!$C:$C,盘货信息!$S:$S),CHAR(10),,TRUE),1,COLUMN(C51)),"")</f>
        <v/>
      </c>
      <c r="M52" s="18" t="str" cm="1">
        <f t="array" ref="M52">IFERROR(INDEX(_xlfn.TEXTSPLIT(_xlfn.XLOOKUP($A52&amp;$B52&amp;$C52,盘货信息!$A:$A&amp;盘货信息!$B:$B&amp;盘货信息!$C:$C,盘货信息!$S:$S),CHAR(10),,TRUE),1,COLUMN(D51)),"")</f>
        <v/>
      </c>
      <c r="N52" s="18" t="str" cm="1">
        <f t="array" ref="N52">IFERROR(INDEX(_xlfn.TEXTSPLIT(_xlfn.XLOOKUP($A52&amp;$B52&amp;$C52,盘货信息!$A:$A&amp;盘货信息!$B:$B&amp;盘货信息!$C:$C,盘货信息!$S:$S),CHAR(10),,TRUE),1,COLUMN(E51)),"")</f>
        <v/>
      </c>
    </row>
    <row r="53" customHeight="1" spans="1:14">
      <c r="A53" s="17" t="str">
        <f>IF(盘货信息!A53="","",盘货信息!A53)</f>
        <v/>
      </c>
      <c r="B53" s="17" t="str">
        <f>IF(盘货信息!B53="","",盘货信息!B53)</f>
        <v/>
      </c>
      <c r="C53" s="18" t="str">
        <f>IF(盘货信息!C53="","",盘货信息!C53)</f>
        <v/>
      </c>
      <c r="D53" s="18" t="str">
        <f t="shared" si="0"/>
        <v/>
      </c>
      <c r="E53" s="18" t="str">
        <f>_xlfn.LET(_xlpm.A,IF(ISNUMBER(SEARCH("晒单",J53)),"【晒单】"&amp;MID(J53,SEARCH("晒单",J53)+LEN("晒单"),LEN(J53))&amp;"（需晒单后联系客服登记）",IF(ISNUMBER(SEARCH("包修",J53)),"【购机】"&amp;MID(J53,SEARCH("购机",J53)+LEN("购机"),LEN(J53)),IF(ISNUMBER(SEARCH("叠放支架",J53)),"【赠品】"&amp;MID(J53,SEARCH("购机",J53)+LEN("购机"),LEN(J53)),IF(ISNUMBER(SEARCH("秀图",J53)),"【秀图】"&amp;MID(J53,SEARCH("秀图",J53)+LEN("秀图"),LEN(J53)),"")))),IFERROR(LEFT(_xlpm.A,FIND("【",_xlpm.A,FIND("】",_xlpm.A)+1)-1)&amp;MID(_xlpm.A,FIND("】",_xlpm.A,FIND("】",_xlpm.A)+1)+1,LEN(_xlpm.A)),_xlpm.A))</f>
        <v/>
      </c>
      <c r="F53" s="18" t="str">
        <f>_xlfn.LET(_xlpm.A,IF(ISNUMBER(SEARCH("晒单",K53)),"【晒单】"&amp;MID(K53,SEARCH("晒单",K53)+LEN("晒单"),LEN(K53))&amp;"（需晒单后联系客服登记）",IF(ISNUMBER(SEARCH("包修",K53)),"【购机】"&amp;MID(K53,SEARCH("购机",K53)+LEN("购机"),LEN(K53)),IF(ISNUMBER(SEARCH("叠放支架",K53)),"【赠品】"&amp;MID(K53,SEARCH("购机",K53)+LEN("购机"),LEN(K53)),IF(ISNUMBER(SEARCH("秀图",K53)),"【秀图】"&amp;MID(K53,SEARCH("秀图",K53)+LEN("秀图"),LEN(K53)),"")))),IFERROR(LEFT(_xlpm.A,FIND("【",_xlpm.A,FIND("】",_xlpm.A)+1)-1)&amp;MID(_xlpm.A,FIND("】",_xlpm.A,FIND("】",_xlpm.A)+1)+1,LEN(_xlpm.A)),_xlpm.A))</f>
        <v/>
      </c>
      <c r="G53" s="18" t="str">
        <f>_xlfn.LET(_xlpm.A,IF(ISNUMBER(SEARCH("晒单",L53)),"【晒单】"&amp;MID(L53,SEARCH("晒单",L53)+LEN("晒单"),LEN(L53))&amp;"（需晒单后联系客服登记）",IF(ISNUMBER(SEARCH("包修",L53)),"【购机】"&amp;MID(L53,SEARCH("购机",L53)+LEN("购机"),LEN(L53)),IF(ISNUMBER(SEARCH("叠放支架",L53)),"【赠品】"&amp;MID(L53,SEARCH("购机",L53)+LEN("购机"),LEN(L53)),IF(ISNUMBER(SEARCH("秀图",L53)),"【秀图】"&amp;MID(L53,SEARCH("秀图",L53)+LEN("秀图"),LEN(L53)),"")))),IFERROR(LEFT(_xlpm.A,FIND("【",_xlpm.A,FIND("】",_xlpm.A)+1)-1)&amp;MID(_xlpm.A,FIND("】",_xlpm.A,FIND("】",_xlpm.A)+1)+1,LEN(_xlpm.A)),_xlpm.A))</f>
        <v/>
      </c>
      <c r="H53" s="18" t="str">
        <f>_xlfn.LET(_xlpm.A,IF(ISNUMBER(SEARCH("晒单",M53)),"【晒单】"&amp;MID(M53,SEARCH("晒单",M53)+LEN("晒单"),LEN(M53))&amp;"（需晒单后联系客服登记）",IF(ISNUMBER(SEARCH("包修",M53)),"【购机】"&amp;MID(M53,SEARCH("购机",M53)+LEN("购机"),LEN(M53)),IF(ISNUMBER(SEARCH("叠放支架",M53)),"【赠品】"&amp;MID(M53,SEARCH("购机",M53)+LEN("购机"),LEN(M53)),IF(ISNUMBER(SEARCH("秀图",M53)),"【秀图】"&amp;MID(M53,SEARCH("秀图",M53)+LEN("秀图"),LEN(M53)),"")))),IFERROR(LEFT(_xlpm.A,FIND("【",_xlpm.A,FIND("】",_xlpm.A)+1)-1)&amp;MID(_xlpm.A,FIND("】",_xlpm.A,FIND("】",_xlpm.A)+1)+1,LEN(_xlpm.A)),_xlpm.A))</f>
        <v/>
      </c>
      <c r="I53" s="18" t="str">
        <f>_xlfn.LET(_xlpm.A,IF(ISNUMBER(SEARCH("晒单",N53)),"【晒单】"&amp;MID(N53,SEARCH("晒单",N53)+LEN("晒单"),LEN(N53))&amp;"（需晒单后联系客服登记）",IF(ISNUMBER(SEARCH("包修",N53)),"【购机】"&amp;MID(N53,SEARCH("购机",N53)+LEN("购机"),LEN(N53)),IF(ISNUMBER(SEARCH("叠放支架",N53)),"【赠品】"&amp;MID(N53,SEARCH("购机",N53)+LEN("购机"),LEN(N53)),IF(ISNUMBER(SEARCH("秀图",N53)),"【秀图】"&amp;MID(N53,SEARCH("秀图",N53)+LEN("秀图"),LEN(N53)),"")))),IFERROR(LEFT(_xlpm.A,FIND("【",_xlpm.A,FIND("】",_xlpm.A)+1)-1)&amp;MID(_xlpm.A,FIND("】",_xlpm.A,FIND("】",_xlpm.A)+1)+1,LEN(_xlpm.A)),_xlpm.A))</f>
        <v/>
      </c>
      <c r="J53" s="18" t="str" cm="1">
        <f t="array" ref="J53">IFERROR(INDEX(_xlfn.TEXTSPLIT(_xlfn.XLOOKUP($A53&amp;$B53&amp;$C53,盘货信息!$A:$A&amp;盘货信息!$B:$B&amp;盘货信息!$C:$C,盘货信息!$S:$S),CHAR(10),,TRUE),1,COLUMN(A52)),"")</f>
        <v/>
      </c>
      <c r="K53" s="18" t="str" cm="1">
        <f t="array" ref="K53">IFERROR(INDEX(_xlfn.TEXTSPLIT(_xlfn.XLOOKUP($A53&amp;$B53&amp;$C53,盘货信息!$A:$A&amp;盘货信息!$B:$B&amp;盘货信息!$C:$C,盘货信息!$S:$S),CHAR(10),,TRUE),1,COLUMN(B52)),"")</f>
        <v/>
      </c>
      <c r="L53" s="18" t="str" cm="1">
        <f t="array" ref="L53">IFERROR(INDEX(_xlfn.TEXTSPLIT(_xlfn.XLOOKUP($A53&amp;$B53&amp;$C53,盘货信息!$A:$A&amp;盘货信息!$B:$B&amp;盘货信息!$C:$C,盘货信息!$S:$S),CHAR(10),,TRUE),1,COLUMN(C52)),"")</f>
        <v/>
      </c>
      <c r="M53" s="18" t="str" cm="1">
        <f t="array" ref="M53">IFERROR(INDEX(_xlfn.TEXTSPLIT(_xlfn.XLOOKUP($A53&amp;$B53&amp;$C53,盘货信息!$A:$A&amp;盘货信息!$B:$B&amp;盘货信息!$C:$C,盘货信息!$S:$S),CHAR(10),,TRUE),1,COLUMN(D52)),"")</f>
        <v/>
      </c>
      <c r="N53" s="18" t="str" cm="1">
        <f t="array" ref="N53">IFERROR(INDEX(_xlfn.TEXTSPLIT(_xlfn.XLOOKUP($A53&amp;$B53&amp;$C53,盘货信息!$A:$A&amp;盘货信息!$B:$B&amp;盘货信息!$C:$C,盘货信息!$S:$S),CHAR(10),,TRUE),1,COLUMN(E52)),"")</f>
        <v/>
      </c>
    </row>
    <row r="54" customHeight="1" spans="1:14">
      <c r="A54" s="17" t="str">
        <f>IF(盘货信息!A54="","",盘货信息!A54)</f>
        <v/>
      </c>
      <c r="B54" s="17" t="str">
        <f>IF(盘货信息!B54="","",盘货信息!B54)</f>
        <v/>
      </c>
      <c r="C54" s="18" t="str">
        <f>IF(盘货信息!C54="","",盘货信息!C54)</f>
        <v/>
      </c>
      <c r="D54" s="18" t="str">
        <f t="shared" si="0"/>
        <v/>
      </c>
      <c r="E54" s="18" t="str">
        <f>_xlfn.LET(_xlpm.A,IF(ISNUMBER(SEARCH("晒单",J54)),"【晒单】"&amp;MID(J54,SEARCH("晒单",J54)+LEN("晒单"),LEN(J54))&amp;"（需晒单后联系客服登记）",IF(ISNUMBER(SEARCH("包修",J54)),"【购机】"&amp;MID(J54,SEARCH("购机",J54)+LEN("购机"),LEN(J54)),IF(ISNUMBER(SEARCH("叠放支架",J54)),"【赠品】"&amp;MID(J54,SEARCH("购机",J54)+LEN("购机"),LEN(J54)),IF(ISNUMBER(SEARCH("秀图",J54)),"【秀图】"&amp;MID(J54,SEARCH("秀图",J54)+LEN("秀图"),LEN(J54)),"")))),IFERROR(LEFT(_xlpm.A,FIND("【",_xlpm.A,FIND("】",_xlpm.A)+1)-1)&amp;MID(_xlpm.A,FIND("】",_xlpm.A,FIND("】",_xlpm.A)+1)+1,LEN(_xlpm.A)),_xlpm.A))</f>
        <v/>
      </c>
      <c r="F54" s="18" t="str">
        <f>_xlfn.LET(_xlpm.A,IF(ISNUMBER(SEARCH("晒单",K54)),"【晒单】"&amp;MID(K54,SEARCH("晒单",K54)+LEN("晒单"),LEN(K54))&amp;"（需晒单后联系客服登记）",IF(ISNUMBER(SEARCH("包修",K54)),"【购机】"&amp;MID(K54,SEARCH("购机",K54)+LEN("购机"),LEN(K54)),IF(ISNUMBER(SEARCH("叠放支架",K54)),"【赠品】"&amp;MID(K54,SEARCH("购机",K54)+LEN("购机"),LEN(K54)),IF(ISNUMBER(SEARCH("秀图",K54)),"【秀图】"&amp;MID(K54,SEARCH("秀图",K54)+LEN("秀图"),LEN(K54)),"")))),IFERROR(LEFT(_xlpm.A,FIND("【",_xlpm.A,FIND("】",_xlpm.A)+1)-1)&amp;MID(_xlpm.A,FIND("】",_xlpm.A,FIND("】",_xlpm.A)+1)+1,LEN(_xlpm.A)),_xlpm.A))</f>
        <v/>
      </c>
      <c r="G54" s="18" t="str">
        <f>_xlfn.LET(_xlpm.A,IF(ISNUMBER(SEARCH("晒单",L54)),"【晒单】"&amp;MID(L54,SEARCH("晒单",L54)+LEN("晒单"),LEN(L54))&amp;"（需晒单后联系客服登记）",IF(ISNUMBER(SEARCH("包修",L54)),"【购机】"&amp;MID(L54,SEARCH("购机",L54)+LEN("购机"),LEN(L54)),IF(ISNUMBER(SEARCH("叠放支架",L54)),"【赠品】"&amp;MID(L54,SEARCH("购机",L54)+LEN("购机"),LEN(L54)),IF(ISNUMBER(SEARCH("秀图",L54)),"【秀图】"&amp;MID(L54,SEARCH("秀图",L54)+LEN("秀图"),LEN(L54)),"")))),IFERROR(LEFT(_xlpm.A,FIND("【",_xlpm.A,FIND("】",_xlpm.A)+1)-1)&amp;MID(_xlpm.A,FIND("】",_xlpm.A,FIND("】",_xlpm.A)+1)+1,LEN(_xlpm.A)),_xlpm.A))</f>
        <v/>
      </c>
      <c r="H54" s="18" t="str">
        <f>_xlfn.LET(_xlpm.A,IF(ISNUMBER(SEARCH("晒单",M54)),"【晒单】"&amp;MID(M54,SEARCH("晒单",M54)+LEN("晒单"),LEN(M54))&amp;"（需晒单后联系客服登记）",IF(ISNUMBER(SEARCH("包修",M54)),"【购机】"&amp;MID(M54,SEARCH("购机",M54)+LEN("购机"),LEN(M54)),IF(ISNUMBER(SEARCH("叠放支架",M54)),"【赠品】"&amp;MID(M54,SEARCH("购机",M54)+LEN("购机"),LEN(M54)),IF(ISNUMBER(SEARCH("秀图",M54)),"【秀图】"&amp;MID(M54,SEARCH("秀图",M54)+LEN("秀图"),LEN(M54)),"")))),IFERROR(LEFT(_xlpm.A,FIND("【",_xlpm.A,FIND("】",_xlpm.A)+1)-1)&amp;MID(_xlpm.A,FIND("】",_xlpm.A,FIND("】",_xlpm.A)+1)+1,LEN(_xlpm.A)),_xlpm.A))</f>
        <v/>
      </c>
      <c r="I54" s="18" t="str">
        <f>_xlfn.LET(_xlpm.A,IF(ISNUMBER(SEARCH("晒单",N54)),"【晒单】"&amp;MID(N54,SEARCH("晒单",N54)+LEN("晒单"),LEN(N54))&amp;"（需晒单后联系客服登记）",IF(ISNUMBER(SEARCH("包修",N54)),"【购机】"&amp;MID(N54,SEARCH("购机",N54)+LEN("购机"),LEN(N54)),IF(ISNUMBER(SEARCH("叠放支架",N54)),"【赠品】"&amp;MID(N54,SEARCH("购机",N54)+LEN("购机"),LEN(N54)),IF(ISNUMBER(SEARCH("秀图",N54)),"【秀图】"&amp;MID(N54,SEARCH("秀图",N54)+LEN("秀图"),LEN(N54)),"")))),IFERROR(LEFT(_xlpm.A,FIND("【",_xlpm.A,FIND("】",_xlpm.A)+1)-1)&amp;MID(_xlpm.A,FIND("】",_xlpm.A,FIND("】",_xlpm.A)+1)+1,LEN(_xlpm.A)),_xlpm.A))</f>
        <v/>
      </c>
      <c r="J54" s="18" t="str" cm="1">
        <f t="array" ref="J54">IFERROR(INDEX(_xlfn.TEXTSPLIT(_xlfn.XLOOKUP($A54&amp;$B54&amp;$C54,盘货信息!$A:$A&amp;盘货信息!$B:$B&amp;盘货信息!$C:$C,盘货信息!$S:$S),CHAR(10),,TRUE),1,COLUMN(A53)),"")</f>
        <v/>
      </c>
      <c r="K54" s="18" t="str" cm="1">
        <f t="array" ref="K54">IFERROR(INDEX(_xlfn.TEXTSPLIT(_xlfn.XLOOKUP($A54&amp;$B54&amp;$C54,盘货信息!$A:$A&amp;盘货信息!$B:$B&amp;盘货信息!$C:$C,盘货信息!$S:$S),CHAR(10),,TRUE),1,COLUMN(B53)),"")</f>
        <v/>
      </c>
      <c r="L54" s="18" t="str" cm="1">
        <f t="array" ref="L54">IFERROR(INDEX(_xlfn.TEXTSPLIT(_xlfn.XLOOKUP($A54&amp;$B54&amp;$C54,盘货信息!$A:$A&amp;盘货信息!$B:$B&amp;盘货信息!$C:$C,盘货信息!$S:$S),CHAR(10),,TRUE),1,COLUMN(C53)),"")</f>
        <v/>
      </c>
      <c r="M54" s="18" t="str" cm="1">
        <f t="array" ref="M54">IFERROR(INDEX(_xlfn.TEXTSPLIT(_xlfn.XLOOKUP($A54&amp;$B54&amp;$C54,盘货信息!$A:$A&amp;盘货信息!$B:$B&amp;盘货信息!$C:$C,盘货信息!$S:$S),CHAR(10),,TRUE),1,COLUMN(D53)),"")</f>
        <v/>
      </c>
      <c r="N54" s="18" t="str" cm="1">
        <f t="array" ref="N54">IFERROR(INDEX(_xlfn.TEXTSPLIT(_xlfn.XLOOKUP($A54&amp;$B54&amp;$C54,盘货信息!$A:$A&amp;盘货信息!$B:$B&amp;盘货信息!$C:$C,盘货信息!$S:$S),CHAR(10),,TRUE),1,COLUMN(E53)),"")</f>
        <v/>
      </c>
    </row>
    <row r="55" customHeight="1" spans="1:14">
      <c r="A55" s="17" t="str">
        <f>IF(盘货信息!A55="","",盘货信息!A55)</f>
        <v/>
      </c>
      <c r="B55" s="17" t="str">
        <f>IF(盘货信息!B55="","",盘货信息!B55)</f>
        <v/>
      </c>
      <c r="C55" s="18" t="str">
        <f>IF(盘货信息!C55="","",盘货信息!C55)</f>
        <v/>
      </c>
      <c r="D55" s="18" t="str">
        <f t="shared" si="0"/>
        <v/>
      </c>
      <c r="E55" s="18" t="str">
        <f>_xlfn.LET(_xlpm.A,IF(ISNUMBER(SEARCH("晒单",J55)),"【晒单】"&amp;MID(J55,SEARCH("晒单",J55)+LEN("晒单"),LEN(J55))&amp;"（需晒单后联系客服登记）",IF(ISNUMBER(SEARCH("包修",J55)),"【购机】"&amp;MID(J55,SEARCH("购机",J55)+LEN("购机"),LEN(J55)),IF(ISNUMBER(SEARCH("叠放支架",J55)),"【赠品】"&amp;MID(J55,SEARCH("购机",J55)+LEN("购机"),LEN(J55)),IF(ISNUMBER(SEARCH("秀图",J55)),"【秀图】"&amp;MID(J55,SEARCH("秀图",J55)+LEN("秀图"),LEN(J55)),"")))),IFERROR(LEFT(_xlpm.A,FIND("【",_xlpm.A,FIND("】",_xlpm.A)+1)-1)&amp;MID(_xlpm.A,FIND("】",_xlpm.A,FIND("】",_xlpm.A)+1)+1,LEN(_xlpm.A)),_xlpm.A))</f>
        <v/>
      </c>
      <c r="F55" s="18" t="str">
        <f>_xlfn.LET(_xlpm.A,IF(ISNUMBER(SEARCH("晒单",K55)),"【晒单】"&amp;MID(K55,SEARCH("晒单",K55)+LEN("晒单"),LEN(K55))&amp;"（需晒单后联系客服登记）",IF(ISNUMBER(SEARCH("包修",K55)),"【购机】"&amp;MID(K55,SEARCH("购机",K55)+LEN("购机"),LEN(K55)),IF(ISNUMBER(SEARCH("叠放支架",K55)),"【赠品】"&amp;MID(K55,SEARCH("购机",K55)+LEN("购机"),LEN(K55)),IF(ISNUMBER(SEARCH("秀图",K55)),"【秀图】"&amp;MID(K55,SEARCH("秀图",K55)+LEN("秀图"),LEN(K55)),"")))),IFERROR(LEFT(_xlpm.A,FIND("【",_xlpm.A,FIND("】",_xlpm.A)+1)-1)&amp;MID(_xlpm.A,FIND("】",_xlpm.A,FIND("】",_xlpm.A)+1)+1,LEN(_xlpm.A)),_xlpm.A))</f>
        <v/>
      </c>
      <c r="G55" s="18" t="str">
        <f>_xlfn.LET(_xlpm.A,IF(ISNUMBER(SEARCH("晒单",L55)),"【晒单】"&amp;MID(L55,SEARCH("晒单",L55)+LEN("晒单"),LEN(L55))&amp;"（需晒单后联系客服登记）",IF(ISNUMBER(SEARCH("包修",L55)),"【购机】"&amp;MID(L55,SEARCH("购机",L55)+LEN("购机"),LEN(L55)),IF(ISNUMBER(SEARCH("叠放支架",L55)),"【赠品】"&amp;MID(L55,SEARCH("购机",L55)+LEN("购机"),LEN(L55)),IF(ISNUMBER(SEARCH("秀图",L55)),"【秀图】"&amp;MID(L55,SEARCH("秀图",L55)+LEN("秀图"),LEN(L55)),"")))),IFERROR(LEFT(_xlpm.A,FIND("【",_xlpm.A,FIND("】",_xlpm.A)+1)-1)&amp;MID(_xlpm.A,FIND("】",_xlpm.A,FIND("】",_xlpm.A)+1)+1,LEN(_xlpm.A)),_xlpm.A))</f>
        <v/>
      </c>
      <c r="H55" s="18" t="str">
        <f>_xlfn.LET(_xlpm.A,IF(ISNUMBER(SEARCH("晒单",M55)),"【晒单】"&amp;MID(M55,SEARCH("晒单",M55)+LEN("晒单"),LEN(M55))&amp;"（需晒单后联系客服登记）",IF(ISNUMBER(SEARCH("包修",M55)),"【购机】"&amp;MID(M55,SEARCH("购机",M55)+LEN("购机"),LEN(M55)),IF(ISNUMBER(SEARCH("叠放支架",M55)),"【赠品】"&amp;MID(M55,SEARCH("购机",M55)+LEN("购机"),LEN(M55)),IF(ISNUMBER(SEARCH("秀图",M55)),"【秀图】"&amp;MID(M55,SEARCH("秀图",M55)+LEN("秀图"),LEN(M55)),"")))),IFERROR(LEFT(_xlpm.A,FIND("【",_xlpm.A,FIND("】",_xlpm.A)+1)-1)&amp;MID(_xlpm.A,FIND("】",_xlpm.A,FIND("】",_xlpm.A)+1)+1,LEN(_xlpm.A)),_xlpm.A))</f>
        <v/>
      </c>
      <c r="I55" s="18" t="str">
        <f>_xlfn.LET(_xlpm.A,IF(ISNUMBER(SEARCH("晒单",N55)),"【晒单】"&amp;MID(N55,SEARCH("晒单",N55)+LEN("晒单"),LEN(N55))&amp;"（需晒单后联系客服登记）",IF(ISNUMBER(SEARCH("包修",N55)),"【购机】"&amp;MID(N55,SEARCH("购机",N55)+LEN("购机"),LEN(N55)),IF(ISNUMBER(SEARCH("叠放支架",N55)),"【赠品】"&amp;MID(N55,SEARCH("购机",N55)+LEN("购机"),LEN(N55)),IF(ISNUMBER(SEARCH("秀图",N55)),"【秀图】"&amp;MID(N55,SEARCH("秀图",N55)+LEN("秀图"),LEN(N55)),"")))),IFERROR(LEFT(_xlpm.A,FIND("【",_xlpm.A,FIND("】",_xlpm.A)+1)-1)&amp;MID(_xlpm.A,FIND("】",_xlpm.A,FIND("】",_xlpm.A)+1)+1,LEN(_xlpm.A)),_xlpm.A))</f>
        <v/>
      </c>
      <c r="J55" s="18" t="str" cm="1">
        <f t="array" ref="J55">IFERROR(INDEX(_xlfn.TEXTSPLIT(_xlfn.XLOOKUP($A55&amp;$B55&amp;$C55,盘货信息!$A:$A&amp;盘货信息!$B:$B&amp;盘货信息!$C:$C,盘货信息!$S:$S),CHAR(10),,TRUE),1,COLUMN(A54)),"")</f>
        <v/>
      </c>
      <c r="K55" s="18" t="str" cm="1">
        <f t="array" ref="K55">IFERROR(INDEX(_xlfn.TEXTSPLIT(_xlfn.XLOOKUP($A55&amp;$B55&amp;$C55,盘货信息!$A:$A&amp;盘货信息!$B:$B&amp;盘货信息!$C:$C,盘货信息!$S:$S),CHAR(10),,TRUE),1,COLUMN(B54)),"")</f>
        <v/>
      </c>
      <c r="L55" s="18" t="str" cm="1">
        <f t="array" ref="L55">IFERROR(INDEX(_xlfn.TEXTSPLIT(_xlfn.XLOOKUP($A55&amp;$B55&amp;$C55,盘货信息!$A:$A&amp;盘货信息!$B:$B&amp;盘货信息!$C:$C,盘货信息!$S:$S),CHAR(10),,TRUE),1,COLUMN(C54)),"")</f>
        <v/>
      </c>
      <c r="M55" s="18" t="str" cm="1">
        <f t="array" ref="M55">IFERROR(INDEX(_xlfn.TEXTSPLIT(_xlfn.XLOOKUP($A55&amp;$B55&amp;$C55,盘货信息!$A:$A&amp;盘货信息!$B:$B&amp;盘货信息!$C:$C,盘货信息!$S:$S),CHAR(10),,TRUE),1,COLUMN(D54)),"")</f>
        <v/>
      </c>
      <c r="N55" s="18" t="str" cm="1">
        <f t="array" ref="N55">IFERROR(INDEX(_xlfn.TEXTSPLIT(_xlfn.XLOOKUP($A55&amp;$B55&amp;$C55,盘货信息!$A:$A&amp;盘货信息!$B:$B&amp;盘货信息!$C:$C,盘货信息!$S:$S),CHAR(10),,TRUE),1,COLUMN(E54)),"")</f>
        <v/>
      </c>
    </row>
    <row r="56" customHeight="1" spans="1:14">
      <c r="A56" s="17" t="str">
        <f>IF(盘货信息!A56="","",盘货信息!A56)</f>
        <v/>
      </c>
      <c r="B56" s="17" t="str">
        <f>IF(盘货信息!B56="","",盘货信息!B56)</f>
        <v/>
      </c>
      <c r="C56" s="18" t="str">
        <f>IF(盘货信息!C56="","",盘货信息!C56)</f>
        <v/>
      </c>
      <c r="D56" s="18" t="str">
        <f t="shared" si="0"/>
        <v/>
      </c>
      <c r="E56" s="18" t="str">
        <f>_xlfn.LET(_xlpm.A,IF(ISNUMBER(SEARCH("晒单",J56)),"【晒单】"&amp;MID(J56,SEARCH("晒单",J56)+LEN("晒单"),LEN(J56))&amp;"（需晒单后联系客服登记）",IF(ISNUMBER(SEARCH("包修",J56)),"【购机】"&amp;MID(J56,SEARCH("购机",J56)+LEN("购机"),LEN(J56)),IF(ISNUMBER(SEARCH("叠放支架",J56)),"【赠品】"&amp;MID(J56,SEARCH("购机",J56)+LEN("购机"),LEN(J56)),IF(ISNUMBER(SEARCH("秀图",J56)),"【秀图】"&amp;MID(J56,SEARCH("秀图",J56)+LEN("秀图"),LEN(J56)),"")))),IFERROR(LEFT(_xlpm.A,FIND("【",_xlpm.A,FIND("】",_xlpm.A)+1)-1)&amp;MID(_xlpm.A,FIND("】",_xlpm.A,FIND("】",_xlpm.A)+1)+1,LEN(_xlpm.A)),_xlpm.A))</f>
        <v/>
      </c>
      <c r="F56" s="18" t="str">
        <f>_xlfn.LET(_xlpm.A,IF(ISNUMBER(SEARCH("晒单",K56)),"【晒单】"&amp;MID(K56,SEARCH("晒单",K56)+LEN("晒单"),LEN(K56))&amp;"（需晒单后联系客服登记）",IF(ISNUMBER(SEARCH("包修",K56)),"【购机】"&amp;MID(K56,SEARCH("购机",K56)+LEN("购机"),LEN(K56)),IF(ISNUMBER(SEARCH("叠放支架",K56)),"【赠品】"&amp;MID(K56,SEARCH("购机",K56)+LEN("购机"),LEN(K56)),IF(ISNUMBER(SEARCH("秀图",K56)),"【秀图】"&amp;MID(K56,SEARCH("秀图",K56)+LEN("秀图"),LEN(K56)),"")))),IFERROR(LEFT(_xlpm.A,FIND("【",_xlpm.A,FIND("】",_xlpm.A)+1)-1)&amp;MID(_xlpm.A,FIND("】",_xlpm.A,FIND("】",_xlpm.A)+1)+1,LEN(_xlpm.A)),_xlpm.A))</f>
        <v/>
      </c>
      <c r="G56" s="18" t="str">
        <f>_xlfn.LET(_xlpm.A,IF(ISNUMBER(SEARCH("晒单",L56)),"【晒单】"&amp;MID(L56,SEARCH("晒单",L56)+LEN("晒单"),LEN(L56))&amp;"（需晒单后联系客服登记）",IF(ISNUMBER(SEARCH("包修",L56)),"【购机】"&amp;MID(L56,SEARCH("购机",L56)+LEN("购机"),LEN(L56)),IF(ISNUMBER(SEARCH("叠放支架",L56)),"【赠品】"&amp;MID(L56,SEARCH("购机",L56)+LEN("购机"),LEN(L56)),IF(ISNUMBER(SEARCH("秀图",L56)),"【秀图】"&amp;MID(L56,SEARCH("秀图",L56)+LEN("秀图"),LEN(L56)),"")))),IFERROR(LEFT(_xlpm.A,FIND("【",_xlpm.A,FIND("】",_xlpm.A)+1)-1)&amp;MID(_xlpm.A,FIND("】",_xlpm.A,FIND("】",_xlpm.A)+1)+1,LEN(_xlpm.A)),_xlpm.A))</f>
        <v/>
      </c>
      <c r="H56" s="18" t="str">
        <f>_xlfn.LET(_xlpm.A,IF(ISNUMBER(SEARCH("晒单",M56)),"【晒单】"&amp;MID(M56,SEARCH("晒单",M56)+LEN("晒单"),LEN(M56))&amp;"（需晒单后联系客服登记）",IF(ISNUMBER(SEARCH("包修",M56)),"【购机】"&amp;MID(M56,SEARCH("购机",M56)+LEN("购机"),LEN(M56)),IF(ISNUMBER(SEARCH("叠放支架",M56)),"【赠品】"&amp;MID(M56,SEARCH("购机",M56)+LEN("购机"),LEN(M56)),IF(ISNUMBER(SEARCH("秀图",M56)),"【秀图】"&amp;MID(M56,SEARCH("秀图",M56)+LEN("秀图"),LEN(M56)),"")))),IFERROR(LEFT(_xlpm.A,FIND("【",_xlpm.A,FIND("】",_xlpm.A)+1)-1)&amp;MID(_xlpm.A,FIND("】",_xlpm.A,FIND("】",_xlpm.A)+1)+1,LEN(_xlpm.A)),_xlpm.A))</f>
        <v/>
      </c>
      <c r="I56" s="18" t="str">
        <f>_xlfn.LET(_xlpm.A,IF(ISNUMBER(SEARCH("晒单",N56)),"【晒单】"&amp;MID(N56,SEARCH("晒单",N56)+LEN("晒单"),LEN(N56))&amp;"（需晒单后联系客服登记）",IF(ISNUMBER(SEARCH("包修",N56)),"【购机】"&amp;MID(N56,SEARCH("购机",N56)+LEN("购机"),LEN(N56)),IF(ISNUMBER(SEARCH("叠放支架",N56)),"【赠品】"&amp;MID(N56,SEARCH("购机",N56)+LEN("购机"),LEN(N56)),IF(ISNUMBER(SEARCH("秀图",N56)),"【秀图】"&amp;MID(N56,SEARCH("秀图",N56)+LEN("秀图"),LEN(N56)),"")))),IFERROR(LEFT(_xlpm.A,FIND("【",_xlpm.A,FIND("】",_xlpm.A)+1)-1)&amp;MID(_xlpm.A,FIND("】",_xlpm.A,FIND("】",_xlpm.A)+1)+1,LEN(_xlpm.A)),_xlpm.A))</f>
        <v/>
      </c>
      <c r="J56" s="18" t="str" cm="1">
        <f t="array" ref="J56">IFERROR(INDEX(_xlfn.TEXTSPLIT(_xlfn.XLOOKUP($A56&amp;$B56&amp;$C56,盘货信息!$A:$A&amp;盘货信息!$B:$B&amp;盘货信息!$C:$C,盘货信息!$S:$S),CHAR(10),,TRUE),1,COLUMN(A55)),"")</f>
        <v/>
      </c>
      <c r="K56" s="18" t="str" cm="1">
        <f t="array" ref="K56">IFERROR(INDEX(_xlfn.TEXTSPLIT(_xlfn.XLOOKUP($A56&amp;$B56&amp;$C56,盘货信息!$A:$A&amp;盘货信息!$B:$B&amp;盘货信息!$C:$C,盘货信息!$S:$S),CHAR(10),,TRUE),1,COLUMN(B55)),"")</f>
        <v/>
      </c>
      <c r="L56" s="18" t="str" cm="1">
        <f t="array" ref="L56">IFERROR(INDEX(_xlfn.TEXTSPLIT(_xlfn.XLOOKUP($A56&amp;$B56&amp;$C56,盘货信息!$A:$A&amp;盘货信息!$B:$B&amp;盘货信息!$C:$C,盘货信息!$S:$S),CHAR(10),,TRUE),1,COLUMN(C55)),"")</f>
        <v/>
      </c>
      <c r="M56" s="18" t="str" cm="1">
        <f t="array" ref="M56">IFERROR(INDEX(_xlfn.TEXTSPLIT(_xlfn.XLOOKUP($A56&amp;$B56&amp;$C56,盘货信息!$A:$A&amp;盘货信息!$B:$B&amp;盘货信息!$C:$C,盘货信息!$S:$S),CHAR(10),,TRUE),1,COLUMN(D55)),"")</f>
        <v/>
      </c>
      <c r="N56" s="18" t="str" cm="1">
        <f t="array" ref="N56">IFERROR(INDEX(_xlfn.TEXTSPLIT(_xlfn.XLOOKUP($A56&amp;$B56&amp;$C56,盘货信息!$A:$A&amp;盘货信息!$B:$B&amp;盘货信息!$C:$C,盘货信息!$S:$S),CHAR(10),,TRUE),1,COLUMN(E55)),"")</f>
        <v/>
      </c>
    </row>
    <row r="57" customHeight="1" spans="1:14">
      <c r="A57" s="17" t="str">
        <f>IF(盘货信息!A57="","",盘货信息!A57)</f>
        <v/>
      </c>
      <c r="B57" s="17" t="str">
        <f>IF(盘货信息!B57="","",盘货信息!B57)</f>
        <v/>
      </c>
      <c r="C57" s="18" t="str">
        <f>IF(盘货信息!C57="","",盘货信息!C57)</f>
        <v/>
      </c>
      <c r="D57" s="18" t="str">
        <f t="shared" si="0"/>
        <v/>
      </c>
      <c r="E57" s="18" t="str">
        <f>_xlfn.LET(_xlpm.A,IF(ISNUMBER(SEARCH("晒单",J57)),"【晒单】"&amp;MID(J57,SEARCH("晒单",J57)+LEN("晒单"),LEN(J57))&amp;"（需晒单后联系客服登记）",IF(ISNUMBER(SEARCH("包修",J57)),"【购机】"&amp;MID(J57,SEARCH("购机",J57)+LEN("购机"),LEN(J57)),IF(ISNUMBER(SEARCH("叠放支架",J57)),"【赠品】"&amp;MID(J57,SEARCH("购机",J57)+LEN("购机"),LEN(J57)),IF(ISNUMBER(SEARCH("秀图",J57)),"【秀图】"&amp;MID(J57,SEARCH("秀图",J57)+LEN("秀图"),LEN(J57)),"")))),IFERROR(LEFT(_xlpm.A,FIND("【",_xlpm.A,FIND("】",_xlpm.A)+1)-1)&amp;MID(_xlpm.A,FIND("】",_xlpm.A,FIND("】",_xlpm.A)+1)+1,LEN(_xlpm.A)),_xlpm.A))</f>
        <v/>
      </c>
      <c r="F57" s="18" t="str">
        <f>_xlfn.LET(_xlpm.A,IF(ISNUMBER(SEARCH("晒单",K57)),"【晒单】"&amp;MID(K57,SEARCH("晒单",K57)+LEN("晒单"),LEN(K57))&amp;"（需晒单后联系客服登记）",IF(ISNUMBER(SEARCH("包修",K57)),"【购机】"&amp;MID(K57,SEARCH("购机",K57)+LEN("购机"),LEN(K57)),IF(ISNUMBER(SEARCH("叠放支架",K57)),"【赠品】"&amp;MID(K57,SEARCH("购机",K57)+LEN("购机"),LEN(K57)),IF(ISNUMBER(SEARCH("秀图",K57)),"【秀图】"&amp;MID(K57,SEARCH("秀图",K57)+LEN("秀图"),LEN(K57)),"")))),IFERROR(LEFT(_xlpm.A,FIND("【",_xlpm.A,FIND("】",_xlpm.A)+1)-1)&amp;MID(_xlpm.A,FIND("】",_xlpm.A,FIND("】",_xlpm.A)+1)+1,LEN(_xlpm.A)),_xlpm.A))</f>
        <v/>
      </c>
      <c r="G57" s="18" t="str">
        <f>_xlfn.LET(_xlpm.A,IF(ISNUMBER(SEARCH("晒单",L57)),"【晒单】"&amp;MID(L57,SEARCH("晒单",L57)+LEN("晒单"),LEN(L57))&amp;"（需晒单后联系客服登记）",IF(ISNUMBER(SEARCH("包修",L57)),"【购机】"&amp;MID(L57,SEARCH("购机",L57)+LEN("购机"),LEN(L57)),IF(ISNUMBER(SEARCH("叠放支架",L57)),"【赠品】"&amp;MID(L57,SEARCH("购机",L57)+LEN("购机"),LEN(L57)),IF(ISNUMBER(SEARCH("秀图",L57)),"【秀图】"&amp;MID(L57,SEARCH("秀图",L57)+LEN("秀图"),LEN(L57)),"")))),IFERROR(LEFT(_xlpm.A,FIND("【",_xlpm.A,FIND("】",_xlpm.A)+1)-1)&amp;MID(_xlpm.A,FIND("】",_xlpm.A,FIND("】",_xlpm.A)+1)+1,LEN(_xlpm.A)),_xlpm.A))</f>
        <v/>
      </c>
      <c r="H57" s="18" t="str">
        <f>_xlfn.LET(_xlpm.A,IF(ISNUMBER(SEARCH("晒单",M57)),"【晒单】"&amp;MID(M57,SEARCH("晒单",M57)+LEN("晒单"),LEN(M57))&amp;"（需晒单后联系客服登记）",IF(ISNUMBER(SEARCH("包修",M57)),"【购机】"&amp;MID(M57,SEARCH("购机",M57)+LEN("购机"),LEN(M57)),IF(ISNUMBER(SEARCH("叠放支架",M57)),"【赠品】"&amp;MID(M57,SEARCH("购机",M57)+LEN("购机"),LEN(M57)),IF(ISNUMBER(SEARCH("秀图",M57)),"【秀图】"&amp;MID(M57,SEARCH("秀图",M57)+LEN("秀图"),LEN(M57)),"")))),IFERROR(LEFT(_xlpm.A,FIND("【",_xlpm.A,FIND("】",_xlpm.A)+1)-1)&amp;MID(_xlpm.A,FIND("】",_xlpm.A,FIND("】",_xlpm.A)+1)+1,LEN(_xlpm.A)),_xlpm.A))</f>
        <v/>
      </c>
      <c r="I57" s="18" t="str">
        <f>_xlfn.LET(_xlpm.A,IF(ISNUMBER(SEARCH("晒单",N57)),"【晒单】"&amp;MID(N57,SEARCH("晒单",N57)+LEN("晒单"),LEN(N57))&amp;"（需晒单后联系客服登记）",IF(ISNUMBER(SEARCH("包修",N57)),"【购机】"&amp;MID(N57,SEARCH("购机",N57)+LEN("购机"),LEN(N57)),IF(ISNUMBER(SEARCH("叠放支架",N57)),"【赠品】"&amp;MID(N57,SEARCH("购机",N57)+LEN("购机"),LEN(N57)),IF(ISNUMBER(SEARCH("秀图",N57)),"【秀图】"&amp;MID(N57,SEARCH("秀图",N57)+LEN("秀图"),LEN(N57)),"")))),IFERROR(LEFT(_xlpm.A,FIND("【",_xlpm.A,FIND("】",_xlpm.A)+1)-1)&amp;MID(_xlpm.A,FIND("】",_xlpm.A,FIND("】",_xlpm.A)+1)+1,LEN(_xlpm.A)),_xlpm.A))</f>
        <v/>
      </c>
      <c r="J57" s="18" t="str" cm="1">
        <f t="array" ref="J57">IFERROR(INDEX(_xlfn.TEXTSPLIT(_xlfn.XLOOKUP($A57&amp;$B57&amp;$C57,盘货信息!$A:$A&amp;盘货信息!$B:$B&amp;盘货信息!$C:$C,盘货信息!$S:$S),CHAR(10),,TRUE),1,COLUMN(A56)),"")</f>
        <v/>
      </c>
      <c r="K57" s="18" t="str" cm="1">
        <f t="array" ref="K57">IFERROR(INDEX(_xlfn.TEXTSPLIT(_xlfn.XLOOKUP($A57&amp;$B57&amp;$C57,盘货信息!$A:$A&amp;盘货信息!$B:$B&amp;盘货信息!$C:$C,盘货信息!$S:$S),CHAR(10),,TRUE),1,COLUMN(B56)),"")</f>
        <v/>
      </c>
      <c r="L57" s="18" t="str" cm="1">
        <f t="array" ref="L57">IFERROR(INDEX(_xlfn.TEXTSPLIT(_xlfn.XLOOKUP($A57&amp;$B57&amp;$C57,盘货信息!$A:$A&amp;盘货信息!$B:$B&amp;盘货信息!$C:$C,盘货信息!$S:$S),CHAR(10),,TRUE),1,COLUMN(C56)),"")</f>
        <v/>
      </c>
      <c r="M57" s="18" t="str" cm="1">
        <f t="array" ref="M57">IFERROR(INDEX(_xlfn.TEXTSPLIT(_xlfn.XLOOKUP($A57&amp;$B57&amp;$C57,盘货信息!$A:$A&amp;盘货信息!$B:$B&amp;盘货信息!$C:$C,盘货信息!$S:$S),CHAR(10),,TRUE),1,COLUMN(D56)),"")</f>
        <v/>
      </c>
      <c r="N57" s="18" t="str" cm="1">
        <f t="array" ref="N57">IFERROR(INDEX(_xlfn.TEXTSPLIT(_xlfn.XLOOKUP($A57&amp;$B57&amp;$C57,盘货信息!$A:$A&amp;盘货信息!$B:$B&amp;盘货信息!$C:$C,盘货信息!$S:$S),CHAR(10),,TRUE),1,COLUMN(E56)),"")</f>
        <v/>
      </c>
    </row>
    <row r="58" customHeight="1" spans="1:14">
      <c r="A58" s="17" t="str">
        <f>IF(盘货信息!A58="","",盘货信息!A58)</f>
        <v/>
      </c>
      <c r="B58" s="17" t="str">
        <f>IF(盘货信息!B58="","",盘货信息!B58)</f>
        <v/>
      </c>
      <c r="C58" s="18" t="str">
        <f>IF(盘货信息!C58="","",盘货信息!C58)</f>
        <v/>
      </c>
      <c r="D58" s="18" t="str">
        <f t="shared" si="0"/>
        <v/>
      </c>
      <c r="E58" s="18" t="str">
        <f>_xlfn.LET(_xlpm.A,IF(ISNUMBER(SEARCH("晒单",J58)),"【晒单】"&amp;MID(J58,SEARCH("晒单",J58)+LEN("晒单"),LEN(J58))&amp;"（需晒单后联系客服登记）",IF(ISNUMBER(SEARCH("包修",J58)),"【购机】"&amp;MID(J58,SEARCH("购机",J58)+LEN("购机"),LEN(J58)),IF(ISNUMBER(SEARCH("叠放支架",J58)),"【赠品】"&amp;MID(J58,SEARCH("购机",J58)+LEN("购机"),LEN(J58)),IF(ISNUMBER(SEARCH("秀图",J58)),"【秀图】"&amp;MID(J58,SEARCH("秀图",J58)+LEN("秀图"),LEN(J58)),"")))),IFERROR(LEFT(_xlpm.A,FIND("【",_xlpm.A,FIND("】",_xlpm.A)+1)-1)&amp;MID(_xlpm.A,FIND("】",_xlpm.A,FIND("】",_xlpm.A)+1)+1,LEN(_xlpm.A)),_xlpm.A))</f>
        <v/>
      </c>
      <c r="F58" s="18" t="str">
        <f>_xlfn.LET(_xlpm.A,IF(ISNUMBER(SEARCH("晒单",K58)),"【晒单】"&amp;MID(K58,SEARCH("晒单",K58)+LEN("晒单"),LEN(K58))&amp;"（需晒单后联系客服登记）",IF(ISNUMBER(SEARCH("包修",K58)),"【购机】"&amp;MID(K58,SEARCH("购机",K58)+LEN("购机"),LEN(K58)),IF(ISNUMBER(SEARCH("叠放支架",K58)),"【赠品】"&amp;MID(K58,SEARCH("购机",K58)+LEN("购机"),LEN(K58)),IF(ISNUMBER(SEARCH("秀图",K58)),"【秀图】"&amp;MID(K58,SEARCH("秀图",K58)+LEN("秀图"),LEN(K58)),"")))),IFERROR(LEFT(_xlpm.A,FIND("【",_xlpm.A,FIND("】",_xlpm.A)+1)-1)&amp;MID(_xlpm.A,FIND("】",_xlpm.A,FIND("】",_xlpm.A)+1)+1,LEN(_xlpm.A)),_xlpm.A))</f>
        <v/>
      </c>
      <c r="G58" s="18" t="str">
        <f>_xlfn.LET(_xlpm.A,IF(ISNUMBER(SEARCH("晒单",L58)),"【晒单】"&amp;MID(L58,SEARCH("晒单",L58)+LEN("晒单"),LEN(L58))&amp;"（需晒单后联系客服登记）",IF(ISNUMBER(SEARCH("包修",L58)),"【购机】"&amp;MID(L58,SEARCH("购机",L58)+LEN("购机"),LEN(L58)),IF(ISNUMBER(SEARCH("叠放支架",L58)),"【赠品】"&amp;MID(L58,SEARCH("购机",L58)+LEN("购机"),LEN(L58)),IF(ISNUMBER(SEARCH("秀图",L58)),"【秀图】"&amp;MID(L58,SEARCH("秀图",L58)+LEN("秀图"),LEN(L58)),"")))),IFERROR(LEFT(_xlpm.A,FIND("【",_xlpm.A,FIND("】",_xlpm.A)+1)-1)&amp;MID(_xlpm.A,FIND("】",_xlpm.A,FIND("】",_xlpm.A)+1)+1,LEN(_xlpm.A)),_xlpm.A))</f>
        <v/>
      </c>
      <c r="H58" s="18" t="str">
        <f>_xlfn.LET(_xlpm.A,IF(ISNUMBER(SEARCH("晒单",M58)),"【晒单】"&amp;MID(M58,SEARCH("晒单",M58)+LEN("晒单"),LEN(M58))&amp;"（需晒单后联系客服登记）",IF(ISNUMBER(SEARCH("包修",M58)),"【购机】"&amp;MID(M58,SEARCH("购机",M58)+LEN("购机"),LEN(M58)),IF(ISNUMBER(SEARCH("叠放支架",M58)),"【赠品】"&amp;MID(M58,SEARCH("购机",M58)+LEN("购机"),LEN(M58)),IF(ISNUMBER(SEARCH("秀图",M58)),"【秀图】"&amp;MID(M58,SEARCH("秀图",M58)+LEN("秀图"),LEN(M58)),"")))),IFERROR(LEFT(_xlpm.A,FIND("【",_xlpm.A,FIND("】",_xlpm.A)+1)-1)&amp;MID(_xlpm.A,FIND("】",_xlpm.A,FIND("】",_xlpm.A)+1)+1,LEN(_xlpm.A)),_xlpm.A))</f>
        <v/>
      </c>
      <c r="I58" s="18" t="str">
        <f>_xlfn.LET(_xlpm.A,IF(ISNUMBER(SEARCH("晒单",N58)),"【晒单】"&amp;MID(N58,SEARCH("晒单",N58)+LEN("晒单"),LEN(N58))&amp;"（需晒单后联系客服登记）",IF(ISNUMBER(SEARCH("包修",N58)),"【购机】"&amp;MID(N58,SEARCH("购机",N58)+LEN("购机"),LEN(N58)),IF(ISNUMBER(SEARCH("叠放支架",N58)),"【赠品】"&amp;MID(N58,SEARCH("购机",N58)+LEN("购机"),LEN(N58)),IF(ISNUMBER(SEARCH("秀图",N58)),"【秀图】"&amp;MID(N58,SEARCH("秀图",N58)+LEN("秀图"),LEN(N58)),"")))),IFERROR(LEFT(_xlpm.A,FIND("【",_xlpm.A,FIND("】",_xlpm.A)+1)-1)&amp;MID(_xlpm.A,FIND("】",_xlpm.A,FIND("】",_xlpm.A)+1)+1,LEN(_xlpm.A)),_xlpm.A))</f>
        <v/>
      </c>
      <c r="J58" s="18" t="str" cm="1">
        <f t="array" ref="J58">IFERROR(INDEX(_xlfn.TEXTSPLIT(_xlfn.XLOOKUP($A58&amp;$B58&amp;$C58,盘货信息!$A:$A&amp;盘货信息!$B:$B&amp;盘货信息!$C:$C,盘货信息!$S:$S),CHAR(10),,TRUE),1,COLUMN(A57)),"")</f>
        <v/>
      </c>
      <c r="K58" s="18" t="str" cm="1">
        <f t="array" ref="K58">IFERROR(INDEX(_xlfn.TEXTSPLIT(_xlfn.XLOOKUP($A58&amp;$B58&amp;$C58,盘货信息!$A:$A&amp;盘货信息!$B:$B&amp;盘货信息!$C:$C,盘货信息!$S:$S),CHAR(10),,TRUE),1,COLUMN(B57)),"")</f>
        <v/>
      </c>
      <c r="L58" s="18" t="str" cm="1">
        <f t="array" ref="L58">IFERROR(INDEX(_xlfn.TEXTSPLIT(_xlfn.XLOOKUP($A58&amp;$B58&amp;$C58,盘货信息!$A:$A&amp;盘货信息!$B:$B&amp;盘货信息!$C:$C,盘货信息!$S:$S),CHAR(10),,TRUE),1,COLUMN(C57)),"")</f>
        <v/>
      </c>
      <c r="M58" s="18" t="str" cm="1">
        <f t="array" ref="M58">IFERROR(INDEX(_xlfn.TEXTSPLIT(_xlfn.XLOOKUP($A58&amp;$B58&amp;$C58,盘货信息!$A:$A&amp;盘货信息!$B:$B&amp;盘货信息!$C:$C,盘货信息!$S:$S),CHAR(10),,TRUE),1,COLUMN(D57)),"")</f>
        <v/>
      </c>
      <c r="N58" s="18" t="str" cm="1">
        <f t="array" ref="N58">IFERROR(INDEX(_xlfn.TEXTSPLIT(_xlfn.XLOOKUP($A58&amp;$B58&amp;$C58,盘货信息!$A:$A&amp;盘货信息!$B:$B&amp;盘货信息!$C:$C,盘货信息!$S:$S),CHAR(10),,TRUE),1,COLUMN(E57)),"")</f>
        <v/>
      </c>
    </row>
    <row r="59" customHeight="1" spans="1:14">
      <c r="A59" s="17" t="str">
        <f>IF(盘货信息!A59="","",盘货信息!A59)</f>
        <v/>
      </c>
      <c r="B59" s="17" t="str">
        <f>IF(盘货信息!B59="","",盘货信息!B59)</f>
        <v/>
      </c>
      <c r="C59" s="18" t="str">
        <f>IF(盘货信息!C59="","",盘货信息!C59)</f>
        <v/>
      </c>
      <c r="D59" s="18" t="str">
        <f t="shared" si="0"/>
        <v/>
      </c>
      <c r="E59" s="18" t="str">
        <f>_xlfn.LET(_xlpm.A,IF(ISNUMBER(SEARCH("晒单",J59)),"【晒单】"&amp;MID(J59,SEARCH("晒单",J59)+LEN("晒单"),LEN(J59))&amp;"（需晒单后联系客服登记）",IF(ISNUMBER(SEARCH("包修",J59)),"【购机】"&amp;MID(J59,SEARCH("购机",J59)+LEN("购机"),LEN(J59)),IF(ISNUMBER(SEARCH("叠放支架",J59)),"【赠品】"&amp;MID(J59,SEARCH("购机",J59)+LEN("购机"),LEN(J59)),IF(ISNUMBER(SEARCH("秀图",J59)),"【秀图】"&amp;MID(J59,SEARCH("秀图",J59)+LEN("秀图"),LEN(J59)),"")))),IFERROR(LEFT(_xlpm.A,FIND("【",_xlpm.A,FIND("】",_xlpm.A)+1)-1)&amp;MID(_xlpm.A,FIND("】",_xlpm.A,FIND("】",_xlpm.A)+1)+1,LEN(_xlpm.A)),_xlpm.A))</f>
        <v/>
      </c>
      <c r="F59" s="18" t="str">
        <f>_xlfn.LET(_xlpm.A,IF(ISNUMBER(SEARCH("晒单",K59)),"【晒单】"&amp;MID(K59,SEARCH("晒单",K59)+LEN("晒单"),LEN(K59))&amp;"（需晒单后联系客服登记）",IF(ISNUMBER(SEARCH("包修",K59)),"【购机】"&amp;MID(K59,SEARCH("购机",K59)+LEN("购机"),LEN(K59)),IF(ISNUMBER(SEARCH("叠放支架",K59)),"【赠品】"&amp;MID(K59,SEARCH("购机",K59)+LEN("购机"),LEN(K59)),IF(ISNUMBER(SEARCH("秀图",K59)),"【秀图】"&amp;MID(K59,SEARCH("秀图",K59)+LEN("秀图"),LEN(K59)),"")))),IFERROR(LEFT(_xlpm.A,FIND("【",_xlpm.A,FIND("】",_xlpm.A)+1)-1)&amp;MID(_xlpm.A,FIND("】",_xlpm.A,FIND("】",_xlpm.A)+1)+1,LEN(_xlpm.A)),_xlpm.A))</f>
        <v/>
      </c>
      <c r="G59" s="18" t="str">
        <f>_xlfn.LET(_xlpm.A,IF(ISNUMBER(SEARCH("晒单",L59)),"【晒单】"&amp;MID(L59,SEARCH("晒单",L59)+LEN("晒单"),LEN(L59))&amp;"（需晒单后联系客服登记）",IF(ISNUMBER(SEARCH("包修",L59)),"【购机】"&amp;MID(L59,SEARCH("购机",L59)+LEN("购机"),LEN(L59)),IF(ISNUMBER(SEARCH("叠放支架",L59)),"【赠品】"&amp;MID(L59,SEARCH("购机",L59)+LEN("购机"),LEN(L59)),IF(ISNUMBER(SEARCH("秀图",L59)),"【秀图】"&amp;MID(L59,SEARCH("秀图",L59)+LEN("秀图"),LEN(L59)),"")))),IFERROR(LEFT(_xlpm.A,FIND("【",_xlpm.A,FIND("】",_xlpm.A)+1)-1)&amp;MID(_xlpm.A,FIND("】",_xlpm.A,FIND("】",_xlpm.A)+1)+1,LEN(_xlpm.A)),_xlpm.A))</f>
        <v/>
      </c>
      <c r="H59" s="18" t="str">
        <f>_xlfn.LET(_xlpm.A,IF(ISNUMBER(SEARCH("晒单",M59)),"【晒单】"&amp;MID(M59,SEARCH("晒单",M59)+LEN("晒单"),LEN(M59))&amp;"（需晒单后联系客服登记）",IF(ISNUMBER(SEARCH("包修",M59)),"【购机】"&amp;MID(M59,SEARCH("购机",M59)+LEN("购机"),LEN(M59)),IF(ISNUMBER(SEARCH("叠放支架",M59)),"【赠品】"&amp;MID(M59,SEARCH("购机",M59)+LEN("购机"),LEN(M59)),IF(ISNUMBER(SEARCH("秀图",M59)),"【秀图】"&amp;MID(M59,SEARCH("秀图",M59)+LEN("秀图"),LEN(M59)),"")))),IFERROR(LEFT(_xlpm.A,FIND("【",_xlpm.A,FIND("】",_xlpm.A)+1)-1)&amp;MID(_xlpm.A,FIND("】",_xlpm.A,FIND("】",_xlpm.A)+1)+1,LEN(_xlpm.A)),_xlpm.A))</f>
        <v/>
      </c>
      <c r="I59" s="18" t="str">
        <f>_xlfn.LET(_xlpm.A,IF(ISNUMBER(SEARCH("晒单",N59)),"【晒单】"&amp;MID(N59,SEARCH("晒单",N59)+LEN("晒单"),LEN(N59))&amp;"（需晒单后联系客服登记）",IF(ISNUMBER(SEARCH("包修",N59)),"【购机】"&amp;MID(N59,SEARCH("购机",N59)+LEN("购机"),LEN(N59)),IF(ISNUMBER(SEARCH("叠放支架",N59)),"【赠品】"&amp;MID(N59,SEARCH("购机",N59)+LEN("购机"),LEN(N59)),IF(ISNUMBER(SEARCH("秀图",N59)),"【秀图】"&amp;MID(N59,SEARCH("秀图",N59)+LEN("秀图"),LEN(N59)),"")))),IFERROR(LEFT(_xlpm.A,FIND("【",_xlpm.A,FIND("】",_xlpm.A)+1)-1)&amp;MID(_xlpm.A,FIND("】",_xlpm.A,FIND("】",_xlpm.A)+1)+1,LEN(_xlpm.A)),_xlpm.A))</f>
        <v/>
      </c>
      <c r="J59" s="18" t="str" cm="1">
        <f t="array" ref="J59">IFERROR(INDEX(_xlfn.TEXTSPLIT(_xlfn.XLOOKUP($A59&amp;$B59&amp;$C59,盘货信息!$A:$A&amp;盘货信息!$B:$B&amp;盘货信息!$C:$C,盘货信息!$S:$S),CHAR(10),,TRUE),1,COLUMN(A58)),"")</f>
        <v/>
      </c>
      <c r="K59" s="18" t="str" cm="1">
        <f t="array" ref="K59">IFERROR(INDEX(_xlfn.TEXTSPLIT(_xlfn.XLOOKUP($A59&amp;$B59&amp;$C59,盘货信息!$A:$A&amp;盘货信息!$B:$B&amp;盘货信息!$C:$C,盘货信息!$S:$S),CHAR(10),,TRUE),1,COLUMN(B58)),"")</f>
        <v/>
      </c>
      <c r="L59" s="18" t="str" cm="1">
        <f t="array" ref="L59">IFERROR(INDEX(_xlfn.TEXTSPLIT(_xlfn.XLOOKUP($A59&amp;$B59&amp;$C59,盘货信息!$A:$A&amp;盘货信息!$B:$B&amp;盘货信息!$C:$C,盘货信息!$S:$S),CHAR(10),,TRUE),1,COLUMN(C58)),"")</f>
        <v/>
      </c>
      <c r="M59" s="18" t="str" cm="1">
        <f t="array" ref="M59">IFERROR(INDEX(_xlfn.TEXTSPLIT(_xlfn.XLOOKUP($A59&amp;$B59&amp;$C59,盘货信息!$A:$A&amp;盘货信息!$B:$B&amp;盘货信息!$C:$C,盘货信息!$S:$S),CHAR(10),,TRUE),1,COLUMN(D58)),"")</f>
        <v/>
      </c>
      <c r="N59" s="18" t="str" cm="1">
        <f t="array" ref="N59">IFERROR(INDEX(_xlfn.TEXTSPLIT(_xlfn.XLOOKUP($A59&amp;$B59&amp;$C59,盘货信息!$A:$A&amp;盘货信息!$B:$B&amp;盘货信息!$C:$C,盘货信息!$S:$S),CHAR(10),,TRUE),1,COLUMN(E58)),"")</f>
        <v/>
      </c>
    </row>
    <row r="60" customHeight="1" spans="1:14">
      <c r="A60" s="17" t="str">
        <f>IF(盘货信息!A60="","",盘货信息!A60)</f>
        <v/>
      </c>
      <c r="B60" s="17" t="str">
        <f>IF(盘货信息!B60="","",盘货信息!B60)</f>
        <v/>
      </c>
      <c r="C60" s="18" t="str">
        <f>IF(盘货信息!C60="","",盘货信息!C60)</f>
        <v/>
      </c>
      <c r="D60" s="18" t="str">
        <f t="shared" si="0"/>
        <v/>
      </c>
      <c r="E60" s="18" t="str">
        <f>_xlfn.LET(_xlpm.A,IF(ISNUMBER(SEARCH("晒单",J60)),"【晒单】"&amp;MID(J60,SEARCH("晒单",J60)+LEN("晒单"),LEN(J60))&amp;"（需晒单后联系客服登记）",IF(ISNUMBER(SEARCH("包修",J60)),"【购机】"&amp;MID(J60,SEARCH("购机",J60)+LEN("购机"),LEN(J60)),IF(ISNUMBER(SEARCH("叠放支架",J60)),"【赠品】"&amp;MID(J60,SEARCH("购机",J60)+LEN("购机"),LEN(J60)),IF(ISNUMBER(SEARCH("秀图",J60)),"【秀图】"&amp;MID(J60,SEARCH("秀图",J60)+LEN("秀图"),LEN(J60)),"")))),IFERROR(LEFT(_xlpm.A,FIND("【",_xlpm.A,FIND("】",_xlpm.A)+1)-1)&amp;MID(_xlpm.A,FIND("】",_xlpm.A,FIND("】",_xlpm.A)+1)+1,LEN(_xlpm.A)),_xlpm.A))</f>
        <v/>
      </c>
      <c r="F60" s="18" t="str">
        <f>_xlfn.LET(_xlpm.A,IF(ISNUMBER(SEARCH("晒单",K60)),"【晒单】"&amp;MID(K60,SEARCH("晒单",K60)+LEN("晒单"),LEN(K60))&amp;"（需晒单后联系客服登记）",IF(ISNUMBER(SEARCH("包修",K60)),"【购机】"&amp;MID(K60,SEARCH("购机",K60)+LEN("购机"),LEN(K60)),IF(ISNUMBER(SEARCH("叠放支架",K60)),"【赠品】"&amp;MID(K60,SEARCH("购机",K60)+LEN("购机"),LEN(K60)),IF(ISNUMBER(SEARCH("秀图",K60)),"【秀图】"&amp;MID(K60,SEARCH("秀图",K60)+LEN("秀图"),LEN(K60)),"")))),IFERROR(LEFT(_xlpm.A,FIND("【",_xlpm.A,FIND("】",_xlpm.A)+1)-1)&amp;MID(_xlpm.A,FIND("】",_xlpm.A,FIND("】",_xlpm.A)+1)+1,LEN(_xlpm.A)),_xlpm.A))</f>
        <v/>
      </c>
      <c r="G60" s="18" t="str">
        <f>_xlfn.LET(_xlpm.A,IF(ISNUMBER(SEARCH("晒单",L60)),"【晒单】"&amp;MID(L60,SEARCH("晒单",L60)+LEN("晒单"),LEN(L60))&amp;"（需晒单后联系客服登记）",IF(ISNUMBER(SEARCH("包修",L60)),"【购机】"&amp;MID(L60,SEARCH("购机",L60)+LEN("购机"),LEN(L60)),IF(ISNUMBER(SEARCH("叠放支架",L60)),"【赠品】"&amp;MID(L60,SEARCH("购机",L60)+LEN("购机"),LEN(L60)),IF(ISNUMBER(SEARCH("秀图",L60)),"【秀图】"&amp;MID(L60,SEARCH("秀图",L60)+LEN("秀图"),LEN(L60)),"")))),IFERROR(LEFT(_xlpm.A,FIND("【",_xlpm.A,FIND("】",_xlpm.A)+1)-1)&amp;MID(_xlpm.A,FIND("】",_xlpm.A,FIND("】",_xlpm.A)+1)+1,LEN(_xlpm.A)),_xlpm.A))</f>
        <v/>
      </c>
      <c r="H60" s="18" t="str">
        <f>_xlfn.LET(_xlpm.A,IF(ISNUMBER(SEARCH("晒单",M60)),"【晒单】"&amp;MID(M60,SEARCH("晒单",M60)+LEN("晒单"),LEN(M60))&amp;"（需晒单后联系客服登记）",IF(ISNUMBER(SEARCH("包修",M60)),"【购机】"&amp;MID(M60,SEARCH("购机",M60)+LEN("购机"),LEN(M60)),IF(ISNUMBER(SEARCH("叠放支架",M60)),"【赠品】"&amp;MID(M60,SEARCH("购机",M60)+LEN("购机"),LEN(M60)),IF(ISNUMBER(SEARCH("秀图",M60)),"【秀图】"&amp;MID(M60,SEARCH("秀图",M60)+LEN("秀图"),LEN(M60)),"")))),IFERROR(LEFT(_xlpm.A,FIND("【",_xlpm.A,FIND("】",_xlpm.A)+1)-1)&amp;MID(_xlpm.A,FIND("】",_xlpm.A,FIND("】",_xlpm.A)+1)+1,LEN(_xlpm.A)),_xlpm.A))</f>
        <v/>
      </c>
      <c r="I60" s="18" t="str">
        <f>_xlfn.LET(_xlpm.A,IF(ISNUMBER(SEARCH("晒单",N60)),"【晒单】"&amp;MID(N60,SEARCH("晒单",N60)+LEN("晒单"),LEN(N60))&amp;"（需晒单后联系客服登记）",IF(ISNUMBER(SEARCH("包修",N60)),"【购机】"&amp;MID(N60,SEARCH("购机",N60)+LEN("购机"),LEN(N60)),IF(ISNUMBER(SEARCH("叠放支架",N60)),"【赠品】"&amp;MID(N60,SEARCH("购机",N60)+LEN("购机"),LEN(N60)),IF(ISNUMBER(SEARCH("秀图",N60)),"【秀图】"&amp;MID(N60,SEARCH("秀图",N60)+LEN("秀图"),LEN(N60)),"")))),IFERROR(LEFT(_xlpm.A,FIND("【",_xlpm.A,FIND("】",_xlpm.A)+1)-1)&amp;MID(_xlpm.A,FIND("】",_xlpm.A,FIND("】",_xlpm.A)+1)+1,LEN(_xlpm.A)),_xlpm.A))</f>
        <v/>
      </c>
      <c r="J60" s="18" t="str" cm="1">
        <f t="array" ref="J60">IFERROR(INDEX(_xlfn.TEXTSPLIT(_xlfn.XLOOKUP($A60&amp;$B60&amp;$C60,盘货信息!$A:$A&amp;盘货信息!$B:$B&amp;盘货信息!$C:$C,盘货信息!$S:$S),CHAR(10),,TRUE),1,COLUMN(A59)),"")</f>
        <v/>
      </c>
      <c r="K60" s="18" t="str" cm="1">
        <f t="array" ref="K60">IFERROR(INDEX(_xlfn.TEXTSPLIT(_xlfn.XLOOKUP($A60&amp;$B60&amp;$C60,盘货信息!$A:$A&amp;盘货信息!$B:$B&amp;盘货信息!$C:$C,盘货信息!$S:$S),CHAR(10),,TRUE),1,COLUMN(B59)),"")</f>
        <v/>
      </c>
      <c r="L60" s="18" t="str" cm="1">
        <f t="array" ref="L60">IFERROR(INDEX(_xlfn.TEXTSPLIT(_xlfn.XLOOKUP($A60&amp;$B60&amp;$C60,盘货信息!$A:$A&amp;盘货信息!$B:$B&amp;盘货信息!$C:$C,盘货信息!$S:$S),CHAR(10),,TRUE),1,COLUMN(C59)),"")</f>
        <v/>
      </c>
      <c r="M60" s="18" t="str" cm="1">
        <f t="array" ref="M60">IFERROR(INDEX(_xlfn.TEXTSPLIT(_xlfn.XLOOKUP($A60&amp;$B60&amp;$C60,盘货信息!$A:$A&amp;盘货信息!$B:$B&amp;盘货信息!$C:$C,盘货信息!$S:$S),CHAR(10),,TRUE),1,COLUMN(D59)),"")</f>
        <v/>
      </c>
      <c r="N60" s="18" t="str" cm="1">
        <f t="array" ref="N60">IFERROR(INDEX(_xlfn.TEXTSPLIT(_xlfn.XLOOKUP($A60&amp;$B60&amp;$C60,盘货信息!$A:$A&amp;盘货信息!$B:$B&amp;盘货信息!$C:$C,盘货信息!$S:$S),CHAR(10),,TRUE),1,COLUMN(E59)),"")</f>
        <v/>
      </c>
    </row>
    <row r="61" customHeight="1" spans="1:14">
      <c r="A61" s="17" t="str">
        <f>IF(盘货信息!A61="","",盘货信息!A61)</f>
        <v/>
      </c>
      <c r="B61" s="17" t="str">
        <f>IF(盘货信息!B61="","",盘货信息!B61)</f>
        <v/>
      </c>
      <c r="C61" s="18" t="str">
        <f>IF(盘货信息!C61="","",盘货信息!C61)</f>
        <v/>
      </c>
      <c r="D61" s="18" t="str">
        <f t="shared" si="0"/>
        <v/>
      </c>
      <c r="E61" s="18" t="str">
        <f>_xlfn.LET(_xlpm.A,IF(ISNUMBER(SEARCH("晒单",J61)),"【晒单】"&amp;MID(J61,SEARCH("晒单",J61)+LEN("晒单"),LEN(J61))&amp;"（需晒单后联系客服登记）",IF(ISNUMBER(SEARCH("包修",J61)),"【购机】"&amp;MID(J61,SEARCH("购机",J61)+LEN("购机"),LEN(J61)),IF(ISNUMBER(SEARCH("叠放支架",J61)),"【赠品】"&amp;MID(J61,SEARCH("购机",J61)+LEN("购机"),LEN(J61)),IF(ISNUMBER(SEARCH("秀图",J61)),"【秀图】"&amp;MID(J61,SEARCH("秀图",J61)+LEN("秀图"),LEN(J61)),"")))),IFERROR(LEFT(_xlpm.A,FIND("【",_xlpm.A,FIND("】",_xlpm.A)+1)-1)&amp;MID(_xlpm.A,FIND("】",_xlpm.A,FIND("】",_xlpm.A)+1)+1,LEN(_xlpm.A)),_xlpm.A))</f>
        <v/>
      </c>
      <c r="F61" s="18" t="str">
        <f>_xlfn.LET(_xlpm.A,IF(ISNUMBER(SEARCH("晒单",K61)),"【晒单】"&amp;MID(K61,SEARCH("晒单",K61)+LEN("晒单"),LEN(K61))&amp;"（需晒单后联系客服登记）",IF(ISNUMBER(SEARCH("包修",K61)),"【购机】"&amp;MID(K61,SEARCH("购机",K61)+LEN("购机"),LEN(K61)),IF(ISNUMBER(SEARCH("叠放支架",K61)),"【赠品】"&amp;MID(K61,SEARCH("购机",K61)+LEN("购机"),LEN(K61)),IF(ISNUMBER(SEARCH("秀图",K61)),"【秀图】"&amp;MID(K61,SEARCH("秀图",K61)+LEN("秀图"),LEN(K61)),"")))),IFERROR(LEFT(_xlpm.A,FIND("【",_xlpm.A,FIND("】",_xlpm.A)+1)-1)&amp;MID(_xlpm.A,FIND("】",_xlpm.A,FIND("】",_xlpm.A)+1)+1,LEN(_xlpm.A)),_xlpm.A))</f>
        <v/>
      </c>
      <c r="G61" s="18" t="str">
        <f>_xlfn.LET(_xlpm.A,IF(ISNUMBER(SEARCH("晒单",L61)),"【晒单】"&amp;MID(L61,SEARCH("晒单",L61)+LEN("晒单"),LEN(L61))&amp;"（需晒单后联系客服登记）",IF(ISNUMBER(SEARCH("包修",L61)),"【购机】"&amp;MID(L61,SEARCH("购机",L61)+LEN("购机"),LEN(L61)),IF(ISNUMBER(SEARCH("叠放支架",L61)),"【赠品】"&amp;MID(L61,SEARCH("购机",L61)+LEN("购机"),LEN(L61)),IF(ISNUMBER(SEARCH("秀图",L61)),"【秀图】"&amp;MID(L61,SEARCH("秀图",L61)+LEN("秀图"),LEN(L61)),"")))),IFERROR(LEFT(_xlpm.A,FIND("【",_xlpm.A,FIND("】",_xlpm.A)+1)-1)&amp;MID(_xlpm.A,FIND("】",_xlpm.A,FIND("】",_xlpm.A)+1)+1,LEN(_xlpm.A)),_xlpm.A))</f>
        <v/>
      </c>
      <c r="H61" s="18" t="str">
        <f>_xlfn.LET(_xlpm.A,IF(ISNUMBER(SEARCH("晒单",M61)),"【晒单】"&amp;MID(M61,SEARCH("晒单",M61)+LEN("晒单"),LEN(M61))&amp;"（需晒单后联系客服登记）",IF(ISNUMBER(SEARCH("包修",M61)),"【购机】"&amp;MID(M61,SEARCH("购机",M61)+LEN("购机"),LEN(M61)),IF(ISNUMBER(SEARCH("叠放支架",M61)),"【赠品】"&amp;MID(M61,SEARCH("购机",M61)+LEN("购机"),LEN(M61)),IF(ISNUMBER(SEARCH("秀图",M61)),"【秀图】"&amp;MID(M61,SEARCH("秀图",M61)+LEN("秀图"),LEN(M61)),"")))),IFERROR(LEFT(_xlpm.A,FIND("【",_xlpm.A,FIND("】",_xlpm.A)+1)-1)&amp;MID(_xlpm.A,FIND("】",_xlpm.A,FIND("】",_xlpm.A)+1)+1,LEN(_xlpm.A)),_xlpm.A))</f>
        <v/>
      </c>
      <c r="I61" s="18" t="str">
        <f>_xlfn.LET(_xlpm.A,IF(ISNUMBER(SEARCH("晒单",N61)),"【晒单】"&amp;MID(N61,SEARCH("晒单",N61)+LEN("晒单"),LEN(N61))&amp;"（需晒单后联系客服登记）",IF(ISNUMBER(SEARCH("包修",N61)),"【购机】"&amp;MID(N61,SEARCH("购机",N61)+LEN("购机"),LEN(N61)),IF(ISNUMBER(SEARCH("叠放支架",N61)),"【赠品】"&amp;MID(N61,SEARCH("购机",N61)+LEN("购机"),LEN(N61)),IF(ISNUMBER(SEARCH("秀图",N61)),"【秀图】"&amp;MID(N61,SEARCH("秀图",N61)+LEN("秀图"),LEN(N61)),"")))),IFERROR(LEFT(_xlpm.A,FIND("【",_xlpm.A,FIND("】",_xlpm.A)+1)-1)&amp;MID(_xlpm.A,FIND("】",_xlpm.A,FIND("】",_xlpm.A)+1)+1,LEN(_xlpm.A)),_xlpm.A))</f>
        <v/>
      </c>
      <c r="J61" s="18" t="str" cm="1">
        <f t="array" ref="J61">IFERROR(INDEX(_xlfn.TEXTSPLIT(_xlfn.XLOOKUP($A61&amp;$B61&amp;$C61,盘货信息!$A:$A&amp;盘货信息!$B:$B&amp;盘货信息!$C:$C,盘货信息!$S:$S),CHAR(10),,TRUE),1,COLUMN(A60)),"")</f>
        <v/>
      </c>
      <c r="K61" s="18" t="str" cm="1">
        <f t="array" ref="K61">IFERROR(INDEX(_xlfn.TEXTSPLIT(_xlfn.XLOOKUP($A61&amp;$B61&amp;$C61,盘货信息!$A:$A&amp;盘货信息!$B:$B&amp;盘货信息!$C:$C,盘货信息!$S:$S),CHAR(10),,TRUE),1,COLUMN(B60)),"")</f>
        <v/>
      </c>
      <c r="L61" s="18" t="str" cm="1">
        <f t="array" ref="L61">IFERROR(INDEX(_xlfn.TEXTSPLIT(_xlfn.XLOOKUP($A61&amp;$B61&amp;$C61,盘货信息!$A:$A&amp;盘货信息!$B:$B&amp;盘货信息!$C:$C,盘货信息!$S:$S),CHAR(10),,TRUE),1,COLUMN(C60)),"")</f>
        <v/>
      </c>
      <c r="M61" s="18" t="str" cm="1">
        <f t="array" ref="M61">IFERROR(INDEX(_xlfn.TEXTSPLIT(_xlfn.XLOOKUP($A61&amp;$B61&amp;$C61,盘货信息!$A:$A&amp;盘货信息!$B:$B&amp;盘货信息!$C:$C,盘货信息!$S:$S),CHAR(10),,TRUE),1,COLUMN(D60)),"")</f>
        <v/>
      </c>
      <c r="N61" s="18" t="str" cm="1">
        <f t="array" ref="N61">IFERROR(INDEX(_xlfn.TEXTSPLIT(_xlfn.XLOOKUP($A61&amp;$B61&amp;$C61,盘货信息!$A:$A&amp;盘货信息!$B:$B&amp;盘货信息!$C:$C,盘货信息!$S:$S),CHAR(10),,TRUE),1,COLUMN(E60)),"")</f>
        <v/>
      </c>
    </row>
    <row r="62" customHeight="1" spans="1:14">
      <c r="A62" s="17" t="str">
        <f>IF(盘货信息!A62="","",盘货信息!A62)</f>
        <v/>
      </c>
      <c r="B62" s="17" t="str">
        <f>IF(盘货信息!B62="","",盘货信息!B62)</f>
        <v/>
      </c>
      <c r="C62" s="18" t="str">
        <f>IF(盘货信息!C62="","",盘货信息!C62)</f>
        <v/>
      </c>
      <c r="D62" s="18" t="str">
        <f t="shared" si="0"/>
        <v/>
      </c>
      <c r="E62" s="18" t="str">
        <f>_xlfn.LET(_xlpm.A,IF(ISNUMBER(SEARCH("晒单",J62)),"【晒单】"&amp;MID(J62,SEARCH("晒单",J62)+LEN("晒单"),LEN(J62))&amp;"（需晒单后联系客服登记）",IF(ISNUMBER(SEARCH("包修",J62)),"【购机】"&amp;MID(J62,SEARCH("购机",J62)+LEN("购机"),LEN(J62)),IF(ISNUMBER(SEARCH("叠放支架",J62)),"【赠品】"&amp;MID(J62,SEARCH("购机",J62)+LEN("购机"),LEN(J62)),IF(ISNUMBER(SEARCH("秀图",J62)),"【秀图】"&amp;MID(J62,SEARCH("秀图",J62)+LEN("秀图"),LEN(J62)),"")))),IFERROR(LEFT(_xlpm.A,FIND("【",_xlpm.A,FIND("】",_xlpm.A)+1)-1)&amp;MID(_xlpm.A,FIND("】",_xlpm.A,FIND("】",_xlpm.A)+1)+1,LEN(_xlpm.A)),_xlpm.A))</f>
        <v/>
      </c>
      <c r="F62" s="18" t="str">
        <f>_xlfn.LET(_xlpm.A,IF(ISNUMBER(SEARCH("晒单",K62)),"【晒单】"&amp;MID(K62,SEARCH("晒单",K62)+LEN("晒单"),LEN(K62))&amp;"（需晒单后联系客服登记）",IF(ISNUMBER(SEARCH("包修",K62)),"【购机】"&amp;MID(K62,SEARCH("购机",K62)+LEN("购机"),LEN(K62)),IF(ISNUMBER(SEARCH("叠放支架",K62)),"【赠品】"&amp;MID(K62,SEARCH("购机",K62)+LEN("购机"),LEN(K62)),IF(ISNUMBER(SEARCH("秀图",K62)),"【秀图】"&amp;MID(K62,SEARCH("秀图",K62)+LEN("秀图"),LEN(K62)),"")))),IFERROR(LEFT(_xlpm.A,FIND("【",_xlpm.A,FIND("】",_xlpm.A)+1)-1)&amp;MID(_xlpm.A,FIND("】",_xlpm.A,FIND("】",_xlpm.A)+1)+1,LEN(_xlpm.A)),_xlpm.A))</f>
        <v/>
      </c>
      <c r="G62" s="18" t="str">
        <f>_xlfn.LET(_xlpm.A,IF(ISNUMBER(SEARCH("晒单",L62)),"【晒单】"&amp;MID(L62,SEARCH("晒单",L62)+LEN("晒单"),LEN(L62))&amp;"（需晒单后联系客服登记）",IF(ISNUMBER(SEARCH("包修",L62)),"【购机】"&amp;MID(L62,SEARCH("购机",L62)+LEN("购机"),LEN(L62)),IF(ISNUMBER(SEARCH("叠放支架",L62)),"【赠品】"&amp;MID(L62,SEARCH("购机",L62)+LEN("购机"),LEN(L62)),IF(ISNUMBER(SEARCH("秀图",L62)),"【秀图】"&amp;MID(L62,SEARCH("秀图",L62)+LEN("秀图"),LEN(L62)),"")))),IFERROR(LEFT(_xlpm.A,FIND("【",_xlpm.A,FIND("】",_xlpm.A)+1)-1)&amp;MID(_xlpm.A,FIND("】",_xlpm.A,FIND("】",_xlpm.A)+1)+1,LEN(_xlpm.A)),_xlpm.A))</f>
        <v/>
      </c>
      <c r="H62" s="18" t="str">
        <f>_xlfn.LET(_xlpm.A,IF(ISNUMBER(SEARCH("晒单",M62)),"【晒单】"&amp;MID(M62,SEARCH("晒单",M62)+LEN("晒单"),LEN(M62))&amp;"（需晒单后联系客服登记）",IF(ISNUMBER(SEARCH("包修",M62)),"【购机】"&amp;MID(M62,SEARCH("购机",M62)+LEN("购机"),LEN(M62)),IF(ISNUMBER(SEARCH("叠放支架",M62)),"【赠品】"&amp;MID(M62,SEARCH("购机",M62)+LEN("购机"),LEN(M62)),IF(ISNUMBER(SEARCH("秀图",M62)),"【秀图】"&amp;MID(M62,SEARCH("秀图",M62)+LEN("秀图"),LEN(M62)),"")))),IFERROR(LEFT(_xlpm.A,FIND("【",_xlpm.A,FIND("】",_xlpm.A)+1)-1)&amp;MID(_xlpm.A,FIND("】",_xlpm.A,FIND("】",_xlpm.A)+1)+1,LEN(_xlpm.A)),_xlpm.A))</f>
        <v/>
      </c>
      <c r="I62" s="18" t="str">
        <f>_xlfn.LET(_xlpm.A,IF(ISNUMBER(SEARCH("晒单",N62)),"【晒单】"&amp;MID(N62,SEARCH("晒单",N62)+LEN("晒单"),LEN(N62))&amp;"（需晒单后联系客服登记）",IF(ISNUMBER(SEARCH("包修",N62)),"【购机】"&amp;MID(N62,SEARCH("购机",N62)+LEN("购机"),LEN(N62)),IF(ISNUMBER(SEARCH("叠放支架",N62)),"【赠品】"&amp;MID(N62,SEARCH("购机",N62)+LEN("购机"),LEN(N62)),IF(ISNUMBER(SEARCH("秀图",N62)),"【秀图】"&amp;MID(N62,SEARCH("秀图",N62)+LEN("秀图"),LEN(N62)),"")))),IFERROR(LEFT(_xlpm.A,FIND("【",_xlpm.A,FIND("】",_xlpm.A)+1)-1)&amp;MID(_xlpm.A,FIND("】",_xlpm.A,FIND("】",_xlpm.A)+1)+1,LEN(_xlpm.A)),_xlpm.A))</f>
        <v/>
      </c>
      <c r="J62" s="18" t="str" cm="1">
        <f t="array" ref="J62">IFERROR(INDEX(_xlfn.TEXTSPLIT(_xlfn.XLOOKUP($A62&amp;$B62&amp;$C62,盘货信息!$A:$A&amp;盘货信息!$B:$B&amp;盘货信息!$C:$C,盘货信息!$S:$S),CHAR(10),,TRUE),1,COLUMN(A61)),"")</f>
        <v/>
      </c>
      <c r="K62" s="18" t="str" cm="1">
        <f t="array" ref="K62">IFERROR(INDEX(_xlfn.TEXTSPLIT(_xlfn.XLOOKUP($A62&amp;$B62&amp;$C62,盘货信息!$A:$A&amp;盘货信息!$B:$B&amp;盘货信息!$C:$C,盘货信息!$S:$S),CHAR(10),,TRUE),1,COLUMN(B61)),"")</f>
        <v/>
      </c>
      <c r="L62" s="18" t="str" cm="1">
        <f t="array" ref="L62">IFERROR(INDEX(_xlfn.TEXTSPLIT(_xlfn.XLOOKUP($A62&amp;$B62&amp;$C62,盘货信息!$A:$A&amp;盘货信息!$B:$B&amp;盘货信息!$C:$C,盘货信息!$S:$S),CHAR(10),,TRUE),1,COLUMN(C61)),"")</f>
        <v/>
      </c>
      <c r="M62" s="18" t="str" cm="1">
        <f t="array" ref="M62">IFERROR(INDEX(_xlfn.TEXTSPLIT(_xlfn.XLOOKUP($A62&amp;$B62&amp;$C62,盘货信息!$A:$A&amp;盘货信息!$B:$B&amp;盘货信息!$C:$C,盘货信息!$S:$S),CHAR(10),,TRUE),1,COLUMN(D61)),"")</f>
        <v/>
      </c>
      <c r="N62" s="18" t="str" cm="1">
        <f t="array" ref="N62">IFERROR(INDEX(_xlfn.TEXTSPLIT(_xlfn.XLOOKUP($A62&amp;$B62&amp;$C62,盘货信息!$A:$A&amp;盘货信息!$B:$B&amp;盘货信息!$C:$C,盘货信息!$S:$S),CHAR(10),,TRUE),1,COLUMN(E61)),"")</f>
        <v/>
      </c>
    </row>
    <row r="63" customHeight="1" spans="1:14">
      <c r="A63" s="17" t="str">
        <f>IF(盘货信息!A63="","",盘货信息!A63)</f>
        <v/>
      </c>
      <c r="B63" s="17" t="str">
        <f>IF(盘货信息!B63="","",盘货信息!B63)</f>
        <v/>
      </c>
      <c r="C63" s="18" t="str">
        <f>IF(盘货信息!C63="","",盘货信息!C63)</f>
        <v/>
      </c>
      <c r="D63" s="18" t="str">
        <f t="shared" si="0"/>
        <v/>
      </c>
      <c r="E63" s="18" t="str">
        <f>_xlfn.LET(_xlpm.A,IF(ISNUMBER(SEARCH("晒单",J63)),"【晒单】"&amp;MID(J63,SEARCH("晒单",J63)+LEN("晒单"),LEN(J63))&amp;"（需晒单后联系客服登记）",IF(ISNUMBER(SEARCH("包修",J63)),"【购机】"&amp;MID(J63,SEARCH("购机",J63)+LEN("购机"),LEN(J63)),IF(ISNUMBER(SEARCH("叠放支架",J63)),"【赠品】"&amp;MID(J63,SEARCH("购机",J63)+LEN("购机"),LEN(J63)),IF(ISNUMBER(SEARCH("秀图",J63)),"【秀图】"&amp;MID(J63,SEARCH("秀图",J63)+LEN("秀图"),LEN(J63)),"")))),IFERROR(LEFT(_xlpm.A,FIND("【",_xlpm.A,FIND("】",_xlpm.A)+1)-1)&amp;MID(_xlpm.A,FIND("】",_xlpm.A,FIND("】",_xlpm.A)+1)+1,LEN(_xlpm.A)),_xlpm.A))</f>
        <v/>
      </c>
      <c r="F63" s="18" t="str">
        <f>_xlfn.LET(_xlpm.A,IF(ISNUMBER(SEARCH("晒单",K63)),"【晒单】"&amp;MID(K63,SEARCH("晒单",K63)+LEN("晒单"),LEN(K63))&amp;"（需晒单后联系客服登记）",IF(ISNUMBER(SEARCH("包修",K63)),"【购机】"&amp;MID(K63,SEARCH("购机",K63)+LEN("购机"),LEN(K63)),IF(ISNUMBER(SEARCH("叠放支架",K63)),"【赠品】"&amp;MID(K63,SEARCH("购机",K63)+LEN("购机"),LEN(K63)),IF(ISNUMBER(SEARCH("秀图",K63)),"【秀图】"&amp;MID(K63,SEARCH("秀图",K63)+LEN("秀图"),LEN(K63)),"")))),IFERROR(LEFT(_xlpm.A,FIND("【",_xlpm.A,FIND("】",_xlpm.A)+1)-1)&amp;MID(_xlpm.A,FIND("】",_xlpm.A,FIND("】",_xlpm.A)+1)+1,LEN(_xlpm.A)),_xlpm.A))</f>
        <v/>
      </c>
      <c r="G63" s="18" t="str">
        <f>_xlfn.LET(_xlpm.A,IF(ISNUMBER(SEARCH("晒单",L63)),"【晒单】"&amp;MID(L63,SEARCH("晒单",L63)+LEN("晒单"),LEN(L63))&amp;"（需晒单后联系客服登记）",IF(ISNUMBER(SEARCH("包修",L63)),"【购机】"&amp;MID(L63,SEARCH("购机",L63)+LEN("购机"),LEN(L63)),IF(ISNUMBER(SEARCH("叠放支架",L63)),"【赠品】"&amp;MID(L63,SEARCH("购机",L63)+LEN("购机"),LEN(L63)),IF(ISNUMBER(SEARCH("秀图",L63)),"【秀图】"&amp;MID(L63,SEARCH("秀图",L63)+LEN("秀图"),LEN(L63)),"")))),IFERROR(LEFT(_xlpm.A,FIND("【",_xlpm.A,FIND("】",_xlpm.A)+1)-1)&amp;MID(_xlpm.A,FIND("】",_xlpm.A,FIND("】",_xlpm.A)+1)+1,LEN(_xlpm.A)),_xlpm.A))</f>
        <v/>
      </c>
      <c r="H63" s="18" t="str">
        <f>_xlfn.LET(_xlpm.A,IF(ISNUMBER(SEARCH("晒单",M63)),"【晒单】"&amp;MID(M63,SEARCH("晒单",M63)+LEN("晒单"),LEN(M63))&amp;"（需晒单后联系客服登记）",IF(ISNUMBER(SEARCH("包修",M63)),"【购机】"&amp;MID(M63,SEARCH("购机",M63)+LEN("购机"),LEN(M63)),IF(ISNUMBER(SEARCH("叠放支架",M63)),"【赠品】"&amp;MID(M63,SEARCH("购机",M63)+LEN("购机"),LEN(M63)),IF(ISNUMBER(SEARCH("秀图",M63)),"【秀图】"&amp;MID(M63,SEARCH("秀图",M63)+LEN("秀图"),LEN(M63)),"")))),IFERROR(LEFT(_xlpm.A,FIND("【",_xlpm.A,FIND("】",_xlpm.A)+1)-1)&amp;MID(_xlpm.A,FIND("】",_xlpm.A,FIND("】",_xlpm.A)+1)+1,LEN(_xlpm.A)),_xlpm.A))</f>
        <v/>
      </c>
      <c r="I63" s="18" t="str">
        <f>_xlfn.LET(_xlpm.A,IF(ISNUMBER(SEARCH("晒单",N63)),"【晒单】"&amp;MID(N63,SEARCH("晒单",N63)+LEN("晒单"),LEN(N63))&amp;"（需晒单后联系客服登记）",IF(ISNUMBER(SEARCH("包修",N63)),"【购机】"&amp;MID(N63,SEARCH("购机",N63)+LEN("购机"),LEN(N63)),IF(ISNUMBER(SEARCH("叠放支架",N63)),"【赠品】"&amp;MID(N63,SEARCH("购机",N63)+LEN("购机"),LEN(N63)),IF(ISNUMBER(SEARCH("秀图",N63)),"【秀图】"&amp;MID(N63,SEARCH("秀图",N63)+LEN("秀图"),LEN(N63)),"")))),IFERROR(LEFT(_xlpm.A,FIND("【",_xlpm.A,FIND("】",_xlpm.A)+1)-1)&amp;MID(_xlpm.A,FIND("】",_xlpm.A,FIND("】",_xlpm.A)+1)+1,LEN(_xlpm.A)),_xlpm.A))</f>
        <v/>
      </c>
      <c r="J63" s="18" t="str" cm="1">
        <f t="array" ref="J63">IFERROR(INDEX(_xlfn.TEXTSPLIT(_xlfn.XLOOKUP($A63&amp;$B63&amp;$C63,盘货信息!$A:$A&amp;盘货信息!$B:$B&amp;盘货信息!$C:$C,盘货信息!$S:$S),CHAR(10),,TRUE),1,COLUMN(A62)),"")</f>
        <v/>
      </c>
      <c r="K63" s="18" t="str" cm="1">
        <f t="array" ref="K63">IFERROR(INDEX(_xlfn.TEXTSPLIT(_xlfn.XLOOKUP($A63&amp;$B63&amp;$C63,盘货信息!$A:$A&amp;盘货信息!$B:$B&amp;盘货信息!$C:$C,盘货信息!$S:$S),CHAR(10),,TRUE),1,COLUMN(B62)),"")</f>
        <v/>
      </c>
      <c r="L63" s="18" t="str" cm="1">
        <f t="array" ref="L63">IFERROR(INDEX(_xlfn.TEXTSPLIT(_xlfn.XLOOKUP($A63&amp;$B63&amp;$C63,盘货信息!$A:$A&amp;盘货信息!$B:$B&amp;盘货信息!$C:$C,盘货信息!$S:$S),CHAR(10),,TRUE),1,COLUMN(C62)),"")</f>
        <v/>
      </c>
      <c r="M63" s="18" t="str" cm="1">
        <f t="array" ref="M63">IFERROR(INDEX(_xlfn.TEXTSPLIT(_xlfn.XLOOKUP($A63&amp;$B63&amp;$C63,盘货信息!$A:$A&amp;盘货信息!$B:$B&amp;盘货信息!$C:$C,盘货信息!$S:$S),CHAR(10),,TRUE),1,COLUMN(D62)),"")</f>
        <v/>
      </c>
      <c r="N63" s="18" t="str" cm="1">
        <f t="array" ref="N63">IFERROR(INDEX(_xlfn.TEXTSPLIT(_xlfn.XLOOKUP($A63&amp;$B63&amp;$C63,盘货信息!$A:$A&amp;盘货信息!$B:$B&amp;盘货信息!$C:$C,盘货信息!$S:$S),CHAR(10),,TRUE),1,COLUMN(E62)),"")</f>
        <v/>
      </c>
    </row>
    <row r="64" customHeight="1" spans="1:14">
      <c r="A64" s="17" t="str">
        <f>IF(盘货信息!A64="","",盘货信息!A64)</f>
        <v/>
      </c>
      <c r="B64" s="17" t="str">
        <f>IF(盘货信息!B64="","",盘货信息!B64)</f>
        <v/>
      </c>
      <c r="C64" s="18" t="str">
        <f>IF(盘货信息!C64="","",盘货信息!C64)</f>
        <v/>
      </c>
      <c r="D64" s="18" t="str">
        <f t="shared" si="0"/>
        <v/>
      </c>
      <c r="E64" s="18" t="str">
        <f>_xlfn.LET(_xlpm.A,IF(ISNUMBER(SEARCH("晒单",J64)),"【晒单】"&amp;MID(J64,SEARCH("晒单",J64)+LEN("晒单"),LEN(J64))&amp;"（需晒单后联系客服登记）",IF(ISNUMBER(SEARCH("包修",J64)),"【购机】"&amp;MID(J64,SEARCH("购机",J64)+LEN("购机"),LEN(J64)),IF(ISNUMBER(SEARCH("叠放支架",J64)),"【赠品】"&amp;MID(J64,SEARCH("购机",J64)+LEN("购机"),LEN(J64)),IF(ISNUMBER(SEARCH("秀图",J64)),"【秀图】"&amp;MID(J64,SEARCH("秀图",J64)+LEN("秀图"),LEN(J64)),"")))),IFERROR(LEFT(_xlpm.A,FIND("【",_xlpm.A,FIND("】",_xlpm.A)+1)-1)&amp;MID(_xlpm.A,FIND("】",_xlpm.A,FIND("】",_xlpm.A)+1)+1,LEN(_xlpm.A)),_xlpm.A))</f>
        <v/>
      </c>
      <c r="F64" s="18" t="str">
        <f>_xlfn.LET(_xlpm.A,IF(ISNUMBER(SEARCH("晒单",K64)),"【晒单】"&amp;MID(K64,SEARCH("晒单",K64)+LEN("晒单"),LEN(K64))&amp;"（需晒单后联系客服登记）",IF(ISNUMBER(SEARCH("包修",K64)),"【购机】"&amp;MID(K64,SEARCH("购机",K64)+LEN("购机"),LEN(K64)),IF(ISNUMBER(SEARCH("叠放支架",K64)),"【赠品】"&amp;MID(K64,SEARCH("购机",K64)+LEN("购机"),LEN(K64)),IF(ISNUMBER(SEARCH("秀图",K64)),"【秀图】"&amp;MID(K64,SEARCH("秀图",K64)+LEN("秀图"),LEN(K64)),"")))),IFERROR(LEFT(_xlpm.A,FIND("【",_xlpm.A,FIND("】",_xlpm.A)+1)-1)&amp;MID(_xlpm.A,FIND("】",_xlpm.A,FIND("】",_xlpm.A)+1)+1,LEN(_xlpm.A)),_xlpm.A))</f>
        <v/>
      </c>
      <c r="G64" s="18" t="str">
        <f>_xlfn.LET(_xlpm.A,IF(ISNUMBER(SEARCH("晒单",L64)),"【晒单】"&amp;MID(L64,SEARCH("晒单",L64)+LEN("晒单"),LEN(L64))&amp;"（需晒单后联系客服登记）",IF(ISNUMBER(SEARCH("包修",L64)),"【购机】"&amp;MID(L64,SEARCH("购机",L64)+LEN("购机"),LEN(L64)),IF(ISNUMBER(SEARCH("叠放支架",L64)),"【赠品】"&amp;MID(L64,SEARCH("购机",L64)+LEN("购机"),LEN(L64)),IF(ISNUMBER(SEARCH("秀图",L64)),"【秀图】"&amp;MID(L64,SEARCH("秀图",L64)+LEN("秀图"),LEN(L64)),"")))),IFERROR(LEFT(_xlpm.A,FIND("【",_xlpm.A,FIND("】",_xlpm.A)+1)-1)&amp;MID(_xlpm.A,FIND("】",_xlpm.A,FIND("】",_xlpm.A)+1)+1,LEN(_xlpm.A)),_xlpm.A))</f>
        <v/>
      </c>
      <c r="H64" s="18" t="str">
        <f>_xlfn.LET(_xlpm.A,IF(ISNUMBER(SEARCH("晒单",M64)),"【晒单】"&amp;MID(M64,SEARCH("晒单",M64)+LEN("晒单"),LEN(M64))&amp;"（需晒单后联系客服登记）",IF(ISNUMBER(SEARCH("包修",M64)),"【购机】"&amp;MID(M64,SEARCH("购机",M64)+LEN("购机"),LEN(M64)),IF(ISNUMBER(SEARCH("叠放支架",M64)),"【赠品】"&amp;MID(M64,SEARCH("购机",M64)+LEN("购机"),LEN(M64)),IF(ISNUMBER(SEARCH("秀图",M64)),"【秀图】"&amp;MID(M64,SEARCH("秀图",M64)+LEN("秀图"),LEN(M64)),"")))),IFERROR(LEFT(_xlpm.A,FIND("【",_xlpm.A,FIND("】",_xlpm.A)+1)-1)&amp;MID(_xlpm.A,FIND("】",_xlpm.A,FIND("】",_xlpm.A)+1)+1,LEN(_xlpm.A)),_xlpm.A))</f>
        <v/>
      </c>
      <c r="I64" s="18" t="str">
        <f>_xlfn.LET(_xlpm.A,IF(ISNUMBER(SEARCH("晒单",N64)),"【晒单】"&amp;MID(N64,SEARCH("晒单",N64)+LEN("晒单"),LEN(N64))&amp;"（需晒单后联系客服登记）",IF(ISNUMBER(SEARCH("包修",N64)),"【购机】"&amp;MID(N64,SEARCH("购机",N64)+LEN("购机"),LEN(N64)),IF(ISNUMBER(SEARCH("叠放支架",N64)),"【赠品】"&amp;MID(N64,SEARCH("购机",N64)+LEN("购机"),LEN(N64)),IF(ISNUMBER(SEARCH("秀图",N64)),"【秀图】"&amp;MID(N64,SEARCH("秀图",N64)+LEN("秀图"),LEN(N64)),"")))),IFERROR(LEFT(_xlpm.A,FIND("【",_xlpm.A,FIND("】",_xlpm.A)+1)-1)&amp;MID(_xlpm.A,FIND("】",_xlpm.A,FIND("】",_xlpm.A)+1)+1,LEN(_xlpm.A)),_xlpm.A))</f>
        <v/>
      </c>
      <c r="J64" s="18" t="str" cm="1">
        <f t="array" ref="J64">IFERROR(INDEX(_xlfn.TEXTSPLIT(_xlfn.XLOOKUP($A64&amp;$B64&amp;$C64,盘货信息!$A:$A&amp;盘货信息!$B:$B&amp;盘货信息!$C:$C,盘货信息!$S:$S),CHAR(10),,TRUE),1,COLUMN(A63)),"")</f>
        <v/>
      </c>
      <c r="K64" s="18" t="str" cm="1">
        <f t="array" ref="K64">IFERROR(INDEX(_xlfn.TEXTSPLIT(_xlfn.XLOOKUP($A64&amp;$B64&amp;$C64,盘货信息!$A:$A&amp;盘货信息!$B:$B&amp;盘货信息!$C:$C,盘货信息!$S:$S),CHAR(10),,TRUE),1,COLUMN(B63)),"")</f>
        <v/>
      </c>
      <c r="L64" s="18" t="str" cm="1">
        <f t="array" ref="L64">IFERROR(INDEX(_xlfn.TEXTSPLIT(_xlfn.XLOOKUP($A64&amp;$B64&amp;$C64,盘货信息!$A:$A&amp;盘货信息!$B:$B&amp;盘货信息!$C:$C,盘货信息!$S:$S),CHAR(10),,TRUE),1,COLUMN(C63)),"")</f>
        <v/>
      </c>
      <c r="M64" s="18" t="str" cm="1">
        <f t="array" ref="M64">IFERROR(INDEX(_xlfn.TEXTSPLIT(_xlfn.XLOOKUP($A64&amp;$B64&amp;$C64,盘货信息!$A:$A&amp;盘货信息!$B:$B&amp;盘货信息!$C:$C,盘货信息!$S:$S),CHAR(10),,TRUE),1,COLUMN(D63)),"")</f>
        <v/>
      </c>
      <c r="N64" s="18" t="str" cm="1">
        <f t="array" ref="N64">IFERROR(INDEX(_xlfn.TEXTSPLIT(_xlfn.XLOOKUP($A64&amp;$B64&amp;$C64,盘货信息!$A:$A&amp;盘货信息!$B:$B&amp;盘货信息!$C:$C,盘货信息!$S:$S),CHAR(10),,TRUE),1,COLUMN(E63)),"")</f>
        <v/>
      </c>
    </row>
    <row r="65" customHeight="1" spans="1:14">
      <c r="A65" s="17" t="str">
        <f>IF(盘货信息!A65="","",盘货信息!A65)</f>
        <v/>
      </c>
      <c r="B65" s="17" t="str">
        <f>IF(盘货信息!B65="","",盘货信息!B65)</f>
        <v/>
      </c>
      <c r="C65" s="18" t="str">
        <f>IF(盘货信息!C65="","",盘货信息!C65)</f>
        <v/>
      </c>
      <c r="D65" s="18" t="str">
        <f t="shared" si="0"/>
        <v/>
      </c>
      <c r="E65" s="18" t="str">
        <f>_xlfn.LET(_xlpm.A,IF(ISNUMBER(SEARCH("晒单",J65)),"【晒单】"&amp;MID(J65,SEARCH("晒单",J65)+LEN("晒单"),LEN(J65))&amp;"（需晒单后联系客服登记）",IF(ISNUMBER(SEARCH("包修",J65)),"【购机】"&amp;MID(J65,SEARCH("购机",J65)+LEN("购机"),LEN(J65)),IF(ISNUMBER(SEARCH("叠放支架",J65)),"【赠品】"&amp;MID(J65,SEARCH("购机",J65)+LEN("购机"),LEN(J65)),IF(ISNUMBER(SEARCH("秀图",J65)),"【秀图】"&amp;MID(J65,SEARCH("秀图",J65)+LEN("秀图"),LEN(J65)),"")))),IFERROR(LEFT(_xlpm.A,FIND("【",_xlpm.A,FIND("】",_xlpm.A)+1)-1)&amp;MID(_xlpm.A,FIND("】",_xlpm.A,FIND("】",_xlpm.A)+1)+1,LEN(_xlpm.A)),_xlpm.A))</f>
        <v/>
      </c>
      <c r="F65" s="18" t="str">
        <f>_xlfn.LET(_xlpm.A,IF(ISNUMBER(SEARCH("晒单",K65)),"【晒单】"&amp;MID(K65,SEARCH("晒单",K65)+LEN("晒单"),LEN(K65))&amp;"（需晒单后联系客服登记）",IF(ISNUMBER(SEARCH("包修",K65)),"【购机】"&amp;MID(K65,SEARCH("购机",K65)+LEN("购机"),LEN(K65)),IF(ISNUMBER(SEARCH("叠放支架",K65)),"【赠品】"&amp;MID(K65,SEARCH("购机",K65)+LEN("购机"),LEN(K65)),IF(ISNUMBER(SEARCH("秀图",K65)),"【秀图】"&amp;MID(K65,SEARCH("秀图",K65)+LEN("秀图"),LEN(K65)),"")))),IFERROR(LEFT(_xlpm.A,FIND("【",_xlpm.A,FIND("】",_xlpm.A)+1)-1)&amp;MID(_xlpm.A,FIND("】",_xlpm.A,FIND("】",_xlpm.A)+1)+1,LEN(_xlpm.A)),_xlpm.A))</f>
        <v/>
      </c>
      <c r="G65" s="18" t="str">
        <f>_xlfn.LET(_xlpm.A,IF(ISNUMBER(SEARCH("晒单",L65)),"【晒单】"&amp;MID(L65,SEARCH("晒单",L65)+LEN("晒单"),LEN(L65))&amp;"（需晒单后联系客服登记）",IF(ISNUMBER(SEARCH("包修",L65)),"【购机】"&amp;MID(L65,SEARCH("购机",L65)+LEN("购机"),LEN(L65)),IF(ISNUMBER(SEARCH("叠放支架",L65)),"【赠品】"&amp;MID(L65,SEARCH("购机",L65)+LEN("购机"),LEN(L65)),IF(ISNUMBER(SEARCH("秀图",L65)),"【秀图】"&amp;MID(L65,SEARCH("秀图",L65)+LEN("秀图"),LEN(L65)),"")))),IFERROR(LEFT(_xlpm.A,FIND("【",_xlpm.A,FIND("】",_xlpm.A)+1)-1)&amp;MID(_xlpm.A,FIND("】",_xlpm.A,FIND("】",_xlpm.A)+1)+1,LEN(_xlpm.A)),_xlpm.A))</f>
        <v/>
      </c>
      <c r="H65" s="18" t="str">
        <f>_xlfn.LET(_xlpm.A,IF(ISNUMBER(SEARCH("晒单",M65)),"【晒单】"&amp;MID(M65,SEARCH("晒单",M65)+LEN("晒单"),LEN(M65))&amp;"（需晒单后联系客服登记）",IF(ISNUMBER(SEARCH("包修",M65)),"【购机】"&amp;MID(M65,SEARCH("购机",M65)+LEN("购机"),LEN(M65)),IF(ISNUMBER(SEARCH("叠放支架",M65)),"【赠品】"&amp;MID(M65,SEARCH("购机",M65)+LEN("购机"),LEN(M65)),IF(ISNUMBER(SEARCH("秀图",M65)),"【秀图】"&amp;MID(M65,SEARCH("秀图",M65)+LEN("秀图"),LEN(M65)),"")))),IFERROR(LEFT(_xlpm.A,FIND("【",_xlpm.A,FIND("】",_xlpm.A)+1)-1)&amp;MID(_xlpm.A,FIND("】",_xlpm.A,FIND("】",_xlpm.A)+1)+1,LEN(_xlpm.A)),_xlpm.A))</f>
        <v/>
      </c>
      <c r="I65" s="18" t="str">
        <f>_xlfn.LET(_xlpm.A,IF(ISNUMBER(SEARCH("晒单",N65)),"【晒单】"&amp;MID(N65,SEARCH("晒单",N65)+LEN("晒单"),LEN(N65))&amp;"（需晒单后联系客服登记）",IF(ISNUMBER(SEARCH("包修",N65)),"【购机】"&amp;MID(N65,SEARCH("购机",N65)+LEN("购机"),LEN(N65)),IF(ISNUMBER(SEARCH("叠放支架",N65)),"【赠品】"&amp;MID(N65,SEARCH("购机",N65)+LEN("购机"),LEN(N65)),IF(ISNUMBER(SEARCH("秀图",N65)),"【秀图】"&amp;MID(N65,SEARCH("秀图",N65)+LEN("秀图"),LEN(N65)),"")))),IFERROR(LEFT(_xlpm.A,FIND("【",_xlpm.A,FIND("】",_xlpm.A)+1)-1)&amp;MID(_xlpm.A,FIND("】",_xlpm.A,FIND("】",_xlpm.A)+1)+1,LEN(_xlpm.A)),_xlpm.A))</f>
        <v/>
      </c>
      <c r="J65" s="18" t="str" cm="1">
        <f t="array" ref="J65">IFERROR(INDEX(_xlfn.TEXTSPLIT(_xlfn.XLOOKUP($A65&amp;$B65&amp;$C65,盘货信息!$A:$A&amp;盘货信息!$B:$B&amp;盘货信息!$C:$C,盘货信息!$S:$S),CHAR(10),,TRUE),1,COLUMN(A64)),"")</f>
        <v/>
      </c>
      <c r="K65" s="18" t="str" cm="1">
        <f t="array" ref="K65">IFERROR(INDEX(_xlfn.TEXTSPLIT(_xlfn.XLOOKUP($A65&amp;$B65&amp;$C65,盘货信息!$A:$A&amp;盘货信息!$B:$B&amp;盘货信息!$C:$C,盘货信息!$S:$S),CHAR(10),,TRUE),1,COLUMN(B64)),"")</f>
        <v/>
      </c>
      <c r="L65" s="18" t="str" cm="1">
        <f t="array" ref="L65">IFERROR(INDEX(_xlfn.TEXTSPLIT(_xlfn.XLOOKUP($A65&amp;$B65&amp;$C65,盘货信息!$A:$A&amp;盘货信息!$B:$B&amp;盘货信息!$C:$C,盘货信息!$S:$S),CHAR(10),,TRUE),1,COLUMN(C64)),"")</f>
        <v/>
      </c>
      <c r="M65" s="18" t="str" cm="1">
        <f t="array" ref="M65">IFERROR(INDEX(_xlfn.TEXTSPLIT(_xlfn.XLOOKUP($A65&amp;$B65&amp;$C65,盘货信息!$A:$A&amp;盘货信息!$B:$B&amp;盘货信息!$C:$C,盘货信息!$S:$S),CHAR(10),,TRUE),1,COLUMN(D64)),"")</f>
        <v/>
      </c>
      <c r="N65" s="18" t="str" cm="1">
        <f t="array" ref="N65">IFERROR(INDEX(_xlfn.TEXTSPLIT(_xlfn.XLOOKUP($A65&amp;$B65&amp;$C65,盘货信息!$A:$A&amp;盘货信息!$B:$B&amp;盘货信息!$C:$C,盘货信息!$S:$S),CHAR(10),,TRUE),1,COLUMN(E64)),"")</f>
        <v/>
      </c>
    </row>
    <row r="66" customHeight="1" spans="1:14">
      <c r="A66" s="17" t="str">
        <f>IF(盘货信息!A66="","",盘货信息!A66)</f>
        <v/>
      </c>
      <c r="B66" s="17" t="str">
        <f>IF(盘货信息!B66="","",盘货信息!B66)</f>
        <v/>
      </c>
      <c r="C66" s="18" t="str">
        <f>IF(盘货信息!C66="","",盘货信息!C66)</f>
        <v/>
      </c>
      <c r="D66" s="18" t="str">
        <f t="shared" ref="D66:D129" si="1">_xlfn.TEXTJOIN(CHAR(10),TRUE,E66:I66)</f>
        <v/>
      </c>
      <c r="E66" s="18" t="str">
        <f>_xlfn.LET(_xlpm.A,IF(ISNUMBER(SEARCH("晒单",J66)),"【晒单】"&amp;MID(J66,SEARCH("晒单",J66)+LEN("晒单"),LEN(J66))&amp;"（需晒单后联系客服登记）",IF(ISNUMBER(SEARCH("包修",J66)),"【购机】"&amp;MID(J66,SEARCH("购机",J66)+LEN("购机"),LEN(J66)),IF(ISNUMBER(SEARCH("叠放支架",J66)),"【赠品】"&amp;MID(J66,SEARCH("购机",J66)+LEN("购机"),LEN(J66)),IF(ISNUMBER(SEARCH("秀图",J66)),"【秀图】"&amp;MID(J66,SEARCH("秀图",J66)+LEN("秀图"),LEN(J66)),"")))),IFERROR(LEFT(_xlpm.A,FIND("【",_xlpm.A,FIND("】",_xlpm.A)+1)-1)&amp;MID(_xlpm.A,FIND("】",_xlpm.A,FIND("】",_xlpm.A)+1)+1,LEN(_xlpm.A)),_xlpm.A))</f>
        <v/>
      </c>
      <c r="F66" s="18" t="str">
        <f>_xlfn.LET(_xlpm.A,IF(ISNUMBER(SEARCH("晒单",K66)),"【晒单】"&amp;MID(K66,SEARCH("晒单",K66)+LEN("晒单"),LEN(K66))&amp;"（需晒单后联系客服登记）",IF(ISNUMBER(SEARCH("包修",K66)),"【购机】"&amp;MID(K66,SEARCH("购机",K66)+LEN("购机"),LEN(K66)),IF(ISNUMBER(SEARCH("叠放支架",K66)),"【赠品】"&amp;MID(K66,SEARCH("购机",K66)+LEN("购机"),LEN(K66)),IF(ISNUMBER(SEARCH("秀图",K66)),"【秀图】"&amp;MID(K66,SEARCH("秀图",K66)+LEN("秀图"),LEN(K66)),"")))),IFERROR(LEFT(_xlpm.A,FIND("【",_xlpm.A,FIND("】",_xlpm.A)+1)-1)&amp;MID(_xlpm.A,FIND("】",_xlpm.A,FIND("】",_xlpm.A)+1)+1,LEN(_xlpm.A)),_xlpm.A))</f>
        <v/>
      </c>
      <c r="G66" s="18" t="str">
        <f>_xlfn.LET(_xlpm.A,IF(ISNUMBER(SEARCH("晒单",L66)),"【晒单】"&amp;MID(L66,SEARCH("晒单",L66)+LEN("晒单"),LEN(L66))&amp;"（需晒单后联系客服登记）",IF(ISNUMBER(SEARCH("包修",L66)),"【购机】"&amp;MID(L66,SEARCH("购机",L66)+LEN("购机"),LEN(L66)),IF(ISNUMBER(SEARCH("叠放支架",L66)),"【赠品】"&amp;MID(L66,SEARCH("购机",L66)+LEN("购机"),LEN(L66)),IF(ISNUMBER(SEARCH("秀图",L66)),"【秀图】"&amp;MID(L66,SEARCH("秀图",L66)+LEN("秀图"),LEN(L66)),"")))),IFERROR(LEFT(_xlpm.A,FIND("【",_xlpm.A,FIND("】",_xlpm.A)+1)-1)&amp;MID(_xlpm.A,FIND("】",_xlpm.A,FIND("】",_xlpm.A)+1)+1,LEN(_xlpm.A)),_xlpm.A))</f>
        <v/>
      </c>
      <c r="H66" s="18" t="str">
        <f>_xlfn.LET(_xlpm.A,IF(ISNUMBER(SEARCH("晒单",M66)),"【晒单】"&amp;MID(M66,SEARCH("晒单",M66)+LEN("晒单"),LEN(M66))&amp;"（需晒单后联系客服登记）",IF(ISNUMBER(SEARCH("包修",M66)),"【购机】"&amp;MID(M66,SEARCH("购机",M66)+LEN("购机"),LEN(M66)),IF(ISNUMBER(SEARCH("叠放支架",M66)),"【赠品】"&amp;MID(M66,SEARCH("购机",M66)+LEN("购机"),LEN(M66)),IF(ISNUMBER(SEARCH("秀图",M66)),"【秀图】"&amp;MID(M66,SEARCH("秀图",M66)+LEN("秀图"),LEN(M66)),"")))),IFERROR(LEFT(_xlpm.A,FIND("【",_xlpm.A,FIND("】",_xlpm.A)+1)-1)&amp;MID(_xlpm.A,FIND("】",_xlpm.A,FIND("】",_xlpm.A)+1)+1,LEN(_xlpm.A)),_xlpm.A))</f>
        <v/>
      </c>
      <c r="I66" s="18" t="str">
        <f>_xlfn.LET(_xlpm.A,IF(ISNUMBER(SEARCH("晒单",N66)),"【晒单】"&amp;MID(N66,SEARCH("晒单",N66)+LEN("晒单"),LEN(N66))&amp;"（需晒单后联系客服登记）",IF(ISNUMBER(SEARCH("包修",N66)),"【购机】"&amp;MID(N66,SEARCH("购机",N66)+LEN("购机"),LEN(N66)),IF(ISNUMBER(SEARCH("叠放支架",N66)),"【赠品】"&amp;MID(N66,SEARCH("购机",N66)+LEN("购机"),LEN(N66)),IF(ISNUMBER(SEARCH("秀图",N66)),"【秀图】"&amp;MID(N66,SEARCH("秀图",N66)+LEN("秀图"),LEN(N66)),"")))),IFERROR(LEFT(_xlpm.A,FIND("【",_xlpm.A,FIND("】",_xlpm.A)+1)-1)&amp;MID(_xlpm.A,FIND("】",_xlpm.A,FIND("】",_xlpm.A)+1)+1,LEN(_xlpm.A)),_xlpm.A))</f>
        <v/>
      </c>
      <c r="J66" s="18" t="str" cm="1">
        <f t="array" ref="J66">IFERROR(INDEX(_xlfn.TEXTSPLIT(_xlfn.XLOOKUP($A66&amp;$B66&amp;$C66,盘货信息!$A:$A&amp;盘货信息!$B:$B&amp;盘货信息!$C:$C,盘货信息!$S:$S),CHAR(10),,TRUE),1,COLUMN(A65)),"")</f>
        <v/>
      </c>
      <c r="K66" s="18" t="str" cm="1">
        <f t="array" ref="K66">IFERROR(INDEX(_xlfn.TEXTSPLIT(_xlfn.XLOOKUP($A66&amp;$B66&amp;$C66,盘货信息!$A:$A&amp;盘货信息!$B:$B&amp;盘货信息!$C:$C,盘货信息!$S:$S),CHAR(10),,TRUE),1,COLUMN(B65)),"")</f>
        <v/>
      </c>
      <c r="L66" s="18" t="str" cm="1">
        <f t="array" ref="L66">IFERROR(INDEX(_xlfn.TEXTSPLIT(_xlfn.XLOOKUP($A66&amp;$B66&amp;$C66,盘货信息!$A:$A&amp;盘货信息!$B:$B&amp;盘货信息!$C:$C,盘货信息!$S:$S),CHAR(10),,TRUE),1,COLUMN(C65)),"")</f>
        <v/>
      </c>
      <c r="M66" s="18" t="str" cm="1">
        <f t="array" ref="M66">IFERROR(INDEX(_xlfn.TEXTSPLIT(_xlfn.XLOOKUP($A66&amp;$B66&amp;$C66,盘货信息!$A:$A&amp;盘货信息!$B:$B&amp;盘货信息!$C:$C,盘货信息!$S:$S),CHAR(10),,TRUE),1,COLUMN(D65)),"")</f>
        <v/>
      </c>
      <c r="N66" s="18" t="str" cm="1">
        <f t="array" ref="N66">IFERROR(INDEX(_xlfn.TEXTSPLIT(_xlfn.XLOOKUP($A66&amp;$B66&amp;$C66,盘货信息!$A:$A&amp;盘货信息!$B:$B&amp;盘货信息!$C:$C,盘货信息!$S:$S),CHAR(10),,TRUE),1,COLUMN(E65)),"")</f>
        <v/>
      </c>
    </row>
    <row r="67" customHeight="1" spans="1:14">
      <c r="A67" s="17" t="str">
        <f>IF(盘货信息!A67="","",盘货信息!A67)</f>
        <v/>
      </c>
      <c r="B67" s="17" t="str">
        <f>IF(盘货信息!B67="","",盘货信息!B67)</f>
        <v/>
      </c>
      <c r="C67" s="18" t="str">
        <f>IF(盘货信息!C67="","",盘货信息!C67)</f>
        <v/>
      </c>
      <c r="D67" s="18" t="str">
        <f t="shared" si="1"/>
        <v/>
      </c>
      <c r="E67" s="18" t="str">
        <f>_xlfn.LET(_xlpm.A,IF(ISNUMBER(SEARCH("晒单",J67)),"【晒单】"&amp;MID(J67,SEARCH("晒单",J67)+LEN("晒单"),LEN(J67))&amp;"（需晒单后联系客服登记）",IF(ISNUMBER(SEARCH("包修",J67)),"【购机】"&amp;MID(J67,SEARCH("购机",J67)+LEN("购机"),LEN(J67)),IF(ISNUMBER(SEARCH("叠放支架",J67)),"【赠品】"&amp;MID(J67,SEARCH("购机",J67)+LEN("购机"),LEN(J67)),IF(ISNUMBER(SEARCH("秀图",J67)),"【秀图】"&amp;MID(J67,SEARCH("秀图",J67)+LEN("秀图"),LEN(J67)),"")))),IFERROR(LEFT(_xlpm.A,FIND("【",_xlpm.A,FIND("】",_xlpm.A)+1)-1)&amp;MID(_xlpm.A,FIND("】",_xlpm.A,FIND("】",_xlpm.A)+1)+1,LEN(_xlpm.A)),_xlpm.A))</f>
        <v/>
      </c>
      <c r="F67" s="18" t="str">
        <f>_xlfn.LET(_xlpm.A,IF(ISNUMBER(SEARCH("晒单",K67)),"【晒单】"&amp;MID(K67,SEARCH("晒单",K67)+LEN("晒单"),LEN(K67))&amp;"（需晒单后联系客服登记）",IF(ISNUMBER(SEARCH("包修",K67)),"【购机】"&amp;MID(K67,SEARCH("购机",K67)+LEN("购机"),LEN(K67)),IF(ISNUMBER(SEARCH("叠放支架",K67)),"【赠品】"&amp;MID(K67,SEARCH("购机",K67)+LEN("购机"),LEN(K67)),IF(ISNUMBER(SEARCH("秀图",K67)),"【秀图】"&amp;MID(K67,SEARCH("秀图",K67)+LEN("秀图"),LEN(K67)),"")))),IFERROR(LEFT(_xlpm.A,FIND("【",_xlpm.A,FIND("】",_xlpm.A)+1)-1)&amp;MID(_xlpm.A,FIND("】",_xlpm.A,FIND("】",_xlpm.A)+1)+1,LEN(_xlpm.A)),_xlpm.A))</f>
        <v/>
      </c>
      <c r="G67" s="18" t="str">
        <f>_xlfn.LET(_xlpm.A,IF(ISNUMBER(SEARCH("晒单",L67)),"【晒单】"&amp;MID(L67,SEARCH("晒单",L67)+LEN("晒单"),LEN(L67))&amp;"（需晒单后联系客服登记）",IF(ISNUMBER(SEARCH("包修",L67)),"【购机】"&amp;MID(L67,SEARCH("购机",L67)+LEN("购机"),LEN(L67)),IF(ISNUMBER(SEARCH("叠放支架",L67)),"【赠品】"&amp;MID(L67,SEARCH("购机",L67)+LEN("购机"),LEN(L67)),IF(ISNUMBER(SEARCH("秀图",L67)),"【秀图】"&amp;MID(L67,SEARCH("秀图",L67)+LEN("秀图"),LEN(L67)),"")))),IFERROR(LEFT(_xlpm.A,FIND("【",_xlpm.A,FIND("】",_xlpm.A)+1)-1)&amp;MID(_xlpm.A,FIND("】",_xlpm.A,FIND("】",_xlpm.A)+1)+1,LEN(_xlpm.A)),_xlpm.A))</f>
        <v/>
      </c>
      <c r="H67" s="18" t="str">
        <f>_xlfn.LET(_xlpm.A,IF(ISNUMBER(SEARCH("晒单",M67)),"【晒单】"&amp;MID(M67,SEARCH("晒单",M67)+LEN("晒单"),LEN(M67))&amp;"（需晒单后联系客服登记）",IF(ISNUMBER(SEARCH("包修",M67)),"【购机】"&amp;MID(M67,SEARCH("购机",M67)+LEN("购机"),LEN(M67)),IF(ISNUMBER(SEARCH("叠放支架",M67)),"【赠品】"&amp;MID(M67,SEARCH("购机",M67)+LEN("购机"),LEN(M67)),IF(ISNUMBER(SEARCH("秀图",M67)),"【秀图】"&amp;MID(M67,SEARCH("秀图",M67)+LEN("秀图"),LEN(M67)),"")))),IFERROR(LEFT(_xlpm.A,FIND("【",_xlpm.A,FIND("】",_xlpm.A)+1)-1)&amp;MID(_xlpm.A,FIND("】",_xlpm.A,FIND("】",_xlpm.A)+1)+1,LEN(_xlpm.A)),_xlpm.A))</f>
        <v/>
      </c>
      <c r="I67" s="18" t="str">
        <f>_xlfn.LET(_xlpm.A,IF(ISNUMBER(SEARCH("晒单",N67)),"【晒单】"&amp;MID(N67,SEARCH("晒单",N67)+LEN("晒单"),LEN(N67))&amp;"（需晒单后联系客服登记）",IF(ISNUMBER(SEARCH("包修",N67)),"【购机】"&amp;MID(N67,SEARCH("购机",N67)+LEN("购机"),LEN(N67)),IF(ISNUMBER(SEARCH("叠放支架",N67)),"【赠品】"&amp;MID(N67,SEARCH("购机",N67)+LEN("购机"),LEN(N67)),IF(ISNUMBER(SEARCH("秀图",N67)),"【秀图】"&amp;MID(N67,SEARCH("秀图",N67)+LEN("秀图"),LEN(N67)),"")))),IFERROR(LEFT(_xlpm.A,FIND("【",_xlpm.A,FIND("】",_xlpm.A)+1)-1)&amp;MID(_xlpm.A,FIND("】",_xlpm.A,FIND("】",_xlpm.A)+1)+1,LEN(_xlpm.A)),_xlpm.A))</f>
        <v/>
      </c>
      <c r="J67" s="18" t="str" cm="1">
        <f t="array" ref="J67">IFERROR(INDEX(_xlfn.TEXTSPLIT(_xlfn.XLOOKUP($A67&amp;$B67&amp;$C67,盘货信息!$A:$A&amp;盘货信息!$B:$B&amp;盘货信息!$C:$C,盘货信息!$S:$S),CHAR(10),,TRUE),1,COLUMN(A66)),"")</f>
        <v/>
      </c>
      <c r="K67" s="18" t="str" cm="1">
        <f t="array" ref="K67">IFERROR(INDEX(_xlfn.TEXTSPLIT(_xlfn.XLOOKUP($A67&amp;$B67&amp;$C67,盘货信息!$A:$A&amp;盘货信息!$B:$B&amp;盘货信息!$C:$C,盘货信息!$S:$S),CHAR(10),,TRUE),1,COLUMN(B66)),"")</f>
        <v/>
      </c>
      <c r="L67" s="18" t="str" cm="1">
        <f t="array" ref="L67">IFERROR(INDEX(_xlfn.TEXTSPLIT(_xlfn.XLOOKUP($A67&amp;$B67&amp;$C67,盘货信息!$A:$A&amp;盘货信息!$B:$B&amp;盘货信息!$C:$C,盘货信息!$S:$S),CHAR(10),,TRUE),1,COLUMN(C66)),"")</f>
        <v/>
      </c>
      <c r="M67" s="18" t="str" cm="1">
        <f t="array" ref="M67">IFERROR(INDEX(_xlfn.TEXTSPLIT(_xlfn.XLOOKUP($A67&amp;$B67&amp;$C67,盘货信息!$A:$A&amp;盘货信息!$B:$B&amp;盘货信息!$C:$C,盘货信息!$S:$S),CHAR(10),,TRUE),1,COLUMN(D66)),"")</f>
        <v/>
      </c>
      <c r="N67" s="18" t="str" cm="1">
        <f t="array" ref="N67">IFERROR(INDEX(_xlfn.TEXTSPLIT(_xlfn.XLOOKUP($A67&amp;$B67&amp;$C67,盘货信息!$A:$A&amp;盘货信息!$B:$B&amp;盘货信息!$C:$C,盘货信息!$S:$S),CHAR(10),,TRUE),1,COLUMN(E66)),"")</f>
        <v/>
      </c>
    </row>
    <row r="68" customHeight="1" spans="1:14">
      <c r="A68" s="17" t="str">
        <f>IF(盘货信息!A68="","",盘货信息!A68)</f>
        <v/>
      </c>
      <c r="B68" s="17" t="str">
        <f>IF(盘货信息!B68="","",盘货信息!B68)</f>
        <v/>
      </c>
      <c r="C68" s="18" t="str">
        <f>IF(盘货信息!C68="","",盘货信息!C68)</f>
        <v/>
      </c>
      <c r="D68" s="18" t="str">
        <f t="shared" si="1"/>
        <v/>
      </c>
      <c r="E68" s="18" t="str">
        <f>_xlfn.LET(_xlpm.A,IF(ISNUMBER(SEARCH("晒单",J68)),"【晒单】"&amp;MID(J68,SEARCH("晒单",J68)+LEN("晒单"),LEN(J68))&amp;"（需晒单后联系客服登记）",IF(ISNUMBER(SEARCH("包修",J68)),"【购机】"&amp;MID(J68,SEARCH("购机",J68)+LEN("购机"),LEN(J68)),IF(ISNUMBER(SEARCH("叠放支架",J68)),"【赠品】"&amp;MID(J68,SEARCH("购机",J68)+LEN("购机"),LEN(J68)),IF(ISNUMBER(SEARCH("秀图",J68)),"【秀图】"&amp;MID(J68,SEARCH("秀图",J68)+LEN("秀图"),LEN(J68)),"")))),IFERROR(LEFT(_xlpm.A,FIND("【",_xlpm.A,FIND("】",_xlpm.A)+1)-1)&amp;MID(_xlpm.A,FIND("】",_xlpm.A,FIND("】",_xlpm.A)+1)+1,LEN(_xlpm.A)),_xlpm.A))</f>
        <v/>
      </c>
      <c r="F68" s="18" t="str">
        <f>_xlfn.LET(_xlpm.A,IF(ISNUMBER(SEARCH("晒单",K68)),"【晒单】"&amp;MID(K68,SEARCH("晒单",K68)+LEN("晒单"),LEN(K68))&amp;"（需晒单后联系客服登记）",IF(ISNUMBER(SEARCH("包修",K68)),"【购机】"&amp;MID(K68,SEARCH("购机",K68)+LEN("购机"),LEN(K68)),IF(ISNUMBER(SEARCH("叠放支架",K68)),"【赠品】"&amp;MID(K68,SEARCH("购机",K68)+LEN("购机"),LEN(K68)),IF(ISNUMBER(SEARCH("秀图",K68)),"【秀图】"&amp;MID(K68,SEARCH("秀图",K68)+LEN("秀图"),LEN(K68)),"")))),IFERROR(LEFT(_xlpm.A,FIND("【",_xlpm.A,FIND("】",_xlpm.A)+1)-1)&amp;MID(_xlpm.A,FIND("】",_xlpm.A,FIND("】",_xlpm.A)+1)+1,LEN(_xlpm.A)),_xlpm.A))</f>
        <v/>
      </c>
      <c r="G68" s="18" t="str">
        <f>_xlfn.LET(_xlpm.A,IF(ISNUMBER(SEARCH("晒单",L68)),"【晒单】"&amp;MID(L68,SEARCH("晒单",L68)+LEN("晒单"),LEN(L68))&amp;"（需晒单后联系客服登记）",IF(ISNUMBER(SEARCH("包修",L68)),"【购机】"&amp;MID(L68,SEARCH("购机",L68)+LEN("购机"),LEN(L68)),IF(ISNUMBER(SEARCH("叠放支架",L68)),"【赠品】"&amp;MID(L68,SEARCH("购机",L68)+LEN("购机"),LEN(L68)),IF(ISNUMBER(SEARCH("秀图",L68)),"【秀图】"&amp;MID(L68,SEARCH("秀图",L68)+LEN("秀图"),LEN(L68)),"")))),IFERROR(LEFT(_xlpm.A,FIND("【",_xlpm.A,FIND("】",_xlpm.A)+1)-1)&amp;MID(_xlpm.A,FIND("】",_xlpm.A,FIND("】",_xlpm.A)+1)+1,LEN(_xlpm.A)),_xlpm.A))</f>
        <v/>
      </c>
      <c r="H68" s="18" t="str">
        <f>_xlfn.LET(_xlpm.A,IF(ISNUMBER(SEARCH("晒单",M68)),"【晒单】"&amp;MID(M68,SEARCH("晒单",M68)+LEN("晒单"),LEN(M68))&amp;"（需晒单后联系客服登记）",IF(ISNUMBER(SEARCH("包修",M68)),"【购机】"&amp;MID(M68,SEARCH("购机",M68)+LEN("购机"),LEN(M68)),IF(ISNUMBER(SEARCH("叠放支架",M68)),"【赠品】"&amp;MID(M68,SEARCH("购机",M68)+LEN("购机"),LEN(M68)),IF(ISNUMBER(SEARCH("秀图",M68)),"【秀图】"&amp;MID(M68,SEARCH("秀图",M68)+LEN("秀图"),LEN(M68)),"")))),IFERROR(LEFT(_xlpm.A,FIND("【",_xlpm.A,FIND("】",_xlpm.A)+1)-1)&amp;MID(_xlpm.A,FIND("】",_xlpm.A,FIND("】",_xlpm.A)+1)+1,LEN(_xlpm.A)),_xlpm.A))</f>
        <v/>
      </c>
      <c r="I68" s="18" t="str">
        <f>_xlfn.LET(_xlpm.A,IF(ISNUMBER(SEARCH("晒单",N68)),"【晒单】"&amp;MID(N68,SEARCH("晒单",N68)+LEN("晒单"),LEN(N68))&amp;"（需晒单后联系客服登记）",IF(ISNUMBER(SEARCH("包修",N68)),"【购机】"&amp;MID(N68,SEARCH("购机",N68)+LEN("购机"),LEN(N68)),IF(ISNUMBER(SEARCH("叠放支架",N68)),"【赠品】"&amp;MID(N68,SEARCH("购机",N68)+LEN("购机"),LEN(N68)),IF(ISNUMBER(SEARCH("秀图",N68)),"【秀图】"&amp;MID(N68,SEARCH("秀图",N68)+LEN("秀图"),LEN(N68)),"")))),IFERROR(LEFT(_xlpm.A,FIND("【",_xlpm.A,FIND("】",_xlpm.A)+1)-1)&amp;MID(_xlpm.A,FIND("】",_xlpm.A,FIND("】",_xlpm.A)+1)+1,LEN(_xlpm.A)),_xlpm.A))</f>
        <v/>
      </c>
      <c r="J68" s="18" t="str" cm="1">
        <f t="array" ref="J68">IFERROR(INDEX(_xlfn.TEXTSPLIT(_xlfn.XLOOKUP($A68&amp;$B68&amp;$C68,盘货信息!$A:$A&amp;盘货信息!$B:$B&amp;盘货信息!$C:$C,盘货信息!$S:$S),CHAR(10),,TRUE),1,COLUMN(A67)),"")</f>
        <v/>
      </c>
      <c r="K68" s="18" t="str" cm="1">
        <f t="array" ref="K68">IFERROR(INDEX(_xlfn.TEXTSPLIT(_xlfn.XLOOKUP($A68&amp;$B68&amp;$C68,盘货信息!$A:$A&amp;盘货信息!$B:$B&amp;盘货信息!$C:$C,盘货信息!$S:$S),CHAR(10),,TRUE),1,COLUMN(B67)),"")</f>
        <v/>
      </c>
      <c r="L68" s="18" t="str" cm="1">
        <f t="array" ref="L68">IFERROR(INDEX(_xlfn.TEXTSPLIT(_xlfn.XLOOKUP($A68&amp;$B68&amp;$C68,盘货信息!$A:$A&amp;盘货信息!$B:$B&amp;盘货信息!$C:$C,盘货信息!$S:$S),CHAR(10),,TRUE),1,COLUMN(C67)),"")</f>
        <v/>
      </c>
      <c r="M68" s="18" t="str" cm="1">
        <f t="array" ref="M68">IFERROR(INDEX(_xlfn.TEXTSPLIT(_xlfn.XLOOKUP($A68&amp;$B68&amp;$C68,盘货信息!$A:$A&amp;盘货信息!$B:$B&amp;盘货信息!$C:$C,盘货信息!$S:$S),CHAR(10),,TRUE),1,COLUMN(D67)),"")</f>
        <v/>
      </c>
      <c r="N68" s="18" t="str" cm="1">
        <f t="array" ref="N68">IFERROR(INDEX(_xlfn.TEXTSPLIT(_xlfn.XLOOKUP($A68&amp;$B68&amp;$C68,盘货信息!$A:$A&amp;盘货信息!$B:$B&amp;盘货信息!$C:$C,盘货信息!$S:$S),CHAR(10),,TRUE),1,COLUMN(E67)),"")</f>
        <v/>
      </c>
    </row>
    <row r="69" customHeight="1" spans="1:14">
      <c r="A69" s="17" t="str">
        <f>IF(盘货信息!A69="","",盘货信息!A69)</f>
        <v/>
      </c>
      <c r="B69" s="17" t="str">
        <f>IF(盘货信息!B69="","",盘货信息!B69)</f>
        <v/>
      </c>
      <c r="C69" s="18" t="str">
        <f>IF(盘货信息!C69="","",盘货信息!C69)</f>
        <v/>
      </c>
      <c r="D69" s="18" t="str">
        <f t="shared" si="1"/>
        <v/>
      </c>
      <c r="E69" s="18" t="str">
        <f>_xlfn.LET(_xlpm.A,IF(ISNUMBER(SEARCH("晒单",J69)),"【晒单】"&amp;MID(J69,SEARCH("晒单",J69)+LEN("晒单"),LEN(J69))&amp;"（需晒单后联系客服登记）",IF(ISNUMBER(SEARCH("包修",J69)),"【购机】"&amp;MID(J69,SEARCH("购机",J69)+LEN("购机"),LEN(J69)),IF(ISNUMBER(SEARCH("叠放支架",J69)),"【赠品】"&amp;MID(J69,SEARCH("购机",J69)+LEN("购机"),LEN(J69)),IF(ISNUMBER(SEARCH("秀图",J69)),"【秀图】"&amp;MID(J69,SEARCH("秀图",J69)+LEN("秀图"),LEN(J69)),"")))),IFERROR(LEFT(_xlpm.A,FIND("【",_xlpm.A,FIND("】",_xlpm.A)+1)-1)&amp;MID(_xlpm.A,FIND("】",_xlpm.A,FIND("】",_xlpm.A)+1)+1,LEN(_xlpm.A)),_xlpm.A))</f>
        <v/>
      </c>
      <c r="F69" s="18" t="str">
        <f>_xlfn.LET(_xlpm.A,IF(ISNUMBER(SEARCH("晒单",K69)),"【晒单】"&amp;MID(K69,SEARCH("晒单",K69)+LEN("晒单"),LEN(K69))&amp;"（需晒单后联系客服登记）",IF(ISNUMBER(SEARCH("包修",K69)),"【购机】"&amp;MID(K69,SEARCH("购机",K69)+LEN("购机"),LEN(K69)),IF(ISNUMBER(SEARCH("叠放支架",K69)),"【赠品】"&amp;MID(K69,SEARCH("购机",K69)+LEN("购机"),LEN(K69)),IF(ISNUMBER(SEARCH("秀图",K69)),"【秀图】"&amp;MID(K69,SEARCH("秀图",K69)+LEN("秀图"),LEN(K69)),"")))),IFERROR(LEFT(_xlpm.A,FIND("【",_xlpm.A,FIND("】",_xlpm.A)+1)-1)&amp;MID(_xlpm.A,FIND("】",_xlpm.A,FIND("】",_xlpm.A)+1)+1,LEN(_xlpm.A)),_xlpm.A))</f>
        <v/>
      </c>
      <c r="G69" s="18" t="str">
        <f>_xlfn.LET(_xlpm.A,IF(ISNUMBER(SEARCH("晒单",L69)),"【晒单】"&amp;MID(L69,SEARCH("晒单",L69)+LEN("晒单"),LEN(L69))&amp;"（需晒单后联系客服登记）",IF(ISNUMBER(SEARCH("包修",L69)),"【购机】"&amp;MID(L69,SEARCH("购机",L69)+LEN("购机"),LEN(L69)),IF(ISNUMBER(SEARCH("叠放支架",L69)),"【赠品】"&amp;MID(L69,SEARCH("购机",L69)+LEN("购机"),LEN(L69)),IF(ISNUMBER(SEARCH("秀图",L69)),"【秀图】"&amp;MID(L69,SEARCH("秀图",L69)+LEN("秀图"),LEN(L69)),"")))),IFERROR(LEFT(_xlpm.A,FIND("【",_xlpm.A,FIND("】",_xlpm.A)+1)-1)&amp;MID(_xlpm.A,FIND("】",_xlpm.A,FIND("】",_xlpm.A)+1)+1,LEN(_xlpm.A)),_xlpm.A))</f>
        <v/>
      </c>
      <c r="H69" s="18" t="str">
        <f>_xlfn.LET(_xlpm.A,IF(ISNUMBER(SEARCH("晒单",M69)),"【晒单】"&amp;MID(M69,SEARCH("晒单",M69)+LEN("晒单"),LEN(M69))&amp;"（需晒单后联系客服登记）",IF(ISNUMBER(SEARCH("包修",M69)),"【购机】"&amp;MID(M69,SEARCH("购机",M69)+LEN("购机"),LEN(M69)),IF(ISNUMBER(SEARCH("叠放支架",M69)),"【赠品】"&amp;MID(M69,SEARCH("购机",M69)+LEN("购机"),LEN(M69)),IF(ISNUMBER(SEARCH("秀图",M69)),"【秀图】"&amp;MID(M69,SEARCH("秀图",M69)+LEN("秀图"),LEN(M69)),"")))),IFERROR(LEFT(_xlpm.A,FIND("【",_xlpm.A,FIND("】",_xlpm.A)+1)-1)&amp;MID(_xlpm.A,FIND("】",_xlpm.A,FIND("】",_xlpm.A)+1)+1,LEN(_xlpm.A)),_xlpm.A))</f>
        <v/>
      </c>
      <c r="I69" s="18" t="str">
        <f>_xlfn.LET(_xlpm.A,IF(ISNUMBER(SEARCH("晒单",N69)),"【晒单】"&amp;MID(N69,SEARCH("晒单",N69)+LEN("晒单"),LEN(N69))&amp;"（需晒单后联系客服登记）",IF(ISNUMBER(SEARCH("包修",N69)),"【购机】"&amp;MID(N69,SEARCH("购机",N69)+LEN("购机"),LEN(N69)),IF(ISNUMBER(SEARCH("叠放支架",N69)),"【赠品】"&amp;MID(N69,SEARCH("购机",N69)+LEN("购机"),LEN(N69)),IF(ISNUMBER(SEARCH("秀图",N69)),"【秀图】"&amp;MID(N69,SEARCH("秀图",N69)+LEN("秀图"),LEN(N69)),"")))),IFERROR(LEFT(_xlpm.A,FIND("【",_xlpm.A,FIND("】",_xlpm.A)+1)-1)&amp;MID(_xlpm.A,FIND("】",_xlpm.A,FIND("】",_xlpm.A)+1)+1,LEN(_xlpm.A)),_xlpm.A))</f>
        <v/>
      </c>
      <c r="J69" s="18" t="str" cm="1">
        <f t="array" ref="J69">IFERROR(INDEX(_xlfn.TEXTSPLIT(_xlfn.XLOOKUP($A69&amp;$B69&amp;$C69,盘货信息!$A:$A&amp;盘货信息!$B:$B&amp;盘货信息!$C:$C,盘货信息!$S:$S),CHAR(10),,TRUE),1,COLUMN(A68)),"")</f>
        <v/>
      </c>
      <c r="K69" s="18" t="str" cm="1">
        <f t="array" ref="K69">IFERROR(INDEX(_xlfn.TEXTSPLIT(_xlfn.XLOOKUP($A69&amp;$B69&amp;$C69,盘货信息!$A:$A&amp;盘货信息!$B:$B&amp;盘货信息!$C:$C,盘货信息!$S:$S),CHAR(10),,TRUE),1,COLUMN(B68)),"")</f>
        <v/>
      </c>
      <c r="L69" s="18" t="str" cm="1">
        <f t="array" ref="L69">IFERROR(INDEX(_xlfn.TEXTSPLIT(_xlfn.XLOOKUP($A69&amp;$B69&amp;$C69,盘货信息!$A:$A&amp;盘货信息!$B:$B&amp;盘货信息!$C:$C,盘货信息!$S:$S),CHAR(10),,TRUE),1,COLUMN(C68)),"")</f>
        <v/>
      </c>
      <c r="M69" s="18" t="str" cm="1">
        <f t="array" ref="M69">IFERROR(INDEX(_xlfn.TEXTSPLIT(_xlfn.XLOOKUP($A69&amp;$B69&amp;$C69,盘货信息!$A:$A&amp;盘货信息!$B:$B&amp;盘货信息!$C:$C,盘货信息!$S:$S),CHAR(10),,TRUE),1,COLUMN(D68)),"")</f>
        <v/>
      </c>
      <c r="N69" s="18" t="str" cm="1">
        <f t="array" ref="N69">IFERROR(INDEX(_xlfn.TEXTSPLIT(_xlfn.XLOOKUP($A69&amp;$B69&amp;$C69,盘货信息!$A:$A&amp;盘货信息!$B:$B&amp;盘货信息!$C:$C,盘货信息!$S:$S),CHAR(10),,TRUE),1,COLUMN(E68)),"")</f>
        <v/>
      </c>
    </row>
    <row r="70" customHeight="1" spans="1:14">
      <c r="A70" s="17" t="str">
        <f>IF(盘货信息!A70="","",盘货信息!A70)</f>
        <v/>
      </c>
      <c r="B70" s="17" t="str">
        <f>IF(盘货信息!B70="","",盘货信息!B70)</f>
        <v/>
      </c>
      <c r="C70" s="18" t="str">
        <f>IF(盘货信息!C70="","",盘货信息!C70)</f>
        <v/>
      </c>
      <c r="D70" s="18" t="str">
        <f t="shared" si="1"/>
        <v/>
      </c>
      <c r="E70" s="18" t="str">
        <f>_xlfn.LET(_xlpm.A,IF(ISNUMBER(SEARCH("晒单",J70)),"【晒单】"&amp;MID(J70,SEARCH("晒单",J70)+LEN("晒单"),LEN(J70))&amp;"（需晒单后联系客服登记）",IF(ISNUMBER(SEARCH("包修",J70)),"【购机】"&amp;MID(J70,SEARCH("购机",J70)+LEN("购机"),LEN(J70)),IF(ISNUMBER(SEARCH("叠放支架",J70)),"【赠品】"&amp;MID(J70,SEARCH("购机",J70)+LEN("购机"),LEN(J70)),IF(ISNUMBER(SEARCH("秀图",J70)),"【秀图】"&amp;MID(J70,SEARCH("秀图",J70)+LEN("秀图"),LEN(J70)),"")))),IFERROR(LEFT(_xlpm.A,FIND("【",_xlpm.A,FIND("】",_xlpm.A)+1)-1)&amp;MID(_xlpm.A,FIND("】",_xlpm.A,FIND("】",_xlpm.A)+1)+1,LEN(_xlpm.A)),_xlpm.A))</f>
        <v/>
      </c>
      <c r="F70" s="18" t="str">
        <f>_xlfn.LET(_xlpm.A,IF(ISNUMBER(SEARCH("晒单",K70)),"【晒单】"&amp;MID(K70,SEARCH("晒单",K70)+LEN("晒单"),LEN(K70))&amp;"（需晒单后联系客服登记）",IF(ISNUMBER(SEARCH("包修",K70)),"【购机】"&amp;MID(K70,SEARCH("购机",K70)+LEN("购机"),LEN(K70)),IF(ISNUMBER(SEARCH("叠放支架",K70)),"【赠品】"&amp;MID(K70,SEARCH("购机",K70)+LEN("购机"),LEN(K70)),IF(ISNUMBER(SEARCH("秀图",K70)),"【秀图】"&amp;MID(K70,SEARCH("秀图",K70)+LEN("秀图"),LEN(K70)),"")))),IFERROR(LEFT(_xlpm.A,FIND("【",_xlpm.A,FIND("】",_xlpm.A)+1)-1)&amp;MID(_xlpm.A,FIND("】",_xlpm.A,FIND("】",_xlpm.A)+1)+1,LEN(_xlpm.A)),_xlpm.A))</f>
        <v/>
      </c>
      <c r="G70" s="18" t="str">
        <f>_xlfn.LET(_xlpm.A,IF(ISNUMBER(SEARCH("晒单",L70)),"【晒单】"&amp;MID(L70,SEARCH("晒单",L70)+LEN("晒单"),LEN(L70))&amp;"（需晒单后联系客服登记）",IF(ISNUMBER(SEARCH("包修",L70)),"【购机】"&amp;MID(L70,SEARCH("购机",L70)+LEN("购机"),LEN(L70)),IF(ISNUMBER(SEARCH("叠放支架",L70)),"【赠品】"&amp;MID(L70,SEARCH("购机",L70)+LEN("购机"),LEN(L70)),IF(ISNUMBER(SEARCH("秀图",L70)),"【秀图】"&amp;MID(L70,SEARCH("秀图",L70)+LEN("秀图"),LEN(L70)),"")))),IFERROR(LEFT(_xlpm.A,FIND("【",_xlpm.A,FIND("】",_xlpm.A)+1)-1)&amp;MID(_xlpm.A,FIND("】",_xlpm.A,FIND("】",_xlpm.A)+1)+1,LEN(_xlpm.A)),_xlpm.A))</f>
        <v/>
      </c>
      <c r="H70" s="18" t="str">
        <f>_xlfn.LET(_xlpm.A,IF(ISNUMBER(SEARCH("晒单",M70)),"【晒单】"&amp;MID(M70,SEARCH("晒单",M70)+LEN("晒单"),LEN(M70))&amp;"（需晒单后联系客服登记）",IF(ISNUMBER(SEARCH("包修",M70)),"【购机】"&amp;MID(M70,SEARCH("购机",M70)+LEN("购机"),LEN(M70)),IF(ISNUMBER(SEARCH("叠放支架",M70)),"【赠品】"&amp;MID(M70,SEARCH("购机",M70)+LEN("购机"),LEN(M70)),IF(ISNUMBER(SEARCH("秀图",M70)),"【秀图】"&amp;MID(M70,SEARCH("秀图",M70)+LEN("秀图"),LEN(M70)),"")))),IFERROR(LEFT(_xlpm.A,FIND("【",_xlpm.A,FIND("】",_xlpm.A)+1)-1)&amp;MID(_xlpm.A,FIND("】",_xlpm.A,FIND("】",_xlpm.A)+1)+1,LEN(_xlpm.A)),_xlpm.A))</f>
        <v/>
      </c>
      <c r="I70" s="18" t="str">
        <f>_xlfn.LET(_xlpm.A,IF(ISNUMBER(SEARCH("晒单",N70)),"【晒单】"&amp;MID(N70,SEARCH("晒单",N70)+LEN("晒单"),LEN(N70))&amp;"（需晒单后联系客服登记）",IF(ISNUMBER(SEARCH("包修",N70)),"【购机】"&amp;MID(N70,SEARCH("购机",N70)+LEN("购机"),LEN(N70)),IF(ISNUMBER(SEARCH("叠放支架",N70)),"【赠品】"&amp;MID(N70,SEARCH("购机",N70)+LEN("购机"),LEN(N70)),IF(ISNUMBER(SEARCH("秀图",N70)),"【秀图】"&amp;MID(N70,SEARCH("秀图",N70)+LEN("秀图"),LEN(N70)),"")))),IFERROR(LEFT(_xlpm.A,FIND("【",_xlpm.A,FIND("】",_xlpm.A)+1)-1)&amp;MID(_xlpm.A,FIND("】",_xlpm.A,FIND("】",_xlpm.A)+1)+1,LEN(_xlpm.A)),_xlpm.A))</f>
        <v/>
      </c>
      <c r="J70" s="18" t="str" cm="1">
        <f t="array" ref="J70">IFERROR(INDEX(_xlfn.TEXTSPLIT(_xlfn.XLOOKUP($A70&amp;$B70&amp;$C70,盘货信息!$A:$A&amp;盘货信息!$B:$B&amp;盘货信息!$C:$C,盘货信息!$S:$S),CHAR(10),,TRUE),1,COLUMN(A69)),"")</f>
        <v/>
      </c>
      <c r="K70" s="18" t="str" cm="1">
        <f t="array" ref="K70">IFERROR(INDEX(_xlfn.TEXTSPLIT(_xlfn.XLOOKUP($A70&amp;$B70&amp;$C70,盘货信息!$A:$A&amp;盘货信息!$B:$B&amp;盘货信息!$C:$C,盘货信息!$S:$S),CHAR(10),,TRUE),1,COLUMN(B69)),"")</f>
        <v/>
      </c>
      <c r="L70" s="18" t="str" cm="1">
        <f t="array" ref="L70">IFERROR(INDEX(_xlfn.TEXTSPLIT(_xlfn.XLOOKUP($A70&amp;$B70&amp;$C70,盘货信息!$A:$A&amp;盘货信息!$B:$B&amp;盘货信息!$C:$C,盘货信息!$S:$S),CHAR(10),,TRUE),1,COLUMN(C69)),"")</f>
        <v/>
      </c>
      <c r="M70" s="18" t="str" cm="1">
        <f t="array" ref="M70">IFERROR(INDEX(_xlfn.TEXTSPLIT(_xlfn.XLOOKUP($A70&amp;$B70&amp;$C70,盘货信息!$A:$A&amp;盘货信息!$B:$B&amp;盘货信息!$C:$C,盘货信息!$S:$S),CHAR(10),,TRUE),1,COLUMN(D69)),"")</f>
        <v/>
      </c>
      <c r="N70" s="18" t="str" cm="1">
        <f t="array" ref="N70">IFERROR(INDEX(_xlfn.TEXTSPLIT(_xlfn.XLOOKUP($A70&amp;$B70&amp;$C70,盘货信息!$A:$A&amp;盘货信息!$B:$B&amp;盘货信息!$C:$C,盘货信息!$S:$S),CHAR(10),,TRUE),1,COLUMN(E69)),"")</f>
        <v/>
      </c>
    </row>
    <row r="71" customHeight="1" spans="1:14">
      <c r="A71" s="17" t="str">
        <f>IF(盘货信息!A71="","",盘货信息!A71)</f>
        <v/>
      </c>
      <c r="B71" s="17" t="str">
        <f>IF(盘货信息!B71="","",盘货信息!B71)</f>
        <v/>
      </c>
      <c r="C71" s="18" t="str">
        <f>IF(盘货信息!C71="","",盘货信息!C71)</f>
        <v/>
      </c>
      <c r="D71" s="18" t="str">
        <f t="shared" si="1"/>
        <v/>
      </c>
      <c r="E71" s="18" t="str">
        <f>_xlfn.LET(_xlpm.A,IF(ISNUMBER(SEARCH("晒单",J71)),"【晒单】"&amp;MID(J71,SEARCH("晒单",J71)+LEN("晒单"),LEN(J71))&amp;"（需晒单后联系客服登记）",IF(ISNUMBER(SEARCH("包修",J71)),"【购机】"&amp;MID(J71,SEARCH("购机",J71)+LEN("购机"),LEN(J71)),IF(ISNUMBER(SEARCH("叠放支架",J71)),"【赠品】"&amp;MID(J71,SEARCH("购机",J71)+LEN("购机"),LEN(J71)),IF(ISNUMBER(SEARCH("秀图",J71)),"【秀图】"&amp;MID(J71,SEARCH("秀图",J71)+LEN("秀图"),LEN(J71)),"")))),IFERROR(LEFT(_xlpm.A,FIND("【",_xlpm.A,FIND("】",_xlpm.A)+1)-1)&amp;MID(_xlpm.A,FIND("】",_xlpm.A,FIND("】",_xlpm.A)+1)+1,LEN(_xlpm.A)),_xlpm.A))</f>
        <v/>
      </c>
      <c r="F71" s="18" t="str">
        <f>_xlfn.LET(_xlpm.A,IF(ISNUMBER(SEARCH("晒单",K71)),"【晒单】"&amp;MID(K71,SEARCH("晒单",K71)+LEN("晒单"),LEN(K71))&amp;"（需晒单后联系客服登记）",IF(ISNUMBER(SEARCH("包修",K71)),"【购机】"&amp;MID(K71,SEARCH("购机",K71)+LEN("购机"),LEN(K71)),IF(ISNUMBER(SEARCH("叠放支架",K71)),"【赠品】"&amp;MID(K71,SEARCH("购机",K71)+LEN("购机"),LEN(K71)),IF(ISNUMBER(SEARCH("秀图",K71)),"【秀图】"&amp;MID(K71,SEARCH("秀图",K71)+LEN("秀图"),LEN(K71)),"")))),IFERROR(LEFT(_xlpm.A,FIND("【",_xlpm.A,FIND("】",_xlpm.A)+1)-1)&amp;MID(_xlpm.A,FIND("】",_xlpm.A,FIND("】",_xlpm.A)+1)+1,LEN(_xlpm.A)),_xlpm.A))</f>
        <v/>
      </c>
      <c r="G71" s="18" t="str">
        <f>_xlfn.LET(_xlpm.A,IF(ISNUMBER(SEARCH("晒单",L71)),"【晒单】"&amp;MID(L71,SEARCH("晒单",L71)+LEN("晒单"),LEN(L71))&amp;"（需晒单后联系客服登记）",IF(ISNUMBER(SEARCH("包修",L71)),"【购机】"&amp;MID(L71,SEARCH("购机",L71)+LEN("购机"),LEN(L71)),IF(ISNUMBER(SEARCH("叠放支架",L71)),"【赠品】"&amp;MID(L71,SEARCH("购机",L71)+LEN("购机"),LEN(L71)),IF(ISNUMBER(SEARCH("秀图",L71)),"【秀图】"&amp;MID(L71,SEARCH("秀图",L71)+LEN("秀图"),LEN(L71)),"")))),IFERROR(LEFT(_xlpm.A,FIND("【",_xlpm.A,FIND("】",_xlpm.A)+1)-1)&amp;MID(_xlpm.A,FIND("】",_xlpm.A,FIND("】",_xlpm.A)+1)+1,LEN(_xlpm.A)),_xlpm.A))</f>
        <v/>
      </c>
      <c r="H71" s="18" t="str">
        <f>_xlfn.LET(_xlpm.A,IF(ISNUMBER(SEARCH("晒单",M71)),"【晒单】"&amp;MID(M71,SEARCH("晒单",M71)+LEN("晒单"),LEN(M71))&amp;"（需晒单后联系客服登记）",IF(ISNUMBER(SEARCH("包修",M71)),"【购机】"&amp;MID(M71,SEARCH("购机",M71)+LEN("购机"),LEN(M71)),IF(ISNUMBER(SEARCH("叠放支架",M71)),"【赠品】"&amp;MID(M71,SEARCH("购机",M71)+LEN("购机"),LEN(M71)),IF(ISNUMBER(SEARCH("秀图",M71)),"【秀图】"&amp;MID(M71,SEARCH("秀图",M71)+LEN("秀图"),LEN(M71)),"")))),IFERROR(LEFT(_xlpm.A,FIND("【",_xlpm.A,FIND("】",_xlpm.A)+1)-1)&amp;MID(_xlpm.A,FIND("】",_xlpm.A,FIND("】",_xlpm.A)+1)+1,LEN(_xlpm.A)),_xlpm.A))</f>
        <v/>
      </c>
      <c r="I71" s="18" t="str">
        <f>_xlfn.LET(_xlpm.A,IF(ISNUMBER(SEARCH("晒单",N71)),"【晒单】"&amp;MID(N71,SEARCH("晒单",N71)+LEN("晒单"),LEN(N71))&amp;"（需晒单后联系客服登记）",IF(ISNUMBER(SEARCH("包修",N71)),"【购机】"&amp;MID(N71,SEARCH("购机",N71)+LEN("购机"),LEN(N71)),IF(ISNUMBER(SEARCH("叠放支架",N71)),"【赠品】"&amp;MID(N71,SEARCH("购机",N71)+LEN("购机"),LEN(N71)),IF(ISNUMBER(SEARCH("秀图",N71)),"【秀图】"&amp;MID(N71,SEARCH("秀图",N71)+LEN("秀图"),LEN(N71)),"")))),IFERROR(LEFT(_xlpm.A,FIND("【",_xlpm.A,FIND("】",_xlpm.A)+1)-1)&amp;MID(_xlpm.A,FIND("】",_xlpm.A,FIND("】",_xlpm.A)+1)+1,LEN(_xlpm.A)),_xlpm.A))</f>
        <v/>
      </c>
      <c r="J71" s="18" t="str" cm="1">
        <f t="array" ref="J71">IFERROR(INDEX(_xlfn.TEXTSPLIT(_xlfn.XLOOKUP($A71&amp;$B71&amp;$C71,盘货信息!$A:$A&amp;盘货信息!$B:$B&amp;盘货信息!$C:$C,盘货信息!$S:$S),CHAR(10),,TRUE),1,COLUMN(A70)),"")</f>
        <v/>
      </c>
      <c r="K71" s="18" t="str" cm="1">
        <f t="array" ref="K71">IFERROR(INDEX(_xlfn.TEXTSPLIT(_xlfn.XLOOKUP($A71&amp;$B71&amp;$C71,盘货信息!$A:$A&amp;盘货信息!$B:$B&amp;盘货信息!$C:$C,盘货信息!$S:$S),CHAR(10),,TRUE),1,COLUMN(B70)),"")</f>
        <v/>
      </c>
      <c r="L71" s="18" t="str" cm="1">
        <f t="array" ref="L71">IFERROR(INDEX(_xlfn.TEXTSPLIT(_xlfn.XLOOKUP($A71&amp;$B71&amp;$C71,盘货信息!$A:$A&amp;盘货信息!$B:$B&amp;盘货信息!$C:$C,盘货信息!$S:$S),CHAR(10),,TRUE),1,COLUMN(C70)),"")</f>
        <v/>
      </c>
      <c r="M71" s="18" t="str" cm="1">
        <f t="array" ref="M71">IFERROR(INDEX(_xlfn.TEXTSPLIT(_xlfn.XLOOKUP($A71&amp;$B71&amp;$C71,盘货信息!$A:$A&amp;盘货信息!$B:$B&amp;盘货信息!$C:$C,盘货信息!$S:$S),CHAR(10),,TRUE),1,COLUMN(D70)),"")</f>
        <v/>
      </c>
      <c r="N71" s="18" t="str" cm="1">
        <f t="array" ref="N71">IFERROR(INDEX(_xlfn.TEXTSPLIT(_xlfn.XLOOKUP($A71&amp;$B71&amp;$C71,盘货信息!$A:$A&amp;盘货信息!$B:$B&amp;盘货信息!$C:$C,盘货信息!$S:$S),CHAR(10),,TRUE),1,COLUMN(E70)),"")</f>
        <v/>
      </c>
    </row>
    <row r="72" customHeight="1" spans="1:14">
      <c r="A72" s="17" t="str">
        <f>IF(盘货信息!A72="","",盘货信息!A72)</f>
        <v/>
      </c>
      <c r="B72" s="17" t="str">
        <f>IF(盘货信息!B72="","",盘货信息!B72)</f>
        <v/>
      </c>
      <c r="C72" s="18" t="str">
        <f>IF(盘货信息!C72="","",盘货信息!C72)</f>
        <v/>
      </c>
      <c r="D72" s="18" t="str">
        <f t="shared" si="1"/>
        <v/>
      </c>
      <c r="E72" s="18" t="str">
        <f>_xlfn.LET(_xlpm.A,IF(ISNUMBER(SEARCH("晒单",J72)),"【晒单】"&amp;MID(J72,SEARCH("晒单",J72)+LEN("晒单"),LEN(J72))&amp;"（需晒单后联系客服登记）",IF(ISNUMBER(SEARCH("包修",J72)),"【购机】"&amp;MID(J72,SEARCH("购机",J72)+LEN("购机"),LEN(J72)),IF(ISNUMBER(SEARCH("叠放支架",J72)),"【赠品】"&amp;MID(J72,SEARCH("购机",J72)+LEN("购机"),LEN(J72)),IF(ISNUMBER(SEARCH("秀图",J72)),"【秀图】"&amp;MID(J72,SEARCH("秀图",J72)+LEN("秀图"),LEN(J72)),"")))),IFERROR(LEFT(_xlpm.A,FIND("【",_xlpm.A,FIND("】",_xlpm.A)+1)-1)&amp;MID(_xlpm.A,FIND("】",_xlpm.A,FIND("】",_xlpm.A)+1)+1,LEN(_xlpm.A)),_xlpm.A))</f>
        <v/>
      </c>
      <c r="F72" s="18" t="str">
        <f>_xlfn.LET(_xlpm.A,IF(ISNUMBER(SEARCH("晒单",K72)),"【晒单】"&amp;MID(K72,SEARCH("晒单",K72)+LEN("晒单"),LEN(K72))&amp;"（需晒单后联系客服登记）",IF(ISNUMBER(SEARCH("包修",K72)),"【购机】"&amp;MID(K72,SEARCH("购机",K72)+LEN("购机"),LEN(K72)),IF(ISNUMBER(SEARCH("叠放支架",K72)),"【赠品】"&amp;MID(K72,SEARCH("购机",K72)+LEN("购机"),LEN(K72)),IF(ISNUMBER(SEARCH("秀图",K72)),"【秀图】"&amp;MID(K72,SEARCH("秀图",K72)+LEN("秀图"),LEN(K72)),"")))),IFERROR(LEFT(_xlpm.A,FIND("【",_xlpm.A,FIND("】",_xlpm.A)+1)-1)&amp;MID(_xlpm.A,FIND("】",_xlpm.A,FIND("】",_xlpm.A)+1)+1,LEN(_xlpm.A)),_xlpm.A))</f>
        <v/>
      </c>
      <c r="G72" s="18" t="str">
        <f>_xlfn.LET(_xlpm.A,IF(ISNUMBER(SEARCH("晒单",L72)),"【晒单】"&amp;MID(L72,SEARCH("晒单",L72)+LEN("晒单"),LEN(L72))&amp;"（需晒单后联系客服登记）",IF(ISNUMBER(SEARCH("包修",L72)),"【购机】"&amp;MID(L72,SEARCH("购机",L72)+LEN("购机"),LEN(L72)),IF(ISNUMBER(SEARCH("叠放支架",L72)),"【赠品】"&amp;MID(L72,SEARCH("购机",L72)+LEN("购机"),LEN(L72)),IF(ISNUMBER(SEARCH("秀图",L72)),"【秀图】"&amp;MID(L72,SEARCH("秀图",L72)+LEN("秀图"),LEN(L72)),"")))),IFERROR(LEFT(_xlpm.A,FIND("【",_xlpm.A,FIND("】",_xlpm.A)+1)-1)&amp;MID(_xlpm.A,FIND("】",_xlpm.A,FIND("】",_xlpm.A)+1)+1,LEN(_xlpm.A)),_xlpm.A))</f>
        <v/>
      </c>
      <c r="H72" s="18" t="str">
        <f>_xlfn.LET(_xlpm.A,IF(ISNUMBER(SEARCH("晒单",M72)),"【晒单】"&amp;MID(M72,SEARCH("晒单",M72)+LEN("晒单"),LEN(M72))&amp;"（需晒单后联系客服登记）",IF(ISNUMBER(SEARCH("包修",M72)),"【购机】"&amp;MID(M72,SEARCH("购机",M72)+LEN("购机"),LEN(M72)),IF(ISNUMBER(SEARCH("叠放支架",M72)),"【赠品】"&amp;MID(M72,SEARCH("购机",M72)+LEN("购机"),LEN(M72)),IF(ISNUMBER(SEARCH("秀图",M72)),"【秀图】"&amp;MID(M72,SEARCH("秀图",M72)+LEN("秀图"),LEN(M72)),"")))),IFERROR(LEFT(_xlpm.A,FIND("【",_xlpm.A,FIND("】",_xlpm.A)+1)-1)&amp;MID(_xlpm.A,FIND("】",_xlpm.A,FIND("】",_xlpm.A)+1)+1,LEN(_xlpm.A)),_xlpm.A))</f>
        <v/>
      </c>
      <c r="I72" s="18" t="str">
        <f>_xlfn.LET(_xlpm.A,IF(ISNUMBER(SEARCH("晒单",N72)),"【晒单】"&amp;MID(N72,SEARCH("晒单",N72)+LEN("晒单"),LEN(N72))&amp;"（需晒单后联系客服登记）",IF(ISNUMBER(SEARCH("包修",N72)),"【购机】"&amp;MID(N72,SEARCH("购机",N72)+LEN("购机"),LEN(N72)),IF(ISNUMBER(SEARCH("叠放支架",N72)),"【赠品】"&amp;MID(N72,SEARCH("购机",N72)+LEN("购机"),LEN(N72)),IF(ISNUMBER(SEARCH("秀图",N72)),"【秀图】"&amp;MID(N72,SEARCH("秀图",N72)+LEN("秀图"),LEN(N72)),"")))),IFERROR(LEFT(_xlpm.A,FIND("【",_xlpm.A,FIND("】",_xlpm.A)+1)-1)&amp;MID(_xlpm.A,FIND("】",_xlpm.A,FIND("】",_xlpm.A)+1)+1,LEN(_xlpm.A)),_xlpm.A))</f>
        <v/>
      </c>
      <c r="J72" s="18" t="str" cm="1">
        <f t="array" ref="J72">IFERROR(INDEX(_xlfn.TEXTSPLIT(_xlfn.XLOOKUP($A72&amp;$B72&amp;$C72,盘货信息!$A:$A&amp;盘货信息!$B:$B&amp;盘货信息!$C:$C,盘货信息!$S:$S),CHAR(10),,TRUE),1,COLUMN(A71)),"")</f>
        <v/>
      </c>
      <c r="K72" s="18" t="str" cm="1">
        <f t="array" ref="K72">IFERROR(INDEX(_xlfn.TEXTSPLIT(_xlfn.XLOOKUP($A72&amp;$B72&amp;$C72,盘货信息!$A:$A&amp;盘货信息!$B:$B&amp;盘货信息!$C:$C,盘货信息!$S:$S),CHAR(10),,TRUE),1,COLUMN(B71)),"")</f>
        <v/>
      </c>
      <c r="L72" s="18" t="str" cm="1">
        <f t="array" ref="L72">IFERROR(INDEX(_xlfn.TEXTSPLIT(_xlfn.XLOOKUP($A72&amp;$B72&amp;$C72,盘货信息!$A:$A&amp;盘货信息!$B:$B&amp;盘货信息!$C:$C,盘货信息!$S:$S),CHAR(10),,TRUE),1,COLUMN(C71)),"")</f>
        <v/>
      </c>
      <c r="M72" s="18" t="str" cm="1">
        <f t="array" ref="M72">IFERROR(INDEX(_xlfn.TEXTSPLIT(_xlfn.XLOOKUP($A72&amp;$B72&amp;$C72,盘货信息!$A:$A&amp;盘货信息!$B:$B&amp;盘货信息!$C:$C,盘货信息!$S:$S),CHAR(10),,TRUE),1,COLUMN(D71)),"")</f>
        <v/>
      </c>
      <c r="N72" s="18" t="str" cm="1">
        <f t="array" ref="N72">IFERROR(INDEX(_xlfn.TEXTSPLIT(_xlfn.XLOOKUP($A72&amp;$B72&amp;$C72,盘货信息!$A:$A&amp;盘货信息!$B:$B&amp;盘货信息!$C:$C,盘货信息!$S:$S),CHAR(10),,TRUE),1,COLUMN(E71)),"")</f>
        <v/>
      </c>
    </row>
    <row r="73" customHeight="1" spans="1:14">
      <c r="A73" s="17" t="str">
        <f>IF(盘货信息!A73="","",盘货信息!A73)</f>
        <v/>
      </c>
      <c r="B73" s="17" t="str">
        <f>IF(盘货信息!B73="","",盘货信息!B73)</f>
        <v/>
      </c>
      <c r="C73" s="18" t="str">
        <f>IF(盘货信息!C73="","",盘货信息!C73)</f>
        <v/>
      </c>
      <c r="D73" s="18" t="str">
        <f t="shared" si="1"/>
        <v/>
      </c>
      <c r="E73" s="18" t="str">
        <f>_xlfn.LET(_xlpm.A,IF(ISNUMBER(SEARCH("晒单",J73)),"【晒单】"&amp;MID(J73,SEARCH("晒单",J73)+LEN("晒单"),LEN(J73))&amp;"（需晒单后联系客服登记）",IF(ISNUMBER(SEARCH("包修",J73)),"【购机】"&amp;MID(J73,SEARCH("购机",J73)+LEN("购机"),LEN(J73)),IF(ISNUMBER(SEARCH("叠放支架",J73)),"【赠品】"&amp;MID(J73,SEARCH("购机",J73)+LEN("购机"),LEN(J73)),IF(ISNUMBER(SEARCH("秀图",J73)),"【秀图】"&amp;MID(J73,SEARCH("秀图",J73)+LEN("秀图"),LEN(J73)),"")))),IFERROR(LEFT(_xlpm.A,FIND("【",_xlpm.A,FIND("】",_xlpm.A)+1)-1)&amp;MID(_xlpm.A,FIND("】",_xlpm.A,FIND("】",_xlpm.A)+1)+1,LEN(_xlpm.A)),_xlpm.A))</f>
        <v/>
      </c>
      <c r="F73" s="18" t="str">
        <f>_xlfn.LET(_xlpm.A,IF(ISNUMBER(SEARCH("晒单",K73)),"【晒单】"&amp;MID(K73,SEARCH("晒单",K73)+LEN("晒单"),LEN(K73))&amp;"（需晒单后联系客服登记）",IF(ISNUMBER(SEARCH("包修",K73)),"【购机】"&amp;MID(K73,SEARCH("购机",K73)+LEN("购机"),LEN(K73)),IF(ISNUMBER(SEARCH("叠放支架",K73)),"【赠品】"&amp;MID(K73,SEARCH("购机",K73)+LEN("购机"),LEN(K73)),IF(ISNUMBER(SEARCH("秀图",K73)),"【秀图】"&amp;MID(K73,SEARCH("秀图",K73)+LEN("秀图"),LEN(K73)),"")))),IFERROR(LEFT(_xlpm.A,FIND("【",_xlpm.A,FIND("】",_xlpm.A)+1)-1)&amp;MID(_xlpm.A,FIND("】",_xlpm.A,FIND("】",_xlpm.A)+1)+1,LEN(_xlpm.A)),_xlpm.A))</f>
        <v/>
      </c>
      <c r="G73" s="18" t="str">
        <f>_xlfn.LET(_xlpm.A,IF(ISNUMBER(SEARCH("晒单",L73)),"【晒单】"&amp;MID(L73,SEARCH("晒单",L73)+LEN("晒单"),LEN(L73))&amp;"（需晒单后联系客服登记）",IF(ISNUMBER(SEARCH("包修",L73)),"【购机】"&amp;MID(L73,SEARCH("购机",L73)+LEN("购机"),LEN(L73)),IF(ISNUMBER(SEARCH("叠放支架",L73)),"【赠品】"&amp;MID(L73,SEARCH("购机",L73)+LEN("购机"),LEN(L73)),IF(ISNUMBER(SEARCH("秀图",L73)),"【秀图】"&amp;MID(L73,SEARCH("秀图",L73)+LEN("秀图"),LEN(L73)),"")))),IFERROR(LEFT(_xlpm.A,FIND("【",_xlpm.A,FIND("】",_xlpm.A)+1)-1)&amp;MID(_xlpm.A,FIND("】",_xlpm.A,FIND("】",_xlpm.A)+1)+1,LEN(_xlpm.A)),_xlpm.A))</f>
        <v/>
      </c>
      <c r="H73" s="18" t="str">
        <f>_xlfn.LET(_xlpm.A,IF(ISNUMBER(SEARCH("晒单",M73)),"【晒单】"&amp;MID(M73,SEARCH("晒单",M73)+LEN("晒单"),LEN(M73))&amp;"（需晒单后联系客服登记）",IF(ISNUMBER(SEARCH("包修",M73)),"【购机】"&amp;MID(M73,SEARCH("购机",M73)+LEN("购机"),LEN(M73)),IF(ISNUMBER(SEARCH("叠放支架",M73)),"【赠品】"&amp;MID(M73,SEARCH("购机",M73)+LEN("购机"),LEN(M73)),IF(ISNUMBER(SEARCH("秀图",M73)),"【秀图】"&amp;MID(M73,SEARCH("秀图",M73)+LEN("秀图"),LEN(M73)),"")))),IFERROR(LEFT(_xlpm.A,FIND("【",_xlpm.A,FIND("】",_xlpm.A)+1)-1)&amp;MID(_xlpm.A,FIND("】",_xlpm.A,FIND("】",_xlpm.A)+1)+1,LEN(_xlpm.A)),_xlpm.A))</f>
        <v/>
      </c>
      <c r="I73" s="18" t="str">
        <f>_xlfn.LET(_xlpm.A,IF(ISNUMBER(SEARCH("晒单",N73)),"【晒单】"&amp;MID(N73,SEARCH("晒单",N73)+LEN("晒单"),LEN(N73))&amp;"（需晒单后联系客服登记）",IF(ISNUMBER(SEARCH("包修",N73)),"【购机】"&amp;MID(N73,SEARCH("购机",N73)+LEN("购机"),LEN(N73)),IF(ISNUMBER(SEARCH("叠放支架",N73)),"【赠品】"&amp;MID(N73,SEARCH("购机",N73)+LEN("购机"),LEN(N73)),IF(ISNUMBER(SEARCH("秀图",N73)),"【秀图】"&amp;MID(N73,SEARCH("秀图",N73)+LEN("秀图"),LEN(N73)),"")))),IFERROR(LEFT(_xlpm.A,FIND("【",_xlpm.A,FIND("】",_xlpm.A)+1)-1)&amp;MID(_xlpm.A,FIND("】",_xlpm.A,FIND("】",_xlpm.A)+1)+1,LEN(_xlpm.A)),_xlpm.A))</f>
        <v/>
      </c>
      <c r="J73" s="18" t="str" cm="1">
        <f t="array" ref="J73">IFERROR(INDEX(_xlfn.TEXTSPLIT(_xlfn.XLOOKUP($A73&amp;$B73&amp;$C73,盘货信息!$A:$A&amp;盘货信息!$B:$B&amp;盘货信息!$C:$C,盘货信息!$S:$S),CHAR(10),,TRUE),1,COLUMN(A72)),"")</f>
        <v/>
      </c>
      <c r="K73" s="18" t="str" cm="1">
        <f t="array" ref="K73">IFERROR(INDEX(_xlfn.TEXTSPLIT(_xlfn.XLOOKUP($A73&amp;$B73&amp;$C73,盘货信息!$A:$A&amp;盘货信息!$B:$B&amp;盘货信息!$C:$C,盘货信息!$S:$S),CHAR(10),,TRUE),1,COLUMN(B72)),"")</f>
        <v/>
      </c>
      <c r="L73" s="18" t="str" cm="1">
        <f t="array" ref="L73">IFERROR(INDEX(_xlfn.TEXTSPLIT(_xlfn.XLOOKUP($A73&amp;$B73&amp;$C73,盘货信息!$A:$A&amp;盘货信息!$B:$B&amp;盘货信息!$C:$C,盘货信息!$S:$S),CHAR(10),,TRUE),1,COLUMN(C72)),"")</f>
        <v/>
      </c>
      <c r="M73" s="18" t="str" cm="1">
        <f t="array" ref="M73">IFERROR(INDEX(_xlfn.TEXTSPLIT(_xlfn.XLOOKUP($A73&amp;$B73&amp;$C73,盘货信息!$A:$A&amp;盘货信息!$B:$B&amp;盘货信息!$C:$C,盘货信息!$S:$S),CHAR(10),,TRUE),1,COLUMN(D72)),"")</f>
        <v/>
      </c>
      <c r="N73" s="18" t="str" cm="1">
        <f t="array" ref="N73">IFERROR(INDEX(_xlfn.TEXTSPLIT(_xlfn.XLOOKUP($A73&amp;$B73&amp;$C73,盘货信息!$A:$A&amp;盘货信息!$B:$B&amp;盘货信息!$C:$C,盘货信息!$S:$S),CHAR(10),,TRUE),1,COLUMN(E72)),"")</f>
        <v/>
      </c>
    </row>
    <row r="74" customHeight="1" spans="1:14">
      <c r="A74" s="17" t="str">
        <f>IF(盘货信息!A74="","",盘货信息!A74)</f>
        <v/>
      </c>
      <c r="B74" s="17" t="str">
        <f>IF(盘货信息!B74="","",盘货信息!B74)</f>
        <v/>
      </c>
      <c r="C74" s="18" t="str">
        <f>IF(盘货信息!C74="","",盘货信息!C74)</f>
        <v/>
      </c>
      <c r="D74" s="18" t="str">
        <f t="shared" si="1"/>
        <v/>
      </c>
      <c r="E74" s="18" t="str">
        <f>_xlfn.LET(_xlpm.A,IF(ISNUMBER(SEARCH("晒单",J74)),"【晒单】"&amp;MID(J74,SEARCH("晒单",J74)+LEN("晒单"),LEN(J74))&amp;"（需晒单后联系客服登记）",IF(ISNUMBER(SEARCH("包修",J74)),"【购机】"&amp;MID(J74,SEARCH("购机",J74)+LEN("购机"),LEN(J74)),IF(ISNUMBER(SEARCH("叠放支架",J74)),"【赠品】"&amp;MID(J74,SEARCH("购机",J74)+LEN("购机"),LEN(J74)),IF(ISNUMBER(SEARCH("秀图",J74)),"【秀图】"&amp;MID(J74,SEARCH("秀图",J74)+LEN("秀图"),LEN(J74)),"")))),IFERROR(LEFT(_xlpm.A,FIND("【",_xlpm.A,FIND("】",_xlpm.A)+1)-1)&amp;MID(_xlpm.A,FIND("】",_xlpm.A,FIND("】",_xlpm.A)+1)+1,LEN(_xlpm.A)),_xlpm.A))</f>
        <v/>
      </c>
      <c r="F74" s="18" t="str">
        <f>_xlfn.LET(_xlpm.A,IF(ISNUMBER(SEARCH("晒单",K74)),"【晒单】"&amp;MID(K74,SEARCH("晒单",K74)+LEN("晒单"),LEN(K74))&amp;"（需晒单后联系客服登记）",IF(ISNUMBER(SEARCH("包修",K74)),"【购机】"&amp;MID(K74,SEARCH("购机",K74)+LEN("购机"),LEN(K74)),IF(ISNUMBER(SEARCH("叠放支架",K74)),"【赠品】"&amp;MID(K74,SEARCH("购机",K74)+LEN("购机"),LEN(K74)),IF(ISNUMBER(SEARCH("秀图",K74)),"【秀图】"&amp;MID(K74,SEARCH("秀图",K74)+LEN("秀图"),LEN(K74)),"")))),IFERROR(LEFT(_xlpm.A,FIND("【",_xlpm.A,FIND("】",_xlpm.A)+1)-1)&amp;MID(_xlpm.A,FIND("】",_xlpm.A,FIND("】",_xlpm.A)+1)+1,LEN(_xlpm.A)),_xlpm.A))</f>
        <v/>
      </c>
      <c r="G74" s="18" t="str">
        <f>_xlfn.LET(_xlpm.A,IF(ISNUMBER(SEARCH("晒单",L74)),"【晒单】"&amp;MID(L74,SEARCH("晒单",L74)+LEN("晒单"),LEN(L74))&amp;"（需晒单后联系客服登记）",IF(ISNUMBER(SEARCH("包修",L74)),"【购机】"&amp;MID(L74,SEARCH("购机",L74)+LEN("购机"),LEN(L74)),IF(ISNUMBER(SEARCH("叠放支架",L74)),"【赠品】"&amp;MID(L74,SEARCH("购机",L74)+LEN("购机"),LEN(L74)),IF(ISNUMBER(SEARCH("秀图",L74)),"【秀图】"&amp;MID(L74,SEARCH("秀图",L74)+LEN("秀图"),LEN(L74)),"")))),IFERROR(LEFT(_xlpm.A,FIND("【",_xlpm.A,FIND("】",_xlpm.A)+1)-1)&amp;MID(_xlpm.A,FIND("】",_xlpm.A,FIND("】",_xlpm.A)+1)+1,LEN(_xlpm.A)),_xlpm.A))</f>
        <v/>
      </c>
      <c r="H74" s="18" t="str">
        <f>_xlfn.LET(_xlpm.A,IF(ISNUMBER(SEARCH("晒单",M74)),"【晒单】"&amp;MID(M74,SEARCH("晒单",M74)+LEN("晒单"),LEN(M74))&amp;"（需晒单后联系客服登记）",IF(ISNUMBER(SEARCH("包修",M74)),"【购机】"&amp;MID(M74,SEARCH("购机",M74)+LEN("购机"),LEN(M74)),IF(ISNUMBER(SEARCH("叠放支架",M74)),"【赠品】"&amp;MID(M74,SEARCH("购机",M74)+LEN("购机"),LEN(M74)),IF(ISNUMBER(SEARCH("秀图",M74)),"【秀图】"&amp;MID(M74,SEARCH("秀图",M74)+LEN("秀图"),LEN(M74)),"")))),IFERROR(LEFT(_xlpm.A,FIND("【",_xlpm.A,FIND("】",_xlpm.A)+1)-1)&amp;MID(_xlpm.A,FIND("】",_xlpm.A,FIND("】",_xlpm.A)+1)+1,LEN(_xlpm.A)),_xlpm.A))</f>
        <v/>
      </c>
      <c r="I74" s="18" t="str">
        <f>_xlfn.LET(_xlpm.A,IF(ISNUMBER(SEARCH("晒单",N74)),"【晒单】"&amp;MID(N74,SEARCH("晒单",N74)+LEN("晒单"),LEN(N74))&amp;"（需晒单后联系客服登记）",IF(ISNUMBER(SEARCH("包修",N74)),"【购机】"&amp;MID(N74,SEARCH("购机",N74)+LEN("购机"),LEN(N74)),IF(ISNUMBER(SEARCH("叠放支架",N74)),"【赠品】"&amp;MID(N74,SEARCH("购机",N74)+LEN("购机"),LEN(N74)),IF(ISNUMBER(SEARCH("秀图",N74)),"【秀图】"&amp;MID(N74,SEARCH("秀图",N74)+LEN("秀图"),LEN(N74)),"")))),IFERROR(LEFT(_xlpm.A,FIND("【",_xlpm.A,FIND("】",_xlpm.A)+1)-1)&amp;MID(_xlpm.A,FIND("】",_xlpm.A,FIND("】",_xlpm.A)+1)+1,LEN(_xlpm.A)),_xlpm.A))</f>
        <v/>
      </c>
      <c r="J74" s="18" t="str" cm="1">
        <f t="array" ref="J74">IFERROR(INDEX(_xlfn.TEXTSPLIT(_xlfn.XLOOKUP($A74&amp;$B74&amp;$C74,盘货信息!$A:$A&amp;盘货信息!$B:$B&amp;盘货信息!$C:$C,盘货信息!$S:$S),CHAR(10),,TRUE),1,COLUMN(A73)),"")</f>
        <v/>
      </c>
      <c r="K74" s="18" t="str" cm="1">
        <f t="array" ref="K74">IFERROR(INDEX(_xlfn.TEXTSPLIT(_xlfn.XLOOKUP($A74&amp;$B74&amp;$C74,盘货信息!$A:$A&amp;盘货信息!$B:$B&amp;盘货信息!$C:$C,盘货信息!$S:$S),CHAR(10),,TRUE),1,COLUMN(B73)),"")</f>
        <v/>
      </c>
      <c r="L74" s="18" t="str" cm="1">
        <f t="array" ref="L74">IFERROR(INDEX(_xlfn.TEXTSPLIT(_xlfn.XLOOKUP($A74&amp;$B74&amp;$C74,盘货信息!$A:$A&amp;盘货信息!$B:$B&amp;盘货信息!$C:$C,盘货信息!$S:$S),CHAR(10),,TRUE),1,COLUMN(C73)),"")</f>
        <v/>
      </c>
      <c r="M74" s="18" t="str" cm="1">
        <f t="array" ref="M74">IFERROR(INDEX(_xlfn.TEXTSPLIT(_xlfn.XLOOKUP($A74&amp;$B74&amp;$C74,盘货信息!$A:$A&amp;盘货信息!$B:$B&amp;盘货信息!$C:$C,盘货信息!$S:$S),CHAR(10),,TRUE),1,COLUMN(D73)),"")</f>
        <v/>
      </c>
      <c r="N74" s="18" t="str" cm="1">
        <f t="array" ref="N74">IFERROR(INDEX(_xlfn.TEXTSPLIT(_xlfn.XLOOKUP($A74&amp;$B74&amp;$C74,盘货信息!$A:$A&amp;盘货信息!$B:$B&amp;盘货信息!$C:$C,盘货信息!$S:$S),CHAR(10),,TRUE),1,COLUMN(E73)),"")</f>
        <v/>
      </c>
    </row>
    <row r="75" customHeight="1" spans="1:14">
      <c r="A75" s="17" t="str">
        <f>IF(盘货信息!A75="","",盘货信息!A75)</f>
        <v/>
      </c>
      <c r="B75" s="17" t="str">
        <f>IF(盘货信息!B75="","",盘货信息!B75)</f>
        <v/>
      </c>
      <c r="C75" s="18" t="str">
        <f>IF(盘货信息!C75="","",盘货信息!C75)</f>
        <v/>
      </c>
      <c r="D75" s="18" t="str">
        <f t="shared" si="1"/>
        <v/>
      </c>
      <c r="E75" s="18" t="str">
        <f>_xlfn.LET(_xlpm.A,IF(ISNUMBER(SEARCH("晒单",J75)),"【晒单】"&amp;MID(J75,SEARCH("晒单",J75)+LEN("晒单"),LEN(J75))&amp;"（需晒单后联系客服登记）",IF(ISNUMBER(SEARCH("包修",J75)),"【购机】"&amp;MID(J75,SEARCH("购机",J75)+LEN("购机"),LEN(J75)),IF(ISNUMBER(SEARCH("叠放支架",J75)),"【赠品】"&amp;MID(J75,SEARCH("购机",J75)+LEN("购机"),LEN(J75)),IF(ISNUMBER(SEARCH("秀图",J75)),"【秀图】"&amp;MID(J75,SEARCH("秀图",J75)+LEN("秀图"),LEN(J75)),"")))),IFERROR(LEFT(_xlpm.A,FIND("【",_xlpm.A,FIND("】",_xlpm.A)+1)-1)&amp;MID(_xlpm.A,FIND("】",_xlpm.A,FIND("】",_xlpm.A)+1)+1,LEN(_xlpm.A)),_xlpm.A))</f>
        <v/>
      </c>
      <c r="F75" s="18" t="str">
        <f>_xlfn.LET(_xlpm.A,IF(ISNUMBER(SEARCH("晒单",K75)),"【晒单】"&amp;MID(K75,SEARCH("晒单",K75)+LEN("晒单"),LEN(K75))&amp;"（需晒单后联系客服登记）",IF(ISNUMBER(SEARCH("包修",K75)),"【购机】"&amp;MID(K75,SEARCH("购机",K75)+LEN("购机"),LEN(K75)),IF(ISNUMBER(SEARCH("叠放支架",K75)),"【赠品】"&amp;MID(K75,SEARCH("购机",K75)+LEN("购机"),LEN(K75)),IF(ISNUMBER(SEARCH("秀图",K75)),"【秀图】"&amp;MID(K75,SEARCH("秀图",K75)+LEN("秀图"),LEN(K75)),"")))),IFERROR(LEFT(_xlpm.A,FIND("【",_xlpm.A,FIND("】",_xlpm.A)+1)-1)&amp;MID(_xlpm.A,FIND("】",_xlpm.A,FIND("】",_xlpm.A)+1)+1,LEN(_xlpm.A)),_xlpm.A))</f>
        <v/>
      </c>
      <c r="G75" s="18" t="str">
        <f>_xlfn.LET(_xlpm.A,IF(ISNUMBER(SEARCH("晒单",L75)),"【晒单】"&amp;MID(L75,SEARCH("晒单",L75)+LEN("晒单"),LEN(L75))&amp;"（需晒单后联系客服登记）",IF(ISNUMBER(SEARCH("包修",L75)),"【购机】"&amp;MID(L75,SEARCH("购机",L75)+LEN("购机"),LEN(L75)),IF(ISNUMBER(SEARCH("叠放支架",L75)),"【赠品】"&amp;MID(L75,SEARCH("购机",L75)+LEN("购机"),LEN(L75)),IF(ISNUMBER(SEARCH("秀图",L75)),"【秀图】"&amp;MID(L75,SEARCH("秀图",L75)+LEN("秀图"),LEN(L75)),"")))),IFERROR(LEFT(_xlpm.A,FIND("【",_xlpm.A,FIND("】",_xlpm.A)+1)-1)&amp;MID(_xlpm.A,FIND("】",_xlpm.A,FIND("】",_xlpm.A)+1)+1,LEN(_xlpm.A)),_xlpm.A))</f>
        <v/>
      </c>
      <c r="H75" s="18" t="str">
        <f>_xlfn.LET(_xlpm.A,IF(ISNUMBER(SEARCH("晒单",M75)),"【晒单】"&amp;MID(M75,SEARCH("晒单",M75)+LEN("晒单"),LEN(M75))&amp;"（需晒单后联系客服登记）",IF(ISNUMBER(SEARCH("包修",M75)),"【购机】"&amp;MID(M75,SEARCH("购机",M75)+LEN("购机"),LEN(M75)),IF(ISNUMBER(SEARCH("叠放支架",M75)),"【赠品】"&amp;MID(M75,SEARCH("购机",M75)+LEN("购机"),LEN(M75)),IF(ISNUMBER(SEARCH("秀图",M75)),"【秀图】"&amp;MID(M75,SEARCH("秀图",M75)+LEN("秀图"),LEN(M75)),"")))),IFERROR(LEFT(_xlpm.A,FIND("【",_xlpm.A,FIND("】",_xlpm.A)+1)-1)&amp;MID(_xlpm.A,FIND("】",_xlpm.A,FIND("】",_xlpm.A)+1)+1,LEN(_xlpm.A)),_xlpm.A))</f>
        <v/>
      </c>
      <c r="I75" s="18" t="str">
        <f>_xlfn.LET(_xlpm.A,IF(ISNUMBER(SEARCH("晒单",N75)),"【晒单】"&amp;MID(N75,SEARCH("晒单",N75)+LEN("晒单"),LEN(N75))&amp;"（需晒单后联系客服登记）",IF(ISNUMBER(SEARCH("包修",N75)),"【购机】"&amp;MID(N75,SEARCH("购机",N75)+LEN("购机"),LEN(N75)),IF(ISNUMBER(SEARCH("叠放支架",N75)),"【赠品】"&amp;MID(N75,SEARCH("购机",N75)+LEN("购机"),LEN(N75)),IF(ISNUMBER(SEARCH("秀图",N75)),"【秀图】"&amp;MID(N75,SEARCH("秀图",N75)+LEN("秀图"),LEN(N75)),"")))),IFERROR(LEFT(_xlpm.A,FIND("【",_xlpm.A,FIND("】",_xlpm.A)+1)-1)&amp;MID(_xlpm.A,FIND("】",_xlpm.A,FIND("】",_xlpm.A)+1)+1,LEN(_xlpm.A)),_xlpm.A))</f>
        <v/>
      </c>
      <c r="J75" s="18" t="str" cm="1">
        <f t="array" ref="J75">IFERROR(INDEX(_xlfn.TEXTSPLIT(_xlfn.XLOOKUP($A75&amp;$B75&amp;$C75,盘货信息!$A:$A&amp;盘货信息!$B:$B&amp;盘货信息!$C:$C,盘货信息!$S:$S),CHAR(10),,TRUE),1,COLUMN(A74)),"")</f>
        <v/>
      </c>
      <c r="K75" s="18" t="str" cm="1">
        <f t="array" ref="K75">IFERROR(INDEX(_xlfn.TEXTSPLIT(_xlfn.XLOOKUP($A75&amp;$B75&amp;$C75,盘货信息!$A:$A&amp;盘货信息!$B:$B&amp;盘货信息!$C:$C,盘货信息!$S:$S),CHAR(10),,TRUE),1,COLUMN(B74)),"")</f>
        <v/>
      </c>
      <c r="L75" s="18" t="str" cm="1">
        <f t="array" ref="L75">IFERROR(INDEX(_xlfn.TEXTSPLIT(_xlfn.XLOOKUP($A75&amp;$B75&amp;$C75,盘货信息!$A:$A&amp;盘货信息!$B:$B&amp;盘货信息!$C:$C,盘货信息!$S:$S),CHAR(10),,TRUE),1,COLUMN(C74)),"")</f>
        <v/>
      </c>
      <c r="M75" s="18" t="str" cm="1">
        <f t="array" ref="M75">IFERROR(INDEX(_xlfn.TEXTSPLIT(_xlfn.XLOOKUP($A75&amp;$B75&amp;$C75,盘货信息!$A:$A&amp;盘货信息!$B:$B&amp;盘货信息!$C:$C,盘货信息!$S:$S),CHAR(10),,TRUE),1,COLUMN(D74)),"")</f>
        <v/>
      </c>
      <c r="N75" s="18" t="str" cm="1">
        <f t="array" ref="N75">IFERROR(INDEX(_xlfn.TEXTSPLIT(_xlfn.XLOOKUP($A75&amp;$B75&amp;$C75,盘货信息!$A:$A&amp;盘货信息!$B:$B&amp;盘货信息!$C:$C,盘货信息!$S:$S),CHAR(10),,TRUE),1,COLUMN(E74)),"")</f>
        <v/>
      </c>
    </row>
    <row r="76" customHeight="1" spans="1:14">
      <c r="A76" s="17" t="str">
        <f>IF(盘货信息!A76="","",盘货信息!A76)</f>
        <v/>
      </c>
      <c r="B76" s="17" t="str">
        <f>IF(盘货信息!B76="","",盘货信息!B76)</f>
        <v/>
      </c>
      <c r="C76" s="18" t="str">
        <f>IF(盘货信息!C76="","",盘货信息!C76)</f>
        <v/>
      </c>
      <c r="D76" s="18" t="str">
        <f t="shared" si="1"/>
        <v/>
      </c>
      <c r="E76" s="18" t="str">
        <f>_xlfn.LET(_xlpm.A,IF(ISNUMBER(SEARCH("晒单",J76)),"【晒单】"&amp;MID(J76,SEARCH("晒单",J76)+LEN("晒单"),LEN(J76))&amp;"（需晒单后联系客服登记）",IF(ISNUMBER(SEARCH("包修",J76)),"【购机】"&amp;MID(J76,SEARCH("购机",J76)+LEN("购机"),LEN(J76)),IF(ISNUMBER(SEARCH("叠放支架",J76)),"【赠品】"&amp;MID(J76,SEARCH("购机",J76)+LEN("购机"),LEN(J76)),IF(ISNUMBER(SEARCH("秀图",J76)),"【秀图】"&amp;MID(J76,SEARCH("秀图",J76)+LEN("秀图"),LEN(J76)),"")))),IFERROR(LEFT(_xlpm.A,FIND("【",_xlpm.A,FIND("】",_xlpm.A)+1)-1)&amp;MID(_xlpm.A,FIND("】",_xlpm.A,FIND("】",_xlpm.A)+1)+1,LEN(_xlpm.A)),_xlpm.A))</f>
        <v/>
      </c>
      <c r="F76" s="18" t="str">
        <f>_xlfn.LET(_xlpm.A,IF(ISNUMBER(SEARCH("晒单",K76)),"【晒单】"&amp;MID(K76,SEARCH("晒单",K76)+LEN("晒单"),LEN(K76))&amp;"（需晒单后联系客服登记）",IF(ISNUMBER(SEARCH("包修",K76)),"【购机】"&amp;MID(K76,SEARCH("购机",K76)+LEN("购机"),LEN(K76)),IF(ISNUMBER(SEARCH("叠放支架",K76)),"【赠品】"&amp;MID(K76,SEARCH("购机",K76)+LEN("购机"),LEN(K76)),IF(ISNUMBER(SEARCH("秀图",K76)),"【秀图】"&amp;MID(K76,SEARCH("秀图",K76)+LEN("秀图"),LEN(K76)),"")))),IFERROR(LEFT(_xlpm.A,FIND("【",_xlpm.A,FIND("】",_xlpm.A)+1)-1)&amp;MID(_xlpm.A,FIND("】",_xlpm.A,FIND("】",_xlpm.A)+1)+1,LEN(_xlpm.A)),_xlpm.A))</f>
        <v/>
      </c>
      <c r="G76" s="18" t="str">
        <f>_xlfn.LET(_xlpm.A,IF(ISNUMBER(SEARCH("晒单",L76)),"【晒单】"&amp;MID(L76,SEARCH("晒单",L76)+LEN("晒单"),LEN(L76))&amp;"（需晒单后联系客服登记）",IF(ISNUMBER(SEARCH("包修",L76)),"【购机】"&amp;MID(L76,SEARCH("购机",L76)+LEN("购机"),LEN(L76)),IF(ISNUMBER(SEARCH("叠放支架",L76)),"【赠品】"&amp;MID(L76,SEARCH("购机",L76)+LEN("购机"),LEN(L76)),IF(ISNUMBER(SEARCH("秀图",L76)),"【秀图】"&amp;MID(L76,SEARCH("秀图",L76)+LEN("秀图"),LEN(L76)),"")))),IFERROR(LEFT(_xlpm.A,FIND("【",_xlpm.A,FIND("】",_xlpm.A)+1)-1)&amp;MID(_xlpm.A,FIND("】",_xlpm.A,FIND("】",_xlpm.A)+1)+1,LEN(_xlpm.A)),_xlpm.A))</f>
        <v/>
      </c>
      <c r="H76" s="18" t="str">
        <f>_xlfn.LET(_xlpm.A,IF(ISNUMBER(SEARCH("晒单",M76)),"【晒单】"&amp;MID(M76,SEARCH("晒单",M76)+LEN("晒单"),LEN(M76))&amp;"（需晒单后联系客服登记）",IF(ISNUMBER(SEARCH("包修",M76)),"【购机】"&amp;MID(M76,SEARCH("购机",M76)+LEN("购机"),LEN(M76)),IF(ISNUMBER(SEARCH("叠放支架",M76)),"【赠品】"&amp;MID(M76,SEARCH("购机",M76)+LEN("购机"),LEN(M76)),IF(ISNUMBER(SEARCH("秀图",M76)),"【秀图】"&amp;MID(M76,SEARCH("秀图",M76)+LEN("秀图"),LEN(M76)),"")))),IFERROR(LEFT(_xlpm.A,FIND("【",_xlpm.A,FIND("】",_xlpm.A)+1)-1)&amp;MID(_xlpm.A,FIND("】",_xlpm.A,FIND("】",_xlpm.A)+1)+1,LEN(_xlpm.A)),_xlpm.A))</f>
        <v/>
      </c>
      <c r="I76" s="18" t="str">
        <f>_xlfn.LET(_xlpm.A,IF(ISNUMBER(SEARCH("晒单",N76)),"【晒单】"&amp;MID(N76,SEARCH("晒单",N76)+LEN("晒单"),LEN(N76))&amp;"（需晒单后联系客服登记）",IF(ISNUMBER(SEARCH("包修",N76)),"【购机】"&amp;MID(N76,SEARCH("购机",N76)+LEN("购机"),LEN(N76)),IF(ISNUMBER(SEARCH("叠放支架",N76)),"【赠品】"&amp;MID(N76,SEARCH("购机",N76)+LEN("购机"),LEN(N76)),IF(ISNUMBER(SEARCH("秀图",N76)),"【秀图】"&amp;MID(N76,SEARCH("秀图",N76)+LEN("秀图"),LEN(N76)),"")))),IFERROR(LEFT(_xlpm.A,FIND("【",_xlpm.A,FIND("】",_xlpm.A)+1)-1)&amp;MID(_xlpm.A,FIND("】",_xlpm.A,FIND("】",_xlpm.A)+1)+1,LEN(_xlpm.A)),_xlpm.A))</f>
        <v/>
      </c>
      <c r="J76" s="18" t="str" cm="1">
        <f t="array" ref="J76">IFERROR(INDEX(_xlfn.TEXTSPLIT(_xlfn.XLOOKUP($A76&amp;$B76&amp;$C76,盘货信息!$A:$A&amp;盘货信息!$B:$B&amp;盘货信息!$C:$C,盘货信息!$S:$S),CHAR(10),,TRUE),1,COLUMN(A75)),"")</f>
        <v/>
      </c>
      <c r="K76" s="18" t="str" cm="1">
        <f t="array" ref="K76">IFERROR(INDEX(_xlfn.TEXTSPLIT(_xlfn.XLOOKUP($A76&amp;$B76&amp;$C76,盘货信息!$A:$A&amp;盘货信息!$B:$B&amp;盘货信息!$C:$C,盘货信息!$S:$S),CHAR(10),,TRUE),1,COLUMN(B75)),"")</f>
        <v/>
      </c>
      <c r="L76" s="18" t="str" cm="1">
        <f t="array" ref="L76">IFERROR(INDEX(_xlfn.TEXTSPLIT(_xlfn.XLOOKUP($A76&amp;$B76&amp;$C76,盘货信息!$A:$A&amp;盘货信息!$B:$B&amp;盘货信息!$C:$C,盘货信息!$S:$S),CHAR(10),,TRUE),1,COLUMN(C75)),"")</f>
        <v/>
      </c>
      <c r="M76" s="18" t="str" cm="1">
        <f t="array" ref="M76">IFERROR(INDEX(_xlfn.TEXTSPLIT(_xlfn.XLOOKUP($A76&amp;$B76&amp;$C76,盘货信息!$A:$A&amp;盘货信息!$B:$B&amp;盘货信息!$C:$C,盘货信息!$S:$S),CHAR(10),,TRUE),1,COLUMN(D75)),"")</f>
        <v/>
      </c>
      <c r="N76" s="18" t="str" cm="1">
        <f t="array" ref="N76">IFERROR(INDEX(_xlfn.TEXTSPLIT(_xlfn.XLOOKUP($A76&amp;$B76&amp;$C76,盘货信息!$A:$A&amp;盘货信息!$B:$B&amp;盘货信息!$C:$C,盘货信息!$S:$S),CHAR(10),,TRUE),1,COLUMN(E75)),"")</f>
        <v/>
      </c>
    </row>
    <row r="77" customHeight="1" spans="1:14">
      <c r="A77" s="17" t="str">
        <f>IF(盘货信息!A77="","",盘货信息!A77)</f>
        <v/>
      </c>
      <c r="B77" s="17" t="str">
        <f>IF(盘货信息!B77="","",盘货信息!B77)</f>
        <v/>
      </c>
      <c r="C77" s="18" t="str">
        <f>IF(盘货信息!C77="","",盘货信息!C77)</f>
        <v/>
      </c>
      <c r="D77" s="18" t="str">
        <f t="shared" si="1"/>
        <v/>
      </c>
      <c r="E77" s="18" t="str">
        <f>_xlfn.LET(_xlpm.A,IF(ISNUMBER(SEARCH("晒单",J77)),"【晒单】"&amp;MID(J77,SEARCH("晒单",J77)+LEN("晒单"),LEN(J77))&amp;"（需晒单后联系客服登记）",IF(ISNUMBER(SEARCH("包修",J77)),"【购机】"&amp;MID(J77,SEARCH("购机",J77)+LEN("购机"),LEN(J77)),IF(ISNUMBER(SEARCH("叠放支架",J77)),"【赠品】"&amp;MID(J77,SEARCH("购机",J77)+LEN("购机"),LEN(J77)),IF(ISNUMBER(SEARCH("秀图",J77)),"【秀图】"&amp;MID(J77,SEARCH("秀图",J77)+LEN("秀图"),LEN(J77)),"")))),IFERROR(LEFT(_xlpm.A,FIND("【",_xlpm.A,FIND("】",_xlpm.A)+1)-1)&amp;MID(_xlpm.A,FIND("】",_xlpm.A,FIND("】",_xlpm.A)+1)+1,LEN(_xlpm.A)),_xlpm.A))</f>
        <v/>
      </c>
      <c r="F77" s="18" t="str">
        <f>_xlfn.LET(_xlpm.A,IF(ISNUMBER(SEARCH("晒单",K77)),"【晒单】"&amp;MID(K77,SEARCH("晒单",K77)+LEN("晒单"),LEN(K77))&amp;"（需晒单后联系客服登记）",IF(ISNUMBER(SEARCH("包修",K77)),"【购机】"&amp;MID(K77,SEARCH("购机",K77)+LEN("购机"),LEN(K77)),IF(ISNUMBER(SEARCH("叠放支架",K77)),"【赠品】"&amp;MID(K77,SEARCH("购机",K77)+LEN("购机"),LEN(K77)),IF(ISNUMBER(SEARCH("秀图",K77)),"【秀图】"&amp;MID(K77,SEARCH("秀图",K77)+LEN("秀图"),LEN(K77)),"")))),IFERROR(LEFT(_xlpm.A,FIND("【",_xlpm.A,FIND("】",_xlpm.A)+1)-1)&amp;MID(_xlpm.A,FIND("】",_xlpm.A,FIND("】",_xlpm.A)+1)+1,LEN(_xlpm.A)),_xlpm.A))</f>
        <v/>
      </c>
      <c r="G77" s="18" t="str">
        <f>_xlfn.LET(_xlpm.A,IF(ISNUMBER(SEARCH("晒单",L77)),"【晒单】"&amp;MID(L77,SEARCH("晒单",L77)+LEN("晒单"),LEN(L77))&amp;"（需晒单后联系客服登记）",IF(ISNUMBER(SEARCH("包修",L77)),"【购机】"&amp;MID(L77,SEARCH("购机",L77)+LEN("购机"),LEN(L77)),IF(ISNUMBER(SEARCH("叠放支架",L77)),"【赠品】"&amp;MID(L77,SEARCH("购机",L77)+LEN("购机"),LEN(L77)),IF(ISNUMBER(SEARCH("秀图",L77)),"【秀图】"&amp;MID(L77,SEARCH("秀图",L77)+LEN("秀图"),LEN(L77)),"")))),IFERROR(LEFT(_xlpm.A,FIND("【",_xlpm.A,FIND("】",_xlpm.A)+1)-1)&amp;MID(_xlpm.A,FIND("】",_xlpm.A,FIND("】",_xlpm.A)+1)+1,LEN(_xlpm.A)),_xlpm.A))</f>
        <v/>
      </c>
      <c r="H77" s="18" t="str">
        <f>_xlfn.LET(_xlpm.A,IF(ISNUMBER(SEARCH("晒单",M77)),"【晒单】"&amp;MID(M77,SEARCH("晒单",M77)+LEN("晒单"),LEN(M77))&amp;"（需晒单后联系客服登记）",IF(ISNUMBER(SEARCH("包修",M77)),"【购机】"&amp;MID(M77,SEARCH("购机",M77)+LEN("购机"),LEN(M77)),IF(ISNUMBER(SEARCH("叠放支架",M77)),"【赠品】"&amp;MID(M77,SEARCH("购机",M77)+LEN("购机"),LEN(M77)),IF(ISNUMBER(SEARCH("秀图",M77)),"【秀图】"&amp;MID(M77,SEARCH("秀图",M77)+LEN("秀图"),LEN(M77)),"")))),IFERROR(LEFT(_xlpm.A,FIND("【",_xlpm.A,FIND("】",_xlpm.A)+1)-1)&amp;MID(_xlpm.A,FIND("】",_xlpm.A,FIND("】",_xlpm.A)+1)+1,LEN(_xlpm.A)),_xlpm.A))</f>
        <v/>
      </c>
      <c r="I77" s="18" t="str">
        <f>_xlfn.LET(_xlpm.A,IF(ISNUMBER(SEARCH("晒单",N77)),"【晒单】"&amp;MID(N77,SEARCH("晒单",N77)+LEN("晒单"),LEN(N77))&amp;"（需晒单后联系客服登记）",IF(ISNUMBER(SEARCH("包修",N77)),"【购机】"&amp;MID(N77,SEARCH("购机",N77)+LEN("购机"),LEN(N77)),IF(ISNUMBER(SEARCH("叠放支架",N77)),"【赠品】"&amp;MID(N77,SEARCH("购机",N77)+LEN("购机"),LEN(N77)),IF(ISNUMBER(SEARCH("秀图",N77)),"【秀图】"&amp;MID(N77,SEARCH("秀图",N77)+LEN("秀图"),LEN(N77)),"")))),IFERROR(LEFT(_xlpm.A,FIND("【",_xlpm.A,FIND("】",_xlpm.A)+1)-1)&amp;MID(_xlpm.A,FIND("】",_xlpm.A,FIND("】",_xlpm.A)+1)+1,LEN(_xlpm.A)),_xlpm.A))</f>
        <v/>
      </c>
      <c r="J77" s="18" t="str" cm="1">
        <f t="array" ref="J77">IFERROR(INDEX(_xlfn.TEXTSPLIT(_xlfn.XLOOKUP($A77&amp;$B77&amp;$C77,盘货信息!$A:$A&amp;盘货信息!$B:$B&amp;盘货信息!$C:$C,盘货信息!$S:$S),CHAR(10),,TRUE),1,COLUMN(A76)),"")</f>
        <v/>
      </c>
      <c r="K77" s="18" t="str" cm="1">
        <f t="array" ref="K77">IFERROR(INDEX(_xlfn.TEXTSPLIT(_xlfn.XLOOKUP($A77&amp;$B77&amp;$C77,盘货信息!$A:$A&amp;盘货信息!$B:$B&amp;盘货信息!$C:$C,盘货信息!$S:$S),CHAR(10),,TRUE),1,COLUMN(B76)),"")</f>
        <v/>
      </c>
      <c r="L77" s="18" t="str" cm="1">
        <f t="array" ref="L77">IFERROR(INDEX(_xlfn.TEXTSPLIT(_xlfn.XLOOKUP($A77&amp;$B77&amp;$C77,盘货信息!$A:$A&amp;盘货信息!$B:$B&amp;盘货信息!$C:$C,盘货信息!$S:$S),CHAR(10),,TRUE),1,COLUMN(C76)),"")</f>
        <v/>
      </c>
      <c r="M77" s="18" t="str" cm="1">
        <f t="array" ref="M77">IFERROR(INDEX(_xlfn.TEXTSPLIT(_xlfn.XLOOKUP($A77&amp;$B77&amp;$C77,盘货信息!$A:$A&amp;盘货信息!$B:$B&amp;盘货信息!$C:$C,盘货信息!$S:$S),CHAR(10),,TRUE),1,COLUMN(D76)),"")</f>
        <v/>
      </c>
      <c r="N77" s="18" t="str" cm="1">
        <f t="array" ref="N77">IFERROR(INDEX(_xlfn.TEXTSPLIT(_xlfn.XLOOKUP($A77&amp;$B77&amp;$C77,盘货信息!$A:$A&amp;盘货信息!$B:$B&amp;盘货信息!$C:$C,盘货信息!$S:$S),CHAR(10),,TRUE),1,COLUMN(E76)),"")</f>
        <v/>
      </c>
    </row>
    <row r="78" customHeight="1" spans="1:14">
      <c r="A78" s="17" t="str">
        <f>IF(盘货信息!A78="","",盘货信息!A78)</f>
        <v/>
      </c>
      <c r="B78" s="17" t="str">
        <f>IF(盘货信息!B78="","",盘货信息!B78)</f>
        <v/>
      </c>
      <c r="C78" s="18" t="str">
        <f>IF(盘货信息!C78="","",盘货信息!C78)</f>
        <v/>
      </c>
      <c r="D78" s="18" t="str">
        <f t="shared" si="1"/>
        <v/>
      </c>
      <c r="E78" s="18" t="str">
        <f>_xlfn.LET(_xlpm.A,IF(ISNUMBER(SEARCH("晒单",J78)),"【晒单】"&amp;MID(J78,SEARCH("晒单",J78)+LEN("晒单"),LEN(J78))&amp;"（需晒单后联系客服登记）",IF(ISNUMBER(SEARCH("包修",J78)),"【购机】"&amp;MID(J78,SEARCH("购机",J78)+LEN("购机"),LEN(J78)),IF(ISNUMBER(SEARCH("叠放支架",J78)),"【赠品】"&amp;MID(J78,SEARCH("购机",J78)+LEN("购机"),LEN(J78)),IF(ISNUMBER(SEARCH("秀图",J78)),"【秀图】"&amp;MID(J78,SEARCH("秀图",J78)+LEN("秀图"),LEN(J78)),"")))),IFERROR(LEFT(_xlpm.A,FIND("【",_xlpm.A,FIND("】",_xlpm.A)+1)-1)&amp;MID(_xlpm.A,FIND("】",_xlpm.A,FIND("】",_xlpm.A)+1)+1,LEN(_xlpm.A)),_xlpm.A))</f>
        <v/>
      </c>
      <c r="F78" s="18" t="str">
        <f>_xlfn.LET(_xlpm.A,IF(ISNUMBER(SEARCH("晒单",K78)),"【晒单】"&amp;MID(K78,SEARCH("晒单",K78)+LEN("晒单"),LEN(K78))&amp;"（需晒单后联系客服登记）",IF(ISNUMBER(SEARCH("包修",K78)),"【购机】"&amp;MID(K78,SEARCH("购机",K78)+LEN("购机"),LEN(K78)),IF(ISNUMBER(SEARCH("叠放支架",K78)),"【赠品】"&amp;MID(K78,SEARCH("购机",K78)+LEN("购机"),LEN(K78)),IF(ISNUMBER(SEARCH("秀图",K78)),"【秀图】"&amp;MID(K78,SEARCH("秀图",K78)+LEN("秀图"),LEN(K78)),"")))),IFERROR(LEFT(_xlpm.A,FIND("【",_xlpm.A,FIND("】",_xlpm.A)+1)-1)&amp;MID(_xlpm.A,FIND("】",_xlpm.A,FIND("】",_xlpm.A)+1)+1,LEN(_xlpm.A)),_xlpm.A))</f>
        <v/>
      </c>
      <c r="G78" s="18" t="str">
        <f>_xlfn.LET(_xlpm.A,IF(ISNUMBER(SEARCH("晒单",L78)),"【晒单】"&amp;MID(L78,SEARCH("晒单",L78)+LEN("晒单"),LEN(L78))&amp;"（需晒单后联系客服登记）",IF(ISNUMBER(SEARCH("包修",L78)),"【购机】"&amp;MID(L78,SEARCH("购机",L78)+LEN("购机"),LEN(L78)),IF(ISNUMBER(SEARCH("叠放支架",L78)),"【赠品】"&amp;MID(L78,SEARCH("购机",L78)+LEN("购机"),LEN(L78)),IF(ISNUMBER(SEARCH("秀图",L78)),"【秀图】"&amp;MID(L78,SEARCH("秀图",L78)+LEN("秀图"),LEN(L78)),"")))),IFERROR(LEFT(_xlpm.A,FIND("【",_xlpm.A,FIND("】",_xlpm.A)+1)-1)&amp;MID(_xlpm.A,FIND("】",_xlpm.A,FIND("】",_xlpm.A)+1)+1,LEN(_xlpm.A)),_xlpm.A))</f>
        <v/>
      </c>
      <c r="H78" s="18" t="str">
        <f>_xlfn.LET(_xlpm.A,IF(ISNUMBER(SEARCH("晒单",M78)),"【晒单】"&amp;MID(M78,SEARCH("晒单",M78)+LEN("晒单"),LEN(M78))&amp;"（需晒单后联系客服登记）",IF(ISNUMBER(SEARCH("包修",M78)),"【购机】"&amp;MID(M78,SEARCH("购机",M78)+LEN("购机"),LEN(M78)),IF(ISNUMBER(SEARCH("叠放支架",M78)),"【赠品】"&amp;MID(M78,SEARCH("购机",M78)+LEN("购机"),LEN(M78)),IF(ISNUMBER(SEARCH("秀图",M78)),"【秀图】"&amp;MID(M78,SEARCH("秀图",M78)+LEN("秀图"),LEN(M78)),"")))),IFERROR(LEFT(_xlpm.A,FIND("【",_xlpm.A,FIND("】",_xlpm.A)+1)-1)&amp;MID(_xlpm.A,FIND("】",_xlpm.A,FIND("】",_xlpm.A)+1)+1,LEN(_xlpm.A)),_xlpm.A))</f>
        <v/>
      </c>
      <c r="I78" s="18" t="str">
        <f>_xlfn.LET(_xlpm.A,IF(ISNUMBER(SEARCH("晒单",N78)),"【晒单】"&amp;MID(N78,SEARCH("晒单",N78)+LEN("晒单"),LEN(N78))&amp;"（需晒单后联系客服登记）",IF(ISNUMBER(SEARCH("包修",N78)),"【购机】"&amp;MID(N78,SEARCH("购机",N78)+LEN("购机"),LEN(N78)),IF(ISNUMBER(SEARCH("叠放支架",N78)),"【赠品】"&amp;MID(N78,SEARCH("购机",N78)+LEN("购机"),LEN(N78)),IF(ISNUMBER(SEARCH("秀图",N78)),"【秀图】"&amp;MID(N78,SEARCH("秀图",N78)+LEN("秀图"),LEN(N78)),"")))),IFERROR(LEFT(_xlpm.A,FIND("【",_xlpm.A,FIND("】",_xlpm.A)+1)-1)&amp;MID(_xlpm.A,FIND("】",_xlpm.A,FIND("】",_xlpm.A)+1)+1,LEN(_xlpm.A)),_xlpm.A))</f>
        <v/>
      </c>
      <c r="J78" s="18" t="str" cm="1">
        <f t="array" ref="J78">IFERROR(INDEX(_xlfn.TEXTSPLIT(_xlfn.XLOOKUP($A78&amp;$B78&amp;$C78,盘货信息!$A:$A&amp;盘货信息!$B:$B&amp;盘货信息!$C:$C,盘货信息!$S:$S),CHAR(10),,TRUE),1,COLUMN(A77)),"")</f>
        <v/>
      </c>
      <c r="K78" s="18" t="str" cm="1">
        <f t="array" ref="K78">IFERROR(INDEX(_xlfn.TEXTSPLIT(_xlfn.XLOOKUP($A78&amp;$B78&amp;$C78,盘货信息!$A:$A&amp;盘货信息!$B:$B&amp;盘货信息!$C:$C,盘货信息!$S:$S),CHAR(10),,TRUE),1,COLUMN(B77)),"")</f>
        <v/>
      </c>
      <c r="L78" s="18" t="str" cm="1">
        <f t="array" ref="L78">IFERROR(INDEX(_xlfn.TEXTSPLIT(_xlfn.XLOOKUP($A78&amp;$B78&amp;$C78,盘货信息!$A:$A&amp;盘货信息!$B:$B&amp;盘货信息!$C:$C,盘货信息!$S:$S),CHAR(10),,TRUE),1,COLUMN(C77)),"")</f>
        <v/>
      </c>
      <c r="M78" s="18" t="str" cm="1">
        <f t="array" ref="M78">IFERROR(INDEX(_xlfn.TEXTSPLIT(_xlfn.XLOOKUP($A78&amp;$B78&amp;$C78,盘货信息!$A:$A&amp;盘货信息!$B:$B&amp;盘货信息!$C:$C,盘货信息!$S:$S),CHAR(10),,TRUE),1,COLUMN(D77)),"")</f>
        <v/>
      </c>
      <c r="N78" s="18" t="str" cm="1">
        <f t="array" ref="N78">IFERROR(INDEX(_xlfn.TEXTSPLIT(_xlfn.XLOOKUP($A78&amp;$B78&amp;$C78,盘货信息!$A:$A&amp;盘货信息!$B:$B&amp;盘货信息!$C:$C,盘货信息!$S:$S),CHAR(10),,TRUE),1,COLUMN(E77)),"")</f>
        <v/>
      </c>
    </row>
    <row r="79" customHeight="1" spans="1:14">
      <c r="A79" s="19" t="str">
        <f>IF(盘货信息!A79="","",盘货信息!A79)</f>
        <v/>
      </c>
      <c r="B79" s="19" t="str">
        <f>IF(盘货信息!B79="","",盘货信息!B79)</f>
        <v/>
      </c>
      <c r="C79" s="18" t="str">
        <f>IF(盘货信息!C79="","",盘货信息!C79)</f>
        <v/>
      </c>
      <c r="D79" s="18" t="str">
        <f t="shared" si="1"/>
        <v/>
      </c>
      <c r="E79" s="18" t="str">
        <f>_xlfn.LET(_xlpm.A,IF(ISNUMBER(SEARCH("晒单",J79)),"【晒单】"&amp;MID(J79,SEARCH("晒单",J79)+LEN("晒单"),LEN(J79))&amp;"（需晒单后联系客服登记）",IF(ISNUMBER(SEARCH("包修",J79)),"【购机】"&amp;MID(J79,SEARCH("购机",J79)+LEN("购机"),LEN(J79)),IF(ISNUMBER(SEARCH("叠放支架",J79)),"【赠品】"&amp;MID(J79,SEARCH("购机",J79)+LEN("购机"),LEN(J79)),IF(ISNUMBER(SEARCH("秀图",J79)),"【秀图】"&amp;MID(J79,SEARCH("秀图",J79)+LEN("秀图"),LEN(J79)),"")))),IFERROR(LEFT(_xlpm.A,FIND("【",_xlpm.A,FIND("】",_xlpm.A)+1)-1)&amp;MID(_xlpm.A,FIND("】",_xlpm.A,FIND("】",_xlpm.A)+1)+1,LEN(_xlpm.A)),_xlpm.A))</f>
        <v/>
      </c>
      <c r="F79" s="18" t="str">
        <f>_xlfn.LET(_xlpm.A,IF(ISNUMBER(SEARCH("晒单",K79)),"【晒单】"&amp;MID(K79,SEARCH("晒单",K79)+LEN("晒单"),LEN(K79))&amp;"（需晒单后联系客服登记）",IF(ISNUMBER(SEARCH("包修",K79)),"【购机】"&amp;MID(K79,SEARCH("购机",K79)+LEN("购机"),LEN(K79)),IF(ISNUMBER(SEARCH("叠放支架",K79)),"【赠品】"&amp;MID(K79,SEARCH("购机",K79)+LEN("购机"),LEN(K79)),IF(ISNUMBER(SEARCH("秀图",K79)),"【秀图】"&amp;MID(K79,SEARCH("秀图",K79)+LEN("秀图"),LEN(K79)),"")))),IFERROR(LEFT(_xlpm.A,FIND("【",_xlpm.A,FIND("】",_xlpm.A)+1)-1)&amp;MID(_xlpm.A,FIND("】",_xlpm.A,FIND("】",_xlpm.A)+1)+1,LEN(_xlpm.A)),_xlpm.A))</f>
        <v/>
      </c>
      <c r="G79" s="18" t="str">
        <f>_xlfn.LET(_xlpm.A,IF(ISNUMBER(SEARCH("晒单",L79)),"【晒单】"&amp;MID(L79,SEARCH("晒单",L79)+LEN("晒单"),LEN(L79))&amp;"（需晒单后联系客服登记）",IF(ISNUMBER(SEARCH("包修",L79)),"【购机】"&amp;MID(L79,SEARCH("购机",L79)+LEN("购机"),LEN(L79)),IF(ISNUMBER(SEARCH("叠放支架",L79)),"【赠品】"&amp;MID(L79,SEARCH("购机",L79)+LEN("购机"),LEN(L79)),IF(ISNUMBER(SEARCH("秀图",L79)),"【秀图】"&amp;MID(L79,SEARCH("秀图",L79)+LEN("秀图"),LEN(L79)),"")))),IFERROR(LEFT(_xlpm.A,FIND("【",_xlpm.A,FIND("】",_xlpm.A)+1)-1)&amp;MID(_xlpm.A,FIND("】",_xlpm.A,FIND("】",_xlpm.A)+1)+1,LEN(_xlpm.A)),_xlpm.A))</f>
        <v/>
      </c>
      <c r="H79" s="18" t="str">
        <f>_xlfn.LET(_xlpm.A,IF(ISNUMBER(SEARCH("晒单",M79)),"【晒单】"&amp;MID(M79,SEARCH("晒单",M79)+LEN("晒单"),LEN(M79))&amp;"（需晒单后联系客服登记）",IF(ISNUMBER(SEARCH("包修",M79)),"【购机】"&amp;MID(M79,SEARCH("购机",M79)+LEN("购机"),LEN(M79)),IF(ISNUMBER(SEARCH("叠放支架",M79)),"【赠品】"&amp;MID(M79,SEARCH("购机",M79)+LEN("购机"),LEN(M79)),IF(ISNUMBER(SEARCH("秀图",M79)),"【秀图】"&amp;MID(M79,SEARCH("秀图",M79)+LEN("秀图"),LEN(M79)),"")))),IFERROR(LEFT(_xlpm.A,FIND("【",_xlpm.A,FIND("】",_xlpm.A)+1)-1)&amp;MID(_xlpm.A,FIND("】",_xlpm.A,FIND("】",_xlpm.A)+1)+1,LEN(_xlpm.A)),_xlpm.A))</f>
        <v/>
      </c>
      <c r="I79" s="18" t="str">
        <f>_xlfn.LET(_xlpm.A,IF(ISNUMBER(SEARCH("晒单",N79)),"【晒单】"&amp;MID(N79,SEARCH("晒单",N79)+LEN("晒单"),LEN(N79))&amp;"（需晒单后联系客服登记）",IF(ISNUMBER(SEARCH("包修",N79)),"【购机】"&amp;MID(N79,SEARCH("购机",N79)+LEN("购机"),LEN(N79)),IF(ISNUMBER(SEARCH("叠放支架",N79)),"【赠品】"&amp;MID(N79,SEARCH("购机",N79)+LEN("购机"),LEN(N79)),IF(ISNUMBER(SEARCH("秀图",N79)),"【秀图】"&amp;MID(N79,SEARCH("秀图",N79)+LEN("秀图"),LEN(N79)),"")))),IFERROR(LEFT(_xlpm.A,FIND("【",_xlpm.A,FIND("】",_xlpm.A)+1)-1)&amp;MID(_xlpm.A,FIND("】",_xlpm.A,FIND("】",_xlpm.A)+1)+1,LEN(_xlpm.A)),_xlpm.A))</f>
        <v/>
      </c>
      <c r="J79" s="18" t="str" cm="1">
        <f t="array" ref="J79">IFERROR(INDEX(_xlfn.TEXTSPLIT(_xlfn.XLOOKUP($A79&amp;$B79&amp;$C79,盘货信息!$A:$A&amp;盘货信息!$B:$B&amp;盘货信息!$C:$C,盘货信息!$S:$S),CHAR(10),,TRUE),1,COLUMN(A78)),"")</f>
        <v/>
      </c>
      <c r="K79" s="18" t="str" cm="1">
        <f t="array" ref="K79">IFERROR(INDEX(_xlfn.TEXTSPLIT(_xlfn.XLOOKUP($A79&amp;$B79&amp;$C79,盘货信息!$A:$A&amp;盘货信息!$B:$B&amp;盘货信息!$C:$C,盘货信息!$S:$S),CHAR(10),,TRUE),1,COLUMN(B78)),"")</f>
        <v/>
      </c>
      <c r="L79" s="18" t="str" cm="1">
        <f t="array" ref="L79">IFERROR(INDEX(_xlfn.TEXTSPLIT(_xlfn.XLOOKUP($A79&amp;$B79&amp;$C79,盘货信息!$A:$A&amp;盘货信息!$B:$B&amp;盘货信息!$C:$C,盘货信息!$S:$S),CHAR(10),,TRUE),1,COLUMN(C78)),"")</f>
        <v/>
      </c>
      <c r="M79" s="18" t="str" cm="1">
        <f t="array" ref="M79">IFERROR(INDEX(_xlfn.TEXTSPLIT(_xlfn.XLOOKUP($A79&amp;$B79&amp;$C79,盘货信息!$A:$A&amp;盘货信息!$B:$B&amp;盘货信息!$C:$C,盘货信息!$S:$S),CHAR(10),,TRUE),1,COLUMN(D78)),"")</f>
        <v/>
      </c>
      <c r="N79" s="18" t="str" cm="1">
        <f t="array" ref="N79">IFERROR(INDEX(_xlfn.TEXTSPLIT(_xlfn.XLOOKUP($A79&amp;$B79&amp;$C79,盘货信息!$A:$A&amp;盘货信息!$B:$B&amp;盘货信息!$C:$C,盘货信息!$S:$S),CHAR(10),,TRUE),1,COLUMN(E78)),"")</f>
        <v/>
      </c>
    </row>
    <row r="80" customHeight="1" spans="1:14">
      <c r="A80" s="17" t="str">
        <f>IF(盘货信息!A80="","",盘货信息!A80)</f>
        <v/>
      </c>
      <c r="B80" s="17" t="str">
        <f>IF(盘货信息!B80="","",盘货信息!B80)</f>
        <v/>
      </c>
      <c r="C80" s="18" t="str">
        <f>IF(盘货信息!C80="","",盘货信息!C80)</f>
        <v/>
      </c>
      <c r="D80" s="18" t="str">
        <f t="shared" si="1"/>
        <v/>
      </c>
      <c r="E80" s="18" t="str">
        <f>_xlfn.LET(_xlpm.A,IF(ISNUMBER(SEARCH("晒单",J80)),"【晒单】"&amp;MID(J80,SEARCH("晒单",J80)+LEN("晒单"),LEN(J80))&amp;"（需晒单后联系客服登记）",IF(ISNUMBER(SEARCH("包修",J80)),"【购机】"&amp;MID(J80,SEARCH("购机",J80)+LEN("购机"),LEN(J80)),IF(ISNUMBER(SEARCH("叠放支架",J80)),"【赠品】"&amp;MID(J80,SEARCH("购机",J80)+LEN("购机"),LEN(J80)),IF(ISNUMBER(SEARCH("秀图",J80)),"【秀图】"&amp;MID(J80,SEARCH("秀图",J80)+LEN("秀图"),LEN(J80)),"")))),IFERROR(LEFT(_xlpm.A,FIND("【",_xlpm.A,FIND("】",_xlpm.A)+1)-1)&amp;MID(_xlpm.A,FIND("】",_xlpm.A,FIND("】",_xlpm.A)+1)+1,LEN(_xlpm.A)),_xlpm.A))</f>
        <v/>
      </c>
      <c r="F80" s="18" t="str">
        <f>_xlfn.LET(_xlpm.A,IF(ISNUMBER(SEARCH("晒单",K80)),"【晒单】"&amp;MID(K80,SEARCH("晒单",K80)+LEN("晒单"),LEN(K80))&amp;"（需晒单后联系客服登记）",IF(ISNUMBER(SEARCH("包修",K80)),"【购机】"&amp;MID(K80,SEARCH("购机",K80)+LEN("购机"),LEN(K80)),IF(ISNUMBER(SEARCH("叠放支架",K80)),"【赠品】"&amp;MID(K80,SEARCH("购机",K80)+LEN("购机"),LEN(K80)),IF(ISNUMBER(SEARCH("秀图",K80)),"【秀图】"&amp;MID(K80,SEARCH("秀图",K80)+LEN("秀图"),LEN(K80)),"")))),IFERROR(LEFT(_xlpm.A,FIND("【",_xlpm.A,FIND("】",_xlpm.A)+1)-1)&amp;MID(_xlpm.A,FIND("】",_xlpm.A,FIND("】",_xlpm.A)+1)+1,LEN(_xlpm.A)),_xlpm.A))</f>
        <v/>
      </c>
      <c r="G80" s="18" t="str">
        <f>_xlfn.LET(_xlpm.A,IF(ISNUMBER(SEARCH("晒单",L80)),"【晒单】"&amp;MID(L80,SEARCH("晒单",L80)+LEN("晒单"),LEN(L80))&amp;"（需晒单后联系客服登记）",IF(ISNUMBER(SEARCH("包修",L80)),"【购机】"&amp;MID(L80,SEARCH("购机",L80)+LEN("购机"),LEN(L80)),IF(ISNUMBER(SEARCH("叠放支架",L80)),"【赠品】"&amp;MID(L80,SEARCH("购机",L80)+LEN("购机"),LEN(L80)),IF(ISNUMBER(SEARCH("秀图",L80)),"【秀图】"&amp;MID(L80,SEARCH("秀图",L80)+LEN("秀图"),LEN(L80)),"")))),IFERROR(LEFT(_xlpm.A,FIND("【",_xlpm.A,FIND("】",_xlpm.A)+1)-1)&amp;MID(_xlpm.A,FIND("】",_xlpm.A,FIND("】",_xlpm.A)+1)+1,LEN(_xlpm.A)),_xlpm.A))</f>
        <v/>
      </c>
      <c r="H80" s="18" t="str">
        <f>_xlfn.LET(_xlpm.A,IF(ISNUMBER(SEARCH("晒单",M80)),"【晒单】"&amp;MID(M80,SEARCH("晒单",M80)+LEN("晒单"),LEN(M80))&amp;"（需晒单后联系客服登记）",IF(ISNUMBER(SEARCH("包修",M80)),"【购机】"&amp;MID(M80,SEARCH("购机",M80)+LEN("购机"),LEN(M80)),IF(ISNUMBER(SEARCH("叠放支架",M80)),"【赠品】"&amp;MID(M80,SEARCH("购机",M80)+LEN("购机"),LEN(M80)),IF(ISNUMBER(SEARCH("秀图",M80)),"【秀图】"&amp;MID(M80,SEARCH("秀图",M80)+LEN("秀图"),LEN(M80)),"")))),IFERROR(LEFT(_xlpm.A,FIND("【",_xlpm.A,FIND("】",_xlpm.A)+1)-1)&amp;MID(_xlpm.A,FIND("】",_xlpm.A,FIND("】",_xlpm.A)+1)+1,LEN(_xlpm.A)),_xlpm.A))</f>
        <v/>
      </c>
      <c r="I80" s="18" t="str">
        <f>_xlfn.LET(_xlpm.A,IF(ISNUMBER(SEARCH("晒单",N80)),"【晒单】"&amp;MID(N80,SEARCH("晒单",N80)+LEN("晒单"),LEN(N80))&amp;"（需晒单后联系客服登记）",IF(ISNUMBER(SEARCH("包修",N80)),"【购机】"&amp;MID(N80,SEARCH("购机",N80)+LEN("购机"),LEN(N80)),IF(ISNUMBER(SEARCH("叠放支架",N80)),"【赠品】"&amp;MID(N80,SEARCH("购机",N80)+LEN("购机"),LEN(N80)),IF(ISNUMBER(SEARCH("秀图",N80)),"【秀图】"&amp;MID(N80,SEARCH("秀图",N80)+LEN("秀图"),LEN(N80)),"")))),IFERROR(LEFT(_xlpm.A,FIND("【",_xlpm.A,FIND("】",_xlpm.A)+1)-1)&amp;MID(_xlpm.A,FIND("】",_xlpm.A,FIND("】",_xlpm.A)+1)+1,LEN(_xlpm.A)),_xlpm.A))</f>
        <v/>
      </c>
      <c r="J80" s="18" t="str" cm="1">
        <f t="array" ref="J80">IFERROR(INDEX(_xlfn.TEXTSPLIT(_xlfn.XLOOKUP($A80&amp;$B80&amp;$C80,盘货信息!$A:$A&amp;盘货信息!$B:$B&amp;盘货信息!$C:$C,盘货信息!$S:$S),CHAR(10),,TRUE),1,COLUMN(A79)),"")</f>
        <v/>
      </c>
      <c r="K80" s="18" t="str" cm="1">
        <f t="array" ref="K80">IFERROR(INDEX(_xlfn.TEXTSPLIT(_xlfn.XLOOKUP($A80&amp;$B80&amp;$C80,盘货信息!$A:$A&amp;盘货信息!$B:$B&amp;盘货信息!$C:$C,盘货信息!$S:$S),CHAR(10),,TRUE),1,COLUMN(B79)),"")</f>
        <v/>
      </c>
      <c r="L80" s="18" t="str" cm="1">
        <f t="array" ref="L80">IFERROR(INDEX(_xlfn.TEXTSPLIT(_xlfn.XLOOKUP($A80&amp;$B80&amp;$C80,盘货信息!$A:$A&amp;盘货信息!$B:$B&amp;盘货信息!$C:$C,盘货信息!$S:$S),CHAR(10),,TRUE),1,COLUMN(C79)),"")</f>
        <v/>
      </c>
      <c r="M80" s="18" t="str" cm="1">
        <f t="array" ref="M80">IFERROR(INDEX(_xlfn.TEXTSPLIT(_xlfn.XLOOKUP($A80&amp;$B80&amp;$C80,盘货信息!$A:$A&amp;盘货信息!$B:$B&amp;盘货信息!$C:$C,盘货信息!$S:$S),CHAR(10),,TRUE),1,COLUMN(D79)),"")</f>
        <v/>
      </c>
      <c r="N80" s="18" t="str" cm="1">
        <f t="array" ref="N80">IFERROR(INDEX(_xlfn.TEXTSPLIT(_xlfn.XLOOKUP($A80&amp;$B80&amp;$C80,盘货信息!$A:$A&amp;盘货信息!$B:$B&amp;盘货信息!$C:$C,盘货信息!$S:$S),CHAR(10),,TRUE),1,COLUMN(E79)),"")</f>
        <v/>
      </c>
    </row>
    <row r="81" customHeight="1" spans="1:14">
      <c r="A81" s="17" t="str">
        <f>IF(盘货信息!A81="","",盘货信息!A81)</f>
        <v/>
      </c>
      <c r="B81" s="17" t="str">
        <f>IF(盘货信息!B81="","",盘货信息!B81)</f>
        <v/>
      </c>
      <c r="C81" s="18" t="str">
        <f>IF(盘货信息!C81="","",盘货信息!C81)</f>
        <v/>
      </c>
      <c r="D81" s="18" t="str">
        <f t="shared" si="1"/>
        <v/>
      </c>
      <c r="E81" s="18" t="str">
        <f>_xlfn.LET(_xlpm.A,IF(ISNUMBER(SEARCH("晒单",J81)),"【晒单】"&amp;MID(J81,SEARCH("晒单",J81)+LEN("晒单"),LEN(J81))&amp;"（需晒单后联系客服登记）",IF(ISNUMBER(SEARCH("包修",J81)),"【购机】"&amp;MID(J81,SEARCH("购机",J81)+LEN("购机"),LEN(J81)),IF(ISNUMBER(SEARCH("叠放支架",J81)),"【赠品】"&amp;MID(J81,SEARCH("购机",J81)+LEN("购机"),LEN(J81)),IF(ISNUMBER(SEARCH("秀图",J81)),"【秀图】"&amp;MID(J81,SEARCH("秀图",J81)+LEN("秀图"),LEN(J81)),"")))),IFERROR(LEFT(_xlpm.A,FIND("【",_xlpm.A,FIND("】",_xlpm.A)+1)-1)&amp;MID(_xlpm.A,FIND("】",_xlpm.A,FIND("】",_xlpm.A)+1)+1,LEN(_xlpm.A)),_xlpm.A))</f>
        <v/>
      </c>
      <c r="F81" s="18" t="str">
        <f>_xlfn.LET(_xlpm.A,IF(ISNUMBER(SEARCH("晒单",K81)),"【晒单】"&amp;MID(K81,SEARCH("晒单",K81)+LEN("晒单"),LEN(K81))&amp;"（需晒单后联系客服登记）",IF(ISNUMBER(SEARCH("包修",K81)),"【购机】"&amp;MID(K81,SEARCH("购机",K81)+LEN("购机"),LEN(K81)),IF(ISNUMBER(SEARCH("叠放支架",K81)),"【赠品】"&amp;MID(K81,SEARCH("购机",K81)+LEN("购机"),LEN(K81)),IF(ISNUMBER(SEARCH("秀图",K81)),"【秀图】"&amp;MID(K81,SEARCH("秀图",K81)+LEN("秀图"),LEN(K81)),"")))),IFERROR(LEFT(_xlpm.A,FIND("【",_xlpm.A,FIND("】",_xlpm.A)+1)-1)&amp;MID(_xlpm.A,FIND("】",_xlpm.A,FIND("】",_xlpm.A)+1)+1,LEN(_xlpm.A)),_xlpm.A))</f>
        <v/>
      </c>
      <c r="G81" s="18" t="str">
        <f>_xlfn.LET(_xlpm.A,IF(ISNUMBER(SEARCH("晒单",L81)),"【晒单】"&amp;MID(L81,SEARCH("晒单",L81)+LEN("晒单"),LEN(L81))&amp;"（需晒单后联系客服登记）",IF(ISNUMBER(SEARCH("包修",L81)),"【购机】"&amp;MID(L81,SEARCH("购机",L81)+LEN("购机"),LEN(L81)),IF(ISNUMBER(SEARCH("叠放支架",L81)),"【赠品】"&amp;MID(L81,SEARCH("购机",L81)+LEN("购机"),LEN(L81)),IF(ISNUMBER(SEARCH("秀图",L81)),"【秀图】"&amp;MID(L81,SEARCH("秀图",L81)+LEN("秀图"),LEN(L81)),"")))),IFERROR(LEFT(_xlpm.A,FIND("【",_xlpm.A,FIND("】",_xlpm.A)+1)-1)&amp;MID(_xlpm.A,FIND("】",_xlpm.A,FIND("】",_xlpm.A)+1)+1,LEN(_xlpm.A)),_xlpm.A))</f>
        <v/>
      </c>
      <c r="H81" s="18" t="str">
        <f>_xlfn.LET(_xlpm.A,IF(ISNUMBER(SEARCH("晒单",M81)),"【晒单】"&amp;MID(M81,SEARCH("晒单",M81)+LEN("晒单"),LEN(M81))&amp;"（需晒单后联系客服登记）",IF(ISNUMBER(SEARCH("包修",M81)),"【购机】"&amp;MID(M81,SEARCH("购机",M81)+LEN("购机"),LEN(M81)),IF(ISNUMBER(SEARCH("叠放支架",M81)),"【赠品】"&amp;MID(M81,SEARCH("购机",M81)+LEN("购机"),LEN(M81)),IF(ISNUMBER(SEARCH("秀图",M81)),"【秀图】"&amp;MID(M81,SEARCH("秀图",M81)+LEN("秀图"),LEN(M81)),"")))),IFERROR(LEFT(_xlpm.A,FIND("【",_xlpm.A,FIND("】",_xlpm.A)+1)-1)&amp;MID(_xlpm.A,FIND("】",_xlpm.A,FIND("】",_xlpm.A)+1)+1,LEN(_xlpm.A)),_xlpm.A))</f>
        <v/>
      </c>
      <c r="I81" s="18" t="str">
        <f>_xlfn.LET(_xlpm.A,IF(ISNUMBER(SEARCH("晒单",N81)),"【晒单】"&amp;MID(N81,SEARCH("晒单",N81)+LEN("晒单"),LEN(N81))&amp;"（需晒单后联系客服登记）",IF(ISNUMBER(SEARCH("包修",N81)),"【购机】"&amp;MID(N81,SEARCH("购机",N81)+LEN("购机"),LEN(N81)),IF(ISNUMBER(SEARCH("叠放支架",N81)),"【赠品】"&amp;MID(N81,SEARCH("购机",N81)+LEN("购机"),LEN(N81)),IF(ISNUMBER(SEARCH("秀图",N81)),"【秀图】"&amp;MID(N81,SEARCH("秀图",N81)+LEN("秀图"),LEN(N81)),"")))),IFERROR(LEFT(_xlpm.A,FIND("【",_xlpm.A,FIND("】",_xlpm.A)+1)-1)&amp;MID(_xlpm.A,FIND("】",_xlpm.A,FIND("】",_xlpm.A)+1)+1,LEN(_xlpm.A)),_xlpm.A))</f>
        <v/>
      </c>
      <c r="J81" s="18" t="str" cm="1">
        <f t="array" ref="J81">IFERROR(INDEX(_xlfn.TEXTSPLIT(_xlfn.XLOOKUP($A81&amp;$B81&amp;$C81,盘货信息!$A:$A&amp;盘货信息!$B:$B&amp;盘货信息!$C:$C,盘货信息!$S:$S),CHAR(10),,TRUE),1,COLUMN(A80)),"")</f>
        <v/>
      </c>
      <c r="K81" s="18" t="str" cm="1">
        <f t="array" ref="K81">IFERROR(INDEX(_xlfn.TEXTSPLIT(_xlfn.XLOOKUP($A81&amp;$B81&amp;$C81,盘货信息!$A:$A&amp;盘货信息!$B:$B&amp;盘货信息!$C:$C,盘货信息!$S:$S),CHAR(10),,TRUE),1,COLUMN(B80)),"")</f>
        <v/>
      </c>
      <c r="L81" s="18" t="str" cm="1">
        <f t="array" ref="L81">IFERROR(INDEX(_xlfn.TEXTSPLIT(_xlfn.XLOOKUP($A81&amp;$B81&amp;$C81,盘货信息!$A:$A&amp;盘货信息!$B:$B&amp;盘货信息!$C:$C,盘货信息!$S:$S),CHAR(10),,TRUE),1,COLUMN(C80)),"")</f>
        <v/>
      </c>
      <c r="M81" s="18" t="str" cm="1">
        <f t="array" ref="M81">IFERROR(INDEX(_xlfn.TEXTSPLIT(_xlfn.XLOOKUP($A81&amp;$B81&amp;$C81,盘货信息!$A:$A&amp;盘货信息!$B:$B&amp;盘货信息!$C:$C,盘货信息!$S:$S),CHAR(10),,TRUE),1,COLUMN(D80)),"")</f>
        <v/>
      </c>
      <c r="N81" s="18" t="str" cm="1">
        <f t="array" ref="N81">IFERROR(INDEX(_xlfn.TEXTSPLIT(_xlfn.XLOOKUP($A81&amp;$B81&amp;$C81,盘货信息!$A:$A&amp;盘货信息!$B:$B&amp;盘货信息!$C:$C,盘货信息!$S:$S),CHAR(10),,TRUE),1,COLUMN(E80)),"")</f>
        <v/>
      </c>
    </row>
    <row r="82" customHeight="1" spans="1:14">
      <c r="A82" s="17" t="str">
        <f>IF(盘货信息!A82="","",盘货信息!A82)</f>
        <v/>
      </c>
      <c r="B82" s="17" t="str">
        <f>IF(盘货信息!B82="","",盘货信息!B82)</f>
        <v/>
      </c>
      <c r="C82" s="18" t="str">
        <f>IF(盘货信息!C82="","",盘货信息!C82)</f>
        <v/>
      </c>
      <c r="D82" s="18" t="str">
        <f t="shared" si="1"/>
        <v/>
      </c>
      <c r="E82" s="18" t="str">
        <f>_xlfn.LET(_xlpm.A,IF(ISNUMBER(SEARCH("晒单",J82)),"【晒单】"&amp;MID(J82,SEARCH("晒单",J82)+LEN("晒单"),LEN(J82))&amp;"（需晒单后联系客服登记）",IF(ISNUMBER(SEARCH("包修",J82)),"【购机】"&amp;MID(J82,SEARCH("购机",J82)+LEN("购机"),LEN(J82)),IF(ISNUMBER(SEARCH("叠放支架",J82)),"【赠品】"&amp;MID(J82,SEARCH("购机",J82)+LEN("购机"),LEN(J82)),IF(ISNUMBER(SEARCH("秀图",J82)),"【秀图】"&amp;MID(J82,SEARCH("秀图",J82)+LEN("秀图"),LEN(J82)),"")))),IFERROR(LEFT(_xlpm.A,FIND("【",_xlpm.A,FIND("】",_xlpm.A)+1)-1)&amp;MID(_xlpm.A,FIND("】",_xlpm.A,FIND("】",_xlpm.A)+1)+1,LEN(_xlpm.A)),_xlpm.A))</f>
        <v/>
      </c>
      <c r="F82" s="18" t="str">
        <f>_xlfn.LET(_xlpm.A,IF(ISNUMBER(SEARCH("晒单",K82)),"【晒单】"&amp;MID(K82,SEARCH("晒单",K82)+LEN("晒单"),LEN(K82))&amp;"（需晒单后联系客服登记）",IF(ISNUMBER(SEARCH("包修",K82)),"【购机】"&amp;MID(K82,SEARCH("购机",K82)+LEN("购机"),LEN(K82)),IF(ISNUMBER(SEARCH("叠放支架",K82)),"【赠品】"&amp;MID(K82,SEARCH("购机",K82)+LEN("购机"),LEN(K82)),IF(ISNUMBER(SEARCH("秀图",K82)),"【秀图】"&amp;MID(K82,SEARCH("秀图",K82)+LEN("秀图"),LEN(K82)),"")))),IFERROR(LEFT(_xlpm.A,FIND("【",_xlpm.A,FIND("】",_xlpm.A)+1)-1)&amp;MID(_xlpm.A,FIND("】",_xlpm.A,FIND("】",_xlpm.A)+1)+1,LEN(_xlpm.A)),_xlpm.A))</f>
        <v/>
      </c>
      <c r="G82" s="18" t="str">
        <f>_xlfn.LET(_xlpm.A,IF(ISNUMBER(SEARCH("晒单",L82)),"【晒单】"&amp;MID(L82,SEARCH("晒单",L82)+LEN("晒单"),LEN(L82))&amp;"（需晒单后联系客服登记）",IF(ISNUMBER(SEARCH("包修",L82)),"【购机】"&amp;MID(L82,SEARCH("购机",L82)+LEN("购机"),LEN(L82)),IF(ISNUMBER(SEARCH("叠放支架",L82)),"【赠品】"&amp;MID(L82,SEARCH("购机",L82)+LEN("购机"),LEN(L82)),IF(ISNUMBER(SEARCH("秀图",L82)),"【秀图】"&amp;MID(L82,SEARCH("秀图",L82)+LEN("秀图"),LEN(L82)),"")))),IFERROR(LEFT(_xlpm.A,FIND("【",_xlpm.A,FIND("】",_xlpm.A)+1)-1)&amp;MID(_xlpm.A,FIND("】",_xlpm.A,FIND("】",_xlpm.A)+1)+1,LEN(_xlpm.A)),_xlpm.A))</f>
        <v/>
      </c>
      <c r="H82" s="18" t="str">
        <f>_xlfn.LET(_xlpm.A,IF(ISNUMBER(SEARCH("晒单",M82)),"【晒单】"&amp;MID(M82,SEARCH("晒单",M82)+LEN("晒单"),LEN(M82))&amp;"（需晒单后联系客服登记）",IF(ISNUMBER(SEARCH("包修",M82)),"【购机】"&amp;MID(M82,SEARCH("购机",M82)+LEN("购机"),LEN(M82)),IF(ISNUMBER(SEARCH("叠放支架",M82)),"【赠品】"&amp;MID(M82,SEARCH("购机",M82)+LEN("购机"),LEN(M82)),IF(ISNUMBER(SEARCH("秀图",M82)),"【秀图】"&amp;MID(M82,SEARCH("秀图",M82)+LEN("秀图"),LEN(M82)),"")))),IFERROR(LEFT(_xlpm.A,FIND("【",_xlpm.A,FIND("】",_xlpm.A)+1)-1)&amp;MID(_xlpm.A,FIND("】",_xlpm.A,FIND("】",_xlpm.A)+1)+1,LEN(_xlpm.A)),_xlpm.A))</f>
        <v/>
      </c>
      <c r="I82" s="18" t="str">
        <f>_xlfn.LET(_xlpm.A,IF(ISNUMBER(SEARCH("晒单",N82)),"【晒单】"&amp;MID(N82,SEARCH("晒单",N82)+LEN("晒单"),LEN(N82))&amp;"（需晒单后联系客服登记）",IF(ISNUMBER(SEARCH("包修",N82)),"【购机】"&amp;MID(N82,SEARCH("购机",N82)+LEN("购机"),LEN(N82)),IF(ISNUMBER(SEARCH("叠放支架",N82)),"【赠品】"&amp;MID(N82,SEARCH("购机",N82)+LEN("购机"),LEN(N82)),IF(ISNUMBER(SEARCH("秀图",N82)),"【秀图】"&amp;MID(N82,SEARCH("秀图",N82)+LEN("秀图"),LEN(N82)),"")))),IFERROR(LEFT(_xlpm.A,FIND("【",_xlpm.A,FIND("】",_xlpm.A)+1)-1)&amp;MID(_xlpm.A,FIND("】",_xlpm.A,FIND("】",_xlpm.A)+1)+1,LEN(_xlpm.A)),_xlpm.A))</f>
        <v/>
      </c>
      <c r="J82" s="18" t="str" cm="1">
        <f t="array" ref="J82">IFERROR(INDEX(_xlfn.TEXTSPLIT(_xlfn.XLOOKUP($A82&amp;$B82&amp;$C82,盘货信息!$A:$A&amp;盘货信息!$B:$B&amp;盘货信息!$C:$C,盘货信息!$S:$S),CHAR(10),,TRUE),1,COLUMN(A81)),"")</f>
        <v/>
      </c>
      <c r="K82" s="18" t="str" cm="1">
        <f t="array" ref="K82">IFERROR(INDEX(_xlfn.TEXTSPLIT(_xlfn.XLOOKUP($A82&amp;$B82&amp;$C82,盘货信息!$A:$A&amp;盘货信息!$B:$B&amp;盘货信息!$C:$C,盘货信息!$S:$S),CHAR(10),,TRUE),1,COLUMN(B81)),"")</f>
        <v/>
      </c>
      <c r="L82" s="18" t="str" cm="1">
        <f t="array" ref="L82">IFERROR(INDEX(_xlfn.TEXTSPLIT(_xlfn.XLOOKUP($A82&amp;$B82&amp;$C82,盘货信息!$A:$A&amp;盘货信息!$B:$B&amp;盘货信息!$C:$C,盘货信息!$S:$S),CHAR(10),,TRUE),1,COLUMN(C81)),"")</f>
        <v/>
      </c>
      <c r="M82" s="18" t="str" cm="1">
        <f t="array" ref="M82">IFERROR(INDEX(_xlfn.TEXTSPLIT(_xlfn.XLOOKUP($A82&amp;$B82&amp;$C82,盘货信息!$A:$A&amp;盘货信息!$B:$B&amp;盘货信息!$C:$C,盘货信息!$S:$S),CHAR(10),,TRUE),1,COLUMN(D81)),"")</f>
        <v/>
      </c>
      <c r="N82" s="18" t="str" cm="1">
        <f t="array" ref="N82">IFERROR(INDEX(_xlfn.TEXTSPLIT(_xlfn.XLOOKUP($A82&amp;$B82&amp;$C82,盘货信息!$A:$A&amp;盘货信息!$B:$B&amp;盘货信息!$C:$C,盘货信息!$S:$S),CHAR(10),,TRUE),1,COLUMN(E81)),"")</f>
        <v/>
      </c>
    </row>
    <row r="83" customHeight="1" spans="1:14">
      <c r="A83" s="17" t="str">
        <f>IF(盘货信息!A83="","",盘货信息!A83)</f>
        <v/>
      </c>
      <c r="B83" s="17" t="str">
        <f>IF(盘货信息!B83="","",盘货信息!B83)</f>
        <v/>
      </c>
      <c r="C83" s="18" t="str">
        <f>IF(盘货信息!C83="","",盘货信息!C83)</f>
        <v/>
      </c>
      <c r="D83" s="18" t="str">
        <f t="shared" si="1"/>
        <v/>
      </c>
      <c r="E83" s="18" t="str">
        <f>_xlfn.LET(_xlpm.A,IF(ISNUMBER(SEARCH("晒单",J83)),"【晒单】"&amp;MID(J83,SEARCH("晒单",J83)+LEN("晒单"),LEN(J83))&amp;"（需晒单后联系客服登记）",IF(ISNUMBER(SEARCH("包修",J83)),"【购机】"&amp;MID(J83,SEARCH("购机",J83)+LEN("购机"),LEN(J83)),IF(ISNUMBER(SEARCH("叠放支架",J83)),"【赠品】"&amp;MID(J83,SEARCH("购机",J83)+LEN("购机"),LEN(J83)),IF(ISNUMBER(SEARCH("秀图",J83)),"【秀图】"&amp;MID(J83,SEARCH("秀图",J83)+LEN("秀图"),LEN(J83)),"")))),IFERROR(LEFT(_xlpm.A,FIND("【",_xlpm.A,FIND("】",_xlpm.A)+1)-1)&amp;MID(_xlpm.A,FIND("】",_xlpm.A,FIND("】",_xlpm.A)+1)+1,LEN(_xlpm.A)),_xlpm.A))</f>
        <v/>
      </c>
      <c r="F83" s="18" t="str">
        <f>_xlfn.LET(_xlpm.A,IF(ISNUMBER(SEARCH("晒单",K83)),"【晒单】"&amp;MID(K83,SEARCH("晒单",K83)+LEN("晒单"),LEN(K83))&amp;"（需晒单后联系客服登记）",IF(ISNUMBER(SEARCH("包修",K83)),"【购机】"&amp;MID(K83,SEARCH("购机",K83)+LEN("购机"),LEN(K83)),IF(ISNUMBER(SEARCH("叠放支架",K83)),"【赠品】"&amp;MID(K83,SEARCH("购机",K83)+LEN("购机"),LEN(K83)),IF(ISNUMBER(SEARCH("秀图",K83)),"【秀图】"&amp;MID(K83,SEARCH("秀图",K83)+LEN("秀图"),LEN(K83)),"")))),IFERROR(LEFT(_xlpm.A,FIND("【",_xlpm.A,FIND("】",_xlpm.A)+1)-1)&amp;MID(_xlpm.A,FIND("】",_xlpm.A,FIND("】",_xlpm.A)+1)+1,LEN(_xlpm.A)),_xlpm.A))</f>
        <v/>
      </c>
      <c r="G83" s="18" t="str">
        <f>_xlfn.LET(_xlpm.A,IF(ISNUMBER(SEARCH("晒单",L83)),"【晒单】"&amp;MID(L83,SEARCH("晒单",L83)+LEN("晒单"),LEN(L83))&amp;"（需晒单后联系客服登记）",IF(ISNUMBER(SEARCH("包修",L83)),"【购机】"&amp;MID(L83,SEARCH("购机",L83)+LEN("购机"),LEN(L83)),IF(ISNUMBER(SEARCH("叠放支架",L83)),"【赠品】"&amp;MID(L83,SEARCH("购机",L83)+LEN("购机"),LEN(L83)),IF(ISNUMBER(SEARCH("秀图",L83)),"【秀图】"&amp;MID(L83,SEARCH("秀图",L83)+LEN("秀图"),LEN(L83)),"")))),IFERROR(LEFT(_xlpm.A,FIND("【",_xlpm.A,FIND("】",_xlpm.A)+1)-1)&amp;MID(_xlpm.A,FIND("】",_xlpm.A,FIND("】",_xlpm.A)+1)+1,LEN(_xlpm.A)),_xlpm.A))</f>
        <v/>
      </c>
      <c r="H83" s="18" t="str">
        <f>_xlfn.LET(_xlpm.A,IF(ISNUMBER(SEARCH("晒单",M83)),"【晒单】"&amp;MID(M83,SEARCH("晒单",M83)+LEN("晒单"),LEN(M83))&amp;"（需晒单后联系客服登记）",IF(ISNUMBER(SEARCH("包修",M83)),"【购机】"&amp;MID(M83,SEARCH("购机",M83)+LEN("购机"),LEN(M83)),IF(ISNUMBER(SEARCH("叠放支架",M83)),"【赠品】"&amp;MID(M83,SEARCH("购机",M83)+LEN("购机"),LEN(M83)),IF(ISNUMBER(SEARCH("秀图",M83)),"【秀图】"&amp;MID(M83,SEARCH("秀图",M83)+LEN("秀图"),LEN(M83)),"")))),IFERROR(LEFT(_xlpm.A,FIND("【",_xlpm.A,FIND("】",_xlpm.A)+1)-1)&amp;MID(_xlpm.A,FIND("】",_xlpm.A,FIND("】",_xlpm.A)+1)+1,LEN(_xlpm.A)),_xlpm.A))</f>
        <v/>
      </c>
      <c r="I83" s="18" t="str">
        <f>_xlfn.LET(_xlpm.A,IF(ISNUMBER(SEARCH("晒单",N83)),"【晒单】"&amp;MID(N83,SEARCH("晒单",N83)+LEN("晒单"),LEN(N83))&amp;"（需晒单后联系客服登记）",IF(ISNUMBER(SEARCH("包修",N83)),"【购机】"&amp;MID(N83,SEARCH("购机",N83)+LEN("购机"),LEN(N83)),IF(ISNUMBER(SEARCH("叠放支架",N83)),"【赠品】"&amp;MID(N83,SEARCH("购机",N83)+LEN("购机"),LEN(N83)),IF(ISNUMBER(SEARCH("秀图",N83)),"【秀图】"&amp;MID(N83,SEARCH("秀图",N83)+LEN("秀图"),LEN(N83)),"")))),IFERROR(LEFT(_xlpm.A,FIND("【",_xlpm.A,FIND("】",_xlpm.A)+1)-1)&amp;MID(_xlpm.A,FIND("】",_xlpm.A,FIND("】",_xlpm.A)+1)+1,LEN(_xlpm.A)),_xlpm.A))</f>
        <v/>
      </c>
      <c r="J83" s="18" t="str" cm="1">
        <f t="array" ref="J83">IFERROR(INDEX(_xlfn.TEXTSPLIT(_xlfn.XLOOKUP($A83&amp;$B83&amp;$C83,盘货信息!$A:$A&amp;盘货信息!$B:$B&amp;盘货信息!$C:$C,盘货信息!$S:$S),CHAR(10),,TRUE),1,COLUMN(A82)),"")</f>
        <v/>
      </c>
      <c r="K83" s="18" t="str" cm="1">
        <f t="array" ref="K83">IFERROR(INDEX(_xlfn.TEXTSPLIT(_xlfn.XLOOKUP($A83&amp;$B83&amp;$C83,盘货信息!$A:$A&amp;盘货信息!$B:$B&amp;盘货信息!$C:$C,盘货信息!$S:$S),CHAR(10),,TRUE),1,COLUMN(B82)),"")</f>
        <v/>
      </c>
      <c r="L83" s="18" t="str" cm="1">
        <f t="array" ref="L83">IFERROR(INDEX(_xlfn.TEXTSPLIT(_xlfn.XLOOKUP($A83&amp;$B83&amp;$C83,盘货信息!$A:$A&amp;盘货信息!$B:$B&amp;盘货信息!$C:$C,盘货信息!$S:$S),CHAR(10),,TRUE),1,COLUMN(C82)),"")</f>
        <v/>
      </c>
      <c r="M83" s="18" t="str" cm="1">
        <f t="array" ref="M83">IFERROR(INDEX(_xlfn.TEXTSPLIT(_xlfn.XLOOKUP($A83&amp;$B83&amp;$C83,盘货信息!$A:$A&amp;盘货信息!$B:$B&amp;盘货信息!$C:$C,盘货信息!$S:$S),CHAR(10),,TRUE),1,COLUMN(D82)),"")</f>
        <v/>
      </c>
      <c r="N83" s="18" t="str" cm="1">
        <f t="array" ref="N83">IFERROR(INDEX(_xlfn.TEXTSPLIT(_xlfn.XLOOKUP($A83&amp;$B83&amp;$C83,盘货信息!$A:$A&amp;盘货信息!$B:$B&amp;盘货信息!$C:$C,盘货信息!$S:$S),CHAR(10),,TRUE),1,COLUMN(E82)),"")</f>
        <v/>
      </c>
    </row>
    <row r="84" customHeight="1" spans="1:14">
      <c r="A84" s="17" t="str">
        <f>IF(盘货信息!A84="","",盘货信息!A84)</f>
        <v/>
      </c>
      <c r="B84" s="17" t="str">
        <f>IF(盘货信息!B84="","",盘货信息!B84)</f>
        <v/>
      </c>
      <c r="C84" s="18" t="str">
        <f>IF(盘货信息!C84="","",盘货信息!C84)</f>
        <v/>
      </c>
      <c r="D84" s="18" t="str">
        <f t="shared" si="1"/>
        <v/>
      </c>
      <c r="E84" s="18" t="str">
        <f>_xlfn.LET(_xlpm.A,IF(ISNUMBER(SEARCH("晒单",J84)),"【晒单】"&amp;MID(J84,SEARCH("晒单",J84)+LEN("晒单"),LEN(J84))&amp;"（需晒单后联系客服登记）",IF(ISNUMBER(SEARCH("包修",J84)),"【购机】"&amp;MID(J84,SEARCH("购机",J84)+LEN("购机"),LEN(J84)),IF(ISNUMBER(SEARCH("叠放支架",J84)),"【赠品】"&amp;MID(J84,SEARCH("购机",J84)+LEN("购机"),LEN(J84)),IF(ISNUMBER(SEARCH("秀图",J84)),"【秀图】"&amp;MID(J84,SEARCH("秀图",J84)+LEN("秀图"),LEN(J84)),"")))),IFERROR(LEFT(_xlpm.A,FIND("【",_xlpm.A,FIND("】",_xlpm.A)+1)-1)&amp;MID(_xlpm.A,FIND("】",_xlpm.A,FIND("】",_xlpm.A)+1)+1,LEN(_xlpm.A)),_xlpm.A))</f>
        <v/>
      </c>
      <c r="F84" s="18" t="str">
        <f>_xlfn.LET(_xlpm.A,IF(ISNUMBER(SEARCH("晒单",K84)),"【晒单】"&amp;MID(K84,SEARCH("晒单",K84)+LEN("晒单"),LEN(K84))&amp;"（需晒单后联系客服登记）",IF(ISNUMBER(SEARCH("包修",K84)),"【购机】"&amp;MID(K84,SEARCH("购机",K84)+LEN("购机"),LEN(K84)),IF(ISNUMBER(SEARCH("叠放支架",K84)),"【赠品】"&amp;MID(K84,SEARCH("购机",K84)+LEN("购机"),LEN(K84)),IF(ISNUMBER(SEARCH("秀图",K84)),"【秀图】"&amp;MID(K84,SEARCH("秀图",K84)+LEN("秀图"),LEN(K84)),"")))),IFERROR(LEFT(_xlpm.A,FIND("【",_xlpm.A,FIND("】",_xlpm.A)+1)-1)&amp;MID(_xlpm.A,FIND("】",_xlpm.A,FIND("】",_xlpm.A)+1)+1,LEN(_xlpm.A)),_xlpm.A))</f>
        <v/>
      </c>
      <c r="G84" s="18" t="str">
        <f>_xlfn.LET(_xlpm.A,IF(ISNUMBER(SEARCH("晒单",L84)),"【晒单】"&amp;MID(L84,SEARCH("晒单",L84)+LEN("晒单"),LEN(L84))&amp;"（需晒单后联系客服登记）",IF(ISNUMBER(SEARCH("包修",L84)),"【购机】"&amp;MID(L84,SEARCH("购机",L84)+LEN("购机"),LEN(L84)),IF(ISNUMBER(SEARCH("叠放支架",L84)),"【赠品】"&amp;MID(L84,SEARCH("购机",L84)+LEN("购机"),LEN(L84)),IF(ISNUMBER(SEARCH("秀图",L84)),"【秀图】"&amp;MID(L84,SEARCH("秀图",L84)+LEN("秀图"),LEN(L84)),"")))),IFERROR(LEFT(_xlpm.A,FIND("【",_xlpm.A,FIND("】",_xlpm.A)+1)-1)&amp;MID(_xlpm.A,FIND("】",_xlpm.A,FIND("】",_xlpm.A)+1)+1,LEN(_xlpm.A)),_xlpm.A))</f>
        <v/>
      </c>
      <c r="H84" s="18" t="str">
        <f>_xlfn.LET(_xlpm.A,IF(ISNUMBER(SEARCH("晒单",M84)),"【晒单】"&amp;MID(M84,SEARCH("晒单",M84)+LEN("晒单"),LEN(M84))&amp;"（需晒单后联系客服登记）",IF(ISNUMBER(SEARCH("包修",M84)),"【购机】"&amp;MID(M84,SEARCH("购机",M84)+LEN("购机"),LEN(M84)),IF(ISNUMBER(SEARCH("叠放支架",M84)),"【赠品】"&amp;MID(M84,SEARCH("购机",M84)+LEN("购机"),LEN(M84)),IF(ISNUMBER(SEARCH("秀图",M84)),"【秀图】"&amp;MID(M84,SEARCH("秀图",M84)+LEN("秀图"),LEN(M84)),"")))),IFERROR(LEFT(_xlpm.A,FIND("【",_xlpm.A,FIND("】",_xlpm.A)+1)-1)&amp;MID(_xlpm.A,FIND("】",_xlpm.A,FIND("】",_xlpm.A)+1)+1,LEN(_xlpm.A)),_xlpm.A))</f>
        <v/>
      </c>
      <c r="I84" s="18" t="str">
        <f>_xlfn.LET(_xlpm.A,IF(ISNUMBER(SEARCH("晒单",N84)),"【晒单】"&amp;MID(N84,SEARCH("晒单",N84)+LEN("晒单"),LEN(N84))&amp;"（需晒单后联系客服登记）",IF(ISNUMBER(SEARCH("包修",N84)),"【购机】"&amp;MID(N84,SEARCH("购机",N84)+LEN("购机"),LEN(N84)),IF(ISNUMBER(SEARCH("叠放支架",N84)),"【赠品】"&amp;MID(N84,SEARCH("购机",N84)+LEN("购机"),LEN(N84)),IF(ISNUMBER(SEARCH("秀图",N84)),"【秀图】"&amp;MID(N84,SEARCH("秀图",N84)+LEN("秀图"),LEN(N84)),"")))),IFERROR(LEFT(_xlpm.A,FIND("【",_xlpm.A,FIND("】",_xlpm.A)+1)-1)&amp;MID(_xlpm.A,FIND("】",_xlpm.A,FIND("】",_xlpm.A)+1)+1,LEN(_xlpm.A)),_xlpm.A))</f>
        <v/>
      </c>
      <c r="J84" s="18" t="str" cm="1">
        <f t="array" ref="J84">IFERROR(INDEX(_xlfn.TEXTSPLIT(_xlfn.XLOOKUP($A84&amp;$B84&amp;$C84,盘货信息!$A:$A&amp;盘货信息!$B:$B&amp;盘货信息!$C:$C,盘货信息!$S:$S),CHAR(10),,TRUE),1,COLUMN(A83)),"")</f>
        <v/>
      </c>
      <c r="K84" s="18" t="str" cm="1">
        <f t="array" ref="K84">IFERROR(INDEX(_xlfn.TEXTSPLIT(_xlfn.XLOOKUP($A84&amp;$B84&amp;$C84,盘货信息!$A:$A&amp;盘货信息!$B:$B&amp;盘货信息!$C:$C,盘货信息!$S:$S),CHAR(10),,TRUE),1,COLUMN(B83)),"")</f>
        <v/>
      </c>
      <c r="L84" s="18" t="str" cm="1">
        <f t="array" ref="L84">IFERROR(INDEX(_xlfn.TEXTSPLIT(_xlfn.XLOOKUP($A84&amp;$B84&amp;$C84,盘货信息!$A:$A&amp;盘货信息!$B:$B&amp;盘货信息!$C:$C,盘货信息!$S:$S),CHAR(10),,TRUE),1,COLUMN(C83)),"")</f>
        <v/>
      </c>
      <c r="M84" s="18" t="str" cm="1">
        <f t="array" ref="M84">IFERROR(INDEX(_xlfn.TEXTSPLIT(_xlfn.XLOOKUP($A84&amp;$B84&amp;$C84,盘货信息!$A:$A&amp;盘货信息!$B:$B&amp;盘货信息!$C:$C,盘货信息!$S:$S),CHAR(10),,TRUE),1,COLUMN(D83)),"")</f>
        <v/>
      </c>
      <c r="N84" s="18" t="str" cm="1">
        <f t="array" ref="N84">IFERROR(INDEX(_xlfn.TEXTSPLIT(_xlfn.XLOOKUP($A84&amp;$B84&amp;$C84,盘货信息!$A:$A&amp;盘货信息!$B:$B&amp;盘货信息!$C:$C,盘货信息!$S:$S),CHAR(10),,TRUE),1,COLUMN(E83)),"")</f>
        <v/>
      </c>
    </row>
    <row r="85" customHeight="1" spans="1:14">
      <c r="A85" s="17" t="str">
        <f>IF(盘货信息!A85="","",盘货信息!A85)</f>
        <v/>
      </c>
      <c r="B85" s="17" t="str">
        <f>IF(盘货信息!B85="","",盘货信息!B85)</f>
        <v/>
      </c>
      <c r="C85" s="18" t="str">
        <f>IF(盘货信息!C85="","",盘货信息!C85)</f>
        <v/>
      </c>
      <c r="D85" s="18" t="str">
        <f t="shared" si="1"/>
        <v/>
      </c>
      <c r="E85" s="18" t="str">
        <f>_xlfn.LET(_xlpm.A,IF(ISNUMBER(SEARCH("晒单",J85)),"【晒单】"&amp;MID(J85,SEARCH("晒单",J85)+LEN("晒单"),LEN(J85))&amp;"（需晒单后联系客服登记）",IF(ISNUMBER(SEARCH("包修",J85)),"【购机】"&amp;MID(J85,SEARCH("购机",J85)+LEN("购机"),LEN(J85)),IF(ISNUMBER(SEARCH("叠放支架",J85)),"【赠品】"&amp;MID(J85,SEARCH("购机",J85)+LEN("购机"),LEN(J85)),IF(ISNUMBER(SEARCH("秀图",J85)),"【秀图】"&amp;MID(J85,SEARCH("秀图",J85)+LEN("秀图"),LEN(J85)),"")))),IFERROR(LEFT(_xlpm.A,FIND("【",_xlpm.A,FIND("】",_xlpm.A)+1)-1)&amp;MID(_xlpm.A,FIND("】",_xlpm.A,FIND("】",_xlpm.A)+1)+1,LEN(_xlpm.A)),_xlpm.A))</f>
        <v/>
      </c>
      <c r="F85" s="18" t="str">
        <f>_xlfn.LET(_xlpm.A,IF(ISNUMBER(SEARCH("晒单",K85)),"【晒单】"&amp;MID(K85,SEARCH("晒单",K85)+LEN("晒单"),LEN(K85))&amp;"（需晒单后联系客服登记）",IF(ISNUMBER(SEARCH("包修",K85)),"【购机】"&amp;MID(K85,SEARCH("购机",K85)+LEN("购机"),LEN(K85)),IF(ISNUMBER(SEARCH("叠放支架",K85)),"【赠品】"&amp;MID(K85,SEARCH("购机",K85)+LEN("购机"),LEN(K85)),IF(ISNUMBER(SEARCH("秀图",K85)),"【秀图】"&amp;MID(K85,SEARCH("秀图",K85)+LEN("秀图"),LEN(K85)),"")))),IFERROR(LEFT(_xlpm.A,FIND("【",_xlpm.A,FIND("】",_xlpm.A)+1)-1)&amp;MID(_xlpm.A,FIND("】",_xlpm.A,FIND("】",_xlpm.A)+1)+1,LEN(_xlpm.A)),_xlpm.A))</f>
        <v/>
      </c>
      <c r="G85" s="18" t="str">
        <f>_xlfn.LET(_xlpm.A,IF(ISNUMBER(SEARCH("晒单",L85)),"【晒单】"&amp;MID(L85,SEARCH("晒单",L85)+LEN("晒单"),LEN(L85))&amp;"（需晒单后联系客服登记）",IF(ISNUMBER(SEARCH("包修",L85)),"【购机】"&amp;MID(L85,SEARCH("购机",L85)+LEN("购机"),LEN(L85)),IF(ISNUMBER(SEARCH("叠放支架",L85)),"【赠品】"&amp;MID(L85,SEARCH("购机",L85)+LEN("购机"),LEN(L85)),IF(ISNUMBER(SEARCH("秀图",L85)),"【秀图】"&amp;MID(L85,SEARCH("秀图",L85)+LEN("秀图"),LEN(L85)),"")))),IFERROR(LEFT(_xlpm.A,FIND("【",_xlpm.A,FIND("】",_xlpm.A)+1)-1)&amp;MID(_xlpm.A,FIND("】",_xlpm.A,FIND("】",_xlpm.A)+1)+1,LEN(_xlpm.A)),_xlpm.A))</f>
        <v/>
      </c>
      <c r="H85" s="18" t="str">
        <f>_xlfn.LET(_xlpm.A,IF(ISNUMBER(SEARCH("晒单",M85)),"【晒单】"&amp;MID(M85,SEARCH("晒单",M85)+LEN("晒单"),LEN(M85))&amp;"（需晒单后联系客服登记）",IF(ISNUMBER(SEARCH("包修",M85)),"【购机】"&amp;MID(M85,SEARCH("购机",M85)+LEN("购机"),LEN(M85)),IF(ISNUMBER(SEARCH("叠放支架",M85)),"【赠品】"&amp;MID(M85,SEARCH("购机",M85)+LEN("购机"),LEN(M85)),IF(ISNUMBER(SEARCH("秀图",M85)),"【秀图】"&amp;MID(M85,SEARCH("秀图",M85)+LEN("秀图"),LEN(M85)),"")))),IFERROR(LEFT(_xlpm.A,FIND("【",_xlpm.A,FIND("】",_xlpm.A)+1)-1)&amp;MID(_xlpm.A,FIND("】",_xlpm.A,FIND("】",_xlpm.A)+1)+1,LEN(_xlpm.A)),_xlpm.A))</f>
        <v/>
      </c>
      <c r="I85" s="18" t="str">
        <f>_xlfn.LET(_xlpm.A,IF(ISNUMBER(SEARCH("晒单",N85)),"【晒单】"&amp;MID(N85,SEARCH("晒单",N85)+LEN("晒单"),LEN(N85))&amp;"（需晒单后联系客服登记）",IF(ISNUMBER(SEARCH("包修",N85)),"【购机】"&amp;MID(N85,SEARCH("购机",N85)+LEN("购机"),LEN(N85)),IF(ISNUMBER(SEARCH("叠放支架",N85)),"【赠品】"&amp;MID(N85,SEARCH("购机",N85)+LEN("购机"),LEN(N85)),IF(ISNUMBER(SEARCH("秀图",N85)),"【秀图】"&amp;MID(N85,SEARCH("秀图",N85)+LEN("秀图"),LEN(N85)),"")))),IFERROR(LEFT(_xlpm.A,FIND("【",_xlpm.A,FIND("】",_xlpm.A)+1)-1)&amp;MID(_xlpm.A,FIND("】",_xlpm.A,FIND("】",_xlpm.A)+1)+1,LEN(_xlpm.A)),_xlpm.A))</f>
        <v/>
      </c>
      <c r="J85" s="18" t="str" cm="1">
        <f t="array" ref="J85">IFERROR(INDEX(_xlfn.TEXTSPLIT(_xlfn.XLOOKUP($A85&amp;$B85&amp;$C85,盘货信息!$A:$A&amp;盘货信息!$B:$B&amp;盘货信息!$C:$C,盘货信息!$S:$S),CHAR(10),,TRUE),1,COLUMN(A84)),"")</f>
        <v/>
      </c>
      <c r="K85" s="18" t="str" cm="1">
        <f t="array" ref="K85">IFERROR(INDEX(_xlfn.TEXTSPLIT(_xlfn.XLOOKUP($A85&amp;$B85&amp;$C85,盘货信息!$A:$A&amp;盘货信息!$B:$B&amp;盘货信息!$C:$C,盘货信息!$S:$S),CHAR(10),,TRUE),1,COLUMN(B84)),"")</f>
        <v/>
      </c>
      <c r="L85" s="18" t="str" cm="1">
        <f t="array" ref="L85">IFERROR(INDEX(_xlfn.TEXTSPLIT(_xlfn.XLOOKUP($A85&amp;$B85&amp;$C85,盘货信息!$A:$A&amp;盘货信息!$B:$B&amp;盘货信息!$C:$C,盘货信息!$S:$S),CHAR(10),,TRUE),1,COLUMN(C84)),"")</f>
        <v/>
      </c>
      <c r="M85" s="18" t="str" cm="1">
        <f t="array" ref="M85">IFERROR(INDEX(_xlfn.TEXTSPLIT(_xlfn.XLOOKUP($A85&amp;$B85&amp;$C85,盘货信息!$A:$A&amp;盘货信息!$B:$B&amp;盘货信息!$C:$C,盘货信息!$S:$S),CHAR(10),,TRUE),1,COLUMN(D84)),"")</f>
        <v/>
      </c>
      <c r="N85" s="18" t="str" cm="1">
        <f t="array" ref="N85">IFERROR(INDEX(_xlfn.TEXTSPLIT(_xlfn.XLOOKUP($A85&amp;$B85&amp;$C85,盘货信息!$A:$A&amp;盘货信息!$B:$B&amp;盘货信息!$C:$C,盘货信息!$S:$S),CHAR(10),,TRUE),1,COLUMN(E84)),"")</f>
        <v/>
      </c>
    </row>
    <row r="86" customHeight="1" spans="1:14">
      <c r="A86" s="17" t="str">
        <f>IF(盘货信息!A86="","",盘货信息!A86)</f>
        <v/>
      </c>
      <c r="B86" s="17" t="str">
        <f>IF(盘货信息!B86="","",盘货信息!B86)</f>
        <v/>
      </c>
      <c r="C86" s="18" t="str">
        <f>IF(盘货信息!C86="","",盘货信息!C86)</f>
        <v/>
      </c>
      <c r="D86" s="18" t="str">
        <f t="shared" si="1"/>
        <v/>
      </c>
      <c r="E86" s="18" t="str">
        <f>_xlfn.LET(_xlpm.A,IF(ISNUMBER(SEARCH("晒单",J86)),"【晒单】"&amp;MID(J86,SEARCH("晒单",J86)+LEN("晒单"),LEN(J86))&amp;"（需晒单后联系客服登记）",IF(ISNUMBER(SEARCH("包修",J86)),"【购机】"&amp;MID(J86,SEARCH("购机",J86)+LEN("购机"),LEN(J86)),IF(ISNUMBER(SEARCH("叠放支架",J86)),"【赠品】"&amp;MID(J86,SEARCH("购机",J86)+LEN("购机"),LEN(J86)),IF(ISNUMBER(SEARCH("秀图",J86)),"【秀图】"&amp;MID(J86,SEARCH("秀图",J86)+LEN("秀图"),LEN(J86)),"")))),IFERROR(LEFT(_xlpm.A,FIND("【",_xlpm.A,FIND("】",_xlpm.A)+1)-1)&amp;MID(_xlpm.A,FIND("】",_xlpm.A,FIND("】",_xlpm.A)+1)+1,LEN(_xlpm.A)),_xlpm.A))</f>
        <v/>
      </c>
      <c r="F86" s="18" t="str">
        <f>_xlfn.LET(_xlpm.A,IF(ISNUMBER(SEARCH("晒单",K86)),"【晒单】"&amp;MID(K86,SEARCH("晒单",K86)+LEN("晒单"),LEN(K86))&amp;"（需晒单后联系客服登记）",IF(ISNUMBER(SEARCH("包修",K86)),"【购机】"&amp;MID(K86,SEARCH("购机",K86)+LEN("购机"),LEN(K86)),IF(ISNUMBER(SEARCH("叠放支架",K86)),"【赠品】"&amp;MID(K86,SEARCH("购机",K86)+LEN("购机"),LEN(K86)),IF(ISNUMBER(SEARCH("秀图",K86)),"【秀图】"&amp;MID(K86,SEARCH("秀图",K86)+LEN("秀图"),LEN(K86)),"")))),IFERROR(LEFT(_xlpm.A,FIND("【",_xlpm.A,FIND("】",_xlpm.A)+1)-1)&amp;MID(_xlpm.A,FIND("】",_xlpm.A,FIND("】",_xlpm.A)+1)+1,LEN(_xlpm.A)),_xlpm.A))</f>
        <v/>
      </c>
      <c r="G86" s="18" t="str">
        <f>_xlfn.LET(_xlpm.A,IF(ISNUMBER(SEARCH("晒单",L86)),"【晒单】"&amp;MID(L86,SEARCH("晒单",L86)+LEN("晒单"),LEN(L86))&amp;"（需晒单后联系客服登记）",IF(ISNUMBER(SEARCH("包修",L86)),"【购机】"&amp;MID(L86,SEARCH("购机",L86)+LEN("购机"),LEN(L86)),IF(ISNUMBER(SEARCH("叠放支架",L86)),"【赠品】"&amp;MID(L86,SEARCH("购机",L86)+LEN("购机"),LEN(L86)),IF(ISNUMBER(SEARCH("秀图",L86)),"【秀图】"&amp;MID(L86,SEARCH("秀图",L86)+LEN("秀图"),LEN(L86)),"")))),IFERROR(LEFT(_xlpm.A,FIND("【",_xlpm.A,FIND("】",_xlpm.A)+1)-1)&amp;MID(_xlpm.A,FIND("】",_xlpm.A,FIND("】",_xlpm.A)+1)+1,LEN(_xlpm.A)),_xlpm.A))</f>
        <v/>
      </c>
      <c r="H86" s="18" t="str">
        <f>_xlfn.LET(_xlpm.A,IF(ISNUMBER(SEARCH("晒单",M86)),"【晒单】"&amp;MID(M86,SEARCH("晒单",M86)+LEN("晒单"),LEN(M86))&amp;"（需晒单后联系客服登记）",IF(ISNUMBER(SEARCH("包修",M86)),"【购机】"&amp;MID(M86,SEARCH("购机",M86)+LEN("购机"),LEN(M86)),IF(ISNUMBER(SEARCH("叠放支架",M86)),"【赠品】"&amp;MID(M86,SEARCH("购机",M86)+LEN("购机"),LEN(M86)),IF(ISNUMBER(SEARCH("秀图",M86)),"【秀图】"&amp;MID(M86,SEARCH("秀图",M86)+LEN("秀图"),LEN(M86)),"")))),IFERROR(LEFT(_xlpm.A,FIND("【",_xlpm.A,FIND("】",_xlpm.A)+1)-1)&amp;MID(_xlpm.A,FIND("】",_xlpm.A,FIND("】",_xlpm.A)+1)+1,LEN(_xlpm.A)),_xlpm.A))</f>
        <v/>
      </c>
      <c r="I86" s="18" t="str">
        <f>_xlfn.LET(_xlpm.A,IF(ISNUMBER(SEARCH("晒单",N86)),"【晒单】"&amp;MID(N86,SEARCH("晒单",N86)+LEN("晒单"),LEN(N86))&amp;"（需晒单后联系客服登记）",IF(ISNUMBER(SEARCH("包修",N86)),"【购机】"&amp;MID(N86,SEARCH("购机",N86)+LEN("购机"),LEN(N86)),IF(ISNUMBER(SEARCH("叠放支架",N86)),"【赠品】"&amp;MID(N86,SEARCH("购机",N86)+LEN("购机"),LEN(N86)),IF(ISNUMBER(SEARCH("秀图",N86)),"【秀图】"&amp;MID(N86,SEARCH("秀图",N86)+LEN("秀图"),LEN(N86)),"")))),IFERROR(LEFT(_xlpm.A,FIND("【",_xlpm.A,FIND("】",_xlpm.A)+1)-1)&amp;MID(_xlpm.A,FIND("】",_xlpm.A,FIND("】",_xlpm.A)+1)+1,LEN(_xlpm.A)),_xlpm.A))</f>
        <v/>
      </c>
      <c r="J86" s="18" t="str" cm="1">
        <f t="array" ref="J86">IFERROR(INDEX(_xlfn.TEXTSPLIT(_xlfn.XLOOKUP($A86&amp;$B86&amp;$C86,盘货信息!$A:$A&amp;盘货信息!$B:$B&amp;盘货信息!$C:$C,盘货信息!$S:$S),CHAR(10),,TRUE),1,COLUMN(A85)),"")</f>
        <v/>
      </c>
      <c r="K86" s="18" t="str" cm="1">
        <f t="array" ref="K86">IFERROR(INDEX(_xlfn.TEXTSPLIT(_xlfn.XLOOKUP($A86&amp;$B86&amp;$C86,盘货信息!$A:$A&amp;盘货信息!$B:$B&amp;盘货信息!$C:$C,盘货信息!$S:$S),CHAR(10),,TRUE),1,COLUMN(B85)),"")</f>
        <v/>
      </c>
      <c r="L86" s="18" t="str" cm="1">
        <f t="array" ref="L86">IFERROR(INDEX(_xlfn.TEXTSPLIT(_xlfn.XLOOKUP($A86&amp;$B86&amp;$C86,盘货信息!$A:$A&amp;盘货信息!$B:$B&amp;盘货信息!$C:$C,盘货信息!$S:$S),CHAR(10),,TRUE),1,COLUMN(C85)),"")</f>
        <v/>
      </c>
      <c r="M86" s="18" t="str" cm="1">
        <f t="array" ref="M86">IFERROR(INDEX(_xlfn.TEXTSPLIT(_xlfn.XLOOKUP($A86&amp;$B86&amp;$C86,盘货信息!$A:$A&amp;盘货信息!$B:$B&amp;盘货信息!$C:$C,盘货信息!$S:$S),CHAR(10),,TRUE),1,COLUMN(D85)),"")</f>
        <v/>
      </c>
      <c r="N86" s="18" t="str" cm="1">
        <f t="array" ref="N86">IFERROR(INDEX(_xlfn.TEXTSPLIT(_xlfn.XLOOKUP($A86&amp;$B86&amp;$C86,盘货信息!$A:$A&amp;盘货信息!$B:$B&amp;盘货信息!$C:$C,盘货信息!$S:$S),CHAR(10),,TRUE),1,COLUMN(E85)),"")</f>
        <v/>
      </c>
    </row>
    <row r="87" customHeight="1" spans="1:14">
      <c r="A87" s="17" t="str">
        <f>IF(盘货信息!A87="","",盘货信息!A87)</f>
        <v/>
      </c>
      <c r="B87" s="17" t="str">
        <f>IF(盘货信息!B87="","",盘货信息!B87)</f>
        <v/>
      </c>
      <c r="C87" s="18" t="str">
        <f>IF(盘货信息!C87="","",盘货信息!C87)</f>
        <v/>
      </c>
      <c r="D87" s="18" t="str">
        <f t="shared" si="1"/>
        <v/>
      </c>
      <c r="E87" s="18" t="str">
        <f>_xlfn.LET(_xlpm.A,IF(ISNUMBER(SEARCH("晒单",J87)),"【晒单】"&amp;MID(J87,SEARCH("晒单",J87)+LEN("晒单"),LEN(J87))&amp;"（需晒单后联系客服登记）",IF(ISNUMBER(SEARCH("包修",J87)),"【购机】"&amp;MID(J87,SEARCH("购机",J87)+LEN("购机"),LEN(J87)),IF(ISNUMBER(SEARCH("叠放支架",J87)),"【赠品】"&amp;MID(J87,SEARCH("购机",J87)+LEN("购机"),LEN(J87)),IF(ISNUMBER(SEARCH("秀图",J87)),"【秀图】"&amp;MID(J87,SEARCH("秀图",J87)+LEN("秀图"),LEN(J87)),"")))),IFERROR(LEFT(_xlpm.A,FIND("【",_xlpm.A,FIND("】",_xlpm.A)+1)-1)&amp;MID(_xlpm.A,FIND("】",_xlpm.A,FIND("】",_xlpm.A)+1)+1,LEN(_xlpm.A)),_xlpm.A))</f>
        <v/>
      </c>
      <c r="F87" s="18" t="str">
        <f>_xlfn.LET(_xlpm.A,IF(ISNUMBER(SEARCH("晒单",K87)),"【晒单】"&amp;MID(K87,SEARCH("晒单",K87)+LEN("晒单"),LEN(K87))&amp;"（需晒单后联系客服登记）",IF(ISNUMBER(SEARCH("包修",K87)),"【购机】"&amp;MID(K87,SEARCH("购机",K87)+LEN("购机"),LEN(K87)),IF(ISNUMBER(SEARCH("叠放支架",K87)),"【赠品】"&amp;MID(K87,SEARCH("购机",K87)+LEN("购机"),LEN(K87)),IF(ISNUMBER(SEARCH("秀图",K87)),"【秀图】"&amp;MID(K87,SEARCH("秀图",K87)+LEN("秀图"),LEN(K87)),"")))),IFERROR(LEFT(_xlpm.A,FIND("【",_xlpm.A,FIND("】",_xlpm.A)+1)-1)&amp;MID(_xlpm.A,FIND("】",_xlpm.A,FIND("】",_xlpm.A)+1)+1,LEN(_xlpm.A)),_xlpm.A))</f>
        <v/>
      </c>
      <c r="G87" s="18" t="str">
        <f>_xlfn.LET(_xlpm.A,IF(ISNUMBER(SEARCH("晒单",L87)),"【晒单】"&amp;MID(L87,SEARCH("晒单",L87)+LEN("晒单"),LEN(L87))&amp;"（需晒单后联系客服登记）",IF(ISNUMBER(SEARCH("包修",L87)),"【购机】"&amp;MID(L87,SEARCH("购机",L87)+LEN("购机"),LEN(L87)),IF(ISNUMBER(SEARCH("叠放支架",L87)),"【赠品】"&amp;MID(L87,SEARCH("购机",L87)+LEN("购机"),LEN(L87)),IF(ISNUMBER(SEARCH("秀图",L87)),"【秀图】"&amp;MID(L87,SEARCH("秀图",L87)+LEN("秀图"),LEN(L87)),"")))),IFERROR(LEFT(_xlpm.A,FIND("【",_xlpm.A,FIND("】",_xlpm.A)+1)-1)&amp;MID(_xlpm.A,FIND("】",_xlpm.A,FIND("】",_xlpm.A)+1)+1,LEN(_xlpm.A)),_xlpm.A))</f>
        <v/>
      </c>
      <c r="H87" s="18" t="str">
        <f>_xlfn.LET(_xlpm.A,IF(ISNUMBER(SEARCH("晒单",M87)),"【晒单】"&amp;MID(M87,SEARCH("晒单",M87)+LEN("晒单"),LEN(M87))&amp;"（需晒单后联系客服登记）",IF(ISNUMBER(SEARCH("包修",M87)),"【购机】"&amp;MID(M87,SEARCH("购机",M87)+LEN("购机"),LEN(M87)),IF(ISNUMBER(SEARCH("叠放支架",M87)),"【赠品】"&amp;MID(M87,SEARCH("购机",M87)+LEN("购机"),LEN(M87)),IF(ISNUMBER(SEARCH("秀图",M87)),"【秀图】"&amp;MID(M87,SEARCH("秀图",M87)+LEN("秀图"),LEN(M87)),"")))),IFERROR(LEFT(_xlpm.A,FIND("【",_xlpm.A,FIND("】",_xlpm.A)+1)-1)&amp;MID(_xlpm.A,FIND("】",_xlpm.A,FIND("】",_xlpm.A)+1)+1,LEN(_xlpm.A)),_xlpm.A))</f>
        <v/>
      </c>
      <c r="I87" s="18" t="str">
        <f>_xlfn.LET(_xlpm.A,IF(ISNUMBER(SEARCH("晒单",N87)),"【晒单】"&amp;MID(N87,SEARCH("晒单",N87)+LEN("晒单"),LEN(N87))&amp;"（需晒单后联系客服登记）",IF(ISNUMBER(SEARCH("包修",N87)),"【购机】"&amp;MID(N87,SEARCH("购机",N87)+LEN("购机"),LEN(N87)),IF(ISNUMBER(SEARCH("叠放支架",N87)),"【赠品】"&amp;MID(N87,SEARCH("购机",N87)+LEN("购机"),LEN(N87)),IF(ISNUMBER(SEARCH("秀图",N87)),"【秀图】"&amp;MID(N87,SEARCH("秀图",N87)+LEN("秀图"),LEN(N87)),"")))),IFERROR(LEFT(_xlpm.A,FIND("【",_xlpm.A,FIND("】",_xlpm.A)+1)-1)&amp;MID(_xlpm.A,FIND("】",_xlpm.A,FIND("】",_xlpm.A)+1)+1,LEN(_xlpm.A)),_xlpm.A))</f>
        <v/>
      </c>
      <c r="J87" s="18" t="str" cm="1">
        <f t="array" ref="J87">IFERROR(INDEX(_xlfn.TEXTSPLIT(_xlfn.XLOOKUP($A87&amp;$B87&amp;$C87,盘货信息!$A:$A&amp;盘货信息!$B:$B&amp;盘货信息!$C:$C,盘货信息!$S:$S),CHAR(10),,TRUE),1,COLUMN(A86)),"")</f>
        <v/>
      </c>
      <c r="K87" s="18" t="str" cm="1">
        <f t="array" ref="K87">IFERROR(INDEX(_xlfn.TEXTSPLIT(_xlfn.XLOOKUP($A87&amp;$B87&amp;$C87,盘货信息!$A:$A&amp;盘货信息!$B:$B&amp;盘货信息!$C:$C,盘货信息!$S:$S),CHAR(10),,TRUE),1,COLUMN(B86)),"")</f>
        <v/>
      </c>
      <c r="L87" s="18" t="str" cm="1">
        <f t="array" ref="L87">IFERROR(INDEX(_xlfn.TEXTSPLIT(_xlfn.XLOOKUP($A87&amp;$B87&amp;$C87,盘货信息!$A:$A&amp;盘货信息!$B:$B&amp;盘货信息!$C:$C,盘货信息!$S:$S),CHAR(10),,TRUE),1,COLUMN(C86)),"")</f>
        <v/>
      </c>
      <c r="M87" s="18" t="str" cm="1">
        <f t="array" ref="M87">IFERROR(INDEX(_xlfn.TEXTSPLIT(_xlfn.XLOOKUP($A87&amp;$B87&amp;$C87,盘货信息!$A:$A&amp;盘货信息!$B:$B&amp;盘货信息!$C:$C,盘货信息!$S:$S),CHAR(10),,TRUE),1,COLUMN(D86)),"")</f>
        <v/>
      </c>
      <c r="N87" s="18" t="str" cm="1">
        <f t="array" ref="N87">IFERROR(INDEX(_xlfn.TEXTSPLIT(_xlfn.XLOOKUP($A87&amp;$B87&amp;$C87,盘货信息!$A:$A&amp;盘货信息!$B:$B&amp;盘货信息!$C:$C,盘货信息!$S:$S),CHAR(10),,TRUE),1,COLUMN(E86)),"")</f>
        <v/>
      </c>
    </row>
    <row r="88" customHeight="1" spans="1:14">
      <c r="A88" s="17" t="str">
        <f>IF(盘货信息!A88="","",盘货信息!A88)</f>
        <v/>
      </c>
      <c r="B88" s="17" t="str">
        <f>IF(盘货信息!B88="","",盘货信息!B88)</f>
        <v/>
      </c>
      <c r="C88" s="18" t="str">
        <f>IF(盘货信息!C88="","",盘货信息!C88)</f>
        <v/>
      </c>
      <c r="D88" s="18" t="str">
        <f t="shared" si="1"/>
        <v/>
      </c>
      <c r="E88" s="18" t="str">
        <f>_xlfn.LET(_xlpm.A,IF(ISNUMBER(SEARCH("晒单",J88)),"【晒单】"&amp;MID(J88,SEARCH("晒单",J88)+LEN("晒单"),LEN(J88))&amp;"（需晒单后联系客服登记）",IF(ISNUMBER(SEARCH("包修",J88)),"【购机】"&amp;MID(J88,SEARCH("购机",J88)+LEN("购机"),LEN(J88)),IF(ISNUMBER(SEARCH("叠放支架",J88)),"【赠品】"&amp;MID(J88,SEARCH("购机",J88)+LEN("购机"),LEN(J88)),IF(ISNUMBER(SEARCH("秀图",J88)),"【秀图】"&amp;MID(J88,SEARCH("秀图",J88)+LEN("秀图"),LEN(J88)),"")))),IFERROR(LEFT(_xlpm.A,FIND("【",_xlpm.A,FIND("】",_xlpm.A)+1)-1)&amp;MID(_xlpm.A,FIND("】",_xlpm.A,FIND("】",_xlpm.A)+1)+1,LEN(_xlpm.A)),_xlpm.A))</f>
        <v/>
      </c>
      <c r="F88" s="18" t="str">
        <f>_xlfn.LET(_xlpm.A,IF(ISNUMBER(SEARCH("晒单",K88)),"【晒单】"&amp;MID(K88,SEARCH("晒单",K88)+LEN("晒单"),LEN(K88))&amp;"（需晒单后联系客服登记）",IF(ISNUMBER(SEARCH("包修",K88)),"【购机】"&amp;MID(K88,SEARCH("购机",K88)+LEN("购机"),LEN(K88)),IF(ISNUMBER(SEARCH("叠放支架",K88)),"【赠品】"&amp;MID(K88,SEARCH("购机",K88)+LEN("购机"),LEN(K88)),IF(ISNUMBER(SEARCH("秀图",K88)),"【秀图】"&amp;MID(K88,SEARCH("秀图",K88)+LEN("秀图"),LEN(K88)),"")))),IFERROR(LEFT(_xlpm.A,FIND("【",_xlpm.A,FIND("】",_xlpm.A)+1)-1)&amp;MID(_xlpm.A,FIND("】",_xlpm.A,FIND("】",_xlpm.A)+1)+1,LEN(_xlpm.A)),_xlpm.A))</f>
        <v/>
      </c>
      <c r="G88" s="18" t="str">
        <f>_xlfn.LET(_xlpm.A,IF(ISNUMBER(SEARCH("晒单",L88)),"【晒单】"&amp;MID(L88,SEARCH("晒单",L88)+LEN("晒单"),LEN(L88))&amp;"（需晒单后联系客服登记）",IF(ISNUMBER(SEARCH("包修",L88)),"【购机】"&amp;MID(L88,SEARCH("购机",L88)+LEN("购机"),LEN(L88)),IF(ISNUMBER(SEARCH("叠放支架",L88)),"【赠品】"&amp;MID(L88,SEARCH("购机",L88)+LEN("购机"),LEN(L88)),IF(ISNUMBER(SEARCH("秀图",L88)),"【秀图】"&amp;MID(L88,SEARCH("秀图",L88)+LEN("秀图"),LEN(L88)),"")))),IFERROR(LEFT(_xlpm.A,FIND("【",_xlpm.A,FIND("】",_xlpm.A)+1)-1)&amp;MID(_xlpm.A,FIND("】",_xlpm.A,FIND("】",_xlpm.A)+1)+1,LEN(_xlpm.A)),_xlpm.A))</f>
        <v/>
      </c>
      <c r="H88" s="18" t="str">
        <f>_xlfn.LET(_xlpm.A,IF(ISNUMBER(SEARCH("晒单",M88)),"【晒单】"&amp;MID(M88,SEARCH("晒单",M88)+LEN("晒单"),LEN(M88))&amp;"（需晒单后联系客服登记）",IF(ISNUMBER(SEARCH("包修",M88)),"【购机】"&amp;MID(M88,SEARCH("购机",M88)+LEN("购机"),LEN(M88)),IF(ISNUMBER(SEARCH("叠放支架",M88)),"【赠品】"&amp;MID(M88,SEARCH("购机",M88)+LEN("购机"),LEN(M88)),IF(ISNUMBER(SEARCH("秀图",M88)),"【秀图】"&amp;MID(M88,SEARCH("秀图",M88)+LEN("秀图"),LEN(M88)),"")))),IFERROR(LEFT(_xlpm.A,FIND("【",_xlpm.A,FIND("】",_xlpm.A)+1)-1)&amp;MID(_xlpm.A,FIND("】",_xlpm.A,FIND("】",_xlpm.A)+1)+1,LEN(_xlpm.A)),_xlpm.A))</f>
        <v/>
      </c>
      <c r="I88" s="18" t="str">
        <f>_xlfn.LET(_xlpm.A,IF(ISNUMBER(SEARCH("晒单",N88)),"【晒单】"&amp;MID(N88,SEARCH("晒单",N88)+LEN("晒单"),LEN(N88))&amp;"（需晒单后联系客服登记）",IF(ISNUMBER(SEARCH("包修",N88)),"【购机】"&amp;MID(N88,SEARCH("购机",N88)+LEN("购机"),LEN(N88)),IF(ISNUMBER(SEARCH("叠放支架",N88)),"【赠品】"&amp;MID(N88,SEARCH("购机",N88)+LEN("购机"),LEN(N88)),IF(ISNUMBER(SEARCH("秀图",N88)),"【秀图】"&amp;MID(N88,SEARCH("秀图",N88)+LEN("秀图"),LEN(N88)),"")))),IFERROR(LEFT(_xlpm.A,FIND("【",_xlpm.A,FIND("】",_xlpm.A)+1)-1)&amp;MID(_xlpm.A,FIND("】",_xlpm.A,FIND("】",_xlpm.A)+1)+1,LEN(_xlpm.A)),_xlpm.A))</f>
        <v/>
      </c>
      <c r="J88" s="18" t="str" cm="1">
        <f t="array" ref="J88">IFERROR(INDEX(_xlfn.TEXTSPLIT(_xlfn.XLOOKUP($A88&amp;$B88&amp;$C88,盘货信息!$A:$A&amp;盘货信息!$B:$B&amp;盘货信息!$C:$C,盘货信息!$S:$S),CHAR(10),,TRUE),1,COLUMN(A87)),"")</f>
        <v/>
      </c>
      <c r="K88" s="18" t="str" cm="1">
        <f t="array" ref="K88">IFERROR(INDEX(_xlfn.TEXTSPLIT(_xlfn.XLOOKUP($A88&amp;$B88&amp;$C88,盘货信息!$A:$A&amp;盘货信息!$B:$B&amp;盘货信息!$C:$C,盘货信息!$S:$S),CHAR(10),,TRUE),1,COLUMN(B87)),"")</f>
        <v/>
      </c>
      <c r="L88" s="18" t="str" cm="1">
        <f t="array" ref="L88">IFERROR(INDEX(_xlfn.TEXTSPLIT(_xlfn.XLOOKUP($A88&amp;$B88&amp;$C88,盘货信息!$A:$A&amp;盘货信息!$B:$B&amp;盘货信息!$C:$C,盘货信息!$S:$S),CHAR(10),,TRUE),1,COLUMN(C87)),"")</f>
        <v/>
      </c>
      <c r="M88" s="18" t="str" cm="1">
        <f t="array" ref="M88">IFERROR(INDEX(_xlfn.TEXTSPLIT(_xlfn.XLOOKUP($A88&amp;$B88&amp;$C88,盘货信息!$A:$A&amp;盘货信息!$B:$B&amp;盘货信息!$C:$C,盘货信息!$S:$S),CHAR(10),,TRUE),1,COLUMN(D87)),"")</f>
        <v/>
      </c>
      <c r="N88" s="18" t="str" cm="1">
        <f t="array" ref="N88">IFERROR(INDEX(_xlfn.TEXTSPLIT(_xlfn.XLOOKUP($A88&amp;$B88&amp;$C88,盘货信息!$A:$A&amp;盘货信息!$B:$B&amp;盘货信息!$C:$C,盘货信息!$S:$S),CHAR(10),,TRUE),1,COLUMN(E87)),"")</f>
        <v/>
      </c>
    </row>
    <row r="89" customHeight="1" spans="1:14">
      <c r="A89" s="17" t="str">
        <f>IF(盘货信息!A89="","",盘货信息!A89)</f>
        <v/>
      </c>
      <c r="B89" s="17" t="str">
        <f>IF(盘货信息!B89="","",盘货信息!B89)</f>
        <v/>
      </c>
      <c r="C89" s="18" t="str">
        <f>IF(盘货信息!C89="","",盘货信息!C89)</f>
        <v/>
      </c>
      <c r="D89" s="18" t="str">
        <f t="shared" si="1"/>
        <v/>
      </c>
      <c r="E89" s="18" t="str">
        <f>_xlfn.LET(_xlpm.A,IF(ISNUMBER(SEARCH("晒单",J89)),"【晒单】"&amp;MID(J89,SEARCH("晒单",J89)+LEN("晒单"),LEN(J89))&amp;"（需晒单后联系客服登记）",IF(ISNUMBER(SEARCH("包修",J89)),"【购机】"&amp;MID(J89,SEARCH("购机",J89)+LEN("购机"),LEN(J89)),IF(ISNUMBER(SEARCH("叠放支架",J89)),"【赠品】"&amp;MID(J89,SEARCH("购机",J89)+LEN("购机"),LEN(J89)),IF(ISNUMBER(SEARCH("秀图",J89)),"【秀图】"&amp;MID(J89,SEARCH("秀图",J89)+LEN("秀图"),LEN(J89)),"")))),IFERROR(LEFT(_xlpm.A,FIND("【",_xlpm.A,FIND("】",_xlpm.A)+1)-1)&amp;MID(_xlpm.A,FIND("】",_xlpm.A,FIND("】",_xlpm.A)+1)+1,LEN(_xlpm.A)),_xlpm.A))</f>
        <v/>
      </c>
      <c r="F89" s="18" t="str">
        <f>_xlfn.LET(_xlpm.A,IF(ISNUMBER(SEARCH("晒单",K89)),"【晒单】"&amp;MID(K89,SEARCH("晒单",K89)+LEN("晒单"),LEN(K89))&amp;"（需晒单后联系客服登记）",IF(ISNUMBER(SEARCH("包修",K89)),"【购机】"&amp;MID(K89,SEARCH("购机",K89)+LEN("购机"),LEN(K89)),IF(ISNUMBER(SEARCH("叠放支架",K89)),"【赠品】"&amp;MID(K89,SEARCH("购机",K89)+LEN("购机"),LEN(K89)),IF(ISNUMBER(SEARCH("秀图",K89)),"【秀图】"&amp;MID(K89,SEARCH("秀图",K89)+LEN("秀图"),LEN(K89)),"")))),IFERROR(LEFT(_xlpm.A,FIND("【",_xlpm.A,FIND("】",_xlpm.A)+1)-1)&amp;MID(_xlpm.A,FIND("】",_xlpm.A,FIND("】",_xlpm.A)+1)+1,LEN(_xlpm.A)),_xlpm.A))</f>
        <v/>
      </c>
      <c r="G89" s="18" t="str">
        <f>_xlfn.LET(_xlpm.A,IF(ISNUMBER(SEARCH("晒单",L89)),"【晒单】"&amp;MID(L89,SEARCH("晒单",L89)+LEN("晒单"),LEN(L89))&amp;"（需晒单后联系客服登记）",IF(ISNUMBER(SEARCH("包修",L89)),"【购机】"&amp;MID(L89,SEARCH("购机",L89)+LEN("购机"),LEN(L89)),IF(ISNUMBER(SEARCH("叠放支架",L89)),"【赠品】"&amp;MID(L89,SEARCH("购机",L89)+LEN("购机"),LEN(L89)),IF(ISNUMBER(SEARCH("秀图",L89)),"【秀图】"&amp;MID(L89,SEARCH("秀图",L89)+LEN("秀图"),LEN(L89)),"")))),IFERROR(LEFT(_xlpm.A,FIND("【",_xlpm.A,FIND("】",_xlpm.A)+1)-1)&amp;MID(_xlpm.A,FIND("】",_xlpm.A,FIND("】",_xlpm.A)+1)+1,LEN(_xlpm.A)),_xlpm.A))</f>
        <v/>
      </c>
      <c r="H89" s="18" t="str">
        <f>_xlfn.LET(_xlpm.A,IF(ISNUMBER(SEARCH("晒单",M89)),"【晒单】"&amp;MID(M89,SEARCH("晒单",M89)+LEN("晒单"),LEN(M89))&amp;"（需晒单后联系客服登记）",IF(ISNUMBER(SEARCH("包修",M89)),"【购机】"&amp;MID(M89,SEARCH("购机",M89)+LEN("购机"),LEN(M89)),IF(ISNUMBER(SEARCH("叠放支架",M89)),"【赠品】"&amp;MID(M89,SEARCH("购机",M89)+LEN("购机"),LEN(M89)),IF(ISNUMBER(SEARCH("秀图",M89)),"【秀图】"&amp;MID(M89,SEARCH("秀图",M89)+LEN("秀图"),LEN(M89)),"")))),IFERROR(LEFT(_xlpm.A,FIND("【",_xlpm.A,FIND("】",_xlpm.A)+1)-1)&amp;MID(_xlpm.A,FIND("】",_xlpm.A,FIND("】",_xlpm.A)+1)+1,LEN(_xlpm.A)),_xlpm.A))</f>
        <v/>
      </c>
      <c r="I89" s="18" t="str">
        <f>_xlfn.LET(_xlpm.A,IF(ISNUMBER(SEARCH("晒单",N89)),"【晒单】"&amp;MID(N89,SEARCH("晒单",N89)+LEN("晒单"),LEN(N89))&amp;"（需晒单后联系客服登记）",IF(ISNUMBER(SEARCH("包修",N89)),"【购机】"&amp;MID(N89,SEARCH("购机",N89)+LEN("购机"),LEN(N89)),IF(ISNUMBER(SEARCH("叠放支架",N89)),"【赠品】"&amp;MID(N89,SEARCH("购机",N89)+LEN("购机"),LEN(N89)),IF(ISNUMBER(SEARCH("秀图",N89)),"【秀图】"&amp;MID(N89,SEARCH("秀图",N89)+LEN("秀图"),LEN(N89)),"")))),IFERROR(LEFT(_xlpm.A,FIND("【",_xlpm.A,FIND("】",_xlpm.A)+1)-1)&amp;MID(_xlpm.A,FIND("】",_xlpm.A,FIND("】",_xlpm.A)+1)+1,LEN(_xlpm.A)),_xlpm.A))</f>
        <v/>
      </c>
      <c r="J89" s="18" t="str" cm="1">
        <f t="array" ref="J89">IFERROR(INDEX(_xlfn.TEXTSPLIT(_xlfn.XLOOKUP($A89&amp;$B89&amp;$C89,盘货信息!$A:$A&amp;盘货信息!$B:$B&amp;盘货信息!$C:$C,盘货信息!$S:$S),CHAR(10),,TRUE),1,COLUMN(A88)),"")</f>
        <v/>
      </c>
      <c r="K89" s="18" t="str" cm="1">
        <f t="array" ref="K89">IFERROR(INDEX(_xlfn.TEXTSPLIT(_xlfn.XLOOKUP($A89&amp;$B89&amp;$C89,盘货信息!$A:$A&amp;盘货信息!$B:$B&amp;盘货信息!$C:$C,盘货信息!$S:$S),CHAR(10),,TRUE),1,COLUMN(B88)),"")</f>
        <v/>
      </c>
      <c r="L89" s="18" t="str" cm="1">
        <f t="array" ref="L89">IFERROR(INDEX(_xlfn.TEXTSPLIT(_xlfn.XLOOKUP($A89&amp;$B89&amp;$C89,盘货信息!$A:$A&amp;盘货信息!$B:$B&amp;盘货信息!$C:$C,盘货信息!$S:$S),CHAR(10),,TRUE),1,COLUMN(C88)),"")</f>
        <v/>
      </c>
      <c r="M89" s="18" t="str" cm="1">
        <f t="array" ref="M89">IFERROR(INDEX(_xlfn.TEXTSPLIT(_xlfn.XLOOKUP($A89&amp;$B89&amp;$C89,盘货信息!$A:$A&amp;盘货信息!$B:$B&amp;盘货信息!$C:$C,盘货信息!$S:$S),CHAR(10),,TRUE),1,COLUMN(D88)),"")</f>
        <v/>
      </c>
      <c r="N89" s="18" t="str" cm="1">
        <f t="array" ref="N89">IFERROR(INDEX(_xlfn.TEXTSPLIT(_xlfn.XLOOKUP($A89&amp;$B89&amp;$C89,盘货信息!$A:$A&amp;盘货信息!$B:$B&amp;盘货信息!$C:$C,盘货信息!$S:$S),CHAR(10),,TRUE),1,COLUMN(E88)),"")</f>
        <v/>
      </c>
    </row>
    <row r="90" customHeight="1" spans="1:14">
      <c r="A90" s="17" t="str">
        <f>IF(盘货信息!A90="","",盘货信息!A90)</f>
        <v/>
      </c>
      <c r="B90" s="17" t="str">
        <f>IF(盘货信息!B90="","",盘货信息!B90)</f>
        <v/>
      </c>
      <c r="C90" s="18" t="str">
        <f>IF(盘货信息!C90="","",盘货信息!C90)</f>
        <v/>
      </c>
      <c r="D90" s="18" t="str">
        <f t="shared" si="1"/>
        <v/>
      </c>
      <c r="E90" s="18" t="str">
        <f>_xlfn.LET(_xlpm.A,IF(ISNUMBER(SEARCH("晒单",J90)),"【晒单】"&amp;MID(J90,SEARCH("晒单",J90)+LEN("晒单"),LEN(J90))&amp;"（需晒单后联系客服登记）",IF(ISNUMBER(SEARCH("包修",J90)),"【购机】"&amp;MID(J90,SEARCH("购机",J90)+LEN("购机"),LEN(J90)),IF(ISNUMBER(SEARCH("叠放支架",J90)),"【赠品】"&amp;MID(J90,SEARCH("购机",J90)+LEN("购机"),LEN(J90)),IF(ISNUMBER(SEARCH("秀图",J90)),"【秀图】"&amp;MID(J90,SEARCH("秀图",J90)+LEN("秀图"),LEN(J90)),"")))),IFERROR(LEFT(_xlpm.A,FIND("【",_xlpm.A,FIND("】",_xlpm.A)+1)-1)&amp;MID(_xlpm.A,FIND("】",_xlpm.A,FIND("】",_xlpm.A)+1)+1,LEN(_xlpm.A)),_xlpm.A))</f>
        <v/>
      </c>
      <c r="F90" s="18" t="str">
        <f>_xlfn.LET(_xlpm.A,IF(ISNUMBER(SEARCH("晒单",K90)),"【晒单】"&amp;MID(K90,SEARCH("晒单",K90)+LEN("晒单"),LEN(K90))&amp;"（需晒单后联系客服登记）",IF(ISNUMBER(SEARCH("包修",K90)),"【购机】"&amp;MID(K90,SEARCH("购机",K90)+LEN("购机"),LEN(K90)),IF(ISNUMBER(SEARCH("叠放支架",K90)),"【赠品】"&amp;MID(K90,SEARCH("购机",K90)+LEN("购机"),LEN(K90)),IF(ISNUMBER(SEARCH("秀图",K90)),"【秀图】"&amp;MID(K90,SEARCH("秀图",K90)+LEN("秀图"),LEN(K90)),"")))),IFERROR(LEFT(_xlpm.A,FIND("【",_xlpm.A,FIND("】",_xlpm.A)+1)-1)&amp;MID(_xlpm.A,FIND("】",_xlpm.A,FIND("】",_xlpm.A)+1)+1,LEN(_xlpm.A)),_xlpm.A))</f>
        <v/>
      </c>
      <c r="G90" s="18" t="str">
        <f>_xlfn.LET(_xlpm.A,IF(ISNUMBER(SEARCH("晒单",L90)),"【晒单】"&amp;MID(L90,SEARCH("晒单",L90)+LEN("晒单"),LEN(L90))&amp;"（需晒单后联系客服登记）",IF(ISNUMBER(SEARCH("包修",L90)),"【购机】"&amp;MID(L90,SEARCH("购机",L90)+LEN("购机"),LEN(L90)),IF(ISNUMBER(SEARCH("叠放支架",L90)),"【赠品】"&amp;MID(L90,SEARCH("购机",L90)+LEN("购机"),LEN(L90)),IF(ISNUMBER(SEARCH("秀图",L90)),"【秀图】"&amp;MID(L90,SEARCH("秀图",L90)+LEN("秀图"),LEN(L90)),"")))),IFERROR(LEFT(_xlpm.A,FIND("【",_xlpm.A,FIND("】",_xlpm.A)+1)-1)&amp;MID(_xlpm.A,FIND("】",_xlpm.A,FIND("】",_xlpm.A)+1)+1,LEN(_xlpm.A)),_xlpm.A))</f>
        <v/>
      </c>
      <c r="H90" s="18" t="str">
        <f>_xlfn.LET(_xlpm.A,IF(ISNUMBER(SEARCH("晒单",M90)),"【晒单】"&amp;MID(M90,SEARCH("晒单",M90)+LEN("晒单"),LEN(M90))&amp;"（需晒单后联系客服登记）",IF(ISNUMBER(SEARCH("包修",M90)),"【购机】"&amp;MID(M90,SEARCH("购机",M90)+LEN("购机"),LEN(M90)),IF(ISNUMBER(SEARCH("叠放支架",M90)),"【赠品】"&amp;MID(M90,SEARCH("购机",M90)+LEN("购机"),LEN(M90)),IF(ISNUMBER(SEARCH("秀图",M90)),"【秀图】"&amp;MID(M90,SEARCH("秀图",M90)+LEN("秀图"),LEN(M90)),"")))),IFERROR(LEFT(_xlpm.A,FIND("【",_xlpm.A,FIND("】",_xlpm.A)+1)-1)&amp;MID(_xlpm.A,FIND("】",_xlpm.A,FIND("】",_xlpm.A)+1)+1,LEN(_xlpm.A)),_xlpm.A))</f>
        <v/>
      </c>
      <c r="I90" s="18" t="str">
        <f>_xlfn.LET(_xlpm.A,IF(ISNUMBER(SEARCH("晒单",N90)),"【晒单】"&amp;MID(N90,SEARCH("晒单",N90)+LEN("晒单"),LEN(N90))&amp;"（需晒单后联系客服登记）",IF(ISNUMBER(SEARCH("包修",N90)),"【购机】"&amp;MID(N90,SEARCH("购机",N90)+LEN("购机"),LEN(N90)),IF(ISNUMBER(SEARCH("叠放支架",N90)),"【赠品】"&amp;MID(N90,SEARCH("购机",N90)+LEN("购机"),LEN(N90)),IF(ISNUMBER(SEARCH("秀图",N90)),"【秀图】"&amp;MID(N90,SEARCH("秀图",N90)+LEN("秀图"),LEN(N90)),"")))),IFERROR(LEFT(_xlpm.A,FIND("【",_xlpm.A,FIND("】",_xlpm.A)+1)-1)&amp;MID(_xlpm.A,FIND("】",_xlpm.A,FIND("】",_xlpm.A)+1)+1,LEN(_xlpm.A)),_xlpm.A))</f>
        <v/>
      </c>
      <c r="J90" s="18" t="str" cm="1">
        <f t="array" ref="J90">IFERROR(INDEX(_xlfn.TEXTSPLIT(_xlfn.XLOOKUP($A90&amp;$B90&amp;$C90,盘货信息!$A:$A&amp;盘货信息!$B:$B&amp;盘货信息!$C:$C,盘货信息!$S:$S),CHAR(10),,TRUE),1,COLUMN(A89)),"")</f>
        <v/>
      </c>
      <c r="K90" s="18" t="str" cm="1">
        <f t="array" ref="K90">IFERROR(INDEX(_xlfn.TEXTSPLIT(_xlfn.XLOOKUP($A90&amp;$B90&amp;$C90,盘货信息!$A:$A&amp;盘货信息!$B:$B&amp;盘货信息!$C:$C,盘货信息!$S:$S),CHAR(10),,TRUE),1,COLUMN(B89)),"")</f>
        <v/>
      </c>
      <c r="L90" s="18" t="str" cm="1">
        <f t="array" ref="L90">IFERROR(INDEX(_xlfn.TEXTSPLIT(_xlfn.XLOOKUP($A90&amp;$B90&amp;$C90,盘货信息!$A:$A&amp;盘货信息!$B:$B&amp;盘货信息!$C:$C,盘货信息!$S:$S),CHAR(10),,TRUE),1,COLUMN(C89)),"")</f>
        <v/>
      </c>
      <c r="M90" s="18" t="str" cm="1">
        <f t="array" ref="M90">IFERROR(INDEX(_xlfn.TEXTSPLIT(_xlfn.XLOOKUP($A90&amp;$B90&amp;$C90,盘货信息!$A:$A&amp;盘货信息!$B:$B&amp;盘货信息!$C:$C,盘货信息!$S:$S),CHAR(10),,TRUE),1,COLUMN(D89)),"")</f>
        <v/>
      </c>
      <c r="N90" s="18" t="str" cm="1">
        <f t="array" ref="N90">IFERROR(INDEX(_xlfn.TEXTSPLIT(_xlfn.XLOOKUP($A90&amp;$B90&amp;$C90,盘货信息!$A:$A&amp;盘货信息!$B:$B&amp;盘货信息!$C:$C,盘货信息!$S:$S),CHAR(10),,TRUE),1,COLUMN(E89)),"")</f>
        <v/>
      </c>
    </row>
    <row r="91" customHeight="1" spans="1:14">
      <c r="A91" s="17" t="str">
        <f>IF(盘货信息!A91="","",盘货信息!A91)</f>
        <v/>
      </c>
      <c r="B91" s="17" t="str">
        <f>IF(盘货信息!B91="","",盘货信息!B91)</f>
        <v/>
      </c>
      <c r="C91" s="18" t="str">
        <f>IF(盘货信息!C91="","",盘货信息!C91)</f>
        <v/>
      </c>
      <c r="D91" s="18" t="str">
        <f t="shared" si="1"/>
        <v/>
      </c>
      <c r="E91" s="18" t="str">
        <f>_xlfn.LET(_xlpm.A,IF(ISNUMBER(SEARCH("晒单",J91)),"【晒单】"&amp;MID(J91,SEARCH("晒单",J91)+LEN("晒单"),LEN(J91))&amp;"（需晒单后联系客服登记）",IF(ISNUMBER(SEARCH("包修",J91)),"【购机】"&amp;MID(J91,SEARCH("购机",J91)+LEN("购机"),LEN(J91)),IF(ISNUMBER(SEARCH("叠放支架",J91)),"【赠品】"&amp;MID(J91,SEARCH("购机",J91)+LEN("购机"),LEN(J91)),IF(ISNUMBER(SEARCH("秀图",J91)),"【秀图】"&amp;MID(J91,SEARCH("秀图",J91)+LEN("秀图"),LEN(J91)),"")))),IFERROR(LEFT(_xlpm.A,FIND("【",_xlpm.A,FIND("】",_xlpm.A)+1)-1)&amp;MID(_xlpm.A,FIND("】",_xlpm.A,FIND("】",_xlpm.A)+1)+1,LEN(_xlpm.A)),_xlpm.A))</f>
        <v/>
      </c>
      <c r="F91" s="18" t="str">
        <f>_xlfn.LET(_xlpm.A,IF(ISNUMBER(SEARCH("晒单",K91)),"【晒单】"&amp;MID(K91,SEARCH("晒单",K91)+LEN("晒单"),LEN(K91))&amp;"（需晒单后联系客服登记）",IF(ISNUMBER(SEARCH("包修",K91)),"【购机】"&amp;MID(K91,SEARCH("购机",K91)+LEN("购机"),LEN(K91)),IF(ISNUMBER(SEARCH("叠放支架",K91)),"【赠品】"&amp;MID(K91,SEARCH("购机",K91)+LEN("购机"),LEN(K91)),IF(ISNUMBER(SEARCH("秀图",K91)),"【秀图】"&amp;MID(K91,SEARCH("秀图",K91)+LEN("秀图"),LEN(K91)),"")))),IFERROR(LEFT(_xlpm.A,FIND("【",_xlpm.A,FIND("】",_xlpm.A)+1)-1)&amp;MID(_xlpm.A,FIND("】",_xlpm.A,FIND("】",_xlpm.A)+1)+1,LEN(_xlpm.A)),_xlpm.A))</f>
        <v/>
      </c>
      <c r="G91" s="18" t="str">
        <f>_xlfn.LET(_xlpm.A,IF(ISNUMBER(SEARCH("晒单",L91)),"【晒单】"&amp;MID(L91,SEARCH("晒单",L91)+LEN("晒单"),LEN(L91))&amp;"（需晒单后联系客服登记）",IF(ISNUMBER(SEARCH("包修",L91)),"【购机】"&amp;MID(L91,SEARCH("购机",L91)+LEN("购机"),LEN(L91)),IF(ISNUMBER(SEARCH("叠放支架",L91)),"【赠品】"&amp;MID(L91,SEARCH("购机",L91)+LEN("购机"),LEN(L91)),IF(ISNUMBER(SEARCH("秀图",L91)),"【秀图】"&amp;MID(L91,SEARCH("秀图",L91)+LEN("秀图"),LEN(L91)),"")))),IFERROR(LEFT(_xlpm.A,FIND("【",_xlpm.A,FIND("】",_xlpm.A)+1)-1)&amp;MID(_xlpm.A,FIND("】",_xlpm.A,FIND("】",_xlpm.A)+1)+1,LEN(_xlpm.A)),_xlpm.A))</f>
        <v/>
      </c>
      <c r="H91" s="18" t="str">
        <f>_xlfn.LET(_xlpm.A,IF(ISNUMBER(SEARCH("晒单",M91)),"【晒单】"&amp;MID(M91,SEARCH("晒单",M91)+LEN("晒单"),LEN(M91))&amp;"（需晒单后联系客服登记）",IF(ISNUMBER(SEARCH("包修",M91)),"【购机】"&amp;MID(M91,SEARCH("购机",M91)+LEN("购机"),LEN(M91)),IF(ISNUMBER(SEARCH("叠放支架",M91)),"【赠品】"&amp;MID(M91,SEARCH("购机",M91)+LEN("购机"),LEN(M91)),IF(ISNUMBER(SEARCH("秀图",M91)),"【秀图】"&amp;MID(M91,SEARCH("秀图",M91)+LEN("秀图"),LEN(M91)),"")))),IFERROR(LEFT(_xlpm.A,FIND("【",_xlpm.A,FIND("】",_xlpm.A)+1)-1)&amp;MID(_xlpm.A,FIND("】",_xlpm.A,FIND("】",_xlpm.A)+1)+1,LEN(_xlpm.A)),_xlpm.A))</f>
        <v/>
      </c>
      <c r="I91" s="18" t="str">
        <f>_xlfn.LET(_xlpm.A,IF(ISNUMBER(SEARCH("晒单",N91)),"【晒单】"&amp;MID(N91,SEARCH("晒单",N91)+LEN("晒单"),LEN(N91))&amp;"（需晒单后联系客服登记）",IF(ISNUMBER(SEARCH("包修",N91)),"【购机】"&amp;MID(N91,SEARCH("购机",N91)+LEN("购机"),LEN(N91)),IF(ISNUMBER(SEARCH("叠放支架",N91)),"【赠品】"&amp;MID(N91,SEARCH("购机",N91)+LEN("购机"),LEN(N91)),IF(ISNUMBER(SEARCH("秀图",N91)),"【秀图】"&amp;MID(N91,SEARCH("秀图",N91)+LEN("秀图"),LEN(N91)),"")))),IFERROR(LEFT(_xlpm.A,FIND("【",_xlpm.A,FIND("】",_xlpm.A)+1)-1)&amp;MID(_xlpm.A,FIND("】",_xlpm.A,FIND("】",_xlpm.A)+1)+1,LEN(_xlpm.A)),_xlpm.A))</f>
        <v/>
      </c>
      <c r="J91" s="18" t="str" cm="1">
        <f t="array" ref="J91">IFERROR(INDEX(_xlfn.TEXTSPLIT(_xlfn.XLOOKUP($A91&amp;$B91&amp;$C91,盘货信息!$A:$A&amp;盘货信息!$B:$B&amp;盘货信息!$C:$C,盘货信息!$S:$S),CHAR(10),,TRUE),1,COLUMN(A90)),"")</f>
        <v/>
      </c>
      <c r="K91" s="18" t="str" cm="1">
        <f t="array" ref="K91">IFERROR(INDEX(_xlfn.TEXTSPLIT(_xlfn.XLOOKUP($A91&amp;$B91&amp;$C91,盘货信息!$A:$A&amp;盘货信息!$B:$B&amp;盘货信息!$C:$C,盘货信息!$S:$S),CHAR(10),,TRUE),1,COLUMN(B90)),"")</f>
        <v/>
      </c>
      <c r="L91" s="18" t="str" cm="1">
        <f t="array" ref="L91">IFERROR(INDEX(_xlfn.TEXTSPLIT(_xlfn.XLOOKUP($A91&amp;$B91&amp;$C91,盘货信息!$A:$A&amp;盘货信息!$B:$B&amp;盘货信息!$C:$C,盘货信息!$S:$S),CHAR(10),,TRUE),1,COLUMN(C90)),"")</f>
        <v/>
      </c>
      <c r="M91" s="18" t="str" cm="1">
        <f t="array" ref="M91">IFERROR(INDEX(_xlfn.TEXTSPLIT(_xlfn.XLOOKUP($A91&amp;$B91&amp;$C91,盘货信息!$A:$A&amp;盘货信息!$B:$B&amp;盘货信息!$C:$C,盘货信息!$S:$S),CHAR(10),,TRUE),1,COLUMN(D90)),"")</f>
        <v/>
      </c>
      <c r="N91" s="18" t="str" cm="1">
        <f t="array" ref="N91">IFERROR(INDEX(_xlfn.TEXTSPLIT(_xlfn.XLOOKUP($A91&amp;$B91&amp;$C91,盘货信息!$A:$A&amp;盘货信息!$B:$B&amp;盘货信息!$C:$C,盘货信息!$S:$S),CHAR(10),,TRUE),1,COLUMN(E90)),"")</f>
        <v/>
      </c>
    </row>
    <row r="92" customHeight="1" spans="1:14">
      <c r="A92" s="17" t="str">
        <f>IF(盘货信息!A92="","",盘货信息!A92)</f>
        <v/>
      </c>
      <c r="B92" s="17" t="str">
        <f>IF(盘货信息!B92="","",盘货信息!B92)</f>
        <v/>
      </c>
      <c r="C92" s="18" t="str">
        <f>IF(盘货信息!C92="","",盘货信息!C92)</f>
        <v/>
      </c>
      <c r="D92" s="18" t="str">
        <f t="shared" si="1"/>
        <v/>
      </c>
      <c r="E92" s="18" t="str">
        <f>_xlfn.LET(_xlpm.A,IF(ISNUMBER(SEARCH("晒单",J92)),"【晒单】"&amp;MID(J92,SEARCH("晒单",J92)+LEN("晒单"),LEN(J92))&amp;"（需晒单后联系客服登记）",IF(ISNUMBER(SEARCH("包修",J92)),"【购机】"&amp;MID(J92,SEARCH("购机",J92)+LEN("购机"),LEN(J92)),IF(ISNUMBER(SEARCH("叠放支架",J92)),"【赠品】"&amp;MID(J92,SEARCH("购机",J92)+LEN("购机"),LEN(J92)),IF(ISNUMBER(SEARCH("秀图",J92)),"【秀图】"&amp;MID(J92,SEARCH("秀图",J92)+LEN("秀图"),LEN(J92)),"")))),IFERROR(LEFT(_xlpm.A,FIND("【",_xlpm.A,FIND("】",_xlpm.A)+1)-1)&amp;MID(_xlpm.A,FIND("】",_xlpm.A,FIND("】",_xlpm.A)+1)+1,LEN(_xlpm.A)),_xlpm.A))</f>
        <v/>
      </c>
      <c r="F92" s="18" t="str">
        <f>_xlfn.LET(_xlpm.A,IF(ISNUMBER(SEARCH("晒单",K92)),"【晒单】"&amp;MID(K92,SEARCH("晒单",K92)+LEN("晒单"),LEN(K92))&amp;"（需晒单后联系客服登记）",IF(ISNUMBER(SEARCH("包修",K92)),"【购机】"&amp;MID(K92,SEARCH("购机",K92)+LEN("购机"),LEN(K92)),IF(ISNUMBER(SEARCH("叠放支架",K92)),"【赠品】"&amp;MID(K92,SEARCH("购机",K92)+LEN("购机"),LEN(K92)),IF(ISNUMBER(SEARCH("秀图",K92)),"【秀图】"&amp;MID(K92,SEARCH("秀图",K92)+LEN("秀图"),LEN(K92)),"")))),IFERROR(LEFT(_xlpm.A,FIND("【",_xlpm.A,FIND("】",_xlpm.A)+1)-1)&amp;MID(_xlpm.A,FIND("】",_xlpm.A,FIND("】",_xlpm.A)+1)+1,LEN(_xlpm.A)),_xlpm.A))</f>
        <v/>
      </c>
      <c r="G92" s="18" t="str">
        <f>_xlfn.LET(_xlpm.A,IF(ISNUMBER(SEARCH("晒单",L92)),"【晒单】"&amp;MID(L92,SEARCH("晒单",L92)+LEN("晒单"),LEN(L92))&amp;"（需晒单后联系客服登记）",IF(ISNUMBER(SEARCH("包修",L92)),"【购机】"&amp;MID(L92,SEARCH("购机",L92)+LEN("购机"),LEN(L92)),IF(ISNUMBER(SEARCH("叠放支架",L92)),"【赠品】"&amp;MID(L92,SEARCH("购机",L92)+LEN("购机"),LEN(L92)),IF(ISNUMBER(SEARCH("秀图",L92)),"【秀图】"&amp;MID(L92,SEARCH("秀图",L92)+LEN("秀图"),LEN(L92)),"")))),IFERROR(LEFT(_xlpm.A,FIND("【",_xlpm.A,FIND("】",_xlpm.A)+1)-1)&amp;MID(_xlpm.A,FIND("】",_xlpm.A,FIND("】",_xlpm.A)+1)+1,LEN(_xlpm.A)),_xlpm.A))</f>
        <v/>
      </c>
      <c r="H92" s="18" t="str">
        <f>_xlfn.LET(_xlpm.A,IF(ISNUMBER(SEARCH("晒单",M92)),"【晒单】"&amp;MID(M92,SEARCH("晒单",M92)+LEN("晒单"),LEN(M92))&amp;"（需晒单后联系客服登记）",IF(ISNUMBER(SEARCH("包修",M92)),"【购机】"&amp;MID(M92,SEARCH("购机",M92)+LEN("购机"),LEN(M92)),IF(ISNUMBER(SEARCH("叠放支架",M92)),"【赠品】"&amp;MID(M92,SEARCH("购机",M92)+LEN("购机"),LEN(M92)),IF(ISNUMBER(SEARCH("秀图",M92)),"【秀图】"&amp;MID(M92,SEARCH("秀图",M92)+LEN("秀图"),LEN(M92)),"")))),IFERROR(LEFT(_xlpm.A,FIND("【",_xlpm.A,FIND("】",_xlpm.A)+1)-1)&amp;MID(_xlpm.A,FIND("】",_xlpm.A,FIND("】",_xlpm.A)+1)+1,LEN(_xlpm.A)),_xlpm.A))</f>
        <v/>
      </c>
      <c r="I92" s="18" t="str">
        <f>_xlfn.LET(_xlpm.A,IF(ISNUMBER(SEARCH("晒单",N92)),"【晒单】"&amp;MID(N92,SEARCH("晒单",N92)+LEN("晒单"),LEN(N92))&amp;"（需晒单后联系客服登记）",IF(ISNUMBER(SEARCH("包修",N92)),"【购机】"&amp;MID(N92,SEARCH("购机",N92)+LEN("购机"),LEN(N92)),IF(ISNUMBER(SEARCH("叠放支架",N92)),"【赠品】"&amp;MID(N92,SEARCH("购机",N92)+LEN("购机"),LEN(N92)),IF(ISNUMBER(SEARCH("秀图",N92)),"【秀图】"&amp;MID(N92,SEARCH("秀图",N92)+LEN("秀图"),LEN(N92)),"")))),IFERROR(LEFT(_xlpm.A,FIND("【",_xlpm.A,FIND("】",_xlpm.A)+1)-1)&amp;MID(_xlpm.A,FIND("】",_xlpm.A,FIND("】",_xlpm.A)+1)+1,LEN(_xlpm.A)),_xlpm.A))</f>
        <v/>
      </c>
      <c r="J92" s="18" t="str" cm="1">
        <f t="array" ref="J92">IFERROR(INDEX(_xlfn.TEXTSPLIT(_xlfn.XLOOKUP($A92&amp;$B92&amp;$C92,盘货信息!$A:$A&amp;盘货信息!$B:$B&amp;盘货信息!$C:$C,盘货信息!$S:$S),CHAR(10),,TRUE),1,COLUMN(A91)),"")</f>
        <v/>
      </c>
      <c r="K92" s="18" t="str" cm="1">
        <f t="array" ref="K92">IFERROR(INDEX(_xlfn.TEXTSPLIT(_xlfn.XLOOKUP($A92&amp;$B92&amp;$C92,盘货信息!$A:$A&amp;盘货信息!$B:$B&amp;盘货信息!$C:$C,盘货信息!$S:$S),CHAR(10),,TRUE),1,COLUMN(B91)),"")</f>
        <v/>
      </c>
      <c r="L92" s="18" t="str" cm="1">
        <f t="array" ref="L92">IFERROR(INDEX(_xlfn.TEXTSPLIT(_xlfn.XLOOKUP($A92&amp;$B92&amp;$C92,盘货信息!$A:$A&amp;盘货信息!$B:$B&amp;盘货信息!$C:$C,盘货信息!$S:$S),CHAR(10),,TRUE),1,COLUMN(C91)),"")</f>
        <v/>
      </c>
      <c r="M92" s="18" t="str" cm="1">
        <f t="array" ref="M92">IFERROR(INDEX(_xlfn.TEXTSPLIT(_xlfn.XLOOKUP($A92&amp;$B92&amp;$C92,盘货信息!$A:$A&amp;盘货信息!$B:$B&amp;盘货信息!$C:$C,盘货信息!$S:$S),CHAR(10),,TRUE),1,COLUMN(D91)),"")</f>
        <v/>
      </c>
      <c r="N92" s="18" t="str" cm="1">
        <f t="array" ref="N92">IFERROR(INDEX(_xlfn.TEXTSPLIT(_xlfn.XLOOKUP($A92&amp;$B92&amp;$C92,盘货信息!$A:$A&amp;盘货信息!$B:$B&amp;盘货信息!$C:$C,盘货信息!$S:$S),CHAR(10),,TRUE),1,COLUMN(E91)),"")</f>
        <v/>
      </c>
    </row>
    <row r="93" customHeight="1" spans="1:14">
      <c r="A93" s="17" t="str">
        <f>IF(盘货信息!A93="","",盘货信息!A93)</f>
        <v/>
      </c>
      <c r="B93" s="17" t="str">
        <f>IF(盘货信息!B93="","",盘货信息!B93)</f>
        <v/>
      </c>
      <c r="C93" s="18" t="str">
        <f>IF(盘货信息!C93="","",盘货信息!C93)</f>
        <v/>
      </c>
      <c r="D93" s="18" t="str">
        <f t="shared" si="1"/>
        <v/>
      </c>
      <c r="E93" s="18" t="str">
        <f>_xlfn.LET(_xlpm.A,IF(ISNUMBER(SEARCH("晒单",J93)),"【晒单】"&amp;MID(J93,SEARCH("晒单",J93)+LEN("晒单"),LEN(J93))&amp;"（需晒单后联系客服登记）",IF(ISNUMBER(SEARCH("包修",J93)),"【购机】"&amp;MID(J93,SEARCH("购机",J93)+LEN("购机"),LEN(J93)),IF(ISNUMBER(SEARCH("叠放支架",J93)),"【赠品】"&amp;MID(J93,SEARCH("购机",J93)+LEN("购机"),LEN(J93)),IF(ISNUMBER(SEARCH("秀图",J93)),"【秀图】"&amp;MID(J93,SEARCH("秀图",J93)+LEN("秀图"),LEN(J93)),"")))),IFERROR(LEFT(_xlpm.A,FIND("【",_xlpm.A,FIND("】",_xlpm.A)+1)-1)&amp;MID(_xlpm.A,FIND("】",_xlpm.A,FIND("】",_xlpm.A)+1)+1,LEN(_xlpm.A)),_xlpm.A))</f>
        <v/>
      </c>
      <c r="F93" s="18" t="str">
        <f>_xlfn.LET(_xlpm.A,IF(ISNUMBER(SEARCH("晒单",K93)),"【晒单】"&amp;MID(K93,SEARCH("晒单",K93)+LEN("晒单"),LEN(K93))&amp;"（需晒单后联系客服登记）",IF(ISNUMBER(SEARCH("包修",K93)),"【购机】"&amp;MID(K93,SEARCH("购机",K93)+LEN("购机"),LEN(K93)),IF(ISNUMBER(SEARCH("叠放支架",K93)),"【赠品】"&amp;MID(K93,SEARCH("购机",K93)+LEN("购机"),LEN(K93)),IF(ISNUMBER(SEARCH("秀图",K93)),"【秀图】"&amp;MID(K93,SEARCH("秀图",K93)+LEN("秀图"),LEN(K93)),"")))),IFERROR(LEFT(_xlpm.A,FIND("【",_xlpm.A,FIND("】",_xlpm.A)+1)-1)&amp;MID(_xlpm.A,FIND("】",_xlpm.A,FIND("】",_xlpm.A)+1)+1,LEN(_xlpm.A)),_xlpm.A))</f>
        <v/>
      </c>
      <c r="G93" s="18" t="str">
        <f>_xlfn.LET(_xlpm.A,IF(ISNUMBER(SEARCH("晒单",L93)),"【晒单】"&amp;MID(L93,SEARCH("晒单",L93)+LEN("晒单"),LEN(L93))&amp;"（需晒单后联系客服登记）",IF(ISNUMBER(SEARCH("包修",L93)),"【购机】"&amp;MID(L93,SEARCH("购机",L93)+LEN("购机"),LEN(L93)),IF(ISNUMBER(SEARCH("叠放支架",L93)),"【赠品】"&amp;MID(L93,SEARCH("购机",L93)+LEN("购机"),LEN(L93)),IF(ISNUMBER(SEARCH("秀图",L93)),"【秀图】"&amp;MID(L93,SEARCH("秀图",L93)+LEN("秀图"),LEN(L93)),"")))),IFERROR(LEFT(_xlpm.A,FIND("【",_xlpm.A,FIND("】",_xlpm.A)+1)-1)&amp;MID(_xlpm.A,FIND("】",_xlpm.A,FIND("】",_xlpm.A)+1)+1,LEN(_xlpm.A)),_xlpm.A))</f>
        <v/>
      </c>
      <c r="H93" s="18" t="str">
        <f>_xlfn.LET(_xlpm.A,IF(ISNUMBER(SEARCH("晒单",M93)),"【晒单】"&amp;MID(M93,SEARCH("晒单",M93)+LEN("晒单"),LEN(M93))&amp;"（需晒单后联系客服登记）",IF(ISNUMBER(SEARCH("包修",M93)),"【购机】"&amp;MID(M93,SEARCH("购机",M93)+LEN("购机"),LEN(M93)),IF(ISNUMBER(SEARCH("叠放支架",M93)),"【赠品】"&amp;MID(M93,SEARCH("购机",M93)+LEN("购机"),LEN(M93)),IF(ISNUMBER(SEARCH("秀图",M93)),"【秀图】"&amp;MID(M93,SEARCH("秀图",M93)+LEN("秀图"),LEN(M93)),"")))),IFERROR(LEFT(_xlpm.A,FIND("【",_xlpm.A,FIND("】",_xlpm.A)+1)-1)&amp;MID(_xlpm.A,FIND("】",_xlpm.A,FIND("】",_xlpm.A)+1)+1,LEN(_xlpm.A)),_xlpm.A))</f>
        <v/>
      </c>
      <c r="I93" s="18" t="str">
        <f>_xlfn.LET(_xlpm.A,IF(ISNUMBER(SEARCH("晒单",N93)),"【晒单】"&amp;MID(N93,SEARCH("晒单",N93)+LEN("晒单"),LEN(N93))&amp;"（需晒单后联系客服登记）",IF(ISNUMBER(SEARCH("包修",N93)),"【购机】"&amp;MID(N93,SEARCH("购机",N93)+LEN("购机"),LEN(N93)),IF(ISNUMBER(SEARCH("叠放支架",N93)),"【赠品】"&amp;MID(N93,SEARCH("购机",N93)+LEN("购机"),LEN(N93)),IF(ISNUMBER(SEARCH("秀图",N93)),"【秀图】"&amp;MID(N93,SEARCH("秀图",N93)+LEN("秀图"),LEN(N93)),"")))),IFERROR(LEFT(_xlpm.A,FIND("【",_xlpm.A,FIND("】",_xlpm.A)+1)-1)&amp;MID(_xlpm.A,FIND("】",_xlpm.A,FIND("】",_xlpm.A)+1)+1,LEN(_xlpm.A)),_xlpm.A))</f>
        <v/>
      </c>
      <c r="J93" s="18" t="str" cm="1">
        <f t="array" ref="J93">IFERROR(INDEX(_xlfn.TEXTSPLIT(_xlfn.XLOOKUP($A93&amp;$B93&amp;$C93,盘货信息!$A:$A&amp;盘货信息!$B:$B&amp;盘货信息!$C:$C,盘货信息!$S:$S),CHAR(10),,TRUE),1,COLUMN(A92)),"")</f>
        <v/>
      </c>
      <c r="K93" s="18" t="str" cm="1">
        <f t="array" ref="K93">IFERROR(INDEX(_xlfn.TEXTSPLIT(_xlfn.XLOOKUP($A93&amp;$B93&amp;$C93,盘货信息!$A:$A&amp;盘货信息!$B:$B&amp;盘货信息!$C:$C,盘货信息!$S:$S),CHAR(10),,TRUE),1,COLUMN(B92)),"")</f>
        <v/>
      </c>
      <c r="L93" s="18" t="str" cm="1">
        <f t="array" ref="L93">IFERROR(INDEX(_xlfn.TEXTSPLIT(_xlfn.XLOOKUP($A93&amp;$B93&amp;$C93,盘货信息!$A:$A&amp;盘货信息!$B:$B&amp;盘货信息!$C:$C,盘货信息!$S:$S),CHAR(10),,TRUE),1,COLUMN(C92)),"")</f>
        <v/>
      </c>
      <c r="M93" s="18" t="str" cm="1">
        <f t="array" ref="M93">IFERROR(INDEX(_xlfn.TEXTSPLIT(_xlfn.XLOOKUP($A93&amp;$B93&amp;$C93,盘货信息!$A:$A&amp;盘货信息!$B:$B&amp;盘货信息!$C:$C,盘货信息!$S:$S),CHAR(10),,TRUE),1,COLUMN(D92)),"")</f>
        <v/>
      </c>
      <c r="N93" s="18" t="str" cm="1">
        <f t="array" ref="N93">IFERROR(INDEX(_xlfn.TEXTSPLIT(_xlfn.XLOOKUP($A93&amp;$B93&amp;$C93,盘货信息!$A:$A&amp;盘货信息!$B:$B&amp;盘货信息!$C:$C,盘货信息!$S:$S),CHAR(10),,TRUE),1,COLUMN(E92)),"")</f>
        <v/>
      </c>
    </row>
    <row r="94" customHeight="1" spans="1:14">
      <c r="A94" s="17" t="str">
        <f>IF(盘货信息!A94="","",盘货信息!A94)</f>
        <v/>
      </c>
      <c r="B94" s="17" t="str">
        <f>IF(盘货信息!B94="","",盘货信息!B94)</f>
        <v/>
      </c>
      <c r="C94" s="20" t="str">
        <f>IF(盘货信息!C94="","",盘货信息!C94)</f>
        <v/>
      </c>
      <c r="D94" s="18" t="str">
        <f t="shared" si="1"/>
        <v/>
      </c>
      <c r="E94" s="18" t="str">
        <f>_xlfn.LET(_xlpm.A,IF(ISNUMBER(SEARCH("晒单",J94)),"【晒单】"&amp;MID(J94,SEARCH("晒单",J94)+LEN("晒单"),LEN(J94))&amp;"（需晒单后联系客服登记）",IF(ISNUMBER(SEARCH("包修",J94)),"【购机】"&amp;MID(J94,SEARCH("购机",J94)+LEN("购机"),LEN(J94)),IF(ISNUMBER(SEARCH("叠放支架",J94)),"【赠品】"&amp;MID(J94,SEARCH("购机",J94)+LEN("购机"),LEN(J94)),IF(ISNUMBER(SEARCH("秀图",J94)),"【秀图】"&amp;MID(J94,SEARCH("秀图",J94)+LEN("秀图"),LEN(J94)),"")))),IFERROR(LEFT(_xlpm.A,FIND("【",_xlpm.A,FIND("】",_xlpm.A)+1)-1)&amp;MID(_xlpm.A,FIND("】",_xlpm.A,FIND("】",_xlpm.A)+1)+1,LEN(_xlpm.A)),_xlpm.A))</f>
        <v/>
      </c>
      <c r="F94" s="18" t="str">
        <f>_xlfn.LET(_xlpm.A,IF(ISNUMBER(SEARCH("晒单",K94)),"【晒单】"&amp;MID(K94,SEARCH("晒单",K94)+LEN("晒单"),LEN(K94))&amp;"（需晒单后联系客服登记）",IF(ISNUMBER(SEARCH("包修",K94)),"【购机】"&amp;MID(K94,SEARCH("购机",K94)+LEN("购机"),LEN(K94)),IF(ISNUMBER(SEARCH("叠放支架",K94)),"【赠品】"&amp;MID(K94,SEARCH("购机",K94)+LEN("购机"),LEN(K94)),IF(ISNUMBER(SEARCH("秀图",K94)),"【秀图】"&amp;MID(K94,SEARCH("秀图",K94)+LEN("秀图"),LEN(K94)),"")))),IFERROR(LEFT(_xlpm.A,FIND("【",_xlpm.A,FIND("】",_xlpm.A)+1)-1)&amp;MID(_xlpm.A,FIND("】",_xlpm.A,FIND("】",_xlpm.A)+1)+1,LEN(_xlpm.A)),_xlpm.A))</f>
        <v/>
      </c>
      <c r="G94" s="18" t="str">
        <f>_xlfn.LET(_xlpm.A,IF(ISNUMBER(SEARCH("晒单",L94)),"【晒单】"&amp;MID(L94,SEARCH("晒单",L94)+LEN("晒单"),LEN(L94))&amp;"（需晒单后联系客服登记）",IF(ISNUMBER(SEARCH("包修",L94)),"【购机】"&amp;MID(L94,SEARCH("购机",L94)+LEN("购机"),LEN(L94)),IF(ISNUMBER(SEARCH("叠放支架",L94)),"【赠品】"&amp;MID(L94,SEARCH("购机",L94)+LEN("购机"),LEN(L94)),IF(ISNUMBER(SEARCH("秀图",L94)),"【秀图】"&amp;MID(L94,SEARCH("秀图",L94)+LEN("秀图"),LEN(L94)),"")))),IFERROR(LEFT(_xlpm.A,FIND("【",_xlpm.A,FIND("】",_xlpm.A)+1)-1)&amp;MID(_xlpm.A,FIND("】",_xlpm.A,FIND("】",_xlpm.A)+1)+1,LEN(_xlpm.A)),_xlpm.A))</f>
        <v/>
      </c>
      <c r="H94" s="18" t="str">
        <f>_xlfn.LET(_xlpm.A,IF(ISNUMBER(SEARCH("晒单",M94)),"【晒单】"&amp;MID(M94,SEARCH("晒单",M94)+LEN("晒单"),LEN(M94))&amp;"（需晒单后联系客服登记）",IF(ISNUMBER(SEARCH("包修",M94)),"【购机】"&amp;MID(M94,SEARCH("购机",M94)+LEN("购机"),LEN(M94)),IF(ISNUMBER(SEARCH("叠放支架",M94)),"【赠品】"&amp;MID(M94,SEARCH("购机",M94)+LEN("购机"),LEN(M94)),IF(ISNUMBER(SEARCH("秀图",M94)),"【秀图】"&amp;MID(M94,SEARCH("秀图",M94)+LEN("秀图"),LEN(M94)),"")))),IFERROR(LEFT(_xlpm.A,FIND("【",_xlpm.A,FIND("】",_xlpm.A)+1)-1)&amp;MID(_xlpm.A,FIND("】",_xlpm.A,FIND("】",_xlpm.A)+1)+1,LEN(_xlpm.A)),_xlpm.A))</f>
        <v/>
      </c>
      <c r="I94" s="18" t="str">
        <f>_xlfn.LET(_xlpm.A,IF(ISNUMBER(SEARCH("晒单",N94)),"【晒单】"&amp;MID(N94,SEARCH("晒单",N94)+LEN("晒单"),LEN(N94))&amp;"（需晒单后联系客服登记）",IF(ISNUMBER(SEARCH("包修",N94)),"【购机】"&amp;MID(N94,SEARCH("购机",N94)+LEN("购机"),LEN(N94)),IF(ISNUMBER(SEARCH("叠放支架",N94)),"【赠品】"&amp;MID(N94,SEARCH("购机",N94)+LEN("购机"),LEN(N94)),IF(ISNUMBER(SEARCH("秀图",N94)),"【秀图】"&amp;MID(N94,SEARCH("秀图",N94)+LEN("秀图"),LEN(N94)),"")))),IFERROR(LEFT(_xlpm.A,FIND("【",_xlpm.A,FIND("】",_xlpm.A)+1)-1)&amp;MID(_xlpm.A,FIND("】",_xlpm.A,FIND("】",_xlpm.A)+1)+1,LEN(_xlpm.A)),_xlpm.A))</f>
        <v/>
      </c>
      <c r="J94" s="18" t="str" cm="1">
        <f t="array" ref="J94">IFERROR(INDEX(_xlfn.TEXTSPLIT(_xlfn.XLOOKUP($A94&amp;$B94&amp;$C94,盘货信息!$A:$A&amp;盘货信息!$B:$B&amp;盘货信息!$C:$C,盘货信息!$S:$S),CHAR(10),,TRUE),1,COLUMN(A93)),"")</f>
        <v/>
      </c>
      <c r="K94" s="18" t="str" cm="1">
        <f t="array" ref="K94">IFERROR(INDEX(_xlfn.TEXTSPLIT(_xlfn.XLOOKUP($A94&amp;$B94&amp;$C94,盘货信息!$A:$A&amp;盘货信息!$B:$B&amp;盘货信息!$C:$C,盘货信息!$S:$S),CHAR(10),,TRUE),1,COLUMN(B93)),"")</f>
        <v/>
      </c>
      <c r="L94" s="18" t="str" cm="1">
        <f t="array" ref="L94">IFERROR(INDEX(_xlfn.TEXTSPLIT(_xlfn.XLOOKUP($A94&amp;$B94&amp;$C94,盘货信息!$A:$A&amp;盘货信息!$B:$B&amp;盘货信息!$C:$C,盘货信息!$S:$S),CHAR(10),,TRUE),1,COLUMN(C93)),"")</f>
        <v/>
      </c>
      <c r="M94" s="18" t="str" cm="1">
        <f t="array" ref="M94">IFERROR(INDEX(_xlfn.TEXTSPLIT(_xlfn.XLOOKUP($A94&amp;$B94&amp;$C94,盘货信息!$A:$A&amp;盘货信息!$B:$B&amp;盘货信息!$C:$C,盘货信息!$S:$S),CHAR(10),,TRUE),1,COLUMN(D93)),"")</f>
        <v/>
      </c>
      <c r="N94" s="18" t="str" cm="1">
        <f t="array" ref="N94">IFERROR(INDEX(_xlfn.TEXTSPLIT(_xlfn.XLOOKUP($A94&amp;$B94&amp;$C94,盘货信息!$A:$A&amp;盘货信息!$B:$B&amp;盘货信息!$C:$C,盘货信息!$S:$S),CHAR(10),,TRUE),1,COLUMN(E93)),"")</f>
        <v/>
      </c>
    </row>
    <row r="95" customHeight="1" spans="1:14">
      <c r="A95" s="17" t="str">
        <f>IF(盘货信息!A95="","",盘货信息!A95)</f>
        <v/>
      </c>
      <c r="B95" s="17" t="str">
        <f>IF(盘货信息!B95="","",盘货信息!B95)</f>
        <v/>
      </c>
      <c r="C95" s="18" t="str">
        <f>IF(盘货信息!C95="","",盘货信息!C95)</f>
        <v/>
      </c>
      <c r="D95" s="18" t="str">
        <f t="shared" si="1"/>
        <v/>
      </c>
      <c r="E95" s="18" t="str">
        <f>_xlfn.LET(_xlpm.A,IF(ISNUMBER(SEARCH("晒单",J95)),"【晒单】"&amp;MID(J95,SEARCH("晒单",J95)+LEN("晒单"),LEN(J95))&amp;"（需晒单后联系客服登记）",IF(ISNUMBER(SEARCH("包修",J95)),"【购机】"&amp;MID(J95,SEARCH("购机",J95)+LEN("购机"),LEN(J95)),IF(ISNUMBER(SEARCH("叠放支架",J95)),"【赠品】"&amp;MID(J95,SEARCH("购机",J95)+LEN("购机"),LEN(J95)),IF(ISNUMBER(SEARCH("秀图",J95)),"【秀图】"&amp;MID(J95,SEARCH("秀图",J95)+LEN("秀图"),LEN(J95)),"")))),IFERROR(LEFT(_xlpm.A,FIND("【",_xlpm.A,FIND("】",_xlpm.A)+1)-1)&amp;MID(_xlpm.A,FIND("】",_xlpm.A,FIND("】",_xlpm.A)+1)+1,LEN(_xlpm.A)),_xlpm.A))</f>
        <v/>
      </c>
      <c r="F95" s="18" t="str">
        <f>_xlfn.LET(_xlpm.A,IF(ISNUMBER(SEARCH("晒单",K95)),"【晒单】"&amp;MID(K95,SEARCH("晒单",K95)+LEN("晒单"),LEN(K95))&amp;"（需晒单后联系客服登记）",IF(ISNUMBER(SEARCH("包修",K95)),"【购机】"&amp;MID(K95,SEARCH("购机",K95)+LEN("购机"),LEN(K95)),IF(ISNUMBER(SEARCH("叠放支架",K95)),"【赠品】"&amp;MID(K95,SEARCH("购机",K95)+LEN("购机"),LEN(K95)),IF(ISNUMBER(SEARCH("秀图",K95)),"【秀图】"&amp;MID(K95,SEARCH("秀图",K95)+LEN("秀图"),LEN(K95)),"")))),IFERROR(LEFT(_xlpm.A,FIND("【",_xlpm.A,FIND("】",_xlpm.A)+1)-1)&amp;MID(_xlpm.A,FIND("】",_xlpm.A,FIND("】",_xlpm.A)+1)+1,LEN(_xlpm.A)),_xlpm.A))</f>
        <v/>
      </c>
      <c r="G95" s="18" t="str">
        <f>_xlfn.LET(_xlpm.A,IF(ISNUMBER(SEARCH("晒单",L95)),"【晒单】"&amp;MID(L95,SEARCH("晒单",L95)+LEN("晒单"),LEN(L95))&amp;"（需晒单后联系客服登记）",IF(ISNUMBER(SEARCH("包修",L95)),"【购机】"&amp;MID(L95,SEARCH("购机",L95)+LEN("购机"),LEN(L95)),IF(ISNUMBER(SEARCH("叠放支架",L95)),"【赠品】"&amp;MID(L95,SEARCH("购机",L95)+LEN("购机"),LEN(L95)),IF(ISNUMBER(SEARCH("秀图",L95)),"【秀图】"&amp;MID(L95,SEARCH("秀图",L95)+LEN("秀图"),LEN(L95)),"")))),IFERROR(LEFT(_xlpm.A,FIND("【",_xlpm.A,FIND("】",_xlpm.A)+1)-1)&amp;MID(_xlpm.A,FIND("】",_xlpm.A,FIND("】",_xlpm.A)+1)+1,LEN(_xlpm.A)),_xlpm.A))</f>
        <v/>
      </c>
      <c r="H95" s="18" t="str">
        <f>_xlfn.LET(_xlpm.A,IF(ISNUMBER(SEARCH("晒单",M95)),"【晒单】"&amp;MID(M95,SEARCH("晒单",M95)+LEN("晒单"),LEN(M95))&amp;"（需晒单后联系客服登记）",IF(ISNUMBER(SEARCH("包修",M95)),"【购机】"&amp;MID(M95,SEARCH("购机",M95)+LEN("购机"),LEN(M95)),IF(ISNUMBER(SEARCH("叠放支架",M95)),"【赠品】"&amp;MID(M95,SEARCH("购机",M95)+LEN("购机"),LEN(M95)),IF(ISNUMBER(SEARCH("秀图",M95)),"【秀图】"&amp;MID(M95,SEARCH("秀图",M95)+LEN("秀图"),LEN(M95)),"")))),IFERROR(LEFT(_xlpm.A,FIND("【",_xlpm.A,FIND("】",_xlpm.A)+1)-1)&amp;MID(_xlpm.A,FIND("】",_xlpm.A,FIND("】",_xlpm.A)+1)+1,LEN(_xlpm.A)),_xlpm.A))</f>
        <v/>
      </c>
      <c r="I95" s="18" t="str">
        <f>_xlfn.LET(_xlpm.A,IF(ISNUMBER(SEARCH("晒单",N95)),"【晒单】"&amp;MID(N95,SEARCH("晒单",N95)+LEN("晒单"),LEN(N95))&amp;"（需晒单后联系客服登记）",IF(ISNUMBER(SEARCH("包修",N95)),"【购机】"&amp;MID(N95,SEARCH("购机",N95)+LEN("购机"),LEN(N95)),IF(ISNUMBER(SEARCH("叠放支架",N95)),"【赠品】"&amp;MID(N95,SEARCH("购机",N95)+LEN("购机"),LEN(N95)),IF(ISNUMBER(SEARCH("秀图",N95)),"【秀图】"&amp;MID(N95,SEARCH("秀图",N95)+LEN("秀图"),LEN(N95)),"")))),IFERROR(LEFT(_xlpm.A,FIND("【",_xlpm.A,FIND("】",_xlpm.A)+1)-1)&amp;MID(_xlpm.A,FIND("】",_xlpm.A,FIND("】",_xlpm.A)+1)+1,LEN(_xlpm.A)),_xlpm.A))</f>
        <v/>
      </c>
      <c r="J95" s="18" t="str" cm="1">
        <f t="array" ref="J95">IFERROR(INDEX(_xlfn.TEXTSPLIT(_xlfn.XLOOKUP($A95&amp;$B95&amp;$C95,盘货信息!$A:$A&amp;盘货信息!$B:$B&amp;盘货信息!$C:$C,盘货信息!$S:$S),CHAR(10),,TRUE),1,COLUMN(A94)),"")</f>
        <v/>
      </c>
      <c r="K95" s="18" t="str" cm="1">
        <f t="array" ref="K95">IFERROR(INDEX(_xlfn.TEXTSPLIT(_xlfn.XLOOKUP($A95&amp;$B95&amp;$C95,盘货信息!$A:$A&amp;盘货信息!$B:$B&amp;盘货信息!$C:$C,盘货信息!$S:$S),CHAR(10),,TRUE),1,COLUMN(B94)),"")</f>
        <v/>
      </c>
      <c r="L95" s="18" t="str" cm="1">
        <f t="array" ref="L95">IFERROR(INDEX(_xlfn.TEXTSPLIT(_xlfn.XLOOKUP($A95&amp;$B95&amp;$C95,盘货信息!$A:$A&amp;盘货信息!$B:$B&amp;盘货信息!$C:$C,盘货信息!$S:$S),CHAR(10),,TRUE),1,COLUMN(C94)),"")</f>
        <v/>
      </c>
      <c r="M95" s="18" t="str" cm="1">
        <f t="array" ref="M95">IFERROR(INDEX(_xlfn.TEXTSPLIT(_xlfn.XLOOKUP($A95&amp;$B95&amp;$C95,盘货信息!$A:$A&amp;盘货信息!$B:$B&amp;盘货信息!$C:$C,盘货信息!$S:$S),CHAR(10),,TRUE),1,COLUMN(D94)),"")</f>
        <v/>
      </c>
      <c r="N95" s="18" t="str" cm="1">
        <f t="array" ref="N95">IFERROR(INDEX(_xlfn.TEXTSPLIT(_xlfn.XLOOKUP($A95&amp;$B95&amp;$C95,盘货信息!$A:$A&amp;盘货信息!$B:$B&amp;盘货信息!$C:$C,盘货信息!$S:$S),CHAR(10),,TRUE),1,COLUMN(E94)),"")</f>
        <v/>
      </c>
    </row>
    <row r="96" customHeight="1" spans="1:14">
      <c r="A96" s="17" t="str">
        <f>IF(盘货信息!A96="","",盘货信息!A96)</f>
        <v/>
      </c>
      <c r="B96" s="17" t="str">
        <f>IF(盘货信息!B96="","",盘货信息!B96)</f>
        <v/>
      </c>
      <c r="C96" s="18" t="str">
        <f>IF(盘货信息!C96="","",盘货信息!C96)</f>
        <v/>
      </c>
      <c r="D96" s="18" t="str">
        <f t="shared" si="1"/>
        <v/>
      </c>
      <c r="E96" s="18" t="str">
        <f>_xlfn.LET(_xlpm.A,IF(ISNUMBER(SEARCH("晒单",J96)),"【晒单】"&amp;MID(J96,SEARCH("晒单",J96)+LEN("晒单"),LEN(J96))&amp;"（需晒单后联系客服登记）",IF(ISNUMBER(SEARCH("包修",J96)),"【购机】"&amp;MID(J96,SEARCH("购机",J96)+LEN("购机"),LEN(J96)),IF(ISNUMBER(SEARCH("叠放支架",J96)),"【赠品】"&amp;MID(J96,SEARCH("购机",J96)+LEN("购机"),LEN(J96)),IF(ISNUMBER(SEARCH("秀图",J96)),"【秀图】"&amp;MID(J96,SEARCH("秀图",J96)+LEN("秀图"),LEN(J96)),"")))),IFERROR(LEFT(_xlpm.A,FIND("【",_xlpm.A,FIND("】",_xlpm.A)+1)-1)&amp;MID(_xlpm.A,FIND("】",_xlpm.A,FIND("】",_xlpm.A)+1)+1,LEN(_xlpm.A)),_xlpm.A))</f>
        <v/>
      </c>
      <c r="F96" s="18" t="str">
        <f>_xlfn.LET(_xlpm.A,IF(ISNUMBER(SEARCH("晒单",K96)),"【晒单】"&amp;MID(K96,SEARCH("晒单",K96)+LEN("晒单"),LEN(K96))&amp;"（需晒单后联系客服登记）",IF(ISNUMBER(SEARCH("包修",K96)),"【购机】"&amp;MID(K96,SEARCH("购机",K96)+LEN("购机"),LEN(K96)),IF(ISNUMBER(SEARCH("叠放支架",K96)),"【赠品】"&amp;MID(K96,SEARCH("购机",K96)+LEN("购机"),LEN(K96)),IF(ISNUMBER(SEARCH("秀图",K96)),"【秀图】"&amp;MID(K96,SEARCH("秀图",K96)+LEN("秀图"),LEN(K96)),"")))),IFERROR(LEFT(_xlpm.A,FIND("【",_xlpm.A,FIND("】",_xlpm.A)+1)-1)&amp;MID(_xlpm.A,FIND("】",_xlpm.A,FIND("】",_xlpm.A)+1)+1,LEN(_xlpm.A)),_xlpm.A))</f>
        <v/>
      </c>
      <c r="G96" s="18" t="str">
        <f>_xlfn.LET(_xlpm.A,IF(ISNUMBER(SEARCH("晒单",L96)),"【晒单】"&amp;MID(L96,SEARCH("晒单",L96)+LEN("晒单"),LEN(L96))&amp;"（需晒单后联系客服登记）",IF(ISNUMBER(SEARCH("包修",L96)),"【购机】"&amp;MID(L96,SEARCH("购机",L96)+LEN("购机"),LEN(L96)),IF(ISNUMBER(SEARCH("叠放支架",L96)),"【赠品】"&amp;MID(L96,SEARCH("购机",L96)+LEN("购机"),LEN(L96)),IF(ISNUMBER(SEARCH("秀图",L96)),"【秀图】"&amp;MID(L96,SEARCH("秀图",L96)+LEN("秀图"),LEN(L96)),"")))),IFERROR(LEFT(_xlpm.A,FIND("【",_xlpm.A,FIND("】",_xlpm.A)+1)-1)&amp;MID(_xlpm.A,FIND("】",_xlpm.A,FIND("】",_xlpm.A)+1)+1,LEN(_xlpm.A)),_xlpm.A))</f>
        <v/>
      </c>
      <c r="H96" s="18" t="str">
        <f>_xlfn.LET(_xlpm.A,IF(ISNUMBER(SEARCH("晒单",M96)),"【晒单】"&amp;MID(M96,SEARCH("晒单",M96)+LEN("晒单"),LEN(M96))&amp;"（需晒单后联系客服登记）",IF(ISNUMBER(SEARCH("包修",M96)),"【购机】"&amp;MID(M96,SEARCH("购机",M96)+LEN("购机"),LEN(M96)),IF(ISNUMBER(SEARCH("叠放支架",M96)),"【赠品】"&amp;MID(M96,SEARCH("购机",M96)+LEN("购机"),LEN(M96)),IF(ISNUMBER(SEARCH("秀图",M96)),"【秀图】"&amp;MID(M96,SEARCH("秀图",M96)+LEN("秀图"),LEN(M96)),"")))),IFERROR(LEFT(_xlpm.A,FIND("【",_xlpm.A,FIND("】",_xlpm.A)+1)-1)&amp;MID(_xlpm.A,FIND("】",_xlpm.A,FIND("】",_xlpm.A)+1)+1,LEN(_xlpm.A)),_xlpm.A))</f>
        <v/>
      </c>
      <c r="I96" s="18" t="str">
        <f>_xlfn.LET(_xlpm.A,IF(ISNUMBER(SEARCH("晒单",N96)),"【晒单】"&amp;MID(N96,SEARCH("晒单",N96)+LEN("晒单"),LEN(N96))&amp;"（需晒单后联系客服登记）",IF(ISNUMBER(SEARCH("包修",N96)),"【购机】"&amp;MID(N96,SEARCH("购机",N96)+LEN("购机"),LEN(N96)),IF(ISNUMBER(SEARCH("叠放支架",N96)),"【赠品】"&amp;MID(N96,SEARCH("购机",N96)+LEN("购机"),LEN(N96)),IF(ISNUMBER(SEARCH("秀图",N96)),"【秀图】"&amp;MID(N96,SEARCH("秀图",N96)+LEN("秀图"),LEN(N96)),"")))),IFERROR(LEFT(_xlpm.A,FIND("【",_xlpm.A,FIND("】",_xlpm.A)+1)-1)&amp;MID(_xlpm.A,FIND("】",_xlpm.A,FIND("】",_xlpm.A)+1)+1,LEN(_xlpm.A)),_xlpm.A))</f>
        <v/>
      </c>
      <c r="J96" s="18" t="str" cm="1">
        <f t="array" ref="J96">IFERROR(INDEX(_xlfn.TEXTSPLIT(_xlfn.XLOOKUP($A96&amp;$B96&amp;$C96,盘货信息!$A:$A&amp;盘货信息!$B:$B&amp;盘货信息!$C:$C,盘货信息!$S:$S),CHAR(10),,TRUE),1,COLUMN(A95)),"")</f>
        <v/>
      </c>
      <c r="K96" s="18" t="str" cm="1">
        <f t="array" ref="K96">IFERROR(INDEX(_xlfn.TEXTSPLIT(_xlfn.XLOOKUP($A96&amp;$B96&amp;$C96,盘货信息!$A:$A&amp;盘货信息!$B:$B&amp;盘货信息!$C:$C,盘货信息!$S:$S),CHAR(10),,TRUE),1,COLUMN(B95)),"")</f>
        <v/>
      </c>
      <c r="L96" s="18" t="str" cm="1">
        <f t="array" ref="L96">IFERROR(INDEX(_xlfn.TEXTSPLIT(_xlfn.XLOOKUP($A96&amp;$B96&amp;$C96,盘货信息!$A:$A&amp;盘货信息!$B:$B&amp;盘货信息!$C:$C,盘货信息!$S:$S),CHAR(10),,TRUE),1,COLUMN(C95)),"")</f>
        <v/>
      </c>
      <c r="M96" s="18" t="str" cm="1">
        <f t="array" ref="M96">IFERROR(INDEX(_xlfn.TEXTSPLIT(_xlfn.XLOOKUP($A96&amp;$B96&amp;$C96,盘货信息!$A:$A&amp;盘货信息!$B:$B&amp;盘货信息!$C:$C,盘货信息!$S:$S),CHAR(10),,TRUE),1,COLUMN(D95)),"")</f>
        <v/>
      </c>
      <c r="N96" s="18" t="str" cm="1">
        <f t="array" ref="N96">IFERROR(INDEX(_xlfn.TEXTSPLIT(_xlfn.XLOOKUP($A96&amp;$B96&amp;$C96,盘货信息!$A:$A&amp;盘货信息!$B:$B&amp;盘货信息!$C:$C,盘货信息!$S:$S),CHAR(10),,TRUE),1,COLUMN(E95)),"")</f>
        <v/>
      </c>
    </row>
    <row r="97" customHeight="1" spans="1:14">
      <c r="A97" s="17" t="str">
        <f>IF(盘货信息!A97="","",盘货信息!A97)</f>
        <v/>
      </c>
      <c r="B97" s="17" t="str">
        <f>IF(盘货信息!B97="","",盘货信息!B97)</f>
        <v/>
      </c>
      <c r="C97" s="18" t="str">
        <f>IF(盘货信息!C97="","",盘货信息!C97)</f>
        <v/>
      </c>
      <c r="D97" s="18" t="str">
        <f t="shared" si="1"/>
        <v/>
      </c>
      <c r="E97" s="18" t="str">
        <f>_xlfn.LET(_xlpm.A,IF(ISNUMBER(SEARCH("晒单",J97)),"【晒单】"&amp;MID(J97,SEARCH("晒单",J97)+LEN("晒单"),LEN(J97))&amp;"（需晒单后联系客服登记）",IF(ISNUMBER(SEARCH("包修",J97)),"【购机】"&amp;MID(J97,SEARCH("购机",J97)+LEN("购机"),LEN(J97)),IF(ISNUMBER(SEARCH("叠放支架",J97)),"【赠品】"&amp;MID(J97,SEARCH("购机",J97)+LEN("购机"),LEN(J97)),IF(ISNUMBER(SEARCH("秀图",J97)),"【秀图】"&amp;MID(J97,SEARCH("秀图",J97)+LEN("秀图"),LEN(J97)),"")))),IFERROR(LEFT(_xlpm.A,FIND("【",_xlpm.A,FIND("】",_xlpm.A)+1)-1)&amp;MID(_xlpm.A,FIND("】",_xlpm.A,FIND("】",_xlpm.A)+1)+1,LEN(_xlpm.A)),_xlpm.A))</f>
        <v/>
      </c>
      <c r="F97" s="18" t="str">
        <f>_xlfn.LET(_xlpm.A,IF(ISNUMBER(SEARCH("晒单",K97)),"【晒单】"&amp;MID(K97,SEARCH("晒单",K97)+LEN("晒单"),LEN(K97))&amp;"（需晒单后联系客服登记）",IF(ISNUMBER(SEARCH("包修",K97)),"【购机】"&amp;MID(K97,SEARCH("购机",K97)+LEN("购机"),LEN(K97)),IF(ISNUMBER(SEARCH("叠放支架",K97)),"【赠品】"&amp;MID(K97,SEARCH("购机",K97)+LEN("购机"),LEN(K97)),IF(ISNUMBER(SEARCH("秀图",K97)),"【秀图】"&amp;MID(K97,SEARCH("秀图",K97)+LEN("秀图"),LEN(K97)),"")))),IFERROR(LEFT(_xlpm.A,FIND("【",_xlpm.A,FIND("】",_xlpm.A)+1)-1)&amp;MID(_xlpm.A,FIND("】",_xlpm.A,FIND("】",_xlpm.A)+1)+1,LEN(_xlpm.A)),_xlpm.A))</f>
        <v/>
      </c>
      <c r="G97" s="18" t="str">
        <f>_xlfn.LET(_xlpm.A,IF(ISNUMBER(SEARCH("晒单",L97)),"【晒单】"&amp;MID(L97,SEARCH("晒单",L97)+LEN("晒单"),LEN(L97))&amp;"（需晒单后联系客服登记）",IF(ISNUMBER(SEARCH("包修",L97)),"【购机】"&amp;MID(L97,SEARCH("购机",L97)+LEN("购机"),LEN(L97)),IF(ISNUMBER(SEARCH("叠放支架",L97)),"【赠品】"&amp;MID(L97,SEARCH("购机",L97)+LEN("购机"),LEN(L97)),IF(ISNUMBER(SEARCH("秀图",L97)),"【秀图】"&amp;MID(L97,SEARCH("秀图",L97)+LEN("秀图"),LEN(L97)),"")))),IFERROR(LEFT(_xlpm.A,FIND("【",_xlpm.A,FIND("】",_xlpm.A)+1)-1)&amp;MID(_xlpm.A,FIND("】",_xlpm.A,FIND("】",_xlpm.A)+1)+1,LEN(_xlpm.A)),_xlpm.A))</f>
        <v/>
      </c>
      <c r="H97" s="18" t="str">
        <f>_xlfn.LET(_xlpm.A,IF(ISNUMBER(SEARCH("晒单",M97)),"【晒单】"&amp;MID(M97,SEARCH("晒单",M97)+LEN("晒单"),LEN(M97))&amp;"（需晒单后联系客服登记）",IF(ISNUMBER(SEARCH("包修",M97)),"【购机】"&amp;MID(M97,SEARCH("购机",M97)+LEN("购机"),LEN(M97)),IF(ISNUMBER(SEARCH("叠放支架",M97)),"【赠品】"&amp;MID(M97,SEARCH("购机",M97)+LEN("购机"),LEN(M97)),IF(ISNUMBER(SEARCH("秀图",M97)),"【秀图】"&amp;MID(M97,SEARCH("秀图",M97)+LEN("秀图"),LEN(M97)),"")))),IFERROR(LEFT(_xlpm.A,FIND("【",_xlpm.A,FIND("】",_xlpm.A)+1)-1)&amp;MID(_xlpm.A,FIND("】",_xlpm.A,FIND("】",_xlpm.A)+1)+1,LEN(_xlpm.A)),_xlpm.A))</f>
        <v/>
      </c>
      <c r="I97" s="18" t="str">
        <f>_xlfn.LET(_xlpm.A,IF(ISNUMBER(SEARCH("晒单",N97)),"【晒单】"&amp;MID(N97,SEARCH("晒单",N97)+LEN("晒单"),LEN(N97))&amp;"（需晒单后联系客服登记）",IF(ISNUMBER(SEARCH("包修",N97)),"【购机】"&amp;MID(N97,SEARCH("购机",N97)+LEN("购机"),LEN(N97)),IF(ISNUMBER(SEARCH("叠放支架",N97)),"【赠品】"&amp;MID(N97,SEARCH("购机",N97)+LEN("购机"),LEN(N97)),IF(ISNUMBER(SEARCH("秀图",N97)),"【秀图】"&amp;MID(N97,SEARCH("秀图",N97)+LEN("秀图"),LEN(N97)),"")))),IFERROR(LEFT(_xlpm.A,FIND("【",_xlpm.A,FIND("】",_xlpm.A)+1)-1)&amp;MID(_xlpm.A,FIND("】",_xlpm.A,FIND("】",_xlpm.A)+1)+1,LEN(_xlpm.A)),_xlpm.A))</f>
        <v/>
      </c>
      <c r="J97" s="18" t="str" cm="1">
        <f t="array" ref="J97">IFERROR(INDEX(_xlfn.TEXTSPLIT(_xlfn.XLOOKUP($A97&amp;$B97&amp;$C97,盘货信息!$A:$A&amp;盘货信息!$B:$B&amp;盘货信息!$C:$C,盘货信息!$S:$S),CHAR(10),,TRUE),1,COLUMN(A96)),"")</f>
        <v/>
      </c>
      <c r="K97" s="18" t="str" cm="1">
        <f t="array" ref="K97">IFERROR(INDEX(_xlfn.TEXTSPLIT(_xlfn.XLOOKUP($A97&amp;$B97&amp;$C97,盘货信息!$A:$A&amp;盘货信息!$B:$B&amp;盘货信息!$C:$C,盘货信息!$S:$S),CHAR(10),,TRUE),1,COLUMN(B96)),"")</f>
        <v/>
      </c>
      <c r="L97" s="18" t="str" cm="1">
        <f t="array" ref="L97">IFERROR(INDEX(_xlfn.TEXTSPLIT(_xlfn.XLOOKUP($A97&amp;$B97&amp;$C97,盘货信息!$A:$A&amp;盘货信息!$B:$B&amp;盘货信息!$C:$C,盘货信息!$S:$S),CHAR(10),,TRUE),1,COLUMN(C96)),"")</f>
        <v/>
      </c>
      <c r="M97" s="18" t="str" cm="1">
        <f t="array" ref="M97">IFERROR(INDEX(_xlfn.TEXTSPLIT(_xlfn.XLOOKUP($A97&amp;$B97&amp;$C97,盘货信息!$A:$A&amp;盘货信息!$B:$B&amp;盘货信息!$C:$C,盘货信息!$S:$S),CHAR(10),,TRUE),1,COLUMN(D96)),"")</f>
        <v/>
      </c>
      <c r="N97" s="18" t="str" cm="1">
        <f t="array" ref="N97">IFERROR(INDEX(_xlfn.TEXTSPLIT(_xlfn.XLOOKUP($A97&amp;$B97&amp;$C97,盘货信息!$A:$A&amp;盘货信息!$B:$B&amp;盘货信息!$C:$C,盘货信息!$S:$S),CHAR(10),,TRUE),1,COLUMN(E96)),"")</f>
        <v/>
      </c>
    </row>
    <row r="98" customHeight="1" spans="1:14">
      <c r="A98" s="17" t="str">
        <f>IF(盘货信息!A98="","",盘货信息!A98)</f>
        <v/>
      </c>
      <c r="B98" s="17" t="str">
        <f>IF(盘货信息!B98="","",盘货信息!B98)</f>
        <v/>
      </c>
      <c r="C98" s="18" t="str">
        <f>IF(盘货信息!C98="","",盘货信息!C98)</f>
        <v/>
      </c>
      <c r="D98" s="18" t="str">
        <f t="shared" si="1"/>
        <v/>
      </c>
      <c r="E98" s="18" t="str">
        <f>_xlfn.LET(_xlpm.A,IF(ISNUMBER(SEARCH("晒单",J98)),"【晒单】"&amp;MID(J98,SEARCH("晒单",J98)+LEN("晒单"),LEN(J98))&amp;"（需晒单后联系客服登记）",IF(ISNUMBER(SEARCH("包修",J98)),"【购机】"&amp;MID(J98,SEARCH("购机",J98)+LEN("购机"),LEN(J98)),IF(ISNUMBER(SEARCH("叠放支架",J98)),"【赠品】"&amp;MID(J98,SEARCH("购机",J98)+LEN("购机"),LEN(J98)),IF(ISNUMBER(SEARCH("秀图",J98)),"【秀图】"&amp;MID(J98,SEARCH("秀图",J98)+LEN("秀图"),LEN(J98)),"")))),IFERROR(LEFT(_xlpm.A,FIND("【",_xlpm.A,FIND("】",_xlpm.A)+1)-1)&amp;MID(_xlpm.A,FIND("】",_xlpm.A,FIND("】",_xlpm.A)+1)+1,LEN(_xlpm.A)),_xlpm.A))</f>
        <v/>
      </c>
      <c r="F98" s="18" t="str">
        <f>_xlfn.LET(_xlpm.A,IF(ISNUMBER(SEARCH("晒单",K98)),"【晒单】"&amp;MID(K98,SEARCH("晒单",K98)+LEN("晒单"),LEN(K98))&amp;"（需晒单后联系客服登记）",IF(ISNUMBER(SEARCH("包修",K98)),"【购机】"&amp;MID(K98,SEARCH("购机",K98)+LEN("购机"),LEN(K98)),IF(ISNUMBER(SEARCH("叠放支架",K98)),"【赠品】"&amp;MID(K98,SEARCH("购机",K98)+LEN("购机"),LEN(K98)),IF(ISNUMBER(SEARCH("秀图",K98)),"【秀图】"&amp;MID(K98,SEARCH("秀图",K98)+LEN("秀图"),LEN(K98)),"")))),IFERROR(LEFT(_xlpm.A,FIND("【",_xlpm.A,FIND("】",_xlpm.A)+1)-1)&amp;MID(_xlpm.A,FIND("】",_xlpm.A,FIND("】",_xlpm.A)+1)+1,LEN(_xlpm.A)),_xlpm.A))</f>
        <v/>
      </c>
      <c r="G98" s="18" t="str">
        <f>_xlfn.LET(_xlpm.A,IF(ISNUMBER(SEARCH("晒单",L98)),"【晒单】"&amp;MID(L98,SEARCH("晒单",L98)+LEN("晒单"),LEN(L98))&amp;"（需晒单后联系客服登记）",IF(ISNUMBER(SEARCH("包修",L98)),"【购机】"&amp;MID(L98,SEARCH("购机",L98)+LEN("购机"),LEN(L98)),IF(ISNUMBER(SEARCH("叠放支架",L98)),"【赠品】"&amp;MID(L98,SEARCH("购机",L98)+LEN("购机"),LEN(L98)),IF(ISNUMBER(SEARCH("秀图",L98)),"【秀图】"&amp;MID(L98,SEARCH("秀图",L98)+LEN("秀图"),LEN(L98)),"")))),IFERROR(LEFT(_xlpm.A,FIND("【",_xlpm.A,FIND("】",_xlpm.A)+1)-1)&amp;MID(_xlpm.A,FIND("】",_xlpm.A,FIND("】",_xlpm.A)+1)+1,LEN(_xlpm.A)),_xlpm.A))</f>
        <v/>
      </c>
      <c r="H98" s="18" t="str">
        <f>_xlfn.LET(_xlpm.A,IF(ISNUMBER(SEARCH("晒单",M98)),"【晒单】"&amp;MID(M98,SEARCH("晒单",M98)+LEN("晒单"),LEN(M98))&amp;"（需晒单后联系客服登记）",IF(ISNUMBER(SEARCH("包修",M98)),"【购机】"&amp;MID(M98,SEARCH("购机",M98)+LEN("购机"),LEN(M98)),IF(ISNUMBER(SEARCH("叠放支架",M98)),"【赠品】"&amp;MID(M98,SEARCH("购机",M98)+LEN("购机"),LEN(M98)),IF(ISNUMBER(SEARCH("秀图",M98)),"【秀图】"&amp;MID(M98,SEARCH("秀图",M98)+LEN("秀图"),LEN(M98)),"")))),IFERROR(LEFT(_xlpm.A,FIND("【",_xlpm.A,FIND("】",_xlpm.A)+1)-1)&amp;MID(_xlpm.A,FIND("】",_xlpm.A,FIND("】",_xlpm.A)+1)+1,LEN(_xlpm.A)),_xlpm.A))</f>
        <v/>
      </c>
      <c r="I98" s="18" t="str">
        <f>_xlfn.LET(_xlpm.A,IF(ISNUMBER(SEARCH("晒单",N98)),"【晒单】"&amp;MID(N98,SEARCH("晒单",N98)+LEN("晒单"),LEN(N98))&amp;"（需晒单后联系客服登记）",IF(ISNUMBER(SEARCH("包修",N98)),"【购机】"&amp;MID(N98,SEARCH("购机",N98)+LEN("购机"),LEN(N98)),IF(ISNUMBER(SEARCH("叠放支架",N98)),"【赠品】"&amp;MID(N98,SEARCH("购机",N98)+LEN("购机"),LEN(N98)),IF(ISNUMBER(SEARCH("秀图",N98)),"【秀图】"&amp;MID(N98,SEARCH("秀图",N98)+LEN("秀图"),LEN(N98)),"")))),IFERROR(LEFT(_xlpm.A,FIND("【",_xlpm.A,FIND("】",_xlpm.A)+1)-1)&amp;MID(_xlpm.A,FIND("】",_xlpm.A,FIND("】",_xlpm.A)+1)+1,LEN(_xlpm.A)),_xlpm.A))</f>
        <v/>
      </c>
      <c r="J98" s="18" t="str" cm="1">
        <f t="array" ref="J98">IFERROR(INDEX(_xlfn.TEXTSPLIT(_xlfn.XLOOKUP($A98&amp;$B98&amp;$C98,盘货信息!$A:$A&amp;盘货信息!$B:$B&amp;盘货信息!$C:$C,盘货信息!$S:$S),CHAR(10),,TRUE),1,COLUMN(A97)),"")</f>
        <v/>
      </c>
      <c r="K98" s="18" t="str" cm="1">
        <f t="array" ref="K98">IFERROR(INDEX(_xlfn.TEXTSPLIT(_xlfn.XLOOKUP($A98&amp;$B98&amp;$C98,盘货信息!$A:$A&amp;盘货信息!$B:$B&amp;盘货信息!$C:$C,盘货信息!$S:$S),CHAR(10),,TRUE),1,COLUMN(B97)),"")</f>
        <v/>
      </c>
      <c r="L98" s="18" t="str" cm="1">
        <f t="array" ref="L98">IFERROR(INDEX(_xlfn.TEXTSPLIT(_xlfn.XLOOKUP($A98&amp;$B98&amp;$C98,盘货信息!$A:$A&amp;盘货信息!$B:$B&amp;盘货信息!$C:$C,盘货信息!$S:$S),CHAR(10),,TRUE),1,COLUMN(C97)),"")</f>
        <v/>
      </c>
      <c r="M98" s="18" t="str" cm="1">
        <f t="array" ref="M98">IFERROR(INDEX(_xlfn.TEXTSPLIT(_xlfn.XLOOKUP($A98&amp;$B98&amp;$C98,盘货信息!$A:$A&amp;盘货信息!$B:$B&amp;盘货信息!$C:$C,盘货信息!$S:$S),CHAR(10),,TRUE),1,COLUMN(D97)),"")</f>
        <v/>
      </c>
      <c r="N98" s="18" t="str" cm="1">
        <f t="array" ref="N98">IFERROR(INDEX(_xlfn.TEXTSPLIT(_xlfn.XLOOKUP($A98&amp;$B98&amp;$C98,盘货信息!$A:$A&amp;盘货信息!$B:$B&amp;盘货信息!$C:$C,盘货信息!$S:$S),CHAR(10),,TRUE),1,COLUMN(E97)),"")</f>
        <v/>
      </c>
    </row>
    <row r="99" customHeight="1" spans="1:14">
      <c r="A99" s="17" t="str">
        <f>IF(盘货信息!A99="","",盘货信息!A99)</f>
        <v/>
      </c>
      <c r="B99" s="17" t="str">
        <f>IF(盘货信息!B99="","",盘货信息!B99)</f>
        <v/>
      </c>
      <c r="C99" s="18" t="str">
        <f>IF(盘货信息!C99="","",盘货信息!C99)</f>
        <v/>
      </c>
      <c r="D99" s="18" t="str">
        <f t="shared" si="1"/>
        <v/>
      </c>
      <c r="E99" s="18" t="str">
        <f>_xlfn.LET(_xlpm.A,IF(ISNUMBER(SEARCH("晒单",J99)),"【晒单】"&amp;MID(J99,SEARCH("晒单",J99)+LEN("晒单"),LEN(J99))&amp;"（需晒单后联系客服登记）",IF(ISNUMBER(SEARCH("包修",J99)),"【购机】"&amp;MID(J99,SEARCH("购机",J99)+LEN("购机"),LEN(J99)),IF(ISNUMBER(SEARCH("叠放支架",J99)),"【赠品】"&amp;MID(J99,SEARCH("购机",J99)+LEN("购机"),LEN(J99)),IF(ISNUMBER(SEARCH("秀图",J99)),"【秀图】"&amp;MID(J99,SEARCH("秀图",J99)+LEN("秀图"),LEN(J99)),"")))),IFERROR(LEFT(_xlpm.A,FIND("【",_xlpm.A,FIND("】",_xlpm.A)+1)-1)&amp;MID(_xlpm.A,FIND("】",_xlpm.A,FIND("】",_xlpm.A)+1)+1,LEN(_xlpm.A)),_xlpm.A))</f>
        <v/>
      </c>
      <c r="F99" s="18" t="str">
        <f>_xlfn.LET(_xlpm.A,IF(ISNUMBER(SEARCH("晒单",K99)),"【晒单】"&amp;MID(K99,SEARCH("晒单",K99)+LEN("晒单"),LEN(K99))&amp;"（需晒单后联系客服登记）",IF(ISNUMBER(SEARCH("包修",K99)),"【购机】"&amp;MID(K99,SEARCH("购机",K99)+LEN("购机"),LEN(K99)),IF(ISNUMBER(SEARCH("叠放支架",K99)),"【赠品】"&amp;MID(K99,SEARCH("购机",K99)+LEN("购机"),LEN(K99)),IF(ISNUMBER(SEARCH("秀图",K99)),"【秀图】"&amp;MID(K99,SEARCH("秀图",K99)+LEN("秀图"),LEN(K99)),"")))),IFERROR(LEFT(_xlpm.A,FIND("【",_xlpm.A,FIND("】",_xlpm.A)+1)-1)&amp;MID(_xlpm.A,FIND("】",_xlpm.A,FIND("】",_xlpm.A)+1)+1,LEN(_xlpm.A)),_xlpm.A))</f>
        <v/>
      </c>
      <c r="G99" s="18" t="str">
        <f>_xlfn.LET(_xlpm.A,IF(ISNUMBER(SEARCH("晒单",L99)),"【晒单】"&amp;MID(L99,SEARCH("晒单",L99)+LEN("晒单"),LEN(L99))&amp;"（需晒单后联系客服登记）",IF(ISNUMBER(SEARCH("包修",L99)),"【购机】"&amp;MID(L99,SEARCH("购机",L99)+LEN("购机"),LEN(L99)),IF(ISNUMBER(SEARCH("叠放支架",L99)),"【赠品】"&amp;MID(L99,SEARCH("购机",L99)+LEN("购机"),LEN(L99)),IF(ISNUMBER(SEARCH("秀图",L99)),"【秀图】"&amp;MID(L99,SEARCH("秀图",L99)+LEN("秀图"),LEN(L99)),"")))),IFERROR(LEFT(_xlpm.A,FIND("【",_xlpm.A,FIND("】",_xlpm.A)+1)-1)&amp;MID(_xlpm.A,FIND("】",_xlpm.A,FIND("】",_xlpm.A)+1)+1,LEN(_xlpm.A)),_xlpm.A))</f>
        <v/>
      </c>
      <c r="H99" s="18" t="str">
        <f>_xlfn.LET(_xlpm.A,IF(ISNUMBER(SEARCH("晒单",M99)),"【晒单】"&amp;MID(M99,SEARCH("晒单",M99)+LEN("晒单"),LEN(M99))&amp;"（需晒单后联系客服登记）",IF(ISNUMBER(SEARCH("包修",M99)),"【购机】"&amp;MID(M99,SEARCH("购机",M99)+LEN("购机"),LEN(M99)),IF(ISNUMBER(SEARCH("叠放支架",M99)),"【赠品】"&amp;MID(M99,SEARCH("购机",M99)+LEN("购机"),LEN(M99)),IF(ISNUMBER(SEARCH("秀图",M99)),"【秀图】"&amp;MID(M99,SEARCH("秀图",M99)+LEN("秀图"),LEN(M99)),"")))),IFERROR(LEFT(_xlpm.A,FIND("【",_xlpm.A,FIND("】",_xlpm.A)+1)-1)&amp;MID(_xlpm.A,FIND("】",_xlpm.A,FIND("】",_xlpm.A)+1)+1,LEN(_xlpm.A)),_xlpm.A))</f>
        <v/>
      </c>
      <c r="I99" s="18" t="str">
        <f>_xlfn.LET(_xlpm.A,IF(ISNUMBER(SEARCH("晒单",N99)),"【晒单】"&amp;MID(N99,SEARCH("晒单",N99)+LEN("晒单"),LEN(N99))&amp;"（需晒单后联系客服登记）",IF(ISNUMBER(SEARCH("包修",N99)),"【购机】"&amp;MID(N99,SEARCH("购机",N99)+LEN("购机"),LEN(N99)),IF(ISNUMBER(SEARCH("叠放支架",N99)),"【赠品】"&amp;MID(N99,SEARCH("购机",N99)+LEN("购机"),LEN(N99)),IF(ISNUMBER(SEARCH("秀图",N99)),"【秀图】"&amp;MID(N99,SEARCH("秀图",N99)+LEN("秀图"),LEN(N99)),"")))),IFERROR(LEFT(_xlpm.A,FIND("【",_xlpm.A,FIND("】",_xlpm.A)+1)-1)&amp;MID(_xlpm.A,FIND("】",_xlpm.A,FIND("】",_xlpm.A)+1)+1,LEN(_xlpm.A)),_xlpm.A))</f>
        <v/>
      </c>
      <c r="J99" s="18" t="str" cm="1">
        <f t="array" ref="J99">IFERROR(INDEX(_xlfn.TEXTSPLIT(_xlfn.XLOOKUP($A99&amp;$B99&amp;$C99,盘货信息!$A:$A&amp;盘货信息!$B:$B&amp;盘货信息!$C:$C,盘货信息!$S:$S),CHAR(10),,TRUE),1,COLUMN(A98)),"")</f>
        <v/>
      </c>
      <c r="K99" s="18" t="str" cm="1">
        <f t="array" ref="K99">IFERROR(INDEX(_xlfn.TEXTSPLIT(_xlfn.XLOOKUP($A99&amp;$B99&amp;$C99,盘货信息!$A:$A&amp;盘货信息!$B:$B&amp;盘货信息!$C:$C,盘货信息!$S:$S),CHAR(10),,TRUE),1,COLUMN(B98)),"")</f>
        <v/>
      </c>
      <c r="L99" s="18" t="str" cm="1">
        <f t="array" ref="L99">IFERROR(INDEX(_xlfn.TEXTSPLIT(_xlfn.XLOOKUP($A99&amp;$B99&amp;$C99,盘货信息!$A:$A&amp;盘货信息!$B:$B&amp;盘货信息!$C:$C,盘货信息!$S:$S),CHAR(10),,TRUE),1,COLUMN(C98)),"")</f>
        <v/>
      </c>
      <c r="M99" s="18" t="str" cm="1">
        <f t="array" ref="M99">IFERROR(INDEX(_xlfn.TEXTSPLIT(_xlfn.XLOOKUP($A99&amp;$B99&amp;$C99,盘货信息!$A:$A&amp;盘货信息!$B:$B&amp;盘货信息!$C:$C,盘货信息!$S:$S),CHAR(10),,TRUE),1,COLUMN(D98)),"")</f>
        <v/>
      </c>
      <c r="N99" s="18" t="str" cm="1">
        <f t="array" ref="N99">IFERROR(INDEX(_xlfn.TEXTSPLIT(_xlfn.XLOOKUP($A99&amp;$B99&amp;$C99,盘货信息!$A:$A&amp;盘货信息!$B:$B&amp;盘货信息!$C:$C,盘货信息!$S:$S),CHAR(10),,TRUE),1,COLUMN(E98)),"")</f>
        <v/>
      </c>
    </row>
    <row r="100" customHeight="1" spans="1:14">
      <c r="A100" s="17" t="str">
        <f>IF(盘货信息!A100="","",盘货信息!A100)</f>
        <v/>
      </c>
      <c r="B100" s="17" t="str">
        <f>IF(盘货信息!B100="","",盘货信息!B100)</f>
        <v/>
      </c>
      <c r="C100" s="18" t="str">
        <f>IF(盘货信息!C100="","",盘货信息!C100)</f>
        <v/>
      </c>
      <c r="D100" s="18" t="str">
        <f t="shared" si="1"/>
        <v/>
      </c>
      <c r="E100" s="18" t="str">
        <f>_xlfn.LET(_xlpm.A,IF(ISNUMBER(SEARCH("晒单",J100)),"【晒单】"&amp;MID(J100,SEARCH("晒单",J100)+LEN("晒单"),LEN(J100))&amp;"（需晒单后联系客服登记）",IF(ISNUMBER(SEARCH("包修",J100)),"【购机】"&amp;MID(J100,SEARCH("购机",J100)+LEN("购机"),LEN(J100)),IF(ISNUMBER(SEARCH("叠放支架",J100)),"【赠品】"&amp;MID(J100,SEARCH("购机",J100)+LEN("购机"),LEN(J100)),IF(ISNUMBER(SEARCH("秀图",J100)),"【秀图】"&amp;MID(J100,SEARCH("秀图",J100)+LEN("秀图"),LEN(J100)),"")))),IFERROR(LEFT(_xlpm.A,FIND("【",_xlpm.A,FIND("】",_xlpm.A)+1)-1)&amp;MID(_xlpm.A,FIND("】",_xlpm.A,FIND("】",_xlpm.A)+1)+1,LEN(_xlpm.A)),_xlpm.A))</f>
        <v/>
      </c>
      <c r="F100" s="18" t="str">
        <f>_xlfn.LET(_xlpm.A,IF(ISNUMBER(SEARCH("晒单",K100)),"【晒单】"&amp;MID(K100,SEARCH("晒单",K100)+LEN("晒单"),LEN(K100))&amp;"（需晒单后联系客服登记）",IF(ISNUMBER(SEARCH("包修",K100)),"【购机】"&amp;MID(K100,SEARCH("购机",K100)+LEN("购机"),LEN(K100)),IF(ISNUMBER(SEARCH("叠放支架",K100)),"【赠品】"&amp;MID(K100,SEARCH("购机",K100)+LEN("购机"),LEN(K100)),IF(ISNUMBER(SEARCH("秀图",K100)),"【秀图】"&amp;MID(K100,SEARCH("秀图",K100)+LEN("秀图"),LEN(K100)),"")))),IFERROR(LEFT(_xlpm.A,FIND("【",_xlpm.A,FIND("】",_xlpm.A)+1)-1)&amp;MID(_xlpm.A,FIND("】",_xlpm.A,FIND("】",_xlpm.A)+1)+1,LEN(_xlpm.A)),_xlpm.A))</f>
        <v/>
      </c>
      <c r="G100" s="18" t="str">
        <f>_xlfn.LET(_xlpm.A,IF(ISNUMBER(SEARCH("晒单",L100)),"【晒单】"&amp;MID(L100,SEARCH("晒单",L100)+LEN("晒单"),LEN(L100))&amp;"（需晒单后联系客服登记）",IF(ISNUMBER(SEARCH("包修",L100)),"【购机】"&amp;MID(L100,SEARCH("购机",L100)+LEN("购机"),LEN(L100)),IF(ISNUMBER(SEARCH("叠放支架",L100)),"【赠品】"&amp;MID(L100,SEARCH("购机",L100)+LEN("购机"),LEN(L100)),IF(ISNUMBER(SEARCH("秀图",L100)),"【秀图】"&amp;MID(L100,SEARCH("秀图",L100)+LEN("秀图"),LEN(L100)),"")))),IFERROR(LEFT(_xlpm.A,FIND("【",_xlpm.A,FIND("】",_xlpm.A)+1)-1)&amp;MID(_xlpm.A,FIND("】",_xlpm.A,FIND("】",_xlpm.A)+1)+1,LEN(_xlpm.A)),_xlpm.A))</f>
        <v/>
      </c>
      <c r="H100" s="18" t="str">
        <f>_xlfn.LET(_xlpm.A,IF(ISNUMBER(SEARCH("晒单",M100)),"【晒单】"&amp;MID(M100,SEARCH("晒单",M100)+LEN("晒单"),LEN(M100))&amp;"（需晒单后联系客服登记）",IF(ISNUMBER(SEARCH("包修",M100)),"【购机】"&amp;MID(M100,SEARCH("购机",M100)+LEN("购机"),LEN(M100)),IF(ISNUMBER(SEARCH("叠放支架",M100)),"【赠品】"&amp;MID(M100,SEARCH("购机",M100)+LEN("购机"),LEN(M100)),IF(ISNUMBER(SEARCH("秀图",M100)),"【秀图】"&amp;MID(M100,SEARCH("秀图",M100)+LEN("秀图"),LEN(M100)),"")))),IFERROR(LEFT(_xlpm.A,FIND("【",_xlpm.A,FIND("】",_xlpm.A)+1)-1)&amp;MID(_xlpm.A,FIND("】",_xlpm.A,FIND("】",_xlpm.A)+1)+1,LEN(_xlpm.A)),_xlpm.A))</f>
        <v/>
      </c>
      <c r="I100" s="18" t="str">
        <f>_xlfn.LET(_xlpm.A,IF(ISNUMBER(SEARCH("晒单",N100)),"【晒单】"&amp;MID(N100,SEARCH("晒单",N100)+LEN("晒单"),LEN(N100))&amp;"（需晒单后联系客服登记）",IF(ISNUMBER(SEARCH("包修",N100)),"【购机】"&amp;MID(N100,SEARCH("购机",N100)+LEN("购机"),LEN(N100)),IF(ISNUMBER(SEARCH("叠放支架",N100)),"【赠品】"&amp;MID(N100,SEARCH("购机",N100)+LEN("购机"),LEN(N100)),IF(ISNUMBER(SEARCH("秀图",N100)),"【秀图】"&amp;MID(N100,SEARCH("秀图",N100)+LEN("秀图"),LEN(N100)),"")))),IFERROR(LEFT(_xlpm.A,FIND("【",_xlpm.A,FIND("】",_xlpm.A)+1)-1)&amp;MID(_xlpm.A,FIND("】",_xlpm.A,FIND("】",_xlpm.A)+1)+1,LEN(_xlpm.A)),_xlpm.A))</f>
        <v/>
      </c>
      <c r="J100" s="18" t="str" cm="1">
        <f t="array" ref="J100">IFERROR(INDEX(_xlfn.TEXTSPLIT(_xlfn.XLOOKUP($A100&amp;$B100&amp;$C100,盘货信息!$A:$A&amp;盘货信息!$B:$B&amp;盘货信息!$C:$C,盘货信息!$S:$S),CHAR(10),,TRUE),1,COLUMN(A99)),"")</f>
        <v/>
      </c>
      <c r="K100" s="18" t="str" cm="1">
        <f t="array" ref="K100">IFERROR(INDEX(_xlfn.TEXTSPLIT(_xlfn.XLOOKUP($A100&amp;$B100&amp;$C100,盘货信息!$A:$A&amp;盘货信息!$B:$B&amp;盘货信息!$C:$C,盘货信息!$S:$S),CHAR(10),,TRUE),1,COLUMN(B99)),"")</f>
        <v/>
      </c>
      <c r="L100" s="18" t="str" cm="1">
        <f t="array" ref="L100">IFERROR(INDEX(_xlfn.TEXTSPLIT(_xlfn.XLOOKUP($A100&amp;$B100&amp;$C100,盘货信息!$A:$A&amp;盘货信息!$B:$B&amp;盘货信息!$C:$C,盘货信息!$S:$S),CHAR(10),,TRUE),1,COLUMN(C99)),"")</f>
        <v/>
      </c>
      <c r="M100" s="18" t="str" cm="1">
        <f t="array" ref="M100">IFERROR(INDEX(_xlfn.TEXTSPLIT(_xlfn.XLOOKUP($A100&amp;$B100&amp;$C100,盘货信息!$A:$A&amp;盘货信息!$B:$B&amp;盘货信息!$C:$C,盘货信息!$S:$S),CHAR(10),,TRUE),1,COLUMN(D99)),"")</f>
        <v/>
      </c>
      <c r="N100" s="18" t="str" cm="1">
        <f t="array" ref="N100">IFERROR(INDEX(_xlfn.TEXTSPLIT(_xlfn.XLOOKUP($A100&amp;$B100&amp;$C100,盘货信息!$A:$A&amp;盘货信息!$B:$B&amp;盘货信息!$C:$C,盘货信息!$S:$S),CHAR(10),,TRUE),1,COLUMN(E99)),"")</f>
        <v/>
      </c>
    </row>
    <row r="101" customHeight="1" spans="1:14">
      <c r="A101" s="17" t="str">
        <f>IF(盘货信息!A101="","",盘货信息!A101)</f>
        <v/>
      </c>
      <c r="B101" s="17" t="str">
        <f>IF(盘货信息!B101="","",盘货信息!B101)</f>
        <v/>
      </c>
      <c r="C101" s="18" t="str">
        <f>IF(盘货信息!C101="","",盘货信息!C101)</f>
        <v/>
      </c>
      <c r="D101" s="18" t="str">
        <f t="shared" si="1"/>
        <v/>
      </c>
      <c r="E101" s="18" t="str">
        <f>_xlfn.LET(_xlpm.A,IF(ISNUMBER(SEARCH("晒单",J101)),"【晒单】"&amp;MID(J101,SEARCH("晒单",J101)+LEN("晒单"),LEN(J101))&amp;"（需晒单后联系客服登记）",IF(ISNUMBER(SEARCH("包修",J101)),"【购机】"&amp;MID(J101,SEARCH("购机",J101)+LEN("购机"),LEN(J101)),IF(ISNUMBER(SEARCH("叠放支架",J101)),"【赠品】"&amp;MID(J101,SEARCH("购机",J101)+LEN("购机"),LEN(J101)),IF(ISNUMBER(SEARCH("秀图",J101)),"【秀图】"&amp;MID(J101,SEARCH("秀图",J101)+LEN("秀图"),LEN(J101)),"")))),IFERROR(LEFT(_xlpm.A,FIND("【",_xlpm.A,FIND("】",_xlpm.A)+1)-1)&amp;MID(_xlpm.A,FIND("】",_xlpm.A,FIND("】",_xlpm.A)+1)+1,LEN(_xlpm.A)),_xlpm.A))</f>
        <v/>
      </c>
      <c r="F101" s="18" t="str">
        <f>_xlfn.LET(_xlpm.A,IF(ISNUMBER(SEARCH("晒单",K101)),"【晒单】"&amp;MID(K101,SEARCH("晒单",K101)+LEN("晒单"),LEN(K101))&amp;"（需晒单后联系客服登记）",IF(ISNUMBER(SEARCH("包修",K101)),"【购机】"&amp;MID(K101,SEARCH("购机",K101)+LEN("购机"),LEN(K101)),IF(ISNUMBER(SEARCH("叠放支架",K101)),"【赠品】"&amp;MID(K101,SEARCH("购机",K101)+LEN("购机"),LEN(K101)),IF(ISNUMBER(SEARCH("秀图",K101)),"【秀图】"&amp;MID(K101,SEARCH("秀图",K101)+LEN("秀图"),LEN(K101)),"")))),IFERROR(LEFT(_xlpm.A,FIND("【",_xlpm.A,FIND("】",_xlpm.A)+1)-1)&amp;MID(_xlpm.A,FIND("】",_xlpm.A,FIND("】",_xlpm.A)+1)+1,LEN(_xlpm.A)),_xlpm.A))</f>
        <v/>
      </c>
      <c r="G101" s="18" t="str">
        <f>_xlfn.LET(_xlpm.A,IF(ISNUMBER(SEARCH("晒单",L101)),"【晒单】"&amp;MID(L101,SEARCH("晒单",L101)+LEN("晒单"),LEN(L101))&amp;"（需晒单后联系客服登记）",IF(ISNUMBER(SEARCH("包修",L101)),"【购机】"&amp;MID(L101,SEARCH("购机",L101)+LEN("购机"),LEN(L101)),IF(ISNUMBER(SEARCH("叠放支架",L101)),"【赠品】"&amp;MID(L101,SEARCH("购机",L101)+LEN("购机"),LEN(L101)),IF(ISNUMBER(SEARCH("秀图",L101)),"【秀图】"&amp;MID(L101,SEARCH("秀图",L101)+LEN("秀图"),LEN(L101)),"")))),IFERROR(LEFT(_xlpm.A,FIND("【",_xlpm.A,FIND("】",_xlpm.A)+1)-1)&amp;MID(_xlpm.A,FIND("】",_xlpm.A,FIND("】",_xlpm.A)+1)+1,LEN(_xlpm.A)),_xlpm.A))</f>
        <v/>
      </c>
      <c r="H101" s="18" t="str">
        <f>_xlfn.LET(_xlpm.A,IF(ISNUMBER(SEARCH("晒单",M101)),"【晒单】"&amp;MID(M101,SEARCH("晒单",M101)+LEN("晒单"),LEN(M101))&amp;"（需晒单后联系客服登记）",IF(ISNUMBER(SEARCH("包修",M101)),"【购机】"&amp;MID(M101,SEARCH("购机",M101)+LEN("购机"),LEN(M101)),IF(ISNUMBER(SEARCH("叠放支架",M101)),"【赠品】"&amp;MID(M101,SEARCH("购机",M101)+LEN("购机"),LEN(M101)),IF(ISNUMBER(SEARCH("秀图",M101)),"【秀图】"&amp;MID(M101,SEARCH("秀图",M101)+LEN("秀图"),LEN(M101)),"")))),IFERROR(LEFT(_xlpm.A,FIND("【",_xlpm.A,FIND("】",_xlpm.A)+1)-1)&amp;MID(_xlpm.A,FIND("】",_xlpm.A,FIND("】",_xlpm.A)+1)+1,LEN(_xlpm.A)),_xlpm.A))</f>
        <v/>
      </c>
      <c r="I101" s="18" t="str">
        <f>_xlfn.LET(_xlpm.A,IF(ISNUMBER(SEARCH("晒单",N101)),"【晒单】"&amp;MID(N101,SEARCH("晒单",N101)+LEN("晒单"),LEN(N101))&amp;"（需晒单后联系客服登记）",IF(ISNUMBER(SEARCH("包修",N101)),"【购机】"&amp;MID(N101,SEARCH("购机",N101)+LEN("购机"),LEN(N101)),IF(ISNUMBER(SEARCH("叠放支架",N101)),"【赠品】"&amp;MID(N101,SEARCH("购机",N101)+LEN("购机"),LEN(N101)),IF(ISNUMBER(SEARCH("秀图",N101)),"【秀图】"&amp;MID(N101,SEARCH("秀图",N101)+LEN("秀图"),LEN(N101)),"")))),IFERROR(LEFT(_xlpm.A,FIND("【",_xlpm.A,FIND("】",_xlpm.A)+1)-1)&amp;MID(_xlpm.A,FIND("】",_xlpm.A,FIND("】",_xlpm.A)+1)+1,LEN(_xlpm.A)),_xlpm.A))</f>
        <v/>
      </c>
      <c r="J101" s="18" t="str" cm="1">
        <f t="array" ref="J101">IFERROR(INDEX(_xlfn.TEXTSPLIT(_xlfn.XLOOKUP($A101&amp;$B101&amp;$C101,盘货信息!$A:$A&amp;盘货信息!$B:$B&amp;盘货信息!$C:$C,盘货信息!$S:$S),CHAR(10),,TRUE),1,COLUMN(A100)),"")</f>
        <v/>
      </c>
      <c r="K101" s="18" t="str" cm="1">
        <f t="array" ref="K101">IFERROR(INDEX(_xlfn.TEXTSPLIT(_xlfn.XLOOKUP($A101&amp;$B101&amp;$C101,盘货信息!$A:$A&amp;盘货信息!$B:$B&amp;盘货信息!$C:$C,盘货信息!$S:$S),CHAR(10),,TRUE),1,COLUMN(B100)),"")</f>
        <v/>
      </c>
      <c r="L101" s="18" t="str" cm="1">
        <f t="array" ref="L101">IFERROR(INDEX(_xlfn.TEXTSPLIT(_xlfn.XLOOKUP($A101&amp;$B101&amp;$C101,盘货信息!$A:$A&amp;盘货信息!$B:$B&amp;盘货信息!$C:$C,盘货信息!$S:$S),CHAR(10),,TRUE),1,COLUMN(C100)),"")</f>
        <v/>
      </c>
      <c r="M101" s="18" t="str" cm="1">
        <f t="array" ref="M101">IFERROR(INDEX(_xlfn.TEXTSPLIT(_xlfn.XLOOKUP($A101&amp;$B101&amp;$C101,盘货信息!$A:$A&amp;盘货信息!$B:$B&amp;盘货信息!$C:$C,盘货信息!$S:$S),CHAR(10),,TRUE),1,COLUMN(D100)),"")</f>
        <v/>
      </c>
      <c r="N101" s="18" t="str" cm="1">
        <f t="array" ref="N101">IFERROR(INDEX(_xlfn.TEXTSPLIT(_xlfn.XLOOKUP($A101&amp;$B101&amp;$C101,盘货信息!$A:$A&amp;盘货信息!$B:$B&amp;盘货信息!$C:$C,盘货信息!$S:$S),CHAR(10),,TRUE),1,COLUMN(E100)),"")</f>
        <v/>
      </c>
    </row>
    <row r="102" customHeight="1" spans="1:14">
      <c r="A102" s="17" t="str">
        <f>IF(盘货信息!A102="","",盘货信息!A102)</f>
        <v/>
      </c>
      <c r="B102" s="17" t="str">
        <f>IF(盘货信息!B102="","",盘货信息!B102)</f>
        <v/>
      </c>
      <c r="C102" s="18" t="str">
        <f>IF(盘货信息!C102="","",盘货信息!C102)</f>
        <v/>
      </c>
      <c r="D102" s="18" t="str">
        <f t="shared" si="1"/>
        <v/>
      </c>
      <c r="E102" s="18" t="str">
        <f>_xlfn.LET(_xlpm.A,IF(ISNUMBER(SEARCH("晒单",J102)),"【晒单】"&amp;MID(J102,SEARCH("晒单",J102)+LEN("晒单"),LEN(J102))&amp;"（需晒单后联系客服登记）",IF(ISNUMBER(SEARCH("包修",J102)),"【购机】"&amp;MID(J102,SEARCH("购机",J102)+LEN("购机"),LEN(J102)),IF(ISNUMBER(SEARCH("叠放支架",J102)),"【赠品】"&amp;MID(J102,SEARCH("购机",J102)+LEN("购机"),LEN(J102)),IF(ISNUMBER(SEARCH("秀图",J102)),"【秀图】"&amp;MID(J102,SEARCH("秀图",J102)+LEN("秀图"),LEN(J102)),"")))),IFERROR(LEFT(_xlpm.A,FIND("【",_xlpm.A,FIND("】",_xlpm.A)+1)-1)&amp;MID(_xlpm.A,FIND("】",_xlpm.A,FIND("】",_xlpm.A)+1)+1,LEN(_xlpm.A)),_xlpm.A))</f>
        <v/>
      </c>
      <c r="F102" s="18" t="str">
        <f>_xlfn.LET(_xlpm.A,IF(ISNUMBER(SEARCH("晒单",K102)),"【晒单】"&amp;MID(K102,SEARCH("晒单",K102)+LEN("晒单"),LEN(K102))&amp;"（需晒单后联系客服登记）",IF(ISNUMBER(SEARCH("包修",K102)),"【购机】"&amp;MID(K102,SEARCH("购机",K102)+LEN("购机"),LEN(K102)),IF(ISNUMBER(SEARCH("叠放支架",K102)),"【赠品】"&amp;MID(K102,SEARCH("购机",K102)+LEN("购机"),LEN(K102)),IF(ISNUMBER(SEARCH("秀图",K102)),"【秀图】"&amp;MID(K102,SEARCH("秀图",K102)+LEN("秀图"),LEN(K102)),"")))),IFERROR(LEFT(_xlpm.A,FIND("【",_xlpm.A,FIND("】",_xlpm.A)+1)-1)&amp;MID(_xlpm.A,FIND("】",_xlpm.A,FIND("】",_xlpm.A)+1)+1,LEN(_xlpm.A)),_xlpm.A))</f>
        <v/>
      </c>
      <c r="G102" s="18" t="str">
        <f>_xlfn.LET(_xlpm.A,IF(ISNUMBER(SEARCH("晒单",L102)),"【晒单】"&amp;MID(L102,SEARCH("晒单",L102)+LEN("晒单"),LEN(L102))&amp;"（需晒单后联系客服登记）",IF(ISNUMBER(SEARCH("包修",L102)),"【购机】"&amp;MID(L102,SEARCH("购机",L102)+LEN("购机"),LEN(L102)),IF(ISNUMBER(SEARCH("叠放支架",L102)),"【赠品】"&amp;MID(L102,SEARCH("购机",L102)+LEN("购机"),LEN(L102)),IF(ISNUMBER(SEARCH("秀图",L102)),"【秀图】"&amp;MID(L102,SEARCH("秀图",L102)+LEN("秀图"),LEN(L102)),"")))),IFERROR(LEFT(_xlpm.A,FIND("【",_xlpm.A,FIND("】",_xlpm.A)+1)-1)&amp;MID(_xlpm.A,FIND("】",_xlpm.A,FIND("】",_xlpm.A)+1)+1,LEN(_xlpm.A)),_xlpm.A))</f>
        <v/>
      </c>
      <c r="H102" s="18" t="str">
        <f>_xlfn.LET(_xlpm.A,IF(ISNUMBER(SEARCH("晒单",M102)),"【晒单】"&amp;MID(M102,SEARCH("晒单",M102)+LEN("晒单"),LEN(M102))&amp;"（需晒单后联系客服登记）",IF(ISNUMBER(SEARCH("包修",M102)),"【购机】"&amp;MID(M102,SEARCH("购机",M102)+LEN("购机"),LEN(M102)),IF(ISNUMBER(SEARCH("叠放支架",M102)),"【赠品】"&amp;MID(M102,SEARCH("购机",M102)+LEN("购机"),LEN(M102)),IF(ISNUMBER(SEARCH("秀图",M102)),"【秀图】"&amp;MID(M102,SEARCH("秀图",M102)+LEN("秀图"),LEN(M102)),"")))),IFERROR(LEFT(_xlpm.A,FIND("【",_xlpm.A,FIND("】",_xlpm.A)+1)-1)&amp;MID(_xlpm.A,FIND("】",_xlpm.A,FIND("】",_xlpm.A)+1)+1,LEN(_xlpm.A)),_xlpm.A))</f>
        <v/>
      </c>
      <c r="I102" s="18" t="str">
        <f>_xlfn.LET(_xlpm.A,IF(ISNUMBER(SEARCH("晒单",N102)),"【晒单】"&amp;MID(N102,SEARCH("晒单",N102)+LEN("晒单"),LEN(N102))&amp;"（需晒单后联系客服登记）",IF(ISNUMBER(SEARCH("包修",N102)),"【购机】"&amp;MID(N102,SEARCH("购机",N102)+LEN("购机"),LEN(N102)),IF(ISNUMBER(SEARCH("叠放支架",N102)),"【赠品】"&amp;MID(N102,SEARCH("购机",N102)+LEN("购机"),LEN(N102)),IF(ISNUMBER(SEARCH("秀图",N102)),"【秀图】"&amp;MID(N102,SEARCH("秀图",N102)+LEN("秀图"),LEN(N102)),"")))),IFERROR(LEFT(_xlpm.A,FIND("【",_xlpm.A,FIND("】",_xlpm.A)+1)-1)&amp;MID(_xlpm.A,FIND("】",_xlpm.A,FIND("】",_xlpm.A)+1)+1,LEN(_xlpm.A)),_xlpm.A))</f>
        <v/>
      </c>
      <c r="J102" s="18" t="str" cm="1">
        <f t="array" ref="J102">IFERROR(INDEX(_xlfn.TEXTSPLIT(_xlfn.XLOOKUP($A102&amp;$B102&amp;$C102,盘货信息!$A:$A&amp;盘货信息!$B:$B&amp;盘货信息!$C:$C,盘货信息!$S:$S),CHAR(10),,TRUE),1,COLUMN(A101)),"")</f>
        <v/>
      </c>
      <c r="K102" s="18" t="str" cm="1">
        <f t="array" ref="K102">IFERROR(INDEX(_xlfn.TEXTSPLIT(_xlfn.XLOOKUP($A102&amp;$B102&amp;$C102,盘货信息!$A:$A&amp;盘货信息!$B:$B&amp;盘货信息!$C:$C,盘货信息!$S:$S),CHAR(10),,TRUE),1,COLUMN(B101)),"")</f>
        <v/>
      </c>
      <c r="L102" s="18" t="str" cm="1">
        <f t="array" ref="L102">IFERROR(INDEX(_xlfn.TEXTSPLIT(_xlfn.XLOOKUP($A102&amp;$B102&amp;$C102,盘货信息!$A:$A&amp;盘货信息!$B:$B&amp;盘货信息!$C:$C,盘货信息!$S:$S),CHAR(10),,TRUE),1,COLUMN(C101)),"")</f>
        <v/>
      </c>
      <c r="M102" s="18" t="str" cm="1">
        <f t="array" ref="M102">IFERROR(INDEX(_xlfn.TEXTSPLIT(_xlfn.XLOOKUP($A102&amp;$B102&amp;$C102,盘货信息!$A:$A&amp;盘货信息!$B:$B&amp;盘货信息!$C:$C,盘货信息!$S:$S),CHAR(10),,TRUE),1,COLUMN(D101)),"")</f>
        <v/>
      </c>
      <c r="N102" s="18" t="str" cm="1">
        <f t="array" ref="N102">IFERROR(INDEX(_xlfn.TEXTSPLIT(_xlfn.XLOOKUP($A102&amp;$B102&amp;$C102,盘货信息!$A:$A&amp;盘货信息!$B:$B&amp;盘货信息!$C:$C,盘货信息!$S:$S),CHAR(10),,TRUE),1,COLUMN(E101)),"")</f>
        <v/>
      </c>
    </row>
    <row r="103" customHeight="1" spans="1:14">
      <c r="A103" s="17" t="str">
        <f>IF(盘货信息!A103="","",盘货信息!A103)</f>
        <v/>
      </c>
      <c r="B103" s="17" t="str">
        <f>IF(盘货信息!B103="","",盘货信息!B103)</f>
        <v/>
      </c>
      <c r="C103" s="18" t="str">
        <f>IF(盘货信息!C103="","",盘货信息!C103)</f>
        <v/>
      </c>
      <c r="D103" s="18" t="str">
        <f t="shared" si="1"/>
        <v/>
      </c>
      <c r="E103" s="18" t="str">
        <f>_xlfn.LET(_xlpm.A,IF(ISNUMBER(SEARCH("晒单",J103)),"【晒单】"&amp;MID(J103,SEARCH("晒单",J103)+LEN("晒单"),LEN(J103))&amp;"（需晒单后联系客服登记）",IF(ISNUMBER(SEARCH("包修",J103)),"【购机】"&amp;MID(J103,SEARCH("购机",J103)+LEN("购机"),LEN(J103)),IF(ISNUMBER(SEARCH("叠放支架",J103)),"【赠品】"&amp;MID(J103,SEARCH("购机",J103)+LEN("购机"),LEN(J103)),IF(ISNUMBER(SEARCH("秀图",J103)),"【秀图】"&amp;MID(J103,SEARCH("秀图",J103)+LEN("秀图"),LEN(J103)),"")))),IFERROR(LEFT(_xlpm.A,FIND("【",_xlpm.A,FIND("】",_xlpm.A)+1)-1)&amp;MID(_xlpm.A,FIND("】",_xlpm.A,FIND("】",_xlpm.A)+1)+1,LEN(_xlpm.A)),_xlpm.A))</f>
        <v/>
      </c>
      <c r="F103" s="18" t="str">
        <f>_xlfn.LET(_xlpm.A,IF(ISNUMBER(SEARCH("晒单",K103)),"【晒单】"&amp;MID(K103,SEARCH("晒单",K103)+LEN("晒单"),LEN(K103))&amp;"（需晒单后联系客服登记）",IF(ISNUMBER(SEARCH("包修",K103)),"【购机】"&amp;MID(K103,SEARCH("购机",K103)+LEN("购机"),LEN(K103)),IF(ISNUMBER(SEARCH("叠放支架",K103)),"【赠品】"&amp;MID(K103,SEARCH("购机",K103)+LEN("购机"),LEN(K103)),IF(ISNUMBER(SEARCH("秀图",K103)),"【秀图】"&amp;MID(K103,SEARCH("秀图",K103)+LEN("秀图"),LEN(K103)),"")))),IFERROR(LEFT(_xlpm.A,FIND("【",_xlpm.A,FIND("】",_xlpm.A)+1)-1)&amp;MID(_xlpm.A,FIND("】",_xlpm.A,FIND("】",_xlpm.A)+1)+1,LEN(_xlpm.A)),_xlpm.A))</f>
        <v/>
      </c>
      <c r="G103" s="18" t="str">
        <f>_xlfn.LET(_xlpm.A,IF(ISNUMBER(SEARCH("晒单",L103)),"【晒单】"&amp;MID(L103,SEARCH("晒单",L103)+LEN("晒单"),LEN(L103))&amp;"（需晒单后联系客服登记）",IF(ISNUMBER(SEARCH("包修",L103)),"【购机】"&amp;MID(L103,SEARCH("购机",L103)+LEN("购机"),LEN(L103)),IF(ISNUMBER(SEARCH("叠放支架",L103)),"【赠品】"&amp;MID(L103,SEARCH("购机",L103)+LEN("购机"),LEN(L103)),IF(ISNUMBER(SEARCH("秀图",L103)),"【秀图】"&amp;MID(L103,SEARCH("秀图",L103)+LEN("秀图"),LEN(L103)),"")))),IFERROR(LEFT(_xlpm.A,FIND("【",_xlpm.A,FIND("】",_xlpm.A)+1)-1)&amp;MID(_xlpm.A,FIND("】",_xlpm.A,FIND("】",_xlpm.A)+1)+1,LEN(_xlpm.A)),_xlpm.A))</f>
        <v/>
      </c>
      <c r="H103" s="18" t="str">
        <f>_xlfn.LET(_xlpm.A,IF(ISNUMBER(SEARCH("晒单",M103)),"【晒单】"&amp;MID(M103,SEARCH("晒单",M103)+LEN("晒单"),LEN(M103))&amp;"（需晒单后联系客服登记）",IF(ISNUMBER(SEARCH("包修",M103)),"【购机】"&amp;MID(M103,SEARCH("购机",M103)+LEN("购机"),LEN(M103)),IF(ISNUMBER(SEARCH("叠放支架",M103)),"【赠品】"&amp;MID(M103,SEARCH("购机",M103)+LEN("购机"),LEN(M103)),IF(ISNUMBER(SEARCH("秀图",M103)),"【秀图】"&amp;MID(M103,SEARCH("秀图",M103)+LEN("秀图"),LEN(M103)),"")))),IFERROR(LEFT(_xlpm.A,FIND("【",_xlpm.A,FIND("】",_xlpm.A)+1)-1)&amp;MID(_xlpm.A,FIND("】",_xlpm.A,FIND("】",_xlpm.A)+1)+1,LEN(_xlpm.A)),_xlpm.A))</f>
        <v/>
      </c>
      <c r="I103" s="18" t="str">
        <f>_xlfn.LET(_xlpm.A,IF(ISNUMBER(SEARCH("晒单",N103)),"【晒单】"&amp;MID(N103,SEARCH("晒单",N103)+LEN("晒单"),LEN(N103))&amp;"（需晒单后联系客服登记）",IF(ISNUMBER(SEARCH("包修",N103)),"【购机】"&amp;MID(N103,SEARCH("购机",N103)+LEN("购机"),LEN(N103)),IF(ISNUMBER(SEARCH("叠放支架",N103)),"【赠品】"&amp;MID(N103,SEARCH("购机",N103)+LEN("购机"),LEN(N103)),IF(ISNUMBER(SEARCH("秀图",N103)),"【秀图】"&amp;MID(N103,SEARCH("秀图",N103)+LEN("秀图"),LEN(N103)),"")))),IFERROR(LEFT(_xlpm.A,FIND("【",_xlpm.A,FIND("】",_xlpm.A)+1)-1)&amp;MID(_xlpm.A,FIND("】",_xlpm.A,FIND("】",_xlpm.A)+1)+1,LEN(_xlpm.A)),_xlpm.A))</f>
        <v/>
      </c>
      <c r="J103" s="18" t="str" cm="1">
        <f t="array" ref="J103">IFERROR(INDEX(_xlfn.TEXTSPLIT(_xlfn.XLOOKUP($A103&amp;$B103&amp;$C103,盘货信息!$A:$A&amp;盘货信息!$B:$B&amp;盘货信息!$C:$C,盘货信息!$S:$S),CHAR(10),,TRUE),1,COLUMN(A102)),"")</f>
        <v/>
      </c>
      <c r="K103" s="18" t="str" cm="1">
        <f t="array" ref="K103">IFERROR(INDEX(_xlfn.TEXTSPLIT(_xlfn.XLOOKUP($A103&amp;$B103&amp;$C103,盘货信息!$A:$A&amp;盘货信息!$B:$B&amp;盘货信息!$C:$C,盘货信息!$S:$S),CHAR(10),,TRUE),1,COLUMN(B102)),"")</f>
        <v/>
      </c>
      <c r="L103" s="18" t="str" cm="1">
        <f t="array" ref="L103">IFERROR(INDEX(_xlfn.TEXTSPLIT(_xlfn.XLOOKUP($A103&amp;$B103&amp;$C103,盘货信息!$A:$A&amp;盘货信息!$B:$B&amp;盘货信息!$C:$C,盘货信息!$S:$S),CHAR(10),,TRUE),1,COLUMN(C102)),"")</f>
        <v/>
      </c>
      <c r="M103" s="18" t="str" cm="1">
        <f t="array" ref="M103">IFERROR(INDEX(_xlfn.TEXTSPLIT(_xlfn.XLOOKUP($A103&amp;$B103&amp;$C103,盘货信息!$A:$A&amp;盘货信息!$B:$B&amp;盘货信息!$C:$C,盘货信息!$S:$S),CHAR(10),,TRUE),1,COLUMN(D102)),"")</f>
        <v/>
      </c>
      <c r="N103" s="18" t="str" cm="1">
        <f t="array" ref="N103">IFERROR(INDEX(_xlfn.TEXTSPLIT(_xlfn.XLOOKUP($A103&amp;$B103&amp;$C103,盘货信息!$A:$A&amp;盘货信息!$B:$B&amp;盘货信息!$C:$C,盘货信息!$S:$S),CHAR(10),,TRUE),1,COLUMN(E102)),"")</f>
        <v/>
      </c>
    </row>
    <row r="104" customHeight="1" spans="1:14">
      <c r="A104" s="17" t="str">
        <f>IF(盘货信息!A104="","",盘货信息!A104)</f>
        <v/>
      </c>
      <c r="B104" s="17" t="str">
        <f>IF(盘货信息!B104="","",盘货信息!B104)</f>
        <v/>
      </c>
      <c r="C104" s="18" t="str">
        <f>IF(盘货信息!C104="","",盘货信息!C104)</f>
        <v/>
      </c>
      <c r="D104" s="18" t="str">
        <f t="shared" si="1"/>
        <v/>
      </c>
      <c r="E104" s="18" t="str">
        <f>_xlfn.LET(_xlpm.A,IF(ISNUMBER(SEARCH("晒单",J104)),"【晒单】"&amp;MID(J104,SEARCH("晒单",J104)+LEN("晒单"),LEN(J104))&amp;"（需晒单后联系客服登记）",IF(ISNUMBER(SEARCH("包修",J104)),"【购机】"&amp;MID(J104,SEARCH("购机",J104)+LEN("购机"),LEN(J104)),IF(ISNUMBER(SEARCH("叠放支架",J104)),"【赠品】"&amp;MID(J104,SEARCH("购机",J104)+LEN("购机"),LEN(J104)),IF(ISNUMBER(SEARCH("秀图",J104)),"【秀图】"&amp;MID(J104,SEARCH("秀图",J104)+LEN("秀图"),LEN(J104)),"")))),IFERROR(LEFT(_xlpm.A,FIND("【",_xlpm.A,FIND("】",_xlpm.A)+1)-1)&amp;MID(_xlpm.A,FIND("】",_xlpm.A,FIND("】",_xlpm.A)+1)+1,LEN(_xlpm.A)),_xlpm.A))</f>
        <v/>
      </c>
      <c r="F104" s="18" t="str">
        <f>_xlfn.LET(_xlpm.A,IF(ISNUMBER(SEARCH("晒单",K104)),"【晒单】"&amp;MID(K104,SEARCH("晒单",K104)+LEN("晒单"),LEN(K104))&amp;"（需晒单后联系客服登记）",IF(ISNUMBER(SEARCH("包修",K104)),"【购机】"&amp;MID(K104,SEARCH("购机",K104)+LEN("购机"),LEN(K104)),IF(ISNUMBER(SEARCH("叠放支架",K104)),"【赠品】"&amp;MID(K104,SEARCH("购机",K104)+LEN("购机"),LEN(K104)),IF(ISNUMBER(SEARCH("秀图",K104)),"【秀图】"&amp;MID(K104,SEARCH("秀图",K104)+LEN("秀图"),LEN(K104)),"")))),IFERROR(LEFT(_xlpm.A,FIND("【",_xlpm.A,FIND("】",_xlpm.A)+1)-1)&amp;MID(_xlpm.A,FIND("】",_xlpm.A,FIND("】",_xlpm.A)+1)+1,LEN(_xlpm.A)),_xlpm.A))</f>
        <v/>
      </c>
      <c r="G104" s="18" t="str">
        <f>_xlfn.LET(_xlpm.A,IF(ISNUMBER(SEARCH("晒单",L104)),"【晒单】"&amp;MID(L104,SEARCH("晒单",L104)+LEN("晒单"),LEN(L104))&amp;"（需晒单后联系客服登记）",IF(ISNUMBER(SEARCH("包修",L104)),"【购机】"&amp;MID(L104,SEARCH("购机",L104)+LEN("购机"),LEN(L104)),IF(ISNUMBER(SEARCH("叠放支架",L104)),"【赠品】"&amp;MID(L104,SEARCH("购机",L104)+LEN("购机"),LEN(L104)),IF(ISNUMBER(SEARCH("秀图",L104)),"【秀图】"&amp;MID(L104,SEARCH("秀图",L104)+LEN("秀图"),LEN(L104)),"")))),IFERROR(LEFT(_xlpm.A,FIND("【",_xlpm.A,FIND("】",_xlpm.A)+1)-1)&amp;MID(_xlpm.A,FIND("】",_xlpm.A,FIND("】",_xlpm.A)+1)+1,LEN(_xlpm.A)),_xlpm.A))</f>
        <v/>
      </c>
      <c r="H104" s="18" t="str">
        <f>_xlfn.LET(_xlpm.A,IF(ISNUMBER(SEARCH("晒单",M104)),"【晒单】"&amp;MID(M104,SEARCH("晒单",M104)+LEN("晒单"),LEN(M104))&amp;"（需晒单后联系客服登记）",IF(ISNUMBER(SEARCH("包修",M104)),"【购机】"&amp;MID(M104,SEARCH("购机",M104)+LEN("购机"),LEN(M104)),IF(ISNUMBER(SEARCH("叠放支架",M104)),"【赠品】"&amp;MID(M104,SEARCH("购机",M104)+LEN("购机"),LEN(M104)),IF(ISNUMBER(SEARCH("秀图",M104)),"【秀图】"&amp;MID(M104,SEARCH("秀图",M104)+LEN("秀图"),LEN(M104)),"")))),IFERROR(LEFT(_xlpm.A,FIND("【",_xlpm.A,FIND("】",_xlpm.A)+1)-1)&amp;MID(_xlpm.A,FIND("】",_xlpm.A,FIND("】",_xlpm.A)+1)+1,LEN(_xlpm.A)),_xlpm.A))</f>
        <v/>
      </c>
      <c r="I104" s="18" t="str">
        <f>_xlfn.LET(_xlpm.A,IF(ISNUMBER(SEARCH("晒单",N104)),"【晒单】"&amp;MID(N104,SEARCH("晒单",N104)+LEN("晒单"),LEN(N104))&amp;"（需晒单后联系客服登记）",IF(ISNUMBER(SEARCH("包修",N104)),"【购机】"&amp;MID(N104,SEARCH("购机",N104)+LEN("购机"),LEN(N104)),IF(ISNUMBER(SEARCH("叠放支架",N104)),"【赠品】"&amp;MID(N104,SEARCH("购机",N104)+LEN("购机"),LEN(N104)),IF(ISNUMBER(SEARCH("秀图",N104)),"【秀图】"&amp;MID(N104,SEARCH("秀图",N104)+LEN("秀图"),LEN(N104)),"")))),IFERROR(LEFT(_xlpm.A,FIND("【",_xlpm.A,FIND("】",_xlpm.A)+1)-1)&amp;MID(_xlpm.A,FIND("】",_xlpm.A,FIND("】",_xlpm.A)+1)+1,LEN(_xlpm.A)),_xlpm.A))</f>
        <v/>
      </c>
      <c r="J104" s="18" t="str" cm="1">
        <f t="array" ref="J104">IFERROR(INDEX(_xlfn.TEXTSPLIT(_xlfn.XLOOKUP($A104&amp;$B104&amp;$C104,盘货信息!$A:$A&amp;盘货信息!$B:$B&amp;盘货信息!$C:$C,盘货信息!$S:$S),CHAR(10),,TRUE),1,COLUMN(A103)),"")</f>
        <v/>
      </c>
      <c r="K104" s="18" t="str" cm="1">
        <f t="array" ref="K104">IFERROR(INDEX(_xlfn.TEXTSPLIT(_xlfn.XLOOKUP($A104&amp;$B104&amp;$C104,盘货信息!$A:$A&amp;盘货信息!$B:$B&amp;盘货信息!$C:$C,盘货信息!$S:$S),CHAR(10),,TRUE),1,COLUMN(B103)),"")</f>
        <v/>
      </c>
      <c r="L104" s="18" t="str" cm="1">
        <f t="array" ref="L104">IFERROR(INDEX(_xlfn.TEXTSPLIT(_xlfn.XLOOKUP($A104&amp;$B104&amp;$C104,盘货信息!$A:$A&amp;盘货信息!$B:$B&amp;盘货信息!$C:$C,盘货信息!$S:$S),CHAR(10),,TRUE),1,COLUMN(C103)),"")</f>
        <v/>
      </c>
      <c r="M104" s="18" t="str" cm="1">
        <f t="array" ref="M104">IFERROR(INDEX(_xlfn.TEXTSPLIT(_xlfn.XLOOKUP($A104&amp;$B104&amp;$C104,盘货信息!$A:$A&amp;盘货信息!$B:$B&amp;盘货信息!$C:$C,盘货信息!$S:$S),CHAR(10),,TRUE),1,COLUMN(D103)),"")</f>
        <v/>
      </c>
      <c r="N104" s="18" t="str" cm="1">
        <f t="array" ref="N104">IFERROR(INDEX(_xlfn.TEXTSPLIT(_xlfn.XLOOKUP($A104&amp;$B104&amp;$C104,盘货信息!$A:$A&amp;盘货信息!$B:$B&amp;盘货信息!$C:$C,盘货信息!$S:$S),CHAR(10),,TRUE),1,COLUMN(E103)),"")</f>
        <v/>
      </c>
    </row>
    <row r="105" customHeight="1" spans="1:14">
      <c r="A105" s="17" t="str">
        <f>IF(盘货信息!A105="","",盘货信息!A105)</f>
        <v/>
      </c>
      <c r="B105" s="17" t="str">
        <f>IF(盘货信息!B105="","",盘货信息!B105)</f>
        <v/>
      </c>
      <c r="C105" s="18" t="str">
        <f>IF(盘货信息!C105="","",盘货信息!C105)</f>
        <v/>
      </c>
      <c r="D105" s="18" t="str">
        <f t="shared" si="1"/>
        <v/>
      </c>
      <c r="E105" s="18" t="str">
        <f>_xlfn.LET(_xlpm.A,IF(ISNUMBER(SEARCH("晒单",J105)),"【晒单】"&amp;MID(J105,SEARCH("晒单",J105)+LEN("晒单"),LEN(J105))&amp;"（需晒单后联系客服登记）",IF(ISNUMBER(SEARCH("包修",J105)),"【购机】"&amp;MID(J105,SEARCH("购机",J105)+LEN("购机"),LEN(J105)),IF(ISNUMBER(SEARCH("叠放支架",J105)),"【赠品】"&amp;MID(J105,SEARCH("购机",J105)+LEN("购机"),LEN(J105)),IF(ISNUMBER(SEARCH("秀图",J105)),"【秀图】"&amp;MID(J105,SEARCH("秀图",J105)+LEN("秀图"),LEN(J105)),"")))),IFERROR(LEFT(_xlpm.A,FIND("【",_xlpm.A,FIND("】",_xlpm.A)+1)-1)&amp;MID(_xlpm.A,FIND("】",_xlpm.A,FIND("】",_xlpm.A)+1)+1,LEN(_xlpm.A)),_xlpm.A))</f>
        <v/>
      </c>
      <c r="F105" s="18" t="str">
        <f>_xlfn.LET(_xlpm.A,IF(ISNUMBER(SEARCH("晒单",K105)),"【晒单】"&amp;MID(K105,SEARCH("晒单",K105)+LEN("晒单"),LEN(K105))&amp;"（需晒单后联系客服登记）",IF(ISNUMBER(SEARCH("包修",K105)),"【购机】"&amp;MID(K105,SEARCH("购机",K105)+LEN("购机"),LEN(K105)),IF(ISNUMBER(SEARCH("叠放支架",K105)),"【赠品】"&amp;MID(K105,SEARCH("购机",K105)+LEN("购机"),LEN(K105)),IF(ISNUMBER(SEARCH("秀图",K105)),"【秀图】"&amp;MID(K105,SEARCH("秀图",K105)+LEN("秀图"),LEN(K105)),"")))),IFERROR(LEFT(_xlpm.A,FIND("【",_xlpm.A,FIND("】",_xlpm.A)+1)-1)&amp;MID(_xlpm.A,FIND("】",_xlpm.A,FIND("】",_xlpm.A)+1)+1,LEN(_xlpm.A)),_xlpm.A))</f>
        <v/>
      </c>
      <c r="G105" s="18" t="str">
        <f>_xlfn.LET(_xlpm.A,IF(ISNUMBER(SEARCH("晒单",L105)),"【晒单】"&amp;MID(L105,SEARCH("晒单",L105)+LEN("晒单"),LEN(L105))&amp;"（需晒单后联系客服登记）",IF(ISNUMBER(SEARCH("包修",L105)),"【购机】"&amp;MID(L105,SEARCH("购机",L105)+LEN("购机"),LEN(L105)),IF(ISNUMBER(SEARCH("叠放支架",L105)),"【赠品】"&amp;MID(L105,SEARCH("购机",L105)+LEN("购机"),LEN(L105)),IF(ISNUMBER(SEARCH("秀图",L105)),"【秀图】"&amp;MID(L105,SEARCH("秀图",L105)+LEN("秀图"),LEN(L105)),"")))),IFERROR(LEFT(_xlpm.A,FIND("【",_xlpm.A,FIND("】",_xlpm.A)+1)-1)&amp;MID(_xlpm.A,FIND("】",_xlpm.A,FIND("】",_xlpm.A)+1)+1,LEN(_xlpm.A)),_xlpm.A))</f>
        <v/>
      </c>
      <c r="H105" s="18" t="str">
        <f>_xlfn.LET(_xlpm.A,IF(ISNUMBER(SEARCH("晒单",M105)),"【晒单】"&amp;MID(M105,SEARCH("晒单",M105)+LEN("晒单"),LEN(M105))&amp;"（需晒单后联系客服登记）",IF(ISNUMBER(SEARCH("包修",M105)),"【购机】"&amp;MID(M105,SEARCH("购机",M105)+LEN("购机"),LEN(M105)),IF(ISNUMBER(SEARCH("叠放支架",M105)),"【赠品】"&amp;MID(M105,SEARCH("购机",M105)+LEN("购机"),LEN(M105)),IF(ISNUMBER(SEARCH("秀图",M105)),"【秀图】"&amp;MID(M105,SEARCH("秀图",M105)+LEN("秀图"),LEN(M105)),"")))),IFERROR(LEFT(_xlpm.A,FIND("【",_xlpm.A,FIND("】",_xlpm.A)+1)-1)&amp;MID(_xlpm.A,FIND("】",_xlpm.A,FIND("】",_xlpm.A)+1)+1,LEN(_xlpm.A)),_xlpm.A))</f>
        <v/>
      </c>
      <c r="I105" s="18" t="str">
        <f>_xlfn.LET(_xlpm.A,IF(ISNUMBER(SEARCH("晒单",N105)),"【晒单】"&amp;MID(N105,SEARCH("晒单",N105)+LEN("晒单"),LEN(N105))&amp;"（需晒单后联系客服登记）",IF(ISNUMBER(SEARCH("包修",N105)),"【购机】"&amp;MID(N105,SEARCH("购机",N105)+LEN("购机"),LEN(N105)),IF(ISNUMBER(SEARCH("叠放支架",N105)),"【赠品】"&amp;MID(N105,SEARCH("购机",N105)+LEN("购机"),LEN(N105)),IF(ISNUMBER(SEARCH("秀图",N105)),"【秀图】"&amp;MID(N105,SEARCH("秀图",N105)+LEN("秀图"),LEN(N105)),"")))),IFERROR(LEFT(_xlpm.A,FIND("【",_xlpm.A,FIND("】",_xlpm.A)+1)-1)&amp;MID(_xlpm.A,FIND("】",_xlpm.A,FIND("】",_xlpm.A)+1)+1,LEN(_xlpm.A)),_xlpm.A))</f>
        <v/>
      </c>
      <c r="J105" s="18" t="str" cm="1">
        <f t="array" ref="J105">IFERROR(INDEX(_xlfn.TEXTSPLIT(_xlfn.XLOOKUP($A105&amp;$B105&amp;$C105,盘货信息!$A:$A&amp;盘货信息!$B:$B&amp;盘货信息!$C:$C,盘货信息!$S:$S),CHAR(10),,TRUE),1,COLUMN(A104)),"")</f>
        <v/>
      </c>
      <c r="K105" s="18" t="str" cm="1">
        <f t="array" ref="K105">IFERROR(INDEX(_xlfn.TEXTSPLIT(_xlfn.XLOOKUP($A105&amp;$B105&amp;$C105,盘货信息!$A:$A&amp;盘货信息!$B:$B&amp;盘货信息!$C:$C,盘货信息!$S:$S),CHAR(10),,TRUE),1,COLUMN(B104)),"")</f>
        <v/>
      </c>
      <c r="L105" s="18" t="str" cm="1">
        <f t="array" ref="L105">IFERROR(INDEX(_xlfn.TEXTSPLIT(_xlfn.XLOOKUP($A105&amp;$B105&amp;$C105,盘货信息!$A:$A&amp;盘货信息!$B:$B&amp;盘货信息!$C:$C,盘货信息!$S:$S),CHAR(10),,TRUE),1,COLUMN(C104)),"")</f>
        <v/>
      </c>
      <c r="M105" s="18" t="str" cm="1">
        <f t="array" ref="M105">IFERROR(INDEX(_xlfn.TEXTSPLIT(_xlfn.XLOOKUP($A105&amp;$B105&amp;$C105,盘货信息!$A:$A&amp;盘货信息!$B:$B&amp;盘货信息!$C:$C,盘货信息!$S:$S),CHAR(10),,TRUE),1,COLUMN(D104)),"")</f>
        <v/>
      </c>
      <c r="N105" s="18" t="str" cm="1">
        <f t="array" ref="N105">IFERROR(INDEX(_xlfn.TEXTSPLIT(_xlfn.XLOOKUP($A105&amp;$B105&amp;$C105,盘货信息!$A:$A&amp;盘货信息!$B:$B&amp;盘货信息!$C:$C,盘货信息!$S:$S),CHAR(10),,TRUE),1,COLUMN(E104)),"")</f>
        <v/>
      </c>
    </row>
    <row r="106" customHeight="1" spans="1:14">
      <c r="A106" s="17" t="str">
        <f>IF(盘货信息!A106="","",盘货信息!A106)</f>
        <v/>
      </c>
      <c r="B106" s="17" t="str">
        <f>IF(盘货信息!B106="","",盘货信息!B106)</f>
        <v/>
      </c>
      <c r="C106" s="20" t="str">
        <f>IF(盘货信息!C106="","",盘货信息!C106)</f>
        <v/>
      </c>
      <c r="D106" s="18" t="str">
        <f t="shared" si="1"/>
        <v/>
      </c>
      <c r="E106" s="18" t="str">
        <f>_xlfn.LET(_xlpm.A,IF(ISNUMBER(SEARCH("晒单",J106)),"【晒单】"&amp;MID(J106,SEARCH("晒单",J106)+LEN("晒单"),LEN(J106))&amp;"（需晒单后联系客服登记）",IF(ISNUMBER(SEARCH("包修",J106)),"【购机】"&amp;MID(J106,SEARCH("购机",J106)+LEN("购机"),LEN(J106)),IF(ISNUMBER(SEARCH("叠放支架",J106)),"【赠品】"&amp;MID(J106,SEARCH("购机",J106)+LEN("购机"),LEN(J106)),IF(ISNUMBER(SEARCH("秀图",J106)),"【秀图】"&amp;MID(J106,SEARCH("秀图",J106)+LEN("秀图"),LEN(J106)),"")))),IFERROR(LEFT(_xlpm.A,FIND("【",_xlpm.A,FIND("】",_xlpm.A)+1)-1)&amp;MID(_xlpm.A,FIND("】",_xlpm.A,FIND("】",_xlpm.A)+1)+1,LEN(_xlpm.A)),_xlpm.A))</f>
        <v/>
      </c>
      <c r="F106" s="18" t="str">
        <f>_xlfn.LET(_xlpm.A,IF(ISNUMBER(SEARCH("晒单",K106)),"【晒单】"&amp;MID(K106,SEARCH("晒单",K106)+LEN("晒单"),LEN(K106))&amp;"（需晒单后联系客服登记）",IF(ISNUMBER(SEARCH("包修",K106)),"【购机】"&amp;MID(K106,SEARCH("购机",K106)+LEN("购机"),LEN(K106)),IF(ISNUMBER(SEARCH("叠放支架",K106)),"【赠品】"&amp;MID(K106,SEARCH("购机",K106)+LEN("购机"),LEN(K106)),IF(ISNUMBER(SEARCH("秀图",K106)),"【秀图】"&amp;MID(K106,SEARCH("秀图",K106)+LEN("秀图"),LEN(K106)),"")))),IFERROR(LEFT(_xlpm.A,FIND("【",_xlpm.A,FIND("】",_xlpm.A)+1)-1)&amp;MID(_xlpm.A,FIND("】",_xlpm.A,FIND("】",_xlpm.A)+1)+1,LEN(_xlpm.A)),_xlpm.A))</f>
        <v/>
      </c>
      <c r="G106" s="18" t="str">
        <f>_xlfn.LET(_xlpm.A,IF(ISNUMBER(SEARCH("晒单",L106)),"【晒单】"&amp;MID(L106,SEARCH("晒单",L106)+LEN("晒单"),LEN(L106))&amp;"（需晒单后联系客服登记）",IF(ISNUMBER(SEARCH("包修",L106)),"【购机】"&amp;MID(L106,SEARCH("购机",L106)+LEN("购机"),LEN(L106)),IF(ISNUMBER(SEARCH("叠放支架",L106)),"【赠品】"&amp;MID(L106,SEARCH("购机",L106)+LEN("购机"),LEN(L106)),IF(ISNUMBER(SEARCH("秀图",L106)),"【秀图】"&amp;MID(L106,SEARCH("秀图",L106)+LEN("秀图"),LEN(L106)),"")))),IFERROR(LEFT(_xlpm.A,FIND("【",_xlpm.A,FIND("】",_xlpm.A)+1)-1)&amp;MID(_xlpm.A,FIND("】",_xlpm.A,FIND("】",_xlpm.A)+1)+1,LEN(_xlpm.A)),_xlpm.A))</f>
        <v/>
      </c>
      <c r="H106" s="18" t="str">
        <f>_xlfn.LET(_xlpm.A,IF(ISNUMBER(SEARCH("晒单",M106)),"【晒单】"&amp;MID(M106,SEARCH("晒单",M106)+LEN("晒单"),LEN(M106))&amp;"（需晒单后联系客服登记）",IF(ISNUMBER(SEARCH("包修",M106)),"【购机】"&amp;MID(M106,SEARCH("购机",M106)+LEN("购机"),LEN(M106)),IF(ISNUMBER(SEARCH("叠放支架",M106)),"【赠品】"&amp;MID(M106,SEARCH("购机",M106)+LEN("购机"),LEN(M106)),IF(ISNUMBER(SEARCH("秀图",M106)),"【秀图】"&amp;MID(M106,SEARCH("秀图",M106)+LEN("秀图"),LEN(M106)),"")))),IFERROR(LEFT(_xlpm.A,FIND("【",_xlpm.A,FIND("】",_xlpm.A)+1)-1)&amp;MID(_xlpm.A,FIND("】",_xlpm.A,FIND("】",_xlpm.A)+1)+1,LEN(_xlpm.A)),_xlpm.A))</f>
        <v/>
      </c>
      <c r="I106" s="18" t="str">
        <f>_xlfn.LET(_xlpm.A,IF(ISNUMBER(SEARCH("晒单",N106)),"【晒单】"&amp;MID(N106,SEARCH("晒单",N106)+LEN("晒单"),LEN(N106))&amp;"（需晒单后联系客服登记）",IF(ISNUMBER(SEARCH("包修",N106)),"【购机】"&amp;MID(N106,SEARCH("购机",N106)+LEN("购机"),LEN(N106)),IF(ISNUMBER(SEARCH("叠放支架",N106)),"【赠品】"&amp;MID(N106,SEARCH("购机",N106)+LEN("购机"),LEN(N106)),IF(ISNUMBER(SEARCH("秀图",N106)),"【秀图】"&amp;MID(N106,SEARCH("秀图",N106)+LEN("秀图"),LEN(N106)),"")))),IFERROR(LEFT(_xlpm.A,FIND("【",_xlpm.A,FIND("】",_xlpm.A)+1)-1)&amp;MID(_xlpm.A,FIND("】",_xlpm.A,FIND("】",_xlpm.A)+1)+1,LEN(_xlpm.A)),_xlpm.A))</f>
        <v/>
      </c>
      <c r="J106" s="18" t="str" cm="1">
        <f t="array" ref="J106">IFERROR(INDEX(_xlfn.TEXTSPLIT(_xlfn.XLOOKUP($A106&amp;$B106&amp;$C106,盘货信息!$A:$A&amp;盘货信息!$B:$B&amp;盘货信息!$C:$C,盘货信息!$S:$S),CHAR(10),,TRUE),1,COLUMN(A105)),"")</f>
        <v/>
      </c>
      <c r="K106" s="18" t="str" cm="1">
        <f t="array" ref="K106">IFERROR(INDEX(_xlfn.TEXTSPLIT(_xlfn.XLOOKUP($A106&amp;$B106&amp;$C106,盘货信息!$A:$A&amp;盘货信息!$B:$B&amp;盘货信息!$C:$C,盘货信息!$S:$S),CHAR(10),,TRUE),1,COLUMN(B105)),"")</f>
        <v/>
      </c>
      <c r="L106" s="18" t="str" cm="1">
        <f t="array" ref="L106">IFERROR(INDEX(_xlfn.TEXTSPLIT(_xlfn.XLOOKUP($A106&amp;$B106&amp;$C106,盘货信息!$A:$A&amp;盘货信息!$B:$B&amp;盘货信息!$C:$C,盘货信息!$S:$S),CHAR(10),,TRUE),1,COLUMN(C105)),"")</f>
        <v/>
      </c>
      <c r="M106" s="18" t="str" cm="1">
        <f t="array" ref="M106">IFERROR(INDEX(_xlfn.TEXTSPLIT(_xlfn.XLOOKUP($A106&amp;$B106&amp;$C106,盘货信息!$A:$A&amp;盘货信息!$B:$B&amp;盘货信息!$C:$C,盘货信息!$S:$S),CHAR(10),,TRUE),1,COLUMN(D105)),"")</f>
        <v/>
      </c>
      <c r="N106" s="18" t="str" cm="1">
        <f t="array" ref="N106">IFERROR(INDEX(_xlfn.TEXTSPLIT(_xlfn.XLOOKUP($A106&amp;$B106&amp;$C106,盘货信息!$A:$A&amp;盘货信息!$B:$B&amp;盘货信息!$C:$C,盘货信息!$S:$S),CHAR(10),,TRUE),1,COLUMN(E105)),"")</f>
        <v/>
      </c>
    </row>
    <row r="107" customHeight="1" spans="1:14">
      <c r="A107" s="17" t="str">
        <f>IF(盘货信息!A107="","",盘货信息!A107)</f>
        <v/>
      </c>
      <c r="B107" s="17" t="str">
        <f>IF(盘货信息!B107="","",盘货信息!B107)</f>
        <v/>
      </c>
      <c r="C107" s="20" t="str">
        <f>IF(盘货信息!C107="","",盘货信息!C107)</f>
        <v/>
      </c>
      <c r="D107" s="18" t="str">
        <f t="shared" si="1"/>
        <v/>
      </c>
      <c r="E107" s="18" t="str">
        <f>_xlfn.LET(_xlpm.A,IF(ISNUMBER(SEARCH("晒单",J107)),"【晒单】"&amp;MID(J107,SEARCH("晒单",J107)+LEN("晒单"),LEN(J107))&amp;"（需晒单后联系客服登记）",IF(ISNUMBER(SEARCH("包修",J107)),"【购机】"&amp;MID(J107,SEARCH("购机",J107)+LEN("购机"),LEN(J107)),IF(ISNUMBER(SEARCH("叠放支架",J107)),"【赠品】"&amp;MID(J107,SEARCH("购机",J107)+LEN("购机"),LEN(J107)),IF(ISNUMBER(SEARCH("秀图",J107)),"【秀图】"&amp;MID(J107,SEARCH("秀图",J107)+LEN("秀图"),LEN(J107)),"")))),IFERROR(LEFT(_xlpm.A,FIND("【",_xlpm.A,FIND("】",_xlpm.A)+1)-1)&amp;MID(_xlpm.A,FIND("】",_xlpm.A,FIND("】",_xlpm.A)+1)+1,LEN(_xlpm.A)),_xlpm.A))</f>
        <v/>
      </c>
      <c r="F107" s="18" t="str">
        <f>_xlfn.LET(_xlpm.A,IF(ISNUMBER(SEARCH("晒单",K107)),"【晒单】"&amp;MID(K107,SEARCH("晒单",K107)+LEN("晒单"),LEN(K107))&amp;"（需晒单后联系客服登记）",IF(ISNUMBER(SEARCH("包修",K107)),"【购机】"&amp;MID(K107,SEARCH("购机",K107)+LEN("购机"),LEN(K107)),IF(ISNUMBER(SEARCH("叠放支架",K107)),"【赠品】"&amp;MID(K107,SEARCH("购机",K107)+LEN("购机"),LEN(K107)),IF(ISNUMBER(SEARCH("秀图",K107)),"【秀图】"&amp;MID(K107,SEARCH("秀图",K107)+LEN("秀图"),LEN(K107)),"")))),IFERROR(LEFT(_xlpm.A,FIND("【",_xlpm.A,FIND("】",_xlpm.A)+1)-1)&amp;MID(_xlpm.A,FIND("】",_xlpm.A,FIND("】",_xlpm.A)+1)+1,LEN(_xlpm.A)),_xlpm.A))</f>
        <v/>
      </c>
      <c r="G107" s="18" t="str">
        <f>_xlfn.LET(_xlpm.A,IF(ISNUMBER(SEARCH("晒单",L107)),"【晒单】"&amp;MID(L107,SEARCH("晒单",L107)+LEN("晒单"),LEN(L107))&amp;"（需晒单后联系客服登记）",IF(ISNUMBER(SEARCH("包修",L107)),"【购机】"&amp;MID(L107,SEARCH("购机",L107)+LEN("购机"),LEN(L107)),IF(ISNUMBER(SEARCH("叠放支架",L107)),"【赠品】"&amp;MID(L107,SEARCH("购机",L107)+LEN("购机"),LEN(L107)),IF(ISNUMBER(SEARCH("秀图",L107)),"【秀图】"&amp;MID(L107,SEARCH("秀图",L107)+LEN("秀图"),LEN(L107)),"")))),IFERROR(LEFT(_xlpm.A,FIND("【",_xlpm.A,FIND("】",_xlpm.A)+1)-1)&amp;MID(_xlpm.A,FIND("】",_xlpm.A,FIND("】",_xlpm.A)+1)+1,LEN(_xlpm.A)),_xlpm.A))</f>
        <v/>
      </c>
      <c r="H107" s="18" t="str">
        <f>_xlfn.LET(_xlpm.A,IF(ISNUMBER(SEARCH("晒单",M107)),"【晒单】"&amp;MID(M107,SEARCH("晒单",M107)+LEN("晒单"),LEN(M107))&amp;"（需晒单后联系客服登记）",IF(ISNUMBER(SEARCH("包修",M107)),"【购机】"&amp;MID(M107,SEARCH("购机",M107)+LEN("购机"),LEN(M107)),IF(ISNUMBER(SEARCH("叠放支架",M107)),"【赠品】"&amp;MID(M107,SEARCH("购机",M107)+LEN("购机"),LEN(M107)),IF(ISNUMBER(SEARCH("秀图",M107)),"【秀图】"&amp;MID(M107,SEARCH("秀图",M107)+LEN("秀图"),LEN(M107)),"")))),IFERROR(LEFT(_xlpm.A,FIND("【",_xlpm.A,FIND("】",_xlpm.A)+1)-1)&amp;MID(_xlpm.A,FIND("】",_xlpm.A,FIND("】",_xlpm.A)+1)+1,LEN(_xlpm.A)),_xlpm.A))</f>
        <v/>
      </c>
      <c r="I107" s="18" t="str">
        <f>_xlfn.LET(_xlpm.A,IF(ISNUMBER(SEARCH("晒单",N107)),"【晒单】"&amp;MID(N107,SEARCH("晒单",N107)+LEN("晒单"),LEN(N107))&amp;"（需晒单后联系客服登记）",IF(ISNUMBER(SEARCH("包修",N107)),"【购机】"&amp;MID(N107,SEARCH("购机",N107)+LEN("购机"),LEN(N107)),IF(ISNUMBER(SEARCH("叠放支架",N107)),"【赠品】"&amp;MID(N107,SEARCH("购机",N107)+LEN("购机"),LEN(N107)),IF(ISNUMBER(SEARCH("秀图",N107)),"【秀图】"&amp;MID(N107,SEARCH("秀图",N107)+LEN("秀图"),LEN(N107)),"")))),IFERROR(LEFT(_xlpm.A,FIND("【",_xlpm.A,FIND("】",_xlpm.A)+1)-1)&amp;MID(_xlpm.A,FIND("】",_xlpm.A,FIND("】",_xlpm.A)+1)+1,LEN(_xlpm.A)),_xlpm.A))</f>
        <v/>
      </c>
      <c r="J107" s="18" t="str" cm="1">
        <f t="array" ref="J107">IFERROR(INDEX(_xlfn.TEXTSPLIT(_xlfn.XLOOKUP($A107&amp;$B107&amp;$C107,盘货信息!$A:$A&amp;盘货信息!$B:$B&amp;盘货信息!$C:$C,盘货信息!$S:$S),CHAR(10),,TRUE),1,COLUMN(A106)),"")</f>
        <v/>
      </c>
      <c r="K107" s="18" t="str" cm="1">
        <f t="array" ref="K107">IFERROR(INDEX(_xlfn.TEXTSPLIT(_xlfn.XLOOKUP($A107&amp;$B107&amp;$C107,盘货信息!$A:$A&amp;盘货信息!$B:$B&amp;盘货信息!$C:$C,盘货信息!$S:$S),CHAR(10),,TRUE),1,COLUMN(B106)),"")</f>
        <v/>
      </c>
      <c r="L107" s="18" t="str" cm="1">
        <f t="array" ref="L107">IFERROR(INDEX(_xlfn.TEXTSPLIT(_xlfn.XLOOKUP($A107&amp;$B107&amp;$C107,盘货信息!$A:$A&amp;盘货信息!$B:$B&amp;盘货信息!$C:$C,盘货信息!$S:$S),CHAR(10),,TRUE),1,COLUMN(C106)),"")</f>
        <v/>
      </c>
      <c r="M107" s="18" t="str" cm="1">
        <f t="array" ref="M107">IFERROR(INDEX(_xlfn.TEXTSPLIT(_xlfn.XLOOKUP($A107&amp;$B107&amp;$C107,盘货信息!$A:$A&amp;盘货信息!$B:$B&amp;盘货信息!$C:$C,盘货信息!$S:$S),CHAR(10),,TRUE),1,COLUMN(D106)),"")</f>
        <v/>
      </c>
      <c r="N107" s="18" t="str" cm="1">
        <f t="array" ref="N107">IFERROR(INDEX(_xlfn.TEXTSPLIT(_xlfn.XLOOKUP($A107&amp;$B107&amp;$C107,盘货信息!$A:$A&amp;盘货信息!$B:$B&amp;盘货信息!$C:$C,盘货信息!$S:$S),CHAR(10),,TRUE),1,COLUMN(E106)),"")</f>
        <v/>
      </c>
    </row>
    <row r="108" customHeight="1" spans="1:14">
      <c r="A108" s="17" t="str">
        <f>IF(盘货信息!A108="","",盘货信息!A108)</f>
        <v/>
      </c>
      <c r="B108" s="17" t="str">
        <f>IF(盘货信息!B108="","",盘货信息!B108)</f>
        <v/>
      </c>
      <c r="C108" s="18" t="str">
        <f>IF(盘货信息!C108="","",盘货信息!C108)</f>
        <v/>
      </c>
      <c r="D108" s="18" t="str">
        <f t="shared" si="1"/>
        <v/>
      </c>
      <c r="E108" s="18" t="str">
        <f>_xlfn.LET(_xlpm.A,IF(ISNUMBER(SEARCH("晒单",J108)),"【晒单】"&amp;MID(J108,SEARCH("晒单",J108)+LEN("晒单"),LEN(J108))&amp;"（需晒单后联系客服登记）",IF(ISNUMBER(SEARCH("包修",J108)),"【购机】"&amp;MID(J108,SEARCH("购机",J108)+LEN("购机"),LEN(J108)),IF(ISNUMBER(SEARCH("叠放支架",J108)),"【赠品】"&amp;MID(J108,SEARCH("购机",J108)+LEN("购机"),LEN(J108)),IF(ISNUMBER(SEARCH("秀图",J108)),"【秀图】"&amp;MID(J108,SEARCH("秀图",J108)+LEN("秀图"),LEN(J108)),"")))),IFERROR(LEFT(_xlpm.A,FIND("【",_xlpm.A,FIND("】",_xlpm.A)+1)-1)&amp;MID(_xlpm.A,FIND("】",_xlpm.A,FIND("】",_xlpm.A)+1)+1,LEN(_xlpm.A)),_xlpm.A))</f>
        <v/>
      </c>
      <c r="F108" s="18" t="str">
        <f>_xlfn.LET(_xlpm.A,IF(ISNUMBER(SEARCH("晒单",K108)),"【晒单】"&amp;MID(K108,SEARCH("晒单",K108)+LEN("晒单"),LEN(K108))&amp;"（需晒单后联系客服登记）",IF(ISNUMBER(SEARCH("包修",K108)),"【购机】"&amp;MID(K108,SEARCH("购机",K108)+LEN("购机"),LEN(K108)),IF(ISNUMBER(SEARCH("叠放支架",K108)),"【赠品】"&amp;MID(K108,SEARCH("购机",K108)+LEN("购机"),LEN(K108)),IF(ISNUMBER(SEARCH("秀图",K108)),"【秀图】"&amp;MID(K108,SEARCH("秀图",K108)+LEN("秀图"),LEN(K108)),"")))),IFERROR(LEFT(_xlpm.A,FIND("【",_xlpm.A,FIND("】",_xlpm.A)+1)-1)&amp;MID(_xlpm.A,FIND("】",_xlpm.A,FIND("】",_xlpm.A)+1)+1,LEN(_xlpm.A)),_xlpm.A))</f>
        <v/>
      </c>
      <c r="G108" s="18" t="str">
        <f>_xlfn.LET(_xlpm.A,IF(ISNUMBER(SEARCH("晒单",L108)),"【晒单】"&amp;MID(L108,SEARCH("晒单",L108)+LEN("晒单"),LEN(L108))&amp;"（需晒单后联系客服登记）",IF(ISNUMBER(SEARCH("包修",L108)),"【购机】"&amp;MID(L108,SEARCH("购机",L108)+LEN("购机"),LEN(L108)),IF(ISNUMBER(SEARCH("叠放支架",L108)),"【赠品】"&amp;MID(L108,SEARCH("购机",L108)+LEN("购机"),LEN(L108)),IF(ISNUMBER(SEARCH("秀图",L108)),"【秀图】"&amp;MID(L108,SEARCH("秀图",L108)+LEN("秀图"),LEN(L108)),"")))),IFERROR(LEFT(_xlpm.A,FIND("【",_xlpm.A,FIND("】",_xlpm.A)+1)-1)&amp;MID(_xlpm.A,FIND("】",_xlpm.A,FIND("】",_xlpm.A)+1)+1,LEN(_xlpm.A)),_xlpm.A))</f>
        <v/>
      </c>
      <c r="H108" s="18" t="str">
        <f>_xlfn.LET(_xlpm.A,IF(ISNUMBER(SEARCH("晒单",M108)),"【晒单】"&amp;MID(M108,SEARCH("晒单",M108)+LEN("晒单"),LEN(M108))&amp;"（需晒单后联系客服登记）",IF(ISNUMBER(SEARCH("包修",M108)),"【购机】"&amp;MID(M108,SEARCH("购机",M108)+LEN("购机"),LEN(M108)),IF(ISNUMBER(SEARCH("叠放支架",M108)),"【赠品】"&amp;MID(M108,SEARCH("购机",M108)+LEN("购机"),LEN(M108)),IF(ISNUMBER(SEARCH("秀图",M108)),"【秀图】"&amp;MID(M108,SEARCH("秀图",M108)+LEN("秀图"),LEN(M108)),"")))),IFERROR(LEFT(_xlpm.A,FIND("【",_xlpm.A,FIND("】",_xlpm.A)+1)-1)&amp;MID(_xlpm.A,FIND("】",_xlpm.A,FIND("】",_xlpm.A)+1)+1,LEN(_xlpm.A)),_xlpm.A))</f>
        <v/>
      </c>
      <c r="I108" s="18" t="str">
        <f>_xlfn.LET(_xlpm.A,IF(ISNUMBER(SEARCH("晒单",N108)),"【晒单】"&amp;MID(N108,SEARCH("晒单",N108)+LEN("晒单"),LEN(N108))&amp;"（需晒单后联系客服登记）",IF(ISNUMBER(SEARCH("包修",N108)),"【购机】"&amp;MID(N108,SEARCH("购机",N108)+LEN("购机"),LEN(N108)),IF(ISNUMBER(SEARCH("叠放支架",N108)),"【赠品】"&amp;MID(N108,SEARCH("购机",N108)+LEN("购机"),LEN(N108)),IF(ISNUMBER(SEARCH("秀图",N108)),"【秀图】"&amp;MID(N108,SEARCH("秀图",N108)+LEN("秀图"),LEN(N108)),"")))),IFERROR(LEFT(_xlpm.A,FIND("【",_xlpm.A,FIND("】",_xlpm.A)+1)-1)&amp;MID(_xlpm.A,FIND("】",_xlpm.A,FIND("】",_xlpm.A)+1)+1,LEN(_xlpm.A)),_xlpm.A))</f>
        <v/>
      </c>
      <c r="J108" s="18" t="str" cm="1">
        <f t="array" ref="J108">IFERROR(INDEX(_xlfn.TEXTSPLIT(_xlfn.XLOOKUP($A108&amp;$B108&amp;$C108,盘货信息!$A:$A&amp;盘货信息!$B:$B&amp;盘货信息!$C:$C,盘货信息!$S:$S),CHAR(10),,TRUE),1,COLUMN(A107)),"")</f>
        <v/>
      </c>
      <c r="K108" s="18" t="str" cm="1">
        <f t="array" ref="K108">IFERROR(INDEX(_xlfn.TEXTSPLIT(_xlfn.XLOOKUP($A108&amp;$B108&amp;$C108,盘货信息!$A:$A&amp;盘货信息!$B:$B&amp;盘货信息!$C:$C,盘货信息!$S:$S),CHAR(10),,TRUE),1,COLUMN(B107)),"")</f>
        <v/>
      </c>
      <c r="L108" s="18" t="str" cm="1">
        <f t="array" ref="L108">IFERROR(INDEX(_xlfn.TEXTSPLIT(_xlfn.XLOOKUP($A108&amp;$B108&amp;$C108,盘货信息!$A:$A&amp;盘货信息!$B:$B&amp;盘货信息!$C:$C,盘货信息!$S:$S),CHAR(10),,TRUE),1,COLUMN(C107)),"")</f>
        <v/>
      </c>
      <c r="M108" s="18" t="str" cm="1">
        <f t="array" ref="M108">IFERROR(INDEX(_xlfn.TEXTSPLIT(_xlfn.XLOOKUP($A108&amp;$B108&amp;$C108,盘货信息!$A:$A&amp;盘货信息!$B:$B&amp;盘货信息!$C:$C,盘货信息!$S:$S),CHAR(10),,TRUE),1,COLUMN(D107)),"")</f>
        <v/>
      </c>
      <c r="N108" s="18" t="str" cm="1">
        <f t="array" ref="N108">IFERROR(INDEX(_xlfn.TEXTSPLIT(_xlfn.XLOOKUP($A108&amp;$B108&amp;$C108,盘货信息!$A:$A&amp;盘货信息!$B:$B&amp;盘货信息!$C:$C,盘货信息!$S:$S),CHAR(10),,TRUE),1,COLUMN(E107)),"")</f>
        <v/>
      </c>
    </row>
    <row r="109" customHeight="1" spans="1:14">
      <c r="A109" s="17" t="str">
        <f>IF(盘货信息!A109="","",盘货信息!A109)</f>
        <v/>
      </c>
      <c r="B109" s="17" t="str">
        <f>IF(盘货信息!B109="","",盘货信息!B109)</f>
        <v/>
      </c>
      <c r="C109" s="20" t="str">
        <f>IF(盘货信息!C109="","",盘货信息!C109)</f>
        <v/>
      </c>
      <c r="D109" s="18" t="str">
        <f t="shared" si="1"/>
        <v/>
      </c>
      <c r="E109" s="18" t="str">
        <f>_xlfn.LET(_xlpm.A,IF(ISNUMBER(SEARCH("晒单",J109)),"【晒单】"&amp;MID(J109,SEARCH("晒单",J109)+LEN("晒单"),LEN(J109))&amp;"（需晒单后联系客服登记）",IF(ISNUMBER(SEARCH("包修",J109)),"【购机】"&amp;MID(J109,SEARCH("购机",J109)+LEN("购机"),LEN(J109)),IF(ISNUMBER(SEARCH("叠放支架",J109)),"【赠品】"&amp;MID(J109,SEARCH("购机",J109)+LEN("购机"),LEN(J109)),IF(ISNUMBER(SEARCH("秀图",J109)),"【秀图】"&amp;MID(J109,SEARCH("秀图",J109)+LEN("秀图"),LEN(J109)),"")))),IFERROR(LEFT(_xlpm.A,FIND("【",_xlpm.A,FIND("】",_xlpm.A)+1)-1)&amp;MID(_xlpm.A,FIND("】",_xlpm.A,FIND("】",_xlpm.A)+1)+1,LEN(_xlpm.A)),_xlpm.A))</f>
        <v/>
      </c>
      <c r="F109" s="18" t="str">
        <f>_xlfn.LET(_xlpm.A,IF(ISNUMBER(SEARCH("晒单",K109)),"【晒单】"&amp;MID(K109,SEARCH("晒单",K109)+LEN("晒单"),LEN(K109))&amp;"（需晒单后联系客服登记）",IF(ISNUMBER(SEARCH("包修",K109)),"【购机】"&amp;MID(K109,SEARCH("购机",K109)+LEN("购机"),LEN(K109)),IF(ISNUMBER(SEARCH("叠放支架",K109)),"【赠品】"&amp;MID(K109,SEARCH("购机",K109)+LEN("购机"),LEN(K109)),IF(ISNUMBER(SEARCH("秀图",K109)),"【秀图】"&amp;MID(K109,SEARCH("秀图",K109)+LEN("秀图"),LEN(K109)),"")))),IFERROR(LEFT(_xlpm.A,FIND("【",_xlpm.A,FIND("】",_xlpm.A)+1)-1)&amp;MID(_xlpm.A,FIND("】",_xlpm.A,FIND("】",_xlpm.A)+1)+1,LEN(_xlpm.A)),_xlpm.A))</f>
        <v/>
      </c>
      <c r="G109" s="18" t="str">
        <f>_xlfn.LET(_xlpm.A,IF(ISNUMBER(SEARCH("晒单",L109)),"【晒单】"&amp;MID(L109,SEARCH("晒单",L109)+LEN("晒单"),LEN(L109))&amp;"（需晒单后联系客服登记）",IF(ISNUMBER(SEARCH("包修",L109)),"【购机】"&amp;MID(L109,SEARCH("购机",L109)+LEN("购机"),LEN(L109)),IF(ISNUMBER(SEARCH("叠放支架",L109)),"【赠品】"&amp;MID(L109,SEARCH("购机",L109)+LEN("购机"),LEN(L109)),IF(ISNUMBER(SEARCH("秀图",L109)),"【秀图】"&amp;MID(L109,SEARCH("秀图",L109)+LEN("秀图"),LEN(L109)),"")))),IFERROR(LEFT(_xlpm.A,FIND("【",_xlpm.A,FIND("】",_xlpm.A)+1)-1)&amp;MID(_xlpm.A,FIND("】",_xlpm.A,FIND("】",_xlpm.A)+1)+1,LEN(_xlpm.A)),_xlpm.A))</f>
        <v/>
      </c>
      <c r="H109" s="18" t="str">
        <f>_xlfn.LET(_xlpm.A,IF(ISNUMBER(SEARCH("晒单",M109)),"【晒单】"&amp;MID(M109,SEARCH("晒单",M109)+LEN("晒单"),LEN(M109))&amp;"（需晒单后联系客服登记）",IF(ISNUMBER(SEARCH("包修",M109)),"【购机】"&amp;MID(M109,SEARCH("购机",M109)+LEN("购机"),LEN(M109)),IF(ISNUMBER(SEARCH("叠放支架",M109)),"【赠品】"&amp;MID(M109,SEARCH("购机",M109)+LEN("购机"),LEN(M109)),IF(ISNUMBER(SEARCH("秀图",M109)),"【秀图】"&amp;MID(M109,SEARCH("秀图",M109)+LEN("秀图"),LEN(M109)),"")))),IFERROR(LEFT(_xlpm.A,FIND("【",_xlpm.A,FIND("】",_xlpm.A)+1)-1)&amp;MID(_xlpm.A,FIND("】",_xlpm.A,FIND("】",_xlpm.A)+1)+1,LEN(_xlpm.A)),_xlpm.A))</f>
        <v/>
      </c>
      <c r="I109" s="18" t="str">
        <f>_xlfn.LET(_xlpm.A,IF(ISNUMBER(SEARCH("晒单",N109)),"【晒单】"&amp;MID(N109,SEARCH("晒单",N109)+LEN("晒单"),LEN(N109))&amp;"（需晒单后联系客服登记）",IF(ISNUMBER(SEARCH("包修",N109)),"【购机】"&amp;MID(N109,SEARCH("购机",N109)+LEN("购机"),LEN(N109)),IF(ISNUMBER(SEARCH("叠放支架",N109)),"【赠品】"&amp;MID(N109,SEARCH("购机",N109)+LEN("购机"),LEN(N109)),IF(ISNUMBER(SEARCH("秀图",N109)),"【秀图】"&amp;MID(N109,SEARCH("秀图",N109)+LEN("秀图"),LEN(N109)),"")))),IFERROR(LEFT(_xlpm.A,FIND("【",_xlpm.A,FIND("】",_xlpm.A)+1)-1)&amp;MID(_xlpm.A,FIND("】",_xlpm.A,FIND("】",_xlpm.A)+1)+1,LEN(_xlpm.A)),_xlpm.A))</f>
        <v/>
      </c>
      <c r="J109" s="18" t="str" cm="1">
        <f t="array" ref="J109">IFERROR(INDEX(_xlfn.TEXTSPLIT(_xlfn.XLOOKUP($A109&amp;$B109&amp;$C109,盘货信息!$A:$A&amp;盘货信息!$B:$B&amp;盘货信息!$C:$C,盘货信息!$S:$S),CHAR(10),,TRUE),1,COLUMN(A108)),"")</f>
        <v/>
      </c>
      <c r="K109" s="18" t="str" cm="1">
        <f t="array" ref="K109">IFERROR(INDEX(_xlfn.TEXTSPLIT(_xlfn.XLOOKUP($A109&amp;$B109&amp;$C109,盘货信息!$A:$A&amp;盘货信息!$B:$B&amp;盘货信息!$C:$C,盘货信息!$S:$S),CHAR(10),,TRUE),1,COLUMN(B108)),"")</f>
        <v/>
      </c>
      <c r="L109" s="18" t="str" cm="1">
        <f t="array" ref="L109">IFERROR(INDEX(_xlfn.TEXTSPLIT(_xlfn.XLOOKUP($A109&amp;$B109&amp;$C109,盘货信息!$A:$A&amp;盘货信息!$B:$B&amp;盘货信息!$C:$C,盘货信息!$S:$S),CHAR(10),,TRUE),1,COLUMN(C108)),"")</f>
        <v/>
      </c>
      <c r="M109" s="18" t="str" cm="1">
        <f t="array" ref="M109">IFERROR(INDEX(_xlfn.TEXTSPLIT(_xlfn.XLOOKUP($A109&amp;$B109&amp;$C109,盘货信息!$A:$A&amp;盘货信息!$B:$B&amp;盘货信息!$C:$C,盘货信息!$S:$S),CHAR(10),,TRUE),1,COLUMN(D108)),"")</f>
        <v/>
      </c>
      <c r="N109" s="18" t="str" cm="1">
        <f t="array" ref="N109">IFERROR(INDEX(_xlfn.TEXTSPLIT(_xlfn.XLOOKUP($A109&amp;$B109&amp;$C109,盘货信息!$A:$A&amp;盘货信息!$B:$B&amp;盘货信息!$C:$C,盘货信息!$S:$S),CHAR(10),,TRUE),1,COLUMN(E108)),"")</f>
        <v/>
      </c>
    </row>
    <row r="110" customHeight="1" spans="1:14">
      <c r="A110" s="17" t="str">
        <f>IF(盘货信息!A110="","",盘货信息!A110)</f>
        <v/>
      </c>
      <c r="B110" s="17" t="str">
        <f>IF(盘货信息!B110="","",盘货信息!B110)</f>
        <v/>
      </c>
      <c r="C110" s="20" t="str">
        <f>IF(盘货信息!C110="","",盘货信息!C110)</f>
        <v/>
      </c>
      <c r="D110" s="18" t="str">
        <f t="shared" si="1"/>
        <v/>
      </c>
      <c r="E110" s="18" t="str">
        <f>_xlfn.LET(_xlpm.A,IF(ISNUMBER(SEARCH("晒单",J110)),"【晒单】"&amp;MID(J110,SEARCH("晒单",J110)+LEN("晒单"),LEN(J110))&amp;"（需晒单后联系客服登记）",IF(ISNUMBER(SEARCH("包修",J110)),"【购机】"&amp;MID(J110,SEARCH("购机",J110)+LEN("购机"),LEN(J110)),IF(ISNUMBER(SEARCH("叠放支架",J110)),"【赠品】"&amp;MID(J110,SEARCH("购机",J110)+LEN("购机"),LEN(J110)),IF(ISNUMBER(SEARCH("秀图",J110)),"【秀图】"&amp;MID(J110,SEARCH("秀图",J110)+LEN("秀图"),LEN(J110)),"")))),IFERROR(LEFT(_xlpm.A,FIND("【",_xlpm.A,FIND("】",_xlpm.A)+1)-1)&amp;MID(_xlpm.A,FIND("】",_xlpm.A,FIND("】",_xlpm.A)+1)+1,LEN(_xlpm.A)),_xlpm.A))</f>
        <v/>
      </c>
      <c r="F110" s="18" t="str">
        <f>_xlfn.LET(_xlpm.A,IF(ISNUMBER(SEARCH("晒单",K110)),"【晒单】"&amp;MID(K110,SEARCH("晒单",K110)+LEN("晒单"),LEN(K110))&amp;"（需晒单后联系客服登记）",IF(ISNUMBER(SEARCH("包修",K110)),"【购机】"&amp;MID(K110,SEARCH("购机",K110)+LEN("购机"),LEN(K110)),IF(ISNUMBER(SEARCH("叠放支架",K110)),"【赠品】"&amp;MID(K110,SEARCH("购机",K110)+LEN("购机"),LEN(K110)),IF(ISNUMBER(SEARCH("秀图",K110)),"【秀图】"&amp;MID(K110,SEARCH("秀图",K110)+LEN("秀图"),LEN(K110)),"")))),IFERROR(LEFT(_xlpm.A,FIND("【",_xlpm.A,FIND("】",_xlpm.A)+1)-1)&amp;MID(_xlpm.A,FIND("】",_xlpm.A,FIND("】",_xlpm.A)+1)+1,LEN(_xlpm.A)),_xlpm.A))</f>
        <v/>
      </c>
      <c r="G110" s="18" t="str">
        <f>_xlfn.LET(_xlpm.A,IF(ISNUMBER(SEARCH("晒单",L110)),"【晒单】"&amp;MID(L110,SEARCH("晒单",L110)+LEN("晒单"),LEN(L110))&amp;"（需晒单后联系客服登记）",IF(ISNUMBER(SEARCH("包修",L110)),"【购机】"&amp;MID(L110,SEARCH("购机",L110)+LEN("购机"),LEN(L110)),IF(ISNUMBER(SEARCH("叠放支架",L110)),"【赠品】"&amp;MID(L110,SEARCH("购机",L110)+LEN("购机"),LEN(L110)),IF(ISNUMBER(SEARCH("秀图",L110)),"【秀图】"&amp;MID(L110,SEARCH("秀图",L110)+LEN("秀图"),LEN(L110)),"")))),IFERROR(LEFT(_xlpm.A,FIND("【",_xlpm.A,FIND("】",_xlpm.A)+1)-1)&amp;MID(_xlpm.A,FIND("】",_xlpm.A,FIND("】",_xlpm.A)+1)+1,LEN(_xlpm.A)),_xlpm.A))</f>
        <v/>
      </c>
      <c r="H110" s="18" t="str">
        <f>_xlfn.LET(_xlpm.A,IF(ISNUMBER(SEARCH("晒单",M110)),"【晒单】"&amp;MID(M110,SEARCH("晒单",M110)+LEN("晒单"),LEN(M110))&amp;"（需晒单后联系客服登记）",IF(ISNUMBER(SEARCH("包修",M110)),"【购机】"&amp;MID(M110,SEARCH("购机",M110)+LEN("购机"),LEN(M110)),IF(ISNUMBER(SEARCH("叠放支架",M110)),"【赠品】"&amp;MID(M110,SEARCH("购机",M110)+LEN("购机"),LEN(M110)),IF(ISNUMBER(SEARCH("秀图",M110)),"【秀图】"&amp;MID(M110,SEARCH("秀图",M110)+LEN("秀图"),LEN(M110)),"")))),IFERROR(LEFT(_xlpm.A,FIND("【",_xlpm.A,FIND("】",_xlpm.A)+1)-1)&amp;MID(_xlpm.A,FIND("】",_xlpm.A,FIND("】",_xlpm.A)+1)+1,LEN(_xlpm.A)),_xlpm.A))</f>
        <v/>
      </c>
      <c r="I110" s="18" t="str">
        <f>_xlfn.LET(_xlpm.A,IF(ISNUMBER(SEARCH("晒单",N110)),"【晒单】"&amp;MID(N110,SEARCH("晒单",N110)+LEN("晒单"),LEN(N110))&amp;"（需晒单后联系客服登记）",IF(ISNUMBER(SEARCH("包修",N110)),"【购机】"&amp;MID(N110,SEARCH("购机",N110)+LEN("购机"),LEN(N110)),IF(ISNUMBER(SEARCH("叠放支架",N110)),"【赠品】"&amp;MID(N110,SEARCH("购机",N110)+LEN("购机"),LEN(N110)),IF(ISNUMBER(SEARCH("秀图",N110)),"【秀图】"&amp;MID(N110,SEARCH("秀图",N110)+LEN("秀图"),LEN(N110)),"")))),IFERROR(LEFT(_xlpm.A,FIND("【",_xlpm.A,FIND("】",_xlpm.A)+1)-1)&amp;MID(_xlpm.A,FIND("】",_xlpm.A,FIND("】",_xlpm.A)+1)+1,LEN(_xlpm.A)),_xlpm.A))</f>
        <v/>
      </c>
      <c r="J110" s="18" t="str" cm="1">
        <f t="array" ref="J110">IFERROR(INDEX(_xlfn.TEXTSPLIT(_xlfn.XLOOKUP($A110&amp;$B110&amp;$C110,盘货信息!$A:$A&amp;盘货信息!$B:$B&amp;盘货信息!$C:$C,盘货信息!$S:$S),CHAR(10),,TRUE),1,COLUMN(A109)),"")</f>
        <v/>
      </c>
      <c r="K110" s="18" t="str" cm="1">
        <f t="array" ref="K110">IFERROR(INDEX(_xlfn.TEXTSPLIT(_xlfn.XLOOKUP($A110&amp;$B110&amp;$C110,盘货信息!$A:$A&amp;盘货信息!$B:$B&amp;盘货信息!$C:$C,盘货信息!$S:$S),CHAR(10),,TRUE),1,COLUMN(B109)),"")</f>
        <v/>
      </c>
      <c r="L110" s="18" t="str" cm="1">
        <f t="array" ref="L110">IFERROR(INDEX(_xlfn.TEXTSPLIT(_xlfn.XLOOKUP($A110&amp;$B110&amp;$C110,盘货信息!$A:$A&amp;盘货信息!$B:$B&amp;盘货信息!$C:$C,盘货信息!$S:$S),CHAR(10),,TRUE),1,COLUMN(C109)),"")</f>
        <v/>
      </c>
      <c r="M110" s="18" t="str" cm="1">
        <f t="array" ref="M110">IFERROR(INDEX(_xlfn.TEXTSPLIT(_xlfn.XLOOKUP($A110&amp;$B110&amp;$C110,盘货信息!$A:$A&amp;盘货信息!$B:$B&amp;盘货信息!$C:$C,盘货信息!$S:$S),CHAR(10),,TRUE),1,COLUMN(D109)),"")</f>
        <v/>
      </c>
      <c r="N110" s="18" t="str" cm="1">
        <f t="array" ref="N110">IFERROR(INDEX(_xlfn.TEXTSPLIT(_xlfn.XLOOKUP($A110&amp;$B110&amp;$C110,盘货信息!$A:$A&amp;盘货信息!$B:$B&amp;盘货信息!$C:$C,盘货信息!$S:$S),CHAR(10),,TRUE),1,COLUMN(E109)),"")</f>
        <v/>
      </c>
    </row>
    <row r="111" customHeight="1" spans="1:14">
      <c r="A111" s="17" t="str">
        <f>IF(盘货信息!A111="","",盘货信息!A111)</f>
        <v/>
      </c>
      <c r="B111" s="17" t="str">
        <f>IF(盘货信息!B111="","",盘货信息!B111)</f>
        <v/>
      </c>
      <c r="C111" s="18" t="str">
        <f>IF(盘货信息!C111="","",盘货信息!C111)</f>
        <v/>
      </c>
      <c r="D111" s="18" t="str">
        <f t="shared" si="1"/>
        <v/>
      </c>
      <c r="E111" s="18" t="str">
        <f>_xlfn.LET(_xlpm.A,IF(ISNUMBER(SEARCH("晒单",J111)),"【晒单】"&amp;MID(J111,SEARCH("晒单",J111)+LEN("晒单"),LEN(J111))&amp;"（需晒单后联系客服登记）",IF(ISNUMBER(SEARCH("包修",J111)),"【购机】"&amp;MID(J111,SEARCH("购机",J111)+LEN("购机"),LEN(J111)),IF(ISNUMBER(SEARCH("叠放支架",J111)),"【赠品】"&amp;MID(J111,SEARCH("购机",J111)+LEN("购机"),LEN(J111)),IF(ISNUMBER(SEARCH("秀图",J111)),"【秀图】"&amp;MID(J111,SEARCH("秀图",J111)+LEN("秀图"),LEN(J111)),"")))),IFERROR(LEFT(_xlpm.A,FIND("【",_xlpm.A,FIND("】",_xlpm.A)+1)-1)&amp;MID(_xlpm.A,FIND("】",_xlpm.A,FIND("】",_xlpm.A)+1)+1,LEN(_xlpm.A)),_xlpm.A))</f>
        <v/>
      </c>
      <c r="F111" s="18" t="str">
        <f>_xlfn.LET(_xlpm.A,IF(ISNUMBER(SEARCH("晒单",K111)),"【晒单】"&amp;MID(K111,SEARCH("晒单",K111)+LEN("晒单"),LEN(K111))&amp;"（需晒单后联系客服登记）",IF(ISNUMBER(SEARCH("包修",K111)),"【购机】"&amp;MID(K111,SEARCH("购机",K111)+LEN("购机"),LEN(K111)),IF(ISNUMBER(SEARCH("叠放支架",K111)),"【赠品】"&amp;MID(K111,SEARCH("购机",K111)+LEN("购机"),LEN(K111)),IF(ISNUMBER(SEARCH("秀图",K111)),"【秀图】"&amp;MID(K111,SEARCH("秀图",K111)+LEN("秀图"),LEN(K111)),"")))),IFERROR(LEFT(_xlpm.A,FIND("【",_xlpm.A,FIND("】",_xlpm.A)+1)-1)&amp;MID(_xlpm.A,FIND("】",_xlpm.A,FIND("】",_xlpm.A)+1)+1,LEN(_xlpm.A)),_xlpm.A))</f>
        <v/>
      </c>
      <c r="G111" s="18" t="str">
        <f>_xlfn.LET(_xlpm.A,IF(ISNUMBER(SEARCH("晒单",L111)),"【晒单】"&amp;MID(L111,SEARCH("晒单",L111)+LEN("晒单"),LEN(L111))&amp;"（需晒单后联系客服登记）",IF(ISNUMBER(SEARCH("包修",L111)),"【购机】"&amp;MID(L111,SEARCH("购机",L111)+LEN("购机"),LEN(L111)),IF(ISNUMBER(SEARCH("叠放支架",L111)),"【赠品】"&amp;MID(L111,SEARCH("购机",L111)+LEN("购机"),LEN(L111)),IF(ISNUMBER(SEARCH("秀图",L111)),"【秀图】"&amp;MID(L111,SEARCH("秀图",L111)+LEN("秀图"),LEN(L111)),"")))),IFERROR(LEFT(_xlpm.A,FIND("【",_xlpm.A,FIND("】",_xlpm.A)+1)-1)&amp;MID(_xlpm.A,FIND("】",_xlpm.A,FIND("】",_xlpm.A)+1)+1,LEN(_xlpm.A)),_xlpm.A))</f>
        <v/>
      </c>
      <c r="H111" s="18" t="str">
        <f>_xlfn.LET(_xlpm.A,IF(ISNUMBER(SEARCH("晒单",M111)),"【晒单】"&amp;MID(M111,SEARCH("晒单",M111)+LEN("晒单"),LEN(M111))&amp;"（需晒单后联系客服登记）",IF(ISNUMBER(SEARCH("包修",M111)),"【购机】"&amp;MID(M111,SEARCH("购机",M111)+LEN("购机"),LEN(M111)),IF(ISNUMBER(SEARCH("叠放支架",M111)),"【赠品】"&amp;MID(M111,SEARCH("购机",M111)+LEN("购机"),LEN(M111)),IF(ISNUMBER(SEARCH("秀图",M111)),"【秀图】"&amp;MID(M111,SEARCH("秀图",M111)+LEN("秀图"),LEN(M111)),"")))),IFERROR(LEFT(_xlpm.A,FIND("【",_xlpm.A,FIND("】",_xlpm.A)+1)-1)&amp;MID(_xlpm.A,FIND("】",_xlpm.A,FIND("】",_xlpm.A)+1)+1,LEN(_xlpm.A)),_xlpm.A))</f>
        <v/>
      </c>
      <c r="I111" s="18" t="str">
        <f>_xlfn.LET(_xlpm.A,IF(ISNUMBER(SEARCH("晒单",N111)),"【晒单】"&amp;MID(N111,SEARCH("晒单",N111)+LEN("晒单"),LEN(N111))&amp;"（需晒单后联系客服登记）",IF(ISNUMBER(SEARCH("包修",N111)),"【购机】"&amp;MID(N111,SEARCH("购机",N111)+LEN("购机"),LEN(N111)),IF(ISNUMBER(SEARCH("叠放支架",N111)),"【赠品】"&amp;MID(N111,SEARCH("购机",N111)+LEN("购机"),LEN(N111)),IF(ISNUMBER(SEARCH("秀图",N111)),"【秀图】"&amp;MID(N111,SEARCH("秀图",N111)+LEN("秀图"),LEN(N111)),"")))),IFERROR(LEFT(_xlpm.A,FIND("【",_xlpm.A,FIND("】",_xlpm.A)+1)-1)&amp;MID(_xlpm.A,FIND("】",_xlpm.A,FIND("】",_xlpm.A)+1)+1,LEN(_xlpm.A)),_xlpm.A))</f>
        <v/>
      </c>
      <c r="J111" s="18" t="str" cm="1">
        <f t="array" ref="J111">IFERROR(INDEX(_xlfn.TEXTSPLIT(_xlfn.XLOOKUP($A111&amp;$B111&amp;$C111,盘货信息!$A:$A&amp;盘货信息!$B:$B&amp;盘货信息!$C:$C,盘货信息!$S:$S),CHAR(10),,TRUE),1,COLUMN(A110)),"")</f>
        <v/>
      </c>
      <c r="K111" s="18" t="str" cm="1">
        <f t="array" ref="K111">IFERROR(INDEX(_xlfn.TEXTSPLIT(_xlfn.XLOOKUP($A111&amp;$B111&amp;$C111,盘货信息!$A:$A&amp;盘货信息!$B:$B&amp;盘货信息!$C:$C,盘货信息!$S:$S),CHAR(10),,TRUE),1,COLUMN(B110)),"")</f>
        <v/>
      </c>
      <c r="L111" s="18" t="str" cm="1">
        <f t="array" ref="L111">IFERROR(INDEX(_xlfn.TEXTSPLIT(_xlfn.XLOOKUP($A111&amp;$B111&amp;$C111,盘货信息!$A:$A&amp;盘货信息!$B:$B&amp;盘货信息!$C:$C,盘货信息!$S:$S),CHAR(10),,TRUE),1,COLUMN(C110)),"")</f>
        <v/>
      </c>
      <c r="M111" s="18" t="str" cm="1">
        <f t="array" ref="M111">IFERROR(INDEX(_xlfn.TEXTSPLIT(_xlfn.XLOOKUP($A111&amp;$B111&amp;$C111,盘货信息!$A:$A&amp;盘货信息!$B:$B&amp;盘货信息!$C:$C,盘货信息!$S:$S),CHAR(10),,TRUE),1,COLUMN(D110)),"")</f>
        <v/>
      </c>
      <c r="N111" s="18" t="str" cm="1">
        <f t="array" ref="N111">IFERROR(INDEX(_xlfn.TEXTSPLIT(_xlfn.XLOOKUP($A111&amp;$B111&amp;$C111,盘货信息!$A:$A&amp;盘货信息!$B:$B&amp;盘货信息!$C:$C,盘货信息!$S:$S),CHAR(10),,TRUE),1,COLUMN(E110)),"")</f>
        <v/>
      </c>
    </row>
    <row r="112" customHeight="1" spans="1:14">
      <c r="A112" s="17" t="str">
        <f>IF(盘货信息!A112="","",盘货信息!A112)</f>
        <v/>
      </c>
      <c r="B112" s="17" t="str">
        <f>IF(盘货信息!B112="","",盘货信息!B112)</f>
        <v/>
      </c>
      <c r="C112" s="18" t="str">
        <f>IF(盘货信息!C112="","",盘货信息!C112)</f>
        <v/>
      </c>
      <c r="D112" s="18" t="str">
        <f t="shared" si="1"/>
        <v/>
      </c>
      <c r="E112" s="18" t="str">
        <f>_xlfn.LET(_xlpm.A,IF(ISNUMBER(SEARCH("晒单",J112)),"【晒单】"&amp;MID(J112,SEARCH("晒单",J112)+LEN("晒单"),LEN(J112))&amp;"（需晒单后联系客服登记）",IF(ISNUMBER(SEARCH("包修",J112)),"【购机】"&amp;MID(J112,SEARCH("购机",J112)+LEN("购机"),LEN(J112)),IF(ISNUMBER(SEARCH("叠放支架",J112)),"【赠品】"&amp;MID(J112,SEARCH("购机",J112)+LEN("购机"),LEN(J112)),IF(ISNUMBER(SEARCH("秀图",J112)),"【秀图】"&amp;MID(J112,SEARCH("秀图",J112)+LEN("秀图"),LEN(J112)),"")))),IFERROR(LEFT(_xlpm.A,FIND("【",_xlpm.A,FIND("】",_xlpm.A)+1)-1)&amp;MID(_xlpm.A,FIND("】",_xlpm.A,FIND("】",_xlpm.A)+1)+1,LEN(_xlpm.A)),_xlpm.A))</f>
        <v/>
      </c>
      <c r="F112" s="18" t="str">
        <f>_xlfn.LET(_xlpm.A,IF(ISNUMBER(SEARCH("晒单",K112)),"【晒单】"&amp;MID(K112,SEARCH("晒单",K112)+LEN("晒单"),LEN(K112))&amp;"（需晒单后联系客服登记）",IF(ISNUMBER(SEARCH("包修",K112)),"【购机】"&amp;MID(K112,SEARCH("购机",K112)+LEN("购机"),LEN(K112)),IF(ISNUMBER(SEARCH("叠放支架",K112)),"【赠品】"&amp;MID(K112,SEARCH("购机",K112)+LEN("购机"),LEN(K112)),IF(ISNUMBER(SEARCH("秀图",K112)),"【秀图】"&amp;MID(K112,SEARCH("秀图",K112)+LEN("秀图"),LEN(K112)),"")))),IFERROR(LEFT(_xlpm.A,FIND("【",_xlpm.A,FIND("】",_xlpm.A)+1)-1)&amp;MID(_xlpm.A,FIND("】",_xlpm.A,FIND("】",_xlpm.A)+1)+1,LEN(_xlpm.A)),_xlpm.A))</f>
        <v/>
      </c>
      <c r="G112" s="18" t="str">
        <f>_xlfn.LET(_xlpm.A,IF(ISNUMBER(SEARCH("晒单",L112)),"【晒单】"&amp;MID(L112,SEARCH("晒单",L112)+LEN("晒单"),LEN(L112))&amp;"（需晒单后联系客服登记）",IF(ISNUMBER(SEARCH("包修",L112)),"【购机】"&amp;MID(L112,SEARCH("购机",L112)+LEN("购机"),LEN(L112)),IF(ISNUMBER(SEARCH("叠放支架",L112)),"【赠品】"&amp;MID(L112,SEARCH("购机",L112)+LEN("购机"),LEN(L112)),IF(ISNUMBER(SEARCH("秀图",L112)),"【秀图】"&amp;MID(L112,SEARCH("秀图",L112)+LEN("秀图"),LEN(L112)),"")))),IFERROR(LEFT(_xlpm.A,FIND("【",_xlpm.A,FIND("】",_xlpm.A)+1)-1)&amp;MID(_xlpm.A,FIND("】",_xlpm.A,FIND("】",_xlpm.A)+1)+1,LEN(_xlpm.A)),_xlpm.A))</f>
        <v/>
      </c>
      <c r="H112" s="18" t="str">
        <f>_xlfn.LET(_xlpm.A,IF(ISNUMBER(SEARCH("晒单",M112)),"【晒单】"&amp;MID(M112,SEARCH("晒单",M112)+LEN("晒单"),LEN(M112))&amp;"（需晒单后联系客服登记）",IF(ISNUMBER(SEARCH("包修",M112)),"【购机】"&amp;MID(M112,SEARCH("购机",M112)+LEN("购机"),LEN(M112)),IF(ISNUMBER(SEARCH("叠放支架",M112)),"【赠品】"&amp;MID(M112,SEARCH("购机",M112)+LEN("购机"),LEN(M112)),IF(ISNUMBER(SEARCH("秀图",M112)),"【秀图】"&amp;MID(M112,SEARCH("秀图",M112)+LEN("秀图"),LEN(M112)),"")))),IFERROR(LEFT(_xlpm.A,FIND("【",_xlpm.A,FIND("】",_xlpm.A)+1)-1)&amp;MID(_xlpm.A,FIND("】",_xlpm.A,FIND("】",_xlpm.A)+1)+1,LEN(_xlpm.A)),_xlpm.A))</f>
        <v/>
      </c>
      <c r="I112" s="18" t="str">
        <f>_xlfn.LET(_xlpm.A,IF(ISNUMBER(SEARCH("晒单",N112)),"【晒单】"&amp;MID(N112,SEARCH("晒单",N112)+LEN("晒单"),LEN(N112))&amp;"（需晒单后联系客服登记）",IF(ISNUMBER(SEARCH("包修",N112)),"【购机】"&amp;MID(N112,SEARCH("购机",N112)+LEN("购机"),LEN(N112)),IF(ISNUMBER(SEARCH("叠放支架",N112)),"【赠品】"&amp;MID(N112,SEARCH("购机",N112)+LEN("购机"),LEN(N112)),IF(ISNUMBER(SEARCH("秀图",N112)),"【秀图】"&amp;MID(N112,SEARCH("秀图",N112)+LEN("秀图"),LEN(N112)),"")))),IFERROR(LEFT(_xlpm.A,FIND("【",_xlpm.A,FIND("】",_xlpm.A)+1)-1)&amp;MID(_xlpm.A,FIND("】",_xlpm.A,FIND("】",_xlpm.A)+1)+1,LEN(_xlpm.A)),_xlpm.A))</f>
        <v/>
      </c>
      <c r="J112" s="18" t="str" cm="1">
        <f t="array" ref="J112">IFERROR(INDEX(_xlfn.TEXTSPLIT(_xlfn.XLOOKUP($A112&amp;$B112&amp;$C112,盘货信息!$A:$A&amp;盘货信息!$B:$B&amp;盘货信息!$C:$C,盘货信息!$S:$S),CHAR(10),,TRUE),1,COLUMN(A111)),"")</f>
        <v/>
      </c>
      <c r="K112" s="18" t="str" cm="1">
        <f t="array" ref="K112">IFERROR(INDEX(_xlfn.TEXTSPLIT(_xlfn.XLOOKUP($A112&amp;$B112&amp;$C112,盘货信息!$A:$A&amp;盘货信息!$B:$B&amp;盘货信息!$C:$C,盘货信息!$S:$S),CHAR(10),,TRUE),1,COLUMN(B111)),"")</f>
        <v/>
      </c>
      <c r="L112" s="18" t="str" cm="1">
        <f t="array" ref="L112">IFERROR(INDEX(_xlfn.TEXTSPLIT(_xlfn.XLOOKUP($A112&amp;$B112&amp;$C112,盘货信息!$A:$A&amp;盘货信息!$B:$B&amp;盘货信息!$C:$C,盘货信息!$S:$S),CHAR(10),,TRUE),1,COLUMN(C111)),"")</f>
        <v/>
      </c>
      <c r="M112" s="18" t="str" cm="1">
        <f t="array" ref="M112">IFERROR(INDEX(_xlfn.TEXTSPLIT(_xlfn.XLOOKUP($A112&amp;$B112&amp;$C112,盘货信息!$A:$A&amp;盘货信息!$B:$B&amp;盘货信息!$C:$C,盘货信息!$S:$S),CHAR(10),,TRUE),1,COLUMN(D111)),"")</f>
        <v/>
      </c>
      <c r="N112" s="18" t="str" cm="1">
        <f t="array" ref="N112">IFERROR(INDEX(_xlfn.TEXTSPLIT(_xlfn.XLOOKUP($A112&amp;$B112&amp;$C112,盘货信息!$A:$A&amp;盘货信息!$B:$B&amp;盘货信息!$C:$C,盘货信息!$S:$S),CHAR(10),,TRUE),1,COLUMN(E111)),"")</f>
        <v/>
      </c>
    </row>
    <row r="113" customHeight="1" spans="1:14">
      <c r="A113" s="17" t="str">
        <f>IF(盘货信息!A113="","",盘货信息!A113)</f>
        <v/>
      </c>
      <c r="B113" s="17" t="str">
        <f>IF(盘货信息!B113="","",盘货信息!B113)</f>
        <v/>
      </c>
      <c r="C113" s="18" t="str">
        <f>IF(盘货信息!C113="","",盘货信息!C113)</f>
        <v/>
      </c>
      <c r="D113" s="18" t="str">
        <f t="shared" si="1"/>
        <v/>
      </c>
      <c r="E113" s="18" t="str">
        <f>_xlfn.LET(_xlpm.A,IF(ISNUMBER(SEARCH("晒单",J113)),"【晒单】"&amp;MID(J113,SEARCH("晒单",J113)+LEN("晒单"),LEN(J113))&amp;"（需晒单后联系客服登记）",IF(ISNUMBER(SEARCH("包修",J113)),"【购机】"&amp;MID(J113,SEARCH("购机",J113)+LEN("购机"),LEN(J113)),IF(ISNUMBER(SEARCH("叠放支架",J113)),"【赠品】"&amp;MID(J113,SEARCH("购机",J113)+LEN("购机"),LEN(J113)),IF(ISNUMBER(SEARCH("秀图",J113)),"【秀图】"&amp;MID(J113,SEARCH("秀图",J113)+LEN("秀图"),LEN(J113)),"")))),IFERROR(LEFT(_xlpm.A,FIND("【",_xlpm.A,FIND("】",_xlpm.A)+1)-1)&amp;MID(_xlpm.A,FIND("】",_xlpm.A,FIND("】",_xlpm.A)+1)+1,LEN(_xlpm.A)),_xlpm.A))</f>
        <v/>
      </c>
      <c r="F113" s="18" t="str">
        <f>_xlfn.LET(_xlpm.A,IF(ISNUMBER(SEARCH("晒单",K113)),"【晒单】"&amp;MID(K113,SEARCH("晒单",K113)+LEN("晒单"),LEN(K113))&amp;"（需晒单后联系客服登记）",IF(ISNUMBER(SEARCH("包修",K113)),"【购机】"&amp;MID(K113,SEARCH("购机",K113)+LEN("购机"),LEN(K113)),IF(ISNUMBER(SEARCH("叠放支架",K113)),"【赠品】"&amp;MID(K113,SEARCH("购机",K113)+LEN("购机"),LEN(K113)),IF(ISNUMBER(SEARCH("秀图",K113)),"【秀图】"&amp;MID(K113,SEARCH("秀图",K113)+LEN("秀图"),LEN(K113)),"")))),IFERROR(LEFT(_xlpm.A,FIND("【",_xlpm.A,FIND("】",_xlpm.A)+1)-1)&amp;MID(_xlpm.A,FIND("】",_xlpm.A,FIND("】",_xlpm.A)+1)+1,LEN(_xlpm.A)),_xlpm.A))</f>
        <v/>
      </c>
      <c r="G113" s="18" t="str">
        <f>_xlfn.LET(_xlpm.A,IF(ISNUMBER(SEARCH("晒单",L113)),"【晒单】"&amp;MID(L113,SEARCH("晒单",L113)+LEN("晒单"),LEN(L113))&amp;"（需晒单后联系客服登记）",IF(ISNUMBER(SEARCH("包修",L113)),"【购机】"&amp;MID(L113,SEARCH("购机",L113)+LEN("购机"),LEN(L113)),IF(ISNUMBER(SEARCH("叠放支架",L113)),"【赠品】"&amp;MID(L113,SEARCH("购机",L113)+LEN("购机"),LEN(L113)),IF(ISNUMBER(SEARCH("秀图",L113)),"【秀图】"&amp;MID(L113,SEARCH("秀图",L113)+LEN("秀图"),LEN(L113)),"")))),IFERROR(LEFT(_xlpm.A,FIND("【",_xlpm.A,FIND("】",_xlpm.A)+1)-1)&amp;MID(_xlpm.A,FIND("】",_xlpm.A,FIND("】",_xlpm.A)+1)+1,LEN(_xlpm.A)),_xlpm.A))</f>
        <v/>
      </c>
      <c r="H113" s="18" t="str">
        <f>_xlfn.LET(_xlpm.A,IF(ISNUMBER(SEARCH("晒单",M113)),"【晒单】"&amp;MID(M113,SEARCH("晒单",M113)+LEN("晒单"),LEN(M113))&amp;"（需晒单后联系客服登记）",IF(ISNUMBER(SEARCH("包修",M113)),"【购机】"&amp;MID(M113,SEARCH("购机",M113)+LEN("购机"),LEN(M113)),IF(ISNUMBER(SEARCH("叠放支架",M113)),"【赠品】"&amp;MID(M113,SEARCH("购机",M113)+LEN("购机"),LEN(M113)),IF(ISNUMBER(SEARCH("秀图",M113)),"【秀图】"&amp;MID(M113,SEARCH("秀图",M113)+LEN("秀图"),LEN(M113)),"")))),IFERROR(LEFT(_xlpm.A,FIND("【",_xlpm.A,FIND("】",_xlpm.A)+1)-1)&amp;MID(_xlpm.A,FIND("】",_xlpm.A,FIND("】",_xlpm.A)+1)+1,LEN(_xlpm.A)),_xlpm.A))</f>
        <v/>
      </c>
      <c r="I113" s="18" t="str">
        <f>_xlfn.LET(_xlpm.A,IF(ISNUMBER(SEARCH("晒单",N113)),"【晒单】"&amp;MID(N113,SEARCH("晒单",N113)+LEN("晒单"),LEN(N113))&amp;"（需晒单后联系客服登记）",IF(ISNUMBER(SEARCH("包修",N113)),"【购机】"&amp;MID(N113,SEARCH("购机",N113)+LEN("购机"),LEN(N113)),IF(ISNUMBER(SEARCH("叠放支架",N113)),"【赠品】"&amp;MID(N113,SEARCH("购机",N113)+LEN("购机"),LEN(N113)),IF(ISNUMBER(SEARCH("秀图",N113)),"【秀图】"&amp;MID(N113,SEARCH("秀图",N113)+LEN("秀图"),LEN(N113)),"")))),IFERROR(LEFT(_xlpm.A,FIND("【",_xlpm.A,FIND("】",_xlpm.A)+1)-1)&amp;MID(_xlpm.A,FIND("】",_xlpm.A,FIND("】",_xlpm.A)+1)+1,LEN(_xlpm.A)),_xlpm.A))</f>
        <v/>
      </c>
      <c r="J113" s="18" t="str" cm="1">
        <f t="array" ref="J113">IFERROR(INDEX(_xlfn.TEXTSPLIT(_xlfn.XLOOKUP($A113&amp;$B113&amp;$C113,盘货信息!$A:$A&amp;盘货信息!$B:$B&amp;盘货信息!$C:$C,盘货信息!$S:$S),CHAR(10),,TRUE),1,COLUMN(A112)),"")</f>
        <v/>
      </c>
      <c r="K113" s="18" t="str" cm="1">
        <f t="array" ref="K113">IFERROR(INDEX(_xlfn.TEXTSPLIT(_xlfn.XLOOKUP($A113&amp;$B113&amp;$C113,盘货信息!$A:$A&amp;盘货信息!$B:$B&amp;盘货信息!$C:$C,盘货信息!$S:$S),CHAR(10),,TRUE),1,COLUMN(B112)),"")</f>
        <v/>
      </c>
      <c r="L113" s="18" t="str" cm="1">
        <f t="array" ref="L113">IFERROR(INDEX(_xlfn.TEXTSPLIT(_xlfn.XLOOKUP($A113&amp;$B113&amp;$C113,盘货信息!$A:$A&amp;盘货信息!$B:$B&amp;盘货信息!$C:$C,盘货信息!$S:$S),CHAR(10),,TRUE),1,COLUMN(C112)),"")</f>
        <v/>
      </c>
      <c r="M113" s="18" t="str" cm="1">
        <f t="array" ref="M113">IFERROR(INDEX(_xlfn.TEXTSPLIT(_xlfn.XLOOKUP($A113&amp;$B113&amp;$C113,盘货信息!$A:$A&amp;盘货信息!$B:$B&amp;盘货信息!$C:$C,盘货信息!$S:$S),CHAR(10),,TRUE),1,COLUMN(D112)),"")</f>
        <v/>
      </c>
      <c r="N113" s="18" t="str" cm="1">
        <f t="array" ref="N113">IFERROR(INDEX(_xlfn.TEXTSPLIT(_xlfn.XLOOKUP($A113&amp;$B113&amp;$C113,盘货信息!$A:$A&amp;盘货信息!$B:$B&amp;盘货信息!$C:$C,盘货信息!$S:$S),CHAR(10),,TRUE),1,COLUMN(E112)),"")</f>
        <v/>
      </c>
    </row>
    <row r="114" customHeight="1" spans="1:14">
      <c r="A114" s="17" t="str">
        <f>IF(盘货信息!A114="","",盘货信息!A114)</f>
        <v/>
      </c>
      <c r="B114" s="17" t="str">
        <f>IF(盘货信息!B114="","",盘货信息!B114)</f>
        <v/>
      </c>
      <c r="C114" s="20" t="str">
        <f>IF(盘货信息!C114="","",盘货信息!C114)</f>
        <v/>
      </c>
      <c r="D114" s="18" t="str">
        <f t="shared" si="1"/>
        <v/>
      </c>
      <c r="E114" s="18" t="str">
        <f>_xlfn.LET(_xlpm.A,IF(ISNUMBER(SEARCH("晒单",J114)),"【晒单】"&amp;MID(J114,SEARCH("晒单",J114)+LEN("晒单"),LEN(J114))&amp;"（需晒单后联系客服登记）",IF(ISNUMBER(SEARCH("包修",J114)),"【购机】"&amp;MID(J114,SEARCH("购机",J114)+LEN("购机"),LEN(J114)),IF(ISNUMBER(SEARCH("叠放支架",J114)),"【赠品】"&amp;MID(J114,SEARCH("购机",J114)+LEN("购机"),LEN(J114)),IF(ISNUMBER(SEARCH("秀图",J114)),"【秀图】"&amp;MID(J114,SEARCH("秀图",J114)+LEN("秀图"),LEN(J114)),"")))),IFERROR(LEFT(_xlpm.A,FIND("【",_xlpm.A,FIND("】",_xlpm.A)+1)-1)&amp;MID(_xlpm.A,FIND("】",_xlpm.A,FIND("】",_xlpm.A)+1)+1,LEN(_xlpm.A)),_xlpm.A))</f>
        <v/>
      </c>
      <c r="F114" s="18" t="str">
        <f>_xlfn.LET(_xlpm.A,IF(ISNUMBER(SEARCH("晒单",K114)),"【晒单】"&amp;MID(K114,SEARCH("晒单",K114)+LEN("晒单"),LEN(K114))&amp;"（需晒单后联系客服登记）",IF(ISNUMBER(SEARCH("包修",K114)),"【购机】"&amp;MID(K114,SEARCH("购机",K114)+LEN("购机"),LEN(K114)),IF(ISNUMBER(SEARCH("叠放支架",K114)),"【赠品】"&amp;MID(K114,SEARCH("购机",K114)+LEN("购机"),LEN(K114)),IF(ISNUMBER(SEARCH("秀图",K114)),"【秀图】"&amp;MID(K114,SEARCH("秀图",K114)+LEN("秀图"),LEN(K114)),"")))),IFERROR(LEFT(_xlpm.A,FIND("【",_xlpm.A,FIND("】",_xlpm.A)+1)-1)&amp;MID(_xlpm.A,FIND("】",_xlpm.A,FIND("】",_xlpm.A)+1)+1,LEN(_xlpm.A)),_xlpm.A))</f>
        <v/>
      </c>
      <c r="G114" s="18" t="str">
        <f>_xlfn.LET(_xlpm.A,IF(ISNUMBER(SEARCH("晒单",L114)),"【晒单】"&amp;MID(L114,SEARCH("晒单",L114)+LEN("晒单"),LEN(L114))&amp;"（需晒单后联系客服登记）",IF(ISNUMBER(SEARCH("包修",L114)),"【购机】"&amp;MID(L114,SEARCH("购机",L114)+LEN("购机"),LEN(L114)),IF(ISNUMBER(SEARCH("叠放支架",L114)),"【赠品】"&amp;MID(L114,SEARCH("购机",L114)+LEN("购机"),LEN(L114)),IF(ISNUMBER(SEARCH("秀图",L114)),"【秀图】"&amp;MID(L114,SEARCH("秀图",L114)+LEN("秀图"),LEN(L114)),"")))),IFERROR(LEFT(_xlpm.A,FIND("【",_xlpm.A,FIND("】",_xlpm.A)+1)-1)&amp;MID(_xlpm.A,FIND("】",_xlpm.A,FIND("】",_xlpm.A)+1)+1,LEN(_xlpm.A)),_xlpm.A))</f>
        <v/>
      </c>
      <c r="H114" s="18" t="str">
        <f>_xlfn.LET(_xlpm.A,IF(ISNUMBER(SEARCH("晒单",M114)),"【晒单】"&amp;MID(M114,SEARCH("晒单",M114)+LEN("晒单"),LEN(M114))&amp;"（需晒单后联系客服登记）",IF(ISNUMBER(SEARCH("包修",M114)),"【购机】"&amp;MID(M114,SEARCH("购机",M114)+LEN("购机"),LEN(M114)),IF(ISNUMBER(SEARCH("叠放支架",M114)),"【赠品】"&amp;MID(M114,SEARCH("购机",M114)+LEN("购机"),LEN(M114)),IF(ISNUMBER(SEARCH("秀图",M114)),"【秀图】"&amp;MID(M114,SEARCH("秀图",M114)+LEN("秀图"),LEN(M114)),"")))),IFERROR(LEFT(_xlpm.A,FIND("【",_xlpm.A,FIND("】",_xlpm.A)+1)-1)&amp;MID(_xlpm.A,FIND("】",_xlpm.A,FIND("】",_xlpm.A)+1)+1,LEN(_xlpm.A)),_xlpm.A))</f>
        <v/>
      </c>
      <c r="I114" s="18" t="str">
        <f>_xlfn.LET(_xlpm.A,IF(ISNUMBER(SEARCH("晒单",N114)),"【晒单】"&amp;MID(N114,SEARCH("晒单",N114)+LEN("晒单"),LEN(N114))&amp;"（需晒单后联系客服登记）",IF(ISNUMBER(SEARCH("包修",N114)),"【购机】"&amp;MID(N114,SEARCH("购机",N114)+LEN("购机"),LEN(N114)),IF(ISNUMBER(SEARCH("叠放支架",N114)),"【赠品】"&amp;MID(N114,SEARCH("购机",N114)+LEN("购机"),LEN(N114)),IF(ISNUMBER(SEARCH("秀图",N114)),"【秀图】"&amp;MID(N114,SEARCH("秀图",N114)+LEN("秀图"),LEN(N114)),"")))),IFERROR(LEFT(_xlpm.A,FIND("【",_xlpm.A,FIND("】",_xlpm.A)+1)-1)&amp;MID(_xlpm.A,FIND("】",_xlpm.A,FIND("】",_xlpm.A)+1)+1,LEN(_xlpm.A)),_xlpm.A))</f>
        <v/>
      </c>
      <c r="J114" s="18" t="str" cm="1">
        <f t="array" ref="J114">IFERROR(INDEX(_xlfn.TEXTSPLIT(_xlfn.XLOOKUP($A114&amp;$B114&amp;$C114,盘货信息!$A:$A&amp;盘货信息!$B:$B&amp;盘货信息!$C:$C,盘货信息!$S:$S),CHAR(10),,TRUE),1,COLUMN(A113)),"")</f>
        <v/>
      </c>
      <c r="K114" s="18" t="str" cm="1">
        <f t="array" ref="K114">IFERROR(INDEX(_xlfn.TEXTSPLIT(_xlfn.XLOOKUP($A114&amp;$B114&amp;$C114,盘货信息!$A:$A&amp;盘货信息!$B:$B&amp;盘货信息!$C:$C,盘货信息!$S:$S),CHAR(10),,TRUE),1,COLUMN(B113)),"")</f>
        <v/>
      </c>
      <c r="L114" s="18" t="str" cm="1">
        <f t="array" ref="L114">IFERROR(INDEX(_xlfn.TEXTSPLIT(_xlfn.XLOOKUP($A114&amp;$B114&amp;$C114,盘货信息!$A:$A&amp;盘货信息!$B:$B&amp;盘货信息!$C:$C,盘货信息!$S:$S),CHAR(10),,TRUE),1,COLUMN(C113)),"")</f>
        <v/>
      </c>
      <c r="M114" s="18" t="str" cm="1">
        <f t="array" ref="M114">IFERROR(INDEX(_xlfn.TEXTSPLIT(_xlfn.XLOOKUP($A114&amp;$B114&amp;$C114,盘货信息!$A:$A&amp;盘货信息!$B:$B&amp;盘货信息!$C:$C,盘货信息!$S:$S),CHAR(10),,TRUE),1,COLUMN(D113)),"")</f>
        <v/>
      </c>
      <c r="N114" s="18" t="str" cm="1">
        <f t="array" ref="N114">IFERROR(INDEX(_xlfn.TEXTSPLIT(_xlfn.XLOOKUP($A114&amp;$B114&amp;$C114,盘货信息!$A:$A&amp;盘货信息!$B:$B&amp;盘货信息!$C:$C,盘货信息!$S:$S),CHAR(10),,TRUE),1,COLUMN(E113)),"")</f>
        <v/>
      </c>
    </row>
    <row r="115" customHeight="1" spans="1:14">
      <c r="A115" s="17" t="str">
        <f>IF(盘货信息!A115="","",盘货信息!A115)</f>
        <v/>
      </c>
      <c r="B115" s="17" t="str">
        <f>IF(盘货信息!B115="","",盘货信息!B115)</f>
        <v/>
      </c>
      <c r="C115" s="20" t="str">
        <f>IF(盘货信息!C115="","",盘货信息!C115)</f>
        <v/>
      </c>
      <c r="D115" s="18" t="str">
        <f t="shared" si="1"/>
        <v/>
      </c>
      <c r="E115" s="18" t="str">
        <f>_xlfn.LET(_xlpm.A,IF(ISNUMBER(SEARCH("晒单",J115)),"【晒单】"&amp;MID(J115,SEARCH("晒单",J115)+LEN("晒单"),LEN(J115))&amp;"（需晒单后联系客服登记）",IF(ISNUMBER(SEARCH("包修",J115)),"【购机】"&amp;MID(J115,SEARCH("购机",J115)+LEN("购机"),LEN(J115)),IF(ISNUMBER(SEARCH("叠放支架",J115)),"【赠品】"&amp;MID(J115,SEARCH("购机",J115)+LEN("购机"),LEN(J115)),IF(ISNUMBER(SEARCH("秀图",J115)),"【秀图】"&amp;MID(J115,SEARCH("秀图",J115)+LEN("秀图"),LEN(J115)),"")))),IFERROR(LEFT(_xlpm.A,FIND("【",_xlpm.A,FIND("】",_xlpm.A)+1)-1)&amp;MID(_xlpm.A,FIND("】",_xlpm.A,FIND("】",_xlpm.A)+1)+1,LEN(_xlpm.A)),_xlpm.A))</f>
        <v/>
      </c>
      <c r="F115" s="18" t="str">
        <f>_xlfn.LET(_xlpm.A,IF(ISNUMBER(SEARCH("晒单",K115)),"【晒单】"&amp;MID(K115,SEARCH("晒单",K115)+LEN("晒单"),LEN(K115))&amp;"（需晒单后联系客服登记）",IF(ISNUMBER(SEARCH("包修",K115)),"【购机】"&amp;MID(K115,SEARCH("购机",K115)+LEN("购机"),LEN(K115)),IF(ISNUMBER(SEARCH("叠放支架",K115)),"【赠品】"&amp;MID(K115,SEARCH("购机",K115)+LEN("购机"),LEN(K115)),IF(ISNUMBER(SEARCH("秀图",K115)),"【秀图】"&amp;MID(K115,SEARCH("秀图",K115)+LEN("秀图"),LEN(K115)),"")))),IFERROR(LEFT(_xlpm.A,FIND("【",_xlpm.A,FIND("】",_xlpm.A)+1)-1)&amp;MID(_xlpm.A,FIND("】",_xlpm.A,FIND("】",_xlpm.A)+1)+1,LEN(_xlpm.A)),_xlpm.A))</f>
        <v/>
      </c>
      <c r="G115" s="18" t="str">
        <f>_xlfn.LET(_xlpm.A,IF(ISNUMBER(SEARCH("晒单",L115)),"【晒单】"&amp;MID(L115,SEARCH("晒单",L115)+LEN("晒单"),LEN(L115))&amp;"（需晒单后联系客服登记）",IF(ISNUMBER(SEARCH("包修",L115)),"【购机】"&amp;MID(L115,SEARCH("购机",L115)+LEN("购机"),LEN(L115)),IF(ISNUMBER(SEARCH("叠放支架",L115)),"【赠品】"&amp;MID(L115,SEARCH("购机",L115)+LEN("购机"),LEN(L115)),IF(ISNUMBER(SEARCH("秀图",L115)),"【秀图】"&amp;MID(L115,SEARCH("秀图",L115)+LEN("秀图"),LEN(L115)),"")))),IFERROR(LEFT(_xlpm.A,FIND("【",_xlpm.A,FIND("】",_xlpm.A)+1)-1)&amp;MID(_xlpm.A,FIND("】",_xlpm.A,FIND("】",_xlpm.A)+1)+1,LEN(_xlpm.A)),_xlpm.A))</f>
        <v/>
      </c>
      <c r="H115" s="18" t="str">
        <f>_xlfn.LET(_xlpm.A,IF(ISNUMBER(SEARCH("晒单",M115)),"【晒单】"&amp;MID(M115,SEARCH("晒单",M115)+LEN("晒单"),LEN(M115))&amp;"（需晒单后联系客服登记）",IF(ISNUMBER(SEARCH("包修",M115)),"【购机】"&amp;MID(M115,SEARCH("购机",M115)+LEN("购机"),LEN(M115)),IF(ISNUMBER(SEARCH("叠放支架",M115)),"【赠品】"&amp;MID(M115,SEARCH("购机",M115)+LEN("购机"),LEN(M115)),IF(ISNUMBER(SEARCH("秀图",M115)),"【秀图】"&amp;MID(M115,SEARCH("秀图",M115)+LEN("秀图"),LEN(M115)),"")))),IFERROR(LEFT(_xlpm.A,FIND("【",_xlpm.A,FIND("】",_xlpm.A)+1)-1)&amp;MID(_xlpm.A,FIND("】",_xlpm.A,FIND("】",_xlpm.A)+1)+1,LEN(_xlpm.A)),_xlpm.A))</f>
        <v/>
      </c>
      <c r="I115" s="18" t="str">
        <f>_xlfn.LET(_xlpm.A,IF(ISNUMBER(SEARCH("晒单",N115)),"【晒单】"&amp;MID(N115,SEARCH("晒单",N115)+LEN("晒单"),LEN(N115))&amp;"（需晒单后联系客服登记）",IF(ISNUMBER(SEARCH("包修",N115)),"【购机】"&amp;MID(N115,SEARCH("购机",N115)+LEN("购机"),LEN(N115)),IF(ISNUMBER(SEARCH("叠放支架",N115)),"【赠品】"&amp;MID(N115,SEARCH("购机",N115)+LEN("购机"),LEN(N115)),IF(ISNUMBER(SEARCH("秀图",N115)),"【秀图】"&amp;MID(N115,SEARCH("秀图",N115)+LEN("秀图"),LEN(N115)),"")))),IFERROR(LEFT(_xlpm.A,FIND("【",_xlpm.A,FIND("】",_xlpm.A)+1)-1)&amp;MID(_xlpm.A,FIND("】",_xlpm.A,FIND("】",_xlpm.A)+1)+1,LEN(_xlpm.A)),_xlpm.A))</f>
        <v/>
      </c>
      <c r="J115" s="18" t="str" cm="1">
        <f t="array" ref="J115">IFERROR(INDEX(_xlfn.TEXTSPLIT(_xlfn.XLOOKUP($A115&amp;$B115&amp;$C115,盘货信息!$A:$A&amp;盘货信息!$B:$B&amp;盘货信息!$C:$C,盘货信息!$S:$S),CHAR(10),,TRUE),1,COLUMN(A114)),"")</f>
        <v/>
      </c>
      <c r="K115" s="18" t="str" cm="1">
        <f t="array" ref="K115">IFERROR(INDEX(_xlfn.TEXTSPLIT(_xlfn.XLOOKUP($A115&amp;$B115&amp;$C115,盘货信息!$A:$A&amp;盘货信息!$B:$B&amp;盘货信息!$C:$C,盘货信息!$S:$S),CHAR(10),,TRUE),1,COLUMN(B114)),"")</f>
        <v/>
      </c>
      <c r="L115" s="18" t="str" cm="1">
        <f t="array" ref="L115">IFERROR(INDEX(_xlfn.TEXTSPLIT(_xlfn.XLOOKUP($A115&amp;$B115&amp;$C115,盘货信息!$A:$A&amp;盘货信息!$B:$B&amp;盘货信息!$C:$C,盘货信息!$S:$S),CHAR(10),,TRUE),1,COLUMN(C114)),"")</f>
        <v/>
      </c>
      <c r="M115" s="18" t="str" cm="1">
        <f t="array" ref="M115">IFERROR(INDEX(_xlfn.TEXTSPLIT(_xlfn.XLOOKUP($A115&amp;$B115&amp;$C115,盘货信息!$A:$A&amp;盘货信息!$B:$B&amp;盘货信息!$C:$C,盘货信息!$S:$S),CHAR(10),,TRUE),1,COLUMN(D114)),"")</f>
        <v/>
      </c>
      <c r="N115" s="18" t="str" cm="1">
        <f t="array" ref="N115">IFERROR(INDEX(_xlfn.TEXTSPLIT(_xlfn.XLOOKUP($A115&amp;$B115&amp;$C115,盘货信息!$A:$A&amp;盘货信息!$B:$B&amp;盘货信息!$C:$C,盘货信息!$S:$S),CHAR(10),,TRUE),1,COLUMN(E114)),"")</f>
        <v/>
      </c>
    </row>
    <row r="116" customHeight="1" spans="1:14">
      <c r="A116" s="17" t="str">
        <f>IF(盘货信息!A116="","",盘货信息!A116)</f>
        <v/>
      </c>
      <c r="B116" s="17" t="str">
        <f>IF(盘货信息!B116="","",盘货信息!B116)</f>
        <v/>
      </c>
      <c r="C116" s="20" t="str">
        <f>IF(盘货信息!C116="","",盘货信息!C116)</f>
        <v/>
      </c>
      <c r="D116" s="18" t="str">
        <f t="shared" si="1"/>
        <v/>
      </c>
      <c r="E116" s="18" t="str">
        <f>_xlfn.LET(_xlpm.A,IF(ISNUMBER(SEARCH("晒单",J116)),"【晒单】"&amp;MID(J116,SEARCH("晒单",J116)+LEN("晒单"),LEN(J116))&amp;"（需晒单后联系客服登记）",IF(ISNUMBER(SEARCH("包修",J116)),"【购机】"&amp;MID(J116,SEARCH("购机",J116)+LEN("购机"),LEN(J116)),IF(ISNUMBER(SEARCH("叠放支架",J116)),"【赠品】"&amp;MID(J116,SEARCH("购机",J116)+LEN("购机"),LEN(J116)),IF(ISNUMBER(SEARCH("秀图",J116)),"【秀图】"&amp;MID(J116,SEARCH("秀图",J116)+LEN("秀图"),LEN(J116)),"")))),IFERROR(LEFT(_xlpm.A,FIND("【",_xlpm.A,FIND("】",_xlpm.A)+1)-1)&amp;MID(_xlpm.A,FIND("】",_xlpm.A,FIND("】",_xlpm.A)+1)+1,LEN(_xlpm.A)),_xlpm.A))</f>
        <v/>
      </c>
      <c r="F116" s="18" t="str">
        <f>_xlfn.LET(_xlpm.A,IF(ISNUMBER(SEARCH("晒单",K116)),"【晒单】"&amp;MID(K116,SEARCH("晒单",K116)+LEN("晒单"),LEN(K116))&amp;"（需晒单后联系客服登记）",IF(ISNUMBER(SEARCH("包修",K116)),"【购机】"&amp;MID(K116,SEARCH("购机",K116)+LEN("购机"),LEN(K116)),IF(ISNUMBER(SEARCH("叠放支架",K116)),"【赠品】"&amp;MID(K116,SEARCH("购机",K116)+LEN("购机"),LEN(K116)),IF(ISNUMBER(SEARCH("秀图",K116)),"【秀图】"&amp;MID(K116,SEARCH("秀图",K116)+LEN("秀图"),LEN(K116)),"")))),IFERROR(LEFT(_xlpm.A,FIND("【",_xlpm.A,FIND("】",_xlpm.A)+1)-1)&amp;MID(_xlpm.A,FIND("】",_xlpm.A,FIND("】",_xlpm.A)+1)+1,LEN(_xlpm.A)),_xlpm.A))</f>
        <v/>
      </c>
      <c r="G116" s="18" t="str">
        <f>_xlfn.LET(_xlpm.A,IF(ISNUMBER(SEARCH("晒单",L116)),"【晒单】"&amp;MID(L116,SEARCH("晒单",L116)+LEN("晒单"),LEN(L116))&amp;"（需晒单后联系客服登记）",IF(ISNUMBER(SEARCH("包修",L116)),"【购机】"&amp;MID(L116,SEARCH("购机",L116)+LEN("购机"),LEN(L116)),IF(ISNUMBER(SEARCH("叠放支架",L116)),"【赠品】"&amp;MID(L116,SEARCH("购机",L116)+LEN("购机"),LEN(L116)),IF(ISNUMBER(SEARCH("秀图",L116)),"【秀图】"&amp;MID(L116,SEARCH("秀图",L116)+LEN("秀图"),LEN(L116)),"")))),IFERROR(LEFT(_xlpm.A,FIND("【",_xlpm.A,FIND("】",_xlpm.A)+1)-1)&amp;MID(_xlpm.A,FIND("】",_xlpm.A,FIND("】",_xlpm.A)+1)+1,LEN(_xlpm.A)),_xlpm.A))</f>
        <v/>
      </c>
      <c r="H116" s="18" t="str">
        <f>_xlfn.LET(_xlpm.A,IF(ISNUMBER(SEARCH("晒单",M116)),"【晒单】"&amp;MID(M116,SEARCH("晒单",M116)+LEN("晒单"),LEN(M116))&amp;"（需晒单后联系客服登记）",IF(ISNUMBER(SEARCH("包修",M116)),"【购机】"&amp;MID(M116,SEARCH("购机",M116)+LEN("购机"),LEN(M116)),IF(ISNUMBER(SEARCH("叠放支架",M116)),"【赠品】"&amp;MID(M116,SEARCH("购机",M116)+LEN("购机"),LEN(M116)),IF(ISNUMBER(SEARCH("秀图",M116)),"【秀图】"&amp;MID(M116,SEARCH("秀图",M116)+LEN("秀图"),LEN(M116)),"")))),IFERROR(LEFT(_xlpm.A,FIND("【",_xlpm.A,FIND("】",_xlpm.A)+1)-1)&amp;MID(_xlpm.A,FIND("】",_xlpm.A,FIND("】",_xlpm.A)+1)+1,LEN(_xlpm.A)),_xlpm.A))</f>
        <v/>
      </c>
      <c r="I116" s="18" t="str">
        <f>_xlfn.LET(_xlpm.A,IF(ISNUMBER(SEARCH("晒单",N116)),"【晒单】"&amp;MID(N116,SEARCH("晒单",N116)+LEN("晒单"),LEN(N116))&amp;"（需晒单后联系客服登记）",IF(ISNUMBER(SEARCH("包修",N116)),"【购机】"&amp;MID(N116,SEARCH("购机",N116)+LEN("购机"),LEN(N116)),IF(ISNUMBER(SEARCH("叠放支架",N116)),"【赠品】"&amp;MID(N116,SEARCH("购机",N116)+LEN("购机"),LEN(N116)),IF(ISNUMBER(SEARCH("秀图",N116)),"【秀图】"&amp;MID(N116,SEARCH("秀图",N116)+LEN("秀图"),LEN(N116)),"")))),IFERROR(LEFT(_xlpm.A,FIND("【",_xlpm.A,FIND("】",_xlpm.A)+1)-1)&amp;MID(_xlpm.A,FIND("】",_xlpm.A,FIND("】",_xlpm.A)+1)+1,LEN(_xlpm.A)),_xlpm.A))</f>
        <v/>
      </c>
      <c r="J116" s="18" t="str" cm="1">
        <f t="array" ref="J116">IFERROR(INDEX(_xlfn.TEXTSPLIT(_xlfn.XLOOKUP($A116&amp;$B116&amp;$C116,盘货信息!$A:$A&amp;盘货信息!$B:$B&amp;盘货信息!$C:$C,盘货信息!$S:$S),CHAR(10),,TRUE),1,COLUMN(A115)),"")</f>
        <v/>
      </c>
      <c r="K116" s="18" t="str" cm="1">
        <f t="array" ref="K116">IFERROR(INDEX(_xlfn.TEXTSPLIT(_xlfn.XLOOKUP($A116&amp;$B116&amp;$C116,盘货信息!$A:$A&amp;盘货信息!$B:$B&amp;盘货信息!$C:$C,盘货信息!$S:$S),CHAR(10),,TRUE),1,COLUMN(B115)),"")</f>
        <v/>
      </c>
      <c r="L116" s="18" t="str" cm="1">
        <f t="array" ref="L116">IFERROR(INDEX(_xlfn.TEXTSPLIT(_xlfn.XLOOKUP($A116&amp;$B116&amp;$C116,盘货信息!$A:$A&amp;盘货信息!$B:$B&amp;盘货信息!$C:$C,盘货信息!$S:$S),CHAR(10),,TRUE),1,COLUMN(C115)),"")</f>
        <v/>
      </c>
      <c r="M116" s="18" t="str" cm="1">
        <f t="array" ref="M116">IFERROR(INDEX(_xlfn.TEXTSPLIT(_xlfn.XLOOKUP($A116&amp;$B116&amp;$C116,盘货信息!$A:$A&amp;盘货信息!$B:$B&amp;盘货信息!$C:$C,盘货信息!$S:$S),CHAR(10),,TRUE),1,COLUMN(D115)),"")</f>
        <v/>
      </c>
      <c r="N116" s="18" t="str" cm="1">
        <f t="array" ref="N116">IFERROR(INDEX(_xlfn.TEXTSPLIT(_xlfn.XLOOKUP($A116&amp;$B116&amp;$C116,盘货信息!$A:$A&amp;盘货信息!$B:$B&amp;盘货信息!$C:$C,盘货信息!$S:$S),CHAR(10),,TRUE),1,COLUMN(E115)),"")</f>
        <v/>
      </c>
    </row>
    <row r="117" customHeight="1" spans="1:14">
      <c r="A117" s="17" t="str">
        <f>IF(盘货信息!A117="","",盘货信息!A117)</f>
        <v/>
      </c>
      <c r="B117" s="17" t="str">
        <f>IF(盘货信息!B117="","",盘货信息!B117)</f>
        <v/>
      </c>
      <c r="C117" s="21" t="str">
        <f>IF(盘货信息!C117="","",盘货信息!C117)</f>
        <v/>
      </c>
      <c r="D117" s="18" t="str">
        <f t="shared" si="1"/>
        <v/>
      </c>
      <c r="E117" s="18" t="str">
        <f>_xlfn.LET(_xlpm.A,IF(ISNUMBER(SEARCH("晒单",J117)),"【晒单】"&amp;MID(J117,SEARCH("晒单",J117)+LEN("晒单"),LEN(J117))&amp;"（需晒单后联系客服登记）",IF(ISNUMBER(SEARCH("包修",J117)),"【购机】"&amp;MID(J117,SEARCH("购机",J117)+LEN("购机"),LEN(J117)),IF(ISNUMBER(SEARCH("叠放支架",J117)),"【赠品】"&amp;MID(J117,SEARCH("购机",J117)+LEN("购机"),LEN(J117)),IF(ISNUMBER(SEARCH("秀图",J117)),"【秀图】"&amp;MID(J117,SEARCH("秀图",J117)+LEN("秀图"),LEN(J117)),"")))),IFERROR(LEFT(_xlpm.A,FIND("【",_xlpm.A,FIND("】",_xlpm.A)+1)-1)&amp;MID(_xlpm.A,FIND("】",_xlpm.A,FIND("】",_xlpm.A)+1)+1,LEN(_xlpm.A)),_xlpm.A))</f>
        <v/>
      </c>
      <c r="F117" s="18" t="str">
        <f>_xlfn.LET(_xlpm.A,IF(ISNUMBER(SEARCH("晒单",K117)),"【晒单】"&amp;MID(K117,SEARCH("晒单",K117)+LEN("晒单"),LEN(K117))&amp;"（需晒单后联系客服登记）",IF(ISNUMBER(SEARCH("包修",K117)),"【购机】"&amp;MID(K117,SEARCH("购机",K117)+LEN("购机"),LEN(K117)),IF(ISNUMBER(SEARCH("叠放支架",K117)),"【赠品】"&amp;MID(K117,SEARCH("购机",K117)+LEN("购机"),LEN(K117)),IF(ISNUMBER(SEARCH("秀图",K117)),"【秀图】"&amp;MID(K117,SEARCH("秀图",K117)+LEN("秀图"),LEN(K117)),"")))),IFERROR(LEFT(_xlpm.A,FIND("【",_xlpm.A,FIND("】",_xlpm.A)+1)-1)&amp;MID(_xlpm.A,FIND("】",_xlpm.A,FIND("】",_xlpm.A)+1)+1,LEN(_xlpm.A)),_xlpm.A))</f>
        <v/>
      </c>
      <c r="G117" s="18" t="str">
        <f>_xlfn.LET(_xlpm.A,IF(ISNUMBER(SEARCH("晒单",L117)),"【晒单】"&amp;MID(L117,SEARCH("晒单",L117)+LEN("晒单"),LEN(L117))&amp;"（需晒单后联系客服登记）",IF(ISNUMBER(SEARCH("包修",L117)),"【购机】"&amp;MID(L117,SEARCH("购机",L117)+LEN("购机"),LEN(L117)),IF(ISNUMBER(SEARCH("叠放支架",L117)),"【赠品】"&amp;MID(L117,SEARCH("购机",L117)+LEN("购机"),LEN(L117)),IF(ISNUMBER(SEARCH("秀图",L117)),"【秀图】"&amp;MID(L117,SEARCH("秀图",L117)+LEN("秀图"),LEN(L117)),"")))),IFERROR(LEFT(_xlpm.A,FIND("【",_xlpm.A,FIND("】",_xlpm.A)+1)-1)&amp;MID(_xlpm.A,FIND("】",_xlpm.A,FIND("】",_xlpm.A)+1)+1,LEN(_xlpm.A)),_xlpm.A))</f>
        <v/>
      </c>
      <c r="H117" s="18" t="str">
        <f>_xlfn.LET(_xlpm.A,IF(ISNUMBER(SEARCH("晒单",M117)),"【晒单】"&amp;MID(M117,SEARCH("晒单",M117)+LEN("晒单"),LEN(M117))&amp;"（需晒单后联系客服登记）",IF(ISNUMBER(SEARCH("包修",M117)),"【购机】"&amp;MID(M117,SEARCH("购机",M117)+LEN("购机"),LEN(M117)),IF(ISNUMBER(SEARCH("叠放支架",M117)),"【赠品】"&amp;MID(M117,SEARCH("购机",M117)+LEN("购机"),LEN(M117)),IF(ISNUMBER(SEARCH("秀图",M117)),"【秀图】"&amp;MID(M117,SEARCH("秀图",M117)+LEN("秀图"),LEN(M117)),"")))),IFERROR(LEFT(_xlpm.A,FIND("【",_xlpm.A,FIND("】",_xlpm.A)+1)-1)&amp;MID(_xlpm.A,FIND("】",_xlpm.A,FIND("】",_xlpm.A)+1)+1,LEN(_xlpm.A)),_xlpm.A))</f>
        <v/>
      </c>
      <c r="I117" s="18" t="str">
        <f>_xlfn.LET(_xlpm.A,IF(ISNUMBER(SEARCH("晒单",N117)),"【晒单】"&amp;MID(N117,SEARCH("晒单",N117)+LEN("晒单"),LEN(N117))&amp;"（需晒单后联系客服登记）",IF(ISNUMBER(SEARCH("包修",N117)),"【购机】"&amp;MID(N117,SEARCH("购机",N117)+LEN("购机"),LEN(N117)),IF(ISNUMBER(SEARCH("叠放支架",N117)),"【赠品】"&amp;MID(N117,SEARCH("购机",N117)+LEN("购机"),LEN(N117)),IF(ISNUMBER(SEARCH("秀图",N117)),"【秀图】"&amp;MID(N117,SEARCH("秀图",N117)+LEN("秀图"),LEN(N117)),"")))),IFERROR(LEFT(_xlpm.A,FIND("【",_xlpm.A,FIND("】",_xlpm.A)+1)-1)&amp;MID(_xlpm.A,FIND("】",_xlpm.A,FIND("】",_xlpm.A)+1)+1,LEN(_xlpm.A)),_xlpm.A))</f>
        <v/>
      </c>
      <c r="J117" s="18" t="str" cm="1">
        <f t="array" ref="J117">IFERROR(INDEX(_xlfn.TEXTSPLIT(_xlfn.XLOOKUP($A117&amp;$B117&amp;$C117,盘货信息!$A:$A&amp;盘货信息!$B:$B&amp;盘货信息!$C:$C,盘货信息!$S:$S),CHAR(10),,TRUE),1,COLUMN(A116)),"")</f>
        <v/>
      </c>
      <c r="K117" s="18" t="str" cm="1">
        <f t="array" ref="K117">IFERROR(INDEX(_xlfn.TEXTSPLIT(_xlfn.XLOOKUP($A117&amp;$B117&amp;$C117,盘货信息!$A:$A&amp;盘货信息!$B:$B&amp;盘货信息!$C:$C,盘货信息!$S:$S),CHAR(10),,TRUE),1,COLUMN(B116)),"")</f>
        <v/>
      </c>
      <c r="L117" s="18" t="str" cm="1">
        <f t="array" ref="L117">IFERROR(INDEX(_xlfn.TEXTSPLIT(_xlfn.XLOOKUP($A117&amp;$B117&amp;$C117,盘货信息!$A:$A&amp;盘货信息!$B:$B&amp;盘货信息!$C:$C,盘货信息!$S:$S),CHAR(10),,TRUE),1,COLUMN(C116)),"")</f>
        <v/>
      </c>
      <c r="M117" s="18" t="str" cm="1">
        <f t="array" ref="M117">IFERROR(INDEX(_xlfn.TEXTSPLIT(_xlfn.XLOOKUP($A117&amp;$B117&amp;$C117,盘货信息!$A:$A&amp;盘货信息!$B:$B&amp;盘货信息!$C:$C,盘货信息!$S:$S),CHAR(10),,TRUE),1,COLUMN(D116)),"")</f>
        <v/>
      </c>
      <c r="N117" s="18" t="str" cm="1">
        <f t="array" ref="N117">IFERROR(INDEX(_xlfn.TEXTSPLIT(_xlfn.XLOOKUP($A117&amp;$B117&amp;$C117,盘货信息!$A:$A&amp;盘货信息!$B:$B&amp;盘货信息!$C:$C,盘货信息!$S:$S),CHAR(10),,TRUE),1,COLUMN(E116)),"")</f>
        <v/>
      </c>
    </row>
    <row r="118" customHeight="1" spans="1:14">
      <c r="A118" s="17" t="str">
        <f>IF(盘货信息!A118="","",盘货信息!A118)</f>
        <v/>
      </c>
      <c r="B118" s="17" t="str">
        <f>IF(盘货信息!B118="","",盘货信息!B118)</f>
        <v/>
      </c>
      <c r="C118" s="20" t="str">
        <f>IF(盘货信息!C118="","",盘货信息!C118)</f>
        <v/>
      </c>
      <c r="D118" s="18" t="str">
        <f t="shared" si="1"/>
        <v/>
      </c>
      <c r="E118" s="18" t="str">
        <f>_xlfn.LET(_xlpm.A,IF(ISNUMBER(SEARCH("晒单",J118)),"【晒单】"&amp;MID(J118,SEARCH("晒单",J118)+LEN("晒单"),LEN(J118))&amp;"（需晒单后联系客服登记）",IF(ISNUMBER(SEARCH("包修",J118)),"【购机】"&amp;MID(J118,SEARCH("购机",J118)+LEN("购机"),LEN(J118)),IF(ISNUMBER(SEARCH("叠放支架",J118)),"【赠品】"&amp;MID(J118,SEARCH("购机",J118)+LEN("购机"),LEN(J118)),IF(ISNUMBER(SEARCH("秀图",J118)),"【秀图】"&amp;MID(J118,SEARCH("秀图",J118)+LEN("秀图"),LEN(J118)),"")))),IFERROR(LEFT(_xlpm.A,FIND("【",_xlpm.A,FIND("】",_xlpm.A)+1)-1)&amp;MID(_xlpm.A,FIND("】",_xlpm.A,FIND("】",_xlpm.A)+1)+1,LEN(_xlpm.A)),_xlpm.A))</f>
        <v/>
      </c>
      <c r="F118" s="18" t="str">
        <f>_xlfn.LET(_xlpm.A,IF(ISNUMBER(SEARCH("晒单",K118)),"【晒单】"&amp;MID(K118,SEARCH("晒单",K118)+LEN("晒单"),LEN(K118))&amp;"（需晒单后联系客服登记）",IF(ISNUMBER(SEARCH("包修",K118)),"【购机】"&amp;MID(K118,SEARCH("购机",K118)+LEN("购机"),LEN(K118)),IF(ISNUMBER(SEARCH("叠放支架",K118)),"【赠品】"&amp;MID(K118,SEARCH("购机",K118)+LEN("购机"),LEN(K118)),IF(ISNUMBER(SEARCH("秀图",K118)),"【秀图】"&amp;MID(K118,SEARCH("秀图",K118)+LEN("秀图"),LEN(K118)),"")))),IFERROR(LEFT(_xlpm.A,FIND("【",_xlpm.A,FIND("】",_xlpm.A)+1)-1)&amp;MID(_xlpm.A,FIND("】",_xlpm.A,FIND("】",_xlpm.A)+1)+1,LEN(_xlpm.A)),_xlpm.A))</f>
        <v/>
      </c>
      <c r="G118" s="18" t="str">
        <f>_xlfn.LET(_xlpm.A,IF(ISNUMBER(SEARCH("晒单",L118)),"【晒单】"&amp;MID(L118,SEARCH("晒单",L118)+LEN("晒单"),LEN(L118))&amp;"（需晒单后联系客服登记）",IF(ISNUMBER(SEARCH("包修",L118)),"【购机】"&amp;MID(L118,SEARCH("购机",L118)+LEN("购机"),LEN(L118)),IF(ISNUMBER(SEARCH("叠放支架",L118)),"【赠品】"&amp;MID(L118,SEARCH("购机",L118)+LEN("购机"),LEN(L118)),IF(ISNUMBER(SEARCH("秀图",L118)),"【秀图】"&amp;MID(L118,SEARCH("秀图",L118)+LEN("秀图"),LEN(L118)),"")))),IFERROR(LEFT(_xlpm.A,FIND("【",_xlpm.A,FIND("】",_xlpm.A)+1)-1)&amp;MID(_xlpm.A,FIND("】",_xlpm.A,FIND("】",_xlpm.A)+1)+1,LEN(_xlpm.A)),_xlpm.A))</f>
        <v/>
      </c>
      <c r="H118" s="18" t="str">
        <f>_xlfn.LET(_xlpm.A,IF(ISNUMBER(SEARCH("晒单",M118)),"【晒单】"&amp;MID(M118,SEARCH("晒单",M118)+LEN("晒单"),LEN(M118))&amp;"（需晒单后联系客服登记）",IF(ISNUMBER(SEARCH("包修",M118)),"【购机】"&amp;MID(M118,SEARCH("购机",M118)+LEN("购机"),LEN(M118)),IF(ISNUMBER(SEARCH("叠放支架",M118)),"【赠品】"&amp;MID(M118,SEARCH("购机",M118)+LEN("购机"),LEN(M118)),IF(ISNUMBER(SEARCH("秀图",M118)),"【秀图】"&amp;MID(M118,SEARCH("秀图",M118)+LEN("秀图"),LEN(M118)),"")))),IFERROR(LEFT(_xlpm.A,FIND("【",_xlpm.A,FIND("】",_xlpm.A)+1)-1)&amp;MID(_xlpm.A,FIND("】",_xlpm.A,FIND("】",_xlpm.A)+1)+1,LEN(_xlpm.A)),_xlpm.A))</f>
        <v/>
      </c>
      <c r="I118" s="18" t="str">
        <f>_xlfn.LET(_xlpm.A,IF(ISNUMBER(SEARCH("晒单",N118)),"【晒单】"&amp;MID(N118,SEARCH("晒单",N118)+LEN("晒单"),LEN(N118))&amp;"（需晒单后联系客服登记）",IF(ISNUMBER(SEARCH("包修",N118)),"【购机】"&amp;MID(N118,SEARCH("购机",N118)+LEN("购机"),LEN(N118)),IF(ISNUMBER(SEARCH("叠放支架",N118)),"【赠品】"&amp;MID(N118,SEARCH("购机",N118)+LEN("购机"),LEN(N118)),IF(ISNUMBER(SEARCH("秀图",N118)),"【秀图】"&amp;MID(N118,SEARCH("秀图",N118)+LEN("秀图"),LEN(N118)),"")))),IFERROR(LEFT(_xlpm.A,FIND("【",_xlpm.A,FIND("】",_xlpm.A)+1)-1)&amp;MID(_xlpm.A,FIND("】",_xlpm.A,FIND("】",_xlpm.A)+1)+1,LEN(_xlpm.A)),_xlpm.A))</f>
        <v/>
      </c>
      <c r="J118" s="18" t="str" cm="1">
        <f t="array" ref="J118">IFERROR(INDEX(_xlfn.TEXTSPLIT(_xlfn.XLOOKUP($A118&amp;$B118&amp;$C118,盘货信息!$A:$A&amp;盘货信息!$B:$B&amp;盘货信息!$C:$C,盘货信息!$S:$S),CHAR(10),,TRUE),1,COLUMN(A117)),"")</f>
        <v/>
      </c>
      <c r="K118" s="18" t="str" cm="1">
        <f t="array" ref="K118">IFERROR(INDEX(_xlfn.TEXTSPLIT(_xlfn.XLOOKUP($A118&amp;$B118&amp;$C118,盘货信息!$A:$A&amp;盘货信息!$B:$B&amp;盘货信息!$C:$C,盘货信息!$S:$S),CHAR(10),,TRUE),1,COLUMN(B117)),"")</f>
        <v/>
      </c>
      <c r="L118" s="18" t="str" cm="1">
        <f t="array" ref="L118">IFERROR(INDEX(_xlfn.TEXTSPLIT(_xlfn.XLOOKUP($A118&amp;$B118&amp;$C118,盘货信息!$A:$A&amp;盘货信息!$B:$B&amp;盘货信息!$C:$C,盘货信息!$S:$S),CHAR(10),,TRUE),1,COLUMN(C117)),"")</f>
        <v/>
      </c>
      <c r="M118" s="18" t="str" cm="1">
        <f t="array" ref="M118">IFERROR(INDEX(_xlfn.TEXTSPLIT(_xlfn.XLOOKUP($A118&amp;$B118&amp;$C118,盘货信息!$A:$A&amp;盘货信息!$B:$B&amp;盘货信息!$C:$C,盘货信息!$S:$S),CHAR(10),,TRUE),1,COLUMN(D117)),"")</f>
        <v/>
      </c>
      <c r="N118" s="18" t="str" cm="1">
        <f t="array" ref="N118">IFERROR(INDEX(_xlfn.TEXTSPLIT(_xlfn.XLOOKUP($A118&amp;$B118&amp;$C118,盘货信息!$A:$A&amp;盘货信息!$B:$B&amp;盘货信息!$C:$C,盘货信息!$S:$S),CHAR(10),,TRUE),1,COLUMN(E117)),"")</f>
        <v/>
      </c>
    </row>
    <row r="119" customHeight="1" spans="1:14">
      <c r="A119" s="17" t="str">
        <f>IF(盘货信息!A119="","",盘货信息!A119)</f>
        <v/>
      </c>
      <c r="B119" s="17" t="str">
        <f>IF(盘货信息!B119="","",盘货信息!B119)</f>
        <v/>
      </c>
      <c r="C119" s="20" t="str">
        <f>IF(盘货信息!C119="","",盘货信息!C119)</f>
        <v/>
      </c>
      <c r="D119" s="18" t="str">
        <f t="shared" si="1"/>
        <v/>
      </c>
      <c r="E119" s="18" t="str">
        <f>_xlfn.LET(_xlpm.A,IF(ISNUMBER(SEARCH("晒单",J119)),"【晒单】"&amp;MID(J119,SEARCH("晒单",J119)+LEN("晒单"),LEN(J119))&amp;"（需晒单后联系客服登记）",IF(ISNUMBER(SEARCH("包修",J119)),"【购机】"&amp;MID(J119,SEARCH("购机",J119)+LEN("购机"),LEN(J119)),IF(ISNUMBER(SEARCH("叠放支架",J119)),"【赠品】"&amp;MID(J119,SEARCH("购机",J119)+LEN("购机"),LEN(J119)),IF(ISNUMBER(SEARCH("秀图",J119)),"【秀图】"&amp;MID(J119,SEARCH("秀图",J119)+LEN("秀图"),LEN(J119)),"")))),IFERROR(LEFT(_xlpm.A,FIND("【",_xlpm.A,FIND("】",_xlpm.A)+1)-1)&amp;MID(_xlpm.A,FIND("】",_xlpm.A,FIND("】",_xlpm.A)+1)+1,LEN(_xlpm.A)),_xlpm.A))</f>
        <v/>
      </c>
      <c r="F119" s="18" t="str">
        <f>_xlfn.LET(_xlpm.A,IF(ISNUMBER(SEARCH("晒单",K119)),"【晒单】"&amp;MID(K119,SEARCH("晒单",K119)+LEN("晒单"),LEN(K119))&amp;"（需晒单后联系客服登记）",IF(ISNUMBER(SEARCH("包修",K119)),"【购机】"&amp;MID(K119,SEARCH("购机",K119)+LEN("购机"),LEN(K119)),IF(ISNUMBER(SEARCH("叠放支架",K119)),"【赠品】"&amp;MID(K119,SEARCH("购机",K119)+LEN("购机"),LEN(K119)),IF(ISNUMBER(SEARCH("秀图",K119)),"【秀图】"&amp;MID(K119,SEARCH("秀图",K119)+LEN("秀图"),LEN(K119)),"")))),IFERROR(LEFT(_xlpm.A,FIND("【",_xlpm.A,FIND("】",_xlpm.A)+1)-1)&amp;MID(_xlpm.A,FIND("】",_xlpm.A,FIND("】",_xlpm.A)+1)+1,LEN(_xlpm.A)),_xlpm.A))</f>
        <v/>
      </c>
      <c r="G119" s="18" t="str">
        <f>_xlfn.LET(_xlpm.A,IF(ISNUMBER(SEARCH("晒单",L119)),"【晒单】"&amp;MID(L119,SEARCH("晒单",L119)+LEN("晒单"),LEN(L119))&amp;"（需晒单后联系客服登记）",IF(ISNUMBER(SEARCH("包修",L119)),"【购机】"&amp;MID(L119,SEARCH("购机",L119)+LEN("购机"),LEN(L119)),IF(ISNUMBER(SEARCH("叠放支架",L119)),"【赠品】"&amp;MID(L119,SEARCH("购机",L119)+LEN("购机"),LEN(L119)),IF(ISNUMBER(SEARCH("秀图",L119)),"【秀图】"&amp;MID(L119,SEARCH("秀图",L119)+LEN("秀图"),LEN(L119)),"")))),IFERROR(LEFT(_xlpm.A,FIND("【",_xlpm.A,FIND("】",_xlpm.A)+1)-1)&amp;MID(_xlpm.A,FIND("】",_xlpm.A,FIND("】",_xlpm.A)+1)+1,LEN(_xlpm.A)),_xlpm.A))</f>
        <v/>
      </c>
      <c r="H119" s="18" t="str">
        <f>_xlfn.LET(_xlpm.A,IF(ISNUMBER(SEARCH("晒单",M119)),"【晒单】"&amp;MID(M119,SEARCH("晒单",M119)+LEN("晒单"),LEN(M119))&amp;"（需晒单后联系客服登记）",IF(ISNUMBER(SEARCH("包修",M119)),"【购机】"&amp;MID(M119,SEARCH("购机",M119)+LEN("购机"),LEN(M119)),IF(ISNUMBER(SEARCH("叠放支架",M119)),"【赠品】"&amp;MID(M119,SEARCH("购机",M119)+LEN("购机"),LEN(M119)),IF(ISNUMBER(SEARCH("秀图",M119)),"【秀图】"&amp;MID(M119,SEARCH("秀图",M119)+LEN("秀图"),LEN(M119)),"")))),IFERROR(LEFT(_xlpm.A,FIND("【",_xlpm.A,FIND("】",_xlpm.A)+1)-1)&amp;MID(_xlpm.A,FIND("】",_xlpm.A,FIND("】",_xlpm.A)+1)+1,LEN(_xlpm.A)),_xlpm.A))</f>
        <v/>
      </c>
      <c r="I119" s="18" t="str">
        <f>_xlfn.LET(_xlpm.A,IF(ISNUMBER(SEARCH("晒单",N119)),"【晒单】"&amp;MID(N119,SEARCH("晒单",N119)+LEN("晒单"),LEN(N119))&amp;"（需晒单后联系客服登记）",IF(ISNUMBER(SEARCH("包修",N119)),"【购机】"&amp;MID(N119,SEARCH("购机",N119)+LEN("购机"),LEN(N119)),IF(ISNUMBER(SEARCH("叠放支架",N119)),"【赠品】"&amp;MID(N119,SEARCH("购机",N119)+LEN("购机"),LEN(N119)),IF(ISNUMBER(SEARCH("秀图",N119)),"【秀图】"&amp;MID(N119,SEARCH("秀图",N119)+LEN("秀图"),LEN(N119)),"")))),IFERROR(LEFT(_xlpm.A,FIND("【",_xlpm.A,FIND("】",_xlpm.A)+1)-1)&amp;MID(_xlpm.A,FIND("】",_xlpm.A,FIND("】",_xlpm.A)+1)+1,LEN(_xlpm.A)),_xlpm.A))</f>
        <v/>
      </c>
      <c r="J119" s="18" t="str" cm="1">
        <f t="array" ref="J119">IFERROR(INDEX(_xlfn.TEXTSPLIT(_xlfn.XLOOKUP($A119&amp;$B119&amp;$C119,盘货信息!$A:$A&amp;盘货信息!$B:$B&amp;盘货信息!$C:$C,盘货信息!$S:$S),CHAR(10),,TRUE),1,COLUMN(A118)),"")</f>
        <v/>
      </c>
      <c r="K119" s="18" t="str" cm="1">
        <f t="array" ref="K119">IFERROR(INDEX(_xlfn.TEXTSPLIT(_xlfn.XLOOKUP($A119&amp;$B119&amp;$C119,盘货信息!$A:$A&amp;盘货信息!$B:$B&amp;盘货信息!$C:$C,盘货信息!$S:$S),CHAR(10),,TRUE),1,COLUMN(B118)),"")</f>
        <v/>
      </c>
      <c r="L119" s="18" t="str" cm="1">
        <f t="array" ref="L119">IFERROR(INDEX(_xlfn.TEXTSPLIT(_xlfn.XLOOKUP($A119&amp;$B119&amp;$C119,盘货信息!$A:$A&amp;盘货信息!$B:$B&amp;盘货信息!$C:$C,盘货信息!$S:$S),CHAR(10),,TRUE),1,COLUMN(C118)),"")</f>
        <v/>
      </c>
      <c r="M119" s="18" t="str" cm="1">
        <f t="array" ref="M119">IFERROR(INDEX(_xlfn.TEXTSPLIT(_xlfn.XLOOKUP($A119&amp;$B119&amp;$C119,盘货信息!$A:$A&amp;盘货信息!$B:$B&amp;盘货信息!$C:$C,盘货信息!$S:$S),CHAR(10),,TRUE),1,COLUMN(D118)),"")</f>
        <v/>
      </c>
      <c r="N119" s="18" t="str" cm="1">
        <f t="array" ref="N119">IFERROR(INDEX(_xlfn.TEXTSPLIT(_xlfn.XLOOKUP($A119&amp;$B119&amp;$C119,盘货信息!$A:$A&amp;盘货信息!$B:$B&amp;盘货信息!$C:$C,盘货信息!$S:$S),CHAR(10),,TRUE),1,COLUMN(E118)),"")</f>
        <v/>
      </c>
    </row>
    <row r="120" customHeight="1" spans="1:14">
      <c r="A120" s="17" t="str">
        <f>IF(盘货信息!A120="","",盘货信息!A120)</f>
        <v/>
      </c>
      <c r="B120" s="17" t="str">
        <f>IF(盘货信息!B120="","",盘货信息!B120)</f>
        <v/>
      </c>
      <c r="C120" s="18" t="str">
        <f>IF(盘货信息!C120="","",盘货信息!C120)</f>
        <v/>
      </c>
      <c r="D120" s="18" t="str">
        <f t="shared" si="1"/>
        <v/>
      </c>
      <c r="E120" s="18" t="str">
        <f>_xlfn.LET(_xlpm.A,IF(ISNUMBER(SEARCH("晒单",J120)),"【晒单】"&amp;MID(J120,SEARCH("晒单",J120)+LEN("晒单"),LEN(J120))&amp;"（需晒单后联系客服登记）",IF(ISNUMBER(SEARCH("包修",J120)),"【购机】"&amp;MID(J120,SEARCH("购机",J120)+LEN("购机"),LEN(J120)),IF(ISNUMBER(SEARCH("叠放支架",J120)),"【赠品】"&amp;MID(J120,SEARCH("购机",J120)+LEN("购机"),LEN(J120)),IF(ISNUMBER(SEARCH("秀图",J120)),"【秀图】"&amp;MID(J120,SEARCH("秀图",J120)+LEN("秀图"),LEN(J120)),"")))),IFERROR(LEFT(_xlpm.A,FIND("【",_xlpm.A,FIND("】",_xlpm.A)+1)-1)&amp;MID(_xlpm.A,FIND("】",_xlpm.A,FIND("】",_xlpm.A)+1)+1,LEN(_xlpm.A)),_xlpm.A))</f>
        <v/>
      </c>
      <c r="F120" s="18" t="str">
        <f>_xlfn.LET(_xlpm.A,IF(ISNUMBER(SEARCH("晒单",K120)),"【晒单】"&amp;MID(K120,SEARCH("晒单",K120)+LEN("晒单"),LEN(K120))&amp;"（需晒单后联系客服登记）",IF(ISNUMBER(SEARCH("包修",K120)),"【购机】"&amp;MID(K120,SEARCH("购机",K120)+LEN("购机"),LEN(K120)),IF(ISNUMBER(SEARCH("叠放支架",K120)),"【赠品】"&amp;MID(K120,SEARCH("购机",K120)+LEN("购机"),LEN(K120)),IF(ISNUMBER(SEARCH("秀图",K120)),"【秀图】"&amp;MID(K120,SEARCH("秀图",K120)+LEN("秀图"),LEN(K120)),"")))),IFERROR(LEFT(_xlpm.A,FIND("【",_xlpm.A,FIND("】",_xlpm.A)+1)-1)&amp;MID(_xlpm.A,FIND("】",_xlpm.A,FIND("】",_xlpm.A)+1)+1,LEN(_xlpm.A)),_xlpm.A))</f>
        <v/>
      </c>
      <c r="G120" s="18" t="str">
        <f>_xlfn.LET(_xlpm.A,IF(ISNUMBER(SEARCH("晒单",L120)),"【晒单】"&amp;MID(L120,SEARCH("晒单",L120)+LEN("晒单"),LEN(L120))&amp;"（需晒单后联系客服登记）",IF(ISNUMBER(SEARCH("包修",L120)),"【购机】"&amp;MID(L120,SEARCH("购机",L120)+LEN("购机"),LEN(L120)),IF(ISNUMBER(SEARCH("叠放支架",L120)),"【赠品】"&amp;MID(L120,SEARCH("购机",L120)+LEN("购机"),LEN(L120)),IF(ISNUMBER(SEARCH("秀图",L120)),"【秀图】"&amp;MID(L120,SEARCH("秀图",L120)+LEN("秀图"),LEN(L120)),"")))),IFERROR(LEFT(_xlpm.A,FIND("【",_xlpm.A,FIND("】",_xlpm.A)+1)-1)&amp;MID(_xlpm.A,FIND("】",_xlpm.A,FIND("】",_xlpm.A)+1)+1,LEN(_xlpm.A)),_xlpm.A))</f>
        <v/>
      </c>
      <c r="H120" s="18" t="str">
        <f>_xlfn.LET(_xlpm.A,IF(ISNUMBER(SEARCH("晒单",M120)),"【晒单】"&amp;MID(M120,SEARCH("晒单",M120)+LEN("晒单"),LEN(M120))&amp;"（需晒单后联系客服登记）",IF(ISNUMBER(SEARCH("包修",M120)),"【购机】"&amp;MID(M120,SEARCH("购机",M120)+LEN("购机"),LEN(M120)),IF(ISNUMBER(SEARCH("叠放支架",M120)),"【赠品】"&amp;MID(M120,SEARCH("购机",M120)+LEN("购机"),LEN(M120)),IF(ISNUMBER(SEARCH("秀图",M120)),"【秀图】"&amp;MID(M120,SEARCH("秀图",M120)+LEN("秀图"),LEN(M120)),"")))),IFERROR(LEFT(_xlpm.A,FIND("【",_xlpm.A,FIND("】",_xlpm.A)+1)-1)&amp;MID(_xlpm.A,FIND("】",_xlpm.A,FIND("】",_xlpm.A)+1)+1,LEN(_xlpm.A)),_xlpm.A))</f>
        <v/>
      </c>
      <c r="I120" s="18" t="str">
        <f>_xlfn.LET(_xlpm.A,IF(ISNUMBER(SEARCH("晒单",N120)),"【晒单】"&amp;MID(N120,SEARCH("晒单",N120)+LEN("晒单"),LEN(N120))&amp;"（需晒单后联系客服登记）",IF(ISNUMBER(SEARCH("包修",N120)),"【购机】"&amp;MID(N120,SEARCH("购机",N120)+LEN("购机"),LEN(N120)),IF(ISNUMBER(SEARCH("叠放支架",N120)),"【赠品】"&amp;MID(N120,SEARCH("购机",N120)+LEN("购机"),LEN(N120)),IF(ISNUMBER(SEARCH("秀图",N120)),"【秀图】"&amp;MID(N120,SEARCH("秀图",N120)+LEN("秀图"),LEN(N120)),"")))),IFERROR(LEFT(_xlpm.A,FIND("【",_xlpm.A,FIND("】",_xlpm.A)+1)-1)&amp;MID(_xlpm.A,FIND("】",_xlpm.A,FIND("】",_xlpm.A)+1)+1,LEN(_xlpm.A)),_xlpm.A))</f>
        <v/>
      </c>
      <c r="J120" s="18" t="str" cm="1">
        <f t="array" ref="J120">IFERROR(INDEX(_xlfn.TEXTSPLIT(_xlfn.XLOOKUP($A120&amp;$B120&amp;$C120,盘货信息!$A:$A&amp;盘货信息!$B:$B&amp;盘货信息!$C:$C,盘货信息!$S:$S),CHAR(10),,TRUE),1,COLUMN(A119)),"")</f>
        <v/>
      </c>
      <c r="K120" s="18" t="str" cm="1">
        <f t="array" ref="K120">IFERROR(INDEX(_xlfn.TEXTSPLIT(_xlfn.XLOOKUP($A120&amp;$B120&amp;$C120,盘货信息!$A:$A&amp;盘货信息!$B:$B&amp;盘货信息!$C:$C,盘货信息!$S:$S),CHAR(10),,TRUE),1,COLUMN(B119)),"")</f>
        <v/>
      </c>
      <c r="L120" s="18" t="str" cm="1">
        <f t="array" ref="L120">IFERROR(INDEX(_xlfn.TEXTSPLIT(_xlfn.XLOOKUP($A120&amp;$B120&amp;$C120,盘货信息!$A:$A&amp;盘货信息!$B:$B&amp;盘货信息!$C:$C,盘货信息!$S:$S),CHAR(10),,TRUE),1,COLUMN(C119)),"")</f>
        <v/>
      </c>
      <c r="M120" s="18" t="str" cm="1">
        <f t="array" ref="M120">IFERROR(INDEX(_xlfn.TEXTSPLIT(_xlfn.XLOOKUP($A120&amp;$B120&amp;$C120,盘货信息!$A:$A&amp;盘货信息!$B:$B&amp;盘货信息!$C:$C,盘货信息!$S:$S),CHAR(10),,TRUE),1,COLUMN(D119)),"")</f>
        <v/>
      </c>
      <c r="N120" s="18" t="str" cm="1">
        <f t="array" ref="N120">IFERROR(INDEX(_xlfn.TEXTSPLIT(_xlfn.XLOOKUP($A120&amp;$B120&amp;$C120,盘货信息!$A:$A&amp;盘货信息!$B:$B&amp;盘货信息!$C:$C,盘货信息!$S:$S),CHAR(10),,TRUE),1,COLUMN(E119)),"")</f>
        <v/>
      </c>
    </row>
    <row r="121" customHeight="1" spans="1:14">
      <c r="A121" s="17" t="str">
        <f>IF(盘货信息!A121="","",盘货信息!A121)</f>
        <v/>
      </c>
      <c r="B121" s="17" t="str">
        <f>IF(盘货信息!B121="","",盘货信息!B121)</f>
        <v/>
      </c>
      <c r="C121" s="18" t="str">
        <f>IF(盘货信息!C121="","",盘货信息!C121)</f>
        <v/>
      </c>
      <c r="D121" s="18" t="str">
        <f t="shared" si="1"/>
        <v/>
      </c>
      <c r="E121" s="18" t="str">
        <f>_xlfn.LET(_xlpm.A,IF(ISNUMBER(SEARCH("晒单",J121)),"【晒单】"&amp;MID(J121,SEARCH("晒单",J121)+LEN("晒单"),LEN(J121))&amp;"（需晒单后联系客服登记）",IF(ISNUMBER(SEARCH("包修",J121)),"【购机】"&amp;MID(J121,SEARCH("购机",J121)+LEN("购机"),LEN(J121)),IF(ISNUMBER(SEARCH("叠放支架",J121)),"【赠品】"&amp;MID(J121,SEARCH("购机",J121)+LEN("购机"),LEN(J121)),IF(ISNUMBER(SEARCH("秀图",J121)),"【秀图】"&amp;MID(J121,SEARCH("秀图",J121)+LEN("秀图"),LEN(J121)),"")))),IFERROR(LEFT(_xlpm.A,FIND("【",_xlpm.A,FIND("】",_xlpm.A)+1)-1)&amp;MID(_xlpm.A,FIND("】",_xlpm.A,FIND("】",_xlpm.A)+1)+1,LEN(_xlpm.A)),_xlpm.A))</f>
        <v/>
      </c>
      <c r="F121" s="18" t="str">
        <f>_xlfn.LET(_xlpm.A,IF(ISNUMBER(SEARCH("晒单",K121)),"【晒单】"&amp;MID(K121,SEARCH("晒单",K121)+LEN("晒单"),LEN(K121))&amp;"（需晒单后联系客服登记）",IF(ISNUMBER(SEARCH("包修",K121)),"【购机】"&amp;MID(K121,SEARCH("购机",K121)+LEN("购机"),LEN(K121)),IF(ISNUMBER(SEARCH("叠放支架",K121)),"【赠品】"&amp;MID(K121,SEARCH("购机",K121)+LEN("购机"),LEN(K121)),IF(ISNUMBER(SEARCH("秀图",K121)),"【秀图】"&amp;MID(K121,SEARCH("秀图",K121)+LEN("秀图"),LEN(K121)),"")))),IFERROR(LEFT(_xlpm.A,FIND("【",_xlpm.A,FIND("】",_xlpm.A)+1)-1)&amp;MID(_xlpm.A,FIND("】",_xlpm.A,FIND("】",_xlpm.A)+1)+1,LEN(_xlpm.A)),_xlpm.A))</f>
        <v/>
      </c>
      <c r="G121" s="18" t="str">
        <f>_xlfn.LET(_xlpm.A,IF(ISNUMBER(SEARCH("晒单",L121)),"【晒单】"&amp;MID(L121,SEARCH("晒单",L121)+LEN("晒单"),LEN(L121))&amp;"（需晒单后联系客服登记）",IF(ISNUMBER(SEARCH("包修",L121)),"【购机】"&amp;MID(L121,SEARCH("购机",L121)+LEN("购机"),LEN(L121)),IF(ISNUMBER(SEARCH("叠放支架",L121)),"【赠品】"&amp;MID(L121,SEARCH("购机",L121)+LEN("购机"),LEN(L121)),IF(ISNUMBER(SEARCH("秀图",L121)),"【秀图】"&amp;MID(L121,SEARCH("秀图",L121)+LEN("秀图"),LEN(L121)),"")))),IFERROR(LEFT(_xlpm.A,FIND("【",_xlpm.A,FIND("】",_xlpm.A)+1)-1)&amp;MID(_xlpm.A,FIND("】",_xlpm.A,FIND("】",_xlpm.A)+1)+1,LEN(_xlpm.A)),_xlpm.A))</f>
        <v/>
      </c>
      <c r="H121" s="18" t="str">
        <f>_xlfn.LET(_xlpm.A,IF(ISNUMBER(SEARCH("晒单",M121)),"【晒单】"&amp;MID(M121,SEARCH("晒单",M121)+LEN("晒单"),LEN(M121))&amp;"（需晒单后联系客服登记）",IF(ISNUMBER(SEARCH("包修",M121)),"【购机】"&amp;MID(M121,SEARCH("购机",M121)+LEN("购机"),LEN(M121)),IF(ISNUMBER(SEARCH("叠放支架",M121)),"【赠品】"&amp;MID(M121,SEARCH("购机",M121)+LEN("购机"),LEN(M121)),IF(ISNUMBER(SEARCH("秀图",M121)),"【秀图】"&amp;MID(M121,SEARCH("秀图",M121)+LEN("秀图"),LEN(M121)),"")))),IFERROR(LEFT(_xlpm.A,FIND("【",_xlpm.A,FIND("】",_xlpm.A)+1)-1)&amp;MID(_xlpm.A,FIND("】",_xlpm.A,FIND("】",_xlpm.A)+1)+1,LEN(_xlpm.A)),_xlpm.A))</f>
        <v/>
      </c>
      <c r="I121" s="18" t="str">
        <f>_xlfn.LET(_xlpm.A,IF(ISNUMBER(SEARCH("晒单",N121)),"【晒单】"&amp;MID(N121,SEARCH("晒单",N121)+LEN("晒单"),LEN(N121))&amp;"（需晒单后联系客服登记）",IF(ISNUMBER(SEARCH("包修",N121)),"【购机】"&amp;MID(N121,SEARCH("购机",N121)+LEN("购机"),LEN(N121)),IF(ISNUMBER(SEARCH("叠放支架",N121)),"【赠品】"&amp;MID(N121,SEARCH("购机",N121)+LEN("购机"),LEN(N121)),IF(ISNUMBER(SEARCH("秀图",N121)),"【秀图】"&amp;MID(N121,SEARCH("秀图",N121)+LEN("秀图"),LEN(N121)),"")))),IFERROR(LEFT(_xlpm.A,FIND("【",_xlpm.A,FIND("】",_xlpm.A)+1)-1)&amp;MID(_xlpm.A,FIND("】",_xlpm.A,FIND("】",_xlpm.A)+1)+1,LEN(_xlpm.A)),_xlpm.A))</f>
        <v/>
      </c>
      <c r="J121" s="18" t="str" cm="1">
        <f t="array" ref="J121">IFERROR(INDEX(_xlfn.TEXTSPLIT(_xlfn.XLOOKUP($A121&amp;$B121&amp;$C121,盘货信息!$A:$A&amp;盘货信息!$B:$B&amp;盘货信息!$C:$C,盘货信息!$S:$S),CHAR(10),,TRUE),1,COLUMN(A120)),"")</f>
        <v/>
      </c>
      <c r="K121" s="18" t="str" cm="1">
        <f t="array" ref="K121">IFERROR(INDEX(_xlfn.TEXTSPLIT(_xlfn.XLOOKUP($A121&amp;$B121&amp;$C121,盘货信息!$A:$A&amp;盘货信息!$B:$B&amp;盘货信息!$C:$C,盘货信息!$S:$S),CHAR(10),,TRUE),1,COLUMN(B120)),"")</f>
        <v/>
      </c>
      <c r="L121" s="18" t="str" cm="1">
        <f t="array" ref="L121">IFERROR(INDEX(_xlfn.TEXTSPLIT(_xlfn.XLOOKUP($A121&amp;$B121&amp;$C121,盘货信息!$A:$A&amp;盘货信息!$B:$B&amp;盘货信息!$C:$C,盘货信息!$S:$S),CHAR(10),,TRUE),1,COLUMN(C120)),"")</f>
        <v/>
      </c>
      <c r="M121" s="18" t="str" cm="1">
        <f t="array" ref="M121">IFERROR(INDEX(_xlfn.TEXTSPLIT(_xlfn.XLOOKUP($A121&amp;$B121&amp;$C121,盘货信息!$A:$A&amp;盘货信息!$B:$B&amp;盘货信息!$C:$C,盘货信息!$S:$S),CHAR(10),,TRUE),1,COLUMN(D120)),"")</f>
        <v/>
      </c>
      <c r="N121" s="18" t="str" cm="1">
        <f t="array" ref="N121">IFERROR(INDEX(_xlfn.TEXTSPLIT(_xlfn.XLOOKUP($A121&amp;$B121&amp;$C121,盘货信息!$A:$A&amp;盘货信息!$B:$B&amp;盘货信息!$C:$C,盘货信息!$S:$S),CHAR(10),,TRUE),1,COLUMN(E120)),"")</f>
        <v/>
      </c>
    </row>
    <row r="122" customHeight="1" spans="1:14">
      <c r="A122" s="17" t="str">
        <f>IF(盘货信息!A122="","",盘货信息!A122)</f>
        <v/>
      </c>
      <c r="B122" s="17" t="str">
        <f>IF(盘货信息!B122="","",盘货信息!B122)</f>
        <v/>
      </c>
      <c r="C122" s="18" t="str">
        <f>IF(盘货信息!C122="","",盘货信息!C122)</f>
        <v/>
      </c>
      <c r="D122" s="18" t="str">
        <f t="shared" si="1"/>
        <v/>
      </c>
      <c r="E122" s="18" t="str">
        <f>_xlfn.LET(_xlpm.A,IF(ISNUMBER(SEARCH("晒单",J122)),"【晒单】"&amp;MID(J122,SEARCH("晒单",J122)+LEN("晒单"),LEN(J122))&amp;"（需晒单后联系客服登记）",IF(ISNUMBER(SEARCH("包修",J122)),"【购机】"&amp;MID(J122,SEARCH("购机",J122)+LEN("购机"),LEN(J122)),IF(ISNUMBER(SEARCH("叠放支架",J122)),"【赠品】"&amp;MID(J122,SEARCH("购机",J122)+LEN("购机"),LEN(J122)),IF(ISNUMBER(SEARCH("秀图",J122)),"【秀图】"&amp;MID(J122,SEARCH("秀图",J122)+LEN("秀图"),LEN(J122)),"")))),IFERROR(LEFT(_xlpm.A,FIND("【",_xlpm.A,FIND("】",_xlpm.A)+1)-1)&amp;MID(_xlpm.A,FIND("】",_xlpm.A,FIND("】",_xlpm.A)+1)+1,LEN(_xlpm.A)),_xlpm.A))</f>
        <v/>
      </c>
      <c r="F122" s="18" t="str">
        <f>_xlfn.LET(_xlpm.A,IF(ISNUMBER(SEARCH("晒单",K122)),"【晒单】"&amp;MID(K122,SEARCH("晒单",K122)+LEN("晒单"),LEN(K122))&amp;"（需晒单后联系客服登记）",IF(ISNUMBER(SEARCH("包修",K122)),"【购机】"&amp;MID(K122,SEARCH("购机",K122)+LEN("购机"),LEN(K122)),IF(ISNUMBER(SEARCH("叠放支架",K122)),"【赠品】"&amp;MID(K122,SEARCH("购机",K122)+LEN("购机"),LEN(K122)),IF(ISNUMBER(SEARCH("秀图",K122)),"【秀图】"&amp;MID(K122,SEARCH("秀图",K122)+LEN("秀图"),LEN(K122)),"")))),IFERROR(LEFT(_xlpm.A,FIND("【",_xlpm.A,FIND("】",_xlpm.A)+1)-1)&amp;MID(_xlpm.A,FIND("】",_xlpm.A,FIND("】",_xlpm.A)+1)+1,LEN(_xlpm.A)),_xlpm.A))</f>
        <v/>
      </c>
      <c r="G122" s="18" t="str">
        <f>_xlfn.LET(_xlpm.A,IF(ISNUMBER(SEARCH("晒单",L122)),"【晒单】"&amp;MID(L122,SEARCH("晒单",L122)+LEN("晒单"),LEN(L122))&amp;"（需晒单后联系客服登记）",IF(ISNUMBER(SEARCH("包修",L122)),"【购机】"&amp;MID(L122,SEARCH("购机",L122)+LEN("购机"),LEN(L122)),IF(ISNUMBER(SEARCH("叠放支架",L122)),"【赠品】"&amp;MID(L122,SEARCH("购机",L122)+LEN("购机"),LEN(L122)),IF(ISNUMBER(SEARCH("秀图",L122)),"【秀图】"&amp;MID(L122,SEARCH("秀图",L122)+LEN("秀图"),LEN(L122)),"")))),IFERROR(LEFT(_xlpm.A,FIND("【",_xlpm.A,FIND("】",_xlpm.A)+1)-1)&amp;MID(_xlpm.A,FIND("】",_xlpm.A,FIND("】",_xlpm.A)+1)+1,LEN(_xlpm.A)),_xlpm.A))</f>
        <v/>
      </c>
      <c r="H122" s="18" t="str">
        <f>_xlfn.LET(_xlpm.A,IF(ISNUMBER(SEARCH("晒单",M122)),"【晒单】"&amp;MID(M122,SEARCH("晒单",M122)+LEN("晒单"),LEN(M122))&amp;"（需晒单后联系客服登记）",IF(ISNUMBER(SEARCH("包修",M122)),"【购机】"&amp;MID(M122,SEARCH("购机",M122)+LEN("购机"),LEN(M122)),IF(ISNUMBER(SEARCH("叠放支架",M122)),"【赠品】"&amp;MID(M122,SEARCH("购机",M122)+LEN("购机"),LEN(M122)),IF(ISNUMBER(SEARCH("秀图",M122)),"【秀图】"&amp;MID(M122,SEARCH("秀图",M122)+LEN("秀图"),LEN(M122)),"")))),IFERROR(LEFT(_xlpm.A,FIND("【",_xlpm.A,FIND("】",_xlpm.A)+1)-1)&amp;MID(_xlpm.A,FIND("】",_xlpm.A,FIND("】",_xlpm.A)+1)+1,LEN(_xlpm.A)),_xlpm.A))</f>
        <v/>
      </c>
      <c r="I122" s="18" t="str">
        <f>_xlfn.LET(_xlpm.A,IF(ISNUMBER(SEARCH("晒单",N122)),"【晒单】"&amp;MID(N122,SEARCH("晒单",N122)+LEN("晒单"),LEN(N122))&amp;"（需晒单后联系客服登记）",IF(ISNUMBER(SEARCH("包修",N122)),"【购机】"&amp;MID(N122,SEARCH("购机",N122)+LEN("购机"),LEN(N122)),IF(ISNUMBER(SEARCH("叠放支架",N122)),"【赠品】"&amp;MID(N122,SEARCH("购机",N122)+LEN("购机"),LEN(N122)),IF(ISNUMBER(SEARCH("秀图",N122)),"【秀图】"&amp;MID(N122,SEARCH("秀图",N122)+LEN("秀图"),LEN(N122)),"")))),IFERROR(LEFT(_xlpm.A,FIND("【",_xlpm.A,FIND("】",_xlpm.A)+1)-1)&amp;MID(_xlpm.A,FIND("】",_xlpm.A,FIND("】",_xlpm.A)+1)+1,LEN(_xlpm.A)),_xlpm.A))</f>
        <v/>
      </c>
      <c r="J122" s="18" t="str" cm="1">
        <f t="array" ref="J122">IFERROR(INDEX(_xlfn.TEXTSPLIT(_xlfn.XLOOKUP($A122&amp;$B122&amp;$C122,盘货信息!$A:$A&amp;盘货信息!$B:$B&amp;盘货信息!$C:$C,盘货信息!$S:$S),CHAR(10),,TRUE),1,COLUMN(A121)),"")</f>
        <v/>
      </c>
      <c r="K122" s="18" t="str" cm="1">
        <f t="array" ref="K122">IFERROR(INDEX(_xlfn.TEXTSPLIT(_xlfn.XLOOKUP($A122&amp;$B122&amp;$C122,盘货信息!$A:$A&amp;盘货信息!$B:$B&amp;盘货信息!$C:$C,盘货信息!$S:$S),CHAR(10),,TRUE),1,COLUMN(B121)),"")</f>
        <v/>
      </c>
      <c r="L122" s="18" t="str" cm="1">
        <f t="array" ref="L122">IFERROR(INDEX(_xlfn.TEXTSPLIT(_xlfn.XLOOKUP($A122&amp;$B122&amp;$C122,盘货信息!$A:$A&amp;盘货信息!$B:$B&amp;盘货信息!$C:$C,盘货信息!$S:$S),CHAR(10),,TRUE),1,COLUMN(C121)),"")</f>
        <v/>
      </c>
      <c r="M122" s="18" t="str" cm="1">
        <f t="array" ref="M122">IFERROR(INDEX(_xlfn.TEXTSPLIT(_xlfn.XLOOKUP($A122&amp;$B122&amp;$C122,盘货信息!$A:$A&amp;盘货信息!$B:$B&amp;盘货信息!$C:$C,盘货信息!$S:$S),CHAR(10),,TRUE),1,COLUMN(D121)),"")</f>
        <v/>
      </c>
      <c r="N122" s="18" t="str" cm="1">
        <f t="array" ref="N122">IFERROR(INDEX(_xlfn.TEXTSPLIT(_xlfn.XLOOKUP($A122&amp;$B122&amp;$C122,盘货信息!$A:$A&amp;盘货信息!$B:$B&amp;盘货信息!$C:$C,盘货信息!$S:$S),CHAR(10),,TRUE),1,COLUMN(E121)),"")</f>
        <v/>
      </c>
    </row>
    <row r="123" customHeight="1" spans="1:14">
      <c r="A123" s="17" t="str">
        <f>IF(盘货信息!A123="","",盘货信息!A123)</f>
        <v/>
      </c>
      <c r="B123" s="17" t="str">
        <f>IF(盘货信息!B123="","",盘货信息!B123)</f>
        <v/>
      </c>
      <c r="C123" s="18" t="str">
        <f>IF(盘货信息!C123="","",盘货信息!C123)</f>
        <v/>
      </c>
      <c r="D123" s="18" t="str">
        <f t="shared" si="1"/>
        <v/>
      </c>
      <c r="E123" s="18" t="str">
        <f>_xlfn.LET(_xlpm.A,IF(ISNUMBER(SEARCH("晒单",J123)),"【晒单】"&amp;MID(J123,SEARCH("晒单",J123)+LEN("晒单"),LEN(J123))&amp;"（需晒单后联系客服登记）",IF(ISNUMBER(SEARCH("包修",J123)),"【购机】"&amp;MID(J123,SEARCH("购机",J123)+LEN("购机"),LEN(J123)),IF(ISNUMBER(SEARCH("叠放支架",J123)),"【赠品】"&amp;MID(J123,SEARCH("购机",J123)+LEN("购机"),LEN(J123)),IF(ISNUMBER(SEARCH("秀图",J123)),"【秀图】"&amp;MID(J123,SEARCH("秀图",J123)+LEN("秀图"),LEN(J123)),"")))),IFERROR(LEFT(_xlpm.A,FIND("【",_xlpm.A,FIND("】",_xlpm.A)+1)-1)&amp;MID(_xlpm.A,FIND("】",_xlpm.A,FIND("】",_xlpm.A)+1)+1,LEN(_xlpm.A)),_xlpm.A))</f>
        <v/>
      </c>
      <c r="F123" s="18" t="str">
        <f>_xlfn.LET(_xlpm.A,IF(ISNUMBER(SEARCH("晒单",K123)),"【晒单】"&amp;MID(K123,SEARCH("晒单",K123)+LEN("晒单"),LEN(K123))&amp;"（需晒单后联系客服登记）",IF(ISNUMBER(SEARCH("包修",K123)),"【购机】"&amp;MID(K123,SEARCH("购机",K123)+LEN("购机"),LEN(K123)),IF(ISNUMBER(SEARCH("叠放支架",K123)),"【赠品】"&amp;MID(K123,SEARCH("购机",K123)+LEN("购机"),LEN(K123)),IF(ISNUMBER(SEARCH("秀图",K123)),"【秀图】"&amp;MID(K123,SEARCH("秀图",K123)+LEN("秀图"),LEN(K123)),"")))),IFERROR(LEFT(_xlpm.A,FIND("【",_xlpm.A,FIND("】",_xlpm.A)+1)-1)&amp;MID(_xlpm.A,FIND("】",_xlpm.A,FIND("】",_xlpm.A)+1)+1,LEN(_xlpm.A)),_xlpm.A))</f>
        <v/>
      </c>
      <c r="G123" s="18" t="str">
        <f>_xlfn.LET(_xlpm.A,IF(ISNUMBER(SEARCH("晒单",L123)),"【晒单】"&amp;MID(L123,SEARCH("晒单",L123)+LEN("晒单"),LEN(L123))&amp;"（需晒单后联系客服登记）",IF(ISNUMBER(SEARCH("包修",L123)),"【购机】"&amp;MID(L123,SEARCH("购机",L123)+LEN("购机"),LEN(L123)),IF(ISNUMBER(SEARCH("叠放支架",L123)),"【赠品】"&amp;MID(L123,SEARCH("购机",L123)+LEN("购机"),LEN(L123)),IF(ISNUMBER(SEARCH("秀图",L123)),"【秀图】"&amp;MID(L123,SEARCH("秀图",L123)+LEN("秀图"),LEN(L123)),"")))),IFERROR(LEFT(_xlpm.A,FIND("【",_xlpm.A,FIND("】",_xlpm.A)+1)-1)&amp;MID(_xlpm.A,FIND("】",_xlpm.A,FIND("】",_xlpm.A)+1)+1,LEN(_xlpm.A)),_xlpm.A))</f>
        <v/>
      </c>
      <c r="H123" s="18" t="str">
        <f>_xlfn.LET(_xlpm.A,IF(ISNUMBER(SEARCH("晒单",M123)),"【晒单】"&amp;MID(M123,SEARCH("晒单",M123)+LEN("晒单"),LEN(M123))&amp;"（需晒单后联系客服登记）",IF(ISNUMBER(SEARCH("包修",M123)),"【购机】"&amp;MID(M123,SEARCH("购机",M123)+LEN("购机"),LEN(M123)),IF(ISNUMBER(SEARCH("叠放支架",M123)),"【赠品】"&amp;MID(M123,SEARCH("购机",M123)+LEN("购机"),LEN(M123)),IF(ISNUMBER(SEARCH("秀图",M123)),"【秀图】"&amp;MID(M123,SEARCH("秀图",M123)+LEN("秀图"),LEN(M123)),"")))),IFERROR(LEFT(_xlpm.A,FIND("【",_xlpm.A,FIND("】",_xlpm.A)+1)-1)&amp;MID(_xlpm.A,FIND("】",_xlpm.A,FIND("】",_xlpm.A)+1)+1,LEN(_xlpm.A)),_xlpm.A))</f>
        <v/>
      </c>
      <c r="I123" s="18" t="str">
        <f>_xlfn.LET(_xlpm.A,IF(ISNUMBER(SEARCH("晒单",N123)),"【晒单】"&amp;MID(N123,SEARCH("晒单",N123)+LEN("晒单"),LEN(N123))&amp;"（需晒单后联系客服登记）",IF(ISNUMBER(SEARCH("包修",N123)),"【购机】"&amp;MID(N123,SEARCH("购机",N123)+LEN("购机"),LEN(N123)),IF(ISNUMBER(SEARCH("叠放支架",N123)),"【赠品】"&amp;MID(N123,SEARCH("购机",N123)+LEN("购机"),LEN(N123)),IF(ISNUMBER(SEARCH("秀图",N123)),"【秀图】"&amp;MID(N123,SEARCH("秀图",N123)+LEN("秀图"),LEN(N123)),"")))),IFERROR(LEFT(_xlpm.A,FIND("【",_xlpm.A,FIND("】",_xlpm.A)+1)-1)&amp;MID(_xlpm.A,FIND("】",_xlpm.A,FIND("】",_xlpm.A)+1)+1,LEN(_xlpm.A)),_xlpm.A))</f>
        <v/>
      </c>
      <c r="J123" s="18" t="str" cm="1">
        <f t="array" ref="J123">IFERROR(INDEX(_xlfn.TEXTSPLIT(_xlfn.XLOOKUP($A123&amp;$B123&amp;$C123,盘货信息!$A:$A&amp;盘货信息!$B:$B&amp;盘货信息!$C:$C,盘货信息!$S:$S),CHAR(10),,TRUE),1,COLUMN(A122)),"")</f>
        <v/>
      </c>
      <c r="K123" s="18" t="str" cm="1">
        <f t="array" ref="K123">IFERROR(INDEX(_xlfn.TEXTSPLIT(_xlfn.XLOOKUP($A123&amp;$B123&amp;$C123,盘货信息!$A:$A&amp;盘货信息!$B:$B&amp;盘货信息!$C:$C,盘货信息!$S:$S),CHAR(10),,TRUE),1,COLUMN(B122)),"")</f>
        <v/>
      </c>
      <c r="L123" s="18" t="str" cm="1">
        <f t="array" ref="L123">IFERROR(INDEX(_xlfn.TEXTSPLIT(_xlfn.XLOOKUP($A123&amp;$B123&amp;$C123,盘货信息!$A:$A&amp;盘货信息!$B:$B&amp;盘货信息!$C:$C,盘货信息!$S:$S),CHAR(10),,TRUE),1,COLUMN(C122)),"")</f>
        <v/>
      </c>
      <c r="M123" s="18" t="str" cm="1">
        <f t="array" ref="M123">IFERROR(INDEX(_xlfn.TEXTSPLIT(_xlfn.XLOOKUP($A123&amp;$B123&amp;$C123,盘货信息!$A:$A&amp;盘货信息!$B:$B&amp;盘货信息!$C:$C,盘货信息!$S:$S),CHAR(10),,TRUE),1,COLUMN(D122)),"")</f>
        <v/>
      </c>
      <c r="N123" s="18" t="str" cm="1">
        <f t="array" ref="N123">IFERROR(INDEX(_xlfn.TEXTSPLIT(_xlfn.XLOOKUP($A123&amp;$B123&amp;$C123,盘货信息!$A:$A&amp;盘货信息!$B:$B&amp;盘货信息!$C:$C,盘货信息!$S:$S),CHAR(10),,TRUE),1,COLUMN(E122)),"")</f>
        <v/>
      </c>
    </row>
    <row r="124" customHeight="1" spans="1:14">
      <c r="A124" s="17" t="str">
        <f>IF(盘货信息!A124="","",盘货信息!A124)</f>
        <v/>
      </c>
      <c r="B124" s="17" t="str">
        <f>IF(盘货信息!B124="","",盘货信息!B124)</f>
        <v/>
      </c>
      <c r="C124" s="20" t="str">
        <f>IF(盘货信息!C124="","",盘货信息!C124)</f>
        <v/>
      </c>
      <c r="D124" s="18" t="str">
        <f t="shared" si="1"/>
        <v/>
      </c>
      <c r="E124" s="18" t="str">
        <f>_xlfn.LET(_xlpm.A,IF(ISNUMBER(SEARCH("晒单",J124)),"【晒单】"&amp;MID(J124,SEARCH("晒单",J124)+LEN("晒单"),LEN(J124))&amp;"（需晒单后联系客服登记）",IF(ISNUMBER(SEARCH("包修",J124)),"【购机】"&amp;MID(J124,SEARCH("购机",J124)+LEN("购机"),LEN(J124)),IF(ISNUMBER(SEARCH("叠放支架",J124)),"【赠品】"&amp;MID(J124,SEARCH("购机",J124)+LEN("购机"),LEN(J124)),IF(ISNUMBER(SEARCH("秀图",J124)),"【秀图】"&amp;MID(J124,SEARCH("秀图",J124)+LEN("秀图"),LEN(J124)),"")))),IFERROR(LEFT(_xlpm.A,FIND("【",_xlpm.A,FIND("】",_xlpm.A)+1)-1)&amp;MID(_xlpm.A,FIND("】",_xlpm.A,FIND("】",_xlpm.A)+1)+1,LEN(_xlpm.A)),_xlpm.A))</f>
        <v/>
      </c>
      <c r="F124" s="18" t="str">
        <f>_xlfn.LET(_xlpm.A,IF(ISNUMBER(SEARCH("晒单",K124)),"【晒单】"&amp;MID(K124,SEARCH("晒单",K124)+LEN("晒单"),LEN(K124))&amp;"（需晒单后联系客服登记）",IF(ISNUMBER(SEARCH("包修",K124)),"【购机】"&amp;MID(K124,SEARCH("购机",K124)+LEN("购机"),LEN(K124)),IF(ISNUMBER(SEARCH("叠放支架",K124)),"【赠品】"&amp;MID(K124,SEARCH("购机",K124)+LEN("购机"),LEN(K124)),IF(ISNUMBER(SEARCH("秀图",K124)),"【秀图】"&amp;MID(K124,SEARCH("秀图",K124)+LEN("秀图"),LEN(K124)),"")))),IFERROR(LEFT(_xlpm.A,FIND("【",_xlpm.A,FIND("】",_xlpm.A)+1)-1)&amp;MID(_xlpm.A,FIND("】",_xlpm.A,FIND("】",_xlpm.A)+1)+1,LEN(_xlpm.A)),_xlpm.A))</f>
        <v/>
      </c>
      <c r="G124" s="18" t="str">
        <f>_xlfn.LET(_xlpm.A,IF(ISNUMBER(SEARCH("晒单",L124)),"【晒单】"&amp;MID(L124,SEARCH("晒单",L124)+LEN("晒单"),LEN(L124))&amp;"（需晒单后联系客服登记）",IF(ISNUMBER(SEARCH("包修",L124)),"【购机】"&amp;MID(L124,SEARCH("购机",L124)+LEN("购机"),LEN(L124)),IF(ISNUMBER(SEARCH("叠放支架",L124)),"【赠品】"&amp;MID(L124,SEARCH("购机",L124)+LEN("购机"),LEN(L124)),IF(ISNUMBER(SEARCH("秀图",L124)),"【秀图】"&amp;MID(L124,SEARCH("秀图",L124)+LEN("秀图"),LEN(L124)),"")))),IFERROR(LEFT(_xlpm.A,FIND("【",_xlpm.A,FIND("】",_xlpm.A)+1)-1)&amp;MID(_xlpm.A,FIND("】",_xlpm.A,FIND("】",_xlpm.A)+1)+1,LEN(_xlpm.A)),_xlpm.A))</f>
        <v/>
      </c>
      <c r="H124" s="18" t="str">
        <f>_xlfn.LET(_xlpm.A,IF(ISNUMBER(SEARCH("晒单",M124)),"【晒单】"&amp;MID(M124,SEARCH("晒单",M124)+LEN("晒单"),LEN(M124))&amp;"（需晒单后联系客服登记）",IF(ISNUMBER(SEARCH("包修",M124)),"【购机】"&amp;MID(M124,SEARCH("购机",M124)+LEN("购机"),LEN(M124)),IF(ISNUMBER(SEARCH("叠放支架",M124)),"【赠品】"&amp;MID(M124,SEARCH("购机",M124)+LEN("购机"),LEN(M124)),IF(ISNUMBER(SEARCH("秀图",M124)),"【秀图】"&amp;MID(M124,SEARCH("秀图",M124)+LEN("秀图"),LEN(M124)),"")))),IFERROR(LEFT(_xlpm.A,FIND("【",_xlpm.A,FIND("】",_xlpm.A)+1)-1)&amp;MID(_xlpm.A,FIND("】",_xlpm.A,FIND("】",_xlpm.A)+1)+1,LEN(_xlpm.A)),_xlpm.A))</f>
        <v/>
      </c>
      <c r="I124" s="18" t="str">
        <f>_xlfn.LET(_xlpm.A,IF(ISNUMBER(SEARCH("晒单",N124)),"【晒单】"&amp;MID(N124,SEARCH("晒单",N124)+LEN("晒单"),LEN(N124))&amp;"（需晒单后联系客服登记）",IF(ISNUMBER(SEARCH("包修",N124)),"【购机】"&amp;MID(N124,SEARCH("购机",N124)+LEN("购机"),LEN(N124)),IF(ISNUMBER(SEARCH("叠放支架",N124)),"【赠品】"&amp;MID(N124,SEARCH("购机",N124)+LEN("购机"),LEN(N124)),IF(ISNUMBER(SEARCH("秀图",N124)),"【秀图】"&amp;MID(N124,SEARCH("秀图",N124)+LEN("秀图"),LEN(N124)),"")))),IFERROR(LEFT(_xlpm.A,FIND("【",_xlpm.A,FIND("】",_xlpm.A)+1)-1)&amp;MID(_xlpm.A,FIND("】",_xlpm.A,FIND("】",_xlpm.A)+1)+1,LEN(_xlpm.A)),_xlpm.A))</f>
        <v/>
      </c>
      <c r="J124" s="18" t="str" cm="1">
        <f t="array" ref="J124">IFERROR(INDEX(_xlfn.TEXTSPLIT(_xlfn.XLOOKUP($A124&amp;$B124&amp;$C124,盘货信息!$A:$A&amp;盘货信息!$B:$B&amp;盘货信息!$C:$C,盘货信息!$S:$S),CHAR(10),,TRUE),1,COLUMN(A123)),"")</f>
        <v/>
      </c>
      <c r="K124" s="18" t="str" cm="1">
        <f t="array" ref="K124">IFERROR(INDEX(_xlfn.TEXTSPLIT(_xlfn.XLOOKUP($A124&amp;$B124&amp;$C124,盘货信息!$A:$A&amp;盘货信息!$B:$B&amp;盘货信息!$C:$C,盘货信息!$S:$S),CHAR(10),,TRUE),1,COLUMN(B123)),"")</f>
        <v/>
      </c>
      <c r="L124" s="18" t="str" cm="1">
        <f t="array" ref="L124">IFERROR(INDEX(_xlfn.TEXTSPLIT(_xlfn.XLOOKUP($A124&amp;$B124&amp;$C124,盘货信息!$A:$A&amp;盘货信息!$B:$B&amp;盘货信息!$C:$C,盘货信息!$S:$S),CHAR(10),,TRUE),1,COLUMN(C123)),"")</f>
        <v/>
      </c>
      <c r="M124" s="18" t="str" cm="1">
        <f t="array" ref="M124">IFERROR(INDEX(_xlfn.TEXTSPLIT(_xlfn.XLOOKUP($A124&amp;$B124&amp;$C124,盘货信息!$A:$A&amp;盘货信息!$B:$B&amp;盘货信息!$C:$C,盘货信息!$S:$S),CHAR(10),,TRUE),1,COLUMN(D123)),"")</f>
        <v/>
      </c>
      <c r="N124" s="18" t="str" cm="1">
        <f t="array" ref="N124">IFERROR(INDEX(_xlfn.TEXTSPLIT(_xlfn.XLOOKUP($A124&amp;$B124&amp;$C124,盘货信息!$A:$A&amp;盘货信息!$B:$B&amp;盘货信息!$C:$C,盘货信息!$S:$S),CHAR(10),,TRUE),1,COLUMN(E123)),"")</f>
        <v/>
      </c>
    </row>
    <row r="125" customHeight="1" spans="1:14">
      <c r="A125" s="17" t="str">
        <f>IF(盘货信息!A125="","",盘货信息!A125)</f>
        <v/>
      </c>
      <c r="B125" s="17" t="str">
        <f>IF(盘货信息!B125="","",盘货信息!B125)</f>
        <v/>
      </c>
      <c r="C125" s="20" t="str">
        <f>IF(盘货信息!C125="","",盘货信息!C125)</f>
        <v/>
      </c>
      <c r="D125" s="18" t="str">
        <f t="shared" si="1"/>
        <v/>
      </c>
      <c r="E125" s="18" t="str">
        <f>_xlfn.LET(_xlpm.A,IF(ISNUMBER(SEARCH("晒单",J125)),"【晒单】"&amp;MID(J125,SEARCH("晒单",J125)+LEN("晒单"),LEN(J125))&amp;"（需晒单后联系客服登记）",IF(ISNUMBER(SEARCH("包修",J125)),"【购机】"&amp;MID(J125,SEARCH("购机",J125)+LEN("购机"),LEN(J125)),IF(ISNUMBER(SEARCH("叠放支架",J125)),"【赠品】"&amp;MID(J125,SEARCH("购机",J125)+LEN("购机"),LEN(J125)),IF(ISNUMBER(SEARCH("秀图",J125)),"【秀图】"&amp;MID(J125,SEARCH("秀图",J125)+LEN("秀图"),LEN(J125)),"")))),IFERROR(LEFT(_xlpm.A,FIND("【",_xlpm.A,FIND("】",_xlpm.A)+1)-1)&amp;MID(_xlpm.A,FIND("】",_xlpm.A,FIND("】",_xlpm.A)+1)+1,LEN(_xlpm.A)),_xlpm.A))</f>
        <v/>
      </c>
      <c r="F125" s="18" t="str">
        <f>_xlfn.LET(_xlpm.A,IF(ISNUMBER(SEARCH("晒单",K125)),"【晒单】"&amp;MID(K125,SEARCH("晒单",K125)+LEN("晒单"),LEN(K125))&amp;"（需晒单后联系客服登记）",IF(ISNUMBER(SEARCH("包修",K125)),"【购机】"&amp;MID(K125,SEARCH("购机",K125)+LEN("购机"),LEN(K125)),IF(ISNUMBER(SEARCH("叠放支架",K125)),"【赠品】"&amp;MID(K125,SEARCH("购机",K125)+LEN("购机"),LEN(K125)),IF(ISNUMBER(SEARCH("秀图",K125)),"【秀图】"&amp;MID(K125,SEARCH("秀图",K125)+LEN("秀图"),LEN(K125)),"")))),IFERROR(LEFT(_xlpm.A,FIND("【",_xlpm.A,FIND("】",_xlpm.A)+1)-1)&amp;MID(_xlpm.A,FIND("】",_xlpm.A,FIND("】",_xlpm.A)+1)+1,LEN(_xlpm.A)),_xlpm.A))</f>
        <v/>
      </c>
      <c r="G125" s="18" t="str">
        <f>_xlfn.LET(_xlpm.A,IF(ISNUMBER(SEARCH("晒单",L125)),"【晒单】"&amp;MID(L125,SEARCH("晒单",L125)+LEN("晒单"),LEN(L125))&amp;"（需晒单后联系客服登记）",IF(ISNUMBER(SEARCH("包修",L125)),"【购机】"&amp;MID(L125,SEARCH("购机",L125)+LEN("购机"),LEN(L125)),IF(ISNUMBER(SEARCH("叠放支架",L125)),"【赠品】"&amp;MID(L125,SEARCH("购机",L125)+LEN("购机"),LEN(L125)),IF(ISNUMBER(SEARCH("秀图",L125)),"【秀图】"&amp;MID(L125,SEARCH("秀图",L125)+LEN("秀图"),LEN(L125)),"")))),IFERROR(LEFT(_xlpm.A,FIND("【",_xlpm.A,FIND("】",_xlpm.A)+1)-1)&amp;MID(_xlpm.A,FIND("】",_xlpm.A,FIND("】",_xlpm.A)+1)+1,LEN(_xlpm.A)),_xlpm.A))</f>
        <v/>
      </c>
      <c r="H125" s="18" t="str">
        <f>_xlfn.LET(_xlpm.A,IF(ISNUMBER(SEARCH("晒单",M125)),"【晒单】"&amp;MID(M125,SEARCH("晒单",M125)+LEN("晒单"),LEN(M125))&amp;"（需晒单后联系客服登记）",IF(ISNUMBER(SEARCH("包修",M125)),"【购机】"&amp;MID(M125,SEARCH("购机",M125)+LEN("购机"),LEN(M125)),IF(ISNUMBER(SEARCH("叠放支架",M125)),"【赠品】"&amp;MID(M125,SEARCH("购机",M125)+LEN("购机"),LEN(M125)),IF(ISNUMBER(SEARCH("秀图",M125)),"【秀图】"&amp;MID(M125,SEARCH("秀图",M125)+LEN("秀图"),LEN(M125)),"")))),IFERROR(LEFT(_xlpm.A,FIND("【",_xlpm.A,FIND("】",_xlpm.A)+1)-1)&amp;MID(_xlpm.A,FIND("】",_xlpm.A,FIND("】",_xlpm.A)+1)+1,LEN(_xlpm.A)),_xlpm.A))</f>
        <v/>
      </c>
      <c r="I125" s="18" t="str">
        <f>_xlfn.LET(_xlpm.A,IF(ISNUMBER(SEARCH("晒单",N125)),"【晒单】"&amp;MID(N125,SEARCH("晒单",N125)+LEN("晒单"),LEN(N125))&amp;"（需晒单后联系客服登记）",IF(ISNUMBER(SEARCH("包修",N125)),"【购机】"&amp;MID(N125,SEARCH("购机",N125)+LEN("购机"),LEN(N125)),IF(ISNUMBER(SEARCH("叠放支架",N125)),"【赠品】"&amp;MID(N125,SEARCH("购机",N125)+LEN("购机"),LEN(N125)),IF(ISNUMBER(SEARCH("秀图",N125)),"【秀图】"&amp;MID(N125,SEARCH("秀图",N125)+LEN("秀图"),LEN(N125)),"")))),IFERROR(LEFT(_xlpm.A,FIND("【",_xlpm.A,FIND("】",_xlpm.A)+1)-1)&amp;MID(_xlpm.A,FIND("】",_xlpm.A,FIND("】",_xlpm.A)+1)+1,LEN(_xlpm.A)),_xlpm.A))</f>
        <v/>
      </c>
      <c r="J125" s="18" t="str" cm="1">
        <f t="array" ref="J125">IFERROR(INDEX(_xlfn.TEXTSPLIT(_xlfn.XLOOKUP($A125&amp;$B125&amp;$C125,盘货信息!$A:$A&amp;盘货信息!$B:$B&amp;盘货信息!$C:$C,盘货信息!$S:$S),CHAR(10),,TRUE),1,COLUMN(A124)),"")</f>
        <v/>
      </c>
      <c r="K125" s="18" t="str" cm="1">
        <f t="array" ref="K125">IFERROR(INDEX(_xlfn.TEXTSPLIT(_xlfn.XLOOKUP($A125&amp;$B125&amp;$C125,盘货信息!$A:$A&amp;盘货信息!$B:$B&amp;盘货信息!$C:$C,盘货信息!$S:$S),CHAR(10),,TRUE),1,COLUMN(B124)),"")</f>
        <v/>
      </c>
      <c r="L125" s="18" t="str" cm="1">
        <f t="array" ref="L125">IFERROR(INDEX(_xlfn.TEXTSPLIT(_xlfn.XLOOKUP($A125&amp;$B125&amp;$C125,盘货信息!$A:$A&amp;盘货信息!$B:$B&amp;盘货信息!$C:$C,盘货信息!$S:$S),CHAR(10),,TRUE),1,COLUMN(C124)),"")</f>
        <v/>
      </c>
      <c r="M125" s="18" t="str" cm="1">
        <f t="array" ref="M125">IFERROR(INDEX(_xlfn.TEXTSPLIT(_xlfn.XLOOKUP($A125&amp;$B125&amp;$C125,盘货信息!$A:$A&amp;盘货信息!$B:$B&amp;盘货信息!$C:$C,盘货信息!$S:$S),CHAR(10),,TRUE),1,COLUMN(D124)),"")</f>
        <v/>
      </c>
      <c r="N125" s="18" t="str" cm="1">
        <f t="array" ref="N125">IFERROR(INDEX(_xlfn.TEXTSPLIT(_xlfn.XLOOKUP($A125&amp;$B125&amp;$C125,盘货信息!$A:$A&amp;盘货信息!$B:$B&amp;盘货信息!$C:$C,盘货信息!$S:$S),CHAR(10),,TRUE),1,COLUMN(E124)),"")</f>
        <v/>
      </c>
    </row>
    <row r="126" customHeight="1" spans="1:14">
      <c r="A126" s="17" t="str">
        <f>IF(盘货信息!A126="","",盘货信息!A126)</f>
        <v/>
      </c>
      <c r="B126" s="17" t="str">
        <f>IF(盘货信息!B126="","",盘货信息!B126)</f>
        <v/>
      </c>
      <c r="C126" s="20" t="str">
        <f>IF(盘货信息!C126="","",盘货信息!C126)</f>
        <v/>
      </c>
      <c r="D126" s="18" t="str">
        <f t="shared" si="1"/>
        <v/>
      </c>
      <c r="E126" s="18" t="str">
        <f>_xlfn.LET(_xlpm.A,IF(ISNUMBER(SEARCH("晒单",J126)),"【晒单】"&amp;MID(J126,SEARCH("晒单",J126)+LEN("晒单"),LEN(J126))&amp;"（需晒单后联系客服登记）",IF(ISNUMBER(SEARCH("包修",J126)),"【购机】"&amp;MID(J126,SEARCH("购机",J126)+LEN("购机"),LEN(J126)),IF(ISNUMBER(SEARCH("叠放支架",J126)),"【赠品】"&amp;MID(J126,SEARCH("购机",J126)+LEN("购机"),LEN(J126)),IF(ISNUMBER(SEARCH("秀图",J126)),"【秀图】"&amp;MID(J126,SEARCH("秀图",J126)+LEN("秀图"),LEN(J126)),"")))),IFERROR(LEFT(_xlpm.A,FIND("【",_xlpm.A,FIND("】",_xlpm.A)+1)-1)&amp;MID(_xlpm.A,FIND("】",_xlpm.A,FIND("】",_xlpm.A)+1)+1,LEN(_xlpm.A)),_xlpm.A))</f>
        <v/>
      </c>
      <c r="F126" s="18" t="str">
        <f>_xlfn.LET(_xlpm.A,IF(ISNUMBER(SEARCH("晒单",K126)),"【晒单】"&amp;MID(K126,SEARCH("晒单",K126)+LEN("晒单"),LEN(K126))&amp;"（需晒单后联系客服登记）",IF(ISNUMBER(SEARCH("包修",K126)),"【购机】"&amp;MID(K126,SEARCH("购机",K126)+LEN("购机"),LEN(K126)),IF(ISNUMBER(SEARCH("叠放支架",K126)),"【赠品】"&amp;MID(K126,SEARCH("购机",K126)+LEN("购机"),LEN(K126)),IF(ISNUMBER(SEARCH("秀图",K126)),"【秀图】"&amp;MID(K126,SEARCH("秀图",K126)+LEN("秀图"),LEN(K126)),"")))),IFERROR(LEFT(_xlpm.A,FIND("【",_xlpm.A,FIND("】",_xlpm.A)+1)-1)&amp;MID(_xlpm.A,FIND("】",_xlpm.A,FIND("】",_xlpm.A)+1)+1,LEN(_xlpm.A)),_xlpm.A))</f>
        <v/>
      </c>
      <c r="G126" s="18" t="str">
        <f>_xlfn.LET(_xlpm.A,IF(ISNUMBER(SEARCH("晒单",L126)),"【晒单】"&amp;MID(L126,SEARCH("晒单",L126)+LEN("晒单"),LEN(L126))&amp;"（需晒单后联系客服登记）",IF(ISNUMBER(SEARCH("包修",L126)),"【购机】"&amp;MID(L126,SEARCH("购机",L126)+LEN("购机"),LEN(L126)),IF(ISNUMBER(SEARCH("叠放支架",L126)),"【赠品】"&amp;MID(L126,SEARCH("购机",L126)+LEN("购机"),LEN(L126)),IF(ISNUMBER(SEARCH("秀图",L126)),"【秀图】"&amp;MID(L126,SEARCH("秀图",L126)+LEN("秀图"),LEN(L126)),"")))),IFERROR(LEFT(_xlpm.A,FIND("【",_xlpm.A,FIND("】",_xlpm.A)+1)-1)&amp;MID(_xlpm.A,FIND("】",_xlpm.A,FIND("】",_xlpm.A)+1)+1,LEN(_xlpm.A)),_xlpm.A))</f>
        <v/>
      </c>
      <c r="H126" s="18" t="str">
        <f>_xlfn.LET(_xlpm.A,IF(ISNUMBER(SEARCH("晒单",M126)),"【晒单】"&amp;MID(M126,SEARCH("晒单",M126)+LEN("晒单"),LEN(M126))&amp;"（需晒单后联系客服登记）",IF(ISNUMBER(SEARCH("包修",M126)),"【购机】"&amp;MID(M126,SEARCH("购机",M126)+LEN("购机"),LEN(M126)),IF(ISNUMBER(SEARCH("叠放支架",M126)),"【赠品】"&amp;MID(M126,SEARCH("购机",M126)+LEN("购机"),LEN(M126)),IF(ISNUMBER(SEARCH("秀图",M126)),"【秀图】"&amp;MID(M126,SEARCH("秀图",M126)+LEN("秀图"),LEN(M126)),"")))),IFERROR(LEFT(_xlpm.A,FIND("【",_xlpm.A,FIND("】",_xlpm.A)+1)-1)&amp;MID(_xlpm.A,FIND("】",_xlpm.A,FIND("】",_xlpm.A)+1)+1,LEN(_xlpm.A)),_xlpm.A))</f>
        <v/>
      </c>
      <c r="I126" s="18" t="str">
        <f>_xlfn.LET(_xlpm.A,IF(ISNUMBER(SEARCH("晒单",N126)),"【晒单】"&amp;MID(N126,SEARCH("晒单",N126)+LEN("晒单"),LEN(N126))&amp;"（需晒单后联系客服登记）",IF(ISNUMBER(SEARCH("包修",N126)),"【购机】"&amp;MID(N126,SEARCH("购机",N126)+LEN("购机"),LEN(N126)),IF(ISNUMBER(SEARCH("叠放支架",N126)),"【赠品】"&amp;MID(N126,SEARCH("购机",N126)+LEN("购机"),LEN(N126)),IF(ISNUMBER(SEARCH("秀图",N126)),"【秀图】"&amp;MID(N126,SEARCH("秀图",N126)+LEN("秀图"),LEN(N126)),"")))),IFERROR(LEFT(_xlpm.A,FIND("【",_xlpm.A,FIND("】",_xlpm.A)+1)-1)&amp;MID(_xlpm.A,FIND("】",_xlpm.A,FIND("】",_xlpm.A)+1)+1,LEN(_xlpm.A)),_xlpm.A))</f>
        <v/>
      </c>
      <c r="J126" s="18" t="str" cm="1">
        <f t="array" ref="J126">IFERROR(INDEX(_xlfn.TEXTSPLIT(_xlfn.XLOOKUP($A126&amp;$B126&amp;$C126,盘货信息!$A:$A&amp;盘货信息!$B:$B&amp;盘货信息!$C:$C,盘货信息!$S:$S),CHAR(10),,TRUE),1,COLUMN(A125)),"")</f>
        <v/>
      </c>
      <c r="K126" s="18" t="str" cm="1">
        <f t="array" ref="K126">IFERROR(INDEX(_xlfn.TEXTSPLIT(_xlfn.XLOOKUP($A126&amp;$B126&amp;$C126,盘货信息!$A:$A&amp;盘货信息!$B:$B&amp;盘货信息!$C:$C,盘货信息!$S:$S),CHAR(10),,TRUE),1,COLUMN(B125)),"")</f>
        <v/>
      </c>
      <c r="L126" s="18" t="str" cm="1">
        <f t="array" ref="L126">IFERROR(INDEX(_xlfn.TEXTSPLIT(_xlfn.XLOOKUP($A126&amp;$B126&amp;$C126,盘货信息!$A:$A&amp;盘货信息!$B:$B&amp;盘货信息!$C:$C,盘货信息!$S:$S),CHAR(10),,TRUE),1,COLUMN(C125)),"")</f>
        <v/>
      </c>
      <c r="M126" s="18" t="str" cm="1">
        <f t="array" ref="M126">IFERROR(INDEX(_xlfn.TEXTSPLIT(_xlfn.XLOOKUP($A126&amp;$B126&amp;$C126,盘货信息!$A:$A&amp;盘货信息!$B:$B&amp;盘货信息!$C:$C,盘货信息!$S:$S),CHAR(10),,TRUE),1,COLUMN(D125)),"")</f>
        <v/>
      </c>
      <c r="N126" s="18" t="str" cm="1">
        <f t="array" ref="N126">IFERROR(INDEX(_xlfn.TEXTSPLIT(_xlfn.XLOOKUP($A126&amp;$B126&amp;$C126,盘货信息!$A:$A&amp;盘货信息!$B:$B&amp;盘货信息!$C:$C,盘货信息!$S:$S),CHAR(10),,TRUE),1,COLUMN(E125)),"")</f>
        <v/>
      </c>
    </row>
    <row r="127" customHeight="1" spans="1:14">
      <c r="A127" s="17" t="str">
        <f>IF(盘货信息!A127="","",盘货信息!A127)</f>
        <v/>
      </c>
      <c r="B127" s="17" t="str">
        <f>IF(盘货信息!B127="","",盘货信息!B127)</f>
        <v/>
      </c>
      <c r="C127" s="20" t="str">
        <f>IF(盘货信息!C127="","",盘货信息!C127)</f>
        <v/>
      </c>
      <c r="D127" s="18" t="str">
        <f t="shared" si="1"/>
        <v/>
      </c>
      <c r="E127" s="18" t="str">
        <f>_xlfn.LET(_xlpm.A,IF(ISNUMBER(SEARCH("晒单",J127)),"【晒单】"&amp;MID(J127,SEARCH("晒单",J127)+LEN("晒单"),LEN(J127))&amp;"（需晒单后联系客服登记）",IF(ISNUMBER(SEARCH("包修",J127)),"【购机】"&amp;MID(J127,SEARCH("购机",J127)+LEN("购机"),LEN(J127)),IF(ISNUMBER(SEARCH("叠放支架",J127)),"【赠品】"&amp;MID(J127,SEARCH("购机",J127)+LEN("购机"),LEN(J127)),IF(ISNUMBER(SEARCH("秀图",J127)),"【秀图】"&amp;MID(J127,SEARCH("秀图",J127)+LEN("秀图"),LEN(J127)),"")))),IFERROR(LEFT(_xlpm.A,FIND("【",_xlpm.A,FIND("】",_xlpm.A)+1)-1)&amp;MID(_xlpm.A,FIND("】",_xlpm.A,FIND("】",_xlpm.A)+1)+1,LEN(_xlpm.A)),_xlpm.A))</f>
        <v/>
      </c>
      <c r="F127" s="18" t="str">
        <f>_xlfn.LET(_xlpm.A,IF(ISNUMBER(SEARCH("晒单",K127)),"【晒单】"&amp;MID(K127,SEARCH("晒单",K127)+LEN("晒单"),LEN(K127))&amp;"（需晒单后联系客服登记）",IF(ISNUMBER(SEARCH("包修",K127)),"【购机】"&amp;MID(K127,SEARCH("购机",K127)+LEN("购机"),LEN(K127)),IF(ISNUMBER(SEARCH("叠放支架",K127)),"【赠品】"&amp;MID(K127,SEARCH("购机",K127)+LEN("购机"),LEN(K127)),IF(ISNUMBER(SEARCH("秀图",K127)),"【秀图】"&amp;MID(K127,SEARCH("秀图",K127)+LEN("秀图"),LEN(K127)),"")))),IFERROR(LEFT(_xlpm.A,FIND("【",_xlpm.A,FIND("】",_xlpm.A)+1)-1)&amp;MID(_xlpm.A,FIND("】",_xlpm.A,FIND("】",_xlpm.A)+1)+1,LEN(_xlpm.A)),_xlpm.A))</f>
        <v/>
      </c>
      <c r="G127" s="18" t="str">
        <f>_xlfn.LET(_xlpm.A,IF(ISNUMBER(SEARCH("晒单",L127)),"【晒单】"&amp;MID(L127,SEARCH("晒单",L127)+LEN("晒单"),LEN(L127))&amp;"（需晒单后联系客服登记）",IF(ISNUMBER(SEARCH("包修",L127)),"【购机】"&amp;MID(L127,SEARCH("购机",L127)+LEN("购机"),LEN(L127)),IF(ISNUMBER(SEARCH("叠放支架",L127)),"【赠品】"&amp;MID(L127,SEARCH("购机",L127)+LEN("购机"),LEN(L127)),IF(ISNUMBER(SEARCH("秀图",L127)),"【秀图】"&amp;MID(L127,SEARCH("秀图",L127)+LEN("秀图"),LEN(L127)),"")))),IFERROR(LEFT(_xlpm.A,FIND("【",_xlpm.A,FIND("】",_xlpm.A)+1)-1)&amp;MID(_xlpm.A,FIND("】",_xlpm.A,FIND("】",_xlpm.A)+1)+1,LEN(_xlpm.A)),_xlpm.A))</f>
        <v/>
      </c>
      <c r="H127" s="18" t="str">
        <f>_xlfn.LET(_xlpm.A,IF(ISNUMBER(SEARCH("晒单",M127)),"【晒单】"&amp;MID(M127,SEARCH("晒单",M127)+LEN("晒单"),LEN(M127))&amp;"（需晒单后联系客服登记）",IF(ISNUMBER(SEARCH("包修",M127)),"【购机】"&amp;MID(M127,SEARCH("购机",M127)+LEN("购机"),LEN(M127)),IF(ISNUMBER(SEARCH("叠放支架",M127)),"【赠品】"&amp;MID(M127,SEARCH("购机",M127)+LEN("购机"),LEN(M127)),IF(ISNUMBER(SEARCH("秀图",M127)),"【秀图】"&amp;MID(M127,SEARCH("秀图",M127)+LEN("秀图"),LEN(M127)),"")))),IFERROR(LEFT(_xlpm.A,FIND("【",_xlpm.A,FIND("】",_xlpm.A)+1)-1)&amp;MID(_xlpm.A,FIND("】",_xlpm.A,FIND("】",_xlpm.A)+1)+1,LEN(_xlpm.A)),_xlpm.A))</f>
        <v/>
      </c>
      <c r="I127" s="18" t="str">
        <f>_xlfn.LET(_xlpm.A,IF(ISNUMBER(SEARCH("晒单",N127)),"【晒单】"&amp;MID(N127,SEARCH("晒单",N127)+LEN("晒单"),LEN(N127))&amp;"（需晒单后联系客服登记）",IF(ISNUMBER(SEARCH("包修",N127)),"【购机】"&amp;MID(N127,SEARCH("购机",N127)+LEN("购机"),LEN(N127)),IF(ISNUMBER(SEARCH("叠放支架",N127)),"【赠品】"&amp;MID(N127,SEARCH("购机",N127)+LEN("购机"),LEN(N127)),IF(ISNUMBER(SEARCH("秀图",N127)),"【秀图】"&amp;MID(N127,SEARCH("秀图",N127)+LEN("秀图"),LEN(N127)),"")))),IFERROR(LEFT(_xlpm.A,FIND("【",_xlpm.A,FIND("】",_xlpm.A)+1)-1)&amp;MID(_xlpm.A,FIND("】",_xlpm.A,FIND("】",_xlpm.A)+1)+1,LEN(_xlpm.A)),_xlpm.A))</f>
        <v/>
      </c>
      <c r="J127" s="18" t="str" cm="1">
        <f t="array" ref="J127">IFERROR(INDEX(_xlfn.TEXTSPLIT(_xlfn.XLOOKUP($A127&amp;$B127&amp;$C127,盘货信息!$A:$A&amp;盘货信息!$B:$B&amp;盘货信息!$C:$C,盘货信息!$S:$S),CHAR(10),,TRUE),1,COLUMN(A126)),"")</f>
        <v/>
      </c>
      <c r="K127" s="18" t="str" cm="1">
        <f t="array" ref="K127">IFERROR(INDEX(_xlfn.TEXTSPLIT(_xlfn.XLOOKUP($A127&amp;$B127&amp;$C127,盘货信息!$A:$A&amp;盘货信息!$B:$B&amp;盘货信息!$C:$C,盘货信息!$S:$S),CHAR(10),,TRUE),1,COLUMN(B126)),"")</f>
        <v/>
      </c>
      <c r="L127" s="18" t="str" cm="1">
        <f t="array" ref="L127">IFERROR(INDEX(_xlfn.TEXTSPLIT(_xlfn.XLOOKUP($A127&amp;$B127&amp;$C127,盘货信息!$A:$A&amp;盘货信息!$B:$B&amp;盘货信息!$C:$C,盘货信息!$S:$S),CHAR(10),,TRUE),1,COLUMN(C126)),"")</f>
        <v/>
      </c>
      <c r="M127" s="18" t="str" cm="1">
        <f t="array" ref="M127">IFERROR(INDEX(_xlfn.TEXTSPLIT(_xlfn.XLOOKUP($A127&amp;$B127&amp;$C127,盘货信息!$A:$A&amp;盘货信息!$B:$B&amp;盘货信息!$C:$C,盘货信息!$S:$S),CHAR(10),,TRUE),1,COLUMN(D126)),"")</f>
        <v/>
      </c>
      <c r="N127" s="18" t="str" cm="1">
        <f t="array" ref="N127">IFERROR(INDEX(_xlfn.TEXTSPLIT(_xlfn.XLOOKUP($A127&amp;$B127&amp;$C127,盘货信息!$A:$A&amp;盘货信息!$B:$B&amp;盘货信息!$C:$C,盘货信息!$S:$S),CHAR(10),,TRUE),1,COLUMN(E126)),"")</f>
        <v/>
      </c>
    </row>
    <row r="128" customHeight="1" spans="1:14">
      <c r="A128" s="17" t="str">
        <f>IF(盘货信息!A128="","",盘货信息!A128)</f>
        <v/>
      </c>
      <c r="B128" s="17" t="str">
        <f>IF(盘货信息!B128="","",盘货信息!B128)</f>
        <v/>
      </c>
      <c r="C128" s="20" t="str">
        <f>IF(盘货信息!C128="","",盘货信息!C128)</f>
        <v/>
      </c>
      <c r="D128" s="18" t="str">
        <f t="shared" si="1"/>
        <v/>
      </c>
      <c r="E128" s="18" t="str">
        <f>_xlfn.LET(_xlpm.A,IF(ISNUMBER(SEARCH("晒单",J128)),"【晒单】"&amp;MID(J128,SEARCH("晒单",J128)+LEN("晒单"),LEN(J128))&amp;"（需晒单后联系客服登记）",IF(ISNUMBER(SEARCH("包修",J128)),"【购机】"&amp;MID(J128,SEARCH("购机",J128)+LEN("购机"),LEN(J128)),IF(ISNUMBER(SEARCH("叠放支架",J128)),"【赠品】"&amp;MID(J128,SEARCH("购机",J128)+LEN("购机"),LEN(J128)),IF(ISNUMBER(SEARCH("秀图",J128)),"【秀图】"&amp;MID(J128,SEARCH("秀图",J128)+LEN("秀图"),LEN(J128)),"")))),IFERROR(LEFT(_xlpm.A,FIND("【",_xlpm.A,FIND("】",_xlpm.A)+1)-1)&amp;MID(_xlpm.A,FIND("】",_xlpm.A,FIND("】",_xlpm.A)+1)+1,LEN(_xlpm.A)),_xlpm.A))</f>
        <v/>
      </c>
      <c r="F128" s="18" t="str">
        <f>_xlfn.LET(_xlpm.A,IF(ISNUMBER(SEARCH("晒单",K128)),"【晒单】"&amp;MID(K128,SEARCH("晒单",K128)+LEN("晒单"),LEN(K128))&amp;"（需晒单后联系客服登记）",IF(ISNUMBER(SEARCH("包修",K128)),"【购机】"&amp;MID(K128,SEARCH("购机",K128)+LEN("购机"),LEN(K128)),IF(ISNUMBER(SEARCH("叠放支架",K128)),"【赠品】"&amp;MID(K128,SEARCH("购机",K128)+LEN("购机"),LEN(K128)),IF(ISNUMBER(SEARCH("秀图",K128)),"【秀图】"&amp;MID(K128,SEARCH("秀图",K128)+LEN("秀图"),LEN(K128)),"")))),IFERROR(LEFT(_xlpm.A,FIND("【",_xlpm.A,FIND("】",_xlpm.A)+1)-1)&amp;MID(_xlpm.A,FIND("】",_xlpm.A,FIND("】",_xlpm.A)+1)+1,LEN(_xlpm.A)),_xlpm.A))</f>
        <v/>
      </c>
      <c r="G128" s="18" t="str">
        <f>_xlfn.LET(_xlpm.A,IF(ISNUMBER(SEARCH("晒单",L128)),"【晒单】"&amp;MID(L128,SEARCH("晒单",L128)+LEN("晒单"),LEN(L128))&amp;"（需晒单后联系客服登记）",IF(ISNUMBER(SEARCH("包修",L128)),"【购机】"&amp;MID(L128,SEARCH("购机",L128)+LEN("购机"),LEN(L128)),IF(ISNUMBER(SEARCH("叠放支架",L128)),"【赠品】"&amp;MID(L128,SEARCH("购机",L128)+LEN("购机"),LEN(L128)),IF(ISNUMBER(SEARCH("秀图",L128)),"【秀图】"&amp;MID(L128,SEARCH("秀图",L128)+LEN("秀图"),LEN(L128)),"")))),IFERROR(LEFT(_xlpm.A,FIND("【",_xlpm.A,FIND("】",_xlpm.A)+1)-1)&amp;MID(_xlpm.A,FIND("】",_xlpm.A,FIND("】",_xlpm.A)+1)+1,LEN(_xlpm.A)),_xlpm.A))</f>
        <v/>
      </c>
      <c r="H128" s="18" t="str">
        <f>_xlfn.LET(_xlpm.A,IF(ISNUMBER(SEARCH("晒单",M128)),"【晒单】"&amp;MID(M128,SEARCH("晒单",M128)+LEN("晒单"),LEN(M128))&amp;"（需晒单后联系客服登记）",IF(ISNUMBER(SEARCH("包修",M128)),"【购机】"&amp;MID(M128,SEARCH("购机",M128)+LEN("购机"),LEN(M128)),IF(ISNUMBER(SEARCH("叠放支架",M128)),"【赠品】"&amp;MID(M128,SEARCH("购机",M128)+LEN("购机"),LEN(M128)),IF(ISNUMBER(SEARCH("秀图",M128)),"【秀图】"&amp;MID(M128,SEARCH("秀图",M128)+LEN("秀图"),LEN(M128)),"")))),IFERROR(LEFT(_xlpm.A,FIND("【",_xlpm.A,FIND("】",_xlpm.A)+1)-1)&amp;MID(_xlpm.A,FIND("】",_xlpm.A,FIND("】",_xlpm.A)+1)+1,LEN(_xlpm.A)),_xlpm.A))</f>
        <v/>
      </c>
      <c r="I128" s="18" t="str">
        <f>_xlfn.LET(_xlpm.A,IF(ISNUMBER(SEARCH("晒单",N128)),"【晒单】"&amp;MID(N128,SEARCH("晒单",N128)+LEN("晒单"),LEN(N128))&amp;"（需晒单后联系客服登记）",IF(ISNUMBER(SEARCH("包修",N128)),"【购机】"&amp;MID(N128,SEARCH("购机",N128)+LEN("购机"),LEN(N128)),IF(ISNUMBER(SEARCH("叠放支架",N128)),"【赠品】"&amp;MID(N128,SEARCH("购机",N128)+LEN("购机"),LEN(N128)),IF(ISNUMBER(SEARCH("秀图",N128)),"【秀图】"&amp;MID(N128,SEARCH("秀图",N128)+LEN("秀图"),LEN(N128)),"")))),IFERROR(LEFT(_xlpm.A,FIND("【",_xlpm.A,FIND("】",_xlpm.A)+1)-1)&amp;MID(_xlpm.A,FIND("】",_xlpm.A,FIND("】",_xlpm.A)+1)+1,LEN(_xlpm.A)),_xlpm.A))</f>
        <v/>
      </c>
      <c r="J128" s="18" t="str" cm="1">
        <f t="array" ref="J128">IFERROR(INDEX(_xlfn.TEXTSPLIT(_xlfn.XLOOKUP($A128&amp;$B128&amp;$C128,盘货信息!$A:$A&amp;盘货信息!$B:$B&amp;盘货信息!$C:$C,盘货信息!$S:$S),CHAR(10),,TRUE),1,COLUMN(A127)),"")</f>
        <v/>
      </c>
      <c r="K128" s="18" t="str" cm="1">
        <f t="array" ref="K128">IFERROR(INDEX(_xlfn.TEXTSPLIT(_xlfn.XLOOKUP($A128&amp;$B128&amp;$C128,盘货信息!$A:$A&amp;盘货信息!$B:$B&amp;盘货信息!$C:$C,盘货信息!$S:$S),CHAR(10),,TRUE),1,COLUMN(B127)),"")</f>
        <v/>
      </c>
      <c r="L128" s="18" t="str" cm="1">
        <f t="array" ref="L128">IFERROR(INDEX(_xlfn.TEXTSPLIT(_xlfn.XLOOKUP($A128&amp;$B128&amp;$C128,盘货信息!$A:$A&amp;盘货信息!$B:$B&amp;盘货信息!$C:$C,盘货信息!$S:$S),CHAR(10),,TRUE),1,COLUMN(C127)),"")</f>
        <v/>
      </c>
      <c r="M128" s="18" t="str" cm="1">
        <f t="array" ref="M128">IFERROR(INDEX(_xlfn.TEXTSPLIT(_xlfn.XLOOKUP($A128&amp;$B128&amp;$C128,盘货信息!$A:$A&amp;盘货信息!$B:$B&amp;盘货信息!$C:$C,盘货信息!$S:$S),CHAR(10),,TRUE),1,COLUMN(D127)),"")</f>
        <v/>
      </c>
      <c r="N128" s="18" t="str" cm="1">
        <f t="array" ref="N128">IFERROR(INDEX(_xlfn.TEXTSPLIT(_xlfn.XLOOKUP($A128&amp;$B128&amp;$C128,盘货信息!$A:$A&amp;盘货信息!$B:$B&amp;盘货信息!$C:$C,盘货信息!$S:$S),CHAR(10),,TRUE),1,COLUMN(E127)),"")</f>
        <v/>
      </c>
    </row>
    <row r="129" customHeight="1" spans="1:14">
      <c r="A129" s="17" t="str">
        <f>IF(盘货信息!A129="","",盘货信息!A129)</f>
        <v/>
      </c>
      <c r="B129" s="17" t="str">
        <f>IF(盘货信息!B129="","",盘货信息!B129)</f>
        <v/>
      </c>
      <c r="C129" s="20" t="str">
        <f>IF(盘货信息!C129="","",盘货信息!C129)</f>
        <v/>
      </c>
      <c r="D129" s="18" t="str">
        <f t="shared" si="1"/>
        <v/>
      </c>
      <c r="E129" s="18" t="str">
        <f>_xlfn.LET(_xlpm.A,IF(ISNUMBER(SEARCH("晒单",J129)),"【晒单】"&amp;MID(J129,SEARCH("晒单",J129)+LEN("晒单"),LEN(J129))&amp;"（需晒单后联系客服登记）",IF(ISNUMBER(SEARCH("包修",J129)),"【购机】"&amp;MID(J129,SEARCH("购机",J129)+LEN("购机"),LEN(J129)),IF(ISNUMBER(SEARCH("叠放支架",J129)),"【赠品】"&amp;MID(J129,SEARCH("购机",J129)+LEN("购机"),LEN(J129)),IF(ISNUMBER(SEARCH("秀图",J129)),"【秀图】"&amp;MID(J129,SEARCH("秀图",J129)+LEN("秀图"),LEN(J129)),"")))),IFERROR(LEFT(_xlpm.A,FIND("【",_xlpm.A,FIND("】",_xlpm.A)+1)-1)&amp;MID(_xlpm.A,FIND("】",_xlpm.A,FIND("】",_xlpm.A)+1)+1,LEN(_xlpm.A)),_xlpm.A))</f>
        <v/>
      </c>
      <c r="F129" s="18" t="str">
        <f>_xlfn.LET(_xlpm.A,IF(ISNUMBER(SEARCH("晒单",K129)),"【晒单】"&amp;MID(K129,SEARCH("晒单",K129)+LEN("晒单"),LEN(K129))&amp;"（需晒单后联系客服登记）",IF(ISNUMBER(SEARCH("包修",K129)),"【购机】"&amp;MID(K129,SEARCH("购机",K129)+LEN("购机"),LEN(K129)),IF(ISNUMBER(SEARCH("叠放支架",K129)),"【赠品】"&amp;MID(K129,SEARCH("购机",K129)+LEN("购机"),LEN(K129)),IF(ISNUMBER(SEARCH("秀图",K129)),"【秀图】"&amp;MID(K129,SEARCH("秀图",K129)+LEN("秀图"),LEN(K129)),"")))),IFERROR(LEFT(_xlpm.A,FIND("【",_xlpm.A,FIND("】",_xlpm.A)+1)-1)&amp;MID(_xlpm.A,FIND("】",_xlpm.A,FIND("】",_xlpm.A)+1)+1,LEN(_xlpm.A)),_xlpm.A))</f>
        <v/>
      </c>
      <c r="G129" s="18" t="str">
        <f>_xlfn.LET(_xlpm.A,IF(ISNUMBER(SEARCH("晒单",L129)),"【晒单】"&amp;MID(L129,SEARCH("晒单",L129)+LEN("晒单"),LEN(L129))&amp;"（需晒单后联系客服登记）",IF(ISNUMBER(SEARCH("包修",L129)),"【购机】"&amp;MID(L129,SEARCH("购机",L129)+LEN("购机"),LEN(L129)),IF(ISNUMBER(SEARCH("叠放支架",L129)),"【赠品】"&amp;MID(L129,SEARCH("购机",L129)+LEN("购机"),LEN(L129)),IF(ISNUMBER(SEARCH("秀图",L129)),"【秀图】"&amp;MID(L129,SEARCH("秀图",L129)+LEN("秀图"),LEN(L129)),"")))),IFERROR(LEFT(_xlpm.A,FIND("【",_xlpm.A,FIND("】",_xlpm.A)+1)-1)&amp;MID(_xlpm.A,FIND("】",_xlpm.A,FIND("】",_xlpm.A)+1)+1,LEN(_xlpm.A)),_xlpm.A))</f>
        <v/>
      </c>
      <c r="H129" s="18" t="str">
        <f>_xlfn.LET(_xlpm.A,IF(ISNUMBER(SEARCH("晒单",M129)),"【晒单】"&amp;MID(M129,SEARCH("晒单",M129)+LEN("晒单"),LEN(M129))&amp;"（需晒单后联系客服登记）",IF(ISNUMBER(SEARCH("包修",M129)),"【购机】"&amp;MID(M129,SEARCH("购机",M129)+LEN("购机"),LEN(M129)),IF(ISNUMBER(SEARCH("叠放支架",M129)),"【赠品】"&amp;MID(M129,SEARCH("购机",M129)+LEN("购机"),LEN(M129)),IF(ISNUMBER(SEARCH("秀图",M129)),"【秀图】"&amp;MID(M129,SEARCH("秀图",M129)+LEN("秀图"),LEN(M129)),"")))),IFERROR(LEFT(_xlpm.A,FIND("【",_xlpm.A,FIND("】",_xlpm.A)+1)-1)&amp;MID(_xlpm.A,FIND("】",_xlpm.A,FIND("】",_xlpm.A)+1)+1,LEN(_xlpm.A)),_xlpm.A))</f>
        <v/>
      </c>
      <c r="I129" s="18" t="str">
        <f>_xlfn.LET(_xlpm.A,IF(ISNUMBER(SEARCH("晒单",N129)),"【晒单】"&amp;MID(N129,SEARCH("晒单",N129)+LEN("晒单"),LEN(N129))&amp;"（需晒单后联系客服登记）",IF(ISNUMBER(SEARCH("包修",N129)),"【购机】"&amp;MID(N129,SEARCH("购机",N129)+LEN("购机"),LEN(N129)),IF(ISNUMBER(SEARCH("叠放支架",N129)),"【赠品】"&amp;MID(N129,SEARCH("购机",N129)+LEN("购机"),LEN(N129)),IF(ISNUMBER(SEARCH("秀图",N129)),"【秀图】"&amp;MID(N129,SEARCH("秀图",N129)+LEN("秀图"),LEN(N129)),"")))),IFERROR(LEFT(_xlpm.A,FIND("【",_xlpm.A,FIND("】",_xlpm.A)+1)-1)&amp;MID(_xlpm.A,FIND("】",_xlpm.A,FIND("】",_xlpm.A)+1)+1,LEN(_xlpm.A)),_xlpm.A))</f>
        <v/>
      </c>
      <c r="J129" s="18" t="str" cm="1">
        <f t="array" ref="J129">IFERROR(INDEX(_xlfn.TEXTSPLIT(_xlfn.XLOOKUP($A129&amp;$B129&amp;$C129,盘货信息!$A:$A&amp;盘货信息!$B:$B&amp;盘货信息!$C:$C,盘货信息!$S:$S),CHAR(10),,TRUE),1,COLUMN(A128)),"")</f>
        <v/>
      </c>
      <c r="K129" s="18" t="str" cm="1">
        <f t="array" ref="K129">IFERROR(INDEX(_xlfn.TEXTSPLIT(_xlfn.XLOOKUP($A129&amp;$B129&amp;$C129,盘货信息!$A:$A&amp;盘货信息!$B:$B&amp;盘货信息!$C:$C,盘货信息!$S:$S),CHAR(10),,TRUE),1,COLUMN(B128)),"")</f>
        <v/>
      </c>
      <c r="L129" s="18" t="str" cm="1">
        <f t="array" ref="L129">IFERROR(INDEX(_xlfn.TEXTSPLIT(_xlfn.XLOOKUP($A129&amp;$B129&amp;$C129,盘货信息!$A:$A&amp;盘货信息!$B:$B&amp;盘货信息!$C:$C,盘货信息!$S:$S),CHAR(10),,TRUE),1,COLUMN(C128)),"")</f>
        <v/>
      </c>
      <c r="M129" s="18" t="str" cm="1">
        <f t="array" ref="M129">IFERROR(INDEX(_xlfn.TEXTSPLIT(_xlfn.XLOOKUP($A129&amp;$B129&amp;$C129,盘货信息!$A:$A&amp;盘货信息!$B:$B&amp;盘货信息!$C:$C,盘货信息!$S:$S),CHAR(10),,TRUE),1,COLUMN(D128)),"")</f>
        <v/>
      </c>
      <c r="N129" s="18" t="str" cm="1">
        <f t="array" ref="N129">IFERROR(INDEX(_xlfn.TEXTSPLIT(_xlfn.XLOOKUP($A129&amp;$B129&amp;$C129,盘货信息!$A:$A&amp;盘货信息!$B:$B&amp;盘货信息!$C:$C,盘货信息!$S:$S),CHAR(10),,TRUE),1,COLUMN(E128)),"")</f>
        <v/>
      </c>
    </row>
    <row r="130" customHeight="1" spans="1:14">
      <c r="A130" s="17" t="str">
        <f>IF(盘货信息!A130="","",盘货信息!A130)</f>
        <v/>
      </c>
      <c r="B130" s="17" t="str">
        <f>IF(盘货信息!B130="","",盘货信息!B130)</f>
        <v/>
      </c>
      <c r="C130" s="20" t="str">
        <f>IF(盘货信息!C130="","",盘货信息!C130)</f>
        <v/>
      </c>
      <c r="D130" s="18" t="str">
        <f t="shared" ref="D130:D193" si="2">_xlfn.TEXTJOIN(CHAR(10),TRUE,E130:I130)</f>
        <v/>
      </c>
      <c r="E130" s="18" t="str">
        <f>_xlfn.LET(_xlpm.A,IF(ISNUMBER(SEARCH("晒单",J130)),"【晒单】"&amp;MID(J130,SEARCH("晒单",J130)+LEN("晒单"),LEN(J130))&amp;"（需晒单后联系客服登记）",IF(ISNUMBER(SEARCH("包修",J130)),"【购机】"&amp;MID(J130,SEARCH("购机",J130)+LEN("购机"),LEN(J130)),IF(ISNUMBER(SEARCH("叠放支架",J130)),"【赠品】"&amp;MID(J130,SEARCH("购机",J130)+LEN("购机"),LEN(J130)),IF(ISNUMBER(SEARCH("秀图",J130)),"【秀图】"&amp;MID(J130,SEARCH("秀图",J130)+LEN("秀图"),LEN(J130)),"")))),IFERROR(LEFT(_xlpm.A,FIND("【",_xlpm.A,FIND("】",_xlpm.A)+1)-1)&amp;MID(_xlpm.A,FIND("】",_xlpm.A,FIND("】",_xlpm.A)+1)+1,LEN(_xlpm.A)),_xlpm.A))</f>
        <v/>
      </c>
      <c r="F130" s="18" t="str">
        <f>_xlfn.LET(_xlpm.A,IF(ISNUMBER(SEARCH("晒单",K130)),"【晒单】"&amp;MID(K130,SEARCH("晒单",K130)+LEN("晒单"),LEN(K130))&amp;"（需晒单后联系客服登记）",IF(ISNUMBER(SEARCH("包修",K130)),"【购机】"&amp;MID(K130,SEARCH("购机",K130)+LEN("购机"),LEN(K130)),IF(ISNUMBER(SEARCH("叠放支架",K130)),"【赠品】"&amp;MID(K130,SEARCH("购机",K130)+LEN("购机"),LEN(K130)),IF(ISNUMBER(SEARCH("秀图",K130)),"【秀图】"&amp;MID(K130,SEARCH("秀图",K130)+LEN("秀图"),LEN(K130)),"")))),IFERROR(LEFT(_xlpm.A,FIND("【",_xlpm.A,FIND("】",_xlpm.A)+1)-1)&amp;MID(_xlpm.A,FIND("】",_xlpm.A,FIND("】",_xlpm.A)+1)+1,LEN(_xlpm.A)),_xlpm.A))</f>
        <v/>
      </c>
      <c r="G130" s="18" t="str">
        <f>_xlfn.LET(_xlpm.A,IF(ISNUMBER(SEARCH("晒单",L130)),"【晒单】"&amp;MID(L130,SEARCH("晒单",L130)+LEN("晒单"),LEN(L130))&amp;"（需晒单后联系客服登记）",IF(ISNUMBER(SEARCH("包修",L130)),"【购机】"&amp;MID(L130,SEARCH("购机",L130)+LEN("购机"),LEN(L130)),IF(ISNUMBER(SEARCH("叠放支架",L130)),"【赠品】"&amp;MID(L130,SEARCH("购机",L130)+LEN("购机"),LEN(L130)),IF(ISNUMBER(SEARCH("秀图",L130)),"【秀图】"&amp;MID(L130,SEARCH("秀图",L130)+LEN("秀图"),LEN(L130)),"")))),IFERROR(LEFT(_xlpm.A,FIND("【",_xlpm.A,FIND("】",_xlpm.A)+1)-1)&amp;MID(_xlpm.A,FIND("】",_xlpm.A,FIND("】",_xlpm.A)+1)+1,LEN(_xlpm.A)),_xlpm.A))</f>
        <v/>
      </c>
      <c r="H130" s="18" t="str">
        <f>_xlfn.LET(_xlpm.A,IF(ISNUMBER(SEARCH("晒单",M130)),"【晒单】"&amp;MID(M130,SEARCH("晒单",M130)+LEN("晒单"),LEN(M130))&amp;"（需晒单后联系客服登记）",IF(ISNUMBER(SEARCH("包修",M130)),"【购机】"&amp;MID(M130,SEARCH("购机",M130)+LEN("购机"),LEN(M130)),IF(ISNUMBER(SEARCH("叠放支架",M130)),"【赠品】"&amp;MID(M130,SEARCH("购机",M130)+LEN("购机"),LEN(M130)),IF(ISNUMBER(SEARCH("秀图",M130)),"【秀图】"&amp;MID(M130,SEARCH("秀图",M130)+LEN("秀图"),LEN(M130)),"")))),IFERROR(LEFT(_xlpm.A,FIND("【",_xlpm.A,FIND("】",_xlpm.A)+1)-1)&amp;MID(_xlpm.A,FIND("】",_xlpm.A,FIND("】",_xlpm.A)+1)+1,LEN(_xlpm.A)),_xlpm.A))</f>
        <v/>
      </c>
      <c r="I130" s="18" t="str">
        <f>_xlfn.LET(_xlpm.A,IF(ISNUMBER(SEARCH("晒单",N130)),"【晒单】"&amp;MID(N130,SEARCH("晒单",N130)+LEN("晒单"),LEN(N130))&amp;"（需晒单后联系客服登记）",IF(ISNUMBER(SEARCH("包修",N130)),"【购机】"&amp;MID(N130,SEARCH("购机",N130)+LEN("购机"),LEN(N130)),IF(ISNUMBER(SEARCH("叠放支架",N130)),"【赠品】"&amp;MID(N130,SEARCH("购机",N130)+LEN("购机"),LEN(N130)),IF(ISNUMBER(SEARCH("秀图",N130)),"【秀图】"&amp;MID(N130,SEARCH("秀图",N130)+LEN("秀图"),LEN(N130)),"")))),IFERROR(LEFT(_xlpm.A,FIND("【",_xlpm.A,FIND("】",_xlpm.A)+1)-1)&amp;MID(_xlpm.A,FIND("】",_xlpm.A,FIND("】",_xlpm.A)+1)+1,LEN(_xlpm.A)),_xlpm.A))</f>
        <v/>
      </c>
      <c r="J130" s="18" t="str" cm="1">
        <f t="array" ref="J130">IFERROR(INDEX(_xlfn.TEXTSPLIT(_xlfn.XLOOKUP($A130&amp;$B130&amp;$C130,盘货信息!$A:$A&amp;盘货信息!$B:$B&amp;盘货信息!$C:$C,盘货信息!$S:$S),CHAR(10),,TRUE),1,COLUMN(A129)),"")</f>
        <v/>
      </c>
      <c r="K130" s="18" t="str" cm="1">
        <f t="array" ref="K130">IFERROR(INDEX(_xlfn.TEXTSPLIT(_xlfn.XLOOKUP($A130&amp;$B130&amp;$C130,盘货信息!$A:$A&amp;盘货信息!$B:$B&amp;盘货信息!$C:$C,盘货信息!$S:$S),CHAR(10),,TRUE),1,COLUMN(B129)),"")</f>
        <v/>
      </c>
      <c r="L130" s="18" t="str" cm="1">
        <f t="array" ref="L130">IFERROR(INDEX(_xlfn.TEXTSPLIT(_xlfn.XLOOKUP($A130&amp;$B130&amp;$C130,盘货信息!$A:$A&amp;盘货信息!$B:$B&amp;盘货信息!$C:$C,盘货信息!$S:$S),CHAR(10),,TRUE),1,COLUMN(C129)),"")</f>
        <v/>
      </c>
      <c r="M130" s="18" t="str" cm="1">
        <f t="array" ref="M130">IFERROR(INDEX(_xlfn.TEXTSPLIT(_xlfn.XLOOKUP($A130&amp;$B130&amp;$C130,盘货信息!$A:$A&amp;盘货信息!$B:$B&amp;盘货信息!$C:$C,盘货信息!$S:$S),CHAR(10),,TRUE),1,COLUMN(D129)),"")</f>
        <v/>
      </c>
      <c r="N130" s="18" t="str" cm="1">
        <f t="array" ref="N130">IFERROR(INDEX(_xlfn.TEXTSPLIT(_xlfn.XLOOKUP($A130&amp;$B130&amp;$C130,盘货信息!$A:$A&amp;盘货信息!$B:$B&amp;盘货信息!$C:$C,盘货信息!$S:$S),CHAR(10),,TRUE),1,COLUMN(E129)),"")</f>
        <v/>
      </c>
    </row>
    <row r="131" customHeight="1" spans="1:14">
      <c r="A131" s="17" t="str">
        <f>IF(盘货信息!A131="","",盘货信息!A131)</f>
        <v/>
      </c>
      <c r="B131" s="17" t="str">
        <f>IF(盘货信息!B131="","",盘货信息!B131)</f>
        <v/>
      </c>
      <c r="C131" s="20" t="str">
        <f>IF(盘货信息!C131="","",盘货信息!C131)</f>
        <v/>
      </c>
      <c r="D131" s="18" t="str">
        <f t="shared" si="2"/>
        <v/>
      </c>
      <c r="E131" s="18" t="str">
        <f>_xlfn.LET(_xlpm.A,IF(ISNUMBER(SEARCH("晒单",J131)),"【晒单】"&amp;MID(J131,SEARCH("晒单",J131)+LEN("晒单"),LEN(J131))&amp;"（需晒单后联系客服登记）",IF(ISNUMBER(SEARCH("包修",J131)),"【购机】"&amp;MID(J131,SEARCH("购机",J131)+LEN("购机"),LEN(J131)),IF(ISNUMBER(SEARCH("叠放支架",J131)),"【赠品】"&amp;MID(J131,SEARCH("购机",J131)+LEN("购机"),LEN(J131)),IF(ISNUMBER(SEARCH("秀图",J131)),"【秀图】"&amp;MID(J131,SEARCH("秀图",J131)+LEN("秀图"),LEN(J131)),"")))),IFERROR(LEFT(_xlpm.A,FIND("【",_xlpm.A,FIND("】",_xlpm.A)+1)-1)&amp;MID(_xlpm.A,FIND("】",_xlpm.A,FIND("】",_xlpm.A)+1)+1,LEN(_xlpm.A)),_xlpm.A))</f>
        <v/>
      </c>
      <c r="F131" s="18" t="str">
        <f>_xlfn.LET(_xlpm.A,IF(ISNUMBER(SEARCH("晒单",K131)),"【晒单】"&amp;MID(K131,SEARCH("晒单",K131)+LEN("晒单"),LEN(K131))&amp;"（需晒单后联系客服登记）",IF(ISNUMBER(SEARCH("包修",K131)),"【购机】"&amp;MID(K131,SEARCH("购机",K131)+LEN("购机"),LEN(K131)),IF(ISNUMBER(SEARCH("叠放支架",K131)),"【赠品】"&amp;MID(K131,SEARCH("购机",K131)+LEN("购机"),LEN(K131)),IF(ISNUMBER(SEARCH("秀图",K131)),"【秀图】"&amp;MID(K131,SEARCH("秀图",K131)+LEN("秀图"),LEN(K131)),"")))),IFERROR(LEFT(_xlpm.A,FIND("【",_xlpm.A,FIND("】",_xlpm.A)+1)-1)&amp;MID(_xlpm.A,FIND("】",_xlpm.A,FIND("】",_xlpm.A)+1)+1,LEN(_xlpm.A)),_xlpm.A))</f>
        <v/>
      </c>
      <c r="G131" s="18" t="str">
        <f>_xlfn.LET(_xlpm.A,IF(ISNUMBER(SEARCH("晒单",L131)),"【晒单】"&amp;MID(L131,SEARCH("晒单",L131)+LEN("晒单"),LEN(L131))&amp;"（需晒单后联系客服登记）",IF(ISNUMBER(SEARCH("包修",L131)),"【购机】"&amp;MID(L131,SEARCH("购机",L131)+LEN("购机"),LEN(L131)),IF(ISNUMBER(SEARCH("叠放支架",L131)),"【赠品】"&amp;MID(L131,SEARCH("购机",L131)+LEN("购机"),LEN(L131)),IF(ISNUMBER(SEARCH("秀图",L131)),"【秀图】"&amp;MID(L131,SEARCH("秀图",L131)+LEN("秀图"),LEN(L131)),"")))),IFERROR(LEFT(_xlpm.A,FIND("【",_xlpm.A,FIND("】",_xlpm.A)+1)-1)&amp;MID(_xlpm.A,FIND("】",_xlpm.A,FIND("】",_xlpm.A)+1)+1,LEN(_xlpm.A)),_xlpm.A))</f>
        <v/>
      </c>
      <c r="H131" s="18" t="str">
        <f>_xlfn.LET(_xlpm.A,IF(ISNUMBER(SEARCH("晒单",M131)),"【晒单】"&amp;MID(M131,SEARCH("晒单",M131)+LEN("晒单"),LEN(M131))&amp;"（需晒单后联系客服登记）",IF(ISNUMBER(SEARCH("包修",M131)),"【购机】"&amp;MID(M131,SEARCH("购机",M131)+LEN("购机"),LEN(M131)),IF(ISNUMBER(SEARCH("叠放支架",M131)),"【赠品】"&amp;MID(M131,SEARCH("购机",M131)+LEN("购机"),LEN(M131)),IF(ISNUMBER(SEARCH("秀图",M131)),"【秀图】"&amp;MID(M131,SEARCH("秀图",M131)+LEN("秀图"),LEN(M131)),"")))),IFERROR(LEFT(_xlpm.A,FIND("【",_xlpm.A,FIND("】",_xlpm.A)+1)-1)&amp;MID(_xlpm.A,FIND("】",_xlpm.A,FIND("】",_xlpm.A)+1)+1,LEN(_xlpm.A)),_xlpm.A))</f>
        <v/>
      </c>
      <c r="I131" s="18" t="str">
        <f>_xlfn.LET(_xlpm.A,IF(ISNUMBER(SEARCH("晒单",N131)),"【晒单】"&amp;MID(N131,SEARCH("晒单",N131)+LEN("晒单"),LEN(N131))&amp;"（需晒单后联系客服登记）",IF(ISNUMBER(SEARCH("包修",N131)),"【购机】"&amp;MID(N131,SEARCH("购机",N131)+LEN("购机"),LEN(N131)),IF(ISNUMBER(SEARCH("叠放支架",N131)),"【赠品】"&amp;MID(N131,SEARCH("购机",N131)+LEN("购机"),LEN(N131)),IF(ISNUMBER(SEARCH("秀图",N131)),"【秀图】"&amp;MID(N131,SEARCH("秀图",N131)+LEN("秀图"),LEN(N131)),"")))),IFERROR(LEFT(_xlpm.A,FIND("【",_xlpm.A,FIND("】",_xlpm.A)+1)-1)&amp;MID(_xlpm.A,FIND("】",_xlpm.A,FIND("】",_xlpm.A)+1)+1,LEN(_xlpm.A)),_xlpm.A))</f>
        <v/>
      </c>
      <c r="J131" s="18" t="str" cm="1">
        <f t="array" ref="J131">IFERROR(INDEX(_xlfn.TEXTSPLIT(_xlfn.XLOOKUP($A131&amp;$B131&amp;$C131,盘货信息!$A:$A&amp;盘货信息!$B:$B&amp;盘货信息!$C:$C,盘货信息!$S:$S),CHAR(10),,TRUE),1,COLUMN(A130)),"")</f>
        <v/>
      </c>
      <c r="K131" s="18" t="str" cm="1">
        <f t="array" ref="K131">IFERROR(INDEX(_xlfn.TEXTSPLIT(_xlfn.XLOOKUP($A131&amp;$B131&amp;$C131,盘货信息!$A:$A&amp;盘货信息!$B:$B&amp;盘货信息!$C:$C,盘货信息!$S:$S),CHAR(10),,TRUE),1,COLUMN(B130)),"")</f>
        <v/>
      </c>
      <c r="L131" s="18" t="str" cm="1">
        <f t="array" ref="L131">IFERROR(INDEX(_xlfn.TEXTSPLIT(_xlfn.XLOOKUP($A131&amp;$B131&amp;$C131,盘货信息!$A:$A&amp;盘货信息!$B:$B&amp;盘货信息!$C:$C,盘货信息!$S:$S),CHAR(10),,TRUE),1,COLUMN(C130)),"")</f>
        <v/>
      </c>
      <c r="M131" s="18" t="str" cm="1">
        <f t="array" ref="M131">IFERROR(INDEX(_xlfn.TEXTSPLIT(_xlfn.XLOOKUP($A131&amp;$B131&amp;$C131,盘货信息!$A:$A&amp;盘货信息!$B:$B&amp;盘货信息!$C:$C,盘货信息!$S:$S),CHAR(10),,TRUE),1,COLUMN(D130)),"")</f>
        <v/>
      </c>
      <c r="N131" s="18" t="str" cm="1">
        <f t="array" ref="N131">IFERROR(INDEX(_xlfn.TEXTSPLIT(_xlfn.XLOOKUP($A131&amp;$B131&amp;$C131,盘货信息!$A:$A&amp;盘货信息!$B:$B&amp;盘货信息!$C:$C,盘货信息!$S:$S),CHAR(10),,TRUE),1,COLUMN(E130)),"")</f>
        <v/>
      </c>
    </row>
    <row r="132" customHeight="1" spans="1:14">
      <c r="A132" s="17" t="str">
        <f>IF(盘货信息!A132="","",盘货信息!A132)</f>
        <v/>
      </c>
      <c r="B132" s="17" t="str">
        <f>IF(盘货信息!B132="","",盘货信息!B132)</f>
        <v/>
      </c>
      <c r="C132" s="20" t="str">
        <f>IF(盘货信息!C132="","",盘货信息!C132)</f>
        <v/>
      </c>
      <c r="D132" s="18" t="str">
        <f t="shared" si="2"/>
        <v/>
      </c>
      <c r="E132" s="18" t="str">
        <f>_xlfn.LET(_xlpm.A,IF(ISNUMBER(SEARCH("晒单",J132)),"【晒单】"&amp;MID(J132,SEARCH("晒单",J132)+LEN("晒单"),LEN(J132))&amp;"（需晒单后联系客服登记）",IF(ISNUMBER(SEARCH("包修",J132)),"【购机】"&amp;MID(J132,SEARCH("购机",J132)+LEN("购机"),LEN(J132)),IF(ISNUMBER(SEARCH("叠放支架",J132)),"【赠品】"&amp;MID(J132,SEARCH("购机",J132)+LEN("购机"),LEN(J132)),IF(ISNUMBER(SEARCH("秀图",J132)),"【秀图】"&amp;MID(J132,SEARCH("秀图",J132)+LEN("秀图"),LEN(J132)),"")))),IFERROR(LEFT(_xlpm.A,FIND("【",_xlpm.A,FIND("】",_xlpm.A)+1)-1)&amp;MID(_xlpm.A,FIND("】",_xlpm.A,FIND("】",_xlpm.A)+1)+1,LEN(_xlpm.A)),_xlpm.A))</f>
        <v/>
      </c>
      <c r="F132" s="18" t="str">
        <f>_xlfn.LET(_xlpm.A,IF(ISNUMBER(SEARCH("晒单",K132)),"【晒单】"&amp;MID(K132,SEARCH("晒单",K132)+LEN("晒单"),LEN(K132))&amp;"（需晒单后联系客服登记）",IF(ISNUMBER(SEARCH("包修",K132)),"【购机】"&amp;MID(K132,SEARCH("购机",K132)+LEN("购机"),LEN(K132)),IF(ISNUMBER(SEARCH("叠放支架",K132)),"【赠品】"&amp;MID(K132,SEARCH("购机",K132)+LEN("购机"),LEN(K132)),IF(ISNUMBER(SEARCH("秀图",K132)),"【秀图】"&amp;MID(K132,SEARCH("秀图",K132)+LEN("秀图"),LEN(K132)),"")))),IFERROR(LEFT(_xlpm.A,FIND("【",_xlpm.A,FIND("】",_xlpm.A)+1)-1)&amp;MID(_xlpm.A,FIND("】",_xlpm.A,FIND("】",_xlpm.A)+1)+1,LEN(_xlpm.A)),_xlpm.A))</f>
        <v/>
      </c>
      <c r="G132" s="18" t="str">
        <f>_xlfn.LET(_xlpm.A,IF(ISNUMBER(SEARCH("晒单",L132)),"【晒单】"&amp;MID(L132,SEARCH("晒单",L132)+LEN("晒单"),LEN(L132))&amp;"（需晒单后联系客服登记）",IF(ISNUMBER(SEARCH("包修",L132)),"【购机】"&amp;MID(L132,SEARCH("购机",L132)+LEN("购机"),LEN(L132)),IF(ISNUMBER(SEARCH("叠放支架",L132)),"【赠品】"&amp;MID(L132,SEARCH("购机",L132)+LEN("购机"),LEN(L132)),IF(ISNUMBER(SEARCH("秀图",L132)),"【秀图】"&amp;MID(L132,SEARCH("秀图",L132)+LEN("秀图"),LEN(L132)),"")))),IFERROR(LEFT(_xlpm.A,FIND("【",_xlpm.A,FIND("】",_xlpm.A)+1)-1)&amp;MID(_xlpm.A,FIND("】",_xlpm.A,FIND("】",_xlpm.A)+1)+1,LEN(_xlpm.A)),_xlpm.A))</f>
        <v/>
      </c>
      <c r="H132" s="18" t="str">
        <f>_xlfn.LET(_xlpm.A,IF(ISNUMBER(SEARCH("晒单",M132)),"【晒单】"&amp;MID(M132,SEARCH("晒单",M132)+LEN("晒单"),LEN(M132))&amp;"（需晒单后联系客服登记）",IF(ISNUMBER(SEARCH("包修",M132)),"【购机】"&amp;MID(M132,SEARCH("购机",M132)+LEN("购机"),LEN(M132)),IF(ISNUMBER(SEARCH("叠放支架",M132)),"【赠品】"&amp;MID(M132,SEARCH("购机",M132)+LEN("购机"),LEN(M132)),IF(ISNUMBER(SEARCH("秀图",M132)),"【秀图】"&amp;MID(M132,SEARCH("秀图",M132)+LEN("秀图"),LEN(M132)),"")))),IFERROR(LEFT(_xlpm.A,FIND("【",_xlpm.A,FIND("】",_xlpm.A)+1)-1)&amp;MID(_xlpm.A,FIND("】",_xlpm.A,FIND("】",_xlpm.A)+1)+1,LEN(_xlpm.A)),_xlpm.A))</f>
        <v/>
      </c>
      <c r="I132" s="18" t="str">
        <f>_xlfn.LET(_xlpm.A,IF(ISNUMBER(SEARCH("晒单",N132)),"【晒单】"&amp;MID(N132,SEARCH("晒单",N132)+LEN("晒单"),LEN(N132))&amp;"（需晒单后联系客服登记）",IF(ISNUMBER(SEARCH("包修",N132)),"【购机】"&amp;MID(N132,SEARCH("购机",N132)+LEN("购机"),LEN(N132)),IF(ISNUMBER(SEARCH("叠放支架",N132)),"【赠品】"&amp;MID(N132,SEARCH("购机",N132)+LEN("购机"),LEN(N132)),IF(ISNUMBER(SEARCH("秀图",N132)),"【秀图】"&amp;MID(N132,SEARCH("秀图",N132)+LEN("秀图"),LEN(N132)),"")))),IFERROR(LEFT(_xlpm.A,FIND("【",_xlpm.A,FIND("】",_xlpm.A)+1)-1)&amp;MID(_xlpm.A,FIND("】",_xlpm.A,FIND("】",_xlpm.A)+1)+1,LEN(_xlpm.A)),_xlpm.A))</f>
        <v/>
      </c>
      <c r="J132" s="18" t="str" cm="1">
        <f t="array" ref="J132">IFERROR(INDEX(_xlfn.TEXTSPLIT(_xlfn.XLOOKUP($A132&amp;$B132&amp;$C132,盘货信息!$A:$A&amp;盘货信息!$B:$B&amp;盘货信息!$C:$C,盘货信息!$S:$S),CHAR(10),,TRUE),1,COLUMN(A131)),"")</f>
        <v/>
      </c>
      <c r="K132" s="18" t="str" cm="1">
        <f t="array" ref="K132">IFERROR(INDEX(_xlfn.TEXTSPLIT(_xlfn.XLOOKUP($A132&amp;$B132&amp;$C132,盘货信息!$A:$A&amp;盘货信息!$B:$B&amp;盘货信息!$C:$C,盘货信息!$S:$S),CHAR(10),,TRUE),1,COLUMN(B131)),"")</f>
        <v/>
      </c>
      <c r="L132" s="18" t="str" cm="1">
        <f t="array" ref="L132">IFERROR(INDEX(_xlfn.TEXTSPLIT(_xlfn.XLOOKUP($A132&amp;$B132&amp;$C132,盘货信息!$A:$A&amp;盘货信息!$B:$B&amp;盘货信息!$C:$C,盘货信息!$S:$S),CHAR(10),,TRUE),1,COLUMN(C131)),"")</f>
        <v/>
      </c>
      <c r="M132" s="18" t="str" cm="1">
        <f t="array" ref="M132">IFERROR(INDEX(_xlfn.TEXTSPLIT(_xlfn.XLOOKUP($A132&amp;$B132&amp;$C132,盘货信息!$A:$A&amp;盘货信息!$B:$B&amp;盘货信息!$C:$C,盘货信息!$S:$S),CHAR(10),,TRUE),1,COLUMN(D131)),"")</f>
        <v/>
      </c>
      <c r="N132" s="18" t="str" cm="1">
        <f t="array" ref="N132">IFERROR(INDEX(_xlfn.TEXTSPLIT(_xlfn.XLOOKUP($A132&amp;$B132&amp;$C132,盘货信息!$A:$A&amp;盘货信息!$B:$B&amp;盘货信息!$C:$C,盘货信息!$S:$S),CHAR(10),,TRUE),1,COLUMN(E131)),"")</f>
        <v/>
      </c>
    </row>
    <row r="133" customHeight="1" spans="1:14">
      <c r="A133" s="17" t="str">
        <f>IF(盘货信息!A133="","",盘货信息!A133)</f>
        <v/>
      </c>
      <c r="B133" s="17" t="str">
        <f>IF(盘货信息!B133="","",盘货信息!B133)</f>
        <v/>
      </c>
      <c r="C133" s="20" t="str">
        <f>IF(盘货信息!C133="","",盘货信息!C133)</f>
        <v/>
      </c>
      <c r="D133" s="18" t="str">
        <f t="shared" si="2"/>
        <v/>
      </c>
      <c r="E133" s="18" t="str">
        <f>_xlfn.LET(_xlpm.A,IF(ISNUMBER(SEARCH("晒单",J133)),"【晒单】"&amp;MID(J133,SEARCH("晒单",J133)+LEN("晒单"),LEN(J133))&amp;"（需晒单后联系客服登记）",IF(ISNUMBER(SEARCH("包修",J133)),"【购机】"&amp;MID(J133,SEARCH("购机",J133)+LEN("购机"),LEN(J133)),IF(ISNUMBER(SEARCH("叠放支架",J133)),"【赠品】"&amp;MID(J133,SEARCH("购机",J133)+LEN("购机"),LEN(J133)),IF(ISNUMBER(SEARCH("秀图",J133)),"【秀图】"&amp;MID(J133,SEARCH("秀图",J133)+LEN("秀图"),LEN(J133)),"")))),IFERROR(LEFT(_xlpm.A,FIND("【",_xlpm.A,FIND("】",_xlpm.A)+1)-1)&amp;MID(_xlpm.A,FIND("】",_xlpm.A,FIND("】",_xlpm.A)+1)+1,LEN(_xlpm.A)),_xlpm.A))</f>
        <v/>
      </c>
      <c r="F133" s="18" t="str">
        <f>_xlfn.LET(_xlpm.A,IF(ISNUMBER(SEARCH("晒单",K133)),"【晒单】"&amp;MID(K133,SEARCH("晒单",K133)+LEN("晒单"),LEN(K133))&amp;"（需晒单后联系客服登记）",IF(ISNUMBER(SEARCH("包修",K133)),"【购机】"&amp;MID(K133,SEARCH("购机",K133)+LEN("购机"),LEN(K133)),IF(ISNUMBER(SEARCH("叠放支架",K133)),"【赠品】"&amp;MID(K133,SEARCH("购机",K133)+LEN("购机"),LEN(K133)),IF(ISNUMBER(SEARCH("秀图",K133)),"【秀图】"&amp;MID(K133,SEARCH("秀图",K133)+LEN("秀图"),LEN(K133)),"")))),IFERROR(LEFT(_xlpm.A,FIND("【",_xlpm.A,FIND("】",_xlpm.A)+1)-1)&amp;MID(_xlpm.A,FIND("】",_xlpm.A,FIND("】",_xlpm.A)+1)+1,LEN(_xlpm.A)),_xlpm.A))</f>
        <v/>
      </c>
      <c r="G133" s="18" t="str">
        <f>_xlfn.LET(_xlpm.A,IF(ISNUMBER(SEARCH("晒单",L133)),"【晒单】"&amp;MID(L133,SEARCH("晒单",L133)+LEN("晒单"),LEN(L133))&amp;"（需晒单后联系客服登记）",IF(ISNUMBER(SEARCH("包修",L133)),"【购机】"&amp;MID(L133,SEARCH("购机",L133)+LEN("购机"),LEN(L133)),IF(ISNUMBER(SEARCH("叠放支架",L133)),"【赠品】"&amp;MID(L133,SEARCH("购机",L133)+LEN("购机"),LEN(L133)),IF(ISNUMBER(SEARCH("秀图",L133)),"【秀图】"&amp;MID(L133,SEARCH("秀图",L133)+LEN("秀图"),LEN(L133)),"")))),IFERROR(LEFT(_xlpm.A,FIND("【",_xlpm.A,FIND("】",_xlpm.A)+1)-1)&amp;MID(_xlpm.A,FIND("】",_xlpm.A,FIND("】",_xlpm.A)+1)+1,LEN(_xlpm.A)),_xlpm.A))</f>
        <v/>
      </c>
      <c r="H133" s="18" t="str">
        <f>_xlfn.LET(_xlpm.A,IF(ISNUMBER(SEARCH("晒单",M133)),"【晒单】"&amp;MID(M133,SEARCH("晒单",M133)+LEN("晒单"),LEN(M133))&amp;"（需晒单后联系客服登记）",IF(ISNUMBER(SEARCH("包修",M133)),"【购机】"&amp;MID(M133,SEARCH("购机",M133)+LEN("购机"),LEN(M133)),IF(ISNUMBER(SEARCH("叠放支架",M133)),"【赠品】"&amp;MID(M133,SEARCH("购机",M133)+LEN("购机"),LEN(M133)),IF(ISNUMBER(SEARCH("秀图",M133)),"【秀图】"&amp;MID(M133,SEARCH("秀图",M133)+LEN("秀图"),LEN(M133)),"")))),IFERROR(LEFT(_xlpm.A,FIND("【",_xlpm.A,FIND("】",_xlpm.A)+1)-1)&amp;MID(_xlpm.A,FIND("】",_xlpm.A,FIND("】",_xlpm.A)+1)+1,LEN(_xlpm.A)),_xlpm.A))</f>
        <v/>
      </c>
      <c r="I133" s="18" t="str">
        <f>_xlfn.LET(_xlpm.A,IF(ISNUMBER(SEARCH("晒单",N133)),"【晒单】"&amp;MID(N133,SEARCH("晒单",N133)+LEN("晒单"),LEN(N133))&amp;"（需晒单后联系客服登记）",IF(ISNUMBER(SEARCH("包修",N133)),"【购机】"&amp;MID(N133,SEARCH("购机",N133)+LEN("购机"),LEN(N133)),IF(ISNUMBER(SEARCH("叠放支架",N133)),"【赠品】"&amp;MID(N133,SEARCH("购机",N133)+LEN("购机"),LEN(N133)),IF(ISNUMBER(SEARCH("秀图",N133)),"【秀图】"&amp;MID(N133,SEARCH("秀图",N133)+LEN("秀图"),LEN(N133)),"")))),IFERROR(LEFT(_xlpm.A,FIND("【",_xlpm.A,FIND("】",_xlpm.A)+1)-1)&amp;MID(_xlpm.A,FIND("】",_xlpm.A,FIND("】",_xlpm.A)+1)+1,LEN(_xlpm.A)),_xlpm.A))</f>
        <v/>
      </c>
      <c r="J133" s="18" t="str" cm="1">
        <f t="array" ref="J133">IFERROR(INDEX(_xlfn.TEXTSPLIT(_xlfn.XLOOKUP($A133&amp;$B133&amp;$C133,盘货信息!$A:$A&amp;盘货信息!$B:$B&amp;盘货信息!$C:$C,盘货信息!$S:$S),CHAR(10),,TRUE),1,COLUMN(A132)),"")</f>
        <v/>
      </c>
      <c r="K133" s="18" t="str" cm="1">
        <f t="array" ref="K133">IFERROR(INDEX(_xlfn.TEXTSPLIT(_xlfn.XLOOKUP($A133&amp;$B133&amp;$C133,盘货信息!$A:$A&amp;盘货信息!$B:$B&amp;盘货信息!$C:$C,盘货信息!$S:$S),CHAR(10),,TRUE),1,COLUMN(B132)),"")</f>
        <v/>
      </c>
      <c r="L133" s="18" t="str" cm="1">
        <f t="array" ref="L133">IFERROR(INDEX(_xlfn.TEXTSPLIT(_xlfn.XLOOKUP($A133&amp;$B133&amp;$C133,盘货信息!$A:$A&amp;盘货信息!$B:$B&amp;盘货信息!$C:$C,盘货信息!$S:$S),CHAR(10),,TRUE),1,COLUMN(C132)),"")</f>
        <v/>
      </c>
      <c r="M133" s="18" t="str" cm="1">
        <f t="array" ref="M133">IFERROR(INDEX(_xlfn.TEXTSPLIT(_xlfn.XLOOKUP($A133&amp;$B133&amp;$C133,盘货信息!$A:$A&amp;盘货信息!$B:$B&amp;盘货信息!$C:$C,盘货信息!$S:$S),CHAR(10),,TRUE),1,COLUMN(D132)),"")</f>
        <v/>
      </c>
      <c r="N133" s="18" t="str" cm="1">
        <f t="array" ref="N133">IFERROR(INDEX(_xlfn.TEXTSPLIT(_xlfn.XLOOKUP($A133&amp;$B133&amp;$C133,盘货信息!$A:$A&amp;盘货信息!$B:$B&amp;盘货信息!$C:$C,盘货信息!$S:$S),CHAR(10),,TRUE),1,COLUMN(E132)),"")</f>
        <v/>
      </c>
    </row>
    <row r="134" customHeight="1" spans="1:14">
      <c r="A134" s="17" t="str">
        <f>IF(盘货信息!A134="","",盘货信息!A134)</f>
        <v/>
      </c>
      <c r="B134" s="17" t="str">
        <f>IF(盘货信息!B134="","",盘货信息!B134)</f>
        <v/>
      </c>
      <c r="C134" s="20" t="str">
        <f>IF(盘货信息!C134="","",盘货信息!C134)</f>
        <v/>
      </c>
      <c r="D134" s="18" t="str">
        <f t="shared" si="2"/>
        <v/>
      </c>
      <c r="E134" s="18" t="str">
        <f>_xlfn.LET(_xlpm.A,IF(ISNUMBER(SEARCH("晒单",J134)),"【晒单】"&amp;MID(J134,SEARCH("晒单",J134)+LEN("晒单"),LEN(J134))&amp;"（需晒单后联系客服登记）",IF(ISNUMBER(SEARCH("包修",J134)),"【购机】"&amp;MID(J134,SEARCH("购机",J134)+LEN("购机"),LEN(J134)),IF(ISNUMBER(SEARCH("叠放支架",J134)),"【赠品】"&amp;MID(J134,SEARCH("购机",J134)+LEN("购机"),LEN(J134)),IF(ISNUMBER(SEARCH("秀图",J134)),"【秀图】"&amp;MID(J134,SEARCH("秀图",J134)+LEN("秀图"),LEN(J134)),"")))),IFERROR(LEFT(_xlpm.A,FIND("【",_xlpm.A,FIND("】",_xlpm.A)+1)-1)&amp;MID(_xlpm.A,FIND("】",_xlpm.A,FIND("】",_xlpm.A)+1)+1,LEN(_xlpm.A)),_xlpm.A))</f>
        <v/>
      </c>
      <c r="F134" s="18" t="str">
        <f>_xlfn.LET(_xlpm.A,IF(ISNUMBER(SEARCH("晒单",K134)),"【晒单】"&amp;MID(K134,SEARCH("晒单",K134)+LEN("晒单"),LEN(K134))&amp;"（需晒单后联系客服登记）",IF(ISNUMBER(SEARCH("包修",K134)),"【购机】"&amp;MID(K134,SEARCH("购机",K134)+LEN("购机"),LEN(K134)),IF(ISNUMBER(SEARCH("叠放支架",K134)),"【赠品】"&amp;MID(K134,SEARCH("购机",K134)+LEN("购机"),LEN(K134)),IF(ISNUMBER(SEARCH("秀图",K134)),"【秀图】"&amp;MID(K134,SEARCH("秀图",K134)+LEN("秀图"),LEN(K134)),"")))),IFERROR(LEFT(_xlpm.A,FIND("【",_xlpm.A,FIND("】",_xlpm.A)+1)-1)&amp;MID(_xlpm.A,FIND("】",_xlpm.A,FIND("】",_xlpm.A)+1)+1,LEN(_xlpm.A)),_xlpm.A))</f>
        <v/>
      </c>
      <c r="G134" s="18" t="str">
        <f>_xlfn.LET(_xlpm.A,IF(ISNUMBER(SEARCH("晒单",L134)),"【晒单】"&amp;MID(L134,SEARCH("晒单",L134)+LEN("晒单"),LEN(L134))&amp;"（需晒单后联系客服登记）",IF(ISNUMBER(SEARCH("包修",L134)),"【购机】"&amp;MID(L134,SEARCH("购机",L134)+LEN("购机"),LEN(L134)),IF(ISNUMBER(SEARCH("叠放支架",L134)),"【赠品】"&amp;MID(L134,SEARCH("购机",L134)+LEN("购机"),LEN(L134)),IF(ISNUMBER(SEARCH("秀图",L134)),"【秀图】"&amp;MID(L134,SEARCH("秀图",L134)+LEN("秀图"),LEN(L134)),"")))),IFERROR(LEFT(_xlpm.A,FIND("【",_xlpm.A,FIND("】",_xlpm.A)+1)-1)&amp;MID(_xlpm.A,FIND("】",_xlpm.A,FIND("】",_xlpm.A)+1)+1,LEN(_xlpm.A)),_xlpm.A))</f>
        <v/>
      </c>
      <c r="H134" s="18" t="str">
        <f>_xlfn.LET(_xlpm.A,IF(ISNUMBER(SEARCH("晒单",M134)),"【晒单】"&amp;MID(M134,SEARCH("晒单",M134)+LEN("晒单"),LEN(M134))&amp;"（需晒单后联系客服登记）",IF(ISNUMBER(SEARCH("包修",M134)),"【购机】"&amp;MID(M134,SEARCH("购机",M134)+LEN("购机"),LEN(M134)),IF(ISNUMBER(SEARCH("叠放支架",M134)),"【赠品】"&amp;MID(M134,SEARCH("购机",M134)+LEN("购机"),LEN(M134)),IF(ISNUMBER(SEARCH("秀图",M134)),"【秀图】"&amp;MID(M134,SEARCH("秀图",M134)+LEN("秀图"),LEN(M134)),"")))),IFERROR(LEFT(_xlpm.A,FIND("【",_xlpm.A,FIND("】",_xlpm.A)+1)-1)&amp;MID(_xlpm.A,FIND("】",_xlpm.A,FIND("】",_xlpm.A)+1)+1,LEN(_xlpm.A)),_xlpm.A))</f>
        <v/>
      </c>
      <c r="I134" s="18" t="str">
        <f>_xlfn.LET(_xlpm.A,IF(ISNUMBER(SEARCH("晒单",N134)),"【晒单】"&amp;MID(N134,SEARCH("晒单",N134)+LEN("晒单"),LEN(N134))&amp;"（需晒单后联系客服登记）",IF(ISNUMBER(SEARCH("包修",N134)),"【购机】"&amp;MID(N134,SEARCH("购机",N134)+LEN("购机"),LEN(N134)),IF(ISNUMBER(SEARCH("叠放支架",N134)),"【赠品】"&amp;MID(N134,SEARCH("购机",N134)+LEN("购机"),LEN(N134)),IF(ISNUMBER(SEARCH("秀图",N134)),"【秀图】"&amp;MID(N134,SEARCH("秀图",N134)+LEN("秀图"),LEN(N134)),"")))),IFERROR(LEFT(_xlpm.A,FIND("【",_xlpm.A,FIND("】",_xlpm.A)+1)-1)&amp;MID(_xlpm.A,FIND("】",_xlpm.A,FIND("】",_xlpm.A)+1)+1,LEN(_xlpm.A)),_xlpm.A))</f>
        <v/>
      </c>
      <c r="J134" s="18" t="str" cm="1">
        <f t="array" ref="J134">IFERROR(INDEX(_xlfn.TEXTSPLIT(_xlfn.XLOOKUP($A134&amp;$B134&amp;$C134,盘货信息!$A:$A&amp;盘货信息!$B:$B&amp;盘货信息!$C:$C,盘货信息!$S:$S),CHAR(10),,TRUE),1,COLUMN(A133)),"")</f>
        <v/>
      </c>
      <c r="K134" s="18" t="str" cm="1">
        <f t="array" ref="K134">IFERROR(INDEX(_xlfn.TEXTSPLIT(_xlfn.XLOOKUP($A134&amp;$B134&amp;$C134,盘货信息!$A:$A&amp;盘货信息!$B:$B&amp;盘货信息!$C:$C,盘货信息!$S:$S),CHAR(10),,TRUE),1,COLUMN(B133)),"")</f>
        <v/>
      </c>
      <c r="L134" s="18" t="str" cm="1">
        <f t="array" ref="L134">IFERROR(INDEX(_xlfn.TEXTSPLIT(_xlfn.XLOOKUP($A134&amp;$B134&amp;$C134,盘货信息!$A:$A&amp;盘货信息!$B:$B&amp;盘货信息!$C:$C,盘货信息!$S:$S),CHAR(10),,TRUE),1,COLUMN(C133)),"")</f>
        <v/>
      </c>
      <c r="M134" s="18" t="str" cm="1">
        <f t="array" ref="M134">IFERROR(INDEX(_xlfn.TEXTSPLIT(_xlfn.XLOOKUP($A134&amp;$B134&amp;$C134,盘货信息!$A:$A&amp;盘货信息!$B:$B&amp;盘货信息!$C:$C,盘货信息!$S:$S),CHAR(10),,TRUE),1,COLUMN(D133)),"")</f>
        <v/>
      </c>
      <c r="N134" s="18" t="str" cm="1">
        <f t="array" ref="N134">IFERROR(INDEX(_xlfn.TEXTSPLIT(_xlfn.XLOOKUP($A134&amp;$B134&amp;$C134,盘货信息!$A:$A&amp;盘货信息!$B:$B&amp;盘货信息!$C:$C,盘货信息!$S:$S),CHAR(10),,TRUE),1,COLUMN(E133)),"")</f>
        <v/>
      </c>
    </row>
    <row r="135" customHeight="1" spans="1:14">
      <c r="A135" s="17" t="str">
        <f>IF(盘货信息!A135="","",盘货信息!A135)</f>
        <v/>
      </c>
      <c r="B135" s="17" t="str">
        <f>IF(盘货信息!B135="","",盘货信息!B135)</f>
        <v/>
      </c>
      <c r="C135" s="20" t="str">
        <f>IF(盘货信息!C135="","",盘货信息!C135)</f>
        <v/>
      </c>
      <c r="D135" s="18" t="str">
        <f t="shared" si="2"/>
        <v/>
      </c>
      <c r="E135" s="18" t="str">
        <f>_xlfn.LET(_xlpm.A,IF(ISNUMBER(SEARCH("晒单",J135)),"【晒单】"&amp;MID(J135,SEARCH("晒单",J135)+LEN("晒单"),LEN(J135))&amp;"（需晒单后联系客服登记）",IF(ISNUMBER(SEARCH("包修",J135)),"【购机】"&amp;MID(J135,SEARCH("购机",J135)+LEN("购机"),LEN(J135)),IF(ISNUMBER(SEARCH("叠放支架",J135)),"【赠品】"&amp;MID(J135,SEARCH("购机",J135)+LEN("购机"),LEN(J135)),IF(ISNUMBER(SEARCH("秀图",J135)),"【秀图】"&amp;MID(J135,SEARCH("秀图",J135)+LEN("秀图"),LEN(J135)),"")))),IFERROR(LEFT(_xlpm.A,FIND("【",_xlpm.A,FIND("】",_xlpm.A)+1)-1)&amp;MID(_xlpm.A,FIND("】",_xlpm.A,FIND("】",_xlpm.A)+1)+1,LEN(_xlpm.A)),_xlpm.A))</f>
        <v/>
      </c>
      <c r="F135" s="18" t="str">
        <f>_xlfn.LET(_xlpm.A,IF(ISNUMBER(SEARCH("晒单",K135)),"【晒单】"&amp;MID(K135,SEARCH("晒单",K135)+LEN("晒单"),LEN(K135))&amp;"（需晒单后联系客服登记）",IF(ISNUMBER(SEARCH("包修",K135)),"【购机】"&amp;MID(K135,SEARCH("购机",K135)+LEN("购机"),LEN(K135)),IF(ISNUMBER(SEARCH("叠放支架",K135)),"【赠品】"&amp;MID(K135,SEARCH("购机",K135)+LEN("购机"),LEN(K135)),IF(ISNUMBER(SEARCH("秀图",K135)),"【秀图】"&amp;MID(K135,SEARCH("秀图",K135)+LEN("秀图"),LEN(K135)),"")))),IFERROR(LEFT(_xlpm.A,FIND("【",_xlpm.A,FIND("】",_xlpm.A)+1)-1)&amp;MID(_xlpm.A,FIND("】",_xlpm.A,FIND("】",_xlpm.A)+1)+1,LEN(_xlpm.A)),_xlpm.A))</f>
        <v/>
      </c>
      <c r="G135" s="18" t="str">
        <f>_xlfn.LET(_xlpm.A,IF(ISNUMBER(SEARCH("晒单",L135)),"【晒单】"&amp;MID(L135,SEARCH("晒单",L135)+LEN("晒单"),LEN(L135))&amp;"（需晒单后联系客服登记）",IF(ISNUMBER(SEARCH("包修",L135)),"【购机】"&amp;MID(L135,SEARCH("购机",L135)+LEN("购机"),LEN(L135)),IF(ISNUMBER(SEARCH("叠放支架",L135)),"【赠品】"&amp;MID(L135,SEARCH("购机",L135)+LEN("购机"),LEN(L135)),IF(ISNUMBER(SEARCH("秀图",L135)),"【秀图】"&amp;MID(L135,SEARCH("秀图",L135)+LEN("秀图"),LEN(L135)),"")))),IFERROR(LEFT(_xlpm.A,FIND("【",_xlpm.A,FIND("】",_xlpm.A)+1)-1)&amp;MID(_xlpm.A,FIND("】",_xlpm.A,FIND("】",_xlpm.A)+1)+1,LEN(_xlpm.A)),_xlpm.A))</f>
        <v/>
      </c>
      <c r="H135" s="18" t="str">
        <f>_xlfn.LET(_xlpm.A,IF(ISNUMBER(SEARCH("晒单",M135)),"【晒单】"&amp;MID(M135,SEARCH("晒单",M135)+LEN("晒单"),LEN(M135))&amp;"（需晒单后联系客服登记）",IF(ISNUMBER(SEARCH("包修",M135)),"【购机】"&amp;MID(M135,SEARCH("购机",M135)+LEN("购机"),LEN(M135)),IF(ISNUMBER(SEARCH("叠放支架",M135)),"【赠品】"&amp;MID(M135,SEARCH("购机",M135)+LEN("购机"),LEN(M135)),IF(ISNUMBER(SEARCH("秀图",M135)),"【秀图】"&amp;MID(M135,SEARCH("秀图",M135)+LEN("秀图"),LEN(M135)),"")))),IFERROR(LEFT(_xlpm.A,FIND("【",_xlpm.A,FIND("】",_xlpm.A)+1)-1)&amp;MID(_xlpm.A,FIND("】",_xlpm.A,FIND("】",_xlpm.A)+1)+1,LEN(_xlpm.A)),_xlpm.A))</f>
        <v/>
      </c>
      <c r="I135" s="18" t="str">
        <f>_xlfn.LET(_xlpm.A,IF(ISNUMBER(SEARCH("晒单",N135)),"【晒单】"&amp;MID(N135,SEARCH("晒单",N135)+LEN("晒单"),LEN(N135))&amp;"（需晒单后联系客服登记）",IF(ISNUMBER(SEARCH("包修",N135)),"【购机】"&amp;MID(N135,SEARCH("购机",N135)+LEN("购机"),LEN(N135)),IF(ISNUMBER(SEARCH("叠放支架",N135)),"【赠品】"&amp;MID(N135,SEARCH("购机",N135)+LEN("购机"),LEN(N135)),IF(ISNUMBER(SEARCH("秀图",N135)),"【秀图】"&amp;MID(N135,SEARCH("秀图",N135)+LEN("秀图"),LEN(N135)),"")))),IFERROR(LEFT(_xlpm.A,FIND("【",_xlpm.A,FIND("】",_xlpm.A)+1)-1)&amp;MID(_xlpm.A,FIND("】",_xlpm.A,FIND("】",_xlpm.A)+1)+1,LEN(_xlpm.A)),_xlpm.A))</f>
        <v/>
      </c>
      <c r="J135" s="18" t="str" cm="1">
        <f t="array" ref="J135">IFERROR(INDEX(_xlfn.TEXTSPLIT(_xlfn.XLOOKUP($A135&amp;$B135&amp;$C135,盘货信息!$A:$A&amp;盘货信息!$B:$B&amp;盘货信息!$C:$C,盘货信息!$S:$S),CHAR(10),,TRUE),1,COLUMN(A134)),"")</f>
        <v/>
      </c>
      <c r="K135" s="18" t="str" cm="1">
        <f t="array" ref="K135">IFERROR(INDEX(_xlfn.TEXTSPLIT(_xlfn.XLOOKUP($A135&amp;$B135&amp;$C135,盘货信息!$A:$A&amp;盘货信息!$B:$B&amp;盘货信息!$C:$C,盘货信息!$S:$S),CHAR(10),,TRUE),1,COLUMN(B134)),"")</f>
        <v/>
      </c>
      <c r="L135" s="18" t="str" cm="1">
        <f t="array" ref="L135">IFERROR(INDEX(_xlfn.TEXTSPLIT(_xlfn.XLOOKUP($A135&amp;$B135&amp;$C135,盘货信息!$A:$A&amp;盘货信息!$B:$B&amp;盘货信息!$C:$C,盘货信息!$S:$S),CHAR(10),,TRUE),1,COLUMN(C134)),"")</f>
        <v/>
      </c>
      <c r="M135" s="18" t="str" cm="1">
        <f t="array" ref="M135">IFERROR(INDEX(_xlfn.TEXTSPLIT(_xlfn.XLOOKUP($A135&amp;$B135&amp;$C135,盘货信息!$A:$A&amp;盘货信息!$B:$B&amp;盘货信息!$C:$C,盘货信息!$S:$S),CHAR(10),,TRUE),1,COLUMN(D134)),"")</f>
        <v/>
      </c>
      <c r="N135" s="18" t="str" cm="1">
        <f t="array" ref="N135">IFERROR(INDEX(_xlfn.TEXTSPLIT(_xlfn.XLOOKUP($A135&amp;$B135&amp;$C135,盘货信息!$A:$A&amp;盘货信息!$B:$B&amp;盘货信息!$C:$C,盘货信息!$S:$S),CHAR(10),,TRUE),1,COLUMN(E134)),"")</f>
        <v/>
      </c>
    </row>
    <row r="136" customHeight="1" spans="1:14">
      <c r="A136" s="17" t="str">
        <f>IF(盘货信息!A136="","",盘货信息!A136)</f>
        <v/>
      </c>
      <c r="B136" s="17" t="str">
        <f>IF(盘货信息!B136="","",盘货信息!B136)</f>
        <v/>
      </c>
      <c r="C136" s="20" t="str">
        <f>IF(盘货信息!C136="","",盘货信息!C136)</f>
        <v/>
      </c>
      <c r="D136" s="18" t="str">
        <f t="shared" si="2"/>
        <v/>
      </c>
      <c r="E136" s="18" t="str">
        <f>_xlfn.LET(_xlpm.A,IF(ISNUMBER(SEARCH("晒单",J136)),"【晒单】"&amp;MID(J136,SEARCH("晒单",J136)+LEN("晒单"),LEN(J136))&amp;"（需晒单后联系客服登记）",IF(ISNUMBER(SEARCH("包修",J136)),"【购机】"&amp;MID(J136,SEARCH("购机",J136)+LEN("购机"),LEN(J136)),IF(ISNUMBER(SEARCH("叠放支架",J136)),"【赠品】"&amp;MID(J136,SEARCH("购机",J136)+LEN("购机"),LEN(J136)),IF(ISNUMBER(SEARCH("秀图",J136)),"【秀图】"&amp;MID(J136,SEARCH("秀图",J136)+LEN("秀图"),LEN(J136)),"")))),IFERROR(LEFT(_xlpm.A,FIND("【",_xlpm.A,FIND("】",_xlpm.A)+1)-1)&amp;MID(_xlpm.A,FIND("】",_xlpm.A,FIND("】",_xlpm.A)+1)+1,LEN(_xlpm.A)),_xlpm.A))</f>
        <v/>
      </c>
      <c r="F136" s="18" t="str">
        <f>_xlfn.LET(_xlpm.A,IF(ISNUMBER(SEARCH("晒单",K136)),"【晒单】"&amp;MID(K136,SEARCH("晒单",K136)+LEN("晒单"),LEN(K136))&amp;"（需晒单后联系客服登记）",IF(ISNUMBER(SEARCH("包修",K136)),"【购机】"&amp;MID(K136,SEARCH("购机",K136)+LEN("购机"),LEN(K136)),IF(ISNUMBER(SEARCH("叠放支架",K136)),"【赠品】"&amp;MID(K136,SEARCH("购机",K136)+LEN("购机"),LEN(K136)),IF(ISNUMBER(SEARCH("秀图",K136)),"【秀图】"&amp;MID(K136,SEARCH("秀图",K136)+LEN("秀图"),LEN(K136)),"")))),IFERROR(LEFT(_xlpm.A,FIND("【",_xlpm.A,FIND("】",_xlpm.A)+1)-1)&amp;MID(_xlpm.A,FIND("】",_xlpm.A,FIND("】",_xlpm.A)+1)+1,LEN(_xlpm.A)),_xlpm.A))</f>
        <v/>
      </c>
      <c r="G136" s="18" t="str">
        <f>_xlfn.LET(_xlpm.A,IF(ISNUMBER(SEARCH("晒单",L136)),"【晒单】"&amp;MID(L136,SEARCH("晒单",L136)+LEN("晒单"),LEN(L136))&amp;"（需晒单后联系客服登记）",IF(ISNUMBER(SEARCH("包修",L136)),"【购机】"&amp;MID(L136,SEARCH("购机",L136)+LEN("购机"),LEN(L136)),IF(ISNUMBER(SEARCH("叠放支架",L136)),"【赠品】"&amp;MID(L136,SEARCH("购机",L136)+LEN("购机"),LEN(L136)),IF(ISNUMBER(SEARCH("秀图",L136)),"【秀图】"&amp;MID(L136,SEARCH("秀图",L136)+LEN("秀图"),LEN(L136)),"")))),IFERROR(LEFT(_xlpm.A,FIND("【",_xlpm.A,FIND("】",_xlpm.A)+1)-1)&amp;MID(_xlpm.A,FIND("】",_xlpm.A,FIND("】",_xlpm.A)+1)+1,LEN(_xlpm.A)),_xlpm.A))</f>
        <v/>
      </c>
      <c r="H136" s="18" t="str">
        <f>_xlfn.LET(_xlpm.A,IF(ISNUMBER(SEARCH("晒单",M136)),"【晒单】"&amp;MID(M136,SEARCH("晒单",M136)+LEN("晒单"),LEN(M136))&amp;"（需晒单后联系客服登记）",IF(ISNUMBER(SEARCH("包修",M136)),"【购机】"&amp;MID(M136,SEARCH("购机",M136)+LEN("购机"),LEN(M136)),IF(ISNUMBER(SEARCH("叠放支架",M136)),"【赠品】"&amp;MID(M136,SEARCH("购机",M136)+LEN("购机"),LEN(M136)),IF(ISNUMBER(SEARCH("秀图",M136)),"【秀图】"&amp;MID(M136,SEARCH("秀图",M136)+LEN("秀图"),LEN(M136)),"")))),IFERROR(LEFT(_xlpm.A,FIND("【",_xlpm.A,FIND("】",_xlpm.A)+1)-1)&amp;MID(_xlpm.A,FIND("】",_xlpm.A,FIND("】",_xlpm.A)+1)+1,LEN(_xlpm.A)),_xlpm.A))</f>
        <v/>
      </c>
      <c r="I136" s="18" t="str">
        <f>_xlfn.LET(_xlpm.A,IF(ISNUMBER(SEARCH("晒单",N136)),"【晒单】"&amp;MID(N136,SEARCH("晒单",N136)+LEN("晒单"),LEN(N136))&amp;"（需晒单后联系客服登记）",IF(ISNUMBER(SEARCH("包修",N136)),"【购机】"&amp;MID(N136,SEARCH("购机",N136)+LEN("购机"),LEN(N136)),IF(ISNUMBER(SEARCH("叠放支架",N136)),"【赠品】"&amp;MID(N136,SEARCH("购机",N136)+LEN("购机"),LEN(N136)),IF(ISNUMBER(SEARCH("秀图",N136)),"【秀图】"&amp;MID(N136,SEARCH("秀图",N136)+LEN("秀图"),LEN(N136)),"")))),IFERROR(LEFT(_xlpm.A,FIND("【",_xlpm.A,FIND("】",_xlpm.A)+1)-1)&amp;MID(_xlpm.A,FIND("】",_xlpm.A,FIND("】",_xlpm.A)+1)+1,LEN(_xlpm.A)),_xlpm.A))</f>
        <v/>
      </c>
      <c r="J136" s="18" t="str" cm="1">
        <f t="array" ref="J136">IFERROR(INDEX(_xlfn.TEXTSPLIT(_xlfn.XLOOKUP($A136&amp;$B136&amp;$C136,盘货信息!$A:$A&amp;盘货信息!$B:$B&amp;盘货信息!$C:$C,盘货信息!$S:$S),CHAR(10),,TRUE),1,COLUMN(A135)),"")</f>
        <v/>
      </c>
      <c r="K136" s="18" t="str" cm="1">
        <f t="array" ref="K136">IFERROR(INDEX(_xlfn.TEXTSPLIT(_xlfn.XLOOKUP($A136&amp;$B136&amp;$C136,盘货信息!$A:$A&amp;盘货信息!$B:$B&amp;盘货信息!$C:$C,盘货信息!$S:$S),CHAR(10),,TRUE),1,COLUMN(B135)),"")</f>
        <v/>
      </c>
      <c r="L136" s="18" t="str" cm="1">
        <f t="array" ref="L136">IFERROR(INDEX(_xlfn.TEXTSPLIT(_xlfn.XLOOKUP($A136&amp;$B136&amp;$C136,盘货信息!$A:$A&amp;盘货信息!$B:$B&amp;盘货信息!$C:$C,盘货信息!$S:$S),CHAR(10),,TRUE),1,COLUMN(C135)),"")</f>
        <v/>
      </c>
      <c r="M136" s="18" t="str" cm="1">
        <f t="array" ref="M136">IFERROR(INDEX(_xlfn.TEXTSPLIT(_xlfn.XLOOKUP($A136&amp;$B136&amp;$C136,盘货信息!$A:$A&amp;盘货信息!$B:$B&amp;盘货信息!$C:$C,盘货信息!$S:$S),CHAR(10),,TRUE),1,COLUMN(D135)),"")</f>
        <v/>
      </c>
      <c r="N136" s="18" t="str" cm="1">
        <f t="array" ref="N136">IFERROR(INDEX(_xlfn.TEXTSPLIT(_xlfn.XLOOKUP($A136&amp;$B136&amp;$C136,盘货信息!$A:$A&amp;盘货信息!$B:$B&amp;盘货信息!$C:$C,盘货信息!$S:$S),CHAR(10),,TRUE),1,COLUMN(E135)),"")</f>
        <v/>
      </c>
    </row>
    <row r="137" customHeight="1" spans="1:14">
      <c r="A137" s="17" t="str">
        <f>IF(盘货信息!A137="","",盘货信息!A137)</f>
        <v/>
      </c>
      <c r="B137" s="17" t="str">
        <f>IF(盘货信息!B137="","",盘货信息!B137)</f>
        <v/>
      </c>
      <c r="C137" s="18" t="str">
        <f>IF(盘货信息!C137="","",盘货信息!C137)</f>
        <v/>
      </c>
      <c r="D137" s="18" t="str">
        <f t="shared" si="2"/>
        <v/>
      </c>
      <c r="E137" s="18" t="str">
        <f>_xlfn.LET(_xlpm.A,IF(ISNUMBER(SEARCH("晒单",J137)),"【晒单】"&amp;MID(J137,SEARCH("晒单",J137)+LEN("晒单"),LEN(J137))&amp;"（需晒单后联系客服登记）",IF(ISNUMBER(SEARCH("包修",J137)),"【购机】"&amp;MID(J137,SEARCH("购机",J137)+LEN("购机"),LEN(J137)),IF(ISNUMBER(SEARCH("叠放支架",J137)),"【赠品】"&amp;MID(J137,SEARCH("购机",J137)+LEN("购机"),LEN(J137)),IF(ISNUMBER(SEARCH("秀图",J137)),"【秀图】"&amp;MID(J137,SEARCH("秀图",J137)+LEN("秀图"),LEN(J137)),"")))),IFERROR(LEFT(_xlpm.A,FIND("【",_xlpm.A,FIND("】",_xlpm.A)+1)-1)&amp;MID(_xlpm.A,FIND("】",_xlpm.A,FIND("】",_xlpm.A)+1)+1,LEN(_xlpm.A)),_xlpm.A))</f>
        <v/>
      </c>
      <c r="F137" s="18" t="str">
        <f>_xlfn.LET(_xlpm.A,IF(ISNUMBER(SEARCH("晒单",K137)),"【晒单】"&amp;MID(K137,SEARCH("晒单",K137)+LEN("晒单"),LEN(K137))&amp;"（需晒单后联系客服登记）",IF(ISNUMBER(SEARCH("包修",K137)),"【购机】"&amp;MID(K137,SEARCH("购机",K137)+LEN("购机"),LEN(K137)),IF(ISNUMBER(SEARCH("叠放支架",K137)),"【赠品】"&amp;MID(K137,SEARCH("购机",K137)+LEN("购机"),LEN(K137)),IF(ISNUMBER(SEARCH("秀图",K137)),"【秀图】"&amp;MID(K137,SEARCH("秀图",K137)+LEN("秀图"),LEN(K137)),"")))),IFERROR(LEFT(_xlpm.A,FIND("【",_xlpm.A,FIND("】",_xlpm.A)+1)-1)&amp;MID(_xlpm.A,FIND("】",_xlpm.A,FIND("】",_xlpm.A)+1)+1,LEN(_xlpm.A)),_xlpm.A))</f>
        <v/>
      </c>
      <c r="G137" s="18" t="str">
        <f>_xlfn.LET(_xlpm.A,IF(ISNUMBER(SEARCH("晒单",L137)),"【晒单】"&amp;MID(L137,SEARCH("晒单",L137)+LEN("晒单"),LEN(L137))&amp;"（需晒单后联系客服登记）",IF(ISNUMBER(SEARCH("包修",L137)),"【购机】"&amp;MID(L137,SEARCH("购机",L137)+LEN("购机"),LEN(L137)),IF(ISNUMBER(SEARCH("叠放支架",L137)),"【赠品】"&amp;MID(L137,SEARCH("购机",L137)+LEN("购机"),LEN(L137)),IF(ISNUMBER(SEARCH("秀图",L137)),"【秀图】"&amp;MID(L137,SEARCH("秀图",L137)+LEN("秀图"),LEN(L137)),"")))),IFERROR(LEFT(_xlpm.A,FIND("【",_xlpm.A,FIND("】",_xlpm.A)+1)-1)&amp;MID(_xlpm.A,FIND("】",_xlpm.A,FIND("】",_xlpm.A)+1)+1,LEN(_xlpm.A)),_xlpm.A))</f>
        <v/>
      </c>
      <c r="H137" s="18" t="str">
        <f>_xlfn.LET(_xlpm.A,IF(ISNUMBER(SEARCH("晒单",M137)),"【晒单】"&amp;MID(M137,SEARCH("晒单",M137)+LEN("晒单"),LEN(M137))&amp;"（需晒单后联系客服登记）",IF(ISNUMBER(SEARCH("包修",M137)),"【购机】"&amp;MID(M137,SEARCH("购机",M137)+LEN("购机"),LEN(M137)),IF(ISNUMBER(SEARCH("叠放支架",M137)),"【赠品】"&amp;MID(M137,SEARCH("购机",M137)+LEN("购机"),LEN(M137)),IF(ISNUMBER(SEARCH("秀图",M137)),"【秀图】"&amp;MID(M137,SEARCH("秀图",M137)+LEN("秀图"),LEN(M137)),"")))),IFERROR(LEFT(_xlpm.A,FIND("【",_xlpm.A,FIND("】",_xlpm.A)+1)-1)&amp;MID(_xlpm.A,FIND("】",_xlpm.A,FIND("】",_xlpm.A)+1)+1,LEN(_xlpm.A)),_xlpm.A))</f>
        <v/>
      </c>
      <c r="I137" s="18" t="str">
        <f>_xlfn.LET(_xlpm.A,IF(ISNUMBER(SEARCH("晒单",N137)),"【晒单】"&amp;MID(N137,SEARCH("晒单",N137)+LEN("晒单"),LEN(N137))&amp;"（需晒单后联系客服登记）",IF(ISNUMBER(SEARCH("包修",N137)),"【购机】"&amp;MID(N137,SEARCH("购机",N137)+LEN("购机"),LEN(N137)),IF(ISNUMBER(SEARCH("叠放支架",N137)),"【赠品】"&amp;MID(N137,SEARCH("购机",N137)+LEN("购机"),LEN(N137)),IF(ISNUMBER(SEARCH("秀图",N137)),"【秀图】"&amp;MID(N137,SEARCH("秀图",N137)+LEN("秀图"),LEN(N137)),"")))),IFERROR(LEFT(_xlpm.A,FIND("【",_xlpm.A,FIND("】",_xlpm.A)+1)-1)&amp;MID(_xlpm.A,FIND("】",_xlpm.A,FIND("】",_xlpm.A)+1)+1,LEN(_xlpm.A)),_xlpm.A))</f>
        <v/>
      </c>
      <c r="J137" s="18" t="str" cm="1">
        <f t="array" ref="J137">IFERROR(INDEX(_xlfn.TEXTSPLIT(_xlfn.XLOOKUP($A137&amp;$B137&amp;$C137,盘货信息!$A:$A&amp;盘货信息!$B:$B&amp;盘货信息!$C:$C,盘货信息!$S:$S),CHAR(10),,TRUE),1,COLUMN(A136)),"")</f>
        <v/>
      </c>
      <c r="K137" s="18" t="str" cm="1">
        <f t="array" ref="K137">IFERROR(INDEX(_xlfn.TEXTSPLIT(_xlfn.XLOOKUP($A137&amp;$B137&amp;$C137,盘货信息!$A:$A&amp;盘货信息!$B:$B&amp;盘货信息!$C:$C,盘货信息!$S:$S),CHAR(10),,TRUE),1,COLUMN(B136)),"")</f>
        <v/>
      </c>
      <c r="L137" s="18" t="str" cm="1">
        <f t="array" ref="L137">IFERROR(INDEX(_xlfn.TEXTSPLIT(_xlfn.XLOOKUP($A137&amp;$B137&amp;$C137,盘货信息!$A:$A&amp;盘货信息!$B:$B&amp;盘货信息!$C:$C,盘货信息!$S:$S),CHAR(10),,TRUE),1,COLUMN(C136)),"")</f>
        <v/>
      </c>
      <c r="M137" s="18" t="str" cm="1">
        <f t="array" ref="M137">IFERROR(INDEX(_xlfn.TEXTSPLIT(_xlfn.XLOOKUP($A137&amp;$B137&amp;$C137,盘货信息!$A:$A&amp;盘货信息!$B:$B&amp;盘货信息!$C:$C,盘货信息!$S:$S),CHAR(10),,TRUE),1,COLUMN(D136)),"")</f>
        <v/>
      </c>
      <c r="N137" s="18" t="str" cm="1">
        <f t="array" ref="N137">IFERROR(INDEX(_xlfn.TEXTSPLIT(_xlfn.XLOOKUP($A137&amp;$B137&amp;$C137,盘货信息!$A:$A&amp;盘货信息!$B:$B&amp;盘货信息!$C:$C,盘货信息!$S:$S),CHAR(10),,TRUE),1,COLUMN(E136)),"")</f>
        <v/>
      </c>
    </row>
    <row r="138" customHeight="1" spans="1:14">
      <c r="A138" s="17" t="str">
        <f>IF(盘货信息!A138="","",盘货信息!A138)</f>
        <v/>
      </c>
      <c r="B138" s="17" t="str">
        <f>IF(盘货信息!B138="","",盘货信息!B138)</f>
        <v/>
      </c>
      <c r="C138" s="20" t="str">
        <f>IF(盘货信息!C138="","",盘货信息!C138)</f>
        <v/>
      </c>
      <c r="D138" s="18" t="str">
        <f t="shared" si="2"/>
        <v/>
      </c>
      <c r="E138" s="18" t="str">
        <f>_xlfn.LET(_xlpm.A,IF(ISNUMBER(SEARCH("晒单",J138)),"【晒单】"&amp;MID(J138,SEARCH("晒单",J138)+LEN("晒单"),LEN(J138))&amp;"（需晒单后联系客服登记）",IF(ISNUMBER(SEARCH("包修",J138)),"【购机】"&amp;MID(J138,SEARCH("购机",J138)+LEN("购机"),LEN(J138)),IF(ISNUMBER(SEARCH("叠放支架",J138)),"【赠品】"&amp;MID(J138,SEARCH("购机",J138)+LEN("购机"),LEN(J138)),IF(ISNUMBER(SEARCH("秀图",J138)),"【秀图】"&amp;MID(J138,SEARCH("秀图",J138)+LEN("秀图"),LEN(J138)),"")))),IFERROR(LEFT(_xlpm.A,FIND("【",_xlpm.A,FIND("】",_xlpm.A)+1)-1)&amp;MID(_xlpm.A,FIND("】",_xlpm.A,FIND("】",_xlpm.A)+1)+1,LEN(_xlpm.A)),_xlpm.A))</f>
        <v/>
      </c>
      <c r="F138" s="18" t="str">
        <f>_xlfn.LET(_xlpm.A,IF(ISNUMBER(SEARCH("晒单",K138)),"【晒单】"&amp;MID(K138,SEARCH("晒单",K138)+LEN("晒单"),LEN(K138))&amp;"（需晒单后联系客服登记）",IF(ISNUMBER(SEARCH("包修",K138)),"【购机】"&amp;MID(K138,SEARCH("购机",K138)+LEN("购机"),LEN(K138)),IF(ISNUMBER(SEARCH("叠放支架",K138)),"【赠品】"&amp;MID(K138,SEARCH("购机",K138)+LEN("购机"),LEN(K138)),IF(ISNUMBER(SEARCH("秀图",K138)),"【秀图】"&amp;MID(K138,SEARCH("秀图",K138)+LEN("秀图"),LEN(K138)),"")))),IFERROR(LEFT(_xlpm.A,FIND("【",_xlpm.A,FIND("】",_xlpm.A)+1)-1)&amp;MID(_xlpm.A,FIND("】",_xlpm.A,FIND("】",_xlpm.A)+1)+1,LEN(_xlpm.A)),_xlpm.A))</f>
        <v/>
      </c>
      <c r="G138" s="18" t="str">
        <f>_xlfn.LET(_xlpm.A,IF(ISNUMBER(SEARCH("晒单",L138)),"【晒单】"&amp;MID(L138,SEARCH("晒单",L138)+LEN("晒单"),LEN(L138))&amp;"（需晒单后联系客服登记）",IF(ISNUMBER(SEARCH("包修",L138)),"【购机】"&amp;MID(L138,SEARCH("购机",L138)+LEN("购机"),LEN(L138)),IF(ISNUMBER(SEARCH("叠放支架",L138)),"【赠品】"&amp;MID(L138,SEARCH("购机",L138)+LEN("购机"),LEN(L138)),IF(ISNUMBER(SEARCH("秀图",L138)),"【秀图】"&amp;MID(L138,SEARCH("秀图",L138)+LEN("秀图"),LEN(L138)),"")))),IFERROR(LEFT(_xlpm.A,FIND("【",_xlpm.A,FIND("】",_xlpm.A)+1)-1)&amp;MID(_xlpm.A,FIND("】",_xlpm.A,FIND("】",_xlpm.A)+1)+1,LEN(_xlpm.A)),_xlpm.A))</f>
        <v/>
      </c>
      <c r="H138" s="18" t="str">
        <f>_xlfn.LET(_xlpm.A,IF(ISNUMBER(SEARCH("晒单",M138)),"【晒单】"&amp;MID(M138,SEARCH("晒单",M138)+LEN("晒单"),LEN(M138))&amp;"（需晒单后联系客服登记）",IF(ISNUMBER(SEARCH("包修",M138)),"【购机】"&amp;MID(M138,SEARCH("购机",M138)+LEN("购机"),LEN(M138)),IF(ISNUMBER(SEARCH("叠放支架",M138)),"【赠品】"&amp;MID(M138,SEARCH("购机",M138)+LEN("购机"),LEN(M138)),IF(ISNUMBER(SEARCH("秀图",M138)),"【秀图】"&amp;MID(M138,SEARCH("秀图",M138)+LEN("秀图"),LEN(M138)),"")))),IFERROR(LEFT(_xlpm.A,FIND("【",_xlpm.A,FIND("】",_xlpm.A)+1)-1)&amp;MID(_xlpm.A,FIND("】",_xlpm.A,FIND("】",_xlpm.A)+1)+1,LEN(_xlpm.A)),_xlpm.A))</f>
        <v/>
      </c>
      <c r="I138" s="18" t="str">
        <f>_xlfn.LET(_xlpm.A,IF(ISNUMBER(SEARCH("晒单",N138)),"【晒单】"&amp;MID(N138,SEARCH("晒单",N138)+LEN("晒单"),LEN(N138))&amp;"（需晒单后联系客服登记）",IF(ISNUMBER(SEARCH("包修",N138)),"【购机】"&amp;MID(N138,SEARCH("购机",N138)+LEN("购机"),LEN(N138)),IF(ISNUMBER(SEARCH("叠放支架",N138)),"【赠品】"&amp;MID(N138,SEARCH("购机",N138)+LEN("购机"),LEN(N138)),IF(ISNUMBER(SEARCH("秀图",N138)),"【秀图】"&amp;MID(N138,SEARCH("秀图",N138)+LEN("秀图"),LEN(N138)),"")))),IFERROR(LEFT(_xlpm.A,FIND("【",_xlpm.A,FIND("】",_xlpm.A)+1)-1)&amp;MID(_xlpm.A,FIND("】",_xlpm.A,FIND("】",_xlpm.A)+1)+1,LEN(_xlpm.A)),_xlpm.A))</f>
        <v/>
      </c>
      <c r="J138" s="18" t="str" cm="1">
        <f t="array" ref="J138">IFERROR(INDEX(_xlfn.TEXTSPLIT(_xlfn.XLOOKUP($A138&amp;$B138&amp;$C138,盘货信息!$A:$A&amp;盘货信息!$B:$B&amp;盘货信息!$C:$C,盘货信息!$S:$S),CHAR(10),,TRUE),1,COLUMN(A137)),"")</f>
        <v/>
      </c>
      <c r="K138" s="18" t="str" cm="1">
        <f t="array" ref="K138">IFERROR(INDEX(_xlfn.TEXTSPLIT(_xlfn.XLOOKUP($A138&amp;$B138&amp;$C138,盘货信息!$A:$A&amp;盘货信息!$B:$B&amp;盘货信息!$C:$C,盘货信息!$S:$S),CHAR(10),,TRUE),1,COLUMN(B137)),"")</f>
        <v/>
      </c>
      <c r="L138" s="18" t="str" cm="1">
        <f t="array" ref="L138">IFERROR(INDEX(_xlfn.TEXTSPLIT(_xlfn.XLOOKUP($A138&amp;$B138&amp;$C138,盘货信息!$A:$A&amp;盘货信息!$B:$B&amp;盘货信息!$C:$C,盘货信息!$S:$S),CHAR(10),,TRUE),1,COLUMN(C137)),"")</f>
        <v/>
      </c>
      <c r="M138" s="18" t="str" cm="1">
        <f t="array" ref="M138">IFERROR(INDEX(_xlfn.TEXTSPLIT(_xlfn.XLOOKUP($A138&amp;$B138&amp;$C138,盘货信息!$A:$A&amp;盘货信息!$B:$B&amp;盘货信息!$C:$C,盘货信息!$S:$S),CHAR(10),,TRUE),1,COLUMN(D137)),"")</f>
        <v/>
      </c>
      <c r="N138" s="18" t="str" cm="1">
        <f t="array" ref="N138">IFERROR(INDEX(_xlfn.TEXTSPLIT(_xlfn.XLOOKUP($A138&amp;$B138&amp;$C138,盘货信息!$A:$A&amp;盘货信息!$B:$B&amp;盘货信息!$C:$C,盘货信息!$S:$S),CHAR(10),,TRUE),1,COLUMN(E137)),"")</f>
        <v/>
      </c>
    </row>
    <row r="139" customHeight="1" spans="1:14">
      <c r="A139" s="17" t="str">
        <f>IF(盘货信息!A139="","",盘货信息!A139)</f>
        <v/>
      </c>
      <c r="B139" s="17" t="str">
        <f>IF(盘货信息!B139="","",盘货信息!B139)</f>
        <v/>
      </c>
      <c r="C139" s="18" t="str">
        <f>IF(盘货信息!C139="","",盘货信息!C139)</f>
        <v/>
      </c>
      <c r="D139" s="18" t="str">
        <f t="shared" si="2"/>
        <v/>
      </c>
      <c r="E139" s="18" t="str">
        <f>_xlfn.LET(_xlpm.A,IF(ISNUMBER(SEARCH("晒单",J139)),"【晒单】"&amp;MID(J139,SEARCH("晒单",J139)+LEN("晒单"),LEN(J139))&amp;"（需晒单后联系客服登记）",IF(ISNUMBER(SEARCH("包修",J139)),"【购机】"&amp;MID(J139,SEARCH("购机",J139)+LEN("购机"),LEN(J139)),IF(ISNUMBER(SEARCH("叠放支架",J139)),"【赠品】"&amp;MID(J139,SEARCH("购机",J139)+LEN("购机"),LEN(J139)),IF(ISNUMBER(SEARCH("秀图",J139)),"【秀图】"&amp;MID(J139,SEARCH("秀图",J139)+LEN("秀图"),LEN(J139)),"")))),IFERROR(LEFT(_xlpm.A,FIND("【",_xlpm.A,FIND("】",_xlpm.A)+1)-1)&amp;MID(_xlpm.A,FIND("】",_xlpm.A,FIND("】",_xlpm.A)+1)+1,LEN(_xlpm.A)),_xlpm.A))</f>
        <v/>
      </c>
      <c r="F139" s="18" t="str">
        <f>_xlfn.LET(_xlpm.A,IF(ISNUMBER(SEARCH("晒单",K139)),"【晒单】"&amp;MID(K139,SEARCH("晒单",K139)+LEN("晒单"),LEN(K139))&amp;"（需晒单后联系客服登记）",IF(ISNUMBER(SEARCH("包修",K139)),"【购机】"&amp;MID(K139,SEARCH("购机",K139)+LEN("购机"),LEN(K139)),IF(ISNUMBER(SEARCH("叠放支架",K139)),"【赠品】"&amp;MID(K139,SEARCH("购机",K139)+LEN("购机"),LEN(K139)),IF(ISNUMBER(SEARCH("秀图",K139)),"【秀图】"&amp;MID(K139,SEARCH("秀图",K139)+LEN("秀图"),LEN(K139)),"")))),IFERROR(LEFT(_xlpm.A,FIND("【",_xlpm.A,FIND("】",_xlpm.A)+1)-1)&amp;MID(_xlpm.A,FIND("】",_xlpm.A,FIND("】",_xlpm.A)+1)+1,LEN(_xlpm.A)),_xlpm.A))</f>
        <v/>
      </c>
      <c r="G139" s="18" t="str">
        <f>_xlfn.LET(_xlpm.A,IF(ISNUMBER(SEARCH("晒单",L139)),"【晒单】"&amp;MID(L139,SEARCH("晒单",L139)+LEN("晒单"),LEN(L139))&amp;"（需晒单后联系客服登记）",IF(ISNUMBER(SEARCH("包修",L139)),"【购机】"&amp;MID(L139,SEARCH("购机",L139)+LEN("购机"),LEN(L139)),IF(ISNUMBER(SEARCH("叠放支架",L139)),"【赠品】"&amp;MID(L139,SEARCH("购机",L139)+LEN("购机"),LEN(L139)),IF(ISNUMBER(SEARCH("秀图",L139)),"【秀图】"&amp;MID(L139,SEARCH("秀图",L139)+LEN("秀图"),LEN(L139)),"")))),IFERROR(LEFT(_xlpm.A,FIND("【",_xlpm.A,FIND("】",_xlpm.A)+1)-1)&amp;MID(_xlpm.A,FIND("】",_xlpm.A,FIND("】",_xlpm.A)+1)+1,LEN(_xlpm.A)),_xlpm.A))</f>
        <v/>
      </c>
      <c r="H139" s="18" t="str">
        <f>_xlfn.LET(_xlpm.A,IF(ISNUMBER(SEARCH("晒单",M139)),"【晒单】"&amp;MID(M139,SEARCH("晒单",M139)+LEN("晒单"),LEN(M139))&amp;"（需晒单后联系客服登记）",IF(ISNUMBER(SEARCH("包修",M139)),"【购机】"&amp;MID(M139,SEARCH("购机",M139)+LEN("购机"),LEN(M139)),IF(ISNUMBER(SEARCH("叠放支架",M139)),"【赠品】"&amp;MID(M139,SEARCH("购机",M139)+LEN("购机"),LEN(M139)),IF(ISNUMBER(SEARCH("秀图",M139)),"【秀图】"&amp;MID(M139,SEARCH("秀图",M139)+LEN("秀图"),LEN(M139)),"")))),IFERROR(LEFT(_xlpm.A,FIND("【",_xlpm.A,FIND("】",_xlpm.A)+1)-1)&amp;MID(_xlpm.A,FIND("】",_xlpm.A,FIND("】",_xlpm.A)+1)+1,LEN(_xlpm.A)),_xlpm.A))</f>
        <v/>
      </c>
      <c r="I139" s="18" t="str">
        <f>_xlfn.LET(_xlpm.A,IF(ISNUMBER(SEARCH("晒单",N139)),"【晒单】"&amp;MID(N139,SEARCH("晒单",N139)+LEN("晒单"),LEN(N139))&amp;"（需晒单后联系客服登记）",IF(ISNUMBER(SEARCH("包修",N139)),"【购机】"&amp;MID(N139,SEARCH("购机",N139)+LEN("购机"),LEN(N139)),IF(ISNUMBER(SEARCH("叠放支架",N139)),"【赠品】"&amp;MID(N139,SEARCH("购机",N139)+LEN("购机"),LEN(N139)),IF(ISNUMBER(SEARCH("秀图",N139)),"【秀图】"&amp;MID(N139,SEARCH("秀图",N139)+LEN("秀图"),LEN(N139)),"")))),IFERROR(LEFT(_xlpm.A,FIND("【",_xlpm.A,FIND("】",_xlpm.A)+1)-1)&amp;MID(_xlpm.A,FIND("】",_xlpm.A,FIND("】",_xlpm.A)+1)+1,LEN(_xlpm.A)),_xlpm.A))</f>
        <v/>
      </c>
      <c r="J139" s="18" t="str" cm="1">
        <f t="array" ref="J139">IFERROR(INDEX(_xlfn.TEXTSPLIT(_xlfn.XLOOKUP($A139&amp;$B139&amp;$C139,盘货信息!$A:$A&amp;盘货信息!$B:$B&amp;盘货信息!$C:$C,盘货信息!$S:$S),CHAR(10),,TRUE),1,COLUMN(A138)),"")</f>
        <v/>
      </c>
      <c r="K139" s="18" t="str" cm="1">
        <f t="array" ref="K139">IFERROR(INDEX(_xlfn.TEXTSPLIT(_xlfn.XLOOKUP($A139&amp;$B139&amp;$C139,盘货信息!$A:$A&amp;盘货信息!$B:$B&amp;盘货信息!$C:$C,盘货信息!$S:$S),CHAR(10),,TRUE),1,COLUMN(B138)),"")</f>
        <v/>
      </c>
      <c r="L139" s="18" t="str" cm="1">
        <f t="array" ref="L139">IFERROR(INDEX(_xlfn.TEXTSPLIT(_xlfn.XLOOKUP($A139&amp;$B139&amp;$C139,盘货信息!$A:$A&amp;盘货信息!$B:$B&amp;盘货信息!$C:$C,盘货信息!$S:$S),CHAR(10),,TRUE),1,COLUMN(C138)),"")</f>
        <v/>
      </c>
      <c r="M139" s="18" t="str" cm="1">
        <f t="array" ref="M139">IFERROR(INDEX(_xlfn.TEXTSPLIT(_xlfn.XLOOKUP($A139&amp;$B139&amp;$C139,盘货信息!$A:$A&amp;盘货信息!$B:$B&amp;盘货信息!$C:$C,盘货信息!$S:$S),CHAR(10),,TRUE),1,COLUMN(D138)),"")</f>
        <v/>
      </c>
      <c r="N139" s="18" t="str" cm="1">
        <f t="array" ref="N139">IFERROR(INDEX(_xlfn.TEXTSPLIT(_xlfn.XLOOKUP($A139&amp;$B139&amp;$C139,盘货信息!$A:$A&amp;盘货信息!$B:$B&amp;盘货信息!$C:$C,盘货信息!$S:$S),CHAR(10),,TRUE),1,COLUMN(E138)),"")</f>
        <v/>
      </c>
    </row>
    <row r="140" customHeight="1" spans="1:14">
      <c r="A140" s="17" t="str">
        <f>IF(盘货信息!A140="","",盘货信息!A140)</f>
        <v/>
      </c>
      <c r="B140" s="17" t="str">
        <f>IF(盘货信息!B140="","",盘货信息!B140)</f>
        <v/>
      </c>
      <c r="C140" s="18" t="str">
        <f>IF(盘货信息!C140="","",盘货信息!C140)</f>
        <v/>
      </c>
      <c r="D140" s="18" t="str">
        <f t="shared" si="2"/>
        <v/>
      </c>
      <c r="E140" s="18" t="str">
        <f>_xlfn.LET(_xlpm.A,IF(ISNUMBER(SEARCH("晒单",J140)),"【晒单】"&amp;MID(J140,SEARCH("晒单",J140)+LEN("晒单"),LEN(J140))&amp;"（需晒单后联系客服登记）",IF(ISNUMBER(SEARCH("包修",J140)),"【购机】"&amp;MID(J140,SEARCH("购机",J140)+LEN("购机"),LEN(J140)),IF(ISNUMBER(SEARCH("叠放支架",J140)),"【赠品】"&amp;MID(J140,SEARCH("购机",J140)+LEN("购机"),LEN(J140)),IF(ISNUMBER(SEARCH("秀图",J140)),"【秀图】"&amp;MID(J140,SEARCH("秀图",J140)+LEN("秀图"),LEN(J140)),"")))),IFERROR(LEFT(_xlpm.A,FIND("【",_xlpm.A,FIND("】",_xlpm.A)+1)-1)&amp;MID(_xlpm.A,FIND("】",_xlpm.A,FIND("】",_xlpm.A)+1)+1,LEN(_xlpm.A)),_xlpm.A))</f>
        <v/>
      </c>
      <c r="F140" s="18" t="str">
        <f>_xlfn.LET(_xlpm.A,IF(ISNUMBER(SEARCH("晒单",K140)),"【晒单】"&amp;MID(K140,SEARCH("晒单",K140)+LEN("晒单"),LEN(K140))&amp;"（需晒单后联系客服登记）",IF(ISNUMBER(SEARCH("包修",K140)),"【购机】"&amp;MID(K140,SEARCH("购机",K140)+LEN("购机"),LEN(K140)),IF(ISNUMBER(SEARCH("叠放支架",K140)),"【赠品】"&amp;MID(K140,SEARCH("购机",K140)+LEN("购机"),LEN(K140)),IF(ISNUMBER(SEARCH("秀图",K140)),"【秀图】"&amp;MID(K140,SEARCH("秀图",K140)+LEN("秀图"),LEN(K140)),"")))),IFERROR(LEFT(_xlpm.A,FIND("【",_xlpm.A,FIND("】",_xlpm.A)+1)-1)&amp;MID(_xlpm.A,FIND("】",_xlpm.A,FIND("】",_xlpm.A)+1)+1,LEN(_xlpm.A)),_xlpm.A))</f>
        <v/>
      </c>
      <c r="G140" s="18" t="str">
        <f>_xlfn.LET(_xlpm.A,IF(ISNUMBER(SEARCH("晒单",L140)),"【晒单】"&amp;MID(L140,SEARCH("晒单",L140)+LEN("晒单"),LEN(L140))&amp;"（需晒单后联系客服登记）",IF(ISNUMBER(SEARCH("包修",L140)),"【购机】"&amp;MID(L140,SEARCH("购机",L140)+LEN("购机"),LEN(L140)),IF(ISNUMBER(SEARCH("叠放支架",L140)),"【赠品】"&amp;MID(L140,SEARCH("购机",L140)+LEN("购机"),LEN(L140)),IF(ISNUMBER(SEARCH("秀图",L140)),"【秀图】"&amp;MID(L140,SEARCH("秀图",L140)+LEN("秀图"),LEN(L140)),"")))),IFERROR(LEFT(_xlpm.A,FIND("【",_xlpm.A,FIND("】",_xlpm.A)+1)-1)&amp;MID(_xlpm.A,FIND("】",_xlpm.A,FIND("】",_xlpm.A)+1)+1,LEN(_xlpm.A)),_xlpm.A))</f>
        <v/>
      </c>
      <c r="H140" s="18" t="str">
        <f>_xlfn.LET(_xlpm.A,IF(ISNUMBER(SEARCH("晒单",M140)),"【晒单】"&amp;MID(M140,SEARCH("晒单",M140)+LEN("晒单"),LEN(M140))&amp;"（需晒单后联系客服登记）",IF(ISNUMBER(SEARCH("包修",M140)),"【购机】"&amp;MID(M140,SEARCH("购机",M140)+LEN("购机"),LEN(M140)),IF(ISNUMBER(SEARCH("叠放支架",M140)),"【赠品】"&amp;MID(M140,SEARCH("购机",M140)+LEN("购机"),LEN(M140)),IF(ISNUMBER(SEARCH("秀图",M140)),"【秀图】"&amp;MID(M140,SEARCH("秀图",M140)+LEN("秀图"),LEN(M140)),"")))),IFERROR(LEFT(_xlpm.A,FIND("【",_xlpm.A,FIND("】",_xlpm.A)+1)-1)&amp;MID(_xlpm.A,FIND("】",_xlpm.A,FIND("】",_xlpm.A)+1)+1,LEN(_xlpm.A)),_xlpm.A))</f>
        <v/>
      </c>
      <c r="I140" s="18" t="str">
        <f>_xlfn.LET(_xlpm.A,IF(ISNUMBER(SEARCH("晒单",N140)),"【晒单】"&amp;MID(N140,SEARCH("晒单",N140)+LEN("晒单"),LEN(N140))&amp;"（需晒单后联系客服登记）",IF(ISNUMBER(SEARCH("包修",N140)),"【购机】"&amp;MID(N140,SEARCH("购机",N140)+LEN("购机"),LEN(N140)),IF(ISNUMBER(SEARCH("叠放支架",N140)),"【赠品】"&amp;MID(N140,SEARCH("购机",N140)+LEN("购机"),LEN(N140)),IF(ISNUMBER(SEARCH("秀图",N140)),"【秀图】"&amp;MID(N140,SEARCH("秀图",N140)+LEN("秀图"),LEN(N140)),"")))),IFERROR(LEFT(_xlpm.A,FIND("【",_xlpm.A,FIND("】",_xlpm.A)+1)-1)&amp;MID(_xlpm.A,FIND("】",_xlpm.A,FIND("】",_xlpm.A)+1)+1,LEN(_xlpm.A)),_xlpm.A))</f>
        <v/>
      </c>
      <c r="J140" s="18" t="str" cm="1">
        <f t="array" ref="J140">IFERROR(INDEX(_xlfn.TEXTSPLIT(_xlfn.XLOOKUP($A140&amp;$B140&amp;$C140,盘货信息!$A:$A&amp;盘货信息!$B:$B&amp;盘货信息!$C:$C,盘货信息!$S:$S),CHAR(10),,TRUE),1,COLUMN(A139)),"")</f>
        <v/>
      </c>
      <c r="K140" s="18" t="str" cm="1">
        <f t="array" ref="K140">IFERROR(INDEX(_xlfn.TEXTSPLIT(_xlfn.XLOOKUP($A140&amp;$B140&amp;$C140,盘货信息!$A:$A&amp;盘货信息!$B:$B&amp;盘货信息!$C:$C,盘货信息!$S:$S),CHAR(10),,TRUE),1,COLUMN(B139)),"")</f>
        <v/>
      </c>
      <c r="L140" s="18" t="str" cm="1">
        <f t="array" ref="L140">IFERROR(INDEX(_xlfn.TEXTSPLIT(_xlfn.XLOOKUP($A140&amp;$B140&amp;$C140,盘货信息!$A:$A&amp;盘货信息!$B:$B&amp;盘货信息!$C:$C,盘货信息!$S:$S),CHAR(10),,TRUE),1,COLUMN(C139)),"")</f>
        <v/>
      </c>
      <c r="M140" s="18" t="str" cm="1">
        <f t="array" ref="M140">IFERROR(INDEX(_xlfn.TEXTSPLIT(_xlfn.XLOOKUP($A140&amp;$B140&amp;$C140,盘货信息!$A:$A&amp;盘货信息!$B:$B&amp;盘货信息!$C:$C,盘货信息!$S:$S),CHAR(10),,TRUE),1,COLUMN(D139)),"")</f>
        <v/>
      </c>
      <c r="N140" s="18" t="str" cm="1">
        <f t="array" ref="N140">IFERROR(INDEX(_xlfn.TEXTSPLIT(_xlfn.XLOOKUP($A140&amp;$B140&amp;$C140,盘货信息!$A:$A&amp;盘货信息!$B:$B&amp;盘货信息!$C:$C,盘货信息!$S:$S),CHAR(10),,TRUE),1,COLUMN(E139)),"")</f>
        <v/>
      </c>
    </row>
    <row r="141" customHeight="1" spans="1:14">
      <c r="A141" s="17" t="str">
        <f>IF(盘货信息!A141="","",盘货信息!A141)</f>
        <v/>
      </c>
      <c r="B141" s="17" t="str">
        <f>IF(盘货信息!B141="","",盘货信息!B141)</f>
        <v/>
      </c>
      <c r="C141" s="18" t="str">
        <f>IF(盘货信息!C141="","",盘货信息!C141)</f>
        <v/>
      </c>
      <c r="D141" s="18" t="str">
        <f t="shared" si="2"/>
        <v/>
      </c>
      <c r="E141" s="18" t="str">
        <f>_xlfn.LET(_xlpm.A,IF(ISNUMBER(SEARCH("晒单",J141)),"【晒单】"&amp;MID(J141,SEARCH("晒单",J141)+LEN("晒单"),LEN(J141))&amp;"（需晒单后联系客服登记）",IF(ISNUMBER(SEARCH("包修",J141)),"【购机】"&amp;MID(J141,SEARCH("购机",J141)+LEN("购机"),LEN(J141)),IF(ISNUMBER(SEARCH("叠放支架",J141)),"【赠品】"&amp;MID(J141,SEARCH("购机",J141)+LEN("购机"),LEN(J141)),IF(ISNUMBER(SEARCH("秀图",J141)),"【秀图】"&amp;MID(J141,SEARCH("秀图",J141)+LEN("秀图"),LEN(J141)),"")))),IFERROR(LEFT(_xlpm.A,FIND("【",_xlpm.A,FIND("】",_xlpm.A)+1)-1)&amp;MID(_xlpm.A,FIND("】",_xlpm.A,FIND("】",_xlpm.A)+1)+1,LEN(_xlpm.A)),_xlpm.A))</f>
        <v/>
      </c>
      <c r="F141" s="18" t="str">
        <f>_xlfn.LET(_xlpm.A,IF(ISNUMBER(SEARCH("晒单",K141)),"【晒单】"&amp;MID(K141,SEARCH("晒单",K141)+LEN("晒单"),LEN(K141))&amp;"（需晒单后联系客服登记）",IF(ISNUMBER(SEARCH("包修",K141)),"【购机】"&amp;MID(K141,SEARCH("购机",K141)+LEN("购机"),LEN(K141)),IF(ISNUMBER(SEARCH("叠放支架",K141)),"【赠品】"&amp;MID(K141,SEARCH("购机",K141)+LEN("购机"),LEN(K141)),IF(ISNUMBER(SEARCH("秀图",K141)),"【秀图】"&amp;MID(K141,SEARCH("秀图",K141)+LEN("秀图"),LEN(K141)),"")))),IFERROR(LEFT(_xlpm.A,FIND("【",_xlpm.A,FIND("】",_xlpm.A)+1)-1)&amp;MID(_xlpm.A,FIND("】",_xlpm.A,FIND("】",_xlpm.A)+1)+1,LEN(_xlpm.A)),_xlpm.A))</f>
        <v/>
      </c>
      <c r="G141" s="18" t="str">
        <f>_xlfn.LET(_xlpm.A,IF(ISNUMBER(SEARCH("晒单",L141)),"【晒单】"&amp;MID(L141,SEARCH("晒单",L141)+LEN("晒单"),LEN(L141))&amp;"（需晒单后联系客服登记）",IF(ISNUMBER(SEARCH("包修",L141)),"【购机】"&amp;MID(L141,SEARCH("购机",L141)+LEN("购机"),LEN(L141)),IF(ISNUMBER(SEARCH("叠放支架",L141)),"【赠品】"&amp;MID(L141,SEARCH("购机",L141)+LEN("购机"),LEN(L141)),IF(ISNUMBER(SEARCH("秀图",L141)),"【秀图】"&amp;MID(L141,SEARCH("秀图",L141)+LEN("秀图"),LEN(L141)),"")))),IFERROR(LEFT(_xlpm.A,FIND("【",_xlpm.A,FIND("】",_xlpm.A)+1)-1)&amp;MID(_xlpm.A,FIND("】",_xlpm.A,FIND("】",_xlpm.A)+1)+1,LEN(_xlpm.A)),_xlpm.A))</f>
        <v/>
      </c>
      <c r="H141" s="18" t="str">
        <f>_xlfn.LET(_xlpm.A,IF(ISNUMBER(SEARCH("晒单",M141)),"【晒单】"&amp;MID(M141,SEARCH("晒单",M141)+LEN("晒单"),LEN(M141))&amp;"（需晒单后联系客服登记）",IF(ISNUMBER(SEARCH("包修",M141)),"【购机】"&amp;MID(M141,SEARCH("购机",M141)+LEN("购机"),LEN(M141)),IF(ISNUMBER(SEARCH("叠放支架",M141)),"【赠品】"&amp;MID(M141,SEARCH("购机",M141)+LEN("购机"),LEN(M141)),IF(ISNUMBER(SEARCH("秀图",M141)),"【秀图】"&amp;MID(M141,SEARCH("秀图",M141)+LEN("秀图"),LEN(M141)),"")))),IFERROR(LEFT(_xlpm.A,FIND("【",_xlpm.A,FIND("】",_xlpm.A)+1)-1)&amp;MID(_xlpm.A,FIND("】",_xlpm.A,FIND("】",_xlpm.A)+1)+1,LEN(_xlpm.A)),_xlpm.A))</f>
        <v/>
      </c>
      <c r="I141" s="18" t="str">
        <f>_xlfn.LET(_xlpm.A,IF(ISNUMBER(SEARCH("晒单",N141)),"【晒单】"&amp;MID(N141,SEARCH("晒单",N141)+LEN("晒单"),LEN(N141))&amp;"（需晒单后联系客服登记）",IF(ISNUMBER(SEARCH("包修",N141)),"【购机】"&amp;MID(N141,SEARCH("购机",N141)+LEN("购机"),LEN(N141)),IF(ISNUMBER(SEARCH("叠放支架",N141)),"【赠品】"&amp;MID(N141,SEARCH("购机",N141)+LEN("购机"),LEN(N141)),IF(ISNUMBER(SEARCH("秀图",N141)),"【秀图】"&amp;MID(N141,SEARCH("秀图",N141)+LEN("秀图"),LEN(N141)),"")))),IFERROR(LEFT(_xlpm.A,FIND("【",_xlpm.A,FIND("】",_xlpm.A)+1)-1)&amp;MID(_xlpm.A,FIND("】",_xlpm.A,FIND("】",_xlpm.A)+1)+1,LEN(_xlpm.A)),_xlpm.A))</f>
        <v/>
      </c>
      <c r="J141" s="18" t="str" cm="1">
        <f t="array" ref="J141">IFERROR(INDEX(_xlfn.TEXTSPLIT(_xlfn.XLOOKUP($A141&amp;$B141&amp;$C141,盘货信息!$A:$A&amp;盘货信息!$B:$B&amp;盘货信息!$C:$C,盘货信息!$S:$S),CHAR(10),,TRUE),1,COLUMN(A140)),"")</f>
        <v/>
      </c>
      <c r="K141" s="18" t="str" cm="1">
        <f t="array" ref="K141">IFERROR(INDEX(_xlfn.TEXTSPLIT(_xlfn.XLOOKUP($A141&amp;$B141&amp;$C141,盘货信息!$A:$A&amp;盘货信息!$B:$B&amp;盘货信息!$C:$C,盘货信息!$S:$S),CHAR(10),,TRUE),1,COLUMN(B140)),"")</f>
        <v/>
      </c>
      <c r="L141" s="18" t="str" cm="1">
        <f t="array" ref="L141">IFERROR(INDEX(_xlfn.TEXTSPLIT(_xlfn.XLOOKUP($A141&amp;$B141&amp;$C141,盘货信息!$A:$A&amp;盘货信息!$B:$B&amp;盘货信息!$C:$C,盘货信息!$S:$S),CHAR(10),,TRUE),1,COLUMN(C140)),"")</f>
        <v/>
      </c>
      <c r="M141" s="18" t="str" cm="1">
        <f t="array" ref="M141">IFERROR(INDEX(_xlfn.TEXTSPLIT(_xlfn.XLOOKUP($A141&amp;$B141&amp;$C141,盘货信息!$A:$A&amp;盘货信息!$B:$B&amp;盘货信息!$C:$C,盘货信息!$S:$S),CHAR(10),,TRUE),1,COLUMN(D140)),"")</f>
        <v/>
      </c>
      <c r="N141" s="18" t="str" cm="1">
        <f t="array" ref="N141">IFERROR(INDEX(_xlfn.TEXTSPLIT(_xlfn.XLOOKUP($A141&amp;$B141&amp;$C141,盘货信息!$A:$A&amp;盘货信息!$B:$B&amp;盘货信息!$C:$C,盘货信息!$S:$S),CHAR(10),,TRUE),1,COLUMN(E140)),"")</f>
        <v/>
      </c>
    </row>
    <row r="142" customHeight="1" spans="1:14">
      <c r="A142" s="17" t="str">
        <f>IF(盘货信息!A142="","",盘货信息!A142)</f>
        <v/>
      </c>
      <c r="B142" s="17" t="str">
        <f>IF(盘货信息!B142="","",盘货信息!B142)</f>
        <v/>
      </c>
      <c r="C142" s="18" t="str">
        <f>IF(盘货信息!C142="","",盘货信息!C142)</f>
        <v/>
      </c>
      <c r="D142" s="18" t="str">
        <f t="shared" si="2"/>
        <v/>
      </c>
      <c r="E142" s="18" t="str">
        <f>_xlfn.LET(_xlpm.A,IF(ISNUMBER(SEARCH("晒单",J142)),"【晒单】"&amp;MID(J142,SEARCH("晒单",J142)+LEN("晒单"),LEN(J142))&amp;"（需晒单后联系客服登记）",IF(ISNUMBER(SEARCH("包修",J142)),"【购机】"&amp;MID(J142,SEARCH("购机",J142)+LEN("购机"),LEN(J142)),IF(ISNUMBER(SEARCH("叠放支架",J142)),"【赠品】"&amp;MID(J142,SEARCH("购机",J142)+LEN("购机"),LEN(J142)),IF(ISNUMBER(SEARCH("秀图",J142)),"【秀图】"&amp;MID(J142,SEARCH("秀图",J142)+LEN("秀图"),LEN(J142)),"")))),IFERROR(LEFT(_xlpm.A,FIND("【",_xlpm.A,FIND("】",_xlpm.A)+1)-1)&amp;MID(_xlpm.A,FIND("】",_xlpm.A,FIND("】",_xlpm.A)+1)+1,LEN(_xlpm.A)),_xlpm.A))</f>
        <v/>
      </c>
      <c r="F142" s="18" t="str">
        <f>_xlfn.LET(_xlpm.A,IF(ISNUMBER(SEARCH("晒单",K142)),"【晒单】"&amp;MID(K142,SEARCH("晒单",K142)+LEN("晒单"),LEN(K142))&amp;"（需晒单后联系客服登记）",IF(ISNUMBER(SEARCH("包修",K142)),"【购机】"&amp;MID(K142,SEARCH("购机",K142)+LEN("购机"),LEN(K142)),IF(ISNUMBER(SEARCH("叠放支架",K142)),"【赠品】"&amp;MID(K142,SEARCH("购机",K142)+LEN("购机"),LEN(K142)),IF(ISNUMBER(SEARCH("秀图",K142)),"【秀图】"&amp;MID(K142,SEARCH("秀图",K142)+LEN("秀图"),LEN(K142)),"")))),IFERROR(LEFT(_xlpm.A,FIND("【",_xlpm.A,FIND("】",_xlpm.A)+1)-1)&amp;MID(_xlpm.A,FIND("】",_xlpm.A,FIND("】",_xlpm.A)+1)+1,LEN(_xlpm.A)),_xlpm.A))</f>
        <v/>
      </c>
      <c r="G142" s="18" t="str">
        <f>_xlfn.LET(_xlpm.A,IF(ISNUMBER(SEARCH("晒单",L142)),"【晒单】"&amp;MID(L142,SEARCH("晒单",L142)+LEN("晒单"),LEN(L142))&amp;"（需晒单后联系客服登记）",IF(ISNUMBER(SEARCH("包修",L142)),"【购机】"&amp;MID(L142,SEARCH("购机",L142)+LEN("购机"),LEN(L142)),IF(ISNUMBER(SEARCH("叠放支架",L142)),"【赠品】"&amp;MID(L142,SEARCH("购机",L142)+LEN("购机"),LEN(L142)),IF(ISNUMBER(SEARCH("秀图",L142)),"【秀图】"&amp;MID(L142,SEARCH("秀图",L142)+LEN("秀图"),LEN(L142)),"")))),IFERROR(LEFT(_xlpm.A,FIND("【",_xlpm.A,FIND("】",_xlpm.A)+1)-1)&amp;MID(_xlpm.A,FIND("】",_xlpm.A,FIND("】",_xlpm.A)+1)+1,LEN(_xlpm.A)),_xlpm.A))</f>
        <v/>
      </c>
      <c r="H142" s="18" t="str">
        <f>_xlfn.LET(_xlpm.A,IF(ISNUMBER(SEARCH("晒单",M142)),"【晒单】"&amp;MID(M142,SEARCH("晒单",M142)+LEN("晒单"),LEN(M142))&amp;"（需晒单后联系客服登记）",IF(ISNUMBER(SEARCH("包修",M142)),"【购机】"&amp;MID(M142,SEARCH("购机",M142)+LEN("购机"),LEN(M142)),IF(ISNUMBER(SEARCH("叠放支架",M142)),"【赠品】"&amp;MID(M142,SEARCH("购机",M142)+LEN("购机"),LEN(M142)),IF(ISNUMBER(SEARCH("秀图",M142)),"【秀图】"&amp;MID(M142,SEARCH("秀图",M142)+LEN("秀图"),LEN(M142)),"")))),IFERROR(LEFT(_xlpm.A,FIND("【",_xlpm.A,FIND("】",_xlpm.A)+1)-1)&amp;MID(_xlpm.A,FIND("】",_xlpm.A,FIND("】",_xlpm.A)+1)+1,LEN(_xlpm.A)),_xlpm.A))</f>
        <v/>
      </c>
      <c r="I142" s="18" t="str">
        <f>_xlfn.LET(_xlpm.A,IF(ISNUMBER(SEARCH("晒单",N142)),"【晒单】"&amp;MID(N142,SEARCH("晒单",N142)+LEN("晒单"),LEN(N142))&amp;"（需晒单后联系客服登记）",IF(ISNUMBER(SEARCH("包修",N142)),"【购机】"&amp;MID(N142,SEARCH("购机",N142)+LEN("购机"),LEN(N142)),IF(ISNUMBER(SEARCH("叠放支架",N142)),"【赠品】"&amp;MID(N142,SEARCH("购机",N142)+LEN("购机"),LEN(N142)),IF(ISNUMBER(SEARCH("秀图",N142)),"【秀图】"&amp;MID(N142,SEARCH("秀图",N142)+LEN("秀图"),LEN(N142)),"")))),IFERROR(LEFT(_xlpm.A,FIND("【",_xlpm.A,FIND("】",_xlpm.A)+1)-1)&amp;MID(_xlpm.A,FIND("】",_xlpm.A,FIND("】",_xlpm.A)+1)+1,LEN(_xlpm.A)),_xlpm.A))</f>
        <v/>
      </c>
      <c r="J142" s="18" t="str" cm="1">
        <f t="array" ref="J142">IFERROR(INDEX(_xlfn.TEXTSPLIT(_xlfn.XLOOKUP($A142&amp;$B142&amp;$C142,盘货信息!$A:$A&amp;盘货信息!$B:$B&amp;盘货信息!$C:$C,盘货信息!$S:$S),CHAR(10),,TRUE),1,COLUMN(A141)),"")</f>
        <v/>
      </c>
      <c r="K142" s="18" t="str" cm="1">
        <f t="array" ref="K142">IFERROR(INDEX(_xlfn.TEXTSPLIT(_xlfn.XLOOKUP($A142&amp;$B142&amp;$C142,盘货信息!$A:$A&amp;盘货信息!$B:$B&amp;盘货信息!$C:$C,盘货信息!$S:$S),CHAR(10),,TRUE),1,COLUMN(B141)),"")</f>
        <v/>
      </c>
      <c r="L142" s="18" t="str" cm="1">
        <f t="array" ref="L142">IFERROR(INDEX(_xlfn.TEXTSPLIT(_xlfn.XLOOKUP($A142&amp;$B142&amp;$C142,盘货信息!$A:$A&amp;盘货信息!$B:$B&amp;盘货信息!$C:$C,盘货信息!$S:$S),CHAR(10),,TRUE),1,COLUMN(C141)),"")</f>
        <v/>
      </c>
      <c r="M142" s="18" t="str" cm="1">
        <f t="array" ref="M142">IFERROR(INDEX(_xlfn.TEXTSPLIT(_xlfn.XLOOKUP($A142&amp;$B142&amp;$C142,盘货信息!$A:$A&amp;盘货信息!$B:$B&amp;盘货信息!$C:$C,盘货信息!$S:$S),CHAR(10),,TRUE),1,COLUMN(D141)),"")</f>
        <v/>
      </c>
      <c r="N142" s="18" t="str" cm="1">
        <f t="array" ref="N142">IFERROR(INDEX(_xlfn.TEXTSPLIT(_xlfn.XLOOKUP($A142&amp;$B142&amp;$C142,盘货信息!$A:$A&amp;盘货信息!$B:$B&amp;盘货信息!$C:$C,盘货信息!$S:$S),CHAR(10),,TRUE),1,COLUMN(E141)),"")</f>
        <v/>
      </c>
    </row>
    <row r="143" customHeight="1" spans="1:14">
      <c r="A143" s="17" t="str">
        <f>IF(盘货信息!A143="","",盘货信息!A143)</f>
        <v/>
      </c>
      <c r="B143" s="17" t="str">
        <f>IF(盘货信息!B143="","",盘货信息!B143)</f>
        <v/>
      </c>
      <c r="C143" s="21" t="str">
        <f>IF(盘货信息!C143="","",盘货信息!C143)</f>
        <v/>
      </c>
      <c r="D143" s="18" t="str">
        <f t="shared" si="2"/>
        <v/>
      </c>
      <c r="E143" s="18" t="str">
        <f>_xlfn.LET(_xlpm.A,IF(ISNUMBER(SEARCH("晒单",J143)),"【晒单】"&amp;MID(J143,SEARCH("晒单",J143)+LEN("晒单"),LEN(J143))&amp;"（需晒单后联系客服登记）",IF(ISNUMBER(SEARCH("包修",J143)),"【购机】"&amp;MID(J143,SEARCH("购机",J143)+LEN("购机"),LEN(J143)),IF(ISNUMBER(SEARCH("叠放支架",J143)),"【赠品】"&amp;MID(J143,SEARCH("购机",J143)+LEN("购机"),LEN(J143)),IF(ISNUMBER(SEARCH("秀图",J143)),"【秀图】"&amp;MID(J143,SEARCH("秀图",J143)+LEN("秀图"),LEN(J143)),"")))),IFERROR(LEFT(_xlpm.A,FIND("【",_xlpm.A,FIND("】",_xlpm.A)+1)-1)&amp;MID(_xlpm.A,FIND("】",_xlpm.A,FIND("】",_xlpm.A)+1)+1,LEN(_xlpm.A)),_xlpm.A))</f>
        <v/>
      </c>
      <c r="F143" s="18" t="str">
        <f>_xlfn.LET(_xlpm.A,IF(ISNUMBER(SEARCH("晒单",K143)),"【晒单】"&amp;MID(K143,SEARCH("晒单",K143)+LEN("晒单"),LEN(K143))&amp;"（需晒单后联系客服登记）",IF(ISNUMBER(SEARCH("包修",K143)),"【购机】"&amp;MID(K143,SEARCH("购机",K143)+LEN("购机"),LEN(K143)),IF(ISNUMBER(SEARCH("叠放支架",K143)),"【赠品】"&amp;MID(K143,SEARCH("购机",K143)+LEN("购机"),LEN(K143)),IF(ISNUMBER(SEARCH("秀图",K143)),"【秀图】"&amp;MID(K143,SEARCH("秀图",K143)+LEN("秀图"),LEN(K143)),"")))),IFERROR(LEFT(_xlpm.A,FIND("【",_xlpm.A,FIND("】",_xlpm.A)+1)-1)&amp;MID(_xlpm.A,FIND("】",_xlpm.A,FIND("】",_xlpm.A)+1)+1,LEN(_xlpm.A)),_xlpm.A))</f>
        <v/>
      </c>
      <c r="G143" s="18" t="str">
        <f>_xlfn.LET(_xlpm.A,IF(ISNUMBER(SEARCH("晒单",L143)),"【晒单】"&amp;MID(L143,SEARCH("晒单",L143)+LEN("晒单"),LEN(L143))&amp;"（需晒单后联系客服登记）",IF(ISNUMBER(SEARCH("包修",L143)),"【购机】"&amp;MID(L143,SEARCH("购机",L143)+LEN("购机"),LEN(L143)),IF(ISNUMBER(SEARCH("叠放支架",L143)),"【赠品】"&amp;MID(L143,SEARCH("购机",L143)+LEN("购机"),LEN(L143)),IF(ISNUMBER(SEARCH("秀图",L143)),"【秀图】"&amp;MID(L143,SEARCH("秀图",L143)+LEN("秀图"),LEN(L143)),"")))),IFERROR(LEFT(_xlpm.A,FIND("【",_xlpm.A,FIND("】",_xlpm.A)+1)-1)&amp;MID(_xlpm.A,FIND("】",_xlpm.A,FIND("】",_xlpm.A)+1)+1,LEN(_xlpm.A)),_xlpm.A))</f>
        <v/>
      </c>
      <c r="H143" s="18" t="str">
        <f>_xlfn.LET(_xlpm.A,IF(ISNUMBER(SEARCH("晒单",M143)),"【晒单】"&amp;MID(M143,SEARCH("晒单",M143)+LEN("晒单"),LEN(M143))&amp;"（需晒单后联系客服登记）",IF(ISNUMBER(SEARCH("包修",M143)),"【购机】"&amp;MID(M143,SEARCH("购机",M143)+LEN("购机"),LEN(M143)),IF(ISNUMBER(SEARCH("叠放支架",M143)),"【赠品】"&amp;MID(M143,SEARCH("购机",M143)+LEN("购机"),LEN(M143)),IF(ISNUMBER(SEARCH("秀图",M143)),"【秀图】"&amp;MID(M143,SEARCH("秀图",M143)+LEN("秀图"),LEN(M143)),"")))),IFERROR(LEFT(_xlpm.A,FIND("【",_xlpm.A,FIND("】",_xlpm.A)+1)-1)&amp;MID(_xlpm.A,FIND("】",_xlpm.A,FIND("】",_xlpm.A)+1)+1,LEN(_xlpm.A)),_xlpm.A))</f>
        <v/>
      </c>
      <c r="I143" s="18" t="str">
        <f>_xlfn.LET(_xlpm.A,IF(ISNUMBER(SEARCH("晒单",N143)),"【晒单】"&amp;MID(N143,SEARCH("晒单",N143)+LEN("晒单"),LEN(N143))&amp;"（需晒单后联系客服登记）",IF(ISNUMBER(SEARCH("包修",N143)),"【购机】"&amp;MID(N143,SEARCH("购机",N143)+LEN("购机"),LEN(N143)),IF(ISNUMBER(SEARCH("叠放支架",N143)),"【赠品】"&amp;MID(N143,SEARCH("购机",N143)+LEN("购机"),LEN(N143)),IF(ISNUMBER(SEARCH("秀图",N143)),"【秀图】"&amp;MID(N143,SEARCH("秀图",N143)+LEN("秀图"),LEN(N143)),"")))),IFERROR(LEFT(_xlpm.A,FIND("【",_xlpm.A,FIND("】",_xlpm.A)+1)-1)&amp;MID(_xlpm.A,FIND("】",_xlpm.A,FIND("】",_xlpm.A)+1)+1,LEN(_xlpm.A)),_xlpm.A))</f>
        <v/>
      </c>
      <c r="J143" s="18" t="str" cm="1">
        <f t="array" ref="J143">IFERROR(INDEX(_xlfn.TEXTSPLIT(_xlfn.XLOOKUP($A143&amp;$B143&amp;$C143,盘货信息!$A:$A&amp;盘货信息!$B:$B&amp;盘货信息!$C:$C,盘货信息!$S:$S),CHAR(10),,TRUE),1,COLUMN(A142)),"")</f>
        <v/>
      </c>
      <c r="K143" s="18" t="str" cm="1">
        <f t="array" ref="K143">IFERROR(INDEX(_xlfn.TEXTSPLIT(_xlfn.XLOOKUP($A143&amp;$B143&amp;$C143,盘货信息!$A:$A&amp;盘货信息!$B:$B&amp;盘货信息!$C:$C,盘货信息!$S:$S),CHAR(10),,TRUE),1,COLUMN(B142)),"")</f>
        <v/>
      </c>
      <c r="L143" s="18" t="str" cm="1">
        <f t="array" ref="L143">IFERROR(INDEX(_xlfn.TEXTSPLIT(_xlfn.XLOOKUP($A143&amp;$B143&amp;$C143,盘货信息!$A:$A&amp;盘货信息!$B:$B&amp;盘货信息!$C:$C,盘货信息!$S:$S),CHAR(10),,TRUE),1,COLUMN(C142)),"")</f>
        <v/>
      </c>
      <c r="M143" s="18" t="str" cm="1">
        <f t="array" ref="M143">IFERROR(INDEX(_xlfn.TEXTSPLIT(_xlfn.XLOOKUP($A143&amp;$B143&amp;$C143,盘货信息!$A:$A&amp;盘货信息!$B:$B&amp;盘货信息!$C:$C,盘货信息!$S:$S),CHAR(10),,TRUE),1,COLUMN(D142)),"")</f>
        <v/>
      </c>
      <c r="N143" s="18" t="str" cm="1">
        <f t="array" ref="N143">IFERROR(INDEX(_xlfn.TEXTSPLIT(_xlfn.XLOOKUP($A143&amp;$B143&amp;$C143,盘货信息!$A:$A&amp;盘货信息!$B:$B&amp;盘货信息!$C:$C,盘货信息!$S:$S),CHAR(10),,TRUE),1,COLUMN(E142)),"")</f>
        <v/>
      </c>
    </row>
    <row r="144" customHeight="1" spans="1:14">
      <c r="A144" s="17" t="str">
        <f>IF(盘货信息!A144="","",盘货信息!A144)</f>
        <v/>
      </c>
      <c r="B144" s="17" t="str">
        <f>IF(盘货信息!B144="","",盘货信息!B144)</f>
        <v/>
      </c>
      <c r="C144" s="18" t="str">
        <f>IF(盘货信息!C144="","",盘货信息!C144)</f>
        <v/>
      </c>
      <c r="D144" s="18" t="str">
        <f t="shared" si="2"/>
        <v/>
      </c>
      <c r="E144" s="18" t="str">
        <f>_xlfn.LET(_xlpm.A,IF(ISNUMBER(SEARCH("晒单",J144)),"【晒单】"&amp;MID(J144,SEARCH("晒单",J144)+LEN("晒单"),LEN(J144))&amp;"（需晒单后联系客服登记）",IF(ISNUMBER(SEARCH("包修",J144)),"【购机】"&amp;MID(J144,SEARCH("购机",J144)+LEN("购机"),LEN(J144)),IF(ISNUMBER(SEARCH("叠放支架",J144)),"【赠品】"&amp;MID(J144,SEARCH("购机",J144)+LEN("购机"),LEN(J144)),IF(ISNUMBER(SEARCH("秀图",J144)),"【秀图】"&amp;MID(J144,SEARCH("秀图",J144)+LEN("秀图"),LEN(J144)),"")))),IFERROR(LEFT(_xlpm.A,FIND("【",_xlpm.A,FIND("】",_xlpm.A)+1)-1)&amp;MID(_xlpm.A,FIND("】",_xlpm.A,FIND("】",_xlpm.A)+1)+1,LEN(_xlpm.A)),_xlpm.A))</f>
        <v/>
      </c>
      <c r="F144" s="18" t="str">
        <f>_xlfn.LET(_xlpm.A,IF(ISNUMBER(SEARCH("晒单",K144)),"【晒单】"&amp;MID(K144,SEARCH("晒单",K144)+LEN("晒单"),LEN(K144))&amp;"（需晒单后联系客服登记）",IF(ISNUMBER(SEARCH("包修",K144)),"【购机】"&amp;MID(K144,SEARCH("购机",K144)+LEN("购机"),LEN(K144)),IF(ISNUMBER(SEARCH("叠放支架",K144)),"【赠品】"&amp;MID(K144,SEARCH("购机",K144)+LEN("购机"),LEN(K144)),IF(ISNUMBER(SEARCH("秀图",K144)),"【秀图】"&amp;MID(K144,SEARCH("秀图",K144)+LEN("秀图"),LEN(K144)),"")))),IFERROR(LEFT(_xlpm.A,FIND("【",_xlpm.A,FIND("】",_xlpm.A)+1)-1)&amp;MID(_xlpm.A,FIND("】",_xlpm.A,FIND("】",_xlpm.A)+1)+1,LEN(_xlpm.A)),_xlpm.A))</f>
        <v/>
      </c>
      <c r="G144" s="18" t="str">
        <f>_xlfn.LET(_xlpm.A,IF(ISNUMBER(SEARCH("晒单",L144)),"【晒单】"&amp;MID(L144,SEARCH("晒单",L144)+LEN("晒单"),LEN(L144))&amp;"（需晒单后联系客服登记）",IF(ISNUMBER(SEARCH("包修",L144)),"【购机】"&amp;MID(L144,SEARCH("购机",L144)+LEN("购机"),LEN(L144)),IF(ISNUMBER(SEARCH("叠放支架",L144)),"【赠品】"&amp;MID(L144,SEARCH("购机",L144)+LEN("购机"),LEN(L144)),IF(ISNUMBER(SEARCH("秀图",L144)),"【秀图】"&amp;MID(L144,SEARCH("秀图",L144)+LEN("秀图"),LEN(L144)),"")))),IFERROR(LEFT(_xlpm.A,FIND("【",_xlpm.A,FIND("】",_xlpm.A)+1)-1)&amp;MID(_xlpm.A,FIND("】",_xlpm.A,FIND("】",_xlpm.A)+1)+1,LEN(_xlpm.A)),_xlpm.A))</f>
        <v/>
      </c>
      <c r="H144" s="18" t="str">
        <f>_xlfn.LET(_xlpm.A,IF(ISNUMBER(SEARCH("晒单",M144)),"【晒单】"&amp;MID(M144,SEARCH("晒单",M144)+LEN("晒单"),LEN(M144))&amp;"（需晒单后联系客服登记）",IF(ISNUMBER(SEARCH("包修",M144)),"【购机】"&amp;MID(M144,SEARCH("购机",M144)+LEN("购机"),LEN(M144)),IF(ISNUMBER(SEARCH("叠放支架",M144)),"【赠品】"&amp;MID(M144,SEARCH("购机",M144)+LEN("购机"),LEN(M144)),IF(ISNUMBER(SEARCH("秀图",M144)),"【秀图】"&amp;MID(M144,SEARCH("秀图",M144)+LEN("秀图"),LEN(M144)),"")))),IFERROR(LEFT(_xlpm.A,FIND("【",_xlpm.A,FIND("】",_xlpm.A)+1)-1)&amp;MID(_xlpm.A,FIND("】",_xlpm.A,FIND("】",_xlpm.A)+1)+1,LEN(_xlpm.A)),_xlpm.A))</f>
        <v/>
      </c>
      <c r="I144" s="18" t="str">
        <f>_xlfn.LET(_xlpm.A,IF(ISNUMBER(SEARCH("晒单",N144)),"【晒单】"&amp;MID(N144,SEARCH("晒单",N144)+LEN("晒单"),LEN(N144))&amp;"（需晒单后联系客服登记）",IF(ISNUMBER(SEARCH("包修",N144)),"【购机】"&amp;MID(N144,SEARCH("购机",N144)+LEN("购机"),LEN(N144)),IF(ISNUMBER(SEARCH("叠放支架",N144)),"【赠品】"&amp;MID(N144,SEARCH("购机",N144)+LEN("购机"),LEN(N144)),IF(ISNUMBER(SEARCH("秀图",N144)),"【秀图】"&amp;MID(N144,SEARCH("秀图",N144)+LEN("秀图"),LEN(N144)),"")))),IFERROR(LEFT(_xlpm.A,FIND("【",_xlpm.A,FIND("】",_xlpm.A)+1)-1)&amp;MID(_xlpm.A,FIND("】",_xlpm.A,FIND("】",_xlpm.A)+1)+1,LEN(_xlpm.A)),_xlpm.A))</f>
        <v/>
      </c>
      <c r="J144" s="18" t="str" cm="1">
        <f t="array" ref="J144">IFERROR(INDEX(_xlfn.TEXTSPLIT(_xlfn.XLOOKUP($A144&amp;$B144&amp;$C144,盘货信息!$A:$A&amp;盘货信息!$B:$B&amp;盘货信息!$C:$C,盘货信息!$S:$S),CHAR(10),,TRUE),1,COLUMN(A143)),"")</f>
        <v/>
      </c>
      <c r="K144" s="18" t="str" cm="1">
        <f t="array" ref="K144">IFERROR(INDEX(_xlfn.TEXTSPLIT(_xlfn.XLOOKUP($A144&amp;$B144&amp;$C144,盘货信息!$A:$A&amp;盘货信息!$B:$B&amp;盘货信息!$C:$C,盘货信息!$S:$S),CHAR(10),,TRUE),1,COLUMN(B143)),"")</f>
        <v/>
      </c>
      <c r="L144" s="18" t="str" cm="1">
        <f t="array" ref="L144">IFERROR(INDEX(_xlfn.TEXTSPLIT(_xlfn.XLOOKUP($A144&amp;$B144&amp;$C144,盘货信息!$A:$A&amp;盘货信息!$B:$B&amp;盘货信息!$C:$C,盘货信息!$S:$S),CHAR(10),,TRUE),1,COLUMN(C143)),"")</f>
        <v/>
      </c>
      <c r="M144" s="18" t="str" cm="1">
        <f t="array" ref="M144">IFERROR(INDEX(_xlfn.TEXTSPLIT(_xlfn.XLOOKUP($A144&amp;$B144&amp;$C144,盘货信息!$A:$A&amp;盘货信息!$B:$B&amp;盘货信息!$C:$C,盘货信息!$S:$S),CHAR(10),,TRUE),1,COLUMN(D143)),"")</f>
        <v/>
      </c>
      <c r="N144" s="18" t="str" cm="1">
        <f t="array" ref="N144">IFERROR(INDEX(_xlfn.TEXTSPLIT(_xlfn.XLOOKUP($A144&amp;$B144&amp;$C144,盘货信息!$A:$A&amp;盘货信息!$B:$B&amp;盘货信息!$C:$C,盘货信息!$S:$S),CHAR(10),,TRUE),1,COLUMN(E143)),"")</f>
        <v/>
      </c>
    </row>
    <row r="145" customHeight="1" spans="1:14">
      <c r="A145" s="17" t="str">
        <f>IF(盘货信息!A145="","",盘货信息!A145)</f>
        <v/>
      </c>
      <c r="B145" s="17" t="str">
        <f>IF(盘货信息!B145="","",盘货信息!B145)</f>
        <v/>
      </c>
      <c r="C145" s="18" t="str">
        <f>IF(盘货信息!C145="","",盘货信息!C145)</f>
        <v/>
      </c>
      <c r="D145" s="18" t="str">
        <f t="shared" si="2"/>
        <v/>
      </c>
      <c r="E145" s="18" t="str">
        <f>_xlfn.LET(_xlpm.A,IF(ISNUMBER(SEARCH("晒单",J145)),"【晒单】"&amp;MID(J145,SEARCH("晒单",J145)+LEN("晒单"),LEN(J145))&amp;"（需晒单后联系客服登记）",IF(ISNUMBER(SEARCH("包修",J145)),"【购机】"&amp;MID(J145,SEARCH("购机",J145)+LEN("购机"),LEN(J145)),IF(ISNUMBER(SEARCH("叠放支架",J145)),"【赠品】"&amp;MID(J145,SEARCH("购机",J145)+LEN("购机"),LEN(J145)),IF(ISNUMBER(SEARCH("秀图",J145)),"【秀图】"&amp;MID(J145,SEARCH("秀图",J145)+LEN("秀图"),LEN(J145)),"")))),IFERROR(LEFT(_xlpm.A,FIND("【",_xlpm.A,FIND("】",_xlpm.A)+1)-1)&amp;MID(_xlpm.A,FIND("】",_xlpm.A,FIND("】",_xlpm.A)+1)+1,LEN(_xlpm.A)),_xlpm.A))</f>
        <v/>
      </c>
      <c r="F145" s="18" t="str">
        <f>_xlfn.LET(_xlpm.A,IF(ISNUMBER(SEARCH("晒单",K145)),"【晒单】"&amp;MID(K145,SEARCH("晒单",K145)+LEN("晒单"),LEN(K145))&amp;"（需晒单后联系客服登记）",IF(ISNUMBER(SEARCH("包修",K145)),"【购机】"&amp;MID(K145,SEARCH("购机",K145)+LEN("购机"),LEN(K145)),IF(ISNUMBER(SEARCH("叠放支架",K145)),"【赠品】"&amp;MID(K145,SEARCH("购机",K145)+LEN("购机"),LEN(K145)),IF(ISNUMBER(SEARCH("秀图",K145)),"【秀图】"&amp;MID(K145,SEARCH("秀图",K145)+LEN("秀图"),LEN(K145)),"")))),IFERROR(LEFT(_xlpm.A,FIND("【",_xlpm.A,FIND("】",_xlpm.A)+1)-1)&amp;MID(_xlpm.A,FIND("】",_xlpm.A,FIND("】",_xlpm.A)+1)+1,LEN(_xlpm.A)),_xlpm.A))</f>
        <v/>
      </c>
      <c r="G145" s="18" t="str">
        <f>_xlfn.LET(_xlpm.A,IF(ISNUMBER(SEARCH("晒单",L145)),"【晒单】"&amp;MID(L145,SEARCH("晒单",L145)+LEN("晒单"),LEN(L145))&amp;"（需晒单后联系客服登记）",IF(ISNUMBER(SEARCH("包修",L145)),"【购机】"&amp;MID(L145,SEARCH("购机",L145)+LEN("购机"),LEN(L145)),IF(ISNUMBER(SEARCH("叠放支架",L145)),"【赠品】"&amp;MID(L145,SEARCH("购机",L145)+LEN("购机"),LEN(L145)),IF(ISNUMBER(SEARCH("秀图",L145)),"【秀图】"&amp;MID(L145,SEARCH("秀图",L145)+LEN("秀图"),LEN(L145)),"")))),IFERROR(LEFT(_xlpm.A,FIND("【",_xlpm.A,FIND("】",_xlpm.A)+1)-1)&amp;MID(_xlpm.A,FIND("】",_xlpm.A,FIND("】",_xlpm.A)+1)+1,LEN(_xlpm.A)),_xlpm.A))</f>
        <v/>
      </c>
      <c r="H145" s="18" t="str">
        <f>_xlfn.LET(_xlpm.A,IF(ISNUMBER(SEARCH("晒单",M145)),"【晒单】"&amp;MID(M145,SEARCH("晒单",M145)+LEN("晒单"),LEN(M145))&amp;"（需晒单后联系客服登记）",IF(ISNUMBER(SEARCH("包修",M145)),"【购机】"&amp;MID(M145,SEARCH("购机",M145)+LEN("购机"),LEN(M145)),IF(ISNUMBER(SEARCH("叠放支架",M145)),"【赠品】"&amp;MID(M145,SEARCH("购机",M145)+LEN("购机"),LEN(M145)),IF(ISNUMBER(SEARCH("秀图",M145)),"【秀图】"&amp;MID(M145,SEARCH("秀图",M145)+LEN("秀图"),LEN(M145)),"")))),IFERROR(LEFT(_xlpm.A,FIND("【",_xlpm.A,FIND("】",_xlpm.A)+1)-1)&amp;MID(_xlpm.A,FIND("】",_xlpm.A,FIND("】",_xlpm.A)+1)+1,LEN(_xlpm.A)),_xlpm.A))</f>
        <v/>
      </c>
      <c r="I145" s="18" t="str">
        <f>_xlfn.LET(_xlpm.A,IF(ISNUMBER(SEARCH("晒单",N145)),"【晒单】"&amp;MID(N145,SEARCH("晒单",N145)+LEN("晒单"),LEN(N145))&amp;"（需晒单后联系客服登记）",IF(ISNUMBER(SEARCH("包修",N145)),"【购机】"&amp;MID(N145,SEARCH("购机",N145)+LEN("购机"),LEN(N145)),IF(ISNUMBER(SEARCH("叠放支架",N145)),"【赠品】"&amp;MID(N145,SEARCH("购机",N145)+LEN("购机"),LEN(N145)),IF(ISNUMBER(SEARCH("秀图",N145)),"【秀图】"&amp;MID(N145,SEARCH("秀图",N145)+LEN("秀图"),LEN(N145)),"")))),IFERROR(LEFT(_xlpm.A,FIND("【",_xlpm.A,FIND("】",_xlpm.A)+1)-1)&amp;MID(_xlpm.A,FIND("】",_xlpm.A,FIND("】",_xlpm.A)+1)+1,LEN(_xlpm.A)),_xlpm.A))</f>
        <v/>
      </c>
      <c r="J145" s="18" t="str" cm="1">
        <f t="array" ref="J145">IFERROR(INDEX(_xlfn.TEXTSPLIT(_xlfn.XLOOKUP($A145&amp;$B145&amp;$C145,盘货信息!$A:$A&amp;盘货信息!$B:$B&amp;盘货信息!$C:$C,盘货信息!$S:$S),CHAR(10),,TRUE),1,COLUMN(A144)),"")</f>
        <v/>
      </c>
      <c r="K145" s="18" t="str" cm="1">
        <f t="array" ref="K145">IFERROR(INDEX(_xlfn.TEXTSPLIT(_xlfn.XLOOKUP($A145&amp;$B145&amp;$C145,盘货信息!$A:$A&amp;盘货信息!$B:$B&amp;盘货信息!$C:$C,盘货信息!$S:$S),CHAR(10),,TRUE),1,COLUMN(B144)),"")</f>
        <v/>
      </c>
      <c r="L145" s="18" t="str" cm="1">
        <f t="array" ref="L145">IFERROR(INDEX(_xlfn.TEXTSPLIT(_xlfn.XLOOKUP($A145&amp;$B145&amp;$C145,盘货信息!$A:$A&amp;盘货信息!$B:$B&amp;盘货信息!$C:$C,盘货信息!$S:$S),CHAR(10),,TRUE),1,COLUMN(C144)),"")</f>
        <v/>
      </c>
      <c r="M145" s="18" t="str" cm="1">
        <f t="array" ref="M145">IFERROR(INDEX(_xlfn.TEXTSPLIT(_xlfn.XLOOKUP($A145&amp;$B145&amp;$C145,盘货信息!$A:$A&amp;盘货信息!$B:$B&amp;盘货信息!$C:$C,盘货信息!$S:$S),CHAR(10),,TRUE),1,COLUMN(D144)),"")</f>
        <v/>
      </c>
      <c r="N145" s="18" t="str" cm="1">
        <f t="array" ref="N145">IFERROR(INDEX(_xlfn.TEXTSPLIT(_xlfn.XLOOKUP($A145&amp;$B145&amp;$C145,盘货信息!$A:$A&amp;盘货信息!$B:$B&amp;盘货信息!$C:$C,盘货信息!$S:$S),CHAR(10),,TRUE),1,COLUMN(E144)),"")</f>
        <v/>
      </c>
    </row>
    <row r="146" customHeight="1" spans="1:14">
      <c r="A146" s="17" t="str">
        <f>IF(盘货信息!A146="","",盘货信息!A146)</f>
        <v/>
      </c>
      <c r="B146" s="17" t="str">
        <f>IF(盘货信息!B146="","",盘货信息!B146)</f>
        <v/>
      </c>
      <c r="C146" s="18" t="str">
        <f>IF(盘货信息!C146="","",盘货信息!C146)</f>
        <v/>
      </c>
      <c r="D146" s="18" t="str">
        <f t="shared" si="2"/>
        <v/>
      </c>
      <c r="E146" s="18" t="str">
        <f>_xlfn.LET(_xlpm.A,IF(ISNUMBER(SEARCH("晒单",J146)),"【晒单】"&amp;MID(J146,SEARCH("晒单",J146)+LEN("晒单"),LEN(J146))&amp;"（需晒单后联系客服登记）",IF(ISNUMBER(SEARCH("包修",J146)),"【购机】"&amp;MID(J146,SEARCH("购机",J146)+LEN("购机"),LEN(J146)),IF(ISNUMBER(SEARCH("叠放支架",J146)),"【赠品】"&amp;MID(J146,SEARCH("购机",J146)+LEN("购机"),LEN(J146)),IF(ISNUMBER(SEARCH("秀图",J146)),"【秀图】"&amp;MID(J146,SEARCH("秀图",J146)+LEN("秀图"),LEN(J146)),"")))),IFERROR(LEFT(_xlpm.A,FIND("【",_xlpm.A,FIND("】",_xlpm.A)+1)-1)&amp;MID(_xlpm.A,FIND("】",_xlpm.A,FIND("】",_xlpm.A)+1)+1,LEN(_xlpm.A)),_xlpm.A))</f>
        <v/>
      </c>
      <c r="F146" s="18" t="str">
        <f>_xlfn.LET(_xlpm.A,IF(ISNUMBER(SEARCH("晒单",K146)),"【晒单】"&amp;MID(K146,SEARCH("晒单",K146)+LEN("晒单"),LEN(K146))&amp;"（需晒单后联系客服登记）",IF(ISNUMBER(SEARCH("包修",K146)),"【购机】"&amp;MID(K146,SEARCH("购机",K146)+LEN("购机"),LEN(K146)),IF(ISNUMBER(SEARCH("叠放支架",K146)),"【赠品】"&amp;MID(K146,SEARCH("购机",K146)+LEN("购机"),LEN(K146)),IF(ISNUMBER(SEARCH("秀图",K146)),"【秀图】"&amp;MID(K146,SEARCH("秀图",K146)+LEN("秀图"),LEN(K146)),"")))),IFERROR(LEFT(_xlpm.A,FIND("【",_xlpm.A,FIND("】",_xlpm.A)+1)-1)&amp;MID(_xlpm.A,FIND("】",_xlpm.A,FIND("】",_xlpm.A)+1)+1,LEN(_xlpm.A)),_xlpm.A))</f>
        <v/>
      </c>
      <c r="G146" s="18" t="str">
        <f>_xlfn.LET(_xlpm.A,IF(ISNUMBER(SEARCH("晒单",L146)),"【晒单】"&amp;MID(L146,SEARCH("晒单",L146)+LEN("晒单"),LEN(L146))&amp;"（需晒单后联系客服登记）",IF(ISNUMBER(SEARCH("包修",L146)),"【购机】"&amp;MID(L146,SEARCH("购机",L146)+LEN("购机"),LEN(L146)),IF(ISNUMBER(SEARCH("叠放支架",L146)),"【赠品】"&amp;MID(L146,SEARCH("购机",L146)+LEN("购机"),LEN(L146)),IF(ISNUMBER(SEARCH("秀图",L146)),"【秀图】"&amp;MID(L146,SEARCH("秀图",L146)+LEN("秀图"),LEN(L146)),"")))),IFERROR(LEFT(_xlpm.A,FIND("【",_xlpm.A,FIND("】",_xlpm.A)+1)-1)&amp;MID(_xlpm.A,FIND("】",_xlpm.A,FIND("】",_xlpm.A)+1)+1,LEN(_xlpm.A)),_xlpm.A))</f>
        <v/>
      </c>
      <c r="H146" s="18" t="str">
        <f>_xlfn.LET(_xlpm.A,IF(ISNUMBER(SEARCH("晒单",M146)),"【晒单】"&amp;MID(M146,SEARCH("晒单",M146)+LEN("晒单"),LEN(M146))&amp;"（需晒单后联系客服登记）",IF(ISNUMBER(SEARCH("包修",M146)),"【购机】"&amp;MID(M146,SEARCH("购机",M146)+LEN("购机"),LEN(M146)),IF(ISNUMBER(SEARCH("叠放支架",M146)),"【赠品】"&amp;MID(M146,SEARCH("购机",M146)+LEN("购机"),LEN(M146)),IF(ISNUMBER(SEARCH("秀图",M146)),"【秀图】"&amp;MID(M146,SEARCH("秀图",M146)+LEN("秀图"),LEN(M146)),"")))),IFERROR(LEFT(_xlpm.A,FIND("【",_xlpm.A,FIND("】",_xlpm.A)+1)-1)&amp;MID(_xlpm.A,FIND("】",_xlpm.A,FIND("】",_xlpm.A)+1)+1,LEN(_xlpm.A)),_xlpm.A))</f>
        <v/>
      </c>
      <c r="I146" s="18" t="str">
        <f>_xlfn.LET(_xlpm.A,IF(ISNUMBER(SEARCH("晒单",N146)),"【晒单】"&amp;MID(N146,SEARCH("晒单",N146)+LEN("晒单"),LEN(N146))&amp;"（需晒单后联系客服登记）",IF(ISNUMBER(SEARCH("包修",N146)),"【购机】"&amp;MID(N146,SEARCH("购机",N146)+LEN("购机"),LEN(N146)),IF(ISNUMBER(SEARCH("叠放支架",N146)),"【赠品】"&amp;MID(N146,SEARCH("购机",N146)+LEN("购机"),LEN(N146)),IF(ISNUMBER(SEARCH("秀图",N146)),"【秀图】"&amp;MID(N146,SEARCH("秀图",N146)+LEN("秀图"),LEN(N146)),"")))),IFERROR(LEFT(_xlpm.A,FIND("【",_xlpm.A,FIND("】",_xlpm.A)+1)-1)&amp;MID(_xlpm.A,FIND("】",_xlpm.A,FIND("】",_xlpm.A)+1)+1,LEN(_xlpm.A)),_xlpm.A))</f>
        <v/>
      </c>
      <c r="J146" s="18" t="str" cm="1">
        <f t="array" ref="J146">IFERROR(INDEX(_xlfn.TEXTSPLIT(_xlfn.XLOOKUP($A146&amp;$B146&amp;$C146,盘货信息!$A:$A&amp;盘货信息!$B:$B&amp;盘货信息!$C:$C,盘货信息!$S:$S),CHAR(10),,TRUE),1,COLUMN(A145)),"")</f>
        <v/>
      </c>
      <c r="K146" s="18" t="str" cm="1">
        <f t="array" ref="K146">IFERROR(INDEX(_xlfn.TEXTSPLIT(_xlfn.XLOOKUP($A146&amp;$B146&amp;$C146,盘货信息!$A:$A&amp;盘货信息!$B:$B&amp;盘货信息!$C:$C,盘货信息!$S:$S),CHAR(10),,TRUE),1,COLUMN(B145)),"")</f>
        <v/>
      </c>
      <c r="L146" s="18" t="str" cm="1">
        <f t="array" ref="L146">IFERROR(INDEX(_xlfn.TEXTSPLIT(_xlfn.XLOOKUP($A146&amp;$B146&amp;$C146,盘货信息!$A:$A&amp;盘货信息!$B:$B&amp;盘货信息!$C:$C,盘货信息!$S:$S),CHAR(10),,TRUE),1,COLUMN(C145)),"")</f>
        <v/>
      </c>
      <c r="M146" s="18" t="str" cm="1">
        <f t="array" ref="M146">IFERROR(INDEX(_xlfn.TEXTSPLIT(_xlfn.XLOOKUP($A146&amp;$B146&amp;$C146,盘货信息!$A:$A&amp;盘货信息!$B:$B&amp;盘货信息!$C:$C,盘货信息!$S:$S),CHAR(10),,TRUE),1,COLUMN(D145)),"")</f>
        <v/>
      </c>
      <c r="N146" s="18" t="str" cm="1">
        <f t="array" ref="N146">IFERROR(INDEX(_xlfn.TEXTSPLIT(_xlfn.XLOOKUP($A146&amp;$B146&amp;$C146,盘货信息!$A:$A&amp;盘货信息!$B:$B&amp;盘货信息!$C:$C,盘货信息!$S:$S),CHAR(10),,TRUE),1,COLUMN(E145)),"")</f>
        <v/>
      </c>
    </row>
    <row r="147" customHeight="1" spans="1:14">
      <c r="A147" s="17" t="str">
        <f>IF(盘货信息!A147="","",盘货信息!A147)</f>
        <v/>
      </c>
      <c r="B147" s="17" t="str">
        <f>IF(盘货信息!B147="","",盘货信息!B147)</f>
        <v/>
      </c>
      <c r="C147" s="18" t="str">
        <f>IF(盘货信息!C147="","",盘货信息!C147)</f>
        <v/>
      </c>
      <c r="D147" s="18" t="str">
        <f t="shared" si="2"/>
        <v/>
      </c>
      <c r="E147" s="18" t="str">
        <f>_xlfn.LET(_xlpm.A,IF(ISNUMBER(SEARCH("晒单",J147)),"【晒单】"&amp;MID(J147,SEARCH("晒单",J147)+LEN("晒单"),LEN(J147))&amp;"（需晒单后联系客服登记）",IF(ISNUMBER(SEARCH("包修",J147)),"【购机】"&amp;MID(J147,SEARCH("购机",J147)+LEN("购机"),LEN(J147)),IF(ISNUMBER(SEARCH("叠放支架",J147)),"【赠品】"&amp;MID(J147,SEARCH("购机",J147)+LEN("购机"),LEN(J147)),IF(ISNUMBER(SEARCH("秀图",J147)),"【秀图】"&amp;MID(J147,SEARCH("秀图",J147)+LEN("秀图"),LEN(J147)),"")))),IFERROR(LEFT(_xlpm.A,FIND("【",_xlpm.A,FIND("】",_xlpm.A)+1)-1)&amp;MID(_xlpm.A,FIND("】",_xlpm.A,FIND("】",_xlpm.A)+1)+1,LEN(_xlpm.A)),_xlpm.A))</f>
        <v/>
      </c>
      <c r="F147" s="18" t="str">
        <f>_xlfn.LET(_xlpm.A,IF(ISNUMBER(SEARCH("晒单",K147)),"【晒单】"&amp;MID(K147,SEARCH("晒单",K147)+LEN("晒单"),LEN(K147))&amp;"（需晒单后联系客服登记）",IF(ISNUMBER(SEARCH("包修",K147)),"【购机】"&amp;MID(K147,SEARCH("购机",K147)+LEN("购机"),LEN(K147)),IF(ISNUMBER(SEARCH("叠放支架",K147)),"【赠品】"&amp;MID(K147,SEARCH("购机",K147)+LEN("购机"),LEN(K147)),IF(ISNUMBER(SEARCH("秀图",K147)),"【秀图】"&amp;MID(K147,SEARCH("秀图",K147)+LEN("秀图"),LEN(K147)),"")))),IFERROR(LEFT(_xlpm.A,FIND("【",_xlpm.A,FIND("】",_xlpm.A)+1)-1)&amp;MID(_xlpm.A,FIND("】",_xlpm.A,FIND("】",_xlpm.A)+1)+1,LEN(_xlpm.A)),_xlpm.A))</f>
        <v/>
      </c>
      <c r="G147" s="18" t="str">
        <f>_xlfn.LET(_xlpm.A,IF(ISNUMBER(SEARCH("晒单",L147)),"【晒单】"&amp;MID(L147,SEARCH("晒单",L147)+LEN("晒单"),LEN(L147))&amp;"（需晒单后联系客服登记）",IF(ISNUMBER(SEARCH("包修",L147)),"【购机】"&amp;MID(L147,SEARCH("购机",L147)+LEN("购机"),LEN(L147)),IF(ISNUMBER(SEARCH("叠放支架",L147)),"【赠品】"&amp;MID(L147,SEARCH("购机",L147)+LEN("购机"),LEN(L147)),IF(ISNUMBER(SEARCH("秀图",L147)),"【秀图】"&amp;MID(L147,SEARCH("秀图",L147)+LEN("秀图"),LEN(L147)),"")))),IFERROR(LEFT(_xlpm.A,FIND("【",_xlpm.A,FIND("】",_xlpm.A)+1)-1)&amp;MID(_xlpm.A,FIND("】",_xlpm.A,FIND("】",_xlpm.A)+1)+1,LEN(_xlpm.A)),_xlpm.A))</f>
        <v/>
      </c>
      <c r="H147" s="18" t="str">
        <f>_xlfn.LET(_xlpm.A,IF(ISNUMBER(SEARCH("晒单",M147)),"【晒单】"&amp;MID(M147,SEARCH("晒单",M147)+LEN("晒单"),LEN(M147))&amp;"（需晒单后联系客服登记）",IF(ISNUMBER(SEARCH("包修",M147)),"【购机】"&amp;MID(M147,SEARCH("购机",M147)+LEN("购机"),LEN(M147)),IF(ISNUMBER(SEARCH("叠放支架",M147)),"【赠品】"&amp;MID(M147,SEARCH("购机",M147)+LEN("购机"),LEN(M147)),IF(ISNUMBER(SEARCH("秀图",M147)),"【秀图】"&amp;MID(M147,SEARCH("秀图",M147)+LEN("秀图"),LEN(M147)),"")))),IFERROR(LEFT(_xlpm.A,FIND("【",_xlpm.A,FIND("】",_xlpm.A)+1)-1)&amp;MID(_xlpm.A,FIND("】",_xlpm.A,FIND("】",_xlpm.A)+1)+1,LEN(_xlpm.A)),_xlpm.A))</f>
        <v/>
      </c>
      <c r="I147" s="18" t="str">
        <f>_xlfn.LET(_xlpm.A,IF(ISNUMBER(SEARCH("晒单",N147)),"【晒单】"&amp;MID(N147,SEARCH("晒单",N147)+LEN("晒单"),LEN(N147))&amp;"（需晒单后联系客服登记）",IF(ISNUMBER(SEARCH("包修",N147)),"【购机】"&amp;MID(N147,SEARCH("购机",N147)+LEN("购机"),LEN(N147)),IF(ISNUMBER(SEARCH("叠放支架",N147)),"【赠品】"&amp;MID(N147,SEARCH("购机",N147)+LEN("购机"),LEN(N147)),IF(ISNUMBER(SEARCH("秀图",N147)),"【秀图】"&amp;MID(N147,SEARCH("秀图",N147)+LEN("秀图"),LEN(N147)),"")))),IFERROR(LEFT(_xlpm.A,FIND("【",_xlpm.A,FIND("】",_xlpm.A)+1)-1)&amp;MID(_xlpm.A,FIND("】",_xlpm.A,FIND("】",_xlpm.A)+1)+1,LEN(_xlpm.A)),_xlpm.A))</f>
        <v/>
      </c>
      <c r="J147" s="18" t="str" cm="1">
        <f t="array" ref="J147">IFERROR(INDEX(_xlfn.TEXTSPLIT(_xlfn.XLOOKUP($A147&amp;$B147&amp;$C147,盘货信息!$A:$A&amp;盘货信息!$B:$B&amp;盘货信息!$C:$C,盘货信息!$S:$S),CHAR(10),,TRUE),1,COLUMN(A146)),"")</f>
        <v/>
      </c>
      <c r="K147" s="18" t="str" cm="1">
        <f t="array" ref="K147">IFERROR(INDEX(_xlfn.TEXTSPLIT(_xlfn.XLOOKUP($A147&amp;$B147&amp;$C147,盘货信息!$A:$A&amp;盘货信息!$B:$B&amp;盘货信息!$C:$C,盘货信息!$S:$S),CHAR(10),,TRUE),1,COLUMN(B146)),"")</f>
        <v/>
      </c>
      <c r="L147" s="18" t="str" cm="1">
        <f t="array" ref="L147">IFERROR(INDEX(_xlfn.TEXTSPLIT(_xlfn.XLOOKUP($A147&amp;$B147&amp;$C147,盘货信息!$A:$A&amp;盘货信息!$B:$B&amp;盘货信息!$C:$C,盘货信息!$S:$S),CHAR(10),,TRUE),1,COLUMN(C146)),"")</f>
        <v/>
      </c>
      <c r="M147" s="18" t="str" cm="1">
        <f t="array" ref="M147">IFERROR(INDEX(_xlfn.TEXTSPLIT(_xlfn.XLOOKUP($A147&amp;$B147&amp;$C147,盘货信息!$A:$A&amp;盘货信息!$B:$B&amp;盘货信息!$C:$C,盘货信息!$S:$S),CHAR(10),,TRUE),1,COLUMN(D146)),"")</f>
        <v/>
      </c>
      <c r="N147" s="18" t="str" cm="1">
        <f t="array" ref="N147">IFERROR(INDEX(_xlfn.TEXTSPLIT(_xlfn.XLOOKUP($A147&amp;$B147&amp;$C147,盘货信息!$A:$A&amp;盘货信息!$B:$B&amp;盘货信息!$C:$C,盘货信息!$S:$S),CHAR(10),,TRUE),1,COLUMN(E146)),"")</f>
        <v/>
      </c>
    </row>
    <row r="148" customHeight="1" spans="1:14">
      <c r="A148" s="17" t="str">
        <f>IF(盘货信息!A148="","",盘货信息!A148)</f>
        <v/>
      </c>
      <c r="B148" s="17" t="str">
        <f>IF(盘货信息!B148="","",盘货信息!B148)</f>
        <v/>
      </c>
      <c r="C148" s="18" t="str">
        <f>IF(盘货信息!C148="","",盘货信息!C148)</f>
        <v/>
      </c>
      <c r="D148" s="18" t="str">
        <f t="shared" si="2"/>
        <v/>
      </c>
      <c r="E148" s="18" t="str">
        <f>_xlfn.LET(_xlpm.A,IF(ISNUMBER(SEARCH("晒单",J148)),"【晒单】"&amp;MID(J148,SEARCH("晒单",J148)+LEN("晒单"),LEN(J148))&amp;"（需晒单后联系客服登记）",IF(ISNUMBER(SEARCH("包修",J148)),"【购机】"&amp;MID(J148,SEARCH("购机",J148)+LEN("购机"),LEN(J148)),IF(ISNUMBER(SEARCH("叠放支架",J148)),"【赠品】"&amp;MID(J148,SEARCH("购机",J148)+LEN("购机"),LEN(J148)),IF(ISNUMBER(SEARCH("秀图",J148)),"【秀图】"&amp;MID(J148,SEARCH("秀图",J148)+LEN("秀图"),LEN(J148)),"")))),IFERROR(LEFT(_xlpm.A,FIND("【",_xlpm.A,FIND("】",_xlpm.A)+1)-1)&amp;MID(_xlpm.A,FIND("】",_xlpm.A,FIND("】",_xlpm.A)+1)+1,LEN(_xlpm.A)),_xlpm.A))</f>
        <v/>
      </c>
      <c r="F148" s="18" t="str">
        <f>_xlfn.LET(_xlpm.A,IF(ISNUMBER(SEARCH("晒单",K148)),"【晒单】"&amp;MID(K148,SEARCH("晒单",K148)+LEN("晒单"),LEN(K148))&amp;"（需晒单后联系客服登记）",IF(ISNUMBER(SEARCH("包修",K148)),"【购机】"&amp;MID(K148,SEARCH("购机",K148)+LEN("购机"),LEN(K148)),IF(ISNUMBER(SEARCH("叠放支架",K148)),"【赠品】"&amp;MID(K148,SEARCH("购机",K148)+LEN("购机"),LEN(K148)),IF(ISNUMBER(SEARCH("秀图",K148)),"【秀图】"&amp;MID(K148,SEARCH("秀图",K148)+LEN("秀图"),LEN(K148)),"")))),IFERROR(LEFT(_xlpm.A,FIND("【",_xlpm.A,FIND("】",_xlpm.A)+1)-1)&amp;MID(_xlpm.A,FIND("】",_xlpm.A,FIND("】",_xlpm.A)+1)+1,LEN(_xlpm.A)),_xlpm.A))</f>
        <v/>
      </c>
      <c r="G148" s="18" t="str">
        <f>_xlfn.LET(_xlpm.A,IF(ISNUMBER(SEARCH("晒单",L148)),"【晒单】"&amp;MID(L148,SEARCH("晒单",L148)+LEN("晒单"),LEN(L148))&amp;"（需晒单后联系客服登记）",IF(ISNUMBER(SEARCH("包修",L148)),"【购机】"&amp;MID(L148,SEARCH("购机",L148)+LEN("购机"),LEN(L148)),IF(ISNUMBER(SEARCH("叠放支架",L148)),"【赠品】"&amp;MID(L148,SEARCH("购机",L148)+LEN("购机"),LEN(L148)),IF(ISNUMBER(SEARCH("秀图",L148)),"【秀图】"&amp;MID(L148,SEARCH("秀图",L148)+LEN("秀图"),LEN(L148)),"")))),IFERROR(LEFT(_xlpm.A,FIND("【",_xlpm.A,FIND("】",_xlpm.A)+1)-1)&amp;MID(_xlpm.A,FIND("】",_xlpm.A,FIND("】",_xlpm.A)+1)+1,LEN(_xlpm.A)),_xlpm.A))</f>
        <v/>
      </c>
      <c r="H148" s="18" t="str">
        <f>_xlfn.LET(_xlpm.A,IF(ISNUMBER(SEARCH("晒单",M148)),"【晒单】"&amp;MID(M148,SEARCH("晒单",M148)+LEN("晒单"),LEN(M148))&amp;"（需晒单后联系客服登记）",IF(ISNUMBER(SEARCH("包修",M148)),"【购机】"&amp;MID(M148,SEARCH("购机",M148)+LEN("购机"),LEN(M148)),IF(ISNUMBER(SEARCH("叠放支架",M148)),"【赠品】"&amp;MID(M148,SEARCH("购机",M148)+LEN("购机"),LEN(M148)),IF(ISNUMBER(SEARCH("秀图",M148)),"【秀图】"&amp;MID(M148,SEARCH("秀图",M148)+LEN("秀图"),LEN(M148)),"")))),IFERROR(LEFT(_xlpm.A,FIND("【",_xlpm.A,FIND("】",_xlpm.A)+1)-1)&amp;MID(_xlpm.A,FIND("】",_xlpm.A,FIND("】",_xlpm.A)+1)+1,LEN(_xlpm.A)),_xlpm.A))</f>
        <v/>
      </c>
      <c r="I148" s="18" t="str">
        <f>_xlfn.LET(_xlpm.A,IF(ISNUMBER(SEARCH("晒单",N148)),"【晒单】"&amp;MID(N148,SEARCH("晒单",N148)+LEN("晒单"),LEN(N148))&amp;"（需晒单后联系客服登记）",IF(ISNUMBER(SEARCH("包修",N148)),"【购机】"&amp;MID(N148,SEARCH("购机",N148)+LEN("购机"),LEN(N148)),IF(ISNUMBER(SEARCH("叠放支架",N148)),"【赠品】"&amp;MID(N148,SEARCH("购机",N148)+LEN("购机"),LEN(N148)),IF(ISNUMBER(SEARCH("秀图",N148)),"【秀图】"&amp;MID(N148,SEARCH("秀图",N148)+LEN("秀图"),LEN(N148)),"")))),IFERROR(LEFT(_xlpm.A,FIND("【",_xlpm.A,FIND("】",_xlpm.A)+1)-1)&amp;MID(_xlpm.A,FIND("】",_xlpm.A,FIND("】",_xlpm.A)+1)+1,LEN(_xlpm.A)),_xlpm.A))</f>
        <v/>
      </c>
      <c r="J148" s="18" t="str" cm="1">
        <f t="array" ref="J148">IFERROR(INDEX(_xlfn.TEXTSPLIT(_xlfn.XLOOKUP($A148&amp;$B148&amp;$C148,盘货信息!$A:$A&amp;盘货信息!$B:$B&amp;盘货信息!$C:$C,盘货信息!$S:$S),CHAR(10),,TRUE),1,COLUMN(A147)),"")</f>
        <v/>
      </c>
      <c r="K148" s="18" t="str" cm="1">
        <f t="array" ref="K148">IFERROR(INDEX(_xlfn.TEXTSPLIT(_xlfn.XLOOKUP($A148&amp;$B148&amp;$C148,盘货信息!$A:$A&amp;盘货信息!$B:$B&amp;盘货信息!$C:$C,盘货信息!$S:$S),CHAR(10),,TRUE),1,COLUMN(B147)),"")</f>
        <v/>
      </c>
      <c r="L148" s="18" t="str" cm="1">
        <f t="array" ref="L148">IFERROR(INDEX(_xlfn.TEXTSPLIT(_xlfn.XLOOKUP($A148&amp;$B148&amp;$C148,盘货信息!$A:$A&amp;盘货信息!$B:$B&amp;盘货信息!$C:$C,盘货信息!$S:$S),CHAR(10),,TRUE),1,COLUMN(C147)),"")</f>
        <v/>
      </c>
      <c r="M148" s="18" t="str" cm="1">
        <f t="array" ref="M148">IFERROR(INDEX(_xlfn.TEXTSPLIT(_xlfn.XLOOKUP($A148&amp;$B148&amp;$C148,盘货信息!$A:$A&amp;盘货信息!$B:$B&amp;盘货信息!$C:$C,盘货信息!$S:$S),CHAR(10),,TRUE),1,COLUMN(D147)),"")</f>
        <v/>
      </c>
      <c r="N148" s="18" t="str" cm="1">
        <f t="array" ref="N148">IFERROR(INDEX(_xlfn.TEXTSPLIT(_xlfn.XLOOKUP($A148&amp;$B148&amp;$C148,盘货信息!$A:$A&amp;盘货信息!$B:$B&amp;盘货信息!$C:$C,盘货信息!$S:$S),CHAR(10),,TRUE),1,COLUMN(E147)),"")</f>
        <v/>
      </c>
    </row>
    <row r="149" customHeight="1" spans="1:14">
      <c r="A149" s="17" t="str">
        <f>IF(盘货信息!A149="","",盘货信息!A149)</f>
        <v/>
      </c>
      <c r="B149" s="17" t="str">
        <f>IF(盘货信息!B149="","",盘货信息!B149)</f>
        <v/>
      </c>
      <c r="C149" s="18" t="str">
        <f>IF(盘货信息!C149="","",盘货信息!C149)</f>
        <v/>
      </c>
      <c r="D149" s="18" t="str">
        <f t="shared" si="2"/>
        <v/>
      </c>
      <c r="E149" s="18" t="str">
        <f>_xlfn.LET(_xlpm.A,IF(ISNUMBER(SEARCH("晒单",J149)),"【晒单】"&amp;MID(J149,SEARCH("晒单",J149)+LEN("晒单"),LEN(J149))&amp;"（需晒单后联系客服登记）",IF(ISNUMBER(SEARCH("包修",J149)),"【购机】"&amp;MID(J149,SEARCH("购机",J149)+LEN("购机"),LEN(J149)),IF(ISNUMBER(SEARCH("叠放支架",J149)),"【赠品】"&amp;MID(J149,SEARCH("购机",J149)+LEN("购机"),LEN(J149)),IF(ISNUMBER(SEARCH("秀图",J149)),"【秀图】"&amp;MID(J149,SEARCH("秀图",J149)+LEN("秀图"),LEN(J149)),"")))),IFERROR(LEFT(_xlpm.A,FIND("【",_xlpm.A,FIND("】",_xlpm.A)+1)-1)&amp;MID(_xlpm.A,FIND("】",_xlpm.A,FIND("】",_xlpm.A)+1)+1,LEN(_xlpm.A)),_xlpm.A))</f>
        <v/>
      </c>
      <c r="F149" s="18" t="str">
        <f>_xlfn.LET(_xlpm.A,IF(ISNUMBER(SEARCH("晒单",K149)),"【晒单】"&amp;MID(K149,SEARCH("晒单",K149)+LEN("晒单"),LEN(K149))&amp;"（需晒单后联系客服登记）",IF(ISNUMBER(SEARCH("包修",K149)),"【购机】"&amp;MID(K149,SEARCH("购机",K149)+LEN("购机"),LEN(K149)),IF(ISNUMBER(SEARCH("叠放支架",K149)),"【赠品】"&amp;MID(K149,SEARCH("购机",K149)+LEN("购机"),LEN(K149)),IF(ISNUMBER(SEARCH("秀图",K149)),"【秀图】"&amp;MID(K149,SEARCH("秀图",K149)+LEN("秀图"),LEN(K149)),"")))),IFERROR(LEFT(_xlpm.A,FIND("【",_xlpm.A,FIND("】",_xlpm.A)+1)-1)&amp;MID(_xlpm.A,FIND("】",_xlpm.A,FIND("】",_xlpm.A)+1)+1,LEN(_xlpm.A)),_xlpm.A))</f>
        <v/>
      </c>
      <c r="G149" s="18" t="str">
        <f>_xlfn.LET(_xlpm.A,IF(ISNUMBER(SEARCH("晒单",L149)),"【晒单】"&amp;MID(L149,SEARCH("晒单",L149)+LEN("晒单"),LEN(L149))&amp;"（需晒单后联系客服登记）",IF(ISNUMBER(SEARCH("包修",L149)),"【购机】"&amp;MID(L149,SEARCH("购机",L149)+LEN("购机"),LEN(L149)),IF(ISNUMBER(SEARCH("叠放支架",L149)),"【赠品】"&amp;MID(L149,SEARCH("购机",L149)+LEN("购机"),LEN(L149)),IF(ISNUMBER(SEARCH("秀图",L149)),"【秀图】"&amp;MID(L149,SEARCH("秀图",L149)+LEN("秀图"),LEN(L149)),"")))),IFERROR(LEFT(_xlpm.A,FIND("【",_xlpm.A,FIND("】",_xlpm.A)+1)-1)&amp;MID(_xlpm.A,FIND("】",_xlpm.A,FIND("】",_xlpm.A)+1)+1,LEN(_xlpm.A)),_xlpm.A))</f>
        <v/>
      </c>
      <c r="H149" s="18" t="str">
        <f>_xlfn.LET(_xlpm.A,IF(ISNUMBER(SEARCH("晒单",M149)),"【晒单】"&amp;MID(M149,SEARCH("晒单",M149)+LEN("晒单"),LEN(M149))&amp;"（需晒单后联系客服登记）",IF(ISNUMBER(SEARCH("包修",M149)),"【购机】"&amp;MID(M149,SEARCH("购机",M149)+LEN("购机"),LEN(M149)),IF(ISNUMBER(SEARCH("叠放支架",M149)),"【赠品】"&amp;MID(M149,SEARCH("购机",M149)+LEN("购机"),LEN(M149)),IF(ISNUMBER(SEARCH("秀图",M149)),"【秀图】"&amp;MID(M149,SEARCH("秀图",M149)+LEN("秀图"),LEN(M149)),"")))),IFERROR(LEFT(_xlpm.A,FIND("【",_xlpm.A,FIND("】",_xlpm.A)+1)-1)&amp;MID(_xlpm.A,FIND("】",_xlpm.A,FIND("】",_xlpm.A)+1)+1,LEN(_xlpm.A)),_xlpm.A))</f>
        <v/>
      </c>
      <c r="I149" s="18" t="str">
        <f>_xlfn.LET(_xlpm.A,IF(ISNUMBER(SEARCH("晒单",N149)),"【晒单】"&amp;MID(N149,SEARCH("晒单",N149)+LEN("晒单"),LEN(N149))&amp;"（需晒单后联系客服登记）",IF(ISNUMBER(SEARCH("包修",N149)),"【购机】"&amp;MID(N149,SEARCH("购机",N149)+LEN("购机"),LEN(N149)),IF(ISNUMBER(SEARCH("叠放支架",N149)),"【赠品】"&amp;MID(N149,SEARCH("购机",N149)+LEN("购机"),LEN(N149)),IF(ISNUMBER(SEARCH("秀图",N149)),"【秀图】"&amp;MID(N149,SEARCH("秀图",N149)+LEN("秀图"),LEN(N149)),"")))),IFERROR(LEFT(_xlpm.A,FIND("【",_xlpm.A,FIND("】",_xlpm.A)+1)-1)&amp;MID(_xlpm.A,FIND("】",_xlpm.A,FIND("】",_xlpm.A)+1)+1,LEN(_xlpm.A)),_xlpm.A))</f>
        <v/>
      </c>
      <c r="J149" s="18" t="str" cm="1">
        <f t="array" ref="J149">IFERROR(INDEX(_xlfn.TEXTSPLIT(_xlfn.XLOOKUP($A149&amp;$B149&amp;$C149,盘货信息!$A:$A&amp;盘货信息!$B:$B&amp;盘货信息!$C:$C,盘货信息!$S:$S),CHAR(10),,TRUE),1,COLUMN(A148)),"")</f>
        <v/>
      </c>
      <c r="K149" s="18" t="str" cm="1">
        <f t="array" ref="K149">IFERROR(INDEX(_xlfn.TEXTSPLIT(_xlfn.XLOOKUP($A149&amp;$B149&amp;$C149,盘货信息!$A:$A&amp;盘货信息!$B:$B&amp;盘货信息!$C:$C,盘货信息!$S:$S),CHAR(10),,TRUE),1,COLUMN(B148)),"")</f>
        <v/>
      </c>
      <c r="L149" s="18" t="str" cm="1">
        <f t="array" ref="L149">IFERROR(INDEX(_xlfn.TEXTSPLIT(_xlfn.XLOOKUP($A149&amp;$B149&amp;$C149,盘货信息!$A:$A&amp;盘货信息!$B:$B&amp;盘货信息!$C:$C,盘货信息!$S:$S),CHAR(10),,TRUE),1,COLUMN(C148)),"")</f>
        <v/>
      </c>
      <c r="M149" s="18" t="str" cm="1">
        <f t="array" ref="M149">IFERROR(INDEX(_xlfn.TEXTSPLIT(_xlfn.XLOOKUP($A149&amp;$B149&amp;$C149,盘货信息!$A:$A&amp;盘货信息!$B:$B&amp;盘货信息!$C:$C,盘货信息!$S:$S),CHAR(10),,TRUE),1,COLUMN(D148)),"")</f>
        <v/>
      </c>
      <c r="N149" s="18" t="str" cm="1">
        <f t="array" ref="N149">IFERROR(INDEX(_xlfn.TEXTSPLIT(_xlfn.XLOOKUP($A149&amp;$B149&amp;$C149,盘货信息!$A:$A&amp;盘货信息!$B:$B&amp;盘货信息!$C:$C,盘货信息!$S:$S),CHAR(10),,TRUE),1,COLUMN(E148)),"")</f>
        <v/>
      </c>
    </row>
    <row r="150" customHeight="1" spans="1:14">
      <c r="A150" s="17" t="str">
        <f>IF(盘货信息!A150="","",盘货信息!A150)</f>
        <v/>
      </c>
      <c r="B150" s="17" t="str">
        <f>IF(盘货信息!B150="","",盘货信息!B150)</f>
        <v/>
      </c>
      <c r="C150" s="18" t="str">
        <f>IF(盘货信息!C150="","",盘货信息!C150)</f>
        <v/>
      </c>
      <c r="D150" s="18" t="str">
        <f t="shared" si="2"/>
        <v/>
      </c>
      <c r="E150" s="18" t="str">
        <f>_xlfn.LET(_xlpm.A,IF(ISNUMBER(SEARCH("晒单",J150)),"【晒单】"&amp;MID(J150,SEARCH("晒单",J150)+LEN("晒单"),LEN(J150))&amp;"（需晒单后联系客服登记）",IF(ISNUMBER(SEARCH("包修",J150)),"【购机】"&amp;MID(J150,SEARCH("购机",J150)+LEN("购机"),LEN(J150)),IF(ISNUMBER(SEARCH("叠放支架",J150)),"【赠品】"&amp;MID(J150,SEARCH("购机",J150)+LEN("购机"),LEN(J150)),IF(ISNUMBER(SEARCH("秀图",J150)),"【秀图】"&amp;MID(J150,SEARCH("秀图",J150)+LEN("秀图"),LEN(J150)),"")))),IFERROR(LEFT(_xlpm.A,FIND("【",_xlpm.A,FIND("】",_xlpm.A)+1)-1)&amp;MID(_xlpm.A,FIND("】",_xlpm.A,FIND("】",_xlpm.A)+1)+1,LEN(_xlpm.A)),_xlpm.A))</f>
        <v/>
      </c>
      <c r="F150" s="18" t="str">
        <f>_xlfn.LET(_xlpm.A,IF(ISNUMBER(SEARCH("晒单",K150)),"【晒单】"&amp;MID(K150,SEARCH("晒单",K150)+LEN("晒单"),LEN(K150))&amp;"（需晒单后联系客服登记）",IF(ISNUMBER(SEARCH("包修",K150)),"【购机】"&amp;MID(K150,SEARCH("购机",K150)+LEN("购机"),LEN(K150)),IF(ISNUMBER(SEARCH("叠放支架",K150)),"【赠品】"&amp;MID(K150,SEARCH("购机",K150)+LEN("购机"),LEN(K150)),IF(ISNUMBER(SEARCH("秀图",K150)),"【秀图】"&amp;MID(K150,SEARCH("秀图",K150)+LEN("秀图"),LEN(K150)),"")))),IFERROR(LEFT(_xlpm.A,FIND("【",_xlpm.A,FIND("】",_xlpm.A)+1)-1)&amp;MID(_xlpm.A,FIND("】",_xlpm.A,FIND("】",_xlpm.A)+1)+1,LEN(_xlpm.A)),_xlpm.A))</f>
        <v/>
      </c>
      <c r="G150" s="18" t="str">
        <f>_xlfn.LET(_xlpm.A,IF(ISNUMBER(SEARCH("晒单",L150)),"【晒单】"&amp;MID(L150,SEARCH("晒单",L150)+LEN("晒单"),LEN(L150))&amp;"（需晒单后联系客服登记）",IF(ISNUMBER(SEARCH("包修",L150)),"【购机】"&amp;MID(L150,SEARCH("购机",L150)+LEN("购机"),LEN(L150)),IF(ISNUMBER(SEARCH("叠放支架",L150)),"【赠品】"&amp;MID(L150,SEARCH("购机",L150)+LEN("购机"),LEN(L150)),IF(ISNUMBER(SEARCH("秀图",L150)),"【秀图】"&amp;MID(L150,SEARCH("秀图",L150)+LEN("秀图"),LEN(L150)),"")))),IFERROR(LEFT(_xlpm.A,FIND("【",_xlpm.A,FIND("】",_xlpm.A)+1)-1)&amp;MID(_xlpm.A,FIND("】",_xlpm.A,FIND("】",_xlpm.A)+1)+1,LEN(_xlpm.A)),_xlpm.A))</f>
        <v/>
      </c>
      <c r="H150" s="18" t="str">
        <f>_xlfn.LET(_xlpm.A,IF(ISNUMBER(SEARCH("晒单",M150)),"【晒单】"&amp;MID(M150,SEARCH("晒单",M150)+LEN("晒单"),LEN(M150))&amp;"（需晒单后联系客服登记）",IF(ISNUMBER(SEARCH("包修",M150)),"【购机】"&amp;MID(M150,SEARCH("购机",M150)+LEN("购机"),LEN(M150)),IF(ISNUMBER(SEARCH("叠放支架",M150)),"【赠品】"&amp;MID(M150,SEARCH("购机",M150)+LEN("购机"),LEN(M150)),IF(ISNUMBER(SEARCH("秀图",M150)),"【秀图】"&amp;MID(M150,SEARCH("秀图",M150)+LEN("秀图"),LEN(M150)),"")))),IFERROR(LEFT(_xlpm.A,FIND("【",_xlpm.A,FIND("】",_xlpm.A)+1)-1)&amp;MID(_xlpm.A,FIND("】",_xlpm.A,FIND("】",_xlpm.A)+1)+1,LEN(_xlpm.A)),_xlpm.A))</f>
        <v/>
      </c>
      <c r="I150" s="18" t="str">
        <f>_xlfn.LET(_xlpm.A,IF(ISNUMBER(SEARCH("晒单",N150)),"【晒单】"&amp;MID(N150,SEARCH("晒单",N150)+LEN("晒单"),LEN(N150))&amp;"（需晒单后联系客服登记）",IF(ISNUMBER(SEARCH("包修",N150)),"【购机】"&amp;MID(N150,SEARCH("购机",N150)+LEN("购机"),LEN(N150)),IF(ISNUMBER(SEARCH("叠放支架",N150)),"【赠品】"&amp;MID(N150,SEARCH("购机",N150)+LEN("购机"),LEN(N150)),IF(ISNUMBER(SEARCH("秀图",N150)),"【秀图】"&amp;MID(N150,SEARCH("秀图",N150)+LEN("秀图"),LEN(N150)),"")))),IFERROR(LEFT(_xlpm.A,FIND("【",_xlpm.A,FIND("】",_xlpm.A)+1)-1)&amp;MID(_xlpm.A,FIND("】",_xlpm.A,FIND("】",_xlpm.A)+1)+1,LEN(_xlpm.A)),_xlpm.A))</f>
        <v/>
      </c>
      <c r="J150" s="18" t="str" cm="1">
        <f t="array" ref="J150">IFERROR(INDEX(_xlfn.TEXTSPLIT(_xlfn.XLOOKUP($A150&amp;$B150&amp;$C150,盘货信息!$A:$A&amp;盘货信息!$B:$B&amp;盘货信息!$C:$C,盘货信息!$S:$S),CHAR(10),,TRUE),1,COLUMN(A149)),"")</f>
        <v/>
      </c>
      <c r="K150" s="18" t="str" cm="1">
        <f t="array" ref="K150">IFERROR(INDEX(_xlfn.TEXTSPLIT(_xlfn.XLOOKUP($A150&amp;$B150&amp;$C150,盘货信息!$A:$A&amp;盘货信息!$B:$B&amp;盘货信息!$C:$C,盘货信息!$S:$S),CHAR(10),,TRUE),1,COLUMN(B149)),"")</f>
        <v/>
      </c>
      <c r="L150" s="18" t="str" cm="1">
        <f t="array" ref="L150">IFERROR(INDEX(_xlfn.TEXTSPLIT(_xlfn.XLOOKUP($A150&amp;$B150&amp;$C150,盘货信息!$A:$A&amp;盘货信息!$B:$B&amp;盘货信息!$C:$C,盘货信息!$S:$S),CHAR(10),,TRUE),1,COLUMN(C149)),"")</f>
        <v/>
      </c>
      <c r="M150" s="18" t="str" cm="1">
        <f t="array" ref="M150">IFERROR(INDEX(_xlfn.TEXTSPLIT(_xlfn.XLOOKUP($A150&amp;$B150&amp;$C150,盘货信息!$A:$A&amp;盘货信息!$B:$B&amp;盘货信息!$C:$C,盘货信息!$S:$S),CHAR(10),,TRUE),1,COLUMN(D149)),"")</f>
        <v/>
      </c>
      <c r="N150" s="18" t="str" cm="1">
        <f t="array" ref="N150">IFERROR(INDEX(_xlfn.TEXTSPLIT(_xlfn.XLOOKUP($A150&amp;$B150&amp;$C150,盘货信息!$A:$A&amp;盘货信息!$B:$B&amp;盘货信息!$C:$C,盘货信息!$S:$S),CHAR(10),,TRUE),1,COLUMN(E149)),"")</f>
        <v/>
      </c>
    </row>
    <row r="151" customHeight="1" spans="1:14">
      <c r="A151" s="17" t="str">
        <f>IF(盘货信息!A151="","",盘货信息!A151)</f>
        <v/>
      </c>
      <c r="B151" s="17" t="str">
        <f>IF(盘货信息!B151="","",盘货信息!B151)</f>
        <v/>
      </c>
      <c r="C151" s="18" t="str">
        <f>IF(盘货信息!C151="","",盘货信息!C151)</f>
        <v/>
      </c>
      <c r="D151" s="18" t="str">
        <f t="shared" si="2"/>
        <v/>
      </c>
      <c r="E151" s="18" t="str">
        <f>_xlfn.LET(_xlpm.A,IF(ISNUMBER(SEARCH("晒单",J151)),"【晒单】"&amp;MID(J151,SEARCH("晒单",J151)+LEN("晒单"),LEN(J151))&amp;"（需晒单后联系客服登记）",IF(ISNUMBER(SEARCH("包修",J151)),"【购机】"&amp;MID(J151,SEARCH("购机",J151)+LEN("购机"),LEN(J151)),IF(ISNUMBER(SEARCH("叠放支架",J151)),"【赠品】"&amp;MID(J151,SEARCH("购机",J151)+LEN("购机"),LEN(J151)),IF(ISNUMBER(SEARCH("秀图",J151)),"【秀图】"&amp;MID(J151,SEARCH("秀图",J151)+LEN("秀图"),LEN(J151)),"")))),IFERROR(LEFT(_xlpm.A,FIND("【",_xlpm.A,FIND("】",_xlpm.A)+1)-1)&amp;MID(_xlpm.A,FIND("】",_xlpm.A,FIND("】",_xlpm.A)+1)+1,LEN(_xlpm.A)),_xlpm.A))</f>
        <v/>
      </c>
      <c r="F151" s="18" t="str">
        <f>_xlfn.LET(_xlpm.A,IF(ISNUMBER(SEARCH("晒单",K151)),"【晒单】"&amp;MID(K151,SEARCH("晒单",K151)+LEN("晒单"),LEN(K151))&amp;"（需晒单后联系客服登记）",IF(ISNUMBER(SEARCH("包修",K151)),"【购机】"&amp;MID(K151,SEARCH("购机",K151)+LEN("购机"),LEN(K151)),IF(ISNUMBER(SEARCH("叠放支架",K151)),"【赠品】"&amp;MID(K151,SEARCH("购机",K151)+LEN("购机"),LEN(K151)),IF(ISNUMBER(SEARCH("秀图",K151)),"【秀图】"&amp;MID(K151,SEARCH("秀图",K151)+LEN("秀图"),LEN(K151)),"")))),IFERROR(LEFT(_xlpm.A,FIND("【",_xlpm.A,FIND("】",_xlpm.A)+1)-1)&amp;MID(_xlpm.A,FIND("】",_xlpm.A,FIND("】",_xlpm.A)+1)+1,LEN(_xlpm.A)),_xlpm.A))</f>
        <v/>
      </c>
      <c r="G151" s="18" t="str">
        <f>_xlfn.LET(_xlpm.A,IF(ISNUMBER(SEARCH("晒单",L151)),"【晒单】"&amp;MID(L151,SEARCH("晒单",L151)+LEN("晒单"),LEN(L151))&amp;"（需晒单后联系客服登记）",IF(ISNUMBER(SEARCH("包修",L151)),"【购机】"&amp;MID(L151,SEARCH("购机",L151)+LEN("购机"),LEN(L151)),IF(ISNUMBER(SEARCH("叠放支架",L151)),"【赠品】"&amp;MID(L151,SEARCH("购机",L151)+LEN("购机"),LEN(L151)),IF(ISNUMBER(SEARCH("秀图",L151)),"【秀图】"&amp;MID(L151,SEARCH("秀图",L151)+LEN("秀图"),LEN(L151)),"")))),IFERROR(LEFT(_xlpm.A,FIND("【",_xlpm.A,FIND("】",_xlpm.A)+1)-1)&amp;MID(_xlpm.A,FIND("】",_xlpm.A,FIND("】",_xlpm.A)+1)+1,LEN(_xlpm.A)),_xlpm.A))</f>
        <v/>
      </c>
      <c r="H151" s="18" t="str">
        <f>_xlfn.LET(_xlpm.A,IF(ISNUMBER(SEARCH("晒单",M151)),"【晒单】"&amp;MID(M151,SEARCH("晒单",M151)+LEN("晒单"),LEN(M151))&amp;"（需晒单后联系客服登记）",IF(ISNUMBER(SEARCH("包修",M151)),"【购机】"&amp;MID(M151,SEARCH("购机",M151)+LEN("购机"),LEN(M151)),IF(ISNUMBER(SEARCH("叠放支架",M151)),"【赠品】"&amp;MID(M151,SEARCH("购机",M151)+LEN("购机"),LEN(M151)),IF(ISNUMBER(SEARCH("秀图",M151)),"【秀图】"&amp;MID(M151,SEARCH("秀图",M151)+LEN("秀图"),LEN(M151)),"")))),IFERROR(LEFT(_xlpm.A,FIND("【",_xlpm.A,FIND("】",_xlpm.A)+1)-1)&amp;MID(_xlpm.A,FIND("】",_xlpm.A,FIND("】",_xlpm.A)+1)+1,LEN(_xlpm.A)),_xlpm.A))</f>
        <v/>
      </c>
      <c r="I151" s="18" t="str">
        <f>_xlfn.LET(_xlpm.A,IF(ISNUMBER(SEARCH("晒单",N151)),"【晒单】"&amp;MID(N151,SEARCH("晒单",N151)+LEN("晒单"),LEN(N151))&amp;"（需晒单后联系客服登记）",IF(ISNUMBER(SEARCH("包修",N151)),"【购机】"&amp;MID(N151,SEARCH("购机",N151)+LEN("购机"),LEN(N151)),IF(ISNUMBER(SEARCH("叠放支架",N151)),"【赠品】"&amp;MID(N151,SEARCH("购机",N151)+LEN("购机"),LEN(N151)),IF(ISNUMBER(SEARCH("秀图",N151)),"【秀图】"&amp;MID(N151,SEARCH("秀图",N151)+LEN("秀图"),LEN(N151)),"")))),IFERROR(LEFT(_xlpm.A,FIND("【",_xlpm.A,FIND("】",_xlpm.A)+1)-1)&amp;MID(_xlpm.A,FIND("】",_xlpm.A,FIND("】",_xlpm.A)+1)+1,LEN(_xlpm.A)),_xlpm.A))</f>
        <v/>
      </c>
      <c r="J151" s="18" t="str" cm="1">
        <f t="array" ref="J151">IFERROR(INDEX(_xlfn.TEXTSPLIT(_xlfn.XLOOKUP($A151&amp;$B151&amp;$C151,盘货信息!$A:$A&amp;盘货信息!$B:$B&amp;盘货信息!$C:$C,盘货信息!$S:$S),CHAR(10),,TRUE),1,COLUMN(A150)),"")</f>
        <v/>
      </c>
      <c r="K151" s="18" t="str" cm="1">
        <f t="array" ref="K151">IFERROR(INDEX(_xlfn.TEXTSPLIT(_xlfn.XLOOKUP($A151&amp;$B151&amp;$C151,盘货信息!$A:$A&amp;盘货信息!$B:$B&amp;盘货信息!$C:$C,盘货信息!$S:$S),CHAR(10),,TRUE),1,COLUMN(B150)),"")</f>
        <v/>
      </c>
      <c r="L151" s="18" t="str" cm="1">
        <f t="array" ref="L151">IFERROR(INDEX(_xlfn.TEXTSPLIT(_xlfn.XLOOKUP($A151&amp;$B151&amp;$C151,盘货信息!$A:$A&amp;盘货信息!$B:$B&amp;盘货信息!$C:$C,盘货信息!$S:$S),CHAR(10),,TRUE),1,COLUMN(C150)),"")</f>
        <v/>
      </c>
      <c r="M151" s="18" t="str" cm="1">
        <f t="array" ref="M151">IFERROR(INDEX(_xlfn.TEXTSPLIT(_xlfn.XLOOKUP($A151&amp;$B151&amp;$C151,盘货信息!$A:$A&amp;盘货信息!$B:$B&amp;盘货信息!$C:$C,盘货信息!$S:$S),CHAR(10),,TRUE),1,COLUMN(D150)),"")</f>
        <v/>
      </c>
      <c r="N151" s="18" t="str" cm="1">
        <f t="array" ref="N151">IFERROR(INDEX(_xlfn.TEXTSPLIT(_xlfn.XLOOKUP($A151&amp;$B151&amp;$C151,盘货信息!$A:$A&amp;盘货信息!$B:$B&amp;盘货信息!$C:$C,盘货信息!$S:$S),CHAR(10),,TRUE),1,COLUMN(E150)),"")</f>
        <v/>
      </c>
    </row>
    <row r="152" customHeight="1" spans="1:14">
      <c r="A152" s="17" t="str">
        <f>IF(盘货信息!A152="","",盘货信息!A152)</f>
        <v/>
      </c>
      <c r="B152" s="17" t="str">
        <f>IF(盘货信息!B152="","",盘货信息!B152)</f>
        <v/>
      </c>
      <c r="C152" s="18" t="str">
        <f>IF(盘货信息!C152="","",盘货信息!C152)</f>
        <v/>
      </c>
      <c r="D152" s="18" t="str">
        <f t="shared" si="2"/>
        <v/>
      </c>
      <c r="E152" s="18" t="str">
        <f>_xlfn.LET(_xlpm.A,IF(ISNUMBER(SEARCH("晒单",J152)),"【晒单】"&amp;MID(J152,SEARCH("晒单",J152)+LEN("晒单"),LEN(J152))&amp;"（需晒单后联系客服登记）",IF(ISNUMBER(SEARCH("包修",J152)),"【购机】"&amp;MID(J152,SEARCH("购机",J152)+LEN("购机"),LEN(J152)),IF(ISNUMBER(SEARCH("叠放支架",J152)),"【赠品】"&amp;MID(J152,SEARCH("购机",J152)+LEN("购机"),LEN(J152)),IF(ISNUMBER(SEARCH("秀图",J152)),"【秀图】"&amp;MID(J152,SEARCH("秀图",J152)+LEN("秀图"),LEN(J152)),"")))),IFERROR(LEFT(_xlpm.A,FIND("【",_xlpm.A,FIND("】",_xlpm.A)+1)-1)&amp;MID(_xlpm.A,FIND("】",_xlpm.A,FIND("】",_xlpm.A)+1)+1,LEN(_xlpm.A)),_xlpm.A))</f>
        <v/>
      </c>
      <c r="F152" s="18" t="str">
        <f>_xlfn.LET(_xlpm.A,IF(ISNUMBER(SEARCH("晒单",K152)),"【晒单】"&amp;MID(K152,SEARCH("晒单",K152)+LEN("晒单"),LEN(K152))&amp;"（需晒单后联系客服登记）",IF(ISNUMBER(SEARCH("包修",K152)),"【购机】"&amp;MID(K152,SEARCH("购机",K152)+LEN("购机"),LEN(K152)),IF(ISNUMBER(SEARCH("叠放支架",K152)),"【赠品】"&amp;MID(K152,SEARCH("购机",K152)+LEN("购机"),LEN(K152)),IF(ISNUMBER(SEARCH("秀图",K152)),"【秀图】"&amp;MID(K152,SEARCH("秀图",K152)+LEN("秀图"),LEN(K152)),"")))),IFERROR(LEFT(_xlpm.A,FIND("【",_xlpm.A,FIND("】",_xlpm.A)+1)-1)&amp;MID(_xlpm.A,FIND("】",_xlpm.A,FIND("】",_xlpm.A)+1)+1,LEN(_xlpm.A)),_xlpm.A))</f>
        <v/>
      </c>
      <c r="G152" s="18" t="str">
        <f>_xlfn.LET(_xlpm.A,IF(ISNUMBER(SEARCH("晒单",L152)),"【晒单】"&amp;MID(L152,SEARCH("晒单",L152)+LEN("晒单"),LEN(L152))&amp;"（需晒单后联系客服登记）",IF(ISNUMBER(SEARCH("包修",L152)),"【购机】"&amp;MID(L152,SEARCH("购机",L152)+LEN("购机"),LEN(L152)),IF(ISNUMBER(SEARCH("叠放支架",L152)),"【赠品】"&amp;MID(L152,SEARCH("购机",L152)+LEN("购机"),LEN(L152)),IF(ISNUMBER(SEARCH("秀图",L152)),"【秀图】"&amp;MID(L152,SEARCH("秀图",L152)+LEN("秀图"),LEN(L152)),"")))),IFERROR(LEFT(_xlpm.A,FIND("【",_xlpm.A,FIND("】",_xlpm.A)+1)-1)&amp;MID(_xlpm.A,FIND("】",_xlpm.A,FIND("】",_xlpm.A)+1)+1,LEN(_xlpm.A)),_xlpm.A))</f>
        <v/>
      </c>
      <c r="H152" s="18" t="str">
        <f>_xlfn.LET(_xlpm.A,IF(ISNUMBER(SEARCH("晒单",M152)),"【晒单】"&amp;MID(M152,SEARCH("晒单",M152)+LEN("晒单"),LEN(M152))&amp;"（需晒单后联系客服登记）",IF(ISNUMBER(SEARCH("包修",M152)),"【购机】"&amp;MID(M152,SEARCH("购机",M152)+LEN("购机"),LEN(M152)),IF(ISNUMBER(SEARCH("叠放支架",M152)),"【赠品】"&amp;MID(M152,SEARCH("购机",M152)+LEN("购机"),LEN(M152)),IF(ISNUMBER(SEARCH("秀图",M152)),"【秀图】"&amp;MID(M152,SEARCH("秀图",M152)+LEN("秀图"),LEN(M152)),"")))),IFERROR(LEFT(_xlpm.A,FIND("【",_xlpm.A,FIND("】",_xlpm.A)+1)-1)&amp;MID(_xlpm.A,FIND("】",_xlpm.A,FIND("】",_xlpm.A)+1)+1,LEN(_xlpm.A)),_xlpm.A))</f>
        <v/>
      </c>
      <c r="I152" s="18" t="str">
        <f>_xlfn.LET(_xlpm.A,IF(ISNUMBER(SEARCH("晒单",N152)),"【晒单】"&amp;MID(N152,SEARCH("晒单",N152)+LEN("晒单"),LEN(N152))&amp;"（需晒单后联系客服登记）",IF(ISNUMBER(SEARCH("包修",N152)),"【购机】"&amp;MID(N152,SEARCH("购机",N152)+LEN("购机"),LEN(N152)),IF(ISNUMBER(SEARCH("叠放支架",N152)),"【赠品】"&amp;MID(N152,SEARCH("购机",N152)+LEN("购机"),LEN(N152)),IF(ISNUMBER(SEARCH("秀图",N152)),"【秀图】"&amp;MID(N152,SEARCH("秀图",N152)+LEN("秀图"),LEN(N152)),"")))),IFERROR(LEFT(_xlpm.A,FIND("【",_xlpm.A,FIND("】",_xlpm.A)+1)-1)&amp;MID(_xlpm.A,FIND("】",_xlpm.A,FIND("】",_xlpm.A)+1)+1,LEN(_xlpm.A)),_xlpm.A))</f>
        <v/>
      </c>
      <c r="J152" s="18" t="str" cm="1">
        <f t="array" ref="J152">IFERROR(INDEX(_xlfn.TEXTSPLIT(_xlfn.XLOOKUP($A152&amp;$B152&amp;$C152,盘货信息!$A:$A&amp;盘货信息!$B:$B&amp;盘货信息!$C:$C,盘货信息!$S:$S),CHAR(10),,TRUE),1,COLUMN(A151)),"")</f>
        <v/>
      </c>
      <c r="K152" s="18" t="str" cm="1">
        <f t="array" ref="K152">IFERROR(INDEX(_xlfn.TEXTSPLIT(_xlfn.XLOOKUP($A152&amp;$B152&amp;$C152,盘货信息!$A:$A&amp;盘货信息!$B:$B&amp;盘货信息!$C:$C,盘货信息!$S:$S),CHAR(10),,TRUE),1,COLUMN(B151)),"")</f>
        <v/>
      </c>
      <c r="L152" s="18" t="str" cm="1">
        <f t="array" ref="L152">IFERROR(INDEX(_xlfn.TEXTSPLIT(_xlfn.XLOOKUP($A152&amp;$B152&amp;$C152,盘货信息!$A:$A&amp;盘货信息!$B:$B&amp;盘货信息!$C:$C,盘货信息!$S:$S),CHAR(10),,TRUE),1,COLUMN(C151)),"")</f>
        <v/>
      </c>
      <c r="M152" s="18" t="str" cm="1">
        <f t="array" ref="M152">IFERROR(INDEX(_xlfn.TEXTSPLIT(_xlfn.XLOOKUP($A152&amp;$B152&amp;$C152,盘货信息!$A:$A&amp;盘货信息!$B:$B&amp;盘货信息!$C:$C,盘货信息!$S:$S),CHAR(10),,TRUE),1,COLUMN(D151)),"")</f>
        <v/>
      </c>
      <c r="N152" s="18" t="str" cm="1">
        <f t="array" ref="N152">IFERROR(INDEX(_xlfn.TEXTSPLIT(_xlfn.XLOOKUP($A152&amp;$B152&amp;$C152,盘货信息!$A:$A&amp;盘货信息!$B:$B&amp;盘货信息!$C:$C,盘货信息!$S:$S),CHAR(10),,TRUE),1,COLUMN(E151)),"")</f>
        <v/>
      </c>
    </row>
    <row r="153" customHeight="1" spans="1:14">
      <c r="A153" s="17" t="str">
        <f>IF(盘货信息!A153="","",盘货信息!A153)</f>
        <v/>
      </c>
      <c r="B153" s="17" t="str">
        <f>IF(盘货信息!B153="","",盘货信息!B153)</f>
        <v/>
      </c>
      <c r="C153" s="18" t="str">
        <f>IF(盘货信息!C153="","",盘货信息!C153)</f>
        <v/>
      </c>
      <c r="D153" s="18" t="str">
        <f t="shared" si="2"/>
        <v/>
      </c>
      <c r="E153" s="18" t="str">
        <f>_xlfn.LET(_xlpm.A,IF(ISNUMBER(SEARCH("晒单",J153)),"【晒单】"&amp;MID(J153,SEARCH("晒单",J153)+LEN("晒单"),LEN(J153))&amp;"（需晒单后联系客服登记）",IF(ISNUMBER(SEARCH("包修",J153)),"【购机】"&amp;MID(J153,SEARCH("购机",J153)+LEN("购机"),LEN(J153)),IF(ISNUMBER(SEARCH("叠放支架",J153)),"【赠品】"&amp;MID(J153,SEARCH("购机",J153)+LEN("购机"),LEN(J153)),IF(ISNUMBER(SEARCH("秀图",J153)),"【秀图】"&amp;MID(J153,SEARCH("秀图",J153)+LEN("秀图"),LEN(J153)),"")))),IFERROR(LEFT(_xlpm.A,FIND("【",_xlpm.A,FIND("】",_xlpm.A)+1)-1)&amp;MID(_xlpm.A,FIND("】",_xlpm.A,FIND("】",_xlpm.A)+1)+1,LEN(_xlpm.A)),_xlpm.A))</f>
        <v/>
      </c>
      <c r="F153" s="18" t="str">
        <f>_xlfn.LET(_xlpm.A,IF(ISNUMBER(SEARCH("晒单",K153)),"【晒单】"&amp;MID(K153,SEARCH("晒单",K153)+LEN("晒单"),LEN(K153))&amp;"（需晒单后联系客服登记）",IF(ISNUMBER(SEARCH("包修",K153)),"【购机】"&amp;MID(K153,SEARCH("购机",K153)+LEN("购机"),LEN(K153)),IF(ISNUMBER(SEARCH("叠放支架",K153)),"【赠品】"&amp;MID(K153,SEARCH("购机",K153)+LEN("购机"),LEN(K153)),IF(ISNUMBER(SEARCH("秀图",K153)),"【秀图】"&amp;MID(K153,SEARCH("秀图",K153)+LEN("秀图"),LEN(K153)),"")))),IFERROR(LEFT(_xlpm.A,FIND("【",_xlpm.A,FIND("】",_xlpm.A)+1)-1)&amp;MID(_xlpm.A,FIND("】",_xlpm.A,FIND("】",_xlpm.A)+1)+1,LEN(_xlpm.A)),_xlpm.A))</f>
        <v/>
      </c>
      <c r="G153" s="18" t="str">
        <f>_xlfn.LET(_xlpm.A,IF(ISNUMBER(SEARCH("晒单",L153)),"【晒单】"&amp;MID(L153,SEARCH("晒单",L153)+LEN("晒单"),LEN(L153))&amp;"（需晒单后联系客服登记）",IF(ISNUMBER(SEARCH("包修",L153)),"【购机】"&amp;MID(L153,SEARCH("购机",L153)+LEN("购机"),LEN(L153)),IF(ISNUMBER(SEARCH("叠放支架",L153)),"【赠品】"&amp;MID(L153,SEARCH("购机",L153)+LEN("购机"),LEN(L153)),IF(ISNUMBER(SEARCH("秀图",L153)),"【秀图】"&amp;MID(L153,SEARCH("秀图",L153)+LEN("秀图"),LEN(L153)),"")))),IFERROR(LEFT(_xlpm.A,FIND("【",_xlpm.A,FIND("】",_xlpm.A)+1)-1)&amp;MID(_xlpm.A,FIND("】",_xlpm.A,FIND("】",_xlpm.A)+1)+1,LEN(_xlpm.A)),_xlpm.A))</f>
        <v/>
      </c>
      <c r="H153" s="18" t="str">
        <f>_xlfn.LET(_xlpm.A,IF(ISNUMBER(SEARCH("晒单",M153)),"【晒单】"&amp;MID(M153,SEARCH("晒单",M153)+LEN("晒单"),LEN(M153))&amp;"（需晒单后联系客服登记）",IF(ISNUMBER(SEARCH("包修",M153)),"【购机】"&amp;MID(M153,SEARCH("购机",M153)+LEN("购机"),LEN(M153)),IF(ISNUMBER(SEARCH("叠放支架",M153)),"【赠品】"&amp;MID(M153,SEARCH("购机",M153)+LEN("购机"),LEN(M153)),IF(ISNUMBER(SEARCH("秀图",M153)),"【秀图】"&amp;MID(M153,SEARCH("秀图",M153)+LEN("秀图"),LEN(M153)),"")))),IFERROR(LEFT(_xlpm.A,FIND("【",_xlpm.A,FIND("】",_xlpm.A)+1)-1)&amp;MID(_xlpm.A,FIND("】",_xlpm.A,FIND("】",_xlpm.A)+1)+1,LEN(_xlpm.A)),_xlpm.A))</f>
        <v/>
      </c>
      <c r="I153" s="18" t="str">
        <f>_xlfn.LET(_xlpm.A,IF(ISNUMBER(SEARCH("晒单",N153)),"【晒单】"&amp;MID(N153,SEARCH("晒单",N153)+LEN("晒单"),LEN(N153))&amp;"（需晒单后联系客服登记）",IF(ISNUMBER(SEARCH("包修",N153)),"【购机】"&amp;MID(N153,SEARCH("购机",N153)+LEN("购机"),LEN(N153)),IF(ISNUMBER(SEARCH("叠放支架",N153)),"【赠品】"&amp;MID(N153,SEARCH("购机",N153)+LEN("购机"),LEN(N153)),IF(ISNUMBER(SEARCH("秀图",N153)),"【秀图】"&amp;MID(N153,SEARCH("秀图",N153)+LEN("秀图"),LEN(N153)),"")))),IFERROR(LEFT(_xlpm.A,FIND("【",_xlpm.A,FIND("】",_xlpm.A)+1)-1)&amp;MID(_xlpm.A,FIND("】",_xlpm.A,FIND("】",_xlpm.A)+1)+1,LEN(_xlpm.A)),_xlpm.A))</f>
        <v/>
      </c>
      <c r="J153" s="18" t="str" cm="1">
        <f t="array" ref="J153">IFERROR(INDEX(_xlfn.TEXTSPLIT(_xlfn.XLOOKUP($A153&amp;$B153&amp;$C153,盘货信息!$A:$A&amp;盘货信息!$B:$B&amp;盘货信息!$C:$C,盘货信息!$S:$S),CHAR(10),,TRUE),1,COLUMN(A152)),"")</f>
        <v/>
      </c>
      <c r="K153" s="18" t="str" cm="1">
        <f t="array" ref="K153">IFERROR(INDEX(_xlfn.TEXTSPLIT(_xlfn.XLOOKUP($A153&amp;$B153&amp;$C153,盘货信息!$A:$A&amp;盘货信息!$B:$B&amp;盘货信息!$C:$C,盘货信息!$S:$S),CHAR(10),,TRUE),1,COLUMN(B152)),"")</f>
        <v/>
      </c>
      <c r="L153" s="18" t="str" cm="1">
        <f t="array" ref="L153">IFERROR(INDEX(_xlfn.TEXTSPLIT(_xlfn.XLOOKUP($A153&amp;$B153&amp;$C153,盘货信息!$A:$A&amp;盘货信息!$B:$B&amp;盘货信息!$C:$C,盘货信息!$S:$S),CHAR(10),,TRUE),1,COLUMN(C152)),"")</f>
        <v/>
      </c>
      <c r="M153" s="18" t="str" cm="1">
        <f t="array" ref="M153">IFERROR(INDEX(_xlfn.TEXTSPLIT(_xlfn.XLOOKUP($A153&amp;$B153&amp;$C153,盘货信息!$A:$A&amp;盘货信息!$B:$B&amp;盘货信息!$C:$C,盘货信息!$S:$S),CHAR(10),,TRUE),1,COLUMN(D152)),"")</f>
        <v/>
      </c>
      <c r="N153" s="18" t="str" cm="1">
        <f t="array" ref="N153">IFERROR(INDEX(_xlfn.TEXTSPLIT(_xlfn.XLOOKUP($A153&amp;$B153&amp;$C153,盘货信息!$A:$A&amp;盘货信息!$B:$B&amp;盘货信息!$C:$C,盘货信息!$S:$S),CHAR(10),,TRUE),1,COLUMN(E152)),"")</f>
        <v/>
      </c>
    </row>
    <row r="154" customHeight="1" spans="1:14">
      <c r="A154" s="17" t="str">
        <f>IF(盘货信息!A154="","",盘货信息!A154)</f>
        <v/>
      </c>
      <c r="B154" s="17" t="str">
        <f>IF(盘货信息!B154="","",盘货信息!B154)</f>
        <v/>
      </c>
      <c r="C154" s="18" t="str">
        <f>IF(盘货信息!C154="","",盘货信息!C154)</f>
        <v/>
      </c>
      <c r="D154" s="18" t="str">
        <f t="shared" si="2"/>
        <v/>
      </c>
      <c r="E154" s="18" t="str">
        <f>_xlfn.LET(_xlpm.A,IF(ISNUMBER(SEARCH("晒单",J154)),"【晒单】"&amp;MID(J154,SEARCH("晒单",J154)+LEN("晒单"),LEN(J154))&amp;"（需晒单后联系客服登记）",IF(ISNUMBER(SEARCH("包修",J154)),"【购机】"&amp;MID(J154,SEARCH("购机",J154)+LEN("购机"),LEN(J154)),IF(ISNUMBER(SEARCH("叠放支架",J154)),"【赠品】"&amp;MID(J154,SEARCH("购机",J154)+LEN("购机"),LEN(J154)),IF(ISNUMBER(SEARCH("秀图",J154)),"【秀图】"&amp;MID(J154,SEARCH("秀图",J154)+LEN("秀图"),LEN(J154)),"")))),IFERROR(LEFT(_xlpm.A,FIND("【",_xlpm.A,FIND("】",_xlpm.A)+1)-1)&amp;MID(_xlpm.A,FIND("】",_xlpm.A,FIND("】",_xlpm.A)+1)+1,LEN(_xlpm.A)),_xlpm.A))</f>
        <v/>
      </c>
      <c r="F154" s="18" t="str">
        <f>_xlfn.LET(_xlpm.A,IF(ISNUMBER(SEARCH("晒单",K154)),"【晒单】"&amp;MID(K154,SEARCH("晒单",K154)+LEN("晒单"),LEN(K154))&amp;"（需晒单后联系客服登记）",IF(ISNUMBER(SEARCH("包修",K154)),"【购机】"&amp;MID(K154,SEARCH("购机",K154)+LEN("购机"),LEN(K154)),IF(ISNUMBER(SEARCH("叠放支架",K154)),"【赠品】"&amp;MID(K154,SEARCH("购机",K154)+LEN("购机"),LEN(K154)),IF(ISNUMBER(SEARCH("秀图",K154)),"【秀图】"&amp;MID(K154,SEARCH("秀图",K154)+LEN("秀图"),LEN(K154)),"")))),IFERROR(LEFT(_xlpm.A,FIND("【",_xlpm.A,FIND("】",_xlpm.A)+1)-1)&amp;MID(_xlpm.A,FIND("】",_xlpm.A,FIND("】",_xlpm.A)+1)+1,LEN(_xlpm.A)),_xlpm.A))</f>
        <v/>
      </c>
      <c r="G154" s="18" t="str">
        <f>_xlfn.LET(_xlpm.A,IF(ISNUMBER(SEARCH("晒单",L154)),"【晒单】"&amp;MID(L154,SEARCH("晒单",L154)+LEN("晒单"),LEN(L154))&amp;"（需晒单后联系客服登记）",IF(ISNUMBER(SEARCH("包修",L154)),"【购机】"&amp;MID(L154,SEARCH("购机",L154)+LEN("购机"),LEN(L154)),IF(ISNUMBER(SEARCH("叠放支架",L154)),"【赠品】"&amp;MID(L154,SEARCH("购机",L154)+LEN("购机"),LEN(L154)),IF(ISNUMBER(SEARCH("秀图",L154)),"【秀图】"&amp;MID(L154,SEARCH("秀图",L154)+LEN("秀图"),LEN(L154)),"")))),IFERROR(LEFT(_xlpm.A,FIND("【",_xlpm.A,FIND("】",_xlpm.A)+1)-1)&amp;MID(_xlpm.A,FIND("】",_xlpm.A,FIND("】",_xlpm.A)+1)+1,LEN(_xlpm.A)),_xlpm.A))</f>
        <v/>
      </c>
      <c r="H154" s="18" t="str">
        <f>_xlfn.LET(_xlpm.A,IF(ISNUMBER(SEARCH("晒单",M154)),"【晒单】"&amp;MID(M154,SEARCH("晒单",M154)+LEN("晒单"),LEN(M154))&amp;"（需晒单后联系客服登记）",IF(ISNUMBER(SEARCH("包修",M154)),"【购机】"&amp;MID(M154,SEARCH("购机",M154)+LEN("购机"),LEN(M154)),IF(ISNUMBER(SEARCH("叠放支架",M154)),"【赠品】"&amp;MID(M154,SEARCH("购机",M154)+LEN("购机"),LEN(M154)),IF(ISNUMBER(SEARCH("秀图",M154)),"【秀图】"&amp;MID(M154,SEARCH("秀图",M154)+LEN("秀图"),LEN(M154)),"")))),IFERROR(LEFT(_xlpm.A,FIND("【",_xlpm.A,FIND("】",_xlpm.A)+1)-1)&amp;MID(_xlpm.A,FIND("】",_xlpm.A,FIND("】",_xlpm.A)+1)+1,LEN(_xlpm.A)),_xlpm.A))</f>
        <v/>
      </c>
      <c r="I154" s="18" t="str">
        <f>_xlfn.LET(_xlpm.A,IF(ISNUMBER(SEARCH("晒单",N154)),"【晒单】"&amp;MID(N154,SEARCH("晒单",N154)+LEN("晒单"),LEN(N154))&amp;"（需晒单后联系客服登记）",IF(ISNUMBER(SEARCH("包修",N154)),"【购机】"&amp;MID(N154,SEARCH("购机",N154)+LEN("购机"),LEN(N154)),IF(ISNUMBER(SEARCH("叠放支架",N154)),"【赠品】"&amp;MID(N154,SEARCH("购机",N154)+LEN("购机"),LEN(N154)),IF(ISNUMBER(SEARCH("秀图",N154)),"【秀图】"&amp;MID(N154,SEARCH("秀图",N154)+LEN("秀图"),LEN(N154)),"")))),IFERROR(LEFT(_xlpm.A,FIND("【",_xlpm.A,FIND("】",_xlpm.A)+1)-1)&amp;MID(_xlpm.A,FIND("】",_xlpm.A,FIND("】",_xlpm.A)+1)+1,LEN(_xlpm.A)),_xlpm.A))</f>
        <v/>
      </c>
      <c r="J154" s="18" t="str" cm="1">
        <f t="array" ref="J154">IFERROR(INDEX(_xlfn.TEXTSPLIT(_xlfn.XLOOKUP($A154&amp;$B154&amp;$C154,盘货信息!$A:$A&amp;盘货信息!$B:$B&amp;盘货信息!$C:$C,盘货信息!$S:$S),CHAR(10),,TRUE),1,COLUMN(A153)),"")</f>
        <v/>
      </c>
      <c r="K154" s="18" t="str" cm="1">
        <f t="array" ref="K154">IFERROR(INDEX(_xlfn.TEXTSPLIT(_xlfn.XLOOKUP($A154&amp;$B154&amp;$C154,盘货信息!$A:$A&amp;盘货信息!$B:$B&amp;盘货信息!$C:$C,盘货信息!$S:$S),CHAR(10),,TRUE),1,COLUMN(B153)),"")</f>
        <v/>
      </c>
      <c r="L154" s="18" t="str" cm="1">
        <f t="array" ref="L154">IFERROR(INDEX(_xlfn.TEXTSPLIT(_xlfn.XLOOKUP($A154&amp;$B154&amp;$C154,盘货信息!$A:$A&amp;盘货信息!$B:$B&amp;盘货信息!$C:$C,盘货信息!$S:$S),CHAR(10),,TRUE),1,COLUMN(C153)),"")</f>
        <v/>
      </c>
      <c r="M154" s="18" t="str" cm="1">
        <f t="array" ref="M154">IFERROR(INDEX(_xlfn.TEXTSPLIT(_xlfn.XLOOKUP($A154&amp;$B154&amp;$C154,盘货信息!$A:$A&amp;盘货信息!$B:$B&amp;盘货信息!$C:$C,盘货信息!$S:$S),CHAR(10),,TRUE),1,COLUMN(D153)),"")</f>
        <v/>
      </c>
      <c r="N154" s="18" t="str" cm="1">
        <f t="array" ref="N154">IFERROR(INDEX(_xlfn.TEXTSPLIT(_xlfn.XLOOKUP($A154&amp;$B154&amp;$C154,盘货信息!$A:$A&amp;盘货信息!$B:$B&amp;盘货信息!$C:$C,盘货信息!$S:$S),CHAR(10),,TRUE),1,COLUMN(E153)),"")</f>
        <v/>
      </c>
    </row>
    <row r="155" customHeight="1" spans="1:14">
      <c r="A155" s="17" t="str">
        <f>IF(盘货信息!A155="","",盘货信息!A155)</f>
        <v/>
      </c>
      <c r="B155" s="17" t="str">
        <f>IF(盘货信息!B155="","",盘货信息!B155)</f>
        <v/>
      </c>
      <c r="C155" s="18" t="str">
        <f>IF(盘货信息!C155="","",盘货信息!C155)</f>
        <v/>
      </c>
      <c r="D155" s="18" t="str">
        <f t="shared" si="2"/>
        <v/>
      </c>
      <c r="E155" s="18" t="str">
        <f>_xlfn.LET(_xlpm.A,IF(ISNUMBER(SEARCH("晒单",J155)),"【晒单】"&amp;MID(J155,SEARCH("晒单",J155)+LEN("晒单"),LEN(J155))&amp;"（需晒单后联系客服登记）",IF(ISNUMBER(SEARCH("包修",J155)),"【购机】"&amp;MID(J155,SEARCH("购机",J155)+LEN("购机"),LEN(J155)),IF(ISNUMBER(SEARCH("叠放支架",J155)),"【赠品】"&amp;MID(J155,SEARCH("购机",J155)+LEN("购机"),LEN(J155)),IF(ISNUMBER(SEARCH("秀图",J155)),"【秀图】"&amp;MID(J155,SEARCH("秀图",J155)+LEN("秀图"),LEN(J155)),"")))),IFERROR(LEFT(_xlpm.A,FIND("【",_xlpm.A,FIND("】",_xlpm.A)+1)-1)&amp;MID(_xlpm.A,FIND("】",_xlpm.A,FIND("】",_xlpm.A)+1)+1,LEN(_xlpm.A)),_xlpm.A))</f>
        <v/>
      </c>
      <c r="F155" s="18" t="str">
        <f>_xlfn.LET(_xlpm.A,IF(ISNUMBER(SEARCH("晒单",K155)),"【晒单】"&amp;MID(K155,SEARCH("晒单",K155)+LEN("晒单"),LEN(K155))&amp;"（需晒单后联系客服登记）",IF(ISNUMBER(SEARCH("包修",K155)),"【购机】"&amp;MID(K155,SEARCH("购机",K155)+LEN("购机"),LEN(K155)),IF(ISNUMBER(SEARCH("叠放支架",K155)),"【赠品】"&amp;MID(K155,SEARCH("购机",K155)+LEN("购机"),LEN(K155)),IF(ISNUMBER(SEARCH("秀图",K155)),"【秀图】"&amp;MID(K155,SEARCH("秀图",K155)+LEN("秀图"),LEN(K155)),"")))),IFERROR(LEFT(_xlpm.A,FIND("【",_xlpm.A,FIND("】",_xlpm.A)+1)-1)&amp;MID(_xlpm.A,FIND("】",_xlpm.A,FIND("】",_xlpm.A)+1)+1,LEN(_xlpm.A)),_xlpm.A))</f>
        <v/>
      </c>
      <c r="G155" s="18" t="str">
        <f>_xlfn.LET(_xlpm.A,IF(ISNUMBER(SEARCH("晒单",L155)),"【晒单】"&amp;MID(L155,SEARCH("晒单",L155)+LEN("晒单"),LEN(L155))&amp;"（需晒单后联系客服登记）",IF(ISNUMBER(SEARCH("包修",L155)),"【购机】"&amp;MID(L155,SEARCH("购机",L155)+LEN("购机"),LEN(L155)),IF(ISNUMBER(SEARCH("叠放支架",L155)),"【赠品】"&amp;MID(L155,SEARCH("购机",L155)+LEN("购机"),LEN(L155)),IF(ISNUMBER(SEARCH("秀图",L155)),"【秀图】"&amp;MID(L155,SEARCH("秀图",L155)+LEN("秀图"),LEN(L155)),"")))),IFERROR(LEFT(_xlpm.A,FIND("【",_xlpm.A,FIND("】",_xlpm.A)+1)-1)&amp;MID(_xlpm.A,FIND("】",_xlpm.A,FIND("】",_xlpm.A)+1)+1,LEN(_xlpm.A)),_xlpm.A))</f>
        <v/>
      </c>
      <c r="H155" s="18" t="str">
        <f>_xlfn.LET(_xlpm.A,IF(ISNUMBER(SEARCH("晒单",M155)),"【晒单】"&amp;MID(M155,SEARCH("晒单",M155)+LEN("晒单"),LEN(M155))&amp;"（需晒单后联系客服登记）",IF(ISNUMBER(SEARCH("包修",M155)),"【购机】"&amp;MID(M155,SEARCH("购机",M155)+LEN("购机"),LEN(M155)),IF(ISNUMBER(SEARCH("叠放支架",M155)),"【赠品】"&amp;MID(M155,SEARCH("购机",M155)+LEN("购机"),LEN(M155)),IF(ISNUMBER(SEARCH("秀图",M155)),"【秀图】"&amp;MID(M155,SEARCH("秀图",M155)+LEN("秀图"),LEN(M155)),"")))),IFERROR(LEFT(_xlpm.A,FIND("【",_xlpm.A,FIND("】",_xlpm.A)+1)-1)&amp;MID(_xlpm.A,FIND("】",_xlpm.A,FIND("】",_xlpm.A)+1)+1,LEN(_xlpm.A)),_xlpm.A))</f>
        <v/>
      </c>
      <c r="I155" s="18" t="str">
        <f>_xlfn.LET(_xlpm.A,IF(ISNUMBER(SEARCH("晒单",N155)),"【晒单】"&amp;MID(N155,SEARCH("晒单",N155)+LEN("晒单"),LEN(N155))&amp;"（需晒单后联系客服登记）",IF(ISNUMBER(SEARCH("包修",N155)),"【购机】"&amp;MID(N155,SEARCH("购机",N155)+LEN("购机"),LEN(N155)),IF(ISNUMBER(SEARCH("叠放支架",N155)),"【赠品】"&amp;MID(N155,SEARCH("购机",N155)+LEN("购机"),LEN(N155)),IF(ISNUMBER(SEARCH("秀图",N155)),"【秀图】"&amp;MID(N155,SEARCH("秀图",N155)+LEN("秀图"),LEN(N155)),"")))),IFERROR(LEFT(_xlpm.A,FIND("【",_xlpm.A,FIND("】",_xlpm.A)+1)-1)&amp;MID(_xlpm.A,FIND("】",_xlpm.A,FIND("】",_xlpm.A)+1)+1,LEN(_xlpm.A)),_xlpm.A))</f>
        <v/>
      </c>
      <c r="J155" s="18" t="str" cm="1">
        <f t="array" ref="J155">IFERROR(INDEX(_xlfn.TEXTSPLIT(_xlfn.XLOOKUP($A155&amp;$B155&amp;$C155,盘货信息!$A:$A&amp;盘货信息!$B:$B&amp;盘货信息!$C:$C,盘货信息!$S:$S),CHAR(10),,TRUE),1,COLUMN(A154)),"")</f>
        <v/>
      </c>
      <c r="K155" s="18" t="str" cm="1">
        <f t="array" ref="K155">IFERROR(INDEX(_xlfn.TEXTSPLIT(_xlfn.XLOOKUP($A155&amp;$B155&amp;$C155,盘货信息!$A:$A&amp;盘货信息!$B:$B&amp;盘货信息!$C:$C,盘货信息!$S:$S),CHAR(10),,TRUE),1,COLUMN(B154)),"")</f>
        <v/>
      </c>
      <c r="L155" s="18" t="str" cm="1">
        <f t="array" ref="L155">IFERROR(INDEX(_xlfn.TEXTSPLIT(_xlfn.XLOOKUP($A155&amp;$B155&amp;$C155,盘货信息!$A:$A&amp;盘货信息!$B:$B&amp;盘货信息!$C:$C,盘货信息!$S:$S),CHAR(10),,TRUE),1,COLUMN(C154)),"")</f>
        <v/>
      </c>
      <c r="M155" s="18" t="str" cm="1">
        <f t="array" ref="M155">IFERROR(INDEX(_xlfn.TEXTSPLIT(_xlfn.XLOOKUP($A155&amp;$B155&amp;$C155,盘货信息!$A:$A&amp;盘货信息!$B:$B&amp;盘货信息!$C:$C,盘货信息!$S:$S),CHAR(10),,TRUE),1,COLUMN(D154)),"")</f>
        <v/>
      </c>
      <c r="N155" s="18" t="str" cm="1">
        <f t="array" ref="N155">IFERROR(INDEX(_xlfn.TEXTSPLIT(_xlfn.XLOOKUP($A155&amp;$B155&amp;$C155,盘货信息!$A:$A&amp;盘货信息!$B:$B&amp;盘货信息!$C:$C,盘货信息!$S:$S),CHAR(10),,TRUE),1,COLUMN(E154)),"")</f>
        <v/>
      </c>
    </row>
    <row r="156" customHeight="1" spans="1:14">
      <c r="A156" s="17" t="str">
        <f>IF(盘货信息!A156="","",盘货信息!A156)</f>
        <v/>
      </c>
      <c r="B156" s="17" t="str">
        <f>IF(盘货信息!B156="","",盘货信息!B156)</f>
        <v/>
      </c>
      <c r="C156" s="18" t="str">
        <f>IF(盘货信息!C156="","",盘货信息!C156)</f>
        <v/>
      </c>
      <c r="D156" s="18" t="str">
        <f t="shared" si="2"/>
        <v/>
      </c>
      <c r="E156" s="18" t="str">
        <f>_xlfn.LET(_xlpm.A,IF(ISNUMBER(SEARCH("晒单",J156)),"【晒单】"&amp;MID(J156,SEARCH("晒单",J156)+LEN("晒单"),LEN(J156))&amp;"（需晒单后联系客服登记）",IF(ISNUMBER(SEARCH("包修",J156)),"【购机】"&amp;MID(J156,SEARCH("购机",J156)+LEN("购机"),LEN(J156)),IF(ISNUMBER(SEARCH("叠放支架",J156)),"【赠品】"&amp;MID(J156,SEARCH("购机",J156)+LEN("购机"),LEN(J156)),IF(ISNUMBER(SEARCH("秀图",J156)),"【秀图】"&amp;MID(J156,SEARCH("秀图",J156)+LEN("秀图"),LEN(J156)),"")))),IFERROR(LEFT(_xlpm.A,FIND("【",_xlpm.A,FIND("】",_xlpm.A)+1)-1)&amp;MID(_xlpm.A,FIND("】",_xlpm.A,FIND("】",_xlpm.A)+1)+1,LEN(_xlpm.A)),_xlpm.A))</f>
        <v/>
      </c>
      <c r="F156" s="18" t="str">
        <f>_xlfn.LET(_xlpm.A,IF(ISNUMBER(SEARCH("晒单",K156)),"【晒单】"&amp;MID(K156,SEARCH("晒单",K156)+LEN("晒单"),LEN(K156))&amp;"（需晒单后联系客服登记）",IF(ISNUMBER(SEARCH("包修",K156)),"【购机】"&amp;MID(K156,SEARCH("购机",K156)+LEN("购机"),LEN(K156)),IF(ISNUMBER(SEARCH("叠放支架",K156)),"【赠品】"&amp;MID(K156,SEARCH("购机",K156)+LEN("购机"),LEN(K156)),IF(ISNUMBER(SEARCH("秀图",K156)),"【秀图】"&amp;MID(K156,SEARCH("秀图",K156)+LEN("秀图"),LEN(K156)),"")))),IFERROR(LEFT(_xlpm.A,FIND("【",_xlpm.A,FIND("】",_xlpm.A)+1)-1)&amp;MID(_xlpm.A,FIND("】",_xlpm.A,FIND("】",_xlpm.A)+1)+1,LEN(_xlpm.A)),_xlpm.A))</f>
        <v/>
      </c>
      <c r="G156" s="18" t="str">
        <f>_xlfn.LET(_xlpm.A,IF(ISNUMBER(SEARCH("晒单",L156)),"【晒单】"&amp;MID(L156,SEARCH("晒单",L156)+LEN("晒单"),LEN(L156))&amp;"（需晒单后联系客服登记）",IF(ISNUMBER(SEARCH("包修",L156)),"【购机】"&amp;MID(L156,SEARCH("购机",L156)+LEN("购机"),LEN(L156)),IF(ISNUMBER(SEARCH("叠放支架",L156)),"【赠品】"&amp;MID(L156,SEARCH("购机",L156)+LEN("购机"),LEN(L156)),IF(ISNUMBER(SEARCH("秀图",L156)),"【秀图】"&amp;MID(L156,SEARCH("秀图",L156)+LEN("秀图"),LEN(L156)),"")))),IFERROR(LEFT(_xlpm.A,FIND("【",_xlpm.A,FIND("】",_xlpm.A)+1)-1)&amp;MID(_xlpm.A,FIND("】",_xlpm.A,FIND("】",_xlpm.A)+1)+1,LEN(_xlpm.A)),_xlpm.A))</f>
        <v/>
      </c>
      <c r="H156" s="18" t="str">
        <f>_xlfn.LET(_xlpm.A,IF(ISNUMBER(SEARCH("晒单",M156)),"【晒单】"&amp;MID(M156,SEARCH("晒单",M156)+LEN("晒单"),LEN(M156))&amp;"（需晒单后联系客服登记）",IF(ISNUMBER(SEARCH("包修",M156)),"【购机】"&amp;MID(M156,SEARCH("购机",M156)+LEN("购机"),LEN(M156)),IF(ISNUMBER(SEARCH("叠放支架",M156)),"【赠品】"&amp;MID(M156,SEARCH("购机",M156)+LEN("购机"),LEN(M156)),IF(ISNUMBER(SEARCH("秀图",M156)),"【秀图】"&amp;MID(M156,SEARCH("秀图",M156)+LEN("秀图"),LEN(M156)),"")))),IFERROR(LEFT(_xlpm.A,FIND("【",_xlpm.A,FIND("】",_xlpm.A)+1)-1)&amp;MID(_xlpm.A,FIND("】",_xlpm.A,FIND("】",_xlpm.A)+1)+1,LEN(_xlpm.A)),_xlpm.A))</f>
        <v/>
      </c>
      <c r="I156" s="18" t="str">
        <f>_xlfn.LET(_xlpm.A,IF(ISNUMBER(SEARCH("晒单",N156)),"【晒单】"&amp;MID(N156,SEARCH("晒单",N156)+LEN("晒单"),LEN(N156))&amp;"（需晒单后联系客服登记）",IF(ISNUMBER(SEARCH("包修",N156)),"【购机】"&amp;MID(N156,SEARCH("购机",N156)+LEN("购机"),LEN(N156)),IF(ISNUMBER(SEARCH("叠放支架",N156)),"【赠品】"&amp;MID(N156,SEARCH("购机",N156)+LEN("购机"),LEN(N156)),IF(ISNUMBER(SEARCH("秀图",N156)),"【秀图】"&amp;MID(N156,SEARCH("秀图",N156)+LEN("秀图"),LEN(N156)),"")))),IFERROR(LEFT(_xlpm.A,FIND("【",_xlpm.A,FIND("】",_xlpm.A)+1)-1)&amp;MID(_xlpm.A,FIND("】",_xlpm.A,FIND("】",_xlpm.A)+1)+1,LEN(_xlpm.A)),_xlpm.A))</f>
        <v/>
      </c>
      <c r="J156" s="18" t="str" cm="1">
        <f t="array" ref="J156">IFERROR(INDEX(_xlfn.TEXTSPLIT(_xlfn.XLOOKUP($A156&amp;$B156&amp;$C156,盘货信息!$A:$A&amp;盘货信息!$B:$B&amp;盘货信息!$C:$C,盘货信息!$S:$S),CHAR(10),,TRUE),1,COLUMN(A155)),"")</f>
        <v/>
      </c>
      <c r="K156" s="18" t="str" cm="1">
        <f t="array" ref="K156">IFERROR(INDEX(_xlfn.TEXTSPLIT(_xlfn.XLOOKUP($A156&amp;$B156&amp;$C156,盘货信息!$A:$A&amp;盘货信息!$B:$B&amp;盘货信息!$C:$C,盘货信息!$S:$S),CHAR(10),,TRUE),1,COLUMN(B155)),"")</f>
        <v/>
      </c>
      <c r="L156" s="18" t="str" cm="1">
        <f t="array" ref="L156">IFERROR(INDEX(_xlfn.TEXTSPLIT(_xlfn.XLOOKUP($A156&amp;$B156&amp;$C156,盘货信息!$A:$A&amp;盘货信息!$B:$B&amp;盘货信息!$C:$C,盘货信息!$S:$S),CHAR(10),,TRUE),1,COLUMN(C155)),"")</f>
        <v/>
      </c>
      <c r="M156" s="18" t="str" cm="1">
        <f t="array" ref="M156">IFERROR(INDEX(_xlfn.TEXTSPLIT(_xlfn.XLOOKUP($A156&amp;$B156&amp;$C156,盘货信息!$A:$A&amp;盘货信息!$B:$B&amp;盘货信息!$C:$C,盘货信息!$S:$S),CHAR(10),,TRUE),1,COLUMN(D155)),"")</f>
        <v/>
      </c>
      <c r="N156" s="18" t="str" cm="1">
        <f t="array" ref="N156">IFERROR(INDEX(_xlfn.TEXTSPLIT(_xlfn.XLOOKUP($A156&amp;$B156&amp;$C156,盘货信息!$A:$A&amp;盘货信息!$B:$B&amp;盘货信息!$C:$C,盘货信息!$S:$S),CHAR(10),,TRUE),1,COLUMN(E155)),"")</f>
        <v/>
      </c>
    </row>
    <row r="157" customHeight="1" spans="1:14">
      <c r="A157" s="17" t="str">
        <f>IF(盘货信息!A157="","",盘货信息!A157)</f>
        <v/>
      </c>
      <c r="B157" s="17" t="str">
        <f>IF(盘货信息!B157="","",盘货信息!B157)</f>
        <v/>
      </c>
      <c r="C157" s="18" t="str">
        <f>IF(盘货信息!C157="","",盘货信息!C157)</f>
        <v/>
      </c>
      <c r="D157" s="18" t="str">
        <f t="shared" si="2"/>
        <v/>
      </c>
      <c r="E157" s="18" t="str">
        <f>_xlfn.LET(_xlpm.A,IF(ISNUMBER(SEARCH("晒单",J157)),"【晒单】"&amp;MID(J157,SEARCH("晒单",J157)+LEN("晒单"),LEN(J157))&amp;"（需晒单后联系客服登记）",IF(ISNUMBER(SEARCH("包修",J157)),"【购机】"&amp;MID(J157,SEARCH("购机",J157)+LEN("购机"),LEN(J157)),IF(ISNUMBER(SEARCH("叠放支架",J157)),"【赠品】"&amp;MID(J157,SEARCH("购机",J157)+LEN("购机"),LEN(J157)),IF(ISNUMBER(SEARCH("秀图",J157)),"【秀图】"&amp;MID(J157,SEARCH("秀图",J157)+LEN("秀图"),LEN(J157)),"")))),IFERROR(LEFT(_xlpm.A,FIND("【",_xlpm.A,FIND("】",_xlpm.A)+1)-1)&amp;MID(_xlpm.A,FIND("】",_xlpm.A,FIND("】",_xlpm.A)+1)+1,LEN(_xlpm.A)),_xlpm.A))</f>
        <v/>
      </c>
      <c r="F157" s="18" t="str">
        <f>_xlfn.LET(_xlpm.A,IF(ISNUMBER(SEARCH("晒单",K157)),"【晒单】"&amp;MID(K157,SEARCH("晒单",K157)+LEN("晒单"),LEN(K157))&amp;"（需晒单后联系客服登记）",IF(ISNUMBER(SEARCH("包修",K157)),"【购机】"&amp;MID(K157,SEARCH("购机",K157)+LEN("购机"),LEN(K157)),IF(ISNUMBER(SEARCH("叠放支架",K157)),"【赠品】"&amp;MID(K157,SEARCH("购机",K157)+LEN("购机"),LEN(K157)),IF(ISNUMBER(SEARCH("秀图",K157)),"【秀图】"&amp;MID(K157,SEARCH("秀图",K157)+LEN("秀图"),LEN(K157)),"")))),IFERROR(LEFT(_xlpm.A,FIND("【",_xlpm.A,FIND("】",_xlpm.A)+1)-1)&amp;MID(_xlpm.A,FIND("】",_xlpm.A,FIND("】",_xlpm.A)+1)+1,LEN(_xlpm.A)),_xlpm.A))</f>
        <v/>
      </c>
      <c r="G157" s="18" t="str">
        <f>_xlfn.LET(_xlpm.A,IF(ISNUMBER(SEARCH("晒单",L157)),"【晒单】"&amp;MID(L157,SEARCH("晒单",L157)+LEN("晒单"),LEN(L157))&amp;"（需晒单后联系客服登记）",IF(ISNUMBER(SEARCH("包修",L157)),"【购机】"&amp;MID(L157,SEARCH("购机",L157)+LEN("购机"),LEN(L157)),IF(ISNUMBER(SEARCH("叠放支架",L157)),"【赠品】"&amp;MID(L157,SEARCH("购机",L157)+LEN("购机"),LEN(L157)),IF(ISNUMBER(SEARCH("秀图",L157)),"【秀图】"&amp;MID(L157,SEARCH("秀图",L157)+LEN("秀图"),LEN(L157)),"")))),IFERROR(LEFT(_xlpm.A,FIND("【",_xlpm.A,FIND("】",_xlpm.A)+1)-1)&amp;MID(_xlpm.A,FIND("】",_xlpm.A,FIND("】",_xlpm.A)+1)+1,LEN(_xlpm.A)),_xlpm.A))</f>
        <v/>
      </c>
      <c r="H157" s="18" t="str">
        <f>_xlfn.LET(_xlpm.A,IF(ISNUMBER(SEARCH("晒单",M157)),"【晒单】"&amp;MID(M157,SEARCH("晒单",M157)+LEN("晒单"),LEN(M157))&amp;"（需晒单后联系客服登记）",IF(ISNUMBER(SEARCH("包修",M157)),"【购机】"&amp;MID(M157,SEARCH("购机",M157)+LEN("购机"),LEN(M157)),IF(ISNUMBER(SEARCH("叠放支架",M157)),"【赠品】"&amp;MID(M157,SEARCH("购机",M157)+LEN("购机"),LEN(M157)),IF(ISNUMBER(SEARCH("秀图",M157)),"【秀图】"&amp;MID(M157,SEARCH("秀图",M157)+LEN("秀图"),LEN(M157)),"")))),IFERROR(LEFT(_xlpm.A,FIND("【",_xlpm.A,FIND("】",_xlpm.A)+1)-1)&amp;MID(_xlpm.A,FIND("】",_xlpm.A,FIND("】",_xlpm.A)+1)+1,LEN(_xlpm.A)),_xlpm.A))</f>
        <v/>
      </c>
      <c r="I157" s="18" t="str">
        <f>_xlfn.LET(_xlpm.A,IF(ISNUMBER(SEARCH("晒单",N157)),"【晒单】"&amp;MID(N157,SEARCH("晒单",N157)+LEN("晒单"),LEN(N157))&amp;"（需晒单后联系客服登记）",IF(ISNUMBER(SEARCH("包修",N157)),"【购机】"&amp;MID(N157,SEARCH("购机",N157)+LEN("购机"),LEN(N157)),IF(ISNUMBER(SEARCH("叠放支架",N157)),"【赠品】"&amp;MID(N157,SEARCH("购机",N157)+LEN("购机"),LEN(N157)),IF(ISNUMBER(SEARCH("秀图",N157)),"【秀图】"&amp;MID(N157,SEARCH("秀图",N157)+LEN("秀图"),LEN(N157)),"")))),IFERROR(LEFT(_xlpm.A,FIND("【",_xlpm.A,FIND("】",_xlpm.A)+1)-1)&amp;MID(_xlpm.A,FIND("】",_xlpm.A,FIND("】",_xlpm.A)+1)+1,LEN(_xlpm.A)),_xlpm.A))</f>
        <v/>
      </c>
      <c r="J157" s="18" t="str" cm="1">
        <f t="array" ref="J157">IFERROR(INDEX(_xlfn.TEXTSPLIT(_xlfn.XLOOKUP($A157&amp;$B157&amp;$C157,盘货信息!$A:$A&amp;盘货信息!$B:$B&amp;盘货信息!$C:$C,盘货信息!$S:$S),CHAR(10),,TRUE),1,COLUMN(A156)),"")</f>
        <v/>
      </c>
      <c r="K157" s="18" t="str" cm="1">
        <f t="array" ref="K157">IFERROR(INDEX(_xlfn.TEXTSPLIT(_xlfn.XLOOKUP($A157&amp;$B157&amp;$C157,盘货信息!$A:$A&amp;盘货信息!$B:$B&amp;盘货信息!$C:$C,盘货信息!$S:$S),CHAR(10),,TRUE),1,COLUMN(B156)),"")</f>
        <v/>
      </c>
      <c r="L157" s="18" t="str" cm="1">
        <f t="array" ref="L157">IFERROR(INDEX(_xlfn.TEXTSPLIT(_xlfn.XLOOKUP($A157&amp;$B157&amp;$C157,盘货信息!$A:$A&amp;盘货信息!$B:$B&amp;盘货信息!$C:$C,盘货信息!$S:$S),CHAR(10),,TRUE),1,COLUMN(C156)),"")</f>
        <v/>
      </c>
      <c r="M157" s="18" t="str" cm="1">
        <f t="array" ref="M157">IFERROR(INDEX(_xlfn.TEXTSPLIT(_xlfn.XLOOKUP($A157&amp;$B157&amp;$C157,盘货信息!$A:$A&amp;盘货信息!$B:$B&amp;盘货信息!$C:$C,盘货信息!$S:$S),CHAR(10),,TRUE),1,COLUMN(D156)),"")</f>
        <v/>
      </c>
      <c r="N157" s="18" t="str" cm="1">
        <f t="array" ref="N157">IFERROR(INDEX(_xlfn.TEXTSPLIT(_xlfn.XLOOKUP($A157&amp;$B157&amp;$C157,盘货信息!$A:$A&amp;盘货信息!$B:$B&amp;盘货信息!$C:$C,盘货信息!$S:$S),CHAR(10),,TRUE),1,COLUMN(E156)),"")</f>
        <v/>
      </c>
    </row>
    <row r="158" customHeight="1" spans="1:14">
      <c r="A158" s="17" t="str">
        <f>IF(盘货信息!A158="","",盘货信息!A158)</f>
        <v/>
      </c>
      <c r="B158" s="17" t="str">
        <f>IF(盘货信息!B158="","",盘货信息!B158)</f>
        <v/>
      </c>
      <c r="C158" s="18" t="str">
        <f>IF(盘货信息!C158="","",盘货信息!C158)</f>
        <v/>
      </c>
      <c r="D158" s="18" t="str">
        <f t="shared" si="2"/>
        <v/>
      </c>
      <c r="E158" s="18" t="str">
        <f>_xlfn.LET(_xlpm.A,IF(ISNUMBER(SEARCH("晒单",J158)),"【晒单】"&amp;MID(J158,SEARCH("晒单",J158)+LEN("晒单"),LEN(J158))&amp;"（需晒单后联系客服登记）",IF(ISNUMBER(SEARCH("包修",J158)),"【购机】"&amp;MID(J158,SEARCH("购机",J158)+LEN("购机"),LEN(J158)),IF(ISNUMBER(SEARCH("叠放支架",J158)),"【赠品】"&amp;MID(J158,SEARCH("购机",J158)+LEN("购机"),LEN(J158)),IF(ISNUMBER(SEARCH("秀图",J158)),"【秀图】"&amp;MID(J158,SEARCH("秀图",J158)+LEN("秀图"),LEN(J158)),"")))),IFERROR(LEFT(_xlpm.A,FIND("【",_xlpm.A,FIND("】",_xlpm.A)+1)-1)&amp;MID(_xlpm.A,FIND("】",_xlpm.A,FIND("】",_xlpm.A)+1)+1,LEN(_xlpm.A)),_xlpm.A))</f>
        <v/>
      </c>
      <c r="F158" s="18" t="str">
        <f>_xlfn.LET(_xlpm.A,IF(ISNUMBER(SEARCH("晒单",K158)),"【晒单】"&amp;MID(K158,SEARCH("晒单",K158)+LEN("晒单"),LEN(K158))&amp;"（需晒单后联系客服登记）",IF(ISNUMBER(SEARCH("包修",K158)),"【购机】"&amp;MID(K158,SEARCH("购机",K158)+LEN("购机"),LEN(K158)),IF(ISNUMBER(SEARCH("叠放支架",K158)),"【赠品】"&amp;MID(K158,SEARCH("购机",K158)+LEN("购机"),LEN(K158)),IF(ISNUMBER(SEARCH("秀图",K158)),"【秀图】"&amp;MID(K158,SEARCH("秀图",K158)+LEN("秀图"),LEN(K158)),"")))),IFERROR(LEFT(_xlpm.A,FIND("【",_xlpm.A,FIND("】",_xlpm.A)+1)-1)&amp;MID(_xlpm.A,FIND("】",_xlpm.A,FIND("】",_xlpm.A)+1)+1,LEN(_xlpm.A)),_xlpm.A))</f>
        <v/>
      </c>
      <c r="G158" s="18" t="str">
        <f>_xlfn.LET(_xlpm.A,IF(ISNUMBER(SEARCH("晒单",L158)),"【晒单】"&amp;MID(L158,SEARCH("晒单",L158)+LEN("晒单"),LEN(L158))&amp;"（需晒单后联系客服登记）",IF(ISNUMBER(SEARCH("包修",L158)),"【购机】"&amp;MID(L158,SEARCH("购机",L158)+LEN("购机"),LEN(L158)),IF(ISNUMBER(SEARCH("叠放支架",L158)),"【赠品】"&amp;MID(L158,SEARCH("购机",L158)+LEN("购机"),LEN(L158)),IF(ISNUMBER(SEARCH("秀图",L158)),"【秀图】"&amp;MID(L158,SEARCH("秀图",L158)+LEN("秀图"),LEN(L158)),"")))),IFERROR(LEFT(_xlpm.A,FIND("【",_xlpm.A,FIND("】",_xlpm.A)+1)-1)&amp;MID(_xlpm.A,FIND("】",_xlpm.A,FIND("】",_xlpm.A)+1)+1,LEN(_xlpm.A)),_xlpm.A))</f>
        <v/>
      </c>
      <c r="H158" s="18" t="str">
        <f>_xlfn.LET(_xlpm.A,IF(ISNUMBER(SEARCH("晒单",M158)),"【晒单】"&amp;MID(M158,SEARCH("晒单",M158)+LEN("晒单"),LEN(M158))&amp;"（需晒单后联系客服登记）",IF(ISNUMBER(SEARCH("包修",M158)),"【购机】"&amp;MID(M158,SEARCH("购机",M158)+LEN("购机"),LEN(M158)),IF(ISNUMBER(SEARCH("叠放支架",M158)),"【赠品】"&amp;MID(M158,SEARCH("购机",M158)+LEN("购机"),LEN(M158)),IF(ISNUMBER(SEARCH("秀图",M158)),"【秀图】"&amp;MID(M158,SEARCH("秀图",M158)+LEN("秀图"),LEN(M158)),"")))),IFERROR(LEFT(_xlpm.A,FIND("【",_xlpm.A,FIND("】",_xlpm.A)+1)-1)&amp;MID(_xlpm.A,FIND("】",_xlpm.A,FIND("】",_xlpm.A)+1)+1,LEN(_xlpm.A)),_xlpm.A))</f>
        <v/>
      </c>
      <c r="I158" s="18" t="str">
        <f>_xlfn.LET(_xlpm.A,IF(ISNUMBER(SEARCH("晒单",N158)),"【晒单】"&amp;MID(N158,SEARCH("晒单",N158)+LEN("晒单"),LEN(N158))&amp;"（需晒单后联系客服登记）",IF(ISNUMBER(SEARCH("包修",N158)),"【购机】"&amp;MID(N158,SEARCH("购机",N158)+LEN("购机"),LEN(N158)),IF(ISNUMBER(SEARCH("叠放支架",N158)),"【赠品】"&amp;MID(N158,SEARCH("购机",N158)+LEN("购机"),LEN(N158)),IF(ISNUMBER(SEARCH("秀图",N158)),"【秀图】"&amp;MID(N158,SEARCH("秀图",N158)+LEN("秀图"),LEN(N158)),"")))),IFERROR(LEFT(_xlpm.A,FIND("【",_xlpm.A,FIND("】",_xlpm.A)+1)-1)&amp;MID(_xlpm.A,FIND("】",_xlpm.A,FIND("】",_xlpm.A)+1)+1,LEN(_xlpm.A)),_xlpm.A))</f>
        <v/>
      </c>
      <c r="J158" s="18" t="str" cm="1">
        <f t="array" ref="J158">IFERROR(INDEX(_xlfn.TEXTSPLIT(_xlfn.XLOOKUP($A158&amp;$B158&amp;$C158,盘货信息!$A:$A&amp;盘货信息!$B:$B&amp;盘货信息!$C:$C,盘货信息!$S:$S),CHAR(10),,TRUE),1,COLUMN(A157)),"")</f>
        <v/>
      </c>
      <c r="K158" s="18" t="str" cm="1">
        <f t="array" ref="K158">IFERROR(INDEX(_xlfn.TEXTSPLIT(_xlfn.XLOOKUP($A158&amp;$B158&amp;$C158,盘货信息!$A:$A&amp;盘货信息!$B:$B&amp;盘货信息!$C:$C,盘货信息!$S:$S),CHAR(10),,TRUE),1,COLUMN(B157)),"")</f>
        <v/>
      </c>
      <c r="L158" s="18" t="str" cm="1">
        <f t="array" ref="L158">IFERROR(INDEX(_xlfn.TEXTSPLIT(_xlfn.XLOOKUP($A158&amp;$B158&amp;$C158,盘货信息!$A:$A&amp;盘货信息!$B:$B&amp;盘货信息!$C:$C,盘货信息!$S:$S),CHAR(10),,TRUE),1,COLUMN(C157)),"")</f>
        <v/>
      </c>
      <c r="M158" s="18" t="str" cm="1">
        <f t="array" ref="M158">IFERROR(INDEX(_xlfn.TEXTSPLIT(_xlfn.XLOOKUP($A158&amp;$B158&amp;$C158,盘货信息!$A:$A&amp;盘货信息!$B:$B&amp;盘货信息!$C:$C,盘货信息!$S:$S),CHAR(10),,TRUE),1,COLUMN(D157)),"")</f>
        <v/>
      </c>
      <c r="N158" s="18" t="str" cm="1">
        <f t="array" ref="N158">IFERROR(INDEX(_xlfn.TEXTSPLIT(_xlfn.XLOOKUP($A158&amp;$B158&amp;$C158,盘货信息!$A:$A&amp;盘货信息!$B:$B&amp;盘货信息!$C:$C,盘货信息!$S:$S),CHAR(10),,TRUE),1,COLUMN(E157)),"")</f>
        <v/>
      </c>
    </row>
    <row r="159" customHeight="1" spans="1:14">
      <c r="A159" s="17" t="str">
        <f>IF(盘货信息!A159="","",盘货信息!A159)</f>
        <v/>
      </c>
      <c r="B159" s="17" t="str">
        <f>IF(盘货信息!B159="","",盘货信息!B159)</f>
        <v/>
      </c>
      <c r="C159" s="18" t="str">
        <f>IF(盘货信息!C159="","",盘货信息!C159)</f>
        <v/>
      </c>
      <c r="D159" s="18" t="str">
        <f t="shared" si="2"/>
        <v/>
      </c>
      <c r="E159" s="18" t="str">
        <f>_xlfn.LET(_xlpm.A,IF(ISNUMBER(SEARCH("晒单",J159)),"【晒单】"&amp;MID(J159,SEARCH("晒单",J159)+LEN("晒单"),LEN(J159))&amp;"（需晒单后联系客服登记）",IF(ISNUMBER(SEARCH("包修",J159)),"【购机】"&amp;MID(J159,SEARCH("购机",J159)+LEN("购机"),LEN(J159)),IF(ISNUMBER(SEARCH("叠放支架",J159)),"【赠品】"&amp;MID(J159,SEARCH("购机",J159)+LEN("购机"),LEN(J159)),IF(ISNUMBER(SEARCH("秀图",J159)),"【秀图】"&amp;MID(J159,SEARCH("秀图",J159)+LEN("秀图"),LEN(J159)),"")))),IFERROR(LEFT(_xlpm.A,FIND("【",_xlpm.A,FIND("】",_xlpm.A)+1)-1)&amp;MID(_xlpm.A,FIND("】",_xlpm.A,FIND("】",_xlpm.A)+1)+1,LEN(_xlpm.A)),_xlpm.A))</f>
        <v/>
      </c>
      <c r="F159" s="18" t="str">
        <f>_xlfn.LET(_xlpm.A,IF(ISNUMBER(SEARCH("晒单",K159)),"【晒单】"&amp;MID(K159,SEARCH("晒单",K159)+LEN("晒单"),LEN(K159))&amp;"（需晒单后联系客服登记）",IF(ISNUMBER(SEARCH("包修",K159)),"【购机】"&amp;MID(K159,SEARCH("购机",K159)+LEN("购机"),LEN(K159)),IF(ISNUMBER(SEARCH("叠放支架",K159)),"【赠品】"&amp;MID(K159,SEARCH("购机",K159)+LEN("购机"),LEN(K159)),IF(ISNUMBER(SEARCH("秀图",K159)),"【秀图】"&amp;MID(K159,SEARCH("秀图",K159)+LEN("秀图"),LEN(K159)),"")))),IFERROR(LEFT(_xlpm.A,FIND("【",_xlpm.A,FIND("】",_xlpm.A)+1)-1)&amp;MID(_xlpm.A,FIND("】",_xlpm.A,FIND("】",_xlpm.A)+1)+1,LEN(_xlpm.A)),_xlpm.A))</f>
        <v/>
      </c>
      <c r="G159" s="18" t="str">
        <f>_xlfn.LET(_xlpm.A,IF(ISNUMBER(SEARCH("晒单",L159)),"【晒单】"&amp;MID(L159,SEARCH("晒单",L159)+LEN("晒单"),LEN(L159))&amp;"（需晒单后联系客服登记）",IF(ISNUMBER(SEARCH("包修",L159)),"【购机】"&amp;MID(L159,SEARCH("购机",L159)+LEN("购机"),LEN(L159)),IF(ISNUMBER(SEARCH("叠放支架",L159)),"【赠品】"&amp;MID(L159,SEARCH("购机",L159)+LEN("购机"),LEN(L159)),IF(ISNUMBER(SEARCH("秀图",L159)),"【秀图】"&amp;MID(L159,SEARCH("秀图",L159)+LEN("秀图"),LEN(L159)),"")))),IFERROR(LEFT(_xlpm.A,FIND("【",_xlpm.A,FIND("】",_xlpm.A)+1)-1)&amp;MID(_xlpm.A,FIND("】",_xlpm.A,FIND("】",_xlpm.A)+1)+1,LEN(_xlpm.A)),_xlpm.A))</f>
        <v/>
      </c>
      <c r="H159" s="18" t="str">
        <f>_xlfn.LET(_xlpm.A,IF(ISNUMBER(SEARCH("晒单",M159)),"【晒单】"&amp;MID(M159,SEARCH("晒单",M159)+LEN("晒单"),LEN(M159))&amp;"（需晒单后联系客服登记）",IF(ISNUMBER(SEARCH("包修",M159)),"【购机】"&amp;MID(M159,SEARCH("购机",M159)+LEN("购机"),LEN(M159)),IF(ISNUMBER(SEARCH("叠放支架",M159)),"【赠品】"&amp;MID(M159,SEARCH("购机",M159)+LEN("购机"),LEN(M159)),IF(ISNUMBER(SEARCH("秀图",M159)),"【秀图】"&amp;MID(M159,SEARCH("秀图",M159)+LEN("秀图"),LEN(M159)),"")))),IFERROR(LEFT(_xlpm.A,FIND("【",_xlpm.A,FIND("】",_xlpm.A)+1)-1)&amp;MID(_xlpm.A,FIND("】",_xlpm.A,FIND("】",_xlpm.A)+1)+1,LEN(_xlpm.A)),_xlpm.A))</f>
        <v/>
      </c>
      <c r="I159" s="18" t="str">
        <f>_xlfn.LET(_xlpm.A,IF(ISNUMBER(SEARCH("晒单",N159)),"【晒单】"&amp;MID(N159,SEARCH("晒单",N159)+LEN("晒单"),LEN(N159))&amp;"（需晒单后联系客服登记）",IF(ISNUMBER(SEARCH("包修",N159)),"【购机】"&amp;MID(N159,SEARCH("购机",N159)+LEN("购机"),LEN(N159)),IF(ISNUMBER(SEARCH("叠放支架",N159)),"【赠品】"&amp;MID(N159,SEARCH("购机",N159)+LEN("购机"),LEN(N159)),IF(ISNUMBER(SEARCH("秀图",N159)),"【秀图】"&amp;MID(N159,SEARCH("秀图",N159)+LEN("秀图"),LEN(N159)),"")))),IFERROR(LEFT(_xlpm.A,FIND("【",_xlpm.A,FIND("】",_xlpm.A)+1)-1)&amp;MID(_xlpm.A,FIND("】",_xlpm.A,FIND("】",_xlpm.A)+1)+1,LEN(_xlpm.A)),_xlpm.A))</f>
        <v/>
      </c>
      <c r="J159" s="18" t="str" cm="1">
        <f t="array" ref="J159">IFERROR(INDEX(_xlfn.TEXTSPLIT(_xlfn.XLOOKUP($A159&amp;$B159&amp;$C159,盘货信息!$A:$A&amp;盘货信息!$B:$B&amp;盘货信息!$C:$C,盘货信息!$S:$S),CHAR(10),,TRUE),1,COLUMN(A158)),"")</f>
        <v/>
      </c>
      <c r="K159" s="18" t="str" cm="1">
        <f t="array" ref="K159">IFERROR(INDEX(_xlfn.TEXTSPLIT(_xlfn.XLOOKUP($A159&amp;$B159&amp;$C159,盘货信息!$A:$A&amp;盘货信息!$B:$B&amp;盘货信息!$C:$C,盘货信息!$S:$S),CHAR(10),,TRUE),1,COLUMN(B158)),"")</f>
        <v/>
      </c>
      <c r="L159" s="18" t="str" cm="1">
        <f t="array" ref="L159">IFERROR(INDEX(_xlfn.TEXTSPLIT(_xlfn.XLOOKUP($A159&amp;$B159&amp;$C159,盘货信息!$A:$A&amp;盘货信息!$B:$B&amp;盘货信息!$C:$C,盘货信息!$S:$S),CHAR(10),,TRUE),1,COLUMN(C158)),"")</f>
        <v/>
      </c>
      <c r="M159" s="18" t="str" cm="1">
        <f t="array" ref="M159">IFERROR(INDEX(_xlfn.TEXTSPLIT(_xlfn.XLOOKUP($A159&amp;$B159&amp;$C159,盘货信息!$A:$A&amp;盘货信息!$B:$B&amp;盘货信息!$C:$C,盘货信息!$S:$S),CHAR(10),,TRUE),1,COLUMN(D158)),"")</f>
        <v/>
      </c>
      <c r="N159" s="18" t="str" cm="1">
        <f t="array" ref="N159">IFERROR(INDEX(_xlfn.TEXTSPLIT(_xlfn.XLOOKUP($A159&amp;$B159&amp;$C159,盘货信息!$A:$A&amp;盘货信息!$B:$B&amp;盘货信息!$C:$C,盘货信息!$S:$S),CHAR(10),,TRUE),1,COLUMN(E158)),"")</f>
        <v/>
      </c>
    </row>
    <row r="160" customHeight="1" spans="1:14">
      <c r="A160" s="17" t="str">
        <f>IF(盘货信息!A160="","",盘货信息!A160)</f>
        <v/>
      </c>
      <c r="B160" s="17" t="str">
        <f>IF(盘货信息!B160="","",盘货信息!B160)</f>
        <v/>
      </c>
      <c r="C160" s="18" t="str">
        <f>IF(盘货信息!C160="","",盘货信息!C160)</f>
        <v/>
      </c>
      <c r="D160" s="18" t="str">
        <f t="shared" si="2"/>
        <v/>
      </c>
      <c r="E160" s="18" t="str">
        <f>_xlfn.LET(_xlpm.A,IF(ISNUMBER(SEARCH("晒单",J160)),"【晒单】"&amp;MID(J160,SEARCH("晒单",J160)+LEN("晒单"),LEN(J160))&amp;"（需晒单后联系客服登记）",IF(ISNUMBER(SEARCH("包修",J160)),"【购机】"&amp;MID(J160,SEARCH("购机",J160)+LEN("购机"),LEN(J160)),IF(ISNUMBER(SEARCH("叠放支架",J160)),"【赠品】"&amp;MID(J160,SEARCH("购机",J160)+LEN("购机"),LEN(J160)),IF(ISNUMBER(SEARCH("秀图",J160)),"【秀图】"&amp;MID(J160,SEARCH("秀图",J160)+LEN("秀图"),LEN(J160)),"")))),IFERROR(LEFT(_xlpm.A,FIND("【",_xlpm.A,FIND("】",_xlpm.A)+1)-1)&amp;MID(_xlpm.A,FIND("】",_xlpm.A,FIND("】",_xlpm.A)+1)+1,LEN(_xlpm.A)),_xlpm.A))</f>
        <v/>
      </c>
      <c r="F160" s="18" t="str">
        <f>_xlfn.LET(_xlpm.A,IF(ISNUMBER(SEARCH("晒单",K160)),"【晒单】"&amp;MID(K160,SEARCH("晒单",K160)+LEN("晒单"),LEN(K160))&amp;"（需晒单后联系客服登记）",IF(ISNUMBER(SEARCH("包修",K160)),"【购机】"&amp;MID(K160,SEARCH("购机",K160)+LEN("购机"),LEN(K160)),IF(ISNUMBER(SEARCH("叠放支架",K160)),"【赠品】"&amp;MID(K160,SEARCH("购机",K160)+LEN("购机"),LEN(K160)),IF(ISNUMBER(SEARCH("秀图",K160)),"【秀图】"&amp;MID(K160,SEARCH("秀图",K160)+LEN("秀图"),LEN(K160)),"")))),IFERROR(LEFT(_xlpm.A,FIND("【",_xlpm.A,FIND("】",_xlpm.A)+1)-1)&amp;MID(_xlpm.A,FIND("】",_xlpm.A,FIND("】",_xlpm.A)+1)+1,LEN(_xlpm.A)),_xlpm.A))</f>
        <v/>
      </c>
      <c r="G160" s="18" t="str">
        <f>_xlfn.LET(_xlpm.A,IF(ISNUMBER(SEARCH("晒单",L160)),"【晒单】"&amp;MID(L160,SEARCH("晒单",L160)+LEN("晒单"),LEN(L160))&amp;"（需晒单后联系客服登记）",IF(ISNUMBER(SEARCH("包修",L160)),"【购机】"&amp;MID(L160,SEARCH("购机",L160)+LEN("购机"),LEN(L160)),IF(ISNUMBER(SEARCH("叠放支架",L160)),"【赠品】"&amp;MID(L160,SEARCH("购机",L160)+LEN("购机"),LEN(L160)),IF(ISNUMBER(SEARCH("秀图",L160)),"【秀图】"&amp;MID(L160,SEARCH("秀图",L160)+LEN("秀图"),LEN(L160)),"")))),IFERROR(LEFT(_xlpm.A,FIND("【",_xlpm.A,FIND("】",_xlpm.A)+1)-1)&amp;MID(_xlpm.A,FIND("】",_xlpm.A,FIND("】",_xlpm.A)+1)+1,LEN(_xlpm.A)),_xlpm.A))</f>
        <v/>
      </c>
      <c r="H160" s="18" t="str">
        <f>_xlfn.LET(_xlpm.A,IF(ISNUMBER(SEARCH("晒单",M160)),"【晒单】"&amp;MID(M160,SEARCH("晒单",M160)+LEN("晒单"),LEN(M160))&amp;"（需晒单后联系客服登记）",IF(ISNUMBER(SEARCH("包修",M160)),"【购机】"&amp;MID(M160,SEARCH("购机",M160)+LEN("购机"),LEN(M160)),IF(ISNUMBER(SEARCH("叠放支架",M160)),"【赠品】"&amp;MID(M160,SEARCH("购机",M160)+LEN("购机"),LEN(M160)),IF(ISNUMBER(SEARCH("秀图",M160)),"【秀图】"&amp;MID(M160,SEARCH("秀图",M160)+LEN("秀图"),LEN(M160)),"")))),IFERROR(LEFT(_xlpm.A,FIND("【",_xlpm.A,FIND("】",_xlpm.A)+1)-1)&amp;MID(_xlpm.A,FIND("】",_xlpm.A,FIND("】",_xlpm.A)+1)+1,LEN(_xlpm.A)),_xlpm.A))</f>
        <v/>
      </c>
      <c r="I160" s="18" t="str">
        <f>_xlfn.LET(_xlpm.A,IF(ISNUMBER(SEARCH("晒单",N160)),"【晒单】"&amp;MID(N160,SEARCH("晒单",N160)+LEN("晒单"),LEN(N160))&amp;"（需晒单后联系客服登记）",IF(ISNUMBER(SEARCH("包修",N160)),"【购机】"&amp;MID(N160,SEARCH("购机",N160)+LEN("购机"),LEN(N160)),IF(ISNUMBER(SEARCH("叠放支架",N160)),"【赠品】"&amp;MID(N160,SEARCH("购机",N160)+LEN("购机"),LEN(N160)),IF(ISNUMBER(SEARCH("秀图",N160)),"【秀图】"&amp;MID(N160,SEARCH("秀图",N160)+LEN("秀图"),LEN(N160)),"")))),IFERROR(LEFT(_xlpm.A,FIND("【",_xlpm.A,FIND("】",_xlpm.A)+1)-1)&amp;MID(_xlpm.A,FIND("】",_xlpm.A,FIND("】",_xlpm.A)+1)+1,LEN(_xlpm.A)),_xlpm.A))</f>
        <v/>
      </c>
      <c r="J160" s="18" t="str" cm="1">
        <f t="array" ref="J160">IFERROR(INDEX(_xlfn.TEXTSPLIT(_xlfn.XLOOKUP($A160&amp;$B160&amp;$C160,盘货信息!$A:$A&amp;盘货信息!$B:$B&amp;盘货信息!$C:$C,盘货信息!$S:$S),CHAR(10),,TRUE),1,COLUMN(A159)),"")</f>
        <v/>
      </c>
      <c r="K160" s="18" t="str" cm="1">
        <f t="array" ref="K160">IFERROR(INDEX(_xlfn.TEXTSPLIT(_xlfn.XLOOKUP($A160&amp;$B160&amp;$C160,盘货信息!$A:$A&amp;盘货信息!$B:$B&amp;盘货信息!$C:$C,盘货信息!$S:$S),CHAR(10),,TRUE),1,COLUMN(B159)),"")</f>
        <v/>
      </c>
      <c r="L160" s="18" t="str" cm="1">
        <f t="array" ref="L160">IFERROR(INDEX(_xlfn.TEXTSPLIT(_xlfn.XLOOKUP($A160&amp;$B160&amp;$C160,盘货信息!$A:$A&amp;盘货信息!$B:$B&amp;盘货信息!$C:$C,盘货信息!$S:$S),CHAR(10),,TRUE),1,COLUMN(C159)),"")</f>
        <v/>
      </c>
      <c r="M160" s="18" t="str" cm="1">
        <f t="array" ref="M160">IFERROR(INDEX(_xlfn.TEXTSPLIT(_xlfn.XLOOKUP($A160&amp;$B160&amp;$C160,盘货信息!$A:$A&amp;盘货信息!$B:$B&amp;盘货信息!$C:$C,盘货信息!$S:$S),CHAR(10),,TRUE),1,COLUMN(D159)),"")</f>
        <v/>
      </c>
      <c r="N160" s="18" t="str" cm="1">
        <f t="array" ref="N160">IFERROR(INDEX(_xlfn.TEXTSPLIT(_xlfn.XLOOKUP($A160&amp;$B160&amp;$C160,盘货信息!$A:$A&amp;盘货信息!$B:$B&amp;盘货信息!$C:$C,盘货信息!$S:$S),CHAR(10),,TRUE),1,COLUMN(E159)),"")</f>
        <v/>
      </c>
    </row>
    <row r="161" customHeight="1" spans="1:14">
      <c r="A161" s="17" t="str">
        <f>IF(盘货信息!A161="","",盘货信息!A161)</f>
        <v/>
      </c>
      <c r="B161" s="17" t="str">
        <f>IF(盘货信息!B161="","",盘货信息!B161)</f>
        <v/>
      </c>
      <c r="C161" s="18" t="str">
        <f>IF(盘货信息!C161="","",盘货信息!C161)</f>
        <v/>
      </c>
      <c r="D161" s="18" t="str">
        <f t="shared" si="2"/>
        <v/>
      </c>
      <c r="E161" s="18" t="str">
        <f>_xlfn.LET(_xlpm.A,IF(ISNUMBER(SEARCH("晒单",J161)),"【晒单】"&amp;MID(J161,SEARCH("晒单",J161)+LEN("晒单"),LEN(J161))&amp;"（需晒单后联系客服登记）",IF(ISNUMBER(SEARCH("包修",J161)),"【购机】"&amp;MID(J161,SEARCH("购机",J161)+LEN("购机"),LEN(J161)),IF(ISNUMBER(SEARCH("叠放支架",J161)),"【赠品】"&amp;MID(J161,SEARCH("购机",J161)+LEN("购机"),LEN(J161)),IF(ISNUMBER(SEARCH("秀图",J161)),"【秀图】"&amp;MID(J161,SEARCH("秀图",J161)+LEN("秀图"),LEN(J161)),"")))),IFERROR(LEFT(_xlpm.A,FIND("【",_xlpm.A,FIND("】",_xlpm.A)+1)-1)&amp;MID(_xlpm.A,FIND("】",_xlpm.A,FIND("】",_xlpm.A)+1)+1,LEN(_xlpm.A)),_xlpm.A))</f>
        <v/>
      </c>
      <c r="F161" s="18" t="str">
        <f>_xlfn.LET(_xlpm.A,IF(ISNUMBER(SEARCH("晒单",K161)),"【晒单】"&amp;MID(K161,SEARCH("晒单",K161)+LEN("晒单"),LEN(K161))&amp;"（需晒单后联系客服登记）",IF(ISNUMBER(SEARCH("包修",K161)),"【购机】"&amp;MID(K161,SEARCH("购机",K161)+LEN("购机"),LEN(K161)),IF(ISNUMBER(SEARCH("叠放支架",K161)),"【赠品】"&amp;MID(K161,SEARCH("购机",K161)+LEN("购机"),LEN(K161)),IF(ISNUMBER(SEARCH("秀图",K161)),"【秀图】"&amp;MID(K161,SEARCH("秀图",K161)+LEN("秀图"),LEN(K161)),"")))),IFERROR(LEFT(_xlpm.A,FIND("【",_xlpm.A,FIND("】",_xlpm.A)+1)-1)&amp;MID(_xlpm.A,FIND("】",_xlpm.A,FIND("】",_xlpm.A)+1)+1,LEN(_xlpm.A)),_xlpm.A))</f>
        <v/>
      </c>
      <c r="G161" s="18" t="str">
        <f>_xlfn.LET(_xlpm.A,IF(ISNUMBER(SEARCH("晒单",L161)),"【晒单】"&amp;MID(L161,SEARCH("晒单",L161)+LEN("晒单"),LEN(L161))&amp;"（需晒单后联系客服登记）",IF(ISNUMBER(SEARCH("包修",L161)),"【购机】"&amp;MID(L161,SEARCH("购机",L161)+LEN("购机"),LEN(L161)),IF(ISNUMBER(SEARCH("叠放支架",L161)),"【赠品】"&amp;MID(L161,SEARCH("购机",L161)+LEN("购机"),LEN(L161)),IF(ISNUMBER(SEARCH("秀图",L161)),"【秀图】"&amp;MID(L161,SEARCH("秀图",L161)+LEN("秀图"),LEN(L161)),"")))),IFERROR(LEFT(_xlpm.A,FIND("【",_xlpm.A,FIND("】",_xlpm.A)+1)-1)&amp;MID(_xlpm.A,FIND("】",_xlpm.A,FIND("】",_xlpm.A)+1)+1,LEN(_xlpm.A)),_xlpm.A))</f>
        <v/>
      </c>
      <c r="H161" s="18" t="str">
        <f>_xlfn.LET(_xlpm.A,IF(ISNUMBER(SEARCH("晒单",M161)),"【晒单】"&amp;MID(M161,SEARCH("晒单",M161)+LEN("晒单"),LEN(M161))&amp;"（需晒单后联系客服登记）",IF(ISNUMBER(SEARCH("包修",M161)),"【购机】"&amp;MID(M161,SEARCH("购机",M161)+LEN("购机"),LEN(M161)),IF(ISNUMBER(SEARCH("叠放支架",M161)),"【赠品】"&amp;MID(M161,SEARCH("购机",M161)+LEN("购机"),LEN(M161)),IF(ISNUMBER(SEARCH("秀图",M161)),"【秀图】"&amp;MID(M161,SEARCH("秀图",M161)+LEN("秀图"),LEN(M161)),"")))),IFERROR(LEFT(_xlpm.A,FIND("【",_xlpm.A,FIND("】",_xlpm.A)+1)-1)&amp;MID(_xlpm.A,FIND("】",_xlpm.A,FIND("】",_xlpm.A)+1)+1,LEN(_xlpm.A)),_xlpm.A))</f>
        <v/>
      </c>
      <c r="I161" s="18" t="str">
        <f>_xlfn.LET(_xlpm.A,IF(ISNUMBER(SEARCH("晒单",N161)),"【晒单】"&amp;MID(N161,SEARCH("晒单",N161)+LEN("晒单"),LEN(N161))&amp;"（需晒单后联系客服登记）",IF(ISNUMBER(SEARCH("包修",N161)),"【购机】"&amp;MID(N161,SEARCH("购机",N161)+LEN("购机"),LEN(N161)),IF(ISNUMBER(SEARCH("叠放支架",N161)),"【赠品】"&amp;MID(N161,SEARCH("购机",N161)+LEN("购机"),LEN(N161)),IF(ISNUMBER(SEARCH("秀图",N161)),"【秀图】"&amp;MID(N161,SEARCH("秀图",N161)+LEN("秀图"),LEN(N161)),"")))),IFERROR(LEFT(_xlpm.A,FIND("【",_xlpm.A,FIND("】",_xlpm.A)+1)-1)&amp;MID(_xlpm.A,FIND("】",_xlpm.A,FIND("】",_xlpm.A)+1)+1,LEN(_xlpm.A)),_xlpm.A))</f>
        <v/>
      </c>
      <c r="J161" s="18" t="str" cm="1">
        <f t="array" ref="J161">IFERROR(INDEX(_xlfn.TEXTSPLIT(_xlfn.XLOOKUP($A161&amp;$B161&amp;$C161,盘货信息!$A:$A&amp;盘货信息!$B:$B&amp;盘货信息!$C:$C,盘货信息!$S:$S),CHAR(10),,TRUE),1,COLUMN(A160)),"")</f>
        <v/>
      </c>
      <c r="K161" s="18" t="str" cm="1">
        <f t="array" ref="K161">IFERROR(INDEX(_xlfn.TEXTSPLIT(_xlfn.XLOOKUP($A161&amp;$B161&amp;$C161,盘货信息!$A:$A&amp;盘货信息!$B:$B&amp;盘货信息!$C:$C,盘货信息!$S:$S),CHAR(10),,TRUE),1,COLUMN(B160)),"")</f>
        <v/>
      </c>
      <c r="L161" s="18" t="str" cm="1">
        <f t="array" ref="L161">IFERROR(INDEX(_xlfn.TEXTSPLIT(_xlfn.XLOOKUP($A161&amp;$B161&amp;$C161,盘货信息!$A:$A&amp;盘货信息!$B:$B&amp;盘货信息!$C:$C,盘货信息!$S:$S),CHAR(10),,TRUE),1,COLUMN(C160)),"")</f>
        <v/>
      </c>
      <c r="M161" s="18" t="str" cm="1">
        <f t="array" ref="M161">IFERROR(INDEX(_xlfn.TEXTSPLIT(_xlfn.XLOOKUP($A161&amp;$B161&amp;$C161,盘货信息!$A:$A&amp;盘货信息!$B:$B&amp;盘货信息!$C:$C,盘货信息!$S:$S),CHAR(10),,TRUE),1,COLUMN(D160)),"")</f>
        <v/>
      </c>
      <c r="N161" s="18" t="str" cm="1">
        <f t="array" ref="N161">IFERROR(INDEX(_xlfn.TEXTSPLIT(_xlfn.XLOOKUP($A161&amp;$B161&amp;$C161,盘货信息!$A:$A&amp;盘货信息!$B:$B&amp;盘货信息!$C:$C,盘货信息!$S:$S),CHAR(10),,TRUE),1,COLUMN(E160)),"")</f>
        <v/>
      </c>
    </row>
    <row r="162" customHeight="1" spans="1:14">
      <c r="A162" s="17" t="str">
        <f>IF(盘货信息!A162="","",盘货信息!A162)</f>
        <v/>
      </c>
      <c r="B162" s="17" t="str">
        <f>IF(盘货信息!B162="","",盘货信息!B162)</f>
        <v/>
      </c>
      <c r="C162" s="18" t="str">
        <f>IF(盘货信息!C162="","",盘货信息!C162)</f>
        <v/>
      </c>
      <c r="D162" s="18" t="str">
        <f t="shared" si="2"/>
        <v/>
      </c>
      <c r="E162" s="18" t="str">
        <f>_xlfn.LET(_xlpm.A,IF(ISNUMBER(SEARCH("晒单",J162)),"【晒单】"&amp;MID(J162,SEARCH("晒单",J162)+LEN("晒单"),LEN(J162))&amp;"（需晒单后联系客服登记）",IF(ISNUMBER(SEARCH("包修",J162)),"【购机】"&amp;MID(J162,SEARCH("购机",J162)+LEN("购机"),LEN(J162)),IF(ISNUMBER(SEARCH("叠放支架",J162)),"【赠品】"&amp;MID(J162,SEARCH("购机",J162)+LEN("购机"),LEN(J162)),IF(ISNUMBER(SEARCH("秀图",J162)),"【秀图】"&amp;MID(J162,SEARCH("秀图",J162)+LEN("秀图"),LEN(J162)),"")))),IFERROR(LEFT(_xlpm.A,FIND("【",_xlpm.A,FIND("】",_xlpm.A)+1)-1)&amp;MID(_xlpm.A,FIND("】",_xlpm.A,FIND("】",_xlpm.A)+1)+1,LEN(_xlpm.A)),_xlpm.A))</f>
        <v/>
      </c>
      <c r="F162" s="18" t="str">
        <f>_xlfn.LET(_xlpm.A,IF(ISNUMBER(SEARCH("晒单",K162)),"【晒单】"&amp;MID(K162,SEARCH("晒单",K162)+LEN("晒单"),LEN(K162))&amp;"（需晒单后联系客服登记）",IF(ISNUMBER(SEARCH("包修",K162)),"【购机】"&amp;MID(K162,SEARCH("购机",K162)+LEN("购机"),LEN(K162)),IF(ISNUMBER(SEARCH("叠放支架",K162)),"【赠品】"&amp;MID(K162,SEARCH("购机",K162)+LEN("购机"),LEN(K162)),IF(ISNUMBER(SEARCH("秀图",K162)),"【秀图】"&amp;MID(K162,SEARCH("秀图",K162)+LEN("秀图"),LEN(K162)),"")))),IFERROR(LEFT(_xlpm.A,FIND("【",_xlpm.A,FIND("】",_xlpm.A)+1)-1)&amp;MID(_xlpm.A,FIND("】",_xlpm.A,FIND("】",_xlpm.A)+1)+1,LEN(_xlpm.A)),_xlpm.A))</f>
        <v/>
      </c>
      <c r="G162" s="18" t="str">
        <f>_xlfn.LET(_xlpm.A,IF(ISNUMBER(SEARCH("晒单",L162)),"【晒单】"&amp;MID(L162,SEARCH("晒单",L162)+LEN("晒单"),LEN(L162))&amp;"（需晒单后联系客服登记）",IF(ISNUMBER(SEARCH("包修",L162)),"【购机】"&amp;MID(L162,SEARCH("购机",L162)+LEN("购机"),LEN(L162)),IF(ISNUMBER(SEARCH("叠放支架",L162)),"【赠品】"&amp;MID(L162,SEARCH("购机",L162)+LEN("购机"),LEN(L162)),IF(ISNUMBER(SEARCH("秀图",L162)),"【秀图】"&amp;MID(L162,SEARCH("秀图",L162)+LEN("秀图"),LEN(L162)),"")))),IFERROR(LEFT(_xlpm.A,FIND("【",_xlpm.A,FIND("】",_xlpm.A)+1)-1)&amp;MID(_xlpm.A,FIND("】",_xlpm.A,FIND("】",_xlpm.A)+1)+1,LEN(_xlpm.A)),_xlpm.A))</f>
        <v/>
      </c>
      <c r="H162" s="18" t="str">
        <f>_xlfn.LET(_xlpm.A,IF(ISNUMBER(SEARCH("晒单",M162)),"【晒单】"&amp;MID(M162,SEARCH("晒单",M162)+LEN("晒单"),LEN(M162))&amp;"（需晒单后联系客服登记）",IF(ISNUMBER(SEARCH("包修",M162)),"【购机】"&amp;MID(M162,SEARCH("购机",M162)+LEN("购机"),LEN(M162)),IF(ISNUMBER(SEARCH("叠放支架",M162)),"【赠品】"&amp;MID(M162,SEARCH("购机",M162)+LEN("购机"),LEN(M162)),IF(ISNUMBER(SEARCH("秀图",M162)),"【秀图】"&amp;MID(M162,SEARCH("秀图",M162)+LEN("秀图"),LEN(M162)),"")))),IFERROR(LEFT(_xlpm.A,FIND("【",_xlpm.A,FIND("】",_xlpm.A)+1)-1)&amp;MID(_xlpm.A,FIND("】",_xlpm.A,FIND("】",_xlpm.A)+1)+1,LEN(_xlpm.A)),_xlpm.A))</f>
        <v/>
      </c>
      <c r="I162" s="18" t="str">
        <f>_xlfn.LET(_xlpm.A,IF(ISNUMBER(SEARCH("晒单",N162)),"【晒单】"&amp;MID(N162,SEARCH("晒单",N162)+LEN("晒单"),LEN(N162))&amp;"（需晒单后联系客服登记）",IF(ISNUMBER(SEARCH("包修",N162)),"【购机】"&amp;MID(N162,SEARCH("购机",N162)+LEN("购机"),LEN(N162)),IF(ISNUMBER(SEARCH("叠放支架",N162)),"【赠品】"&amp;MID(N162,SEARCH("购机",N162)+LEN("购机"),LEN(N162)),IF(ISNUMBER(SEARCH("秀图",N162)),"【秀图】"&amp;MID(N162,SEARCH("秀图",N162)+LEN("秀图"),LEN(N162)),"")))),IFERROR(LEFT(_xlpm.A,FIND("【",_xlpm.A,FIND("】",_xlpm.A)+1)-1)&amp;MID(_xlpm.A,FIND("】",_xlpm.A,FIND("】",_xlpm.A)+1)+1,LEN(_xlpm.A)),_xlpm.A))</f>
        <v/>
      </c>
      <c r="J162" s="18" t="str" cm="1">
        <f t="array" ref="J162">IFERROR(INDEX(_xlfn.TEXTSPLIT(_xlfn.XLOOKUP($A162&amp;$B162&amp;$C162,盘货信息!$A:$A&amp;盘货信息!$B:$B&amp;盘货信息!$C:$C,盘货信息!$S:$S),CHAR(10),,TRUE),1,COLUMN(A161)),"")</f>
        <v/>
      </c>
      <c r="K162" s="18" t="str" cm="1">
        <f t="array" ref="K162">IFERROR(INDEX(_xlfn.TEXTSPLIT(_xlfn.XLOOKUP($A162&amp;$B162&amp;$C162,盘货信息!$A:$A&amp;盘货信息!$B:$B&amp;盘货信息!$C:$C,盘货信息!$S:$S),CHAR(10),,TRUE),1,COLUMN(B161)),"")</f>
        <v/>
      </c>
      <c r="L162" s="18" t="str" cm="1">
        <f t="array" ref="L162">IFERROR(INDEX(_xlfn.TEXTSPLIT(_xlfn.XLOOKUP($A162&amp;$B162&amp;$C162,盘货信息!$A:$A&amp;盘货信息!$B:$B&amp;盘货信息!$C:$C,盘货信息!$S:$S),CHAR(10),,TRUE),1,COLUMN(C161)),"")</f>
        <v/>
      </c>
      <c r="M162" s="18" t="str" cm="1">
        <f t="array" ref="M162">IFERROR(INDEX(_xlfn.TEXTSPLIT(_xlfn.XLOOKUP($A162&amp;$B162&amp;$C162,盘货信息!$A:$A&amp;盘货信息!$B:$B&amp;盘货信息!$C:$C,盘货信息!$S:$S),CHAR(10),,TRUE),1,COLUMN(D161)),"")</f>
        <v/>
      </c>
      <c r="N162" s="18" t="str" cm="1">
        <f t="array" ref="N162">IFERROR(INDEX(_xlfn.TEXTSPLIT(_xlfn.XLOOKUP($A162&amp;$B162&amp;$C162,盘货信息!$A:$A&amp;盘货信息!$B:$B&amp;盘货信息!$C:$C,盘货信息!$S:$S),CHAR(10),,TRUE),1,COLUMN(E161)),"")</f>
        <v/>
      </c>
    </row>
    <row r="163" customHeight="1" spans="1:14">
      <c r="A163" s="17" t="str">
        <f>IF(盘货信息!A163="","",盘货信息!A163)</f>
        <v/>
      </c>
      <c r="B163" s="17" t="str">
        <f>IF(盘货信息!B163="","",盘货信息!B163)</f>
        <v/>
      </c>
      <c r="C163" s="18" t="str">
        <f>IF(盘货信息!C163="","",盘货信息!C163)</f>
        <v/>
      </c>
      <c r="D163" s="18" t="str">
        <f t="shared" si="2"/>
        <v/>
      </c>
      <c r="E163" s="18" t="str">
        <f>_xlfn.LET(_xlpm.A,IF(ISNUMBER(SEARCH("晒单",J163)),"【晒单】"&amp;MID(J163,SEARCH("晒单",J163)+LEN("晒单"),LEN(J163))&amp;"（需晒单后联系客服登记）",IF(ISNUMBER(SEARCH("包修",J163)),"【购机】"&amp;MID(J163,SEARCH("购机",J163)+LEN("购机"),LEN(J163)),IF(ISNUMBER(SEARCH("叠放支架",J163)),"【赠品】"&amp;MID(J163,SEARCH("购机",J163)+LEN("购机"),LEN(J163)),IF(ISNUMBER(SEARCH("秀图",J163)),"【秀图】"&amp;MID(J163,SEARCH("秀图",J163)+LEN("秀图"),LEN(J163)),"")))),IFERROR(LEFT(_xlpm.A,FIND("【",_xlpm.A,FIND("】",_xlpm.A)+1)-1)&amp;MID(_xlpm.A,FIND("】",_xlpm.A,FIND("】",_xlpm.A)+1)+1,LEN(_xlpm.A)),_xlpm.A))</f>
        <v/>
      </c>
      <c r="F163" s="18" t="str">
        <f>_xlfn.LET(_xlpm.A,IF(ISNUMBER(SEARCH("晒单",K163)),"【晒单】"&amp;MID(K163,SEARCH("晒单",K163)+LEN("晒单"),LEN(K163))&amp;"（需晒单后联系客服登记）",IF(ISNUMBER(SEARCH("包修",K163)),"【购机】"&amp;MID(K163,SEARCH("购机",K163)+LEN("购机"),LEN(K163)),IF(ISNUMBER(SEARCH("叠放支架",K163)),"【赠品】"&amp;MID(K163,SEARCH("购机",K163)+LEN("购机"),LEN(K163)),IF(ISNUMBER(SEARCH("秀图",K163)),"【秀图】"&amp;MID(K163,SEARCH("秀图",K163)+LEN("秀图"),LEN(K163)),"")))),IFERROR(LEFT(_xlpm.A,FIND("【",_xlpm.A,FIND("】",_xlpm.A)+1)-1)&amp;MID(_xlpm.A,FIND("】",_xlpm.A,FIND("】",_xlpm.A)+1)+1,LEN(_xlpm.A)),_xlpm.A))</f>
        <v/>
      </c>
      <c r="G163" s="18" t="str">
        <f>_xlfn.LET(_xlpm.A,IF(ISNUMBER(SEARCH("晒单",L163)),"【晒单】"&amp;MID(L163,SEARCH("晒单",L163)+LEN("晒单"),LEN(L163))&amp;"（需晒单后联系客服登记）",IF(ISNUMBER(SEARCH("包修",L163)),"【购机】"&amp;MID(L163,SEARCH("购机",L163)+LEN("购机"),LEN(L163)),IF(ISNUMBER(SEARCH("叠放支架",L163)),"【赠品】"&amp;MID(L163,SEARCH("购机",L163)+LEN("购机"),LEN(L163)),IF(ISNUMBER(SEARCH("秀图",L163)),"【秀图】"&amp;MID(L163,SEARCH("秀图",L163)+LEN("秀图"),LEN(L163)),"")))),IFERROR(LEFT(_xlpm.A,FIND("【",_xlpm.A,FIND("】",_xlpm.A)+1)-1)&amp;MID(_xlpm.A,FIND("】",_xlpm.A,FIND("】",_xlpm.A)+1)+1,LEN(_xlpm.A)),_xlpm.A))</f>
        <v/>
      </c>
      <c r="H163" s="18" t="str">
        <f>_xlfn.LET(_xlpm.A,IF(ISNUMBER(SEARCH("晒单",M163)),"【晒单】"&amp;MID(M163,SEARCH("晒单",M163)+LEN("晒单"),LEN(M163))&amp;"（需晒单后联系客服登记）",IF(ISNUMBER(SEARCH("包修",M163)),"【购机】"&amp;MID(M163,SEARCH("购机",M163)+LEN("购机"),LEN(M163)),IF(ISNUMBER(SEARCH("叠放支架",M163)),"【赠品】"&amp;MID(M163,SEARCH("购机",M163)+LEN("购机"),LEN(M163)),IF(ISNUMBER(SEARCH("秀图",M163)),"【秀图】"&amp;MID(M163,SEARCH("秀图",M163)+LEN("秀图"),LEN(M163)),"")))),IFERROR(LEFT(_xlpm.A,FIND("【",_xlpm.A,FIND("】",_xlpm.A)+1)-1)&amp;MID(_xlpm.A,FIND("】",_xlpm.A,FIND("】",_xlpm.A)+1)+1,LEN(_xlpm.A)),_xlpm.A))</f>
        <v/>
      </c>
      <c r="I163" s="18" t="str">
        <f>_xlfn.LET(_xlpm.A,IF(ISNUMBER(SEARCH("晒单",N163)),"【晒单】"&amp;MID(N163,SEARCH("晒单",N163)+LEN("晒单"),LEN(N163))&amp;"（需晒单后联系客服登记）",IF(ISNUMBER(SEARCH("包修",N163)),"【购机】"&amp;MID(N163,SEARCH("购机",N163)+LEN("购机"),LEN(N163)),IF(ISNUMBER(SEARCH("叠放支架",N163)),"【赠品】"&amp;MID(N163,SEARCH("购机",N163)+LEN("购机"),LEN(N163)),IF(ISNUMBER(SEARCH("秀图",N163)),"【秀图】"&amp;MID(N163,SEARCH("秀图",N163)+LEN("秀图"),LEN(N163)),"")))),IFERROR(LEFT(_xlpm.A,FIND("【",_xlpm.A,FIND("】",_xlpm.A)+1)-1)&amp;MID(_xlpm.A,FIND("】",_xlpm.A,FIND("】",_xlpm.A)+1)+1,LEN(_xlpm.A)),_xlpm.A))</f>
        <v/>
      </c>
      <c r="J163" s="18" t="str" cm="1">
        <f t="array" ref="J163">IFERROR(INDEX(_xlfn.TEXTSPLIT(_xlfn.XLOOKUP($A163&amp;$B163&amp;$C163,盘货信息!$A:$A&amp;盘货信息!$B:$B&amp;盘货信息!$C:$C,盘货信息!$S:$S),CHAR(10),,TRUE),1,COLUMN(A162)),"")</f>
        <v/>
      </c>
      <c r="K163" s="18" t="str" cm="1">
        <f t="array" ref="K163">IFERROR(INDEX(_xlfn.TEXTSPLIT(_xlfn.XLOOKUP($A163&amp;$B163&amp;$C163,盘货信息!$A:$A&amp;盘货信息!$B:$B&amp;盘货信息!$C:$C,盘货信息!$S:$S),CHAR(10),,TRUE),1,COLUMN(B162)),"")</f>
        <v/>
      </c>
      <c r="L163" s="18" t="str" cm="1">
        <f t="array" ref="L163">IFERROR(INDEX(_xlfn.TEXTSPLIT(_xlfn.XLOOKUP($A163&amp;$B163&amp;$C163,盘货信息!$A:$A&amp;盘货信息!$B:$B&amp;盘货信息!$C:$C,盘货信息!$S:$S),CHAR(10),,TRUE),1,COLUMN(C162)),"")</f>
        <v/>
      </c>
      <c r="M163" s="18" t="str" cm="1">
        <f t="array" ref="M163">IFERROR(INDEX(_xlfn.TEXTSPLIT(_xlfn.XLOOKUP($A163&amp;$B163&amp;$C163,盘货信息!$A:$A&amp;盘货信息!$B:$B&amp;盘货信息!$C:$C,盘货信息!$S:$S),CHAR(10),,TRUE),1,COLUMN(D162)),"")</f>
        <v/>
      </c>
      <c r="N163" s="18" t="str" cm="1">
        <f t="array" ref="N163">IFERROR(INDEX(_xlfn.TEXTSPLIT(_xlfn.XLOOKUP($A163&amp;$B163&amp;$C163,盘货信息!$A:$A&amp;盘货信息!$B:$B&amp;盘货信息!$C:$C,盘货信息!$S:$S),CHAR(10),,TRUE),1,COLUMN(E162)),"")</f>
        <v/>
      </c>
    </row>
    <row r="164" customHeight="1" spans="1:14">
      <c r="A164" s="17" t="str">
        <f>IF(盘货信息!A164="","",盘货信息!A164)</f>
        <v/>
      </c>
      <c r="B164" s="17" t="str">
        <f>IF(盘货信息!B164="","",盘货信息!B164)</f>
        <v/>
      </c>
      <c r="C164" s="18" t="str">
        <f>IF(盘货信息!C164="","",盘货信息!C164)</f>
        <v/>
      </c>
      <c r="D164" s="18" t="str">
        <f t="shared" si="2"/>
        <v/>
      </c>
      <c r="E164" s="18" t="str">
        <f>_xlfn.LET(_xlpm.A,IF(ISNUMBER(SEARCH("晒单",J164)),"【晒单】"&amp;MID(J164,SEARCH("晒单",J164)+LEN("晒单"),LEN(J164))&amp;"（需晒单后联系客服登记）",IF(ISNUMBER(SEARCH("包修",J164)),"【购机】"&amp;MID(J164,SEARCH("购机",J164)+LEN("购机"),LEN(J164)),IF(ISNUMBER(SEARCH("叠放支架",J164)),"【赠品】"&amp;MID(J164,SEARCH("购机",J164)+LEN("购机"),LEN(J164)),IF(ISNUMBER(SEARCH("秀图",J164)),"【秀图】"&amp;MID(J164,SEARCH("秀图",J164)+LEN("秀图"),LEN(J164)),"")))),IFERROR(LEFT(_xlpm.A,FIND("【",_xlpm.A,FIND("】",_xlpm.A)+1)-1)&amp;MID(_xlpm.A,FIND("】",_xlpm.A,FIND("】",_xlpm.A)+1)+1,LEN(_xlpm.A)),_xlpm.A))</f>
        <v/>
      </c>
      <c r="F164" s="18" t="str">
        <f>_xlfn.LET(_xlpm.A,IF(ISNUMBER(SEARCH("晒单",K164)),"【晒单】"&amp;MID(K164,SEARCH("晒单",K164)+LEN("晒单"),LEN(K164))&amp;"（需晒单后联系客服登记）",IF(ISNUMBER(SEARCH("包修",K164)),"【购机】"&amp;MID(K164,SEARCH("购机",K164)+LEN("购机"),LEN(K164)),IF(ISNUMBER(SEARCH("叠放支架",K164)),"【赠品】"&amp;MID(K164,SEARCH("购机",K164)+LEN("购机"),LEN(K164)),IF(ISNUMBER(SEARCH("秀图",K164)),"【秀图】"&amp;MID(K164,SEARCH("秀图",K164)+LEN("秀图"),LEN(K164)),"")))),IFERROR(LEFT(_xlpm.A,FIND("【",_xlpm.A,FIND("】",_xlpm.A)+1)-1)&amp;MID(_xlpm.A,FIND("】",_xlpm.A,FIND("】",_xlpm.A)+1)+1,LEN(_xlpm.A)),_xlpm.A))</f>
        <v/>
      </c>
      <c r="G164" s="18" t="str">
        <f>_xlfn.LET(_xlpm.A,IF(ISNUMBER(SEARCH("晒单",L164)),"【晒单】"&amp;MID(L164,SEARCH("晒单",L164)+LEN("晒单"),LEN(L164))&amp;"（需晒单后联系客服登记）",IF(ISNUMBER(SEARCH("包修",L164)),"【购机】"&amp;MID(L164,SEARCH("购机",L164)+LEN("购机"),LEN(L164)),IF(ISNUMBER(SEARCH("叠放支架",L164)),"【赠品】"&amp;MID(L164,SEARCH("购机",L164)+LEN("购机"),LEN(L164)),IF(ISNUMBER(SEARCH("秀图",L164)),"【秀图】"&amp;MID(L164,SEARCH("秀图",L164)+LEN("秀图"),LEN(L164)),"")))),IFERROR(LEFT(_xlpm.A,FIND("【",_xlpm.A,FIND("】",_xlpm.A)+1)-1)&amp;MID(_xlpm.A,FIND("】",_xlpm.A,FIND("】",_xlpm.A)+1)+1,LEN(_xlpm.A)),_xlpm.A))</f>
        <v/>
      </c>
      <c r="H164" s="18" t="str">
        <f>_xlfn.LET(_xlpm.A,IF(ISNUMBER(SEARCH("晒单",M164)),"【晒单】"&amp;MID(M164,SEARCH("晒单",M164)+LEN("晒单"),LEN(M164))&amp;"（需晒单后联系客服登记）",IF(ISNUMBER(SEARCH("包修",M164)),"【购机】"&amp;MID(M164,SEARCH("购机",M164)+LEN("购机"),LEN(M164)),IF(ISNUMBER(SEARCH("叠放支架",M164)),"【赠品】"&amp;MID(M164,SEARCH("购机",M164)+LEN("购机"),LEN(M164)),IF(ISNUMBER(SEARCH("秀图",M164)),"【秀图】"&amp;MID(M164,SEARCH("秀图",M164)+LEN("秀图"),LEN(M164)),"")))),IFERROR(LEFT(_xlpm.A,FIND("【",_xlpm.A,FIND("】",_xlpm.A)+1)-1)&amp;MID(_xlpm.A,FIND("】",_xlpm.A,FIND("】",_xlpm.A)+1)+1,LEN(_xlpm.A)),_xlpm.A))</f>
        <v/>
      </c>
      <c r="I164" s="18" t="str">
        <f>_xlfn.LET(_xlpm.A,IF(ISNUMBER(SEARCH("晒单",N164)),"【晒单】"&amp;MID(N164,SEARCH("晒单",N164)+LEN("晒单"),LEN(N164))&amp;"（需晒单后联系客服登记）",IF(ISNUMBER(SEARCH("包修",N164)),"【购机】"&amp;MID(N164,SEARCH("购机",N164)+LEN("购机"),LEN(N164)),IF(ISNUMBER(SEARCH("叠放支架",N164)),"【赠品】"&amp;MID(N164,SEARCH("购机",N164)+LEN("购机"),LEN(N164)),IF(ISNUMBER(SEARCH("秀图",N164)),"【秀图】"&amp;MID(N164,SEARCH("秀图",N164)+LEN("秀图"),LEN(N164)),"")))),IFERROR(LEFT(_xlpm.A,FIND("【",_xlpm.A,FIND("】",_xlpm.A)+1)-1)&amp;MID(_xlpm.A,FIND("】",_xlpm.A,FIND("】",_xlpm.A)+1)+1,LEN(_xlpm.A)),_xlpm.A))</f>
        <v/>
      </c>
      <c r="J164" s="18" t="str" cm="1">
        <f t="array" ref="J164">IFERROR(INDEX(_xlfn.TEXTSPLIT(_xlfn.XLOOKUP($A164&amp;$B164&amp;$C164,盘货信息!$A:$A&amp;盘货信息!$B:$B&amp;盘货信息!$C:$C,盘货信息!$S:$S),CHAR(10),,TRUE),1,COLUMN(A163)),"")</f>
        <v/>
      </c>
      <c r="K164" s="18" t="str" cm="1">
        <f t="array" ref="K164">IFERROR(INDEX(_xlfn.TEXTSPLIT(_xlfn.XLOOKUP($A164&amp;$B164&amp;$C164,盘货信息!$A:$A&amp;盘货信息!$B:$B&amp;盘货信息!$C:$C,盘货信息!$S:$S),CHAR(10),,TRUE),1,COLUMN(B163)),"")</f>
        <v/>
      </c>
      <c r="L164" s="18" t="str" cm="1">
        <f t="array" ref="L164">IFERROR(INDEX(_xlfn.TEXTSPLIT(_xlfn.XLOOKUP($A164&amp;$B164&amp;$C164,盘货信息!$A:$A&amp;盘货信息!$B:$B&amp;盘货信息!$C:$C,盘货信息!$S:$S),CHAR(10),,TRUE),1,COLUMN(C163)),"")</f>
        <v/>
      </c>
      <c r="M164" s="18" t="str" cm="1">
        <f t="array" ref="M164">IFERROR(INDEX(_xlfn.TEXTSPLIT(_xlfn.XLOOKUP($A164&amp;$B164&amp;$C164,盘货信息!$A:$A&amp;盘货信息!$B:$B&amp;盘货信息!$C:$C,盘货信息!$S:$S),CHAR(10),,TRUE),1,COLUMN(D163)),"")</f>
        <v/>
      </c>
      <c r="N164" s="18" t="str" cm="1">
        <f t="array" ref="N164">IFERROR(INDEX(_xlfn.TEXTSPLIT(_xlfn.XLOOKUP($A164&amp;$B164&amp;$C164,盘货信息!$A:$A&amp;盘货信息!$B:$B&amp;盘货信息!$C:$C,盘货信息!$S:$S),CHAR(10),,TRUE),1,COLUMN(E163)),"")</f>
        <v/>
      </c>
    </row>
    <row r="165" customHeight="1" spans="1:14">
      <c r="A165" s="17" t="str">
        <f>IF(盘货信息!A165="","",盘货信息!A165)</f>
        <v/>
      </c>
      <c r="B165" s="17" t="str">
        <f>IF(盘货信息!B165="","",盘货信息!B165)</f>
        <v/>
      </c>
      <c r="C165" s="18" t="str">
        <f>IF(盘货信息!C165="","",盘货信息!C165)</f>
        <v/>
      </c>
      <c r="D165" s="18" t="str">
        <f t="shared" si="2"/>
        <v/>
      </c>
      <c r="E165" s="18" t="str">
        <f>_xlfn.LET(_xlpm.A,IF(ISNUMBER(SEARCH("晒单",J165)),"【晒单】"&amp;MID(J165,SEARCH("晒单",J165)+LEN("晒单"),LEN(J165))&amp;"（需晒单后联系客服登记）",IF(ISNUMBER(SEARCH("包修",J165)),"【购机】"&amp;MID(J165,SEARCH("购机",J165)+LEN("购机"),LEN(J165)),IF(ISNUMBER(SEARCH("叠放支架",J165)),"【赠品】"&amp;MID(J165,SEARCH("购机",J165)+LEN("购机"),LEN(J165)),IF(ISNUMBER(SEARCH("秀图",J165)),"【秀图】"&amp;MID(J165,SEARCH("秀图",J165)+LEN("秀图"),LEN(J165)),"")))),IFERROR(LEFT(_xlpm.A,FIND("【",_xlpm.A,FIND("】",_xlpm.A)+1)-1)&amp;MID(_xlpm.A,FIND("】",_xlpm.A,FIND("】",_xlpm.A)+1)+1,LEN(_xlpm.A)),_xlpm.A))</f>
        <v/>
      </c>
      <c r="F165" s="18" t="str">
        <f>_xlfn.LET(_xlpm.A,IF(ISNUMBER(SEARCH("晒单",K165)),"【晒单】"&amp;MID(K165,SEARCH("晒单",K165)+LEN("晒单"),LEN(K165))&amp;"（需晒单后联系客服登记）",IF(ISNUMBER(SEARCH("包修",K165)),"【购机】"&amp;MID(K165,SEARCH("购机",K165)+LEN("购机"),LEN(K165)),IF(ISNUMBER(SEARCH("叠放支架",K165)),"【赠品】"&amp;MID(K165,SEARCH("购机",K165)+LEN("购机"),LEN(K165)),IF(ISNUMBER(SEARCH("秀图",K165)),"【秀图】"&amp;MID(K165,SEARCH("秀图",K165)+LEN("秀图"),LEN(K165)),"")))),IFERROR(LEFT(_xlpm.A,FIND("【",_xlpm.A,FIND("】",_xlpm.A)+1)-1)&amp;MID(_xlpm.A,FIND("】",_xlpm.A,FIND("】",_xlpm.A)+1)+1,LEN(_xlpm.A)),_xlpm.A))</f>
        <v/>
      </c>
      <c r="G165" s="18" t="str">
        <f>_xlfn.LET(_xlpm.A,IF(ISNUMBER(SEARCH("晒单",L165)),"【晒单】"&amp;MID(L165,SEARCH("晒单",L165)+LEN("晒单"),LEN(L165))&amp;"（需晒单后联系客服登记）",IF(ISNUMBER(SEARCH("包修",L165)),"【购机】"&amp;MID(L165,SEARCH("购机",L165)+LEN("购机"),LEN(L165)),IF(ISNUMBER(SEARCH("叠放支架",L165)),"【赠品】"&amp;MID(L165,SEARCH("购机",L165)+LEN("购机"),LEN(L165)),IF(ISNUMBER(SEARCH("秀图",L165)),"【秀图】"&amp;MID(L165,SEARCH("秀图",L165)+LEN("秀图"),LEN(L165)),"")))),IFERROR(LEFT(_xlpm.A,FIND("【",_xlpm.A,FIND("】",_xlpm.A)+1)-1)&amp;MID(_xlpm.A,FIND("】",_xlpm.A,FIND("】",_xlpm.A)+1)+1,LEN(_xlpm.A)),_xlpm.A))</f>
        <v/>
      </c>
      <c r="H165" s="18" t="str">
        <f>_xlfn.LET(_xlpm.A,IF(ISNUMBER(SEARCH("晒单",M165)),"【晒单】"&amp;MID(M165,SEARCH("晒单",M165)+LEN("晒单"),LEN(M165))&amp;"（需晒单后联系客服登记）",IF(ISNUMBER(SEARCH("包修",M165)),"【购机】"&amp;MID(M165,SEARCH("购机",M165)+LEN("购机"),LEN(M165)),IF(ISNUMBER(SEARCH("叠放支架",M165)),"【赠品】"&amp;MID(M165,SEARCH("购机",M165)+LEN("购机"),LEN(M165)),IF(ISNUMBER(SEARCH("秀图",M165)),"【秀图】"&amp;MID(M165,SEARCH("秀图",M165)+LEN("秀图"),LEN(M165)),"")))),IFERROR(LEFT(_xlpm.A,FIND("【",_xlpm.A,FIND("】",_xlpm.A)+1)-1)&amp;MID(_xlpm.A,FIND("】",_xlpm.A,FIND("】",_xlpm.A)+1)+1,LEN(_xlpm.A)),_xlpm.A))</f>
        <v/>
      </c>
      <c r="I165" s="18" t="str">
        <f>_xlfn.LET(_xlpm.A,IF(ISNUMBER(SEARCH("晒单",N165)),"【晒单】"&amp;MID(N165,SEARCH("晒单",N165)+LEN("晒单"),LEN(N165))&amp;"（需晒单后联系客服登记）",IF(ISNUMBER(SEARCH("包修",N165)),"【购机】"&amp;MID(N165,SEARCH("购机",N165)+LEN("购机"),LEN(N165)),IF(ISNUMBER(SEARCH("叠放支架",N165)),"【赠品】"&amp;MID(N165,SEARCH("购机",N165)+LEN("购机"),LEN(N165)),IF(ISNUMBER(SEARCH("秀图",N165)),"【秀图】"&amp;MID(N165,SEARCH("秀图",N165)+LEN("秀图"),LEN(N165)),"")))),IFERROR(LEFT(_xlpm.A,FIND("【",_xlpm.A,FIND("】",_xlpm.A)+1)-1)&amp;MID(_xlpm.A,FIND("】",_xlpm.A,FIND("】",_xlpm.A)+1)+1,LEN(_xlpm.A)),_xlpm.A))</f>
        <v/>
      </c>
      <c r="J165" s="18" t="str" cm="1">
        <f t="array" ref="J165">IFERROR(INDEX(_xlfn.TEXTSPLIT(_xlfn.XLOOKUP($A165&amp;$B165&amp;$C165,盘货信息!$A:$A&amp;盘货信息!$B:$B&amp;盘货信息!$C:$C,盘货信息!$S:$S),CHAR(10),,TRUE),1,COLUMN(A164)),"")</f>
        <v/>
      </c>
      <c r="K165" s="18" t="str" cm="1">
        <f t="array" ref="K165">IFERROR(INDEX(_xlfn.TEXTSPLIT(_xlfn.XLOOKUP($A165&amp;$B165&amp;$C165,盘货信息!$A:$A&amp;盘货信息!$B:$B&amp;盘货信息!$C:$C,盘货信息!$S:$S),CHAR(10),,TRUE),1,COLUMN(B164)),"")</f>
        <v/>
      </c>
      <c r="L165" s="18" t="str" cm="1">
        <f t="array" ref="L165">IFERROR(INDEX(_xlfn.TEXTSPLIT(_xlfn.XLOOKUP($A165&amp;$B165&amp;$C165,盘货信息!$A:$A&amp;盘货信息!$B:$B&amp;盘货信息!$C:$C,盘货信息!$S:$S),CHAR(10),,TRUE),1,COLUMN(C164)),"")</f>
        <v/>
      </c>
      <c r="M165" s="18" t="str" cm="1">
        <f t="array" ref="M165">IFERROR(INDEX(_xlfn.TEXTSPLIT(_xlfn.XLOOKUP($A165&amp;$B165&amp;$C165,盘货信息!$A:$A&amp;盘货信息!$B:$B&amp;盘货信息!$C:$C,盘货信息!$S:$S),CHAR(10),,TRUE),1,COLUMN(D164)),"")</f>
        <v/>
      </c>
      <c r="N165" s="18" t="str" cm="1">
        <f t="array" ref="N165">IFERROR(INDEX(_xlfn.TEXTSPLIT(_xlfn.XLOOKUP($A165&amp;$B165&amp;$C165,盘货信息!$A:$A&amp;盘货信息!$B:$B&amp;盘货信息!$C:$C,盘货信息!$S:$S),CHAR(10),,TRUE),1,COLUMN(E164)),"")</f>
        <v/>
      </c>
    </row>
    <row r="166" customHeight="1" spans="1:14">
      <c r="A166" s="17" t="str">
        <f>IF(盘货信息!A166="","",盘货信息!A166)</f>
        <v/>
      </c>
      <c r="B166" s="17" t="str">
        <f>IF(盘货信息!B166="","",盘货信息!B166)</f>
        <v/>
      </c>
      <c r="C166" s="18" t="str">
        <f>IF(盘货信息!C166="","",盘货信息!C166)</f>
        <v/>
      </c>
      <c r="D166" s="18" t="str">
        <f t="shared" si="2"/>
        <v/>
      </c>
      <c r="E166" s="18" t="str">
        <f>_xlfn.LET(_xlpm.A,IF(ISNUMBER(SEARCH("晒单",J166)),"【晒单】"&amp;MID(J166,SEARCH("晒单",J166)+LEN("晒单"),LEN(J166))&amp;"（需晒单后联系客服登记）",IF(ISNUMBER(SEARCH("包修",J166)),"【购机】"&amp;MID(J166,SEARCH("购机",J166)+LEN("购机"),LEN(J166)),IF(ISNUMBER(SEARCH("叠放支架",J166)),"【赠品】"&amp;MID(J166,SEARCH("购机",J166)+LEN("购机"),LEN(J166)),IF(ISNUMBER(SEARCH("秀图",J166)),"【秀图】"&amp;MID(J166,SEARCH("秀图",J166)+LEN("秀图"),LEN(J166)),"")))),IFERROR(LEFT(_xlpm.A,FIND("【",_xlpm.A,FIND("】",_xlpm.A)+1)-1)&amp;MID(_xlpm.A,FIND("】",_xlpm.A,FIND("】",_xlpm.A)+1)+1,LEN(_xlpm.A)),_xlpm.A))</f>
        <v/>
      </c>
      <c r="F166" s="18" t="str">
        <f>_xlfn.LET(_xlpm.A,IF(ISNUMBER(SEARCH("晒单",K166)),"【晒单】"&amp;MID(K166,SEARCH("晒单",K166)+LEN("晒单"),LEN(K166))&amp;"（需晒单后联系客服登记）",IF(ISNUMBER(SEARCH("包修",K166)),"【购机】"&amp;MID(K166,SEARCH("购机",K166)+LEN("购机"),LEN(K166)),IF(ISNUMBER(SEARCH("叠放支架",K166)),"【赠品】"&amp;MID(K166,SEARCH("购机",K166)+LEN("购机"),LEN(K166)),IF(ISNUMBER(SEARCH("秀图",K166)),"【秀图】"&amp;MID(K166,SEARCH("秀图",K166)+LEN("秀图"),LEN(K166)),"")))),IFERROR(LEFT(_xlpm.A,FIND("【",_xlpm.A,FIND("】",_xlpm.A)+1)-1)&amp;MID(_xlpm.A,FIND("】",_xlpm.A,FIND("】",_xlpm.A)+1)+1,LEN(_xlpm.A)),_xlpm.A))</f>
        <v/>
      </c>
      <c r="G166" s="18" t="str">
        <f>_xlfn.LET(_xlpm.A,IF(ISNUMBER(SEARCH("晒单",L166)),"【晒单】"&amp;MID(L166,SEARCH("晒单",L166)+LEN("晒单"),LEN(L166))&amp;"（需晒单后联系客服登记）",IF(ISNUMBER(SEARCH("包修",L166)),"【购机】"&amp;MID(L166,SEARCH("购机",L166)+LEN("购机"),LEN(L166)),IF(ISNUMBER(SEARCH("叠放支架",L166)),"【赠品】"&amp;MID(L166,SEARCH("购机",L166)+LEN("购机"),LEN(L166)),IF(ISNUMBER(SEARCH("秀图",L166)),"【秀图】"&amp;MID(L166,SEARCH("秀图",L166)+LEN("秀图"),LEN(L166)),"")))),IFERROR(LEFT(_xlpm.A,FIND("【",_xlpm.A,FIND("】",_xlpm.A)+1)-1)&amp;MID(_xlpm.A,FIND("】",_xlpm.A,FIND("】",_xlpm.A)+1)+1,LEN(_xlpm.A)),_xlpm.A))</f>
        <v/>
      </c>
      <c r="H166" s="18" t="str">
        <f>_xlfn.LET(_xlpm.A,IF(ISNUMBER(SEARCH("晒单",M166)),"【晒单】"&amp;MID(M166,SEARCH("晒单",M166)+LEN("晒单"),LEN(M166))&amp;"（需晒单后联系客服登记）",IF(ISNUMBER(SEARCH("包修",M166)),"【购机】"&amp;MID(M166,SEARCH("购机",M166)+LEN("购机"),LEN(M166)),IF(ISNUMBER(SEARCH("叠放支架",M166)),"【赠品】"&amp;MID(M166,SEARCH("购机",M166)+LEN("购机"),LEN(M166)),IF(ISNUMBER(SEARCH("秀图",M166)),"【秀图】"&amp;MID(M166,SEARCH("秀图",M166)+LEN("秀图"),LEN(M166)),"")))),IFERROR(LEFT(_xlpm.A,FIND("【",_xlpm.A,FIND("】",_xlpm.A)+1)-1)&amp;MID(_xlpm.A,FIND("】",_xlpm.A,FIND("】",_xlpm.A)+1)+1,LEN(_xlpm.A)),_xlpm.A))</f>
        <v/>
      </c>
      <c r="I166" s="18" t="str">
        <f>_xlfn.LET(_xlpm.A,IF(ISNUMBER(SEARCH("晒单",N166)),"【晒单】"&amp;MID(N166,SEARCH("晒单",N166)+LEN("晒单"),LEN(N166))&amp;"（需晒单后联系客服登记）",IF(ISNUMBER(SEARCH("包修",N166)),"【购机】"&amp;MID(N166,SEARCH("购机",N166)+LEN("购机"),LEN(N166)),IF(ISNUMBER(SEARCH("叠放支架",N166)),"【赠品】"&amp;MID(N166,SEARCH("购机",N166)+LEN("购机"),LEN(N166)),IF(ISNUMBER(SEARCH("秀图",N166)),"【秀图】"&amp;MID(N166,SEARCH("秀图",N166)+LEN("秀图"),LEN(N166)),"")))),IFERROR(LEFT(_xlpm.A,FIND("【",_xlpm.A,FIND("】",_xlpm.A)+1)-1)&amp;MID(_xlpm.A,FIND("】",_xlpm.A,FIND("】",_xlpm.A)+1)+1,LEN(_xlpm.A)),_xlpm.A))</f>
        <v/>
      </c>
      <c r="J166" s="18" t="str" cm="1">
        <f t="array" ref="J166">IFERROR(INDEX(_xlfn.TEXTSPLIT(_xlfn.XLOOKUP($A166&amp;$B166&amp;$C166,盘货信息!$A:$A&amp;盘货信息!$B:$B&amp;盘货信息!$C:$C,盘货信息!$S:$S),CHAR(10),,TRUE),1,COLUMN(A165)),"")</f>
        <v/>
      </c>
      <c r="K166" s="18" t="str" cm="1">
        <f t="array" ref="K166">IFERROR(INDEX(_xlfn.TEXTSPLIT(_xlfn.XLOOKUP($A166&amp;$B166&amp;$C166,盘货信息!$A:$A&amp;盘货信息!$B:$B&amp;盘货信息!$C:$C,盘货信息!$S:$S),CHAR(10),,TRUE),1,COLUMN(B165)),"")</f>
        <v/>
      </c>
      <c r="L166" s="18" t="str" cm="1">
        <f t="array" ref="L166">IFERROR(INDEX(_xlfn.TEXTSPLIT(_xlfn.XLOOKUP($A166&amp;$B166&amp;$C166,盘货信息!$A:$A&amp;盘货信息!$B:$B&amp;盘货信息!$C:$C,盘货信息!$S:$S),CHAR(10),,TRUE),1,COLUMN(C165)),"")</f>
        <v/>
      </c>
      <c r="M166" s="18" t="str" cm="1">
        <f t="array" ref="M166">IFERROR(INDEX(_xlfn.TEXTSPLIT(_xlfn.XLOOKUP($A166&amp;$B166&amp;$C166,盘货信息!$A:$A&amp;盘货信息!$B:$B&amp;盘货信息!$C:$C,盘货信息!$S:$S),CHAR(10),,TRUE),1,COLUMN(D165)),"")</f>
        <v/>
      </c>
      <c r="N166" s="18" t="str" cm="1">
        <f t="array" ref="N166">IFERROR(INDEX(_xlfn.TEXTSPLIT(_xlfn.XLOOKUP($A166&amp;$B166&amp;$C166,盘货信息!$A:$A&amp;盘货信息!$B:$B&amp;盘货信息!$C:$C,盘货信息!$S:$S),CHAR(10),,TRUE),1,COLUMN(E165)),"")</f>
        <v/>
      </c>
    </row>
    <row r="167" customHeight="1" spans="1:14">
      <c r="A167" s="17" t="str">
        <f>IF(盘货信息!A167="","",盘货信息!A167)</f>
        <v/>
      </c>
      <c r="B167" s="17" t="str">
        <f>IF(盘货信息!B167="","",盘货信息!B167)</f>
        <v/>
      </c>
      <c r="C167" s="18" t="str">
        <f>IF(盘货信息!C167="","",盘货信息!C167)</f>
        <v/>
      </c>
      <c r="D167" s="18" t="str">
        <f t="shared" si="2"/>
        <v/>
      </c>
      <c r="E167" s="18" t="str">
        <f>_xlfn.LET(_xlpm.A,IF(ISNUMBER(SEARCH("晒单",J167)),"【晒单】"&amp;MID(J167,SEARCH("晒单",J167)+LEN("晒单"),LEN(J167))&amp;"（需晒单后联系客服登记）",IF(ISNUMBER(SEARCH("包修",J167)),"【购机】"&amp;MID(J167,SEARCH("购机",J167)+LEN("购机"),LEN(J167)),IF(ISNUMBER(SEARCH("叠放支架",J167)),"【赠品】"&amp;MID(J167,SEARCH("购机",J167)+LEN("购机"),LEN(J167)),IF(ISNUMBER(SEARCH("秀图",J167)),"【秀图】"&amp;MID(J167,SEARCH("秀图",J167)+LEN("秀图"),LEN(J167)),"")))),IFERROR(LEFT(_xlpm.A,FIND("【",_xlpm.A,FIND("】",_xlpm.A)+1)-1)&amp;MID(_xlpm.A,FIND("】",_xlpm.A,FIND("】",_xlpm.A)+1)+1,LEN(_xlpm.A)),_xlpm.A))</f>
        <v/>
      </c>
      <c r="F167" s="18" t="str">
        <f>_xlfn.LET(_xlpm.A,IF(ISNUMBER(SEARCH("晒单",K167)),"【晒单】"&amp;MID(K167,SEARCH("晒单",K167)+LEN("晒单"),LEN(K167))&amp;"（需晒单后联系客服登记）",IF(ISNUMBER(SEARCH("包修",K167)),"【购机】"&amp;MID(K167,SEARCH("购机",K167)+LEN("购机"),LEN(K167)),IF(ISNUMBER(SEARCH("叠放支架",K167)),"【赠品】"&amp;MID(K167,SEARCH("购机",K167)+LEN("购机"),LEN(K167)),IF(ISNUMBER(SEARCH("秀图",K167)),"【秀图】"&amp;MID(K167,SEARCH("秀图",K167)+LEN("秀图"),LEN(K167)),"")))),IFERROR(LEFT(_xlpm.A,FIND("【",_xlpm.A,FIND("】",_xlpm.A)+1)-1)&amp;MID(_xlpm.A,FIND("】",_xlpm.A,FIND("】",_xlpm.A)+1)+1,LEN(_xlpm.A)),_xlpm.A))</f>
        <v/>
      </c>
      <c r="G167" s="18" t="str">
        <f>_xlfn.LET(_xlpm.A,IF(ISNUMBER(SEARCH("晒单",L167)),"【晒单】"&amp;MID(L167,SEARCH("晒单",L167)+LEN("晒单"),LEN(L167))&amp;"（需晒单后联系客服登记）",IF(ISNUMBER(SEARCH("包修",L167)),"【购机】"&amp;MID(L167,SEARCH("购机",L167)+LEN("购机"),LEN(L167)),IF(ISNUMBER(SEARCH("叠放支架",L167)),"【赠品】"&amp;MID(L167,SEARCH("购机",L167)+LEN("购机"),LEN(L167)),IF(ISNUMBER(SEARCH("秀图",L167)),"【秀图】"&amp;MID(L167,SEARCH("秀图",L167)+LEN("秀图"),LEN(L167)),"")))),IFERROR(LEFT(_xlpm.A,FIND("【",_xlpm.A,FIND("】",_xlpm.A)+1)-1)&amp;MID(_xlpm.A,FIND("】",_xlpm.A,FIND("】",_xlpm.A)+1)+1,LEN(_xlpm.A)),_xlpm.A))</f>
        <v/>
      </c>
      <c r="H167" s="18" t="str">
        <f>_xlfn.LET(_xlpm.A,IF(ISNUMBER(SEARCH("晒单",M167)),"【晒单】"&amp;MID(M167,SEARCH("晒单",M167)+LEN("晒单"),LEN(M167))&amp;"（需晒单后联系客服登记）",IF(ISNUMBER(SEARCH("包修",M167)),"【购机】"&amp;MID(M167,SEARCH("购机",M167)+LEN("购机"),LEN(M167)),IF(ISNUMBER(SEARCH("叠放支架",M167)),"【赠品】"&amp;MID(M167,SEARCH("购机",M167)+LEN("购机"),LEN(M167)),IF(ISNUMBER(SEARCH("秀图",M167)),"【秀图】"&amp;MID(M167,SEARCH("秀图",M167)+LEN("秀图"),LEN(M167)),"")))),IFERROR(LEFT(_xlpm.A,FIND("【",_xlpm.A,FIND("】",_xlpm.A)+1)-1)&amp;MID(_xlpm.A,FIND("】",_xlpm.A,FIND("】",_xlpm.A)+1)+1,LEN(_xlpm.A)),_xlpm.A))</f>
        <v/>
      </c>
      <c r="I167" s="18" t="str">
        <f>_xlfn.LET(_xlpm.A,IF(ISNUMBER(SEARCH("晒单",N167)),"【晒单】"&amp;MID(N167,SEARCH("晒单",N167)+LEN("晒单"),LEN(N167))&amp;"（需晒单后联系客服登记）",IF(ISNUMBER(SEARCH("包修",N167)),"【购机】"&amp;MID(N167,SEARCH("购机",N167)+LEN("购机"),LEN(N167)),IF(ISNUMBER(SEARCH("叠放支架",N167)),"【赠品】"&amp;MID(N167,SEARCH("购机",N167)+LEN("购机"),LEN(N167)),IF(ISNUMBER(SEARCH("秀图",N167)),"【秀图】"&amp;MID(N167,SEARCH("秀图",N167)+LEN("秀图"),LEN(N167)),"")))),IFERROR(LEFT(_xlpm.A,FIND("【",_xlpm.A,FIND("】",_xlpm.A)+1)-1)&amp;MID(_xlpm.A,FIND("】",_xlpm.A,FIND("】",_xlpm.A)+1)+1,LEN(_xlpm.A)),_xlpm.A))</f>
        <v/>
      </c>
      <c r="J167" s="18" t="str" cm="1">
        <f t="array" ref="J167">IFERROR(INDEX(_xlfn.TEXTSPLIT(_xlfn.XLOOKUP($A167&amp;$B167&amp;$C167,盘货信息!$A:$A&amp;盘货信息!$B:$B&amp;盘货信息!$C:$C,盘货信息!$S:$S),CHAR(10),,TRUE),1,COLUMN(A166)),"")</f>
        <v/>
      </c>
      <c r="K167" s="18" t="str" cm="1">
        <f t="array" ref="K167">IFERROR(INDEX(_xlfn.TEXTSPLIT(_xlfn.XLOOKUP($A167&amp;$B167&amp;$C167,盘货信息!$A:$A&amp;盘货信息!$B:$B&amp;盘货信息!$C:$C,盘货信息!$S:$S),CHAR(10),,TRUE),1,COLUMN(B166)),"")</f>
        <v/>
      </c>
      <c r="L167" s="18" t="str" cm="1">
        <f t="array" ref="L167">IFERROR(INDEX(_xlfn.TEXTSPLIT(_xlfn.XLOOKUP($A167&amp;$B167&amp;$C167,盘货信息!$A:$A&amp;盘货信息!$B:$B&amp;盘货信息!$C:$C,盘货信息!$S:$S),CHAR(10),,TRUE),1,COLUMN(C166)),"")</f>
        <v/>
      </c>
      <c r="M167" s="18" t="str" cm="1">
        <f t="array" ref="M167">IFERROR(INDEX(_xlfn.TEXTSPLIT(_xlfn.XLOOKUP($A167&amp;$B167&amp;$C167,盘货信息!$A:$A&amp;盘货信息!$B:$B&amp;盘货信息!$C:$C,盘货信息!$S:$S),CHAR(10),,TRUE),1,COLUMN(D166)),"")</f>
        <v/>
      </c>
      <c r="N167" s="18" t="str" cm="1">
        <f t="array" ref="N167">IFERROR(INDEX(_xlfn.TEXTSPLIT(_xlfn.XLOOKUP($A167&amp;$B167&amp;$C167,盘货信息!$A:$A&amp;盘货信息!$B:$B&amp;盘货信息!$C:$C,盘货信息!$S:$S),CHAR(10),,TRUE),1,COLUMN(E166)),"")</f>
        <v/>
      </c>
    </row>
    <row r="168" customHeight="1" spans="1:14">
      <c r="A168" s="17" t="str">
        <f>IF(盘货信息!A168="","",盘货信息!A168)</f>
        <v/>
      </c>
      <c r="B168" s="17" t="str">
        <f>IF(盘货信息!B168="","",盘货信息!B168)</f>
        <v/>
      </c>
      <c r="C168" s="18" t="str">
        <f>IF(盘货信息!C168="","",盘货信息!C168)</f>
        <v/>
      </c>
      <c r="D168" s="18" t="str">
        <f t="shared" si="2"/>
        <v/>
      </c>
      <c r="E168" s="18" t="str">
        <f>_xlfn.LET(_xlpm.A,IF(ISNUMBER(SEARCH("晒单",J168)),"【晒单】"&amp;MID(J168,SEARCH("晒单",J168)+LEN("晒单"),LEN(J168))&amp;"（需晒单后联系客服登记）",IF(ISNUMBER(SEARCH("包修",J168)),"【购机】"&amp;MID(J168,SEARCH("购机",J168)+LEN("购机"),LEN(J168)),IF(ISNUMBER(SEARCH("叠放支架",J168)),"【赠品】"&amp;MID(J168,SEARCH("购机",J168)+LEN("购机"),LEN(J168)),IF(ISNUMBER(SEARCH("秀图",J168)),"【秀图】"&amp;MID(J168,SEARCH("秀图",J168)+LEN("秀图"),LEN(J168)),"")))),IFERROR(LEFT(_xlpm.A,FIND("【",_xlpm.A,FIND("】",_xlpm.A)+1)-1)&amp;MID(_xlpm.A,FIND("】",_xlpm.A,FIND("】",_xlpm.A)+1)+1,LEN(_xlpm.A)),_xlpm.A))</f>
        <v/>
      </c>
      <c r="F168" s="18" t="str">
        <f>_xlfn.LET(_xlpm.A,IF(ISNUMBER(SEARCH("晒单",K168)),"【晒单】"&amp;MID(K168,SEARCH("晒单",K168)+LEN("晒单"),LEN(K168))&amp;"（需晒单后联系客服登记）",IF(ISNUMBER(SEARCH("包修",K168)),"【购机】"&amp;MID(K168,SEARCH("购机",K168)+LEN("购机"),LEN(K168)),IF(ISNUMBER(SEARCH("叠放支架",K168)),"【赠品】"&amp;MID(K168,SEARCH("购机",K168)+LEN("购机"),LEN(K168)),IF(ISNUMBER(SEARCH("秀图",K168)),"【秀图】"&amp;MID(K168,SEARCH("秀图",K168)+LEN("秀图"),LEN(K168)),"")))),IFERROR(LEFT(_xlpm.A,FIND("【",_xlpm.A,FIND("】",_xlpm.A)+1)-1)&amp;MID(_xlpm.A,FIND("】",_xlpm.A,FIND("】",_xlpm.A)+1)+1,LEN(_xlpm.A)),_xlpm.A))</f>
        <v/>
      </c>
      <c r="G168" s="18" t="str">
        <f>_xlfn.LET(_xlpm.A,IF(ISNUMBER(SEARCH("晒单",L168)),"【晒单】"&amp;MID(L168,SEARCH("晒单",L168)+LEN("晒单"),LEN(L168))&amp;"（需晒单后联系客服登记）",IF(ISNUMBER(SEARCH("包修",L168)),"【购机】"&amp;MID(L168,SEARCH("购机",L168)+LEN("购机"),LEN(L168)),IF(ISNUMBER(SEARCH("叠放支架",L168)),"【赠品】"&amp;MID(L168,SEARCH("购机",L168)+LEN("购机"),LEN(L168)),IF(ISNUMBER(SEARCH("秀图",L168)),"【秀图】"&amp;MID(L168,SEARCH("秀图",L168)+LEN("秀图"),LEN(L168)),"")))),IFERROR(LEFT(_xlpm.A,FIND("【",_xlpm.A,FIND("】",_xlpm.A)+1)-1)&amp;MID(_xlpm.A,FIND("】",_xlpm.A,FIND("】",_xlpm.A)+1)+1,LEN(_xlpm.A)),_xlpm.A))</f>
        <v/>
      </c>
      <c r="H168" s="18" t="str">
        <f>_xlfn.LET(_xlpm.A,IF(ISNUMBER(SEARCH("晒单",M168)),"【晒单】"&amp;MID(M168,SEARCH("晒单",M168)+LEN("晒单"),LEN(M168))&amp;"（需晒单后联系客服登记）",IF(ISNUMBER(SEARCH("包修",M168)),"【购机】"&amp;MID(M168,SEARCH("购机",M168)+LEN("购机"),LEN(M168)),IF(ISNUMBER(SEARCH("叠放支架",M168)),"【赠品】"&amp;MID(M168,SEARCH("购机",M168)+LEN("购机"),LEN(M168)),IF(ISNUMBER(SEARCH("秀图",M168)),"【秀图】"&amp;MID(M168,SEARCH("秀图",M168)+LEN("秀图"),LEN(M168)),"")))),IFERROR(LEFT(_xlpm.A,FIND("【",_xlpm.A,FIND("】",_xlpm.A)+1)-1)&amp;MID(_xlpm.A,FIND("】",_xlpm.A,FIND("】",_xlpm.A)+1)+1,LEN(_xlpm.A)),_xlpm.A))</f>
        <v/>
      </c>
      <c r="I168" s="18" t="str">
        <f>_xlfn.LET(_xlpm.A,IF(ISNUMBER(SEARCH("晒单",N168)),"【晒单】"&amp;MID(N168,SEARCH("晒单",N168)+LEN("晒单"),LEN(N168))&amp;"（需晒单后联系客服登记）",IF(ISNUMBER(SEARCH("包修",N168)),"【购机】"&amp;MID(N168,SEARCH("购机",N168)+LEN("购机"),LEN(N168)),IF(ISNUMBER(SEARCH("叠放支架",N168)),"【赠品】"&amp;MID(N168,SEARCH("购机",N168)+LEN("购机"),LEN(N168)),IF(ISNUMBER(SEARCH("秀图",N168)),"【秀图】"&amp;MID(N168,SEARCH("秀图",N168)+LEN("秀图"),LEN(N168)),"")))),IFERROR(LEFT(_xlpm.A,FIND("【",_xlpm.A,FIND("】",_xlpm.A)+1)-1)&amp;MID(_xlpm.A,FIND("】",_xlpm.A,FIND("】",_xlpm.A)+1)+1,LEN(_xlpm.A)),_xlpm.A))</f>
        <v/>
      </c>
      <c r="J168" s="18" t="str" cm="1">
        <f t="array" ref="J168">IFERROR(INDEX(_xlfn.TEXTSPLIT(_xlfn.XLOOKUP($A168&amp;$B168&amp;$C168,盘货信息!$A:$A&amp;盘货信息!$B:$B&amp;盘货信息!$C:$C,盘货信息!$S:$S),CHAR(10),,TRUE),1,COLUMN(A167)),"")</f>
        <v/>
      </c>
      <c r="K168" s="18" t="str" cm="1">
        <f t="array" ref="K168">IFERROR(INDEX(_xlfn.TEXTSPLIT(_xlfn.XLOOKUP($A168&amp;$B168&amp;$C168,盘货信息!$A:$A&amp;盘货信息!$B:$B&amp;盘货信息!$C:$C,盘货信息!$S:$S),CHAR(10),,TRUE),1,COLUMN(B167)),"")</f>
        <v/>
      </c>
      <c r="L168" s="18" t="str" cm="1">
        <f t="array" ref="L168">IFERROR(INDEX(_xlfn.TEXTSPLIT(_xlfn.XLOOKUP($A168&amp;$B168&amp;$C168,盘货信息!$A:$A&amp;盘货信息!$B:$B&amp;盘货信息!$C:$C,盘货信息!$S:$S),CHAR(10),,TRUE),1,COLUMN(C167)),"")</f>
        <v/>
      </c>
      <c r="M168" s="18" t="str" cm="1">
        <f t="array" ref="M168">IFERROR(INDEX(_xlfn.TEXTSPLIT(_xlfn.XLOOKUP($A168&amp;$B168&amp;$C168,盘货信息!$A:$A&amp;盘货信息!$B:$B&amp;盘货信息!$C:$C,盘货信息!$S:$S),CHAR(10),,TRUE),1,COLUMN(D167)),"")</f>
        <v/>
      </c>
      <c r="N168" s="18" t="str" cm="1">
        <f t="array" ref="N168">IFERROR(INDEX(_xlfn.TEXTSPLIT(_xlfn.XLOOKUP($A168&amp;$B168&amp;$C168,盘货信息!$A:$A&amp;盘货信息!$B:$B&amp;盘货信息!$C:$C,盘货信息!$S:$S),CHAR(10),,TRUE),1,COLUMN(E167)),"")</f>
        <v/>
      </c>
    </row>
    <row r="169" customHeight="1" spans="1:14">
      <c r="A169" s="17" t="str">
        <f>IF(盘货信息!A169="","",盘货信息!A169)</f>
        <v/>
      </c>
      <c r="B169" s="17" t="str">
        <f>IF(盘货信息!B169="","",盘货信息!B169)</f>
        <v/>
      </c>
      <c r="C169" s="18" t="str">
        <f>IF(盘货信息!C169="","",盘货信息!C169)</f>
        <v/>
      </c>
      <c r="D169" s="18" t="str">
        <f t="shared" si="2"/>
        <v/>
      </c>
      <c r="E169" s="18" t="str">
        <f>_xlfn.LET(_xlpm.A,IF(ISNUMBER(SEARCH("晒单",J169)),"【晒单】"&amp;MID(J169,SEARCH("晒单",J169)+LEN("晒单"),LEN(J169))&amp;"（需晒单后联系客服登记）",IF(ISNUMBER(SEARCH("包修",J169)),"【购机】"&amp;MID(J169,SEARCH("购机",J169)+LEN("购机"),LEN(J169)),IF(ISNUMBER(SEARCH("叠放支架",J169)),"【赠品】"&amp;MID(J169,SEARCH("购机",J169)+LEN("购机"),LEN(J169)),IF(ISNUMBER(SEARCH("秀图",J169)),"【秀图】"&amp;MID(J169,SEARCH("秀图",J169)+LEN("秀图"),LEN(J169)),"")))),IFERROR(LEFT(_xlpm.A,FIND("【",_xlpm.A,FIND("】",_xlpm.A)+1)-1)&amp;MID(_xlpm.A,FIND("】",_xlpm.A,FIND("】",_xlpm.A)+1)+1,LEN(_xlpm.A)),_xlpm.A))</f>
        <v/>
      </c>
      <c r="F169" s="18" t="str">
        <f>_xlfn.LET(_xlpm.A,IF(ISNUMBER(SEARCH("晒单",K169)),"【晒单】"&amp;MID(K169,SEARCH("晒单",K169)+LEN("晒单"),LEN(K169))&amp;"（需晒单后联系客服登记）",IF(ISNUMBER(SEARCH("包修",K169)),"【购机】"&amp;MID(K169,SEARCH("购机",K169)+LEN("购机"),LEN(K169)),IF(ISNUMBER(SEARCH("叠放支架",K169)),"【赠品】"&amp;MID(K169,SEARCH("购机",K169)+LEN("购机"),LEN(K169)),IF(ISNUMBER(SEARCH("秀图",K169)),"【秀图】"&amp;MID(K169,SEARCH("秀图",K169)+LEN("秀图"),LEN(K169)),"")))),IFERROR(LEFT(_xlpm.A,FIND("【",_xlpm.A,FIND("】",_xlpm.A)+1)-1)&amp;MID(_xlpm.A,FIND("】",_xlpm.A,FIND("】",_xlpm.A)+1)+1,LEN(_xlpm.A)),_xlpm.A))</f>
        <v/>
      </c>
      <c r="G169" s="18" t="str">
        <f>_xlfn.LET(_xlpm.A,IF(ISNUMBER(SEARCH("晒单",L169)),"【晒单】"&amp;MID(L169,SEARCH("晒单",L169)+LEN("晒单"),LEN(L169))&amp;"（需晒单后联系客服登记）",IF(ISNUMBER(SEARCH("包修",L169)),"【购机】"&amp;MID(L169,SEARCH("购机",L169)+LEN("购机"),LEN(L169)),IF(ISNUMBER(SEARCH("叠放支架",L169)),"【赠品】"&amp;MID(L169,SEARCH("购机",L169)+LEN("购机"),LEN(L169)),IF(ISNUMBER(SEARCH("秀图",L169)),"【秀图】"&amp;MID(L169,SEARCH("秀图",L169)+LEN("秀图"),LEN(L169)),"")))),IFERROR(LEFT(_xlpm.A,FIND("【",_xlpm.A,FIND("】",_xlpm.A)+1)-1)&amp;MID(_xlpm.A,FIND("】",_xlpm.A,FIND("】",_xlpm.A)+1)+1,LEN(_xlpm.A)),_xlpm.A))</f>
        <v/>
      </c>
      <c r="H169" s="18" t="str">
        <f>_xlfn.LET(_xlpm.A,IF(ISNUMBER(SEARCH("晒单",M169)),"【晒单】"&amp;MID(M169,SEARCH("晒单",M169)+LEN("晒单"),LEN(M169))&amp;"（需晒单后联系客服登记）",IF(ISNUMBER(SEARCH("包修",M169)),"【购机】"&amp;MID(M169,SEARCH("购机",M169)+LEN("购机"),LEN(M169)),IF(ISNUMBER(SEARCH("叠放支架",M169)),"【赠品】"&amp;MID(M169,SEARCH("购机",M169)+LEN("购机"),LEN(M169)),IF(ISNUMBER(SEARCH("秀图",M169)),"【秀图】"&amp;MID(M169,SEARCH("秀图",M169)+LEN("秀图"),LEN(M169)),"")))),IFERROR(LEFT(_xlpm.A,FIND("【",_xlpm.A,FIND("】",_xlpm.A)+1)-1)&amp;MID(_xlpm.A,FIND("】",_xlpm.A,FIND("】",_xlpm.A)+1)+1,LEN(_xlpm.A)),_xlpm.A))</f>
        <v/>
      </c>
      <c r="I169" s="18" t="str">
        <f>_xlfn.LET(_xlpm.A,IF(ISNUMBER(SEARCH("晒单",N169)),"【晒单】"&amp;MID(N169,SEARCH("晒单",N169)+LEN("晒单"),LEN(N169))&amp;"（需晒单后联系客服登记）",IF(ISNUMBER(SEARCH("包修",N169)),"【购机】"&amp;MID(N169,SEARCH("购机",N169)+LEN("购机"),LEN(N169)),IF(ISNUMBER(SEARCH("叠放支架",N169)),"【赠品】"&amp;MID(N169,SEARCH("购机",N169)+LEN("购机"),LEN(N169)),IF(ISNUMBER(SEARCH("秀图",N169)),"【秀图】"&amp;MID(N169,SEARCH("秀图",N169)+LEN("秀图"),LEN(N169)),"")))),IFERROR(LEFT(_xlpm.A,FIND("【",_xlpm.A,FIND("】",_xlpm.A)+1)-1)&amp;MID(_xlpm.A,FIND("】",_xlpm.A,FIND("】",_xlpm.A)+1)+1,LEN(_xlpm.A)),_xlpm.A))</f>
        <v/>
      </c>
      <c r="J169" s="18" t="str" cm="1">
        <f t="array" ref="J169">IFERROR(INDEX(_xlfn.TEXTSPLIT(_xlfn.XLOOKUP($A169&amp;$B169&amp;$C169,盘货信息!$A:$A&amp;盘货信息!$B:$B&amp;盘货信息!$C:$C,盘货信息!$S:$S),CHAR(10),,TRUE),1,COLUMN(A168)),"")</f>
        <v/>
      </c>
      <c r="K169" s="18" t="str" cm="1">
        <f t="array" ref="K169">IFERROR(INDEX(_xlfn.TEXTSPLIT(_xlfn.XLOOKUP($A169&amp;$B169&amp;$C169,盘货信息!$A:$A&amp;盘货信息!$B:$B&amp;盘货信息!$C:$C,盘货信息!$S:$S),CHAR(10),,TRUE),1,COLUMN(B168)),"")</f>
        <v/>
      </c>
      <c r="L169" s="18" t="str" cm="1">
        <f t="array" ref="L169">IFERROR(INDEX(_xlfn.TEXTSPLIT(_xlfn.XLOOKUP($A169&amp;$B169&amp;$C169,盘货信息!$A:$A&amp;盘货信息!$B:$B&amp;盘货信息!$C:$C,盘货信息!$S:$S),CHAR(10),,TRUE),1,COLUMN(C168)),"")</f>
        <v/>
      </c>
      <c r="M169" s="18" t="str" cm="1">
        <f t="array" ref="M169">IFERROR(INDEX(_xlfn.TEXTSPLIT(_xlfn.XLOOKUP($A169&amp;$B169&amp;$C169,盘货信息!$A:$A&amp;盘货信息!$B:$B&amp;盘货信息!$C:$C,盘货信息!$S:$S),CHAR(10),,TRUE),1,COLUMN(D168)),"")</f>
        <v/>
      </c>
      <c r="N169" s="18" t="str" cm="1">
        <f t="array" ref="N169">IFERROR(INDEX(_xlfn.TEXTSPLIT(_xlfn.XLOOKUP($A169&amp;$B169&amp;$C169,盘货信息!$A:$A&amp;盘货信息!$B:$B&amp;盘货信息!$C:$C,盘货信息!$S:$S),CHAR(10),,TRUE),1,COLUMN(E168)),"")</f>
        <v/>
      </c>
    </row>
    <row r="170" customHeight="1" spans="1:14">
      <c r="A170" s="17" t="str">
        <f>IF(盘货信息!A170="","",盘货信息!A170)</f>
        <v/>
      </c>
      <c r="B170" s="17" t="str">
        <f>IF(盘货信息!B170="","",盘货信息!B170)</f>
        <v/>
      </c>
      <c r="C170" s="18" t="str">
        <f>IF(盘货信息!C170="","",盘货信息!C170)</f>
        <v/>
      </c>
      <c r="D170" s="18" t="str">
        <f t="shared" si="2"/>
        <v/>
      </c>
      <c r="E170" s="18" t="str">
        <f>_xlfn.LET(_xlpm.A,IF(ISNUMBER(SEARCH("晒单",J170)),"【晒单】"&amp;MID(J170,SEARCH("晒单",J170)+LEN("晒单"),LEN(J170))&amp;"（需晒单后联系客服登记）",IF(ISNUMBER(SEARCH("包修",J170)),"【购机】"&amp;MID(J170,SEARCH("购机",J170)+LEN("购机"),LEN(J170)),IF(ISNUMBER(SEARCH("叠放支架",J170)),"【赠品】"&amp;MID(J170,SEARCH("购机",J170)+LEN("购机"),LEN(J170)),IF(ISNUMBER(SEARCH("秀图",J170)),"【秀图】"&amp;MID(J170,SEARCH("秀图",J170)+LEN("秀图"),LEN(J170)),"")))),IFERROR(LEFT(_xlpm.A,FIND("【",_xlpm.A,FIND("】",_xlpm.A)+1)-1)&amp;MID(_xlpm.A,FIND("】",_xlpm.A,FIND("】",_xlpm.A)+1)+1,LEN(_xlpm.A)),_xlpm.A))</f>
        <v/>
      </c>
      <c r="F170" s="18" t="str">
        <f>_xlfn.LET(_xlpm.A,IF(ISNUMBER(SEARCH("晒单",K170)),"【晒单】"&amp;MID(K170,SEARCH("晒单",K170)+LEN("晒单"),LEN(K170))&amp;"（需晒单后联系客服登记）",IF(ISNUMBER(SEARCH("包修",K170)),"【购机】"&amp;MID(K170,SEARCH("购机",K170)+LEN("购机"),LEN(K170)),IF(ISNUMBER(SEARCH("叠放支架",K170)),"【赠品】"&amp;MID(K170,SEARCH("购机",K170)+LEN("购机"),LEN(K170)),IF(ISNUMBER(SEARCH("秀图",K170)),"【秀图】"&amp;MID(K170,SEARCH("秀图",K170)+LEN("秀图"),LEN(K170)),"")))),IFERROR(LEFT(_xlpm.A,FIND("【",_xlpm.A,FIND("】",_xlpm.A)+1)-1)&amp;MID(_xlpm.A,FIND("】",_xlpm.A,FIND("】",_xlpm.A)+1)+1,LEN(_xlpm.A)),_xlpm.A))</f>
        <v/>
      </c>
      <c r="G170" s="18" t="str">
        <f>_xlfn.LET(_xlpm.A,IF(ISNUMBER(SEARCH("晒单",L170)),"【晒单】"&amp;MID(L170,SEARCH("晒单",L170)+LEN("晒单"),LEN(L170))&amp;"（需晒单后联系客服登记）",IF(ISNUMBER(SEARCH("包修",L170)),"【购机】"&amp;MID(L170,SEARCH("购机",L170)+LEN("购机"),LEN(L170)),IF(ISNUMBER(SEARCH("叠放支架",L170)),"【赠品】"&amp;MID(L170,SEARCH("购机",L170)+LEN("购机"),LEN(L170)),IF(ISNUMBER(SEARCH("秀图",L170)),"【秀图】"&amp;MID(L170,SEARCH("秀图",L170)+LEN("秀图"),LEN(L170)),"")))),IFERROR(LEFT(_xlpm.A,FIND("【",_xlpm.A,FIND("】",_xlpm.A)+1)-1)&amp;MID(_xlpm.A,FIND("】",_xlpm.A,FIND("】",_xlpm.A)+1)+1,LEN(_xlpm.A)),_xlpm.A))</f>
        <v/>
      </c>
      <c r="H170" s="18" t="str">
        <f>_xlfn.LET(_xlpm.A,IF(ISNUMBER(SEARCH("晒单",M170)),"【晒单】"&amp;MID(M170,SEARCH("晒单",M170)+LEN("晒单"),LEN(M170))&amp;"（需晒单后联系客服登记）",IF(ISNUMBER(SEARCH("包修",M170)),"【购机】"&amp;MID(M170,SEARCH("购机",M170)+LEN("购机"),LEN(M170)),IF(ISNUMBER(SEARCH("叠放支架",M170)),"【赠品】"&amp;MID(M170,SEARCH("购机",M170)+LEN("购机"),LEN(M170)),IF(ISNUMBER(SEARCH("秀图",M170)),"【秀图】"&amp;MID(M170,SEARCH("秀图",M170)+LEN("秀图"),LEN(M170)),"")))),IFERROR(LEFT(_xlpm.A,FIND("【",_xlpm.A,FIND("】",_xlpm.A)+1)-1)&amp;MID(_xlpm.A,FIND("】",_xlpm.A,FIND("】",_xlpm.A)+1)+1,LEN(_xlpm.A)),_xlpm.A))</f>
        <v/>
      </c>
      <c r="I170" s="18" t="str">
        <f>_xlfn.LET(_xlpm.A,IF(ISNUMBER(SEARCH("晒单",N170)),"【晒单】"&amp;MID(N170,SEARCH("晒单",N170)+LEN("晒单"),LEN(N170))&amp;"（需晒单后联系客服登记）",IF(ISNUMBER(SEARCH("包修",N170)),"【购机】"&amp;MID(N170,SEARCH("购机",N170)+LEN("购机"),LEN(N170)),IF(ISNUMBER(SEARCH("叠放支架",N170)),"【赠品】"&amp;MID(N170,SEARCH("购机",N170)+LEN("购机"),LEN(N170)),IF(ISNUMBER(SEARCH("秀图",N170)),"【秀图】"&amp;MID(N170,SEARCH("秀图",N170)+LEN("秀图"),LEN(N170)),"")))),IFERROR(LEFT(_xlpm.A,FIND("【",_xlpm.A,FIND("】",_xlpm.A)+1)-1)&amp;MID(_xlpm.A,FIND("】",_xlpm.A,FIND("】",_xlpm.A)+1)+1,LEN(_xlpm.A)),_xlpm.A))</f>
        <v/>
      </c>
      <c r="J170" s="18" t="str" cm="1">
        <f t="array" ref="J170">IFERROR(INDEX(_xlfn.TEXTSPLIT(_xlfn.XLOOKUP($A170&amp;$B170&amp;$C170,盘货信息!$A:$A&amp;盘货信息!$B:$B&amp;盘货信息!$C:$C,盘货信息!$S:$S),CHAR(10),,TRUE),1,COLUMN(A169)),"")</f>
        <v/>
      </c>
      <c r="K170" s="18" t="str" cm="1">
        <f t="array" ref="K170">IFERROR(INDEX(_xlfn.TEXTSPLIT(_xlfn.XLOOKUP($A170&amp;$B170&amp;$C170,盘货信息!$A:$A&amp;盘货信息!$B:$B&amp;盘货信息!$C:$C,盘货信息!$S:$S),CHAR(10),,TRUE),1,COLUMN(B169)),"")</f>
        <v/>
      </c>
      <c r="L170" s="18" t="str" cm="1">
        <f t="array" ref="L170">IFERROR(INDEX(_xlfn.TEXTSPLIT(_xlfn.XLOOKUP($A170&amp;$B170&amp;$C170,盘货信息!$A:$A&amp;盘货信息!$B:$B&amp;盘货信息!$C:$C,盘货信息!$S:$S),CHAR(10),,TRUE),1,COLUMN(C169)),"")</f>
        <v/>
      </c>
      <c r="M170" s="18" t="str" cm="1">
        <f t="array" ref="M170">IFERROR(INDEX(_xlfn.TEXTSPLIT(_xlfn.XLOOKUP($A170&amp;$B170&amp;$C170,盘货信息!$A:$A&amp;盘货信息!$B:$B&amp;盘货信息!$C:$C,盘货信息!$S:$S),CHAR(10),,TRUE),1,COLUMN(D169)),"")</f>
        <v/>
      </c>
      <c r="N170" s="18" t="str" cm="1">
        <f t="array" ref="N170">IFERROR(INDEX(_xlfn.TEXTSPLIT(_xlfn.XLOOKUP($A170&amp;$B170&amp;$C170,盘货信息!$A:$A&amp;盘货信息!$B:$B&amp;盘货信息!$C:$C,盘货信息!$S:$S),CHAR(10),,TRUE),1,COLUMN(E169)),"")</f>
        <v/>
      </c>
    </row>
    <row r="171" customHeight="1" spans="1:14">
      <c r="A171" s="17" t="str">
        <f>IF(盘货信息!A171="","",盘货信息!A171)</f>
        <v/>
      </c>
      <c r="B171" s="17" t="str">
        <f>IF(盘货信息!B171="","",盘货信息!B171)</f>
        <v/>
      </c>
      <c r="C171" s="18" t="str">
        <f>IF(盘货信息!C171="","",盘货信息!C171)</f>
        <v/>
      </c>
      <c r="D171" s="18" t="str">
        <f t="shared" si="2"/>
        <v/>
      </c>
      <c r="E171" s="18" t="str">
        <f>_xlfn.LET(_xlpm.A,IF(ISNUMBER(SEARCH("晒单",J171)),"【晒单】"&amp;MID(J171,SEARCH("晒单",J171)+LEN("晒单"),LEN(J171))&amp;"（需晒单后联系客服登记）",IF(ISNUMBER(SEARCH("包修",J171)),"【购机】"&amp;MID(J171,SEARCH("购机",J171)+LEN("购机"),LEN(J171)),IF(ISNUMBER(SEARCH("叠放支架",J171)),"【赠品】"&amp;MID(J171,SEARCH("购机",J171)+LEN("购机"),LEN(J171)),IF(ISNUMBER(SEARCH("秀图",J171)),"【秀图】"&amp;MID(J171,SEARCH("秀图",J171)+LEN("秀图"),LEN(J171)),"")))),IFERROR(LEFT(_xlpm.A,FIND("【",_xlpm.A,FIND("】",_xlpm.A)+1)-1)&amp;MID(_xlpm.A,FIND("】",_xlpm.A,FIND("】",_xlpm.A)+1)+1,LEN(_xlpm.A)),_xlpm.A))</f>
        <v/>
      </c>
      <c r="F171" s="18" t="str">
        <f>_xlfn.LET(_xlpm.A,IF(ISNUMBER(SEARCH("晒单",K171)),"【晒单】"&amp;MID(K171,SEARCH("晒单",K171)+LEN("晒单"),LEN(K171))&amp;"（需晒单后联系客服登记）",IF(ISNUMBER(SEARCH("包修",K171)),"【购机】"&amp;MID(K171,SEARCH("购机",K171)+LEN("购机"),LEN(K171)),IF(ISNUMBER(SEARCH("叠放支架",K171)),"【赠品】"&amp;MID(K171,SEARCH("购机",K171)+LEN("购机"),LEN(K171)),IF(ISNUMBER(SEARCH("秀图",K171)),"【秀图】"&amp;MID(K171,SEARCH("秀图",K171)+LEN("秀图"),LEN(K171)),"")))),IFERROR(LEFT(_xlpm.A,FIND("【",_xlpm.A,FIND("】",_xlpm.A)+1)-1)&amp;MID(_xlpm.A,FIND("】",_xlpm.A,FIND("】",_xlpm.A)+1)+1,LEN(_xlpm.A)),_xlpm.A))</f>
        <v/>
      </c>
      <c r="G171" s="18" t="str">
        <f>_xlfn.LET(_xlpm.A,IF(ISNUMBER(SEARCH("晒单",L171)),"【晒单】"&amp;MID(L171,SEARCH("晒单",L171)+LEN("晒单"),LEN(L171))&amp;"（需晒单后联系客服登记）",IF(ISNUMBER(SEARCH("包修",L171)),"【购机】"&amp;MID(L171,SEARCH("购机",L171)+LEN("购机"),LEN(L171)),IF(ISNUMBER(SEARCH("叠放支架",L171)),"【赠品】"&amp;MID(L171,SEARCH("购机",L171)+LEN("购机"),LEN(L171)),IF(ISNUMBER(SEARCH("秀图",L171)),"【秀图】"&amp;MID(L171,SEARCH("秀图",L171)+LEN("秀图"),LEN(L171)),"")))),IFERROR(LEFT(_xlpm.A,FIND("【",_xlpm.A,FIND("】",_xlpm.A)+1)-1)&amp;MID(_xlpm.A,FIND("】",_xlpm.A,FIND("】",_xlpm.A)+1)+1,LEN(_xlpm.A)),_xlpm.A))</f>
        <v/>
      </c>
      <c r="H171" s="18" t="str">
        <f>_xlfn.LET(_xlpm.A,IF(ISNUMBER(SEARCH("晒单",M171)),"【晒单】"&amp;MID(M171,SEARCH("晒单",M171)+LEN("晒单"),LEN(M171))&amp;"（需晒单后联系客服登记）",IF(ISNUMBER(SEARCH("包修",M171)),"【购机】"&amp;MID(M171,SEARCH("购机",M171)+LEN("购机"),LEN(M171)),IF(ISNUMBER(SEARCH("叠放支架",M171)),"【赠品】"&amp;MID(M171,SEARCH("购机",M171)+LEN("购机"),LEN(M171)),IF(ISNUMBER(SEARCH("秀图",M171)),"【秀图】"&amp;MID(M171,SEARCH("秀图",M171)+LEN("秀图"),LEN(M171)),"")))),IFERROR(LEFT(_xlpm.A,FIND("【",_xlpm.A,FIND("】",_xlpm.A)+1)-1)&amp;MID(_xlpm.A,FIND("】",_xlpm.A,FIND("】",_xlpm.A)+1)+1,LEN(_xlpm.A)),_xlpm.A))</f>
        <v/>
      </c>
      <c r="I171" s="18" t="str">
        <f>_xlfn.LET(_xlpm.A,IF(ISNUMBER(SEARCH("晒单",N171)),"【晒单】"&amp;MID(N171,SEARCH("晒单",N171)+LEN("晒单"),LEN(N171))&amp;"（需晒单后联系客服登记）",IF(ISNUMBER(SEARCH("包修",N171)),"【购机】"&amp;MID(N171,SEARCH("购机",N171)+LEN("购机"),LEN(N171)),IF(ISNUMBER(SEARCH("叠放支架",N171)),"【赠品】"&amp;MID(N171,SEARCH("购机",N171)+LEN("购机"),LEN(N171)),IF(ISNUMBER(SEARCH("秀图",N171)),"【秀图】"&amp;MID(N171,SEARCH("秀图",N171)+LEN("秀图"),LEN(N171)),"")))),IFERROR(LEFT(_xlpm.A,FIND("【",_xlpm.A,FIND("】",_xlpm.A)+1)-1)&amp;MID(_xlpm.A,FIND("】",_xlpm.A,FIND("】",_xlpm.A)+1)+1,LEN(_xlpm.A)),_xlpm.A))</f>
        <v/>
      </c>
      <c r="J171" s="18" t="str" cm="1">
        <f t="array" ref="J171">IFERROR(INDEX(_xlfn.TEXTSPLIT(_xlfn.XLOOKUP($A171&amp;$B171&amp;$C171,盘货信息!$A:$A&amp;盘货信息!$B:$B&amp;盘货信息!$C:$C,盘货信息!$S:$S),CHAR(10),,TRUE),1,COLUMN(A170)),"")</f>
        <v/>
      </c>
      <c r="K171" s="18" t="str" cm="1">
        <f t="array" ref="K171">IFERROR(INDEX(_xlfn.TEXTSPLIT(_xlfn.XLOOKUP($A171&amp;$B171&amp;$C171,盘货信息!$A:$A&amp;盘货信息!$B:$B&amp;盘货信息!$C:$C,盘货信息!$S:$S),CHAR(10),,TRUE),1,COLUMN(B170)),"")</f>
        <v/>
      </c>
      <c r="L171" s="18" t="str" cm="1">
        <f t="array" ref="L171">IFERROR(INDEX(_xlfn.TEXTSPLIT(_xlfn.XLOOKUP($A171&amp;$B171&amp;$C171,盘货信息!$A:$A&amp;盘货信息!$B:$B&amp;盘货信息!$C:$C,盘货信息!$S:$S),CHAR(10),,TRUE),1,COLUMN(C170)),"")</f>
        <v/>
      </c>
      <c r="M171" s="18" t="str" cm="1">
        <f t="array" ref="M171">IFERROR(INDEX(_xlfn.TEXTSPLIT(_xlfn.XLOOKUP($A171&amp;$B171&amp;$C171,盘货信息!$A:$A&amp;盘货信息!$B:$B&amp;盘货信息!$C:$C,盘货信息!$S:$S),CHAR(10),,TRUE),1,COLUMN(D170)),"")</f>
        <v/>
      </c>
      <c r="N171" s="18" t="str" cm="1">
        <f t="array" ref="N171">IFERROR(INDEX(_xlfn.TEXTSPLIT(_xlfn.XLOOKUP($A171&amp;$B171&amp;$C171,盘货信息!$A:$A&amp;盘货信息!$B:$B&amp;盘货信息!$C:$C,盘货信息!$S:$S),CHAR(10),,TRUE),1,COLUMN(E170)),"")</f>
        <v/>
      </c>
    </row>
    <row r="172" customHeight="1" spans="1:14">
      <c r="A172" s="17" t="str">
        <f>IF(盘货信息!A172="","",盘货信息!A172)</f>
        <v/>
      </c>
      <c r="B172" s="17" t="str">
        <f>IF(盘货信息!B172="","",盘货信息!B172)</f>
        <v/>
      </c>
      <c r="C172" s="18" t="str">
        <f>IF(盘货信息!C172="","",盘货信息!C172)</f>
        <v/>
      </c>
      <c r="D172" s="18" t="str">
        <f t="shared" si="2"/>
        <v/>
      </c>
      <c r="E172" s="18" t="str">
        <f>_xlfn.LET(_xlpm.A,IF(ISNUMBER(SEARCH("晒单",J172)),"【晒单】"&amp;MID(J172,SEARCH("晒单",J172)+LEN("晒单"),LEN(J172))&amp;"（需晒单后联系客服登记）",IF(ISNUMBER(SEARCH("包修",J172)),"【购机】"&amp;MID(J172,SEARCH("购机",J172)+LEN("购机"),LEN(J172)),IF(ISNUMBER(SEARCH("叠放支架",J172)),"【赠品】"&amp;MID(J172,SEARCH("购机",J172)+LEN("购机"),LEN(J172)),IF(ISNUMBER(SEARCH("秀图",J172)),"【秀图】"&amp;MID(J172,SEARCH("秀图",J172)+LEN("秀图"),LEN(J172)),"")))),IFERROR(LEFT(_xlpm.A,FIND("【",_xlpm.A,FIND("】",_xlpm.A)+1)-1)&amp;MID(_xlpm.A,FIND("】",_xlpm.A,FIND("】",_xlpm.A)+1)+1,LEN(_xlpm.A)),_xlpm.A))</f>
        <v/>
      </c>
      <c r="F172" s="18" t="str">
        <f>_xlfn.LET(_xlpm.A,IF(ISNUMBER(SEARCH("晒单",K172)),"【晒单】"&amp;MID(K172,SEARCH("晒单",K172)+LEN("晒单"),LEN(K172))&amp;"（需晒单后联系客服登记）",IF(ISNUMBER(SEARCH("包修",K172)),"【购机】"&amp;MID(K172,SEARCH("购机",K172)+LEN("购机"),LEN(K172)),IF(ISNUMBER(SEARCH("叠放支架",K172)),"【赠品】"&amp;MID(K172,SEARCH("购机",K172)+LEN("购机"),LEN(K172)),IF(ISNUMBER(SEARCH("秀图",K172)),"【秀图】"&amp;MID(K172,SEARCH("秀图",K172)+LEN("秀图"),LEN(K172)),"")))),IFERROR(LEFT(_xlpm.A,FIND("【",_xlpm.A,FIND("】",_xlpm.A)+1)-1)&amp;MID(_xlpm.A,FIND("】",_xlpm.A,FIND("】",_xlpm.A)+1)+1,LEN(_xlpm.A)),_xlpm.A))</f>
        <v/>
      </c>
      <c r="G172" s="18" t="str">
        <f>_xlfn.LET(_xlpm.A,IF(ISNUMBER(SEARCH("晒单",L172)),"【晒单】"&amp;MID(L172,SEARCH("晒单",L172)+LEN("晒单"),LEN(L172))&amp;"（需晒单后联系客服登记）",IF(ISNUMBER(SEARCH("包修",L172)),"【购机】"&amp;MID(L172,SEARCH("购机",L172)+LEN("购机"),LEN(L172)),IF(ISNUMBER(SEARCH("叠放支架",L172)),"【赠品】"&amp;MID(L172,SEARCH("购机",L172)+LEN("购机"),LEN(L172)),IF(ISNUMBER(SEARCH("秀图",L172)),"【秀图】"&amp;MID(L172,SEARCH("秀图",L172)+LEN("秀图"),LEN(L172)),"")))),IFERROR(LEFT(_xlpm.A,FIND("【",_xlpm.A,FIND("】",_xlpm.A)+1)-1)&amp;MID(_xlpm.A,FIND("】",_xlpm.A,FIND("】",_xlpm.A)+1)+1,LEN(_xlpm.A)),_xlpm.A))</f>
        <v/>
      </c>
      <c r="H172" s="18" t="str">
        <f>_xlfn.LET(_xlpm.A,IF(ISNUMBER(SEARCH("晒单",M172)),"【晒单】"&amp;MID(M172,SEARCH("晒单",M172)+LEN("晒单"),LEN(M172))&amp;"（需晒单后联系客服登记）",IF(ISNUMBER(SEARCH("包修",M172)),"【购机】"&amp;MID(M172,SEARCH("购机",M172)+LEN("购机"),LEN(M172)),IF(ISNUMBER(SEARCH("叠放支架",M172)),"【赠品】"&amp;MID(M172,SEARCH("购机",M172)+LEN("购机"),LEN(M172)),IF(ISNUMBER(SEARCH("秀图",M172)),"【秀图】"&amp;MID(M172,SEARCH("秀图",M172)+LEN("秀图"),LEN(M172)),"")))),IFERROR(LEFT(_xlpm.A,FIND("【",_xlpm.A,FIND("】",_xlpm.A)+1)-1)&amp;MID(_xlpm.A,FIND("】",_xlpm.A,FIND("】",_xlpm.A)+1)+1,LEN(_xlpm.A)),_xlpm.A))</f>
        <v/>
      </c>
      <c r="I172" s="18" t="str">
        <f>_xlfn.LET(_xlpm.A,IF(ISNUMBER(SEARCH("晒单",N172)),"【晒单】"&amp;MID(N172,SEARCH("晒单",N172)+LEN("晒单"),LEN(N172))&amp;"（需晒单后联系客服登记）",IF(ISNUMBER(SEARCH("包修",N172)),"【购机】"&amp;MID(N172,SEARCH("购机",N172)+LEN("购机"),LEN(N172)),IF(ISNUMBER(SEARCH("叠放支架",N172)),"【赠品】"&amp;MID(N172,SEARCH("购机",N172)+LEN("购机"),LEN(N172)),IF(ISNUMBER(SEARCH("秀图",N172)),"【秀图】"&amp;MID(N172,SEARCH("秀图",N172)+LEN("秀图"),LEN(N172)),"")))),IFERROR(LEFT(_xlpm.A,FIND("【",_xlpm.A,FIND("】",_xlpm.A)+1)-1)&amp;MID(_xlpm.A,FIND("】",_xlpm.A,FIND("】",_xlpm.A)+1)+1,LEN(_xlpm.A)),_xlpm.A))</f>
        <v/>
      </c>
      <c r="J172" s="18" t="str" cm="1">
        <f t="array" ref="J172">IFERROR(INDEX(_xlfn.TEXTSPLIT(_xlfn.XLOOKUP($A172&amp;$B172&amp;$C172,盘货信息!$A:$A&amp;盘货信息!$B:$B&amp;盘货信息!$C:$C,盘货信息!$S:$S),CHAR(10),,TRUE),1,COLUMN(A171)),"")</f>
        <v/>
      </c>
      <c r="K172" s="18" t="str" cm="1">
        <f t="array" ref="K172">IFERROR(INDEX(_xlfn.TEXTSPLIT(_xlfn.XLOOKUP($A172&amp;$B172&amp;$C172,盘货信息!$A:$A&amp;盘货信息!$B:$B&amp;盘货信息!$C:$C,盘货信息!$S:$S),CHAR(10),,TRUE),1,COLUMN(B171)),"")</f>
        <v/>
      </c>
      <c r="L172" s="18" t="str" cm="1">
        <f t="array" ref="L172">IFERROR(INDEX(_xlfn.TEXTSPLIT(_xlfn.XLOOKUP($A172&amp;$B172&amp;$C172,盘货信息!$A:$A&amp;盘货信息!$B:$B&amp;盘货信息!$C:$C,盘货信息!$S:$S),CHAR(10),,TRUE),1,COLUMN(C171)),"")</f>
        <v/>
      </c>
      <c r="M172" s="18" t="str" cm="1">
        <f t="array" ref="M172">IFERROR(INDEX(_xlfn.TEXTSPLIT(_xlfn.XLOOKUP($A172&amp;$B172&amp;$C172,盘货信息!$A:$A&amp;盘货信息!$B:$B&amp;盘货信息!$C:$C,盘货信息!$S:$S),CHAR(10),,TRUE),1,COLUMN(D171)),"")</f>
        <v/>
      </c>
      <c r="N172" s="18" t="str" cm="1">
        <f t="array" ref="N172">IFERROR(INDEX(_xlfn.TEXTSPLIT(_xlfn.XLOOKUP($A172&amp;$B172&amp;$C172,盘货信息!$A:$A&amp;盘货信息!$B:$B&amp;盘货信息!$C:$C,盘货信息!$S:$S),CHAR(10),,TRUE),1,COLUMN(E171)),"")</f>
        <v/>
      </c>
    </row>
    <row r="173" customHeight="1" spans="1:14">
      <c r="A173" s="17" t="str">
        <f>IF(盘货信息!A173="","",盘货信息!A173)</f>
        <v/>
      </c>
      <c r="B173" s="17" t="str">
        <f>IF(盘货信息!B173="","",盘货信息!B173)</f>
        <v/>
      </c>
      <c r="C173" s="18" t="str">
        <f>IF(盘货信息!C173="","",盘货信息!C173)</f>
        <v/>
      </c>
      <c r="D173" s="18" t="str">
        <f t="shared" si="2"/>
        <v/>
      </c>
      <c r="E173" s="18" t="str">
        <f>_xlfn.LET(_xlpm.A,IF(ISNUMBER(SEARCH("晒单",J173)),"【晒单】"&amp;MID(J173,SEARCH("晒单",J173)+LEN("晒单"),LEN(J173))&amp;"（需晒单后联系客服登记）",IF(ISNUMBER(SEARCH("包修",J173)),"【购机】"&amp;MID(J173,SEARCH("购机",J173)+LEN("购机"),LEN(J173)),IF(ISNUMBER(SEARCH("叠放支架",J173)),"【赠品】"&amp;MID(J173,SEARCH("购机",J173)+LEN("购机"),LEN(J173)),IF(ISNUMBER(SEARCH("秀图",J173)),"【秀图】"&amp;MID(J173,SEARCH("秀图",J173)+LEN("秀图"),LEN(J173)),"")))),IFERROR(LEFT(_xlpm.A,FIND("【",_xlpm.A,FIND("】",_xlpm.A)+1)-1)&amp;MID(_xlpm.A,FIND("】",_xlpm.A,FIND("】",_xlpm.A)+1)+1,LEN(_xlpm.A)),_xlpm.A))</f>
        <v/>
      </c>
      <c r="F173" s="18" t="str">
        <f>_xlfn.LET(_xlpm.A,IF(ISNUMBER(SEARCH("晒单",K173)),"【晒单】"&amp;MID(K173,SEARCH("晒单",K173)+LEN("晒单"),LEN(K173))&amp;"（需晒单后联系客服登记）",IF(ISNUMBER(SEARCH("包修",K173)),"【购机】"&amp;MID(K173,SEARCH("购机",K173)+LEN("购机"),LEN(K173)),IF(ISNUMBER(SEARCH("叠放支架",K173)),"【赠品】"&amp;MID(K173,SEARCH("购机",K173)+LEN("购机"),LEN(K173)),IF(ISNUMBER(SEARCH("秀图",K173)),"【秀图】"&amp;MID(K173,SEARCH("秀图",K173)+LEN("秀图"),LEN(K173)),"")))),IFERROR(LEFT(_xlpm.A,FIND("【",_xlpm.A,FIND("】",_xlpm.A)+1)-1)&amp;MID(_xlpm.A,FIND("】",_xlpm.A,FIND("】",_xlpm.A)+1)+1,LEN(_xlpm.A)),_xlpm.A))</f>
        <v/>
      </c>
      <c r="G173" s="18" t="str">
        <f>_xlfn.LET(_xlpm.A,IF(ISNUMBER(SEARCH("晒单",L173)),"【晒单】"&amp;MID(L173,SEARCH("晒单",L173)+LEN("晒单"),LEN(L173))&amp;"（需晒单后联系客服登记）",IF(ISNUMBER(SEARCH("包修",L173)),"【购机】"&amp;MID(L173,SEARCH("购机",L173)+LEN("购机"),LEN(L173)),IF(ISNUMBER(SEARCH("叠放支架",L173)),"【赠品】"&amp;MID(L173,SEARCH("购机",L173)+LEN("购机"),LEN(L173)),IF(ISNUMBER(SEARCH("秀图",L173)),"【秀图】"&amp;MID(L173,SEARCH("秀图",L173)+LEN("秀图"),LEN(L173)),"")))),IFERROR(LEFT(_xlpm.A,FIND("【",_xlpm.A,FIND("】",_xlpm.A)+1)-1)&amp;MID(_xlpm.A,FIND("】",_xlpm.A,FIND("】",_xlpm.A)+1)+1,LEN(_xlpm.A)),_xlpm.A))</f>
        <v/>
      </c>
      <c r="H173" s="18" t="str">
        <f>_xlfn.LET(_xlpm.A,IF(ISNUMBER(SEARCH("晒单",M173)),"【晒单】"&amp;MID(M173,SEARCH("晒单",M173)+LEN("晒单"),LEN(M173))&amp;"（需晒单后联系客服登记）",IF(ISNUMBER(SEARCH("包修",M173)),"【购机】"&amp;MID(M173,SEARCH("购机",M173)+LEN("购机"),LEN(M173)),IF(ISNUMBER(SEARCH("叠放支架",M173)),"【赠品】"&amp;MID(M173,SEARCH("购机",M173)+LEN("购机"),LEN(M173)),IF(ISNUMBER(SEARCH("秀图",M173)),"【秀图】"&amp;MID(M173,SEARCH("秀图",M173)+LEN("秀图"),LEN(M173)),"")))),IFERROR(LEFT(_xlpm.A,FIND("【",_xlpm.A,FIND("】",_xlpm.A)+1)-1)&amp;MID(_xlpm.A,FIND("】",_xlpm.A,FIND("】",_xlpm.A)+1)+1,LEN(_xlpm.A)),_xlpm.A))</f>
        <v/>
      </c>
      <c r="I173" s="18" t="str">
        <f>_xlfn.LET(_xlpm.A,IF(ISNUMBER(SEARCH("晒单",N173)),"【晒单】"&amp;MID(N173,SEARCH("晒单",N173)+LEN("晒单"),LEN(N173))&amp;"（需晒单后联系客服登记）",IF(ISNUMBER(SEARCH("包修",N173)),"【购机】"&amp;MID(N173,SEARCH("购机",N173)+LEN("购机"),LEN(N173)),IF(ISNUMBER(SEARCH("叠放支架",N173)),"【赠品】"&amp;MID(N173,SEARCH("购机",N173)+LEN("购机"),LEN(N173)),IF(ISNUMBER(SEARCH("秀图",N173)),"【秀图】"&amp;MID(N173,SEARCH("秀图",N173)+LEN("秀图"),LEN(N173)),"")))),IFERROR(LEFT(_xlpm.A,FIND("【",_xlpm.A,FIND("】",_xlpm.A)+1)-1)&amp;MID(_xlpm.A,FIND("】",_xlpm.A,FIND("】",_xlpm.A)+1)+1,LEN(_xlpm.A)),_xlpm.A))</f>
        <v/>
      </c>
      <c r="J173" s="18" t="str" cm="1">
        <f t="array" ref="J173">IFERROR(INDEX(_xlfn.TEXTSPLIT(_xlfn.XLOOKUP($A173&amp;$B173&amp;$C173,盘货信息!$A:$A&amp;盘货信息!$B:$B&amp;盘货信息!$C:$C,盘货信息!$S:$S),CHAR(10),,TRUE),1,COLUMN(A172)),"")</f>
        <v/>
      </c>
      <c r="K173" s="18" t="str" cm="1">
        <f t="array" ref="K173">IFERROR(INDEX(_xlfn.TEXTSPLIT(_xlfn.XLOOKUP($A173&amp;$B173&amp;$C173,盘货信息!$A:$A&amp;盘货信息!$B:$B&amp;盘货信息!$C:$C,盘货信息!$S:$S),CHAR(10),,TRUE),1,COLUMN(B172)),"")</f>
        <v/>
      </c>
      <c r="L173" s="18" t="str" cm="1">
        <f t="array" ref="L173">IFERROR(INDEX(_xlfn.TEXTSPLIT(_xlfn.XLOOKUP($A173&amp;$B173&amp;$C173,盘货信息!$A:$A&amp;盘货信息!$B:$B&amp;盘货信息!$C:$C,盘货信息!$S:$S),CHAR(10),,TRUE),1,COLUMN(C172)),"")</f>
        <v/>
      </c>
      <c r="M173" s="18" t="str" cm="1">
        <f t="array" ref="M173">IFERROR(INDEX(_xlfn.TEXTSPLIT(_xlfn.XLOOKUP($A173&amp;$B173&amp;$C173,盘货信息!$A:$A&amp;盘货信息!$B:$B&amp;盘货信息!$C:$C,盘货信息!$S:$S),CHAR(10),,TRUE),1,COLUMN(D172)),"")</f>
        <v/>
      </c>
      <c r="N173" s="18" t="str" cm="1">
        <f t="array" ref="N173">IFERROR(INDEX(_xlfn.TEXTSPLIT(_xlfn.XLOOKUP($A173&amp;$B173&amp;$C173,盘货信息!$A:$A&amp;盘货信息!$B:$B&amp;盘货信息!$C:$C,盘货信息!$S:$S),CHAR(10),,TRUE),1,COLUMN(E172)),"")</f>
        <v/>
      </c>
    </row>
    <row r="174" customHeight="1" spans="1:14">
      <c r="A174" s="17" t="str">
        <f>IF(盘货信息!A174="","",盘货信息!A174)</f>
        <v/>
      </c>
      <c r="B174" s="17" t="str">
        <f>IF(盘货信息!B174="","",盘货信息!B174)</f>
        <v/>
      </c>
      <c r="C174" s="18" t="str">
        <f>IF(盘货信息!C174="","",盘货信息!C174)</f>
        <v/>
      </c>
      <c r="D174" s="18" t="str">
        <f t="shared" si="2"/>
        <v/>
      </c>
      <c r="E174" s="18" t="str">
        <f>_xlfn.LET(_xlpm.A,IF(ISNUMBER(SEARCH("晒单",J174)),"【晒单】"&amp;MID(J174,SEARCH("晒单",J174)+LEN("晒单"),LEN(J174))&amp;"（需晒单后联系客服登记）",IF(ISNUMBER(SEARCH("包修",J174)),"【购机】"&amp;MID(J174,SEARCH("购机",J174)+LEN("购机"),LEN(J174)),IF(ISNUMBER(SEARCH("叠放支架",J174)),"【赠品】"&amp;MID(J174,SEARCH("购机",J174)+LEN("购机"),LEN(J174)),IF(ISNUMBER(SEARCH("秀图",J174)),"【秀图】"&amp;MID(J174,SEARCH("秀图",J174)+LEN("秀图"),LEN(J174)),"")))),IFERROR(LEFT(_xlpm.A,FIND("【",_xlpm.A,FIND("】",_xlpm.A)+1)-1)&amp;MID(_xlpm.A,FIND("】",_xlpm.A,FIND("】",_xlpm.A)+1)+1,LEN(_xlpm.A)),_xlpm.A))</f>
        <v/>
      </c>
      <c r="F174" s="18" t="str">
        <f>_xlfn.LET(_xlpm.A,IF(ISNUMBER(SEARCH("晒单",K174)),"【晒单】"&amp;MID(K174,SEARCH("晒单",K174)+LEN("晒单"),LEN(K174))&amp;"（需晒单后联系客服登记）",IF(ISNUMBER(SEARCH("包修",K174)),"【购机】"&amp;MID(K174,SEARCH("购机",K174)+LEN("购机"),LEN(K174)),IF(ISNUMBER(SEARCH("叠放支架",K174)),"【赠品】"&amp;MID(K174,SEARCH("购机",K174)+LEN("购机"),LEN(K174)),IF(ISNUMBER(SEARCH("秀图",K174)),"【秀图】"&amp;MID(K174,SEARCH("秀图",K174)+LEN("秀图"),LEN(K174)),"")))),IFERROR(LEFT(_xlpm.A,FIND("【",_xlpm.A,FIND("】",_xlpm.A)+1)-1)&amp;MID(_xlpm.A,FIND("】",_xlpm.A,FIND("】",_xlpm.A)+1)+1,LEN(_xlpm.A)),_xlpm.A))</f>
        <v/>
      </c>
      <c r="G174" s="18" t="str">
        <f>_xlfn.LET(_xlpm.A,IF(ISNUMBER(SEARCH("晒单",L174)),"【晒单】"&amp;MID(L174,SEARCH("晒单",L174)+LEN("晒单"),LEN(L174))&amp;"（需晒单后联系客服登记）",IF(ISNUMBER(SEARCH("包修",L174)),"【购机】"&amp;MID(L174,SEARCH("购机",L174)+LEN("购机"),LEN(L174)),IF(ISNUMBER(SEARCH("叠放支架",L174)),"【赠品】"&amp;MID(L174,SEARCH("购机",L174)+LEN("购机"),LEN(L174)),IF(ISNUMBER(SEARCH("秀图",L174)),"【秀图】"&amp;MID(L174,SEARCH("秀图",L174)+LEN("秀图"),LEN(L174)),"")))),IFERROR(LEFT(_xlpm.A,FIND("【",_xlpm.A,FIND("】",_xlpm.A)+1)-1)&amp;MID(_xlpm.A,FIND("】",_xlpm.A,FIND("】",_xlpm.A)+1)+1,LEN(_xlpm.A)),_xlpm.A))</f>
        <v/>
      </c>
      <c r="H174" s="18" t="str">
        <f>_xlfn.LET(_xlpm.A,IF(ISNUMBER(SEARCH("晒单",M174)),"【晒单】"&amp;MID(M174,SEARCH("晒单",M174)+LEN("晒单"),LEN(M174))&amp;"（需晒单后联系客服登记）",IF(ISNUMBER(SEARCH("包修",M174)),"【购机】"&amp;MID(M174,SEARCH("购机",M174)+LEN("购机"),LEN(M174)),IF(ISNUMBER(SEARCH("叠放支架",M174)),"【赠品】"&amp;MID(M174,SEARCH("购机",M174)+LEN("购机"),LEN(M174)),IF(ISNUMBER(SEARCH("秀图",M174)),"【秀图】"&amp;MID(M174,SEARCH("秀图",M174)+LEN("秀图"),LEN(M174)),"")))),IFERROR(LEFT(_xlpm.A,FIND("【",_xlpm.A,FIND("】",_xlpm.A)+1)-1)&amp;MID(_xlpm.A,FIND("】",_xlpm.A,FIND("】",_xlpm.A)+1)+1,LEN(_xlpm.A)),_xlpm.A))</f>
        <v/>
      </c>
      <c r="I174" s="18" t="str">
        <f>_xlfn.LET(_xlpm.A,IF(ISNUMBER(SEARCH("晒单",N174)),"【晒单】"&amp;MID(N174,SEARCH("晒单",N174)+LEN("晒单"),LEN(N174))&amp;"（需晒单后联系客服登记）",IF(ISNUMBER(SEARCH("包修",N174)),"【购机】"&amp;MID(N174,SEARCH("购机",N174)+LEN("购机"),LEN(N174)),IF(ISNUMBER(SEARCH("叠放支架",N174)),"【赠品】"&amp;MID(N174,SEARCH("购机",N174)+LEN("购机"),LEN(N174)),IF(ISNUMBER(SEARCH("秀图",N174)),"【秀图】"&amp;MID(N174,SEARCH("秀图",N174)+LEN("秀图"),LEN(N174)),"")))),IFERROR(LEFT(_xlpm.A,FIND("【",_xlpm.A,FIND("】",_xlpm.A)+1)-1)&amp;MID(_xlpm.A,FIND("】",_xlpm.A,FIND("】",_xlpm.A)+1)+1,LEN(_xlpm.A)),_xlpm.A))</f>
        <v/>
      </c>
      <c r="J174" s="18" t="str" cm="1">
        <f t="array" ref="J174">IFERROR(INDEX(_xlfn.TEXTSPLIT(_xlfn.XLOOKUP($A174&amp;$B174&amp;$C174,盘货信息!$A:$A&amp;盘货信息!$B:$B&amp;盘货信息!$C:$C,盘货信息!$S:$S),CHAR(10),,TRUE),1,COLUMN(A173)),"")</f>
        <v/>
      </c>
      <c r="K174" s="18" t="str" cm="1">
        <f t="array" ref="K174">IFERROR(INDEX(_xlfn.TEXTSPLIT(_xlfn.XLOOKUP($A174&amp;$B174&amp;$C174,盘货信息!$A:$A&amp;盘货信息!$B:$B&amp;盘货信息!$C:$C,盘货信息!$S:$S),CHAR(10),,TRUE),1,COLUMN(B173)),"")</f>
        <v/>
      </c>
      <c r="L174" s="18" t="str" cm="1">
        <f t="array" ref="L174">IFERROR(INDEX(_xlfn.TEXTSPLIT(_xlfn.XLOOKUP($A174&amp;$B174&amp;$C174,盘货信息!$A:$A&amp;盘货信息!$B:$B&amp;盘货信息!$C:$C,盘货信息!$S:$S),CHAR(10),,TRUE),1,COLUMN(C173)),"")</f>
        <v/>
      </c>
      <c r="M174" s="18" t="str" cm="1">
        <f t="array" ref="M174">IFERROR(INDEX(_xlfn.TEXTSPLIT(_xlfn.XLOOKUP($A174&amp;$B174&amp;$C174,盘货信息!$A:$A&amp;盘货信息!$B:$B&amp;盘货信息!$C:$C,盘货信息!$S:$S),CHAR(10),,TRUE),1,COLUMN(D173)),"")</f>
        <v/>
      </c>
      <c r="N174" s="18" t="str" cm="1">
        <f t="array" ref="N174">IFERROR(INDEX(_xlfn.TEXTSPLIT(_xlfn.XLOOKUP($A174&amp;$B174&amp;$C174,盘货信息!$A:$A&amp;盘货信息!$B:$B&amp;盘货信息!$C:$C,盘货信息!$S:$S),CHAR(10),,TRUE),1,COLUMN(E173)),"")</f>
        <v/>
      </c>
    </row>
    <row r="175" customHeight="1" spans="1:14">
      <c r="A175" s="17" t="str">
        <f>IF(盘货信息!A175="","",盘货信息!A175)</f>
        <v/>
      </c>
      <c r="B175" s="17" t="str">
        <f>IF(盘货信息!B175="","",盘货信息!B175)</f>
        <v/>
      </c>
      <c r="C175" s="18" t="str">
        <f>IF(盘货信息!C175="","",盘货信息!C175)</f>
        <v/>
      </c>
      <c r="D175" s="18" t="str">
        <f t="shared" si="2"/>
        <v/>
      </c>
      <c r="E175" s="18" t="str">
        <f>_xlfn.LET(_xlpm.A,IF(ISNUMBER(SEARCH("晒单",J175)),"【晒单】"&amp;MID(J175,SEARCH("晒单",J175)+LEN("晒单"),LEN(J175))&amp;"（需晒单后联系客服登记）",IF(ISNUMBER(SEARCH("包修",J175)),"【购机】"&amp;MID(J175,SEARCH("购机",J175)+LEN("购机"),LEN(J175)),IF(ISNUMBER(SEARCH("叠放支架",J175)),"【赠品】"&amp;MID(J175,SEARCH("购机",J175)+LEN("购机"),LEN(J175)),IF(ISNUMBER(SEARCH("秀图",J175)),"【秀图】"&amp;MID(J175,SEARCH("秀图",J175)+LEN("秀图"),LEN(J175)),"")))),IFERROR(LEFT(_xlpm.A,FIND("【",_xlpm.A,FIND("】",_xlpm.A)+1)-1)&amp;MID(_xlpm.A,FIND("】",_xlpm.A,FIND("】",_xlpm.A)+1)+1,LEN(_xlpm.A)),_xlpm.A))</f>
        <v/>
      </c>
      <c r="F175" s="18" t="str">
        <f>_xlfn.LET(_xlpm.A,IF(ISNUMBER(SEARCH("晒单",K175)),"【晒单】"&amp;MID(K175,SEARCH("晒单",K175)+LEN("晒单"),LEN(K175))&amp;"（需晒单后联系客服登记）",IF(ISNUMBER(SEARCH("包修",K175)),"【购机】"&amp;MID(K175,SEARCH("购机",K175)+LEN("购机"),LEN(K175)),IF(ISNUMBER(SEARCH("叠放支架",K175)),"【赠品】"&amp;MID(K175,SEARCH("购机",K175)+LEN("购机"),LEN(K175)),IF(ISNUMBER(SEARCH("秀图",K175)),"【秀图】"&amp;MID(K175,SEARCH("秀图",K175)+LEN("秀图"),LEN(K175)),"")))),IFERROR(LEFT(_xlpm.A,FIND("【",_xlpm.A,FIND("】",_xlpm.A)+1)-1)&amp;MID(_xlpm.A,FIND("】",_xlpm.A,FIND("】",_xlpm.A)+1)+1,LEN(_xlpm.A)),_xlpm.A))</f>
        <v/>
      </c>
      <c r="G175" s="18" t="str">
        <f>_xlfn.LET(_xlpm.A,IF(ISNUMBER(SEARCH("晒单",L175)),"【晒单】"&amp;MID(L175,SEARCH("晒单",L175)+LEN("晒单"),LEN(L175))&amp;"（需晒单后联系客服登记）",IF(ISNUMBER(SEARCH("包修",L175)),"【购机】"&amp;MID(L175,SEARCH("购机",L175)+LEN("购机"),LEN(L175)),IF(ISNUMBER(SEARCH("叠放支架",L175)),"【赠品】"&amp;MID(L175,SEARCH("购机",L175)+LEN("购机"),LEN(L175)),IF(ISNUMBER(SEARCH("秀图",L175)),"【秀图】"&amp;MID(L175,SEARCH("秀图",L175)+LEN("秀图"),LEN(L175)),"")))),IFERROR(LEFT(_xlpm.A,FIND("【",_xlpm.A,FIND("】",_xlpm.A)+1)-1)&amp;MID(_xlpm.A,FIND("】",_xlpm.A,FIND("】",_xlpm.A)+1)+1,LEN(_xlpm.A)),_xlpm.A))</f>
        <v/>
      </c>
      <c r="H175" s="18" t="str">
        <f>_xlfn.LET(_xlpm.A,IF(ISNUMBER(SEARCH("晒单",M175)),"【晒单】"&amp;MID(M175,SEARCH("晒单",M175)+LEN("晒单"),LEN(M175))&amp;"（需晒单后联系客服登记）",IF(ISNUMBER(SEARCH("包修",M175)),"【购机】"&amp;MID(M175,SEARCH("购机",M175)+LEN("购机"),LEN(M175)),IF(ISNUMBER(SEARCH("叠放支架",M175)),"【赠品】"&amp;MID(M175,SEARCH("购机",M175)+LEN("购机"),LEN(M175)),IF(ISNUMBER(SEARCH("秀图",M175)),"【秀图】"&amp;MID(M175,SEARCH("秀图",M175)+LEN("秀图"),LEN(M175)),"")))),IFERROR(LEFT(_xlpm.A,FIND("【",_xlpm.A,FIND("】",_xlpm.A)+1)-1)&amp;MID(_xlpm.A,FIND("】",_xlpm.A,FIND("】",_xlpm.A)+1)+1,LEN(_xlpm.A)),_xlpm.A))</f>
        <v/>
      </c>
      <c r="I175" s="18" t="str">
        <f>_xlfn.LET(_xlpm.A,IF(ISNUMBER(SEARCH("晒单",N175)),"【晒单】"&amp;MID(N175,SEARCH("晒单",N175)+LEN("晒单"),LEN(N175))&amp;"（需晒单后联系客服登记）",IF(ISNUMBER(SEARCH("包修",N175)),"【购机】"&amp;MID(N175,SEARCH("购机",N175)+LEN("购机"),LEN(N175)),IF(ISNUMBER(SEARCH("叠放支架",N175)),"【赠品】"&amp;MID(N175,SEARCH("购机",N175)+LEN("购机"),LEN(N175)),IF(ISNUMBER(SEARCH("秀图",N175)),"【秀图】"&amp;MID(N175,SEARCH("秀图",N175)+LEN("秀图"),LEN(N175)),"")))),IFERROR(LEFT(_xlpm.A,FIND("【",_xlpm.A,FIND("】",_xlpm.A)+1)-1)&amp;MID(_xlpm.A,FIND("】",_xlpm.A,FIND("】",_xlpm.A)+1)+1,LEN(_xlpm.A)),_xlpm.A))</f>
        <v/>
      </c>
      <c r="J175" s="18" t="str" cm="1">
        <f t="array" ref="J175">IFERROR(INDEX(_xlfn.TEXTSPLIT(_xlfn.XLOOKUP($A175&amp;$B175&amp;$C175,盘货信息!$A:$A&amp;盘货信息!$B:$B&amp;盘货信息!$C:$C,盘货信息!$S:$S),CHAR(10),,TRUE),1,COLUMN(A174)),"")</f>
        <v/>
      </c>
      <c r="K175" s="18" t="str" cm="1">
        <f t="array" ref="K175">IFERROR(INDEX(_xlfn.TEXTSPLIT(_xlfn.XLOOKUP($A175&amp;$B175&amp;$C175,盘货信息!$A:$A&amp;盘货信息!$B:$B&amp;盘货信息!$C:$C,盘货信息!$S:$S),CHAR(10),,TRUE),1,COLUMN(B174)),"")</f>
        <v/>
      </c>
      <c r="L175" s="18" t="str" cm="1">
        <f t="array" ref="L175">IFERROR(INDEX(_xlfn.TEXTSPLIT(_xlfn.XLOOKUP($A175&amp;$B175&amp;$C175,盘货信息!$A:$A&amp;盘货信息!$B:$B&amp;盘货信息!$C:$C,盘货信息!$S:$S),CHAR(10),,TRUE),1,COLUMN(C174)),"")</f>
        <v/>
      </c>
      <c r="M175" s="18" t="str" cm="1">
        <f t="array" ref="M175">IFERROR(INDEX(_xlfn.TEXTSPLIT(_xlfn.XLOOKUP($A175&amp;$B175&amp;$C175,盘货信息!$A:$A&amp;盘货信息!$B:$B&amp;盘货信息!$C:$C,盘货信息!$S:$S),CHAR(10),,TRUE),1,COLUMN(D174)),"")</f>
        <v/>
      </c>
      <c r="N175" s="18" t="str" cm="1">
        <f t="array" ref="N175">IFERROR(INDEX(_xlfn.TEXTSPLIT(_xlfn.XLOOKUP($A175&amp;$B175&amp;$C175,盘货信息!$A:$A&amp;盘货信息!$B:$B&amp;盘货信息!$C:$C,盘货信息!$S:$S),CHAR(10),,TRUE),1,COLUMN(E174)),"")</f>
        <v/>
      </c>
    </row>
    <row r="176" customHeight="1" spans="1:14">
      <c r="A176" s="17" t="str">
        <f>IF(盘货信息!A176="","",盘货信息!A176)</f>
        <v/>
      </c>
      <c r="B176" s="17" t="str">
        <f>IF(盘货信息!B176="","",盘货信息!B176)</f>
        <v/>
      </c>
      <c r="C176" s="18" t="str">
        <f>IF(盘货信息!C176="","",盘货信息!C176)</f>
        <v/>
      </c>
      <c r="D176" s="18" t="str">
        <f t="shared" si="2"/>
        <v/>
      </c>
      <c r="E176" s="18" t="str">
        <f>_xlfn.LET(_xlpm.A,IF(ISNUMBER(SEARCH("晒单",J176)),"【晒单】"&amp;MID(J176,SEARCH("晒单",J176)+LEN("晒单"),LEN(J176))&amp;"（需晒单后联系客服登记）",IF(ISNUMBER(SEARCH("包修",J176)),"【购机】"&amp;MID(J176,SEARCH("购机",J176)+LEN("购机"),LEN(J176)),IF(ISNUMBER(SEARCH("叠放支架",J176)),"【赠品】"&amp;MID(J176,SEARCH("购机",J176)+LEN("购机"),LEN(J176)),IF(ISNUMBER(SEARCH("秀图",J176)),"【秀图】"&amp;MID(J176,SEARCH("秀图",J176)+LEN("秀图"),LEN(J176)),"")))),IFERROR(LEFT(_xlpm.A,FIND("【",_xlpm.A,FIND("】",_xlpm.A)+1)-1)&amp;MID(_xlpm.A,FIND("】",_xlpm.A,FIND("】",_xlpm.A)+1)+1,LEN(_xlpm.A)),_xlpm.A))</f>
        <v/>
      </c>
      <c r="F176" s="18" t="str">
        <f>_xlfn.LET(_xlpm.A,IF(ISNUMBER(SEARCH("晒单",K176)),"【晒单】"&amp;MID(K176,SEARCH("晒单",K176)+LEN("晒单"),LEN(K176))&amp;"（需晒单后联系客服登记）",IF(ISNUMBER(SEARCH("包修",K176)),"【购机】"&amp;MID(K176,SEARCH("购机",K176)+LEN("购机"),LEN(K176)),IF(ISNUMBER(SEARCH("叠放支架",K176)),"【赠品】"&amp;MID(K176,SEARCH("购机",K176)+LEN("购机"),LEN(K176)),IF(ISNUMBER(SEARCH("秀图",K176)),"【秀图】"&amp;MID(K176,SEARCH("秀图",K176)+LEN("秀图"),LEN(K176)),"")))),IFERROR(LEFT(_xlpm.A,FIND("【",_xlpm.A,FIND("】",_xlpm.A)+1)-1)&amp;MID(_xlpm.A,FIND("】",_xlpm.A,FIND("】",_xlpm.A)+1)+1,LEN(_xlpm.A)),_xlpm.A))</f>
        <v/>
      </c>
      <c r="G176" s="18" t="str">
        <f>_xlfn.LET(_xlpm.A,IF(ISNUMBER(SEARCH("晒单",L176)),"【晒单】"&amp;MID(L176,SEARCH("晒单",L176)+LEN("晒单"),LEN(L176))&amp;"（需晒单后联系客服登记）",IF(ISNUMBER(SEARCH("包修",L176)),"【购机】"&amp;MID(L176,SEARCH("购机",L176)+LEN("购机"),LEN(L176)),IF(ISNUMBER(SEARCH("叠放支架",L176)),"【赠品】"&amp;MID(L176,SEARCH("购机",L176)+LEN("购机"),LEN(L176)),IF(ISNUMBER(SEARCH("秀图",L176)),"【秀图】"&amp;MID(L176,SEARCH("秀图",L176)+LEN("秀图"),LEN(L176)),"")))),IFERROR(LEFT(_xlpm.A,FIND("【",_xlpm.A,FIND("】",_xlpm.A)+1)-1)&amp;MID(_xlpm.A,FIND("】",_xlpm.A,FIND("】",_xlpm.A)+1)+1,LEN(_xlpm.A)),_xlpm.A))</f>
        <v/>
      </c>
      <c r="H176" s="18" t="str">
        <f>_xlfn.LET(_xlpm.A,IF(ISNUMBER(SEARCH("晒单",M176)),"【晒单】"&amp;MID(M176,SEARCH("晒单",M176)+LEN("晒单"),LEN(M176))&amp;"（需晒单后联系客服登记）",IF(ISNUMBER(SEARCH("包修",M176)),"【购机】"&amp;MID(M176,SEARCH("购机",M176)+LEN("购机"),LEN(M176)),IF(ISNUMBER(SEARCH("叠放支架",M176)),"【赠品】"&amp;MID(M176,SEARCH("购机",M176)+LEN("购机"),LEN(M176)),IF(ISNUMBER(SEARCH("秀图",M176)),"【秀图】"&amp;MID(M176,SEARCH("秀图",M176)+LEN("秀图"),LEN(M176)),"")))),IFERROR(LEFT(_xlpm.A,FIND("【",_xlpm.A,FIND("】",_xlpm.A)+1)-1)&amp;MID(_xlpm.A,FIND("】",_xlpm.A,FIND("】",_xlpm.A)+1)+1,LEN(_xlpm.A)),_xlpm.A))</f>
        <v/>
      </c>
      <c r="I176" s="18" t="str">
        <f>_xlfn.LET(_xlpm.A,IF(ISNUMBER(SEARCH("晒单",N176)),"【晒单】"&amp;MID(N176,SEARCH("晒单",N176)+LEN("晒单"),LEN(N176))&amp;"（需晒单后联系客服登记）",IF(ISNUMBER(SEARCH("包修",N176)),"【购机】"&amp;MID(N176,SEARCH("购机",N176)+LEN("购机"),LEN(N176)),IF(ISNUMBER(SEARCH("叠放支架",N176)),"【赠品】"&amp;MID(N176,SEARCH("购机",N176)+LEN("购机"),LEN(N176)),IF(ISNUMBER(SEARCH("秀图",N176)),"【秀图】"&amp;MID(N176,SEARCH("秀图",N176)+LEN("秀图"),LEN(N176)),"")))),IFERROR(LEFT(_xlpm.A,FIND("【",_xlpm.A,FIND("】",_xlpm.A)+1)-1)&amp;MID(_xlpm.A,FIND("】",_xlpm.A,FIND("】",_xlpm.A)+1)+1,LEN(_xlpm.A)),_xlpm.A))</f>
        <v/>
      </c>
      <c r="J176" s="18" t="str" cm="1">
        <f t="array" ref="J176">IFERROR(INDEX(_xlfn.TEXTSPLIT(_xlfn.XLOOKUP($A176&amp;$B176&amp;$C176,盘货信息!$A:$A&amp;盘货信息!$B:$B&amp;盘货信息!$C:$C,盘货信息!$S:$S),CHAR(10),,TRUE),1,COLUMN(A175)),"")</f>
        <v/>
      </c>
      <c r="K176" s="18" t="str" cm="1">
        <f t="array" ref="K176">IFERROR(INDEX(_xlfn.TEXTSPLIT(_xlfn.XLOOKUP($A176&amp;$B176&amp;$C176,盘货信息!$A:$A&amp;盘货信息!$B:$B&amp;盘货信息!$C:$C,盘货信息!$S:$S),CHAR(10),,TRUE),1,COLUMN(B175)),"")</f>
        <v/>
      </c>
      <c r="L176" s="18" t="str" cm="1">
        <f t="array" ref="L176">IFERROR(INDEX(_xlfn.TEXTSPLIT(_xlfn.XLOOKUP($A176&amp;$B176&amp;$C176,盘货信息!$A:$A&amp;盘货信息!$B:$B&amp;盘货信息!$C:$C,盘货信息!$S:$S),CHAR(10),,TRUE),1,COLUMN(C175)),"")</f>
        <v/>
      </c>
      <c r="M176" s="18" t="str" cm="1">
        <f t="array" ref="M176">IFERROR(INDEX(_xlfn.TEXTSPLIT(_xlfn.XLOOKUP($A176&amp;$B176&amp;$C176,盘货信息!$A:$A&amp;盘货信息!$B:$B&amp;盘货信息!$C:$C,盘货信息!$S:$S),CHAR(10),,TRUE),1,COLUMN(D175)),"")</f>
        <v/>
      </c>
      <c r="N176" s="18" t="str" cm="1">
        <f t="array" ref="N176">IFERROR(INDEX(_xlfn.TEXTSPLIT(_xlfn.XLOOKUP($A176&amp;$B176&amp;$C176,盘货信息!$A:$A&amp;盘货信息!$B:$B&amp;盘货信息!$C:$C,盘货信息!$S:$S),CHAR(10),,TRUE),1,COLUMN(E175)),"")</f>
        <v/>
      </c>
    </row>
    <row r="177" customHeight="1" spans="1:14">
      <c r="A177" s="17" t="str">
        <f>IF(盘货信息!A177="","",盘货信息!A177)</f>
        <v/>
      </c>
      <c r="B177" s="17" t="str">
        <f>IF(盘货信息!B177="","",盘货信息!B177)</f>
        <v/>
      </c>
      <c r="C177" s="18" t="str">
        <f>IF(盘货信息!C177="","",盘货信息!C177)</f>
        <v/>
      </c>
      <c r="D177" s="18" t="str">
        <f t="shared" si="2"/>
        <v/>
      </c>
      <c r="E177" s="18" t="str">
        <f>_xlfn.LET(_xlpm.A,IF(ISNUMBER(SEARCH("晒单",J177)),"【晒单】"&amp;MID(J177,SEARCH("晒单",J177)+LEN("晒单"),LEN(J177))&amp;"（需晒单后联系客服登记）",IF(ISNUMBER(SEARCH("包修",J177)),"【购机】"&amp;MID(J177,SEARCH("购机",J177)+LEN("购机"),LEN(J177)),IF(ISNUMBER(SEARCH("叠放支架",J177)),"【赠品】"&amp;MID(J177,SEARCH("购机",J177)+LEN("购机"),LEN(J177)),IF(ISNUMBER(SEARCH("秀图",J177)),"【秀图】"&amp;MID(J177,SEARCH("秀图",J177)+LEN("秀图"),LEN(J177)),"")))),IFERROR(LEFT(_xlpm.A,FIND("【",_xlpm.A,FIND("】",_xlpm.A)+1)-1)&amp;MID(_xlpm.A,FIND("】",_xlpm.A,FIND("】",_xlpm.A)+1)+1,LEN(_xlpm.A)),_xlpm.A))</f>
        <v/>
      </c>
      <c r="F177" s="18" t="str">
        <f>_xlfn.LET(_xlpm.A,IF(ISNUMBER(SEARCH("晒单",K177)),"【晒单】"&amp;MID(K177,SEARCH("晒单",K177)+LEN("晒单"),LEN(K177))&amp;"（需晒单后联系客服登记）",IF(ISNUMBER(SEARCH("包修",K177)),"【购机】"&amp;MID(K177,SEARCH("购机",K177)+LEN("购机"),LEN(K177)),IF(ISNUMBER(SEARCH("叠放支架",K177)),"【赠品】"&amp;MID(K177,SEARCH("购机",K177)+LEN("购机"),LEN(K177)),IF(ISNUMBER(SEARCH("秀图",K177)),"【秀图】"&amp;MID(K177,SEARCH("秀图",K177)+LEN("秀图"),LEN(K177)),"")))),IFERROR(LEFT(_xlpm.A,FIND("【",_xlpm.A,FIND("】",_xlpm.A)+1)-1)&amp;MID(_xlpm.A,FIND("】",_xlpm.A,FIND("】",_xlpm.A)+1)+1,LEN(_xlpm.A)),_xlpm.A))</f>
        <v/>
      </c>
      <c r="G177" s="18" t="str">
        <f>_xlfn.LET(_xlpm.A,IF(ISNUMBER(SEARCH("晒单",L177)),"【晒单】"&amp;MID(L177,SEARCH("晒单",L177)+LEN("晒单"),LEN(L177))&amp;"（需晒单后联系客服登记）",IF(ISNUMBER(SEARCH("包修",L177)),"【购机】"&amp;MID(L177,SEARCH("购机",L177)+LEN("购机"),LEN(L177)),IF(ISNUMBER(SEARCH("叠放支架",L177)),"【赠品】"&amp;MID(L177,SEARCH("购机",L177)+LEN("购机"),LEN(L177)),IF(ISNUMBER(SEARCH("秀图",L177)),"【秀图】"&amp;MID(L177,SEARCH("秀图",L177)+LEN("秀图"),LEN(L177)),"")))),IFERROR(LEFT(_xlpm.A,FIND("【",_xlpm.A,FIND("】",_xlpm.A)+1)-1)&amp;MID(_xlpm.A,FIND("】",_xlpm.A,FIND("】",_xlpm.A)+1)+1,LEN(_xlpm.A)),_xlpm.A))</f>
        <v/>
      </c>
      <c r="H177" s="18" t="str">
        <f>_xlfn.LET(_xlpm.A,IF(ISNUMBER(SEARCH("晒单",M177)),"【晒单】"&amp;MID(M177,SEARCH("晒单",M177)+LEN("晒单"),LEN(M177))&amp;"（需晒单后联系客服登记）",IF(ISNUMBER(SEARCH("包修",M177)),"【购机】"&amp;MID(M177,SEARCH("购机",M177)+LEN("购机"),LEN(M177)),IF(ISNUMBER(SEARCH("叠放支架",M177)),"【赠品】"&amp;MID(M177,SEARCH("购机",M177)+LEN("购机"),LEN(M177)),IF(ISNUMBER(SEARCH("秀图",M177)),"【秀图】"&amp;MID(M177,SEARCH("秀图",M177)+LEN("秀图"),LEN(M177)),"")))),IFERROR(LEFT(_xlpm.A,FIND("【",_xlpm.A,FIND("】",_xlpm.A)+1)-1)&amp;MID(_xlpm.A,FIND("】",_xlpm.A,FIND("】",_xlpm.A)+1)+1,LEN(_xlpm.A)),_xlpm.A))</f>
        <v/>
      </c>
      <c r="I177" s="18" t="str">
        <f>_xlfn.LET(_xlpm.A,IF(ISNUMBER(SEARCH("晒单",N177)),"【晒单】"&amp;MID(N177,SEARCH("晒单",N177)+LEN("晒单"),LEN(N177))&amp;"（需晒单后联系客服登记）",IF(ISNUMBER(SEARCH("包修",N177)),"【购机】"&amp;MID(N177,SEARCH("购机",N177)+LEN("购机"),LEN(N177)),IF(ISNUMBER(SEARCH("叠放支架",N177)),"【赠品】"&amp;MID(N177,SEARCH("购机",N177)+LEN("购机"),LEN(N177)),IF(ISNUMBER(SEARCH("秀图",N177)),"【秀图】"&amp;MID(N177,SEARCH("秀图",N177)+LEN("秀图"),LEN(N177)),"")))),IFERROR(LEFT(_xlpm.A,FIND("【",_xlpm.A,FIND("】",_xlpm.A)+1)-1)&amp;MID(_xlpm.A,FIND("】",_xlpm.A,FIND("】",_xlpm.A)+1)+1,LEN(_xlpm.A)),_xlpm.A))</f>
        <v/>
      </c>
      <c r="J177" s="18" t="str" cm="1">
        <f t="array" ref="J177">IFERROR(INDEX(_xlfn.TEXTSPLIT(_xlfn.XLOOKUP($A177&amp;$B177&amp;$C177,盘货信息!$A:$A&amp;盘货信息!$B:$B&amp;盘货信息!$C:$C,盘货信息!$S:$S),CHAR(10),,TRUE),1,COLUMN(A176)),"")</f>
        <v/>
      </c>
      <c r="K177" s="18" t="str" cm="1">
        <f t="array" ref="K177">IFERROR(INDEX(_xlfn.TEXTSPLIT(_xlfn.XLOOKUP($A177&amp;$B177&amp;$C177,盘货信息!$A:$A&amp;盘货信息!$B:$B&amp;盘货信息!$C:$C,盘货信息!$S:$S),CHAR(10),,TRUE),1,COLUMN(B176)),"")</f>
        <v/>
      </c>
      <c r="L177" s="18" t="str" cm="1">
        <f t="array" ref="L177">IFERROR(INDEX(_xlfn.TEXTSPLIT(_xlfn.XLOOKUP($A177&amp;$B177&amp;$C177,盘货信息!$A:$A&amp;盘货信息!$B:$B&amp;盘货信息!$C:$C,盘货信息!$S:$S),CHAR(10),,TRUE),1,COLUMN(C176)),"")</f>
        <v/>
      </c>
      <c r="M177" s="18" t="str" cm="1">
        <f t="array" ref="M177">IFERROR(INDEX(_xlfn.TEXTSPLIT(_xlfn.XLOOKUP($A177&amp;$B177&amp;$C177,盘货信息!$A:$A&amp;盘货信息!$B:$B&amp;盘货信息!$C:$C,盘货信息!$S:$S),CHAR(10),,TRUE),1,COLUMN(D176)),"")</f>
        <v/>
      </c>
      <c r="N177" s="18" t="str" cm="1">
        <f t="array" ref="N177">IFERROR(INDEX(_xlfn.TEXTSPLIT(_xlfn.XLOOKUP($A177&amp;$B177&amp;$C177,盘货信息!$A:$A&amp;盘货信息!$B:$B&amp;盘货信息!$C:$C,盘货信息!$S:$S),CHAR(10),,TRUE),1,COLUMN(E176)),"")</f>
        <v/>
      </c>
    </row>
    <row r="178" customHeight="1" spans="1:14">
      <c r="A178" s="17" t="str">
        <f>IF(盘货信息!A178="","",盘货信息!A178)</f>
        <v/>
      </c>
      <c r="B178" s="17" t="str">
        <f>IF(盘货信息!B178="","",盘货信息!B178)</f>
        <v/>
      </c>
      <c r="C178" s="18" t="str">
        <f>IF(盘货信息!C178="","",盘货信息!C178)</f>
        <v/>
      </c>
      <c r="D178" s="18" t="str">
        <f t="shared" si="2"/>
        <v/>
      </c>
      <c r="E178" s="18" t="str">
        <f>_xlfn.LET(_xlpm.A,IF(ISNUMBER(SEARCH("晒单",J178)),"【晒单】"&amp;MID(J178,SEARCH("晒单",J178)+LEN("晒单"),LEN(J178))&amp;"（需晒单后联系客服登记）",IF(ISNUMBER(SEARCH("包修",J178)),"【购机】"&amp;MID(J178,SEARCH("购机",J178)+LEN("购机"),LEN(J178)),IF(ISNUMBER(SEARCH("叠放支架",J178)),"【赠品】"&amp;MID(J178,SEARCH("购机",J178)+LEN("购机"),LEN(J178)),IF(ISNUMBER(SEARCH("秀图",J178)),"【秀图】"&amp;MID(J178,SEARCH("秀图",J178)+LEN("秀图"),LEN(J178)),"")))),IFERROR(LEFT(_xlpm.A,FIND("【",_xlpm.A,FIND("】",_xlpm.A)+1)-1)&amp;MID(_xlpm.A,FIND("】",_xlpm.A,FIND("】",_xlpm.A)+1)+1,LEN(_xlpm.A)),_xlpm.A))</f>
        <v/>
      </c>
      <c r="F178" s="18" t="str">
        <f>_xlfn.LET(_xlpm.A,IF(ISNUMBER(SEARCH("晒单",K178)),"【晒单】"&amp;MID(K178,SEARCH("晒单",K178)+LEN("晒单"),LEN(K178))&amp;"（需晒单后联系客服登记）",IF(ISNUMBER(SEARCH("包修",K178)),"【购机】"&amp;MID(K178,SEARCH("购机",K178)+LEN("购机"),LEN(K178)),IF(ISNUMBER(SEARCH("叠放支架",K178)),"【赠品】"&amp;MID(K178,SEARCH("购机",K178)+LEN("购机"),LEN(K178)),IF(ISNUMBER(SEARCH("秀图",K178)),"【秀图】"&amp;MID(K178,SEARCH("秀图",K178)+LEN("秀图"),LEN(K178)),"")))),IFERROR(LEFT(_xlpm.A,FIND("【",_xlpm.A,FIND("】",_xlpm.A)+1)-1)&amp;MID(_xlpm.A,FIND("】",_xlpm.A,FIND("】",_xlpm.A)+1)+1,LEN(_xlpm.A)),_xlpm.A))</f>
        <v/>
      </c>
      <c r="G178" s="18" t="str">
        <f>_xlfn.LET(_xlpm.A,IF(ISNUMBER(SEARCH("晒单",L178)),"【晒单】"&amp;MID(L178,SEARCH("晒单",L178)+LEN("晒单"),LEN(L178))&amp;"（需晒单后联系客服登记）",IF(ISNUMBER(SEARCH("包修",L178)),"【购机】"&amp;MID(L178,SEARCH("购机",L178)+LEN("购机"),LEN(L178)),IF(ISNUMBER(SEARCH("叠放支架",L178)),"【赠品】"&amp;MID(L178,SEARCH("购机",L178)+LEN("购机"),LEN(L178)),IF(ISNUMBER(SEARCH("秀图",L178)),"【秀图】"&amp;MID(L178,SEARCH("秀图",L178)+LEN("秀图"),LEN(L178)),"")))),IFERROR(LEFT(_xlpm.A,FIND("【",_xlpm.A,FIND("】",_xlpm.A)+1)-1)&amp;MID(_xlpm.A,FIND("】",_xlpm.A,FIND("】",_xlpm.A)+1)+1,LEN(_xlpm.A)),_xlpm.A))</f>
        <v/>
      </c>
      <c r="H178" s="18" t="str">
        <f>_xlfn.LET(_xlpm.A,IF(ISNUMBER(SEARCH("晒单",M178)),"【晒单】"&amp;MID(M178,SEARCH("晒单",M178)+LEN("晒单"),LEN(M178))&amp;"（需晒单后联系客服登记）",IF(ISNUMBER(SEARCH("包修",M178)),"【购机】"&amp;MID(M178,SEARCH("购机",M178)+LEN("购机"),LEN(M178)),IF(ISNUMBER(SEARCH("叠放支架",M178)),"【赠品】"&amp;MID(M178,SEARCH("购机",M178)+LEN("购机"),LEN(M178)),IF(ISNUMBER(SEARCH("秀图",M178)),"【秀图】"&amp;MID(M178,SEARCH("秀图",M178)+LEN("秀图"),LEN(M178)),"")))),IFERROR(LEFT(_xlpm.A,FIND("【",_xlpm.A,FIND("】",_xlpm.A)+1)-1)&amp;MID(_xlpm.A,FIND("】",_xlpm.A,FIND("】",_xlpm.A)+1)+1,LEN(_xlpm.A)),_xlpm.A))</f>
        <v/>
      </c>
      <c r="I178" s="18" t="str">
        <f>_xlfn.LET(_xlpm.A,IF(ISNUMBER(SEARCH("晒单",N178)),"【晒单】"&amp;MID(N178,SEARCH("晒单",N178)+LEN("晒单"),LEN(N178))&amp;"（需晒单后联系客服登记）",IF(ISNUMBER(SEARCH("包修",N178)),"【购机】"&amp;MID(N178,SEARCH("购机",N178)+LEN("购机"),LEN(N178)),IF(ISNUMBER(SEARCH("叠放支架",N178)),"【赠品】"&amp;MID(N178,SEARCH("购机",N178)+LEN("购机"),LEN(N178)),IF(ISNUMBER(SEARCH("秀图",N178)),"【秀图】"&amp;MID(N178,SEARCH("秀图",N178)+LEN("秀图"),LEN(N178)),"")))),IFERROR(LEFT(_xlpm.A,FIND("【",_xlpm.A,FIND("】",_xlpm.A)+1)-1)&amp;MID(_xlpm.A,FIND("】",_xlpm.A,FIND("】",_xlpm.A)+1)+1,LEN(_xlpm.A)),_xlpm.A))</f>
        <v/>
      </c>
      <c r="J178" s="18" t="str" cm="1">
        <f t="array" ref="J178">IFERROR(INDEX(_xlfn.TEXTSPLIT(_xlfn.XLOOKUP($A178&amp;$B178&amp;$C178,盘货信息!$A:$A&amp;盘货信息!$B:$B&amp;盘货信息!$C:$C,盘货信息!$S:$S),CHAR(10),,TRUE),1,COLUMN(A177)),"")</f>
        <v/>
      </c>
      <c r="K178" s="18" t="str" cm="1">
        <f t="array" ref="K178">IFERROR(INDEX(_xlfn.TEXTSPLIT(_xlfn.XLOOKUP($A178&amp;$B178&amp;$C178,盘货信息!$A:$A&amp;盘货信息!$B:$B&amp;盘货信息!$C:$C,盘货信息!$S:$S),CHAR(10),,TRUE),1,COLUMN(B177)),"")</f>
        <v/>
      </c>
      <c r="L178" s="18" t="str" cm="1">
        <f t="array" ref="L178">IFERROR(INDEX(_xlfn.TEXTSPLIT(_xlfn.XLOOKUP($A178&amp;$B178&amp;$C178,盘货信息!$A:$A&amp;盘货信息!$B:$B&amp;盘货信息!$C:$C,盘货信息!$S:$S),CHAR(10),,TRUE),1,COLUMN(C177)),"")</f>
        <v/>
      </c>
      <c r="M178" s="18" t="str" cm="1">
        <f t="array" ref="M178">IFERROR(INDEX(_xlfn.TEXTSPLIT(_xlfn.XLOOKUP($A178&amp;$B178&amp;$C178,盘货信息!$A:$A&amp;盘货信息!$B:$B&amp;盘货信息!$C:$C,盘货信息!$S:$S),CHAR(10),,TRUE),1,COLUMN(D177)),"")</f>
        <v/>
      </c>
      <c r="N178" s="18" t="str" cm="1">
        <f t="array" ref="N178">IFERROR(INDEX(_xlfn.TEXTSPLIT(_xlfn.XLOOKUP($A178&amp;$B178&amp;$C178,盘货信息!$A:$A&amp;盘货信息!$B:$B&amp;盘货信息!$C:$C,盘货信息!$S:$S),CHAR(10),,TRUE),1,COLUMN(E177)),"")</f>
        <v/>
      </c>
    </row>
    <row r="179" customHeight="1" spans="1:14">
      <c r="A179" s="17" t="str">
        <f>IF(盘货信息!A179="","",盘货信息!A179)</f>
        <v/>
      </c>
      <c r="B179" s="17" t="str">
        <f>IF(盘货信息!B179="","",盘货信息!B179)</f>
        <v/>
      </c>
      <c r="C179" s="18" t="str">
        <f>IF(盘货信息!C179="","",盘货信息!C179)</f>
        <v/>
      </c>
      <c r="D179" s="18" t="str">
        <f t="shared" si="2"/>
        <v/>
      </c>
      <c r="E179" s="18" t="str">
        <f>_xlfn.LET(_xlpm.A,IF(ISNUMBER(SEARCH("晒单",J179)),"【晒单】"&amp;MID(J179,SEARCH("晒单",J179)+LEN("晒单"),LEN(J179))&amp;"（需晒单后联系客服登记）",IF(ISNUMBER(SEARCH("包修",J179)),"【购机】"&amp;MID(J179,SEARCH("购机",J179)+LEN("购机"),LEN(J179)),IF(ISNUMBER(SEARCH("叠放支架",J179)),"【赠品】"&amp;MID(J179,SEARCH("购机",J179)+LEN("购机"),LEN(J179)),IF(ISNUMBER(SEARCH("秀图",J179)),"【秀图】"&amp;MID(J179,SEARCH("秀图",J179)+LEN("秀图"),LEN(J179)),"")))),IFERROR(LEFT(_xlpm.A,FIND("【",_xlpm.A,FIND("】",_xlpm.A)+1)-1)&amp;MID(_xlpm.A,FIND("】",_xlpm.A,FIND("】",_xlpm.A)+1)+1,LEN(_xlpm.A)),_xlpm.A))</f>
        <v/>
      </c>
      <c r="F179" s="18" t="str">
        <f>_xlfn.LET(_xlpm.A,IF(ISNUMBER(SEARCH("晒单",K179)),"【晒单】"&amp;MID(K179,SEARCH("晒单",K179)+LEN("晒单"),LEN(K179))&amp;"（需晒单后联系客服登记）",IF(ISNUMBER(SEARCH("包修",K179)),"【购机】"&amp;MID(K179,SEARCH("购机",K179)+LEN("购机"),LEN(K179)),IF(ISNUMBER(SEARCH("叠放支架",K179)),"【赠品】"&amp;MID(K179,SEARCH("购机",K179)+LEN("购机"),LEN(K179)),IF(ISNUMBER(SEARCH("秀图",K179)),"【秀图】"&amp;MID(K179,SEARCH("秀图",K179)+LEN("秀图"),LEN(K179)),"")))),IFERROR(LEFT(_xlpm.A,FIND("【",_xlpm.A,FIND("】",_xlpm.A)+1)-1)&amp;MID(_xlpm.A,FIND("】",_xlpm.A,FIND("】",_xlpm.A)+1)+1,LEN(_xlpm.A)),_xlpm.A))</f>
        <v/>
      </c>
      <c r="G179" s="18" t="str">
        <f>_xlfn.LET(_xlpm.A,IF(ISNUMBER(SEARCH("晒单",L179)),"【晒单】"&amp;MID(L179,SEARCH("晒单",L179)+LEN("晒单"),LEN(L179))&amp;"（需晒单后联系客服登记）",IF(ISNUMBER(SEARCH("包修",L179)),"【购机】"&amp;MID(L179,SEARCH("购机",L179)+LEN("购机"),LEN(L179)),IF(ISNUMBER(SEARCH("叠放支架",L179)),"【赠品】"&amp;MID(L179,SEARCH("购机",L179)+LEN("购机"),LEN(L179)),IF(ISNUMBER(SEARCH("秀图",L179)),"【秀图】"&amp;MID(L179,SEARCH("秀图",L179)+LEN("秀图"),LEN(L179)),"")))),IFERROR(LEFT(_xlpm.A,FIND("【",_xlpm.A,FIND("】",_xlpm.A)+1)-1)&amp;MID(_xlpm.A,FIND("】",_xlpm.A,FIND("】",_xlpm.A)+1)+1,LEN(_xlpm.A)),_xlpm.A))</f>
        <v/>
      </c>
      <c r="H179" s="18" t="str">
        <f>_xlfn.LET(_xlpm.A,IF(ISNUMBER(SEARCH("晒单",M179)),"【晒单】"&amp;MID(M179,SEARCH("晒单",M179)+LEN("晒单"),LEN(M179))&amp;"（需晒单后联系客服登记）",IF(ISNUMBER(SEARCH("包修",M179)),"【购机】"&amp;MID(M179,SEARCH("购机",M179)+LEN("购机"),LEN(M179)),IF(ISNUMBER(SEARCH("叠放支架",M179)),"【赠品】"&amp;MID(M179,SEARCH("购机",M179)+LEN("购机"),LEN(M179)),IF(ISNUMBER(SEARCH("秀图",M179)),"【秀图】"&amp;MID(M179,SEARCH("秀图",M179)+LEN("秀图"),LEN(M179)),"")))),IFERROR(LEFT(_xlpm.A,FIND("【",_xlpm.A,FIND("】",_xlpm.A)+1)-1)&amp;MID(_xlpm.A,FIND("】",_xlpm.A,FIND("】",_xlpm.A)+1)+1,LEN(_xlpm.A)),_xlpm.A))</f>
        <v/>
      </c>
      <c r="I179" s="18" t="str">
        <f>_xlfn.LET(_xlpm.A,IF(ISNUMBER(SEARCH("晒单",N179)),"【晒单】"&amp;MID(N179,SEARCH("晒单",N179)+LEN("晒单"),LEN(N179))&amp;"（需晒单后联系客服登记）",IF(ISNUMBER(SEARCH("包修",N179)),"【购机】"&amp;MID(N179,SEARCH("购机",N179)+LEN("购机"),LEN(N179)),IF(ISNUMBER(SEARCH("叠放支架",N179)),"【赠品】"&amp;MID(N179,SEARCH("购机",N179)+LEN("购机"),LEN(N179)),IF(ISNUMBER(SEARCH("秀图",N179)),"【秀图】"&amp;MID(N179,SEARCH("秀图",N179)+LEN("秀图"),LEN(N179)),"")))),IFERROR(LEFT(_xlpm.A,FIND("【",_xlpm.A,FIND("】",_xlpm.A)+1)-1)&amp;MID(_xlpm.A,FIND("】",_xlpm.A,FIND("】",_xlpm.A)+1)+1,LEN(_xlpm.A)),_xlpm.A))</f>
        <v/>
      </c>
      <c r="J179" s="18" t="str" cm="1">
        <f t="array" ref="J179">IFERROR(INDEX(_xlfn.TEXTSPLIT(_xlfn.XLOOKUP($A179&amp;$B179&amp;$C179,盘货信息!$A:$A&amp;盘货信息!$B:$B&amp;盘货信息!$C:$C,盘货信息!$S:$S),CHAR(10),,TRUE),1,COLUMN(A178)),"")</f>
        <v/>
      </c>
      <c r="K179" s="18" t="str" cm="1">
        <f t="array" ref="K179">IFERROR(INDEX(_xlfn.TEXTSPLIT(_xlfn.XLOOKUP($A179&amp;$B179&amp;$C179,盘货信息!$A:$A&amp;盘货信息!$B:$B&amp;盘货信息!$C:$C,盘货信息!$S:$S),CHAR(10),,TRUE),1,COLUMN(B178)),"")</f>
        <v/>
      </c>
      <c r="L179" s="18" t="str" cm="1">
        <f t="array" ref="L179">IFERROR(INDEX(_xlfn.TEXTSPLIT(_xlfn.XLOOKUP($A179&amp;$B179&amp;$C179,盘货信息!$A:$A&amp;盘货信息!$B:$B&amp;盘货信息!$C:$C,盘货信息!$S:$S),CHAR(10),,TRUE),1,COLUMN(C178)),"")</f>
        <v/>
      </c>
      <c r="M179" s="18" t="str" cm="1">
        <f t="array" ref="M179">IFERROR(INDEX(_xlfn.TEXTSPLIT(_xlfn.XLOOKUP($A179&amp;$B179&amp;$C179,盘货信息!$A:$A&amp;盘货信息!$B:$B&amp;盘货信息!$C:$C,盘货信息!$S:$S),CHAR(10),,TRUE),1,COLUMN(D178)),"")</f>
        <v/>
      </c>
      <c r="N179" s="18" t="str" cm="1">
        <f t="array" ref="N179">IFERROR(INDEX(_xlfn.TEXTSPLIT(_xlfn.XLOOKUP($A179&amp;$B179&amp;$C179,盘货信息!$A:$A&amp;盘货信息!$B:$B&amp;盘货信息!$C:$C,盘货信息!$S:$S),CHAR(10),,TRUE),1,COLUMN(E178)),"")</f>
        <v/>
      </c>
    </row>
    <row r="180" customHeight="1" spans="1:14">
      <c r="A180" s="17" t="str">
        <f>IF(盘货信息!A180="","",盘货信息!A180)</f>
        <v/>
      </c>
      <c r="B180" s="17" t="str">
        <f>IF(盘货信息!B180="","",盘货信息!B180)</f>
        <v/>
      </c>
      <c r="C180" s="18" t="str">
        <f>IF(盘货信息!C180="","",盘货信息!C180)</f>
        <v/>
      </c>
      <c r="D180" s="18" t="str">
        <f t="shared" si="2"/>
        <v/>
      </c>
      <c r="E180" s="18" t="str">
        <f>_xlfn.LET(_xlpm.A,IF(ISNUMBER(SEARCH("晒单",J180)),"【晒单】"&amp;MID(J180,SEARCH("晒单",J180)+LEN("晒单"),LEN(J180))&amp;"（需晒单后联系客服登记）",IF(ISNUMBER(SEARCH("包修",J180)),"【购机】"&amp;MID(J180,SEARCH("购机",J180)+LEN("购机"),LEN(J180)),IF(ISNUMBER(SEARCH("叠放支架",J180)),"【赠品】"&amp;MID(J180,SEARCH("购机",J180)+LEN("购机"),LEN(J180)),IF(ISNUMBER(SEARCH("秀图",J180)),"【秀图】"&amp;MID(J180,SEARCH("秀图",J180)+LEN("秀图"),LEN(J180)),"")))),IFERROR(LEFT(_xlpm.A,FIND("【",_xlpm.A,FIND("】",_xlpm.A)+1)-1)&amp;MID(_xlpm.A,FIND("】",_xlpm.A,FIND("】",_xlpm.A)+1)+1,LEN(_xlpm.A)),_xlpm.A))</f>
        <v/>
      </c>
      <c r="F180" s="18" t="str">
        <f>_xlfn.LET(_xlpm.A,IF(ISNUMBER(SEARCH("晒单",K180)),"【晒单】"&amp;MID(K180,SEARCH("晒单",K180)+LEN("晒单"),LEN(K180))&amp;"（需晒单后联系客服登记）",IF(ISNUMBER(SEARCH("包修",K180)),"【购机】"&amp;MID(K180,SEARCH("购机",K180)+LEN("购机"),LEN(K180)),IF(ISNUMBER(SEARCH("叠放支架",K180)),"【赠品】"&amp;MID(K180,SEARCH("购机",K180)+LEN("购机"),LEN(K180)),IF(ISNUMBER(SEARCH("秀图",K180)),"【秀图】"&amp;MID(K180,SEARCH("秀图",K180)+LEN("秀图"),LEN(K180)),"")))),IFERROR(LEFT(_xlpm.A,FIND("【",_xlpm.A,FIND("】",_xlpm.A)+1)-1)&amp;MID(_xlpm.A,FIND("】",_xlpm.A,FIND("】",_xlpm.A)+1)+1,LEN(_xlpm.A)),_xlpm.A))</f>
        <v/>
      </c>
      <c r="G180" s="18" t="str">
        <f>_xlfn.LET(_xlpm.A,IF(ISNUMBER(SEARCH("晒单",L180)),"【晒单】"&amp;MID(L180,SEARCH("晒单",L180)+LEN("晒单"),LEN(L180))&amp;"（需晒单后联系客服登记）",IF(ISNUMBER(SEARCH("包修",L180)),"【购机】"&amp;MID(L180,SEARCH("购机",L180)+LEN("购机"),LEN(L180)),IF(ISNUMBER(SEARCH("叠放支架",L180)),"【赠品】"&amp;MID(L180,SEARCH("购机",L180)+LEN("购机"),LEN(L180)),IF(ISNUMBER(SEARCH("秀图",L180)),"【秀图】"&amp;MID(L180,SEARCH("秀图",L180)+LEN("秀图"),LEN(L180)),"")))),IFERROR(LEFT(_xlpm.A,FIND("【",_xlpm.A,FIND("】",_xlpm.A)+1)-1)&amp;MID(_xlpm.A,FIND("】",_xlpm.A,FIND("】",_xlpm.A)+1)+1,LEN(_xlpm.A)),_xlpm.A))</f>
        <v/>
      </c>
      <c r="H180" s="18" t="str">
        <f>_xlfn.LET(_xlpm.A,IF(ISNUMBER(SEARCH("晒单",M180)),"【晒单】"&amp;MID(M180,SEARCH("晒单",M180)+LEN("晒单"),LEN(M180))&amp;"（需晒单后联系客服登记）",IF(ISNUMBER(SEARCH("包修",M180)),"【购机】"&amp;MID(M180,SEARCH("购机",M180)+LEN("购机"),LEN(M180)),IF(ISNUMBER(SEARCH("叠放支架",M180)),"【赠品】"&amp;MID(M180,SEARCH("购机",M180)+LEN("购机"),LEN(M180)),IF(ISNUMBER(SEARCH("秀图",M180)),"【秀图】"&amp;MID(M180,SEARCH("秀图",M180)+LEN("秀图"),LEN(M180)),"")))),IFERROR(LEFT(_xlpm.A,FIND("【",_xlpm.A,FIND("】",_xlpm.A)+1)-1)&amp;MID(_xlpm.A,FIND("】",_xlpm.A,FIND("】",_xlpm.A)+1)+1,LEN(_xlpm.A)),_xlpm.A))</f>
        <v/>
      </c>
      <c r="I180" s="18" t="str">
        <f>_xlfn.LET(_xlpm.A,IF(ISNUMBER(SEARCH("晒单",N180)),"【晒单】"&amp;MID(N180,SEARCH("晒单",N180)+LEN("晒单"),LEN(N180))&amp;"（需晒单后联系客服登记）",IF(ISNUMBER(SEARCH("包修",N180)),"【购机】"&amp;MID(N180,SEARCH("购机",N180)+LEN("购机"),LEN(N180)),IF(ISNUMBER(SEARCH("叠放支架",N180)),"【赠品】"&amp;MID(N180,SEARCH("购机",N180)+LEN("购机"),LEN(N180)),IF(ISNUMBER(SEARCH("秀图",N180)),"【秀图】"&amp;MID(N180,SEARCH("秀图",N180)+LEN("秀图"),LEN(N180)),"")))),IFERROR(LEFT(_xlpm.A,FIND("【",_xlpm.A,FIND("】",_xlpm.A)+1)-1)&amp;MID(_xlpm.A,FIND("】",_xlpm.A,FIND("】",_xlpm.A)+1)+1,LEN(_xlpm.A)),_xlpm.A))</f>
        <v/>
      </c>
      <c r="J180" s="18" t="str" cm="1">
        <f t="array" ref="J180">IFERROR(INDEX(_xlfn.TEXTSPLIT(_xlfn.XLOOKUP($A180&amp;$B180&amp;$C180,盘货信息!$A:$A&amp;盘货信息!$B:$B&amp;盘货信息!$C:$C,盘货信息!$S:$S),CHAR(10),,TRUE),1,COLUMN(A179)),"")</f>
        <v/>
      </c>
      <c r="K180" s="18" t="str" cm="1">
        <f t="array" ref="K180">IFERROR(INDEX(_xlfn.TEXTSPLIT(_xlfn.XLOOKUP($A180&amp;$B180&amp;$C180,盘货信息!$A:$A&amp;盘货信息!$B:$B&amp;盘货信息!$C:$C,盘货信息!$S:$S),CHAR(10),,TRUE),1,COLUMN(B179)),"")</f>
        <v/>
      </c>
      <c r="L180" s="18" t="str" cm="1">
        <f t="array" ref="L180">IFERROR(INDEX(_xlfn.TEXTSPLIT(_xlfn.XLOOKUP($A180&amp;$B180&amp;$C180,盘货信息!$A:$A&amp;盘货信息!$B:$B&amp;盘货信息!$C:$C,盘货信息!$S:$S),CHAR(10),,TRUE),1,COLUMN(C179)),"")</f>
        <v/>
      </c>
      <c r="M180" s="18" t="str" cm="1">
        <f t="array" ref="M180">IFERROR(INDEX(_xlfn.TEXTSPLIT(_xlfn.XLOOKUP($A180&amp;$B180&amp;$C180,盘货信息!$A:$A&amp;盘货信息!$B:$B&amp;盘货信息!$C:$C,盘货信息!$S:$S),CHAR(10),,TRUE),1,COLUMN(D179)),"")</f>
        <v/>
      </c>
      <c r="N180" s="18" t="str" cm="1">
        <f t="array" ref="N180">IFERROR(INDEX(_xlfn.TEXTSPLIT(_xlfn.XLOOKUP($A180&amp;$B180&amp;$C180,盘货信息!$A:$A&amp;盘货信息!$B:$B&amp;盘货信息!$C:$C,盘货信息!$S:$S),CHAR(10),,TRUE),1,COLUMN(E179)),"")</f>
        <v/>
      </c>
    </row>
    <row r="181" customHeight="1" spans="1:14">
      <c r="A181" s="17" t="str">
        <f>IF(盘货信息!A181="","",盘货信息!A181)</f>
        <v/>
      </c>
      <c r="B181" s="17" t="str">
        <f>IF(盘货信息!B181="","",盘货信息!B181)</f>
        <v/>
      </c>
      <c r="C181" s="18" t="str">
        <f>IF(盘货信息!C181="","",盘货信息!C181)</f>
        <v/>
      </c>
      <c r="D181" s="18" t="str">
        <f t="shared" si="2"/>
        <v/>
      </c>
      <c r="E181" s="18" t="str">
        <f>_xlfn.LET(_xlpm.A,IF(ISNUMBER(SEARCH("晒单",J181)),"【晒单】"&amp;MID(J181,SEARCH("晒单",J181)+LEN("晒单"),LEN(J181))&amp;"（需晒单后联系客服登记）",IF(ISNUMBER(SEARCH("包修",J181)),"【购机】"&amp;MID(J181,SEARCH("购机",J181)+LEN("购机"),LEN(J181)),IF(ISNUMBER(SEARCH("叠放支架",J181)),"【赠品】"&amp;MID(J181,SEARCH("购机",J181)+LEN("购机"),LEN(J181)),IF(ISNUMBER(SEARCH("秀图",J181)),"【秀图】"&amp;MID(J181,SEARCH("秀图",J181)+LEN("秀图"),LEN(J181)),"")))),IFERROR(LEFT(_xlpm.A,FIND("【",_xlpm.A,FIND("】",_xlpm.A)+1)-1)&amp;MID(_xlpm.A,FIND("】",_xlpm.A,FIND("】",_xlpm.A)+1)+1,LEN(_xlpm.A)),_xlpm.A))</f>
        <v/>
      </c>
      <c r="F181" s="18" t="str">
        <f>_xlfn.LET(_xlpm.A,IF(ISNUMBER(SEARCH("晒单",K181)),"【晒单】"&amp;MID(K181,SEARCH("晒单",K181)+LEN("晒单"),LEN(K181))&amp;"（需晒单后联系客服登记）",IF(ISNUMBER(SEARCH("包修",K181)),"【购机】"&amp;MID(K181,SEARCH("购机",K181)+LEN("购机"),LEN(K181)),IF(ISNUMBER(SEARCH("叠放支架",K181)),"【赠品】"&amp;MID(K181,SEARCH("购机",K181)+LEN("购机"),LEN(K181)),IF(ISNUMBER(SEARCH("秀图",K181)),"【秀图】"&amp;MID(K181,SEARCH("秀图",K181)+LEN("秀图"),LEN(K181)),"")))),IFERROR(LEFT(_xlpm.A,FIND("【",_xlpm.A,FIND("】",_xlpm.A)+1)-1)&amp;MID(_xlpm.A,FIND("】",_xlpm.A,FIND("】",_xlpm.A)+1)+1,LEN(_xlpm.A)),_xlpm.A))</f>
        <v/>
      </c>
      <c r="G181" s="18" t="str">
        <f>_xlfn.LET(_xlpm.A,IF(ISNUMBER(SEARCH("晒单",L181)),"【晒单】"&amp;MID(L181,SEARCH("晒单",L181)+LEN("晒单"),LEN(L181))&amp;"（需晒单后联系客服登记）",IF(ISNUMBER(SEARCH("包修",L181)),"【购机】"&amp;MID(L181,SEARCH("购机",L181)+LEN("购机"),LEN(L181)),IF(ISNUMBER(SEARCH("叠放支架",L181)),"【赠品】"&amp;MID(L181,SEARCH("购机",L181)+LEN("购机"),LEN(L181)),IF(ISNUMBER(SEARCH("秀图",L181)),"【秀图】"&amp;MID(L181,SEARCH("秀图",L181)+LEN("秀图"),LEN(L181)),"")))),IFERROR(LEFT(_xlpm.A,FIND("【",_xlpm.A,FIND("】",_xlpm.A)+1)-1)&amp;MID(_xlpm.A,FIND("】",_xlpm.A,FIND("】",_xlpm.A)+1)+1,LEN(_xlpm.A)),_xlpm.A))</f>
        <v/>
      </c>
      <c r="H181" s="18" t="str">
        <f>_xlfn.LET(_xlpm.A,IF(ISNUMBER(SEARCH("晒单",M181)),"【晒单】"&amp;MID(M181,SEARCH("晒单",M181)+LEN("晒单"),LEN(M181))&amp;"（需晒单后联系客服登记）",IF(ISNUMBER(SEARCH("包修",M181)),"【购机】"&amp;MID(M181,SEARCH("购机",M181)+LEN("购机"),LEN(M181)),IF(ISNUMBER(SEARCH("叠放支架",M181)),"【赠品】"&amp;MID(M181,SEARCH("购机",M181)+LEN("购机"),LEN(M181)),IF(ISNUMBER(SEARCH("秀图",M181)),"【秀图】"&amp;MID(M181,SEARCH("秀图",M181)+LEN("秀图"),LEN(M181)),"")))),IFERROR(LEFT(_xlpm.A,FIND("【",_xlpm.A,FIND("】",_xlpm.A)+1)-1)&amp;MID(_xlpm.A,FIND("】",_xlpm.A,FIND("】",_xlpm.A)+1)+1,LEN(_xlpm.A)),_xlpm.A))</f>
        <v/>
      </c>
      <c r="I181" s="18" t="str">
        <f>_xlfn.LET(_xlpm.A,IF(ISNUMBER(SEARCH("晒单",N181)),"【晒单】"&amp;MID(N181,SEARCH("晒单",N181)+LEN("晒单"),LEN(N181))&amp;"（需晒单后联系客服登记）",IF(ISNUMBER(SEARCH("包修",N181)),"【购机】"&amp;MID(N181,SEARCH("购机",N181)+LEN("购机"),LEN(N181)),IF(ISNUMBER(SEARCH("叠放支架",N181)),"【赠品】"&amp;MID(N181,SEARCH("购机",N181)+LEN("购机"),LEN(N181)),IF(ISNUMBER(SEARCH("秀图",N181)),"【秀图】"&amp;MID(N181,SEARCH("秀图",N181)+LEN("秀图"),LEN(N181)),"")))),IFERROR(LEFT(_xlpm.A,FIND("【",_xlpm.A,FIND("】",_xlpm.A)+1)-1)&amp;MID(_xlpm.A,FIND("】",_xlpm.A,FIND("】",_xlpm.A)+1)+1,LEN(_xlpm.A)),_xlpm.A))</f>
        <v/>
      </c>
      <c r="J181" s="18" t="str" cm="1">
        <f t="array" ref="J181">IFERROR(INDEX(_xlfn.TEXTSPLIT(_xlfn.XLOOKUP($A181&amp;$B181&amp;$C181,盘货信息!$A:$A&amp;盘货信息!$B:$B&amp;盘货信息!$C:$C,盘货信息!$S:$S),CHAR(10),,TRUE),1,COLUMN(A180)),"")</f>
        <v/>
      </c>
      <c r="K181" s="18" t="str" cm="1">
        <f t="array" ref="K181">IFERROR(INDEX(_xlfn.TEXTSPLIT(_xlfn.XLOOKUP($A181&amp;$B181&amp;$C181,盘货信息!$A:$A&amp;盘货信息!$B:$B&amp;盘货信息!$C:$C,盘货信息!$S:$S),CHAR(10),,TRUE),1,COLUMN(B180)),"")</f>
        <v/>
      </c>
      <c r="L181" s="18" t="str" cm="1">
        <f t="array" ref="L181">IFERROR(INDEX(_xlfn.TEXTSPLIT(_xlfn.XLOOKUP($A181&amp;$B181&amp;$C181,盘货信息!$A:$A&amp;盘货信息!$B:$B&amp;盘货信息!$C:$C,盘货信息!$S:$S),CHAR(10),,TRUE),1,COLUMN(C180)),"")</f>
        <v/>
      </c>
      <c r="M181" s="18" t="str" cm="1">
        <f t="array" ref="M181">IFERROR(INDEX(_xlfn.TEXTSPLIT(_xlfn.XLOOKUP($A181&amp;$B181&amp;$C181,盘货信息!$A:$A&amp;盘货信息!$B:$B&amp;盘货信息!$C:$C,盘货信息!$S:$S),CHAR(10),,TRUE),1,COLUMN(D180)),"")</f>
        <v/>
      </c>
      <c r="N181" s="18" t="str" cm="1">
        <f t="array" ref="N181">IFERROR(INDEX(_xlfn.TEXTSPLIT(_xlfn.XLOOKUP($A181&amp;$B181&amp;$C181,盘货信息!$A:$A&amp;盘货信息!$B:$B&amp;盘货信息!$C:$C,盘货信息!$S:$S),CHAR(10),,TRUE),1,COLUMN(E180)),"")</f>
        <v/>
      </c>
    </row>
    <row r="182" customHeight="1" spans="1:14">
      <c r="A182" s="17" t="str">
        <f>IF(盘货信息!A182="","",盘货信息!A182)</f>
        <v/>
      </c>
      <c r="B182" s="17" t="str">
        <f>IF(盘货信息!B182="","",盘货信息!B182)</f>
        <v/>
      </c>
      <c r="C182" s="18" t="str">
        <f>IF(盘货信息!C182="","",盘货信息!C182)</f>
        <v/>
      </c>
      <c r="D182" s="18" t="str">
        <f t="shared" si="2"/>
        <v/>
      </c>
      <c r="E182" s="18" t="str">
        <f>_xlfn.LET(_xlpm.A,IF(ISNUMBER(SEARCH("晒单",J182)),"【晒单】"&amp;MID(J182,SEARCH("晒单",J182)+LEN("晒单"),LEN(J182))&amp;"（需晒单后联系客服登记）",IF(ISNUMBER(SEARCH("包修",J182)),"【购机】"&amp;MID(J182,SEARCH("购机",J182)+LEN("购机"),LEN(J182)),IF(ISNUMBER(SEARCH("叠放支架",J182)),"【赠品】"&amp;MID(J182,SEARCH("购机",J182)+LEN("购机"),LEN(J182)),IF(ISNUMBER(SEARCH("秀图",J182)),"【秀图】"&amp;MID(J182,SEARCH("秀图",J182)+LEN("秀图"),LEN(J182)),"")))),IFERROR(LEFT(_xlpm.A,FIND("【",_xlpm.A,FIND("】",_xlpm.A)+1)-1)&amp;MID(_xlpm.A,FIND("】",_xlpm.A,FIND("】",_xlpm.A)+1)+1,LEN(_xlpm.A)),_xlpm.A))</f>
        <v/>
      </c>
      <c r="F182" s="18" t="str">
        <f>_xlfn.LET(_xlpm.A,IF(ISNUMBER(SEARCH("晒单",K182)),"【晒单】"&amp;MID(K182,SEARCH("晒单",K182)+LEN("晒单"),LEN(K182))&amp;"（需晒单后联系客服登记）",IF(ISNUMBER(SEARCH("包修",K182)),"【购机】"&amp;MID(K182,SEARCH("购机",K182)+LEN("购机"),LEN(K182)),IF(ISNUMBER(SEARCH("叠放支架",K182)),"【赠品】"&amp;MID(K182,SEARCH("购机",K182)+LEN("购机"),LEN(K182)),IF(ISNUMBER(SEARCH("秀图",K182)),"【秀图】"&amp;MID(K182,SEARCH("秀图",K182)+LEN("秀图"),LEN(K182)),"")))),IFERROR(LEFT(_xlpm.A,FIND("【",_xlpm.A,FIND("】",_xlpm.A)+1)-1)&amp;MID(_xlpm.A,FIND("】",_xlpm.A,FIND("】",_xlpm.A)+1)+1,LEN(_xlpm.A)),_xlpm.A))</f>
        <v/>
      </c>
      <c r="G182" s="18" t="str">
        <f>_xlfn.LET(_xlpm.A,IF(ISNUMBER(SEARCH("晒单",L182)),"【晒单】"&amp;MID(L182,SEARCH("晒单",L182)+LEN("晒单"),LEN(L182))&amp;"（需晒单后联系客服登记）",IF(ISNUMBER(SEARCH("包修",L182)),"【购机】"&amp;MID(L182,SEARCH("购机",L182)+LEN("购机"),LEN(L182)),IF(ISNUMBER(SEARCH("叠放支架",L182)),"【赠品】"&amp;MID(L182,SEARCH("购机",L182)+LEN("购机"),LEN(L182)),IF(ISNUMBER(SEARCH("秀图",L182)),"【秀图】"&amp;MID(L182,SEARCH("秀图",L182)+LEN("秀图"),LEN(L182)),"")))),IFERROR(LEFT(_xlpm.A,FIND("【",_xlpm.A,FIND("】",_xlpm.A)+1)-1)&amp;MID(_xlpm.A,FIND("】",_xlpm.A,FIND("】",_xlpm.A)+1)+1,LEN(_xlpm.A)),_xlpm.A))</f>
        <v/>
      </c>
      <c r="H182" s="18" t="str">
        <f>_xlfn.LET(_xlpm.A,IF(ISNUMBER(SEARCH("晒单",M182)),"【晒单】"&amp;MID(M182,SEARCH("晒单",M182)+LEN("晒单"),LEN(M182))&amp;"（需晒单后联系客服登记）",IF(ISNUMBER(SEARCH("包修",M182)),"【购机】"&amp;MID(M182,SEARCH("购机",M182)+LEN("购机"),LEN(M182)),IF(ISNUMBER(SEARCH("叠放支架",M182)),"【赠品】"&amp;MID(M182,SEARCH("购机",M182)+LEN("购机"),LEN(M182)),IF(ISNUMBER(SEARCH("秀图",M182)),"【秀图】"&amp;MID(M182,SEARCH("秀图",M182)+LEN("秀图"),LEN(M182)),"")))),IFERROR(LEFT(_xlpm.A,FIND("【",_xlpm.A,FIND("】",_xlpm.A)+1)-1)&amp;MID(_xlpm.A,FIND("】",_xlpm.A,FIND("】",_xlpm.A)+1)+1,LEN(_xlpm.A)),_xlpm.A))</f>
        <v/>
      </c>
      <c r="I182" s="18" t="str">
        <f>_xlfn.LET(_xlpm.A,IF(ISNUMBER(SEARCH("晒单",N182)),"【晒单】"&amp;MID(N182,SEARCH("晒单",N182)+LEN("晒单"),LEN(N182))&amp;"（需晒单后联系客服登记）",IF(ISNUMBER(SEARCH("包修",N182)),"【购机】"&amp;MID(N182,SEARCH("购机",N182)+LEN("购机"),LEN(N182)),IF(ISNUMBER(SEARCH("叠放支架",N182)),"【赠品】"&amp;MID(N182,SEARCH("购机",N182)+LEN("购机"),LEN(N182)),IF(ISNUMBER(SEARCH("秀图",N182)),"【秀图】"&amp;MID(N182,SEARCH("秀图",N182)+LEN("秀图"),LEN(N182)),"")))),IFERROR(LEFT(_xlpm.A,FIND("【",_xlpm.A,FIND("】",_xlpm.A)+1)-1)&amp;MID(_xlpm.A,FIND("】",_xlpm.A,FIND("】",_xlpm.A)+1)+1,LEN(_xlpm.A)),_xlpm.A))</f>
        <v/>
      </c>
      <c r="J182" s="18" t="str" cm="1">
        <f t="array" ref="J182">IFERROR(INDEX(_xlfn.TEXTSPLIT(_xlfn.XLOOKUP($A182&amp;$B182&amp;$C182,盘货信息!$A:$A&amp;盘货信息!$B:$B&amp;盘货信息!$C:$C,盘货信息!$S:$S),CHAR(10),,TRUE),1,COLUMN(A181)),"")</f>
        <v/>
      </c>
      <c r="K182" s="18" t="str" cm="1">
        <f t="array" ref="K182">IFERROR(INDEX(_xlfn.TEXTSPLIT(_xlfn.XLOOKUP($A182&amp;$B182&amp;$C182,盘货信息!$A:$A&amp;盘货信息!$B:$B&amp;盘货信息!$C:$C,盘货信息!$S:$S),CHAR(10),,TRUE),1,COLUMN(B181)),"")</f>
        <v/>
      </c>
      <c r="L182" s="18" t="str" cm="1">
        <f t="array" ref="L182">IFERROR(INDEX(_xlfn.TEXTSPLIT(_xlfn.XLOOKUP($A182&amp;$B182&amp;$C182,盘货信息!$A:$A&amp;盘货信息!$B:$B&amp;盘货信息!$C:$C,盘货信息!$S:$S),CHAR(10),,TRUE),1,COLUMN(C181)),"")</f>
        <v/>
      </c>
      <c r="M182" s="18" t="str" cm="1">
        <f t="array" ref="M182">IFERROR(INDEX(_xlfn.TEXTSPLIT(_xlfn.XLOOKUP($A182&amp;$B182&amp;$C182,盘货信息!$A:$A&amp;盘货信息!$B:$B&amp;盘货信息!$C:$C,盘货信息!$S:$S),CHAR(10),,TRUE),1,COLUMN(D181)),"")</f>
        <v/>
      </c>
      <c r="N182" s="18" t="str" cm="1">
        <f t="array" ref="N182">IFERROR(INDEX(_xlfn.TEXTSPLIT(_xlfn.XLOOKUP($A182&amp;$B182&amp;$C182,盘货信息!$A:$A&amp;盘货信息!$B:$B&amp;盘货信息!$C:$C,盘货信息!$S:$S),CHAR(10),,TRUE),1,COLUMN(E181)),"")</f>
        <v/>
      </c>
    </row>
    <row r="183" customHeight="1" spans="1:14">
      <c r="A183" s="17" t="str">
        <f>IF(盘货信息!A183="","",盘货信息!A183)</f>
        <v/>
      </c>
      <c r="B183" s="17" t="str">
        <f>IF(盘货信息!B183="","",盘货信息!B183)</f>
        <v/>
      </c>
      <c r="C183" s="18" t="str">
        <f>IF(盘货信息!C183="","",盘货信息!C183)</f>
        <v/>
      </c>
      <c r="D183" s="18" t="str">
        <f t="shared" si="2"/>
        <v/>
      </c>
      <c r="E183" s="18" t="str">
        <f>_xlfn.LET(_xlpm.A,IF(ISNUMBER(SEARCH("晒单",J183)),"【晒单】"&amp;MID(J183,SEARCH("晒单",J183)+LEN("晒单"),LEN(J183))&amp;"（需晒单后联系客服登记）",IF(ISNUMBER(SEARCH("包修",J183)),"【购机】"&amp;MID(J183,SEARCH("购机",J183)+LEN("购机"),LEN(J183)),IF(ISNUMBER(SEARCH("叠放支架",J183)),"【赠品】"&amp;MID(J183,SEARCH("购机",J183)+LEN("购机"),LEN(J183)),IF(ISNUMBER(SEARCH("秀图",J183)),"【秀图】"&amp;MID(J183,SEARCH("秀图",J183)+LEN("秀图"),LEN(J183)),"")))),IFERROR(LEFT(_xlpm.A,FIND("【",_xlpm.A,FIND("】",_xlpm.A)+1)-1)&amp;MID(_xlpm.A,FIND("】",_xlpm.A,FIND("】",_xlpm.A)+1)+1,LEN(_xlpm.A)),_xlpm.A))</f>
        <v/>
      </c>
      <c r="F183" s="18" t="str">
        <f>_xlfn.LET(_xlpm.A,IF(ISNUMBER(SEARCH("晒单",K183)),"【晒单】"&amp;MID(K183,SEARCH("晒单",K183)+LEN("晒单"),LEN(K183))&amp;"（需晒单后联系客服登记）",IF(ISNUMBER(SEARCH("包修",K183)),"【购机】"&amp;MID(K183,SEARCH("购机",K183)+LEN("购机"),LEN(K183)),IF(ISNUMBER(SEARCH("叠放支架",K183)),"【赠品】"&amp;MID(K183,SEARCH("购机",K183)+LEN("购机"),LEN(K183)),IF(ISNUMBER(SEARCH("秀图",K183)),"【秀图】"&amp;MID(K183,SEARCH("秀图",K183)+LEN("秀图"),LEN(K183)),"")))),IFERROR(LEFT(_xlpm.A,FIND("【",_xlpm.A,FIND("】",_xlpm.A)+1)-1)&amp;MID(_xlpm.A,FIND("】",_xlpm.A,FIND("】",_xlpm.A)+1)+1,LEN(_xlpm.A)),_xlpm.A))</f>
        <v/>
      </c>
      <c r="G183" s="18" t="str">
        <f>_xlfn.LET(_xlpm.A,IF(ISNUMBER(SEARCH("晒单",L183)),"【晒单】"&amp;MID(L183,SEARCH("晒单",L183)+LEN("晒单"),LEN(L183))&amp;"（需晒单后联系客服登记）",IF(ISNUMBER(SEARCH("包修",L183)),"【购机】"&amp;MID(L183,SEARCH("购机",L183)+LEN("购机"),LEN(L183)),IF(ISNUMBER(SEARCH("叠放支架",L183)),"【赠品】"&amp;MID(L183,SEARCH("购机",L183)+LEN("购机"),LEN(L183)),IF(ISNUMBER(SEARCH("秀图",L183)),"【秀图】"&amp;MID(L183,SEARCH("秀图",L183)+LEN("秀图"),LEN(L183)),"")))),IFERROR(LEFT(_xlpm.A,FIND("【",_xlpm.A,FIND("】",_xlpm.A)+1)-1)&amp;MID(_xlpm.A,FIND("】",_xlpm.A,FIND("】",_xlpm.A)+1)+1,LEN(_xlpm.A)),_xlpm.A))</f>
        <v/>
      </c>
      <c r="H183" s="18" t="str">
        <f>_xlfn.LET(_xlpm.A,IF(ISNUMBER(SEARCH("晒单",M183)),"【晒单】"&amp;MID(M183,SEARCH("晒单",M183)+LEN("晒单"),LEN(M183))&amp;"（需晒单后联系客服登记）",IF(ISNUMBER(SEARCH("包修",M183)),"【购机】"&amp;MID(M183,SEARCH("购机",M183)+LEN("购机"),LEN(M183)),IF(ISNUMBER(SEARCH("叠放支架",M183)),"【赠品】"&amp;MID(M183,SEARCH("购机",M183)+LEN("购机"),LEN(M183)),IF(ISNUMBER(SEARCH("秀图",M183)),"【秀图】"&amp;MID(M183,SEARCH("秀图",M183)+LEN("秀图"),LEN(M183)),"")))),IFERROR(LEFT(_xlpm.A,FIND("【",_xlpm.A,FIND("】",_xlpm.A)+1)-1)&amp;MID(_xlpm.A,FIND("】",_xlpm.A,FIND("】",_xlpm.A)+1)+1,LEN(_xlpm.A)),_xlpm.A))</f>
        <v/>
      </c>
      <c r="I183" s="18" t="str">
        <f>_xlfn.LET(_xlpm.A,IF(ISNUMBER(SEARCH("晒单",N183)),"【晒单】"&amp;MID(N183,SEARCH("晒单",N183)+LEN("晒单"),LEN(N183))&amp;"（需晒单后联系客服登记）",IF(ISNUMBER(SEARCH("包修",N183)),"【购机】"&amp;MID(N183,SEARCH("购机",N183)+LEN("购机"),LEN(N183)),IF(ISNUMBER(SEARCH("叠放支架",N183)),"【赠品】"&amp;MID(N183,SEARCH("购机",N183)+LEN("购机"),LEN(N183)),IF(ISNUMBER(SEARCH("秀图",N183)),"【秀图】"&amp;MID(N183,SEARCH("秀图",N183)+LEN("秀图"),LEN(N183)),"")))),IFERROR(LEFT(_xlpm.A,FIND("【",_xlpm.A,FIND("】",_xlpm.A)+1)-1)&amp;MID(_xlpm.A,FIND("】",_xlpm.A,FIND("】",_xlpm.A)+1)+1,LEN(_xlpm.A)),_xlpm.A))</f>
        <v/>
      </c>
      <c r="J183" s="18" t="str" cm="1">
        <f t="array" ref="J183">IFERROR(INDEX(_xlfn.TEXTSPLIT(_xlfn.XLOOKUP($A183&amp;$B183&amp;$C183,盘货信息!$A:$A&amp;盘货信息!$B:$B&amp;盘货信息!$C:$C,盘货信息!$S:$S),CHAR(10),,TRUE),1,COLUMN(A182)),"")</f>
        <v/>
      </c>
      <c r="K183" s="18" t="str" cm="1">
        <f t="array" ref="K183">IFERROR(INDEX(_xlfn.TEXTSPLIT(_xlfn.XLOOKUP($A183&amp;$B183&amp;$C183,盘货信息!$A:$A&amp;盘货信息!$B:$B&amp;盘货信息!$C:$C,盘货信息!$S:$S),CHAR(10),,TRUE),1,COLUMN(B182)),"")</f>
        <v/>
      </c>
      <c r="L183" s="18" t="str" cm="1">
        <f t="array" ref="L183">IFERROR(INDEX(_xlfn.TEXTSPLIT(_xlfn.XLOOKUP($A183&amp;$B183&amp;$C183,盘货信息!$A:$A&amp;盘货信息!$B:$B&amp;盘货信息!$C:$C,盘货信息!$S:$S),CHAR(10),,TRUE),1,COLUMN(C182)),"")</f>
        <v/>
      </c>
      <c r="M183" s="18" t="str" cm="1">
        <f t="array" ref="M183">IFERROR(INDEX(_xlfn.TEXTSPLIT(_xlfn.XLOOKUP($A183&amp;$B183&amp;$C183,盘货信息!$A:$A&amp;盘货信息!$B:$B&amp;盘货信息!$C:$C,盘货信息!$S:$S),CHAR(10),,TRUE),1,COLUMN(D182)),"")</f>
        <v/>
      </c>
      <c r="N183" s="18" t="str" cm="1">
        <f t="array" ref="N183">IFERROR(INDEX(_xlfn.TEXTSPLIT(_xlfn.XLOOKUP($A183&amp;$B183&amp;$C183,盘货信息!$A:$A&amp;盘货信息!$B:$B&amp;盘货信息!$C:$C,盘货信息!$S:$S),CHAR(10),,TRUE),1,COLUMN(E182)),"")</f>
        <v/>
      </c>
    </row>
    <row r="184" customHeight="1" spans="1:14">
      <c r="A184" s="17" t="str">
        <f>IF(盘货信息!A184="","",盘货信息!A184)</f>
        <v/>
      </c>
      <c r="B184" s="17" t="str">
        <f>IF(盘货信息!B184="","",盘货信息!B184)</f>
        <v/>
      </c>
      <c r="C184" s="18" t="str">
        <f>IF(盘货信息!C184="","",盘货信息!C184)</f>
        <v/>
      </c>
      <c r="D184" s="18" t="str">
        <f t="shared" si="2"/>
        <v/>
      </c>
      <c r="E184" s="18" t="str">
        <f>_xlfn.LET(_xlpm.A,IF(ISNUMBER(SEARCH("晒单",J184)),"【晒单】"&amp;MID(J184,SEARCH("晒单",J184)+LEN("晒单"),LEN(J184))&amp;"（需晒单后联系客服登记）",IF(ISNUMBER(SEARCH("包修",J184)),"【购机】"&amp;MID(J184,SEARCH("购机",J184)+LEN("购机"),LEN(J184)),IF(ISNUMBER(SEARCH("叠放支架",J184)),"【赠品】"&amp;MID(J184,SEARCH("购机",J184)+LEN("购机"),LEN(J184)),IF(ISNUMBER(SEARCH("秀图",J184)),"【秀图】"&amp;MID(J184,SEARCH("秀图",J184)+LEN("秀图"),LEN(J184)),"")))),IFERROR(LEFT(_xlpm.A,FIND("【",_xlpm.A,FIND("】",_xlpm.A)+1)-1)&amp;MID(_xlpm.A,FIND("】",_xlpm.A,FIND("】",_xlpm.A)+1)+1,LEN(_xlpm.A)),_xlpm.A))</f>
        <v/>
      </c>
      <c r="F184" s="18" t="str">
        <f>_xlfn.LET(_xlpm.A,IF(ISNUMBER(SEARCH("晒单",K184)),"【晒单】"&amp;MID(K184,SEARCH("晒单",K184)+LEN("晒单"),LEN(K184))&amp;"（需晒单后联系客服登记）",IF(ISNUMBER(SEARCH("包修",K184)),"【购机】"&amp;MID(K184,SEARCH("购机",K184)+LEN("购机"),LEN(K184)),IF(ISNUMBER(SEARCH("叠放支架",K184)),"【赠品】"&amp;MID(K184,SEARCH("购机",K184)+LEN("购机"),LEN(K184)),IF(ISNUMBER(SEARCH("秀图",K184)),"【秀图】"&amp;MID(K184,SEARCH("秀图",K184)+LEN("秀图"),LEN(K184)),"")))),IFERROR(LEFT(_xlpm.A,FIND("【",_xlpm.A,FIND("】",_xlpm.A)+1)-1)&amp;MID(_xlpm.A,FIND("】",_xlpm.A,FIND("】",_xlpm.A)+1)+1,LEN(_xlpm.A)),_xlpm.A))</f>
        <v/>
      </c>
      <c r="G184" s="18" t="str">
        <f>_xlfn.LET(_xlpm.A,IF(ISNUMBER(SEARCH("晒单",L184)),"【晒单】"&amp;MID(L184,SEARCH("晒单",L184)+LEN("晒单"),LEN(L184))&amp;"（需晒单后联系客服登记）",IF(ISNUMBER(SEARCH("包修",L184)),"【购机】"&amp;MID(L184,SEARCH("购机",L184)+LEN("购机"),LEN(L184)),IF(ISNUMBER(SEARCH("叠放支架",L184)),"【赠品】"&amp;MID(L184,SEARCH("购机",L184)+LEN("购机"),LEN(L184)),IF(ISNUMBER(SEARCH("秀图",L184)),"【秀图】"&amp;MID(L184,SEARCH("秀图",L184)+LEN("秀图"),LEN(L184)),"")))),IFERROR(LEFT(_xlpm.A,FIND("【",_xlpm.A,FIND("】",_xlpm.A)+1)-1)&amp;MID(_xlpm.A,FIND("】",_xlpm.A,FIND("】",_xlpm.A)+1)+1,LEN(_xlpm.A)),_xlpm.A))</f>
        <v/>
      </c>
      <c r="H184" s="18" t="str">
        <f>_xlfn.LET(_xlpm.A,IF(ISNUMBER(SEARCH("晒单",M184)),"【晒单】"&amp;MID(M184,SEARCH("晒单",M184)+LEN("晒单"),LEN(M184))&amp;"（需晒单后联系客服登记）",IF(ISNUMBER(SEARCH("包修",M184)),"【购机】"&amp;MID(M184,SEARCH("购机",M184)+LEN("购机"),LEN(M184)),IF(ISNUMBER(SEARCH("叠放支架",M184)),"【赠品】"&amp;MID(M184,SEARCH("购机",M184)+LEN("购机"),LEN(M184)),IF(ISNUMBER(SEARCH("秀图",M184)),"【秀图】"&amp;MID(M184,SEARCH("秀图",M184)+LEN("秀图"),LEN(M184)),"")))),IFERROR(LEFT(_xlpm.A,FIND("【",_xlpm.A,FIND("】",_xlpm.A)+1)-1)&amp;MID(_xlpm.A,FIND("】",_xlpm.A,FIND("】",_xlpm.A)+1)+1,LEN(_xlpm.A)),_xlpm.A))</f>
        <v/>
      </c>
      <c r="I184" s="18" t="str">
        <f>_xlfn.LET(_xlpm.A,IF(ISNUMBER(SEARCH("晒单",N184)),"【晒单】"&amp;MID(N184,SEARCH("晒单",N184)+LEN("晒单"),LEN(N184))&amp;"（需晒单后联系客服登记）",IF(ISNUMBER(SEARCH("包修",N184)),"【购机】"&amp;MID(N184,SEARCH("购机",N184)+LEN("购机"),LEN(N184)),IF(ISNUMBER(SEARCH("叠放支架",N184)),"【赠品】"&amp;MID(N184,SEARCH("购机",N184)+LEN("购机"),LEN(N184)),IF(ISNUMBER(SEARCH("秀图",N184)),"【秀图】"&amp;MID(N184,SEARCH("秀图",N184)+LEN("秀图"),LEN(N184)),"")))),IFERROR(LEFT(_xlpm.A,FIND("【",_xlpm.A,FIND("】",_xlpm.A)+1)-1)&amp;MID(_xlpm.A,FIND("】",_xlpm.A,FIND("】",_xlpm.A)+1)+1,LEN(_xlpm.A)),_xlpm.A))</f>
        <v/>
      </c>
      <c r="J184" s="18" t="str" cm="1">
        <f t="array" ref="J184">IFERROR(INDEX(_xlfn.TEXTSPLIT(_xlfn.XLOOKUP($A184&amp;$B184&amp;$C184,盘货信息!$A:$A&amp;盘货信息!$B:$B&amp;盘货信息!$C:$C,盘货信息!$S:$S),CHAR(10),,TRUE),1,COLUMN(A183)),"")</f>
        <v/>
      </c>
      <c r="K184" s="18" t="str" cm="1">
        <f t="array" ref="K184">IFERROR(INDEX(_xlfn.TEXTSPLIT(_xlfn.XLOOKUP($A184&amp;$B184&amp;$C184,盘货信息!$A:$A&amp;盘货信息!$B:$B&amp;盘货信息!$C:$C,盘货信息!$S:$S),CHAR(10),,TRUE),1,COLUMN(B183)),"")</f>
        <v/>
      </c>
      <c r="L184" s="18" t="str" cm="1">
        <f t="array" ref="L184">IFERROR(INDEX(_xlfn.TEXTSPLIT(_xlfn.XLOOKUP($A184&amp;$B184&amp;$C184,盘货信息!$A:$A&amp;盘货信息!$B:$B&amp;盘货信息!$C:$C,盘货信息!$S:$S),CHAR(10),,TRUE),1,COLUMN(C183)),"")</f>
        <v/>
      </c>
      <c r="M184" s="18" t="str" cm="1">
        <f t="array" ref="M184">IFERROR(INDEX(_xlfn.TEXTSPLIT(_xlfn.XLOOKUP($A184&amp;$B184&amp;$C184,盘货信息!$A:$A&amp;盘货信息!$B:$B&amp;盘货信息!$C:$C,盘货信息!$S:$S),CHAR(10),,TRUE),1,COLUMN(D183)),"")</f>
        <v/>
      </c>
      <c r="N184" s="18" t="str" cm="1">
        <f t="array" ref="N184">IFERROR(INDEX(_xlfn.TEXTSPLIT(_xlfn.XLOOKUP($A184&amp;$B184&amp;$C184,盘货信息!$A:$A&amp;盘货信息!$B:$B&amp;盘货信息!$C:$C,盘货信息!$S:$S),CHAR(10),,TRUE),1,COLUMN(E183)),"")</f>
        <v/>
      </c>
    </row>
    <row r="185" customHeight="1" spans="1:14">
      <c r="A185" s="17" t="str">
        <f>IF(盘货信息!A185="","",盘货信息!A185)</f>
        <v/>
      </c>
      <c r="B185" s="17" t="str">
        <f>IF(盘货信息!B185="","",盘货信息!B185)</f>
        <v/>
      </c>
      <c r="C185" s="18" t="str">
        <f>IF(盘货信息!C185="","",盘货信息!C185)</f>
        <v/>
      </c>
      <c r="D185" s="18" t="str">
        <f t="shared" si="2"/>
        <v/>
      </c>
      <c r="E185" s="18" t="str">
        <f>_xlfn.LET(_xlpm.A,IF(ISNUMBER(SEARCH("晒单",J185)),"【晒单】"&amp;MID(J185,SEARCH("晒单",J185)+LEN("晒单"),LEN(J185))&amp;"（需晒单后联系客服登记）",IF(ISNUMBER(SEARCH("包修",J185)),"【购机】"&amp;MID(J185,SEARCH("购机",J185)+LEN("购机"),LEN(J185)),IF(ISNUMBER(SEARCH("叠放支架",J185)),"【赠品】"&amp;MID(J185,SEARCH("购机",J185)+LEN("购机"),LEN(J185)),IF(ISNUMBER(SEARCH("秀图",J185)),"【秀图】"&amp;MID(J185,SEARCH("秀图",J185)+LEN("秀图"),LEN(J185)),"")))),IFERROR(LEFT(_xlpm.A,FIND("【",_xlpm.A,FIND("】",_xlpm.A)+1)-1)&amp;MID(_xlpm.A,FIND("】",_xlpm.A,FIND("】",_xlpm.A)+1)+1,LEN(_xlpm.A)),_xlpm.A))</f>
        <v/>
      </c>
      <c r="F185" s="18" t="str">
        <f>_xlfn.LET(_xlpm.A,IF(ISNUMBER(SEARCH("晒单",K185)),"【晒单】"&amp;MID(K185,SEARCH("晒单",K185)+LEN("晒单"),LEN(K185))&amp;"（需晒单后联系客服登记）",IF(ISNUMBER(SEARCH("包修",K185)),"【购机】"&amp;MID(K185,SEARCH("购机",K185)+LEN("购机"),LEN(K185)),IF(ISNUMBER(SEARCH("叠放支架",K185)),"【赠品】"&amp;MID(K185,SEARCH("购机",K185)+LEN("购机"),LEN(K185)),IF(ISNUMBER(SEARCH("秀图",K185)),"【秀图】"&amp;MID(K185,SEARCH("秀图",K185)+LEN("秀图"),LEN(K185)),"")))),IFERROR(LEFT(_xlpm.A,FIND("【",_xlpm.A,FIND("】",_xlpm.A)+1)-1)&amp;MID(_xlpm.A,FIND("】",_xlpm.A,FIND("】",_xlpm.A)+1)+1,LEN(_xlpm.A)),_xlpm.A))</f>
        <v/>
      </c>
      <c r="G185" s="18" t="str">
        <f>_xlfn.LET(_xlpm.A,IF(ISNUMBER(SEARCH("晒单",L185)),"【晒单】"&amp;MID(L185,SEARCH("晒单",L185)+LEN("晒单"),LEN(L185))&amp;"（需晒单后联系客服登记）",IF(ISNUMBER(SEARCH("包修",L185)),"【购机】"&amp;MID(L185,SEARCH("购机",L185)+LEN("购机"),LEN(L185)),IF(ISNUMBER(SEARCH("叠放支架",L185)),"【赠品】"&amp;MID(L185,SEARCH("购机",L185)+LEN("购机"),LEN(L185)),IF(ISNUMBER(SEARCH("秀图",L185)),"【秀图】"&amp;MID(L185,SEARCH("秀图",L185)+LEN("秀图"),LEN(L185)),"")))),IFERROR(LEFT(_xlpm.A,FIND("【",_xlpm.A,FIND("】",_xlpm.A)+1)-1)&amp;MID(_xlpm.A,FIND("】",_xlpm.A,FIND("】",_xlpm.A)+1)+1,LEN(_xlpm.A)),_xlpm.A))</f>
        <v/>
      </c>
      <c r="H185" s="18" t="str">
        <f>_xlfn.LET(_xlpm.A,IF(ISNUMBER(SEARCH("晒单",M185)),"【晒单】"&amp;MID(M185,SEARCH("晒单",M185)+LEN("晒单"),LEN(M185))&amp;"（需晒单后联系客服登记）",IF(ISNUMBER(SEARCH("包修",M185)),"【购机】"&amp;MID(M185,SEARCH("购机",M185)+LEN("购机"),LEN(M185)),IF(ISNUMBER(SEARCH("叠放支架",M185)),"【赠品】"&amp;MID(M185,SEARCH("购机",M185)+LEN("购机"),LEN(M185)),IF(ISNUMBER(SEARCH("秀图",M185)),"【秀图】"&amp;MID(M185,SEARCH("秀图",M185)+LEN("秀图"),LEN(M185)),"")))),IFERROR(LEFT(_xlpm.A,FIND("【",_xlpm.A,FIND("】",_xlpm.A)+1)-1)&amp;MID(_xlpm.A,FIND("】",_xlpm.A,FIND("】",_xlpm.A)+1)+1,LEN(_xlpm.A)),_xlpm.A))</f>
        <v/>
      </c>
      <c r="I185" s="18" t="str">
        <f>_xlfn.LET(_xlpm.A,IF(ISNUMBER(SEARCH("晒单",N185)),"【晒单】"&amp;MID(N185,SEARCH("晒单",N185)+LEN("晒单"),LEN(N185))&amp;"（需晒单后联系客服登记）",IF(ISNUMBER(SEARCH("包修",N185)),"【购机】"&amp;MID(N185,SEARCH("购机",N185)+LEN("购机"),LEN(N185)),IF(ISNUMBER(SEARCH("叠放支架",N185)),"【赠品】"&amp;MID(N185,SEARCH("购机",N185)+LEN("购机"),LEN(N185)),IF(ISNUMBER(SEARCH("秀图",N185)),"【秀图】"&amp;MID(N185,SEARCH("秀图",N185)+LEN("秀图"),LEN(N185)),"")))),IFERROR(LEFT(_xlpm.A,FIND("【",_xlpm.A,FIND("】",_xlpm.A)+1)-1)&amp;MID(_xlpm.A,FIND("】",_xlpm.A,FIND("】",_xlpm.A)+1)+1,LEN(_xlpm.A)),_xlpm.A))</f>
        <v/>
      </c>
      <c r="J185" s="18" t="str" cm="1">
        <f t="array" ref="J185">IFERROR(INDEX(_xlfn.TEXTSPLIT(_xlfn.XLOOKUP($A185&amp;$B185&amp;$C185,盘货信息!$A:$A&amp;盘货信息!$B:$B&amp;盘货信息!$C:$C,盘货信息!$S:$S),CHAR(10),,TRUE),1,COLUMN(A184)),"")</f>
        <v/>
      </c>
      <c r="K185" s="18" t="str" cm="1">
        <f t="array" ref="K185">IFERROR(INDEX(_xlfn.TEXTSPLIT(_xlfn.XLOOKUP($A185&amp;$B185&amp;$C185,盘货信息!$A:$A&amp;盘货信息!$B:$B&amp;盘货信息!$C:$C,盘货信息!$S:$S),CHAR(10),,TRUE),1,COLUMN(B184)),"")</f>
        <v/>
      </c>
      <c r="L185" s="18" t="str" cm="1">
        <f t="array" ref="L185">IFERROR(INDEX(_xlfn.TEXTSPLIT(_xlfn.XLOOKUP($A185&amp;$B185&amp;$C185,盘货信息!$A:$A&amp;盘货信息!$B:$B&amp;盘货信息!$C:$C,盘货信息!$S:$S),CHAR(10),,TRUE),1,COLUMN(C184)),"")</f>
        <v/>
      </c>
      <c r="M185" s="18" t="str" cm="1">
        <f t="array" ref="M185">IFERROR(INDEX(_xlfn.TEXTSPLIT(_xlfn.XLOOKUP($A185&amp;$B185&amp;$C185,盘货信息!$A:$A&amp;盘货信息!$B:$B&amp;盘货信息!$C:$C,盘货信息!$S:$S),CHAR(10),,TRUE),1,COLUMN(D184)),"")</f>
        <v/>
      </c>
      <c r="N185" s="18" t="str" cm="1">
        <f t="array" ref="N185">IFERROR(INDEX(_xlfn.TEXTSPLIT(_xlfn.XLOOKUP($A185&amp;$B185&amp;$C185,盘货信息!$A:$A&amp;盘货信息!$B:$B&amp;盘货信息!$C:$C,盘货信息!$S:$S),CHAR(10),,TRUE),1,COLUMN(E184)),"")</f>
        <v/>
      </c>
    </row>
    <row r="186" customHeight="1" spans="1:14">
      <c r="A186" s="17" t="str">
        <f>IF(盘货信息!A186="","",盘货信息!A186)</f>
        <v/>
      </c>
      <c r="B186" s="17" t="str">
        <f>IF(盘货信息!B186="","",盘货信息!B186)</f>
        <v/>
      </c>
      <c r="C186" s="18" t="str">
        <f>IF(盘货信息!C186="","",盘货信息!C186)</f>
        <v/>
      </c>
      <c r="D186" s="18" t="str">
        <f t="shared" si="2"/>
        <v/>
      </c>
      <c r="E186" s="18" t="str">
        <f>_xlfn.LET(_xlpm.A,IF(ISNUMBER(SEARCH("晒单",J186)),"【晒单】"&amp;MID(J186,SEARCH("晒单",J186)+LEN("晒单"),LEN(J186))&amp;"（需晒单后联系客服登记）",IF(ISNUMBER(SEARCH("包修",J186)),"【购机】"&amp;MID(J186,SEARCH("购机",J186)+LEN("购机"),LEN(J186)),IF(ISNUMBER(SEARCH("叠放支架",J186)),"【赠品】"&amp;MID(J186,SEARCH("购机",J186)+LEN("购机"),LEN(J186)),IF(ISNUMBER(SEARCH("秀图",J186)),"【秀图】"&amp;MID(J186,SEARCH("秀图",J186)+LEN("秀图"),LEN(J186)),"")))),IFERROR(LEFT(_xlpm.A,FIND("【",_xlpm.A,FIND("】",_xlpm.A)+1)-1)&amp;MID(_xlpm.A,FIND("】",_xlpm.A,FIND("】",_xlpm.A)+1)+1,LEN(_xlpm.A)),_xlpm.A))</f>
        <v/>
      </c>
      <c r="F186" s="18" t="str">
        <f>_xlfn.LET(_xlpm.A,IF(ISNUMBER(SEARCH("晒单",K186)),"【晒单】"&amp;MID(K186,SEARCH("晒单",K186)+LEN("晒单"),LEN(K186))&amp;"（需晒单后联系客服登记）",IF(ISNUMBER(SEARCH("包修",K186)),"【购机】"&amp;MID(K186,SEARCH("购机",K186)+LEN("购机"),LEN(K186)),IF(ISNUMBER(SEARCH("叠放支架",K186)),"【赠品】"&amp;MID(K186,SEARCH("购机",K186)+LEN("购机"),LEN(K186)),IF(ISNUMBER(SEARCH("秀图",K186)),"【秀图】"&amp;MID(K186,SEARCH("秀图",K186)+LEN("秀图"),LEN(K186)),"")))),IFERROR(LEFT(_xlpm.A,FIND("【",_xlpm.A,FIND("】",_xlpm.A)+1)-1)&amp;MID(_xlpm.A,FIND("】",_xlpm.A,FIND("】",_xlpm.A)+1)+1,LEN(_xlpm.A)),_xlpm.A))</f>
        <v/>
      </c>
      <c r="G186" s="18" t="str">
        <f>_xlfn.LET(_xlpm.A,IF(ISNUMBER(SEARCH("晒单",L186)),"【晒单】"&amp;MID(L186,SEARCH("晒单",L186)+LEN("晒单"),LEN(L186))&amp;"（需晒单后联系客服登记）",IF(ISNUMBER(SEARCH("包修",L186)),"【购机】"&amp;MID(L186,SEARCH("购机",L186)+LEN("购机"),LEN(L186)),IF(ISNUMBER(SEARCH("叠放支架",L186)),"【赠品】"&amp;MID(L186,SEARCH("购机",L186)+LEN("购机"),LEN(L186)),IF(ISNUMBER(SEARCH("秀图",L186)),"【秀图】"&amp;MID(L186,SEARCH("秀图",L186)+LEN("秀图"),LEN(L186)),"")))),IFERROR(LEFT(_xlpm.A,FIND("【",_xlpm.A,FIND("】",_xlpm.A)+1)-1)&amp;MID(_xlpm.A,FIND("】",_xlpm.A,FIND("】",_xlpm.A)+1)+1,LEN(_xlpm.A)),_xlpm.A))</f>
        <v/>
      </c>
      <c r="H186" s="18" t="str">
        <f>_xlfn.LET(_xlpm.A,IF(ISNUMBER(SEARCH("晒单",M186)),"【晒单】"&amp;MID(M186,SEARCH("晒单",M186)+LEN("晒单"),LEN(M186))&amp;"（需晒单后联系客服登记）",IF(ISNUMBER(SEARCH("包修",M186)),"【购机】"&amp;MID(M186,SEARCH("购机",M186)+LEN("购机"),LEN(M186)),IF(ISNUMBER(SEARCH("叠放支架",M186)),"【赠品】"&amp;MID(M186,SEARCH("购机",M186)+LEN("购机"),LEN(M186)),IF(ISNUMBER(SEARCH("秀图",M186)),"【秀图】"&amp;MID(M186,SEARCH("秀图",M186)+LEN("秀图"),LEN(M186)),"")))),IFERROR(LEFT(_xlpm.A,FIND("【",_xlpm.A,FIND("】",_xlpm.A)+1)-1)&amp;MID(_xlpm.A,FIND("】",_xlpm.A,FIND("】",_xlpm.A)+1)+1,LEN(_xlpm.A)),_xlpm.A))</f>
        <v/>
      </c>
      <c r="I186" s="18" t="str">
        <f>_xlfn.LET(_xlpm.A,IF(ISNUMBER(SEARCH("晒单",N186)),"【晒单】"&amp;MID(N186,SEARCH("晒单",N186)+LEN("晒单"),LEN(N186))&amp;"（需晒单后联系客服登记）",IF(ISNUMBER(SEARCH("包修",N186)),"【购机】"&amp;MID(N186,SEARCH("购机",N186)+LEN("购机"),LEN(N186)),IF(ISNUMBER(SEARCH("叠放支架",N186)),"【赠品】"&amp;MID(N186,SEARCH("购机",N186)+LEN("购机"),LEN(N186)),IF(ISNUMBER(SEARCH("秀图",N186)),"【秀图】"&amp;MID(N186,SEARCH("秀图",N186)+LEN("秀图"),LEN(N186)),"")))),IFERROR(LEFT(_xlpm.A,FIND("【",_xlpm.A,FIND("】",_xlpm.A)+1)-1)&amp;MID(_xlpm.A,FIND("】",_xlpm.A,FIND("】",_xlpm.A)+1)+1,LEN(_xlpm.A)),_xlpm.A))</f>
        <v/>
      </c>
      <c r="J186" s="18" t="str" cm="1">
        <f t="array" ref="J186">IFERROR(INDEX(_xlfn.TEXTSPLIT(_xlfn.XLOOKUP($A186&amp;$B186&amp;$C186,盘货信息!$A:$A&amp;盘货信息!$B:$B&amp;盘货信息!$C:$C,盘货信息!$S:$S),CHAR(10),,TRUE),1,COLUMN(A185)),"")</f>
        <v/>
      </c>
      <c r="K186" s="18" t="str" cm="1">
        <f t="array" ref="K186">IFERROR(INDEX(_xlfn.TEXTSPLIT(_xlfn.XLOOKUP($A186&amp;$B186&amp;$C186,盘货信息!$A:$A&amp;盘货信息!$B:$B&amp;盘货信息!$C:$C,盘货信息!$S:$S),CHAR(10),,TRUE),1,COLUMN(B185)),"")</f>
        <v/>
      </c>
      <c r="L186" s="18" t="str" cm="1">
        <f t="array" ref="L186">IFERROR(INDEX(_xlfn.TEXTSPLIT(_xlfn.XLOOKUP($A186&amp;$B186&amp;$C186,盘货信息!$A:$A&amp;盘货信息!$B:$B&amp;盘货信息!$C:$C,盘货信息!$S:$S),CHAR(10),,TRUE),1,COLUMN(C185)),"")</f>
        <v/>
      </c>
      <c r="M186" s="18" t="str" cm="1">
        <f t="array" ref="M186">IFERROR(INDEX(_xlfn.TEXTSPLIT(_xlfn.XLOOKUP($A186&amp;$B186&amp;$C186,盘货信息!$A:$A&amp;盘货信息!$B:$B&amp;盘货信息!$C:$C,盘货信息!$S:$S),CHAR(10),,TRUE),1,COLUMN(D185)),"")</f>
        <v/>
      </c>
      <c r="N186" s="18" t="str" cm="1">
        <f t="array" ref="N186">IFERROR(INDEX(_xlfn.TEXTSPLIT(_xlfn.XLOOKUP($A186&amp;$B186&amp;$C186,盘货信息!$A:$A&amp;盘货信息!$B:$B&amp;盘货信息!$C:$C,盘货信息!$S:$S),CHAR(10),,TRUE),1,COLUMN(E185)),"")</f>
        <v/>
      </c>
    </row>
    <row r="187" customHeight="1" spans="1:14">
      <c r="A187" s="17" t="str">
        <f>IF(盘货信息!A187="","",盘货信息!A187)</f>
        <v/>
      </c>
      <c r="B187" s="17" t="str">
        <f>IF(盘货信息!B187="","",盘货信息!B187)</f>
        <v/>
      </c>
      <c r="C187" s="18" t="str">
        <f>IF(盘货信息!C187="","",盘货信息!C187)</f>
        <v/>
      </c>
      <c r="D187" s="18" t="str">
        <f t="shared" si="2"/>
        <v/>
      </c>
      <c r="E187" s="18" t="str">
        <f>_xlfn.LET(_xlpm.A,IF(ISNUMBER(SEARCH("晒单",J187)),"【晒单】"&amp;MID(J187,SEARCH("晒单",J187)+LEN("晒单"),LEN(J187))&amp;"（需晒单后联系客服登记）",IF(ISNUMBER(SEARCH("包修",J187)),"【购机】"&amp;MID(J187,SEARCH("购机",J187)+LEN("购机"),LEN(J187)),IF(ISNUMBER(SEARCH("叠放支架",J187)),"【赠品】"&amp;MID(J187,SEARCH("购机",J187)+LEN("购机"),LEN(J187)),IF(ISNUMBER(SEARCH("秀图",J187)),"【秀图】"&amp;MID(J187,SEARCH("秀图",J187)+LEN("秀图"),LEN(J187)),"")))),IFERROR(LEFT(_xlpm.A,FIND("【",_xlpm.A,FIND("】",_xlpm.A)+1)-1)&amp;MID(_xlpm.A,FIND("】",_xlpm.A,FIND("】",_xlpm.A)+1)+1,LEN(_xlpm.A)),_xlpm.A))</f>
        <v/>
      </c>
      <c r="F187" s="18" t="str">
        <f>_xlfn.LET(_xlpm.A,IF(ISNUMBER(SEARCH("晒单",K187)),"【晒单】"&amp;MID(K187,SEARCH("晒单",K187)+LEN("晒单"),LEN(K187))&amp;"（需晒单后联系客服登记）",IF(ISNUMBER(SEARCH("包修",K187)),"【购机】"&amp;MID(K187,SEARCH("购机",K187)+LEN("购机"),LEN(K187)),IF(ISNUMBER(SEARCH("叠放支架",K187)),"【赠品】"&amp;MID(K187,SEARCH("购机",K187)+LEN("购机"),LEN(K187)),IF(ISNUMBER(SEARCH("秀图",K187)),"【秀图】"&amp;MID(K187,SEARCH("秀图",K187)+LEN("秀图"),LEN(K187)),"")))),IFERROR(LEFT(_xlpm.A,FIND("【",_xlpm.A,FIND("】",_xlpm.A)+1)-1)&amp;MID(_xlpm.A,FIND("】",_xlpm.A,FIND("】",_xlpm.A)+1)+1,LEN(_xlpm.A)),_xlpm.A))</f>
        <v/>
      </c>
      <c r="G187" s="18" t="str">
        <f>_xlfn.LET(_xlpm.A,IF(ISNUMBER(SEARCH("晒单",L187)),"【晒单】"&amp;MID(L187,SEARCH("晒单",L187)+LEN("晒单"),LEN(L187))&amp;"（需晒单后联系客服登记）",IF(ISNUMBER(SEARCH("包修",L187)),"【购机】"&amp;MID(L187,SEARCH("购机",L187)+LEN("购机"),LEN(L187)),IF(ISNUMBER(SEARCH("叠放支架",L187)),"【赠品】"&amp;MID(L187,SEARCH("购机",L187)+LEN("购机"),LEN(L187)),IF(ISNUMBER(SEARCH("秀图",L187)),"【秀图】"&amp;MID(L187,SEARCH("秀图",L187)+LEN("秀图"),LEN(L187)),"")))),IFERROR(LEFT(_xlpm.A,FIND("【",_xlpm.A,FIND("】",_xlpm.A)+1)-1)&amp;MID(_xlpm.A,FIND("】",_xlpm.A,FIND("】",_xlpm.A)+1)+1,LEN(_xlpm.A)),_xlpm.A))</f>
        <v/>
      </c>
      <c r="H187" s="18" t="str">
        <f>_xlfn.LET(_xlpm.A,IF(ISNUMBER(SEARCH("晒单",M187)),"【晒单】"&amp;MID(M187,SEARCH("晒单",M187)+LEN("晒单"),LEN(M187))&amp;"（需晒单后联系客服登记）",IF(ISNUMBER(SEARCH("包修",M187)),"【购机】"&amp;MID(M187,SEARCH("购机",M187)+LEN("购机"),LEN(M187)),IF(ISNUMBER(SEARCH("叠放支架",M187)),"【赠品】"&amp;MID(M187,SEARCH("购机",M187)+LEN("购机"),LEN(M187)),IF(ISNUMBER(SEARCH("秀图",M187)),"【秀图】"&amp;MID(M187,SEARCH("秀图",M187)+LEN("秀图"),LEN(M187)),"")))),IFERROR(LEFT(_xlpm.A,FIND("【",_xlpm.A,FIND("】",_xlpm.A)+1)-1)&amp;MID(_xlpm.A,FIND("】",_xlpm.A,FIND("】",_xlpm.A)+1)+1,LEN(_xlpm.A)),_xlpm.A))</f>
        <v/>
      </c>
      <c r="I187" s="18" t="str">
        <f>_xlfn.LET(_xlpm.A,IF(ISNUMBER(SEARCH("晒单",N187)),"【晒单】"&amp;MID(N187,SEARCH("晒单",N187)+LEN("晒单"),LEN(N187))&amp;"（需晒单后联系客服登记）",IF(ISNUMBER(SEARCH("包修",N187)),"【购机】"&amp;MID(N187,SEARCH("购机",N187)+LEN("购机"),LEN(N187)),IF(ISNUMBER(SEARCH("叠放支架",N187)),"【赠品】"&amp;MID(N187,SEARCH("购机",N187)+LEN("购机"),LEN(N187)),IF(ISNUMBER(SEARCH("秀图",N187)),"【秀图】"&amp;MID(N187,SEARCH("秀图",N187)+LEN("秀图"),LEN(N187)),"")))),IFERROR(LEFT(_xlpm.A,FIND("【",_xlpm.A,FIND("】",_xlpm.A)+1)-1)&amp;MID(_xlpm.A,FIND("】",_xlpm.A,FIND("】",_xlpm.A)+1)+1,LEN(_xlpm.A)),_xlpm.A))</f>
        <v/>
      </c>
      <c r="J187" s="18" t="str" cm="1">
        <f t="array" ref="J187">IFERROR(INDEX(_xlfn.TEXTSPLIT(_xlfn.XLOOKUP($A187&amp;$B187&amp;$C187,盘货信息!$A:$A&amp;盘货信息!$B:$B&amp;盘货信息!$C:$C,盘货信息!$S:$S),CHAR(10),,TRUE),1,COLUMN(A186)),"")</f>
        <v/>
      </c>
      <c r="K187" s="18" t="str" cm="1">
        <f t="array" ref="K187">IFERROR(INDEX(_xlfn.TEXTSPLIT(_xlfn.XLOOKUP($A187&amp;$B187&amp;$C187,盘货信息!$A:$A&amp;盘货信息!$B:$B&amp;盘货信息!$C:$C,盘货信息!$S:$S),CHAR(10),,TRUE),1,COLUMN(B186)),"")</f>
        <v/>
      </c>
      <c r="L187" s="18" t="str" cm="1">
        <f t="array" ref="L187">IFERROR(INDEX(_xlfn.TEXTSPLIT(_xlfn.XLOOKUP($A187&amp;$B187&amp;$C187,盘货信息!$A:$A&amp;盘货信息!$B:$B&amp;盘货信息!$C:$C,盘货信息!$S:$S),CHAR(10),,TRUE),1,COLUMN(C186)),"")</f>
        <v/>
      </c>
      <c r="M187" s="18" t="str" cm="1">
        <f t="array" ref="M187">IFERROR(INDEX(_xlfn.TEXTSPLIT(_xlfn.XLOOKUP($A187&amp;$B187&amp;$C187,盘货信息!$A:$A&amp;盘货信息!$B:$B&amp;盘货信息!$C:$C,盘货信息!$S:$S),CHAR(10),,TRUE),1,COLUMN(D186)),"")</f>
        <v/>
      </c>
      <c r="N187" s="18" t="str" cm="1">
        <f t="array" ref="N187">IFERROR(INDEX(_xlfn.TEXTSPLIT(_xlfn.XLOOKUP($A187&amp;$B187&amp;$C187,盘货信息!$A:$A&amp;盘货信息!$B:$B&amp;盘货信息!$C:$C,盘货信息!$S:$S),CHAR(10),,TRUE),1,COLUMN(E186)),"")</f>
        <v/>
      </c>
    </row>
    <row r="188" customHeight="1" spans="1:14">
      <c r="A188" s="17" t="str">
        <f>IF(盘货信息!A188="","",盘货信息!A188)</f>
        <v/>
      </c>
      <c r="B188" s="17" t="str">
        <f>IF(盘货信息!B188="","",盘货信息!B188)</f>
        <v/>
      </c>
      <c r="C188" s="18" t="str">
        <f>IF(盘货信息!C188="","",盘货信息!C188)</f>
        <v/>
      </c>
      <c r="D188" s="18" t="str">
        <f t="shared" si="2"/>
        <v/>
      </c>
      <c r="E188" s="18" t="str">
        <f>_xlfn.LET(_xlpm.A,IF(ISNUMBER(SEARCH("晒单",J188)),"【晒单】"&amp;MID(J188,SEARCH("晒单",J188)+LEN("晒单"),LEN(J188))&amp;"（需晒单后联系客服登记）",IF(ISNUMBER(SEARCH("包修",J188)),"【购机】"&amp;MID(J188,SEARCH("购机",J188)+LEN("购机"),LEN(J188)),IF(ISNUMBER(SEARCH("叠放支架",J188)),"【赠品】"&amp;MID(J188,SEARCH("购机",J188)+LEN("购机"),LEN(J188)),IF(ISNUMBER(SEARCH("秀图",J188)),"【秀图】"&amp;MID(J188,SEARCH("秀图",J188)+LEN("秀图"),LEN(J188)),"")))),IFERROR(LEFT(_xlpm.A,FIND("【",_xlpm.A,FIND("】",_xlpm.A)+1)-1)&amp;MID(_xlpm.A,FIND("】",_xlpm.A,FIND("】",_xlpm.A)+1)+1,LEN(_xlpm.A)),_xlpm.A))</f>
        <v/>
      </c>
      <c r="F188" s="18" t="str">
        <f>_xlfn.LET(_xlpm.A,IF(ISNUMBER(SEARCH("晒单",K188)),"【晒单】"&amp;MID(K188,SEARCH("晒单",K188)+LEN("晒单"),LEN(K188))&amp;"（需晒单后联系客服登记）",IF(ISNUMBER(SEARCH("包修",K188)),"【购机】"&amp;MID(K188,SEARCH("购机",K188)+LEN("购机"),LEN(K188)),IF(ISNUMBER(SEARCH("叠放支架",K188)),"【赠品】"&amp;MID(K188,SEARCH("购机",K188)+LEN("购机"),LEN(K188)),IF(ISNUMBER(SEARCH("秀图",K188)),"【秀图】"&amp;MID(K188,SEARCH("秀图",K188)+LEN("秀图"),LEN(K188)),"")))),IFERROR(LEFT(_xlpm.A,FIND("【",_xlpm.A,FIND("】",_xlpm.A)+1)-1)&amp;MID(_xlpm.A,FIND("】",_xlpm.A,FIND("】",_xlpm.A)+1)+1,LEN(_xlpm.A)),_xlpm.A))</f>
        <v/>
      </c>
      <c r="G188" s="18" t="str">
        <f>_xlfn.LET(_xlpm.A,IF(ISNUMBER(SEARCH("晒单",L188)),"【晒单】"&amp;MID(L188,SEARCH("晒单",L188)+LEN("晒单"),LEN(L188))&amp;"（需晒单后联系客服登记）",IF(ISNUMBER(SEARCH("包修",L188)),"【购机】"&amp;MID(L188,SEARCH("购机",L188)+LEN("购机"),LEN(L188)),IF(ISNUMBER(SEARCH("叠放支架",L188)),"【赠品】"&amp;MID(L188,SEARCH("购机",L188)+LEN("购机"),LEN(L188)),IF(ISNUMBER(SEARCH("秀图",L188)),"【秀图】"&amp;MID(L188,SEARCH("秀图",L188)+LEN("秀图"),LEN(L188)),"")))),IFERROR(LEFT(_xlpm.A,FIND("【",_xlpm.A,FIND("】",_xlpm.A)+1)-1)&amp;MID(_xlpm.A,FIND("】",_xlpm.A,FIND("】",_xlpm.A)+1)+1,LEN(_xlpm.A)),_xlpm.A))</f>
        <v/>
      </c>
      <c r="H188" s="18" t="str">
        <f>_xlfn.LET(_xlpm.A,IF(ISNUMBER(SEARCH("晒单",M188)),"【晒单】"&amp;MID(M188,SEARCH("晒单",M188)+LEN("晒单"),LEN(M188))&amp;"（需晒单后联系客服登记）",IF(ISNUMBER(SEARCH("包修",M188)),"【购机】"&amp;MID(M188,SEARCH("购机",M188)+LEN("购机"),LEN(M188)),IF(ISNUMBER(SEARCH("叠放支架",M188)),"【赠品】"&amp;MID(M188,SEARCH("购机",M188)+LEN("购机"),LEN(M188)),IF(ISNUMBER(SEARCH("秀图",M188)),"【秀图】"&amp;MID(M188,SEARCH("秀图",M188)+LEN("秀图"),LEN(M188)),"")))),IFERROR(LEFT(_xlpm.A,FIND("【",_xlpm.A,FIND("】",_xlpm.A)+1)-1)&amp;MID(_xlpm.A,FIND("】",_xlpm.A,FIND("】",_xlpm.A)+1)+1,LEN(_xlpm.A)),_xlpm.A))</f>
        <v/>
      </c>
      <c r="I188" s="18" t="str">
        <f>_xlfn.LET(_xlpm.A,IF(ISNUMBER(SEARCH("晒单",N188)),"【晒单】"&amp;MID(N188,SEARCH("晒单",N188)+LEN("晒单"),LEN(N188))&amp;"（需晒单后联系客服登记）",IF(ISNUMBER(SEARCH("包修",N188)),"【购机】"&amp;MID(N188,SEARCH("购机",N188)+LEN("购机"),LEN(N188)),IF(ISNUMBER(SEARCH("叠放支架",N188)),"【赠品】"&amp;MID(N188,SEARCH("购机",N188)+LEN("购机"),LEN(N188)),IF(ISNUMBER(SEARCH("秀图",N188)),"【秀图】"&amp;MID(N188,SEARCH("秀图",N188)+LEN("秀图"),LEN(N188)),"")))),IFERROR(LEFT(_xlpm.A,FIND("【",_xlpm.A,FIND("】",_xlpm.A)+1)-1)&amp;MID(_xlpm.A,FIND("】",_xlpm.A,FIND("】",_xlpm.A)+1)+1,LEN(_xlpm.A)),_xlpm.A))</f>
        <v/>
      </c>
      <c r="J188" s="18" t="str" cm="1">
        <f t="array" ref="J188">IFERROR(INDEX(_xlfn.TEXTSPLIT(_xlfn.XLOOKUP($A188&amp;$B188&amp;$C188,盘货信息!$A:$A&amp;盘货信息!$B:$B&amp;盘货信息!$C:$C,盘货信息!$S:$S),CHAR(10),,TRUE),1,COLUMN(A187)),"")</f>
        <v/>
      </c>
      <c r="K188" s="18" t="str" cm="1">
        <f t="array" ref="K188">IFERROR(INDEX(_xlfn.TEXTSPLIT(_xlfn.XLOOKUP($A188&amp;$B188&amp;$C188,盘货信息!$A:$A&amp;盘货信息!$B:$B&amp;盘货信息!$C:$C,盘货信息!$S:$S),CHAR(10),,TRUE),1,COLUMN(B187)),"")</f>
        <v/>
      </c>
      <c r="L188" s="18" t="str" cm="1">
        <f t="array" ref="L188">IFERROR(INDEX(_xlfn.TEXTSPLIT(_xlfn.XLOOKUP($A188&amp;$B188&amp;$C188,盘货信息!$A:$A&amp;盘货信息!$B:$B&amp;盘货信息!$C:$C,盘货信息!$S:$S),CHAR(10),,TRUE),1,COLUMN(C187)),"")</f>
        <v/>
      </c>
      <c r="M188" s="18" t="str" cm="1">
        <f t="array" ref="M188">IFERROR(INDEX(_xlfn.TEXTSPLIT(_xlfn.XLOOKUP($A188&amp;$B188&amp;$C188,盘货信息!$A:$A&amp;盘货信息!$B:$B&amp;盘货信息!$C:$C,盘货信息!$S:$S),CHAR(10),,TRUE),1,COLUMN(D187)),"")</f>
        <v/>
      </c>
      <c r="N188" s="18" t="str" cm="1">
        <f t="array" ref="N188">IFERROR(INDEX(_xlfn.TEXTSPLIT(_xlfn.XLOOKUP($A188&amp;$B188&amp;$C188,盘货信息!$A:$A&amp;盘货信息!$B:$B&amp;盘货信息!$C:$C,盘货信息!$S:$S),CHAR(10),,TRUE),1,COLUMN(E187)),"")</f>
        <v/>
      </c>
    </row>
    <row r="189" customHeight="1" spans="1:14">
      <c r="A189" s="17" t="str">
        <f>IF(盘货信息!A189="","",盘货信息!A189)</f>
        <v/>
      </c>
      <c r="B189" s="17" t="str">
        <f>IF(盘货信息!B189="","",盘货信息!B189)</f>
        <v/>
      </c>
      <c r="C189" s="18" t="str">
        <f>IF(盘货信息!C189="","",盘货信息!C189)</f>
        <v/>
      </c>
      <c r="D189" s="18" t="str">
        <f t="shared" si="2"/>
        <v/>
      </c>
      <c r="E189" s="18" t="str">
        <f>_xlfn.LET(_xlpm.A,IF(ISNUMBER(SEARCH("晒单",J189)),"【晒单】"&amp;MID(J189,SEARCH("晒单",J189)+LEN("晒单"),LEN(J189))&amp;"（需晒单后联系客服登记）",IF(ISNUMBER(SEARCH("包修",J189)),"【购机】"&amp;MID(J189,SEARCH("购机",J189)+LEN("购机"),LEN(J189)),IF(ISNUMBER(SEARCH("叠放支架",J189)),"【赠品】"&amp;MID(J189,SEARCH("购机",J189)+LEN("购机"),LEN(J189)),IF(ISNUMBER(SEARCH("秀图",J189)),"【秀图】"&amp;MID(J189,SEARCH("秀图",J189)+LEN("秀图"),LEN(J189)),"")))),IFERROR(LEFT(_xlpm.A,FIND("【",_xlpm.A,FIND("】",_xlpm.A)+1)-1)&amp;MID(_xlpm.A,FIND("】",_xlpm.A,FIND("】",_xlpm.A)+1)+1,LEN(_xlpm.A)),_xlpm.A))</f>
        <v/>
      </c>
      <c r="F189" s="18" t="str">
        <f>_xlfn.LET(_xlpm.A,IF(ISNUMBER(SEARCH("晒单",K189)),"【晒单】"&amp;MID(K189,SEARCH("晒单",K189)+LEN("晒单"),LEN(K189))&amp;"（需晒单后联系客服登记）",IF(ISNUMBER(SEARCH("包修",K189)),"【购机】"&amp;MID(K189,SEARCH("购机",K189)+LEN("购机"),LEN(K189)),IF(ISNUMBER(SEARCH("叠放支架",K189)),"【赠品】"&amp;MID(K189,SEARCH("购机",K189)+LEN("购机"),LEN(K189)),IF(ISNUMBER(SEARCH("秀图",K189)),"【秀图】"&amp;MID(K189,SEARCH("秀图",K189)+LEN("秀图"),LEN(K189)),"")))),IFERROR(LEFT(_xlpm.A,FIND("【",_xlpm.A,FIND("】",_xlpm.A)+1)-1)&amp;MID(_xlpm.A,FIND("】",_xlpm.A,FIND("】",_xlpm.A)+1)+1,LEN(_xlpm.A)),_xlpm.A))</f>
        <v/>
      </c>
      <c r="G189" s="18" t="str">
        <f>_xlfn.LET(_xlpm.A,IF(ISNUMBER(SEARCH("晒单",L189)),"【晒单】"&amp;MID(L189,SEARCH("晒单",L189)+LEN("晒单"),LEN(L189))&amp;"（需晒单后联系客服登记）",IF(ISNUMBER(SEARCH("包修",L189)),"【购机】"&amp;MID(L189,SEARCH("购机",L189)+LEN("购机"),LEN(L189)),IF(ISNUMBER(SEARCH("叠放支架",L189)),"【赠品】"&amp;MID(L189,SEARCH("购机",L189)+LEN("购机"),LEN(L189)),IF(ISNUMBER(SEARCH("秀图",L189)),"【秀图】"&amp;MID(L189,SEARCH("秀图",L189)+LEN("秀图"),LEN(L189)),"")))),IFERROR(LEFT(_xlpm.A,FIND("【",_xlpm.A,FIND("】",_xlpm.A)+1)-1)&amp;MID(_xlpm.A,FIND("】",_xlpm.A,FIND("】",_xlpm.A)+1)+1,LEN(_xlpm.A)),_xlpm.A))</f>
        <v/>
      </c>
      <c r="H189" s="18" t="str">
        <f>_xlfn.LET(_xlpm.A,IF(ISNUMBER(SEARCH("晒单",M189)),"【晒单】"&amp;MID(M189,SEARCH("晒单",M189)+LEN("晒单"),LEN(M189))&amp;"（需晒单后联系客服登记）",IF(ISNUMBER(SEARCH("包修",M189)),"【购机】"&amp;MID(M189,SEARCH("购机",M189)+LEN("购机"),LEN(M189)),IF(ISNUMBER(SEARCH("叠放支架",M189)),"【赠品】"&amp;MID(M189,SEARCH("购机",M189)+LEN("购机"),LEN(M189)),IF(ISNUMBER(SEARCH("秀图",M189)),"【秀图】"&amp;MID(M189,SEARCH("秀图",M189)+LEN("秀图"),LEN(M189)),"")))),IFERROR(LEFT(_xlpm.A,FIND("【",_xlpm.A,FIND("】",_xlpm.A)+1)-1)&amp;MID(_xlpm.A,FIND("】",_xlpm.A,FIND("】",_xlpm.A)+1)+1,LEN(_xlpm.A)),_xlpm.A))</f>
        <v/>
      </c>
      <c r="I189" s="18" t="str">
        <f>_xlfn.LET(_xlpm.A,IF(ISNUMBER(SEARCH("晒单",N189)),"【晒单】"&amp;MID(N189,SEARCH("晒单",N189)+LEN("晒单"),LEN(N189))&amp;"（需晒单后联系客服登记）",IF(ISNUMBER(SEARCH("包修",N189)),"【购机】"&amp;MID(N189,SEARCH("购机",N189)+LEN("购机"),LEN(N189)),IF(ISNUMBER(SEARCH("叠放支架",N189)),"【赠品】"&amp;MID(N189,SEARCH("购机",N189)+LEN("购机"),LEN(N189)),IF(ISNUMBER(SEARCH("秀图",N189)),"【秀图】"&amp;MID(N189,SEARCH("秀图",N189)+LEN("秀图"),LEN(N189)),"")))),IFERROR(LEFT(_xlpm.A,FIND("【",_xlpm.A,FIND("】",_xlpm.A)+1)-1)&amp;MID(_xlpm.A,FIND("】",_xlpm.A,FIND("】",_xlpm.A)+1)+1,LEN(_xlpm.A)),_xlpm.A))</f>
        <v/>
      </c>
      <c r="J189" s="18" t="str" cm="1">
        <f t="array" ref="J189">IFERROR(INDEX(_xlfn.TEXTSPLIT(_xlfn.XLOOKUP($A189&amp;$B189&amp;$C189,盘货信息!$A:$A&amp;盘货信息!$B:$B&amp;盘货信息!$C:$C,盘货信息!$S:$S),CHAR(10),,TRUE),1,COLUMN(A188)),"")</f>
        <v/>
      </c>
      <c r="K189" s="18" t="str" cm="1">
        <f t="array" ref="K189">IFERROR(INDEX(_xlfn.TEXTSPLIT(_xlfn.XLOOKUP($A189&amp;$B189&amp;$C189,盘货信息!$A:$A&amp;盘货信息!$B:$B&amp;盘货信息!$C:$C,盘货信息!$S:$S),CHAR(10),,TRUE),1,COLUMN(B188)),"")</f>
        <v/>
      </c>
      <c r="L189" s="18" t="str" cm="1">
        <f t="array" ref="L189">IFERROR(INDEX(_xlfn.TEXTSPLIT(_xlfn.XLOOKUP($A189&amp;$B189&amp;$C189,盘货信息!$A:$A&amp;盘货信息!$B:$B&amp;盘货信息!$C:$C,盘货信息!$S:$S),CHAR(10),,TRUE),1,COLUMN(C188)),"")</f>
        <v/>
      </c>
      <c r="M189" s="18" t="str" cm="1">
        <f t="array" ref="M189">IFERROR(INDEX(_xlfn.TEXTSPLIT(_xlfn.XLOOKUP($A189&amp;$B189&amp;$C189,盘货信息!$A:$A&amp;盘货信息!$B:$B&amp;盘货信息!$C:$C,盘货信息!$S:$S),CHAR(10),,TRUE),1,COLUMN(D188)),"")</f>
        <v/>
      </c>
      <c r="N189" s="18" t="str" cm="1">
        <f t="array" ref="N189">IFERROR(INDEX(_xlfn.TEXTSPLIT(_xlfn.XLOOKUP($A189&amp;$B189&amp;$C189,盘货信息!$A:$A&amp;盘货信息!$B:$B&amp;盘货信息!$C:$C,盘货信息!$S:$S),CHAR(10),,TRUE),1,COLUMN(E188)),"")</f>
        <v/>
      </c>
    </row>
    <row r="190" customHeight="1" spans="1:14">
      <c r="A190" s="17" t="str">
        <f>IF(盘货信息!A190="","",盘货信息!A190)</f>
        <v/>
      </c>
      <c r="B190" s="17" t="str">
        <f>IF(盘货信息!B190="","",盘货信息!B190)</f>
        <v/>
      </c>
      <c r="C190" s="18" t="str">
        <f>IF(盘货信息!C190="","",盘货信息!C190)</f>
        <v/>
      </c>
      <c r="D190" s="18" t="str">
        <f t="shared" si="2"/>
        <v/>
      </c>
      <c r="E190" s="18" t="str">
        <f>_xlfn.LET(_xlpm.A,IF(ISNUMBER(SEARCH("晒单",J190)),"【晒单】"&amp;MID(J190,SEARCH("晒单",J190)+LEN("晒单"),LEN(J190))&amp;"（需晒单后联系客服登记）",IF(ISNUMBER(SEARCH("包修",J190)),"【购机】"&amp;MID(J190,SEARCH("购机",J190)+LEN("购机"),LEN(J190)),IF(ISNUMBER(SEARCH("叠放支架",J190)),"【赠品】"&amp;MID(J190,SEARCH("购机",J190)+LEN("购机"),LEN(J190)),IF(ISNUMBER(SEARCH("秀图",J190)),"【秀图】"&amp;MID(J190,SEARCH("秀图",J190)+LEN("秀图"),LEN(J190)),"")))),IFERROR(LEFT(_xlpm.A,FIND("【",_xlpm.A,FIND("】",_xlpm.A)+1)-1)&amp;MID(_xlpm.A,FIND("】",_xlpm.A,FIND("】",_xlpm.A)+1)+1,LEN(_xlpm.A)),_xlpm.A))</f>
        <v/>
      </c>
      <c r="F190" s="18" t="str">
        <f>_xlfn.LET(_xlpm.A,IF(ISNUMBER(SEARCH("晒单",K190)),"【晒单】"&amp;MID(K190,SEARCH("晒单",K190)+LEN("晒单"),LEN(K190))&amp;"（需晒单后联系客服登记）",IF(ISNUMBER(SEARCH("包修",K190)),"【购机】"&amp;MID(K190,SEARCH("购机",K190)+LEN("购机"),LEN(K190)),IF(ISNUMBER(SEARCH("叠放支架",K190)),"【赠品】"&amp;MID(K190,SEARCH("购机",K190)+LEN("购机"),LEN(K190)),IF(ISNUMBER(SEARCH("秀图",K190)),"【秀图】"&amp;MID(K190,SEARCH("秀图",K190)+LEN("秀图"),LEN(K190)),"")))),IFERROR(LEFT(_xlpm.A,FIND("【",_xlpm.A,FIND("】",_xlpm.A)+1)-1)&amp;MID(_xlpm.A,FIND("】",_xlpm.A,FIND("】",_xlpm.A)+1)+1,LEN(_xlpm.A)),_xlpm.A))</f>
        <v/>
      </c>
      <c r="G190" s="18" t="str">
        <f>_xlfn.LET(_xlpm.A,IF(ISNUMBER(SEARCH("晒单",L190)),"【晒单】"&amp;MID(L190,SEARCH("晒单",L190)+LEN("晒单"),LEN(L190))&amp;"（需晒单后联系客服登记）",IF(ISNUMBER(SEARCH("包修",L190)),"【购机】"&amp;MID(L190,SEARCH("购机",L190)+LEN("购机"),LEN(L190)),IF(ISNUMBER(SEARCH("叠放支架",L190)),"【赠品】"&amp;MID(L190,SEARCH("购机",L190)+LEN("购机"),LEN(L190)),IF(ISNUMBER(SEARCH("秀图",L190)),"【秀图】"&amp;MID(L190,SEARCH("秀图",L190)+LEN("秀图"),LEN(L190)),"")))),IFERROR(LEFT(_xlpm.A,FIND("【",_xlpm.A,FIND("】",_xlpm.A)+1)-1)&amp;MID(_xlpm.A,FIND("】",_xlpm.A,FIND("】",_xlpm.A)+1)+1,LEN(_xlpm.A)),_xlpm.A))</f>
        <v/>
      </c>
      <c r="H190" s="18" t="str">
        <f>_xlfn.LET(_xlpm.A,IF(ISNUMBER(SEARCH("晒单",M190)),"【晒单】"&amp;MID(M190,SEARCH("晒单",M190)+LEN("晒单"),LEN(M190))&amp;"（需晒单后联系客服登记）",IF(ISNUMBER(SEARCH("包修",M190)),"【购机】"&amp;MID(M190,SEARCH("购机",M190)+LEN("购机"),LEN(M190)),IF(ISNUMBER(SEARCH("叠放支架",M190)),"【赠品】"&amp;MID(M190,SEARCH("购机",M190)+LEN("购机"),LEN(M190)),IF(ISNUMBER(SEARCH("秀图",M190)),"【秀图】"&amp;MID(M190,SEARCH("秀图",M190)+LEN("秀图"),LEN(M190)),"")))),IFERROR(LEFT(_xlpm.A,FIND("【",_xlpm.A,FIND("】",_xlpm.A)+1)-1)&amp;MID(_xlpm.A,FIND("】",_xlpm.A,FIND("】",_xlpm.A)+1)+1,LEN(_xlpm.A)),_xlpm.A))</f>
        <v/>
      </c>
      <c r="I190" s="18" t="str">
        <f>_xlfn.LET(_xlpm.A,IF(ISNUMBER(SEARCH("晒单",N190)),"【晒单】"&amp;MID(N190,SEARCH("晒单",N190)+LEN("晒单"),LEN(N190))&amp;"（需晒单后联系客服登记）",IF(ISNUMBER(SEARCH("包修",N190)),"【购机】"&amp;MID(N190,SEARCH("购机",N190)+LEN("购机"),LEN(N190)),IF(ISNUMBER(SEARCH("叠放支架",N190)),"【赠品】"&amp;MID(N190,SEARCH("购机",N190)+LEN("购机"),LEN(N190)),IF(ISNUMBER(SEARCH("秀图",N190)),"【秀图】"&amp;MID(N190,SEARCH("秀图",N190)+LEN("秀图"),LEN(N190)),"")))),IFERROR(LEFT(_xlpm.A,FIND("【",_xlpm.A,FIND("】",_xlpm.A)+1)-1)&amp;MID(_xlpm.A,FIND("】",_xlpm.A,FIND("】",_xlpm.A)+1)+1,LEN(_xlpm.A)),_xlpm.A))</f>
        <v/>
      </c>
      <c r="J190" s="18" t="str" cm="1">
        <f t="array" ref="J190">IFERROR(INDEX(_xlfn.TEXTSPLIT(_xlfn.XLOOKUP($A190&amp;$B190&amp;$C190,盘货信息!$A:$A&amp;盘货信息!$B:$B&amp;盘货信息!$C:$C,盘货信息!$S:$S),CHAR(10),,TRUE),1,COLUMN(A189)),"")</f>
        <v/>
      </c>
      <c r="K190" s="18" t="str" cm="1">
        <f t="array" ref="K190">IFERROR(INDEX(_xlfn.TEXTSPLIT(_xlfn.XLOOKUP($A190&amp;$B190&amp;$C190,盘货信息!$A:$A&amp;盘货信息!$B:$B&amp;盘货信息!$C:$C,盘货信息!$S:$S),CHAR(10),,TRUE),1,COLUMN(B189)),"")</f>
        <v/>
      </c>
      <c r="L190" s="18" t="str" cm="1">
        <f t="array" ref="L190">IFERROR(INDEX(_xlfn.TEXTSPLIT(_xlfn.XLOOKUP($A190&amp;$B190&amp;$C190,盘货信息!$A:$A&amp;盘货信息!$B:$B&amp;盘货信息!$C:$C,盘货信息!$S:$S),CHAR(10),,TRUE),1,COLUMN(C189)),"")</f>
        <v/>
      </c>
      <c r="M190" s="18" t="str" cm="1">
        <f t="array" ref="M190">IFERROR(INDEX(_xlfn.TEXTSPLIT(_xlfn.XLOOKUP($A190&amp;$B190&amp;$C190,盘货信息!$A:$A&amp;盘货信息!$B:$B&amp;盘货信息!$C:$C,盘货信息!$S:$S),CHAR(10),,TRUE),1,COLUMN(D189)),"")</f>
        <v/>
      </c>
      <c r="N190" s="18" t="str" cm="1">
        <f t="array" ref="N190">IFERROR(INDEX(_xlfn.TEXTSPLIT(_xlfn.XLOOKUP($A190&amp;$B190&amp;$C190,盘货信息!$A:$A&amp;盘货信息!$B:$B&amp;盘货信息!$C:$C,盘货信息!$S:$S),CHAR(10),,TRUE),1,COLUMN(E189)),"")</f>
        <v/>
      </c>
    </row>
    <row r="191" customHeight="1" spans="1:14">
      <c r="A191" s="17" t="str">
        <f>IF(盘货信息!A191="","",盘货信息!A191)</f>
        <v/>
      </c>
      <c r="B191" s="17" t="str">
        <f>IF(盘货信息!B191="","",盘货信息!B191)</f>
        <v/>
      </c>
      <c r="C191" s="18" t="str">
        <f>IF(盘货信息!C191="","",盘货信息!C191)</f>
        <v/>
      </c>
      <c r="D191" s="18" t="str">
        <f t="shared" si="2"/>
        <v/>
      </c>
      <c r="E191" s="18" t="str">
        <f>_xlfn.LET(_xlpm.A,IF(ISNUMBER(SEARCH("晒单",J191)),"【晒单】"&amp;MID(J191,SEARCH("晒单",J191)+LEN("晒单"),LEN(J191))&amp;"（需晒单后联系客服登记）",IF(ISNUMBER(SEARCH("包修",J191)),"【购机】"&amp;MID(J191,SEARCH("购机",J191)+LEN("购机"),LEN(J191)),IF(ISNUMBER(SEARCH("叠放支架",J191)),"【赠品】"&amp;MID(J191,SEARCH("购机",J191)+LEN("购机"),LEN(J191)),IF(ISNUMBER(SEARCH("秀图",J191)),"【秀图】"&amp;MID(J191,SEARCH("秀图",J191)+LEN("秀图"),LEN(J191)),"")))),IFERROR(LEFT(_xlpm.A,FIND("【",_xlpm.A,FIND("】",_xlpm.A)+1)-1)&amp;MID(_xlpm.A,FIND("】",_xlpm.A,FIND("】",_xlpm.A)+1)+1,LEN(_xlpm.A)),_xlpm.A))</f>
        <v/>
      </c>
      <c r="F191" s="18" t="str">
        <f>_xlfn.LET(_xlpm.A,IF(ISNUMBER(SEARCH("晒单",K191)),"【晒单】"&amp;MID(K191,SEARCH("晒单",K191)+LEN("晒单"),LEN(K191))&amp;"（需晒单后联系客服登记）",IF(ISNUMBER(SEARCH("包修",K191)),"【购机】"&amp;MID(K191,SEARCH("购机",K191)+LEN("购机"),LEN(K191)),IF(ISNUMBER(SEARCH("叠放支架",K191)),"【赠品】"&amp;MID(K191,SEARCH("购机",K191)+LEN("购机"),LEN(K191)),IF(ISNUMBER(SEARCH("秀图",K191)),"【秀图】"&amp;MID(K191,SEARCH("秀图",K191)+LEN("秀图"),LEN(K191)),"")))),IFERROR(LEFT(_xlpm.A,FIND("【",_xlpm.A,FIND("】",_xlpm.A)+1)-1)&amp;MID(_xlpm.A,FIND("】",_xlpm.A,FIND("】",_xlpm.A)+1)+1,LEN(_xlpm.A)),_xlpm.A))</f>
        <v/>
      </c>
      <c r="G191" s="18" t="str">
        <f>_xlfn.LET(_xlpm.A,IF(ISNUMBER(SEARCH("晒单",L191)),"【晒单】"&amp;MID(L191,SEARCH("晒单",L191)+LEN("晒单"),LEN(L191))&amp;"（需晒单后联系客服登记）",IF(ISNUMBER(SEARCH("包修",L191)),"【购机】"&amp;MID(L191,SEARCH("购机",L191)+LEN("购机"),LEN(L191)),IF(ISNUMBER(SEARCH("叠放支架",L191)),"【赠品】"&amp;MID(L191,SEARCH("购机",L191)+LEN("购机"),LEN(L191)),IF(ISNUMBER(SEARCH("秀图",L191)),"【秀图】"&amp;MID(L191,SEARCH("秀图",L191)+LEN("秀图"),LEN(L191)),"")))),IFERROR(LEFT(_xlpm.A,FIND("【",_xlpm.A,FIND("】",_xlpm.A)+1)-1)&amp;MID(_xlpm.A,FIND("】",_xlpm.A,FIND("】",_xlpm.A)+1)+1,LEN(_xlpm.A)),_xlpm.A))</f>
        <v/>
      </c>
      <c r="H191" s="18" t="str">
        <f>_xlfn.LET(_xlpm.A,IF(ISNUMBER(SEARCH("晒单",M191)),"【晒单】"&amp;MID(M191,SEARCH("晒单",M191)+LEN("晒单"),LEN(M191))&amp;"（需晒单后联系客服登记）",IF(ISNUMBER(SEARCH("包修",M191)),"【购机】"&amp;MID(M191,SEARCH("购机",M191)+LEN("购机"),LEN(M191)),IF(ISNUMBER(SEARCH("叠放支架",M191)),"【赠品】"&amp;MID(M191,SEARCH("购机",M191)+LEN("购机"),LEN(M191)),IF(ISNUMBER(SEARCH("秀图",M191)),"【秀图】"&amp;MID(M191,SEARCH("秀图",M191)+LEN("秀图"),LEN(M191)),"")))),IFERROR(LEFT(_xlpm.A,FIND("【",_xlpm.A,FIND("】",_xlpm.A)+1)-1)&amp;MID(_xlpm.A,FIND("】",_xlpm.A,FIND("】",_xlpm.A)+1)+1,LEN(_xlpm.A)),_xlpm.A))</f>
        <v/>
      </c>
      <c r="I191" s="18" t="str">
        <f>_xlfn.LET(_xlpm.A,IF(ISNUMBER(SEARCH("晒单",N191)),"【晒单】"&amp;MID(N191,SEARCH("晒单",N191)+LEN("晒单"),LEN(N191))&amp;"（需晒单后联系客服登记）",IF(ISNUMBER(SEARCH("包修",N191)),"【购机】"&amp;MID(N191,SEARCH("购机",N191)+LEN("购机"),LEN(N191)),IF(ISNUMBER(SEARCH("叠放支架",N191)),"【赠品】"&amp;MID(N191,SEARCH("购机",N191)+LEN("购机"),LEN(N191)),IF(ISNUMBER(SEARCH("秀图",N191)),"【秀图】"&amp;MID(N191,SEARCH("秀图",N191)+LEN("秀图"),LEN(N191)),"")))),IFERROR(LEFT(_xlpm.A,FIND("【",_xlpm.A,FIND("】",_xlpm.A)+1)-1)&amp;MID(_xlpm.A,FIND("】",_xlpm.A,FIND("】",_xlpm.A)+1)+1,LEN(_xlpm.A)),_xlpm.A))</f>
        <v/>
      </c>
      <c r="J191" s="18" t="str" cm="1">
        <f t="array" ref="J191">IFERROR(INDEX(_xlfn.TEXTSPLIT(_xlfn.XLOOKUP($A191&amp;$B191&amp;$C191,盘货信息!$A:$A&amp;盘货信息!$B:$B&amp;盘货信息!$C:$C,盘货信息!$S:$S),CHAR(10),,TRUE),1,COLUMN(A190)),"")</f>
        <v/>
      </c>
      <c r="K191" s="18" t="str" cm="1">
        <f t="array" ref="K191">IFERROR(INDEX(_xlfn.TEXTSPLIT(_xlfn.XLOOKUP($A191&amp;$B191&amp;$C191,盘货信息!$A:$A&amp;盘货信息!$B:$B&amp;盘货信息!$C:$C,盘货信息!$S:$S),CHAR(10),,TRUE),1,COLUMN(B190)),"")</f>
        <v/>
      </c>
      <c r="L191" s="18" t="str" cm="1">
        <f t="array" ref="L191">IFERROR(INDEX(_xlfn.TEXTSPLIT(_xlfn.XLOOKUP($A191&amp;$B191&amp;$C191,盘货信息!$A:$A&amp;盘货信息!$B:$B&amp;盘货信息!$C:$C,盘货信息!$S:$S),CHAR(10),,TRUE),1,COLUMN(C190)),"")</f>
        <v/>
      </c>
      <c r="M191" s="18" t="str" cm="1">
        <f t="array" ref="M191">IFERROR(INDEX(_xlfn.TEXTSPLIT(_xlfn.XLOOKUP($A191&amp;$B191&amp;$C191,盘货信息!$A:$A&amp;盘货信息!$B:$B&amp;盘货信息!$C:$C,盘货信息!$S:$S),CHAR(10),,TRUE),1,COLUMN(D190)),"")</f>
        <v/>
      </c>
      <c r="N191" s="18" t="str" cm="1">
        <f t="array" ref="N191">IFERROR(INDEX(_xlfn.TEXTSPLIT(_xlfn.XLOOKUP($A191&amp;$B191&amp;$C191,盘货信息!$A:$A&amp;盘货信息!$B:$B&amp;盘货信息!$C:$C,盘货信息!$S:$S),CHAR(10),,TRUE),1,COLUMN(E190)),"")</f>
        <v/>
      </c>
    </row>
    <row r="192" customHeight="1" spans="1:14">
      <c r="A192" s="17" t="str">
        <f>IF(盘货信息!A192="","",盘货信息!A192)</f>
        <v/>
      </c>
      <c r="B192" s="17" t="str">
        <f>IF(盘货信息!B192="","",盘货信息!B192)</f>
        <v/>
      </c>
      <c r="C192" s="18" t="str">
        <f>IF(盘货信息!C192="","",盘货信息!C192)</f>
        <v/>
      </c>
      <c r="D192" s="18" t="str">
        <f t="shared" si="2"/>
        <v/>
      </c>
      <c r="E192" s="18" t="str">
        <f>_xlfn.LET(_xlpm.A,IF(ISNUMBER(SEARCH("晒单",J192)),"【晒单】"&amp;MID(J192,SEARCH("晒单",J192)+LEN("晒单"),LEN(J192))&amp;"（需晒单后联系客服登记）",IF(ISNUMBER(SEARCH("包修",J192)),"【购机】"&amp;MID(J192,SEARCH("购机",J192)+LEN("购机"),LEN(J192)),IF(ISNUMBER(SEARCH("叠放支架",J192)),"【赠品】"&amp;MID(J192,SEARCH("购机",J192)+LEN("购机"),LEN(J192)),IF(ISNUMBER(SEARCH("秀图",J192)),"【秀图】"&amp;MID(J192,SEARCH("秀图",J192)+LEN("秀图"),LEN(J192)),"")))),IFERROR(LEFT(_xlpm.A,FIND("【",_xlpm.A,FIND("】",_xlpm.A)+1)-1)&amp;MID(_xlpm.A,FIND("】",_xlpm.A,FIND("】",_xlpm.A)+1)+1,LEN(_xlpm.A)),_xlpm.A))</f>
        <v/>
      </c>
      <c r="F192" s="18" t="str">
        <f>_xlfn.LET(_xlpm.A,IF(ISNUMBER(SEARCH("晒单",K192)),"【晒单】"&amp;MID(K192,SEARCH("晒单",K192)+LEN("晒单"),LEN(K192))&amp;"（需晒单后联系客服登记）",IF(ISNUMBER(SEARCH("包修",K192)),"【购机】"&amp;MID(K192,SEARCH("购机",K192)+LEN("购机"),LEN(K192)),IF(ISNUMBER(SEARCH("叠放支架",K192)),"【赠品】"&amp;MID(K192,SEARCH("购机",K192)+LEN("购机"),LEN(K192)),IF(ISNUMBER(SEARCH("秀图",K192)),"【秀图】"&amp;MID(K192,SEARCH("秀图",K192)+LEN("秀图"),LEN(K192)),"")))),IFERROR(LEFT(_xlpm.A,FIND("【",_xlpm.A,FIND("】",_xlpm.A)+1)-1)&amp;MID(_xlpm.A,FIND("】",_xlpm.A,FIND("】",_xlpm.A)+1)+1,LEN(_xlpm.A)),_xlpm.A))</f>
        <v/>
      </c>
      <c r="G192" s="18" t="str">
        <f>_xlfn.LET(_xlpm.A,IF(ISNUMBER(SEARCH("晒单",L192)),"【晒单】"&amp;MID(L192,SEARCH("晒单",L192)+LEN("晒单"),LEN(L192))&amp;"（需晒单后联系客服登记）",IF(ISNUMBER(SEARCH("包修",L192)),"【购机】"&amp;MID(L192,SEARCH("购机",L192)+LEN("购机"),LEN(L192)),IF(ISNUMBER(SEARCH("叠放支架",L192)),"【赠品】"&amp;MID(L192,SEARCH("购机",L192)+LEN("购机"),LEN(L192)),IF(ISNUMBER(SEARCH("秀图",L192)),"【秀图】"&amp;MID(L192,SEARCH("秀图",L192)+LEN("秀图"),LEN(L192)),"")))),IFERROR(LEFT(_xlpm.A,FIND("【",_xlpm.A,FIND("】",_xlpm.A)+1)-1)&amp;MID(_xlpm.A,FIND("】",_xlpm.A,FIND("】",_xlpm.A)+1)+1,LEN(_xlpm.A)),_xlpm.A))</f>
        <v/>
      </c>
      <c r="H192" s="18" t="str">
        <f>_xlfn.LET(_xlpm.A,IF(ISNUMBER(SEARCH("晒单",M192)),"【晒单】"&amp;MID(M192,SEARCH("晒单",M192)+LEN("晒单"),LEN(M192))&amp;"（需晒单后联系客服登记）",IF(ISNUMBER(SEARCH("包修",M192)),"【购机】"&amp;MID(M192,SEARCH("购机",M192)+LEN("购机"),LEN(M192)),IF(ISNUMBER(SEARCH("叠放支架",M192)),"【赠品】"&amp;MID(M192,SEARCH("购机",M192)+LEN("购机"),LEN(M192)),IF(ISNUMBER(SEARCH("秀图",M192)),"【秀图】"&amp;MID(M192,SEARCH("秀图",M192)+LEN("秀图"),LEN(M192)),"")))),IFERROR(LEFT(_xlpm.A,FIND("【",_xlpm.A,FIND("】",_xlpm.A)+1)-1)&amp;MID(_xlpm.A,FIND("】",_xlpm.A,FIND("】",_xlpm.A)+1)+1,LEN(_xlpm.A)),_xlpm.A))</f>
        <v/>
      </c>
      <c r="I192" s="18" t="str">
        <f>_xlfn.LET(_xlpm.A,IF(ISNUMBER(SEARCH("晒单",N192)),"【晒单】"&amp;MID(N192,SEARCH("晒单",N192)+LEN("晒单"),LEN(N192))&amp;"（需晒单后联系客服登记）",IF(ISNUMBER(SEARCH("包修",N192)),"【购机】"&amp;MID(N192,SEARCH("购机",N192)+LEN("购机"),LEN(N192)),IF(ISNUMBER(SEARCH("叠放支架",N192)),"【赠品】"&amp;MID(N192,SEARCH("购机",N192)+LEN("购机"),LEN(N192)),IF(ISNUMBER(SEARCH("秀图",N192)),"【秀图】"&amp;MID(N192,SEARCH("秀图",N192)+LEN("秀图"),LEN(N192)),"")))),IFERROR(LEFT(_xlpm.A,FIND("【",_xlpm.A,FIND("】",_xlpm.A)+1)-1)&amp;MID(_xlpm.A,FIND("】",_xlpm.A,FIND("】",_xlpm.A)+1)+1,LEN(_xlpm.A)),_xlpm.A))</f>
        <v/>
      </c>
      <c r="J192" s="18" t="str" cm="1">
        <f t="array" ref="J192">IFERROR(INDEX(_xlfn.TEXTSPLIT(_xlfn.XLOOKUP($A192&amp;$B192&amp;$C192,盘货信息!$A:$A&amp;盘货信息!$B:$B&amp;盘货信息!$C:$C,盘货信息!$S:$S),CHAR(10),,TRUE),1,COLUMN(A191)),"")</f>
        <v/>
      </c>
      <c r="K192" s="18" t="str" cm="1">
        <f t="array" ref="K192">IFERROR(INDEX(_xlfn.TEXTSPLIT(_xlfn.XLOOKUP($A192&amp;$B192&amp;$C192,盘货信息!$A:$A&amp;盘货信息!$B:$B&amp;盘货信息!$C:$C,盘货信息!$S:$S),CHAR(10),,TRUE),1,COLUMN(B191)),"")</f>
        <v/>
      </c>
      <c r="L192" s="18" t="str" cm="1">
        <f t="array" ref="L192">IFERROR(INDEX(_xlfn.TEXTSPLIT(_xlfn.XLOOKUP($A192&amp;$B192&amp;$C192,盘货信息!$A:$A&amp;盘货信息!$B:$B&amp;盘货信息!$C:$C,盘货信息!$S:$S),CHAR(10),,TRUE),1,COLUMN(C191)),"")</f>
        <v/>
      </c>
      <c r="M192" s="18" t="str" cm="1">
        <f t="array" ref="M192">IFERROR(INDEX(_xlfn.TEXTSPLIT(_xlfn.XLOOKUP($A192&amp;$B192&amp;$C192,盘货信息!$A:$A&amp;盘货信息!$B:$B&amp;盘货信息!$C:$C,盘货信息!$S:$S),CHAR(10),,TRUE),1,COLUMN(D191)),"")</f>
        <v/>
      </c>
      <c r="N192" s="18" t="str" cm="1">
        <f t="array" ref="N192">IFERROR(INDEX(_xlfn.TEXTSPLIT(_xlfn.XLOOKUP($A192&amp;$B192&amp;$C192,盘货信息!$A:$A&amp;盘货信息!$B:$B&amp;盘货信息!$C:$C,盘货信息!$S:$S),CHAR(10),,TRUE),1,COLUMN(E191)),"")</f>
        <v/>
      </c>
    </row>
    <row r="193" customHeight="1" spans="1:14">
      <c r="A193" s="17" t="str">
        <f>IF(盘货信息!A193="","",盘货信息!A193)</f>
        <v/>
      </c>
      <c r="B193" s="17" t="str">
        <f>IF(盘货信息!B193="","",盘货信息!B193)</f>
        <v/>
      </c>
      <c r="C193" s="18" t="str">
        <f>IF(盘货信息!C193="","",盘货信息!C193)</f>
        <v/>
      </c>
      <c r="D193" s="18" t="str">
        <f t="shared" si="2"/>
        <v/>
      </c>
      <c r="E193" s="18" t="str">
        <f>_xlfn.LET(_xlpm.A,IF(ISNUMBER(SEARCH("晒单",J193)),"【晒单】"&amp;MID(J193,SEARCH("晒单",J193)+LEN("晒单"),LEN(J193))&amp;"（需晒单后联系客服登记）",IF(ISNUMBER(SEARCH("包修",J193)),"【购机】"&amp;MID(J193,SEARCH("购机",J193)+LEN("购机"),LEN(J193)),IF(ISNUMBER(SEARCH("叠放支架",J193)),"【赠品】"&amp;MID(J193,SEARCH("购机",J193)+LEN("购机"),LEN(J193)),IF(ISNUMBER(SEARCH("秀图",J193)),"【秀图】"&amp;MID(J193,SEARCH("秀图",J193)+LEN("秀图"),LEN(J193)),"")))),IFERROR(LEFT(_xlpm.A,FIND("【",_xlpm.A,FIND("】",_xlpm.A)+1)-1)&amp;MID(_xlpm.A,FIND("】",_xlpm.A,FIND("】",_xlpm.A)+1)+1,LEN(_xlpm.A)),_xlpm.A))</f>
        <v/>
      </c>
      <c r="F193" s="18" t="str">
        <f>_xlfn.LET(_xlpm.A,IF(ISNUMBER(SEARCH("晒单",K193)),"【晒单】"&amp;MID(K193,SEARCH("晒单",K193)+LEN("晒单"),LEN(K193))&amp;"（需晒单后联系客服登记）",IF(ISNUMBER(SEARCH("包修",K193)),"【购机】"&amp;MID(K193,SEARCH("购机",K193)+LEN("购机"),LEN(K193)),IF(ISNUMBER(SEARCH("叠放支架",K193)),"【赠品】"&amp;MID(K193,SEARCH("购机",K193)+LEN("购机"),LEN(K193)),IF(ISNUMBER(SEARCH("秀图",K193)),"【秀图】"&amp;MID(K193,SEARCH("秀图",K193)+LEN("秀图"),LEN(K193)),"")))),IFERROR(LEFT(_xlpm.A,FIND("【",_xlpm.A,FIND("】",_xlpm.A)+1)-1)&amp;MID(_xlpm.A,FIND("】",_xlpm.A,FIND("】",_xlpm.A)+1)+1,LEN(_xlpm.A)),_xlpm.A))</f>
        <v/>
      </c>
      <c r="G193" s="18" t="str">
        <f>_xlfn.LET(_xlpm.A,IF(ISNUMBER(SEARCH("晒单",L193)),"【晒单】"&amp;MID(L193,SEARCH("晒单",L193)+LEN("晒单"),LEN(L193))&amp;"（需晒单后联系客服登记）",IF(ISNUMBER(SEARCH("包修",L193)),"【购机】"&amp;MID(L193,SEARCH("购机",L193)+LEN("购机"),LEN(L193)),IF(ISNUMBER(SEARCH("叠放支架",L193)),"【赠品】"&amp;MID(L193,SEARCH("购机",L193)+LEN("购机"),LEN(L193)),IF(ISNUMBER(SEARCH("秀图",L193)),"【秀图】"&amp;MID(L193,SEARCH("秀图",L193)+LEN("秀图"),LEN(L193)),"")))),IFERROR(LEFT(_xlpm.A,FIND("【",_xlpm.A,FIND("】",_xlpm.A)+1)-1)&amp;MID(_xlpm.A,FIND("】",_xlpm.A,FIND("】",_xlpm.A)+1)+1,LEN(_xlpm.A)),_xlpm.A))</f>
        <v/>
      </c>
      <c r="H193" s="18" t="str">
        <f>_xlfn.LET(_xlpm.A,IF(ISNUMBER(SEARCH("晒单",M193)),"【晒单】"&amp;MID(M193,SEARCH("晒单",M193)+LEN("晒单"),LEN(M193))&amp;"（需晒单后联系客服登记）",IF(ISNUMBER(SEARCH("包修",M193)),"【购机】"&amp;MID(M193,SEARCH("购机",M193)+LEN("购机"),LEN(M193)),IF(ISNUMBER(SEARCH("叠放支架",M193)),"【赠品】"&amp;MID(M193,SEARCH("购机",M193)+LEN("购机"),LEN(M193)),IF(ISNUMBER(SEARCH("秀图",M193)),"【秀图】"&amp;MID(M193,SEARCH("秀图",M193)+LEN("秀图"),LEN(M193)),"")))),IFERROR(LEFT(_xlpm.A,FIND("【",_xlpm.A,FIND("】",_xlpm.A)+1)-1)&amp;MID(_xlpm.A,FIND("】",_xlpm.A,FIND("】",_xlpm.A)+1)+1,LEN(_xlpm.A)),_xlpm.A))</f>
        <v/>
      </c>
      <c r="I193" s="18" t="str">
        <f>_xlfn.LET(_xlpm.A,IF(ISNUMBER(SEARCH("晒单",N193)),"【晒单】"&amp;MID(N193,SEARCH("晒单",N193)+LEN("晒单"),LEN(N193))&amp;"（需晒单后联系客服登记）",IF(ISNUMBER(SEARCH("包修",N193)),"【购机】"&amp;MID(N193,SEARCH("购机",N193)+LEN("购机"),LEN(N193)),IF(ISNUMBER(SEARCH("叠放支架",N193)),"【赠品】"&amp;MID(N193,SEARCH("购机",N193)+LEN("购机"),LEN(N193)),IF(ISNUMBER(SEARCH("秀图",N193)),"【秀图】"&amp;MID(N193,SEARCH("秀图",N193)+LEN("秀图"),LEN(N193)),"")))),IFERROR(LEFT(_xlpm.A,FIND("【",_xlpm.A,FIND("】",_xlpm.A)+1)-1)&amp;MID(_xlpm.A,FIND("】",_xlpm.A,FIND("】",_xlpm.A)+1)+1,LEN(_xlpm.A)),_xlpm.A))</f>
        <v/>
      </c>
      <c r="J193" s="18" t="str" cm="1">
        <f t="array" ref="J193">IFERROR(INDEX(_xlfn.TEXTSPLIT(_xlfn.XLOOKUP($A193&amp;$B193&amp;$C193,盘货信息!$A:$A&amp;盘货信息!$B:$B&amp;盘货信息!$C:$C,盘货信息!$S:$S),CHAR(10),,TRUE),1,COLUMN(A192)),"")</f>
        <v/>
      </c>
      <c r="K193" s="18" t="str" cm="1">
        <f t="array" ref="K193">IFERROR(INDEX(_xlfn.TEXTSPLIT(_xlfn.XLOOKUP($A193&amp;$B193&amp;$C193,盘货信息!$A:$A&amp;盘货信息!$B:$B&amp;盘货信息!$C:$C,盘货信息!$S:$S),CHAR(10),,TRUE),1,COLUMN(B192)),"")</f>
        <v/>
      </c>
      <c r="L193" s="18" t="str" cm="1">
        <f t="array" ref="L193">IFERROR(INDEX(_xlfn.TEXTSPLIT(_xlfn.XLOOKUP($A193&amp;$B193&amp;$C193,盘货信息!$A:$A&amp;盘货信息!$B:$B&amp;盘货信息!$C:$C,盘货信息!$S:$S),CHAR(10),,TRUE),1,COLUMN(C192)),"")</f>
        <v/>
      </c>
      <c r="M193" s="18" t="str" cm="1">
        <f t="array" ref="M193">IFERROR(INDEX(_xlfn.TEXTSPLIT(_xlfn.XLOOKUP($A193&amp;$B193&amp;$C193,盘货信息!$A:$A&amp;盘货信息!$B:$B&amp;盘货信息!$C:$C,盘货信息!$S:$S),CHAR(10),,TRUE),1,COLUMN(D192)),"")</f>
        <v/>
      </c>
      <c r="N193" s="18" t="str" cm="1">
        <f t="array" ref="N193">IFERROR(INDEX(_xlfn.TEXTSPLIT(_xlfn.XLOOKUP($A193&amp;$B193&amp;$C193,盘货信息!$A:$A&amp;盘货信息!$B:$B&amp;盘货信息!$C:$C,盘货信息!$S:$S),CHAR(10),,TRUE),1,COLUMN(E192)),"")</f>
        <v/>
      </c>
    </row>
    <row r="194" customHeight="1" spans="1:14">
      <c r="A194" s="17" t="str">
        <f>IF(盘货信息!A194="","",盘货信息!A194)</f>
        <v/>
      </c>
      <c r="B194" s="17" t="str">
        <f>IF(盘货信息!B194="","",盘货信息!B194)</f>
        <v/>
      </c>
      <c r="C194" s="18" t="str">
        <f>IF(盘货信息!C194="","",盘货信息!C194)</f>
        <v/>
      </c>
      <c r="D194" s="18" t="str">
        <f t="shared" ref="D194:D257" si="3">_xlfn.TEXTJOIN(CHAR(10),TRUE,E194:I194)</f>
        <v/>
      </c>
      <c r="E194" s="18" t="str">
        <f>_xlfn.LET(_xlpm.A,IF(ISNUMBER(SEARCH("晒单",J194)),"【晒单】"&amp;MID(J194,SEARCH("晒单",J194)+LEN("晒单"),LEN(J194))&amp;"（需晒单后联系客服登记）",IF(ISNUMBER(SEARCH("包修",J194)),"【购机】"&amp;MID(J194,SEARCH("购机",J194)+LEN("购机"),LEN(J194)),IF(ISNUMBER(SEARCH("叠放支架",J194)),"【赠品】"&amp;MID(J194,SEARCH("购机",J194)+LEN("购机"),LEN(J194)),IF(ISNUMBER(SEARCH("秀图",J194)),"【秀图】"&amp;MID(J194,SEARCH("秀图",J194)+LEN("秀图"),LEN(J194)),"")))),IFERROR(LEFT(_xlpm.A,FIND("【",_xlpm.A,FIND("】",_xlpm.A)+1)-1)&amp;MID(_xlpm.A,FIND("】",_xlpm.A,FIND("】",_xlpm.A)+1)+1,LEN(_xlpm.A)),_xlpm.A))</f>
        <v/>
      </c>
      <c r="F194" s="18" t="str">
        <f>_xlfn.LET(_xlpm.A,IF(ISNUMBER(SEARCH("晒单",K194)),"【晒单】"&amp;MID(K194,SEARCH("晒单",K194)+LEN("晒单"),LEN(K194))&amp;"（需晒单后联系客服登记）",IF(ISNUMBER(SEARCH("包修",K194)),"【购机】"&amp;MID(K194,SEARCH("购机",K194)+LEN("购机"),LEN(K194)),IF(ISNUMBER(SEARCH("叠放支架",K194)),"【赠品】"&amp;MID(K194,SEARCH("购机",K194)+LEN("购机"),LEN(K194)),IF(ISNUMBER(SEARCH("秀图",K194)),"【秀图】"&amp;MID(K194,SEARCH("秀图",K194)+LEN("秀图"),LEN(K194)),"")))),IFERROR(LEFT(_xlpm.A,FIND("【",_xlpm.A,FIND("】",_xlpm.A)+1)-1)&amp;MID(_xlpm.A,FIND("】",_xlpm.A,FIND("】",_xlpm.A)+1)+1,LEN(_xlpm.A)),_xlpm.A))</f>
        <v/>
      </c>
      <c r="G194" s="18" t="str">
        <f>_xlfn.LET(_xlpm.A,IF(ISNUMBER(SEARCH("晒单",L194)),"【晒单】"&amp;MID(L194,SEARCH("晒单",L194)+LEN("晒单"),LEN(L194))&amp;"（需晒单后联系客服登记）",IF(ISNUMBER(SEARCH("包修",L194)),"【购机】"&amp;MID(L194,SEARCH("购机",L194)+LEN("购机"),LEN(L194)),IF(ISNUMBER(SEARCH("叠放支架",L194)),"【赠品】"&amp;MID(L194,SEARCH("购机",L194)+LEN("购机"),LEN(L194)),IF(ISNUMBER(SEARCH("秀图",L194)),"【秀图】"&amp;MID(L194,SEARCH("秀图",L194)+LEN("秀图"),LEN(L194)),"")))),IFERROR(LEFT(_xlpm.A,FIND("【",_xlpm.A,FIND("】",_xlpm.A)+1)-1)&amp;MID(_xlpm.A,FIND("】",_xlpm.A,FIND("】",_xlpm.A)+1)+1,LEN(_xlpm.A)),_xlpm.A))</f>
        <v/>
      </c>
      <c r="H194" s="18" t="str">
        <f>_xlfn.LET(_xlpm.A,IF(ISNUMBER(SEARCH("晒单",M194)),"【晒单】"&amp;MID(M194,SEARCH("晒单",M194)+LEN("晒单"),LEN(M194))&amp;"（需晒单后联系客服登记）",IF(ISNUMBER(SEARCH("包修",M194)),"【购机】"&amp;MID(M194,SEARCH("购机",M194)+LEN("购机"),LEN(M194)),IF(ISNUMBER(SEARCH("叠放支架",M194)),"【赠品】"&amp;MID(M194,SEARCH("购机",M194)+LEN("购机"),LEN(M194)),IF(ISNUMBER(SEARCH("秀图",M194)),"【秀图】"&amp;MID(M194,SEARCH("秀图",M194)+LEN("秀图"),LEN(M194)),"")))),IFERROR(LEFT(_xlpm.A,FIND("【",_xlpm.A,FIND("】",_xlpm.A)+1)-1)&amp;MID(_xlpm.A,FIND("】",_xlpm.A,FIND("】",_xlpm.A)+1)+1,LEN(_xlpm.A)),_xlpm.A))</f>
        <v/>
      </c>
      <c r="I194" s="18" t="str">
        <f>_xlfn.LET(_xlpm.A,IF(ISNUMBER(SEARCH("晒单",N194)),"【晒单】"&amp;MID(N194,SEARCH("晒单",N194)+LEN("晒单"),LEN(N194))&amp;"（需晒单后联系客服登记）",IF(ISNUMBER(SEARCH("包修",N194)),"【购机】"&amp;MID(N194,SEARCH("购机",N194)+LEN("购机"),LEN(N194)),IF(ISNUMBER(SEARCH("叠放支架",N194)),"【赠品】"&amp;MID(N194,SEARCH("购机",N194)+LEN("购机"),LEN(N194)),IF(ISNUMBER(SEARCH("秀图",N194)),"【秀图】"&amp;MID(N194,SEARCH("秀图",N194)+LEN("秀图"),LEN(N194)),"")))),IFERROR(LEFT(_xlpm.A,FIND("【",_xlpm.A,FIND("】",_xlpm.A)+1)-1)&amp;MID(_xlpm.A,FIND("】",_xlpm.A,FIND("】",_xlpm.A)+1)+1,LEN(_xlpm.A)),_xlpm.A))</f>
        <v/>
      </c>
      <c r="J194" s="18" t="str" cm="1">
        <f t="array" ref="J194">IFERROR(INDEX(_xlfn.TEXTSPLIT(_xlfn.XLOOKUP($A194&amp;$B194&amp;$C194,盘货信息!$A:$A&amp;盘货信息!$B:$B&amp;盘货信息!$C:$C,盘货信息!$S:$S),CHAR(10),,TRUE),1,COLUMN(A193)),"")</f>
        <v/>
      </c>
      <c r="K194" s="18" t="str" cm="1">
        <f t="array" ref="K194">IFERROR(INDEX(_xlfn.TEXTSPLIT(_xlfn.XLOOKUP($A194&amp;$B194&amp;$C194,盘货信息!$A:$A&amp;盘货信息!$B:$B&amp;盘货信息!$C:$C,盘货信息!$S:$S),CHAR(10),,TRUE),1,COLUMN(B193)),"")</f>
        <v/>
      </c>
      <c r="L194" s="18" t="str" cm="1">
        <f t="array" ref="L194">IFERROR(INDEX(_xlfn.TEXTSPLIT(_xlfn.XLOOKUP($A194&amp;$B194&amp;$C194,盘货信息!$A:$A&amp;盘货信息!$B:$B&amp;盘货信息!$C:$C,盘货信息!$S:$S),CHAR(10),,TRUE),1,COLUMN(C193)),"")</f>
        <v/>
      </c>
      <c r="M194" s="18" t="str" cm="1">
        <f t="array" ref="M194">IFERROR(INDEX(_xlfn.TEXTSPLIT(_xlfn.XLOOKUP($A194&amp;$B194&amp;$C194,盘货信息!$A:$A&amp;盘货信息!$B:$B&amp;盘货信息!$C:$C,盘货信息!$S:$S),CHAR(10),,TRUE),1,COLUMN(D193)),"")</f>
        <v/>
      </c>
      <c r="N194" s="18" t="str" cm="1">
        <f t="array" ref="N194">IFERROR(INDEX(_xlfn.TEXTSPLIT(_xlfn.XLOOKUP($A194&amp;$B194&amp;$C194,盘货信息!$A:$A&amp;盘货信息!$B:$B&amp;盘货信息!$C:$C,盘货信息!$S:$S),CHAR(10),,TRUE),1,COLUMN(E193)),"")</f>
        <v/>
      </c>
    </row>
    <row r="195" customHeight="1" spans="1:14">
      <c r="A195" s="17" t="str">
        <f>IF(盘货信息!A195="","",盘货信息!A195)</f>
        <v/>
      </c>
      <c r="B195" s="17" t="str">
        <f>IF(盘货信息!B195="","",盘货信息!B195)</f>
        <v/>
      </c>
      <c r="C195" s="18" t="str">
        <f>IF(盘货信息!C195="","",盘货信息!C195)</f>
        <v/>
      </c>
      <c r="D195" s="18" t="str">
        <f t="shared" si="3"/>
        <v/>
      </c>
      <c r="E195" s="18" t="str">
        <f>_xlfn.LET(_xlpm.A,IF(ISNUMBER(SEARCH("晒单",J195)),"【晒单】"&amp;MID(J195,SEARCH("晒单",J195)+LEN("晒单"),LEN(J195))&amp;"（需晒单后联系客服登记）",IF(ISNUMBER(SEARCH("包修",J195)),"【购机】"&amp;MID(J195,SEARCH("购机",J195)+LEN("购机"),LEN(J195)),IF(ISNUMBER(SEARCH("叠放支架",J195)),"【赠品】"&amp;MID(J195,SEARCH("购机",J195)+LEN("购机"),LEN(J195)),IF(ISNUMBER(SEARCH("秀图",J195)),"【秀图】"&amp;MID(J195,SEARCH("秀图",J195)+LEN("秀图"),LEN(J195)),"")))),IFERROR(LEFT(_xlpm.A,FIND("【",_xlpm.A,FIND("】",_xlpm.A)+1)-1)&amp;MID(_xlpm.A,FIND("】",_xlpm.A,FIND("】",_xlpm.A)+1)+1,LEN(_xlpm.A)),_xlpm.A))</f>
        <v/>
      </c>
      <c r="F195" s="18" t="str">
        <f>_xlfn.LET(_xlpm.A,IF(ISNUMBER(SEARCH("晒单",K195)),"【晒单】"&amp;MID(K195,SEARCH("晒单",K195)+LEN("晒单"),LEN(K195))&amp;"（需晒单后联系客服登记）",IF(ISNUMBER(SEARCH("包修",K195)),"【购机】"&amp;MID(K195,SEARCH("购机",K195)+LEN("购机"),LEN(K195)),IF(ISNUMBER(SEARCH("叠放支架",K195)),"【赠品】"&amp;MID(K195,SEARCH("购机",K195)+LEN("购机"),LEN(K195)),IF(ISNUMBER(SEARCH("秀图",K195)),"【秀图】"&amp;MID(K195,SEARCH("秀图",K195)+LEN("秀图"),LEN(K195)),"")))),IFERROR(LEFT(_xlpm.A,FIND("【",_xlpm.A,FIND("】",_xlpm.A)+1)-1)&amp;MID(_xlpm.A,FIND("】",_xlpm.A,FIND("】",_xlpm.A)+1)+1,LEN(_xlpm.A)),_xlpm.A))</f>
        <v/>
      </c>
      <c r="G195" s="18" t="str">
        <f>_xlfn.LET(_xlpm.A,IF(ISNUMBER(SEARCH("晒单",L195)),"【晒单】"&amp;MID(L195,SEARCH("晒单",L195)+LEN("晒单"),LEN(L195))&amp;"（需晒单后联系客服登记）",IF(ISNUMBER(SEARCH("包修",L195)),"【购机】"&amp;MID(L195,SEARCH("购机",L195)+LEN("购机"),LEN(L195)),IF(ISNUMBER(SEARCH("叠放支架",L195)),"【赠品】"&amp;MID(L195,SEARCH("购机",L195)+LEN("购机"),LEN(L195)),IF(ISNUMBER(SEARCH("秀图",L195)),"【秀图】"&amp;MID(L195,SEARCH("秀图",L195)+LEN("秀图"),LEN(L195)),"")))),IFERROR(LEFT(_xlpm.A,FIND("【",_xlpm.A,FIND("】",_xlpm.A)+1)-1)&amp;MID(_xlpm.A,FIND("】",_xlpm.A,FIND("】",_xlpm.A)+1)+1,LEN(_xlpm.A)),_xlpm.A))</f>
        <v/>
      </c>
      <c r="H195" s="18" t="str">
        <f>_xlfn.LET(_xlpm.A,IF(ISNUMBER(SEARCH("晒单",M195)),"【晒单】"&amp;MID(M195,SEARCH("晒单",M195)+LEN("晒单"),LEN(M195))&amp;"（需晒单后联系客服登记）",IF(ISNUMBER(SEARCH("包修",M195)),"【购机】"&amp;MID(M195,SEARCH("购机",M195)+LEN("购机"),LEN(M195)),IF(ISNUMBER(SEARCH("叠放支架",M195)),"【赠品】"&amp;MID(M195,SEARCH("购机",M195)+LEN("购机"),LEN(M195)),IF(ISNUMBER(SEARCH("秀图",M195)),"【秀图】"&amp;MID(M195,SEARCH("秀图",M195)+LEN("秀图"),LEN(M195)),"")))),IFERROR(LEFT(_xlpm.A,FIND("【",_xlpm.A,FIND("】",_xlpm.A)+1)-1)&amp;MID(_xlpm.A,FIND("】",_xlpm.A,FIND("】",_xlpm.A)+1)+1,LEN(_xlpm.A)),_xlpm.A))</f>
        <v/>
      </c>
      <c r="I195" s="18" t="str">
        <f>_xlfn.LET(_xlpm.A,IF(ISNUMBER(SEARCH("晒单",N195)),"【晒单】"&amp;MID(N195,SEARCH("晒单",N195)+LEN("晒单"),LEN(N195))&amp;"（需晒单后联系客服登记）",IF(ISNUMBER(SEARCH("包修",N195)),"【购机】"&amp;MID(N195,SEARCH("购机",N195)+LEN("购机"),LEN(N195)),IF(ISNUMBER(SEARCH("叠放支架",N195)),"【赠品】"&amp;MID(N195,SEARCH("购机",N195)+LEN("购机"),LEN(N195)),IF(ISNUMBER(SEARCH("秀图",N195)),"【秀图】"&amp;MID(N195,SEARCH("秀图",N195)+LEN("秀图"),LEN(N195)),"")))),IFERROR(LEFT(_xlpm.A,FIND("【",_xlpm.A,FIND("】",_xlpm.A)+1)-1)&amp;MID(_xlpm.A,FIND("】",_xlpm.A,FIND("】",_xlpm.A)+1)+1,LEN(_xlpm.A)),_xlpm.A))</f>
        <v/>
      </c>
      <c r="J195" s="18" t="str" cm="1">
        <f t="array" ref="J195">IFERROR(INDEX(_xlfn.TEXTSPLIT(_xlfn.XLOOKUP($A195&amp;$B195&amp;$C195,盘货信息!$A:$A&amp;盘货信息!$B:$B&amp;盘货信息!$C:$C,盘货信息!$S:$S),CHAR(10),,TRUE),1,COLUMN(A194)),"")</f>
        <v/>
      </c>
      <c r="K195" s="18" t="str" cm="1">
        <f t="array" ref="K195">IFERROR(INDEX(_xlfn.TEXTSPLIT(_xlfn.XLOOKUP($A195&amp;$B195&amp;$C195,盘货信息!$A:$A&amp;盘货信息!$B:$B&amp;盘货信息!$C:$C,盘货信息!$S:$S),CHAR(10),,TRUE),1,COLUMN(B194)),"")</f>
        <v/>
      </c>
      <c r="L195" s="18" t="str" cm="1">
        <f t="array" ref="L195">IFERROR(INDEX(_xlfn.TEXTSPLIT(_xlfn.XLOOKUP($A195&amp;$B195&amp;$C195,盘货信息!$A:$A&amp;盘货信息!$B:$B&amp;盘货信息!$C:$C,盘货信息!$S:$S),CHAR(10),,TRUE),1,COLUMN(C194)),"")</f>
        <v/>
      </c>
      <c r="M195" s="18" t="str" cm="1">
        <f t="array" ref="M195">IFERROR(INDEX(_xlfn.TEXTSPLIT(_xlfn.XLOOKUP($A195&amp;$B195&amp;$C195,盘货信息!$A:$A&amp;盘货信息!$B:$B&amp;盘货信息!$C:$C,盘货信息!$S:$S),CHAR(10),,TRUE),1,COLUMN(D194)),"")</f>
        <v/>
      </c>
      <c r="N195" s="18" t="str" cm="1">
        <f t="array" ref="N195">IFERROR(INDEX(_xlfn.TEXTSPLIT(_xlfn.XLOOKUP($A195&amp;$B195&amp;$C195,盘货信息!$A:$A&amp;盘货信息!$B:$B&amp;盘货信息!$C:$C,盘货信息!$S:$S),CHAR(10),,TRUE),1,COLUMN(E194)),"")</f>
        <v/>
      </c>
    </row>
    <row r="196" customHeight="1" spans="1:14">
      <c r="A196" s="17" t="str">
        <f>IF(盘货信息!A196="","",盘货信息!A196)</f>
        <v/>
      </c>
      <c r="B196" s="17" t="str">
        <f>IF(盘货信息!B196="","",盘货信息!B196)</f>
        <v/>
      </c>
      <c r="C196" s="18" t="str">
        <f>IF(盘货信息!C196="","",盘货信息!C196)</f>
        <v/>
      </c>
      <c r="D196" s="18" t="str">
        <f t="shared" si="3"/>
        <v/>
      </c>
      <c r="E196" s="18" t="str">
        <f>_xlfn.LET(_xlpm.A,IF(ISNUMBER(SEARCH("晒单",J196)),"【晒单】"&amp;MID(J196,SEARCH("晒单",J196)+LEN("晒单"),LEN(J196))&amp;"（需晒单后联系客服登记）",IF(ISNUMBER(SEARCH("包修",J196)),"【购机】"&amp;MID(J196,SEARCH("购机",J196)+LEN("购机"),LEN(J196)),IF(ISNUMBER(SEARCH("叠放支架",J196)),"【赠品】"&amp;MID(J196,SEARCH("购机",J196)+LEN("购机"),LEN(J196)),IF(ISNUMBER(SEARCH("秀图",J196)),"【秀图】"&amp;MID(J196,SEARCH("秀图",J196)+LEN("秀图"),LEN(J196)),"")))),IFERROR(LEFT(_xlpm.A,FIND("【",_xlpm.A,FIND("】",_xlpm.A)+1)-1)&amp;MID(_xlpm.A,FIND("】",_xlpm.A,FIND("】",_xlpm.A)+1)+1,LEN(_xlpm.A)),_xlpm.A))</f>
        <v/>
      </c>
      <c r="F196" s="18" t="str">
        <f>_xlfn.LET(_xlpm.A,IF(ISNUMBER(SEARCH("晒单",K196)),"【晒单】"&amp;MID(K196,SEARCH("晒单",K196)+LEN("晒单"),LEN(K196))&amp;"（需晒单后联系客服登记）",IF(ISNUMBER(SEARCH("包修",K196)),"【购机】"&amp;MID(K196,SEARCH("购机",K196)+LEN("购机"),LEN(K196)),IF(ISNUMBER(SEARCH("叠放支架",K196)),"【赠品】"&amp;MID(K196,SEARCH("购机",K196)+LEN("购机"),LEN(K196)),IF(ISNUMBER(SEARCH("秀图",K196)),"【秀图】"&amp;MID(K196,SEARCH("秀图",K196)+LEN("秀图"),LEN(K196)),"")))),IFERROR(LEFT(_xlpm.A,FIND("【",_xlpm.A,FIND("】",_xlpm.A)+1)-1)&amp;MID(_xlpm.A,FIND("】",_xlpm.A,FIND("】",_xlpm.A)+1)+1,LEN(_xlpm.A)),_xlpm.A))</f>
        <v/>
      </c>
      <c r="G196" s="18" t="str">
        <f>_xlfn.LET(_xlpm.A,IF(ISNUMBER(SEARCH("晒单",L196)),"【晒单】"&amp;MID(L196,SEARCH("晒单",L196)+LEN("晒单"),LEN(L196))&amp;"（需晒单后联系客服登记）",IF(ISNUMBER(SEARCH("包修",L196)),"【购机】"&amp;MID(L196,SEARCH("购机",L196)+LEN("购机"),LEN(L196)),IF(ISNUMBER(SEARCH("叠放支架",L196)),"【赠品】"&amp;MID(L196,SEARCH("购机",L196)+LEN("购机"),LEN(L196)),IF(ISNUMBER(SEARCH("秀图",L196)),"【秀图】"&amp;MID(L196,SEARCH("秀图",L196)+LEN("秀图"),LEN(L196)),"")))),IFERROR(LEFT(_xlpm.A,FIND("【",_xlpm.A,FIND("】",_xlpm.A)+1)-1)&amp;MID(_xlpm.A,FIND("】",_xlpm.A,FIND("】",_xlpm.A)+1)+1,LEN(_xlpm.A)),_xlpm.A))</f>
        <v/>
      </c>
      <c r="H196" s="18" t="str">
        <f>_xlfn.LET(_xlpm.A,IF(ISNUMBER(SEARCH("晒单",M196)),"【晒单】"&amp;MID(M196,SEARCH("晒单",M196)+LEN("晒单"),LEN(M196))&amp;"（需晒单后联系客服登记）",IF(ISNUMBER(SEARCH("包修",M196)),"【购机】"&amp;MID(M196,SEARCH("购机",M196)+LEN("购机"),LEN(M196)),IF(ISNUMBER(SEARCH("叠放支架",M196)),"【赠品】"&amp;MID(M196,SEARCH("购机",M196)+LEN("购机"),LEN(M196)),IF(ISNUMBER(SEARCH("秀图",M196)),"【秀图】"&amp;MID(M196,SEARCH("秀图",M196)+LEN("秀图"),LEN(M196)),"")))),IFERROR(LEFT(_xlpm.A,FIND("【",_xlpm.A,FIND("】",_xlpm.A)+1)-1)&amp;MID(_xlpm.A,FIND("】",_xlpm.A,FIND("】",_xlpm.A)+1)+1,LEN(_xlpm.A)),_xlpm.A))</f>
        <v/>
      </c>
      <c r="I196" s="18" t="str">
        <f>_xlfn.LET(_xlpm.A,IF(ISNUMBER(SEARCH("晒单",N196)),"【晒单】"&amp;MID(N196,SEARCH("晒单",N196)+LEN("晒单"),LEN(N196))&amp;"（需晒单后联系客服登记）",IF(ISNUMBER(SEARCH("包修",N196)),"【购机】"&amp;MID(N196,SEARCH("购机",N196)+LEN("购机"),LEN(N196)),IF(ISNUMBER(SEARCH("叠放支架",N196)),"【赠品】"&amp;MID(N196,SEARCH("购机",N196)+LEN("购机"),LEN(N196)),IF(ISNUMBER(SEARCH("秀图",N196)),"【秀图】"&amp;MID(N196,SEARCH("秀图",N196)+LEN("秀图"),LEN(N196)),"")))),IFERROR(LEFT(_xlpm.A,FIND("【",_xlpm.A,FIND("】",_xlpm.A)+1)-1)&amp;MID(_xlpm.A,FIND("】",_xlpm.A,FIND("】",_xlpm.A)+1)+1,LEN(_xlpm.A)),_xlpm.A))</f>
        <v/>
      </c>
      <c r="J196" s="18" t="str" cm="1">
        <f t="array" ref="J196">IFERROR(INDEX(_xlfn.TEXTSPLIT(_xlfn.XLOOKUP($A196&amp;$B196&amp;$C196,盘货信息!$A:$A&amp;盘货信息!$B:$B&amp;盘货信息!$C:$C,盘货信息!$S:$S),CHAR(10),,TRUE),1,COLUMN(A195)),"")</f>
        <v/>
      </c>
      <c r="K196" s="18" t="str" cm="1">
        <f t="array" ref="K196">IFERROR(INDEX(_xlfn.TEXTSPLIT(_xlfn.XLOOKUP($A196&amp;$B196&amp;$C196,盘货信息!$A:$A&amp;盘货信息!$B:$B&amp;盘货信息!$C:$C,盘货信息!$S:$S),CHAR(10),,TRUE),1,COLUMN(B195)),"")</f>
        <v/>
      </c>
      <c r="L196" s="18" t="str" cm="1">
        <f t="array" ref="L196">IFERROR(INDEX(_xlfn.TEXTSPLIT(_xlfn.XLOOKUP($A196&amp;$B196&amp;$C196,盘货信息!$A:$A&amp;盘货信息!$B:$B&amp;盘货信息!$C:$C,盘货信息!$S:$S),CHAR(10),,TRUE),1,COLUMN(C195)),"")</f>
        <v/>
      </c>
      <c r="M196" s="18" t="str" cm="1">
        <f t="array" ref="M196">IFERROR(INDEX(_xlfn.TEXTSPLIT(_xlfn.XLOOKUP($A196&amp;$B196&amp;$C196,盘货信息!$A:$A&amp;盘货信息!$B:$B&amp;盘货信息!$C:$C,盘货信息!$S:$S),CHAR(10),,TRUE),1,COLUMN(D195)),"")</f>
        <v/>
      </c>
      <c r="N196" s="18" t="str" cm="1">
        <f t="array" ref="N196">IFERROR(INDEX(_xlfn.TEXTSPLIT(_xlfn.XLOOKUP($A196&amp;$B196&amp;$C196,盘货信息!$A:$A&amp;盘货信息!$B:$B&amp;盘货信息!$C:$C,盘货信息!$S:$S),CHAR(10),,TRUE),1,COLUMN(E195)),"")</f>
        <v/>
      </c>
    </row>
    <row r="197" customHeight="1" spans="1:14">
      <c r="A197" s="17" t="str">
        <f>IF(盘货信息!A197="","",盘货信息!A197)</f>
        <v/>
      </c>
      <c r="B197" s="17" t="str">
        <f>IF(盘货信息!B197="","",盘货信息!B197)</f>
        <v/>
      </c>
      <c r="C197" s="18" t="str">
        <f>IF(盘货信息!C197="","",盘货信息!C197)</f>
        <v/>
      </c>
      <c r="D197" s="18" t="str">
        <f t="shared" si="3"/>
        <v/>
      </c>
      <c r="E197" s="18" t="str">
        <f>_xlfn.LET(_xlpm.A,IF(ISNUMBER(SEARCH("晒单",J197)),"【晒单】"&amp;MID(J197,SEARCH("晒单",J197)+LEN("晒单"),LEN(J197))&amp;"（需晒单后联系客服登记）",IF(ISNUMBER(SEARCH("包修",J197)),"【购机】"&amp;MID(J197,SEARCH("购机",J197)+LEN("购机"),LEN(J197)),IF(ISNUMBER(SEARCH("叠放支架",J197)),"【赠品】"&amp;MID(J197,SEARCH("购机",J197)+LEN("购机"),LEN(J197)),IF(ISNUMBER(SEARCH("秀图",J197)),"【秀图】"&amp;MID(J197,SEARCH("秀图",J197)+LEN("秀图"),LEN(J197)),"")))),IFERROR(LEFT(_xlpm.A,FIND("【",_xlpm.A,FIND("】",_xlpm.A)+1)-1)&amp;MID(_xlpm.A,FIND("】",_xlpm.A,FIND("】",_xlpm.A)+1)+1,LEN(_xlpm.A)),_xlpm.A))</f>
        <v/>
      </c>
      <c r="F197" s="18" t="str">
        <f>_xlfn.LET(_xlpm.A,IF(ISNUMBER(SEARCH("晒单",K197)),"【晒单】"&amp;MID(K197,SEARCH("晒单",K197)+LEN("晒单"),LEN(K197))&amp;"（需晒单后联系客服登记）",IF(ISNUMBER(SEARCH("包修",K197)),"【购机】"&amp;MID(K197,SEARCH("购机",K197)+LEN("购机"),LEN(K197)),IF(ISNUMBER(SEARCH("叠放支架",K197)),"【赠品】"&amp;MID(K197,SEARCH("购机",K197)+LEN("购机"),LEN(K197)),IF(ISNUMBER(SEARCH("秀图",K197)),"【秀图】"&amp;MID(K197,SEARCH("秀图",K197)+LEN("秀图"),LEN(K197)),"")))),IFERROR(LEFT(_xlpm.A,FIND("【",_xlpm.A,FIND("】",_xlpm.A)+1)-1)&amp;MID(_xlpm.A,FIND("】",_xlpm.A,FIND("】",_xlpm.A)+1)+1,LEN(_xlpm.A)),_xlpm.A))</f>
        <v/>
      </c>
      <c r="G197" s="18" t="str">
        <f>_xlfn.LET(_xlpm.A,IF(ISNUMBER(SEARCH("晒单",L197)),"【晒单】"&amp;MID(L197,SEARCH("晒单",L197)+LEN("晒单"),LEN(L197))&amp;"（需晒单后联系客服登记）",IF(ISNUMBER(SEARCH("包修",L197)),"【购机】"&amp;MID(L197,SEARCH("购机",L197)+LEN("购机"),LEN(L197)),IF(ISNUMBER(SEARCH("叠放支架",L197)),"【赠品】"&amp;MID(L197,SEARCH("购机",L197)+LEN("购机"),LEN(L197)),IF(ISNUMBER(SEARCH("秀图",L197)),"【秀图】"&amp;MID(L197,SEARCH("秀图",L197)+LEN("秀图"),LEN(L197)),"")))),IFERROR(LEFT(_xlpm.A,FIND("【",_xlpm.A,FIND("】",_xlpm.A)+1)-1)&amp;MID(_xlpm.A,FIND("】",_xlpm.A,FIND("】",_xlpm.A)+1)+1,LEN(_xlpm.A)),_xlpm.A))</f>
        <v/>
      </c>
      <c r="H197" s="18" t="str">
        <f>_xlfn.LET(_xlpm.A,IF(ISNUMBER(SEARCH("晒单",M197)),"【晒单】"&amp;MID(M197,SEARCH("晒单",M197)+LEN("晒单"),LEN(M197))&amp;"（需晒单后联系客服登记）",IF(ISNUMBER(SEARCH("包修",M197)),"【购机】"&amp;MID(M197,SEARCH("购机",M197)+LEN("购机"),LEN(M197)),IF(ISNUMBER(SEARCH("叠放支架",M197)),"【赠品】"&amp;MID(M197,SEARCH("购机",M197)+LEN("购机"),LEN(M197)),IF(ISNUMBER(SEARCH("秀图",M197)),"【秀图】"&amp;MID(M197,SEARCH("秀图",M197)+LEN("秀图"),LEN(M197)),"")))),IFERROR(LEFT(_xlpm.A,FIND("【",_xlpm.A,FIND("】",_xlpm.A)+1)-1)&amp;MID(_xlpm.A,FIND("】",_xlpm.A,FIND("】",_xlpm.A)+1)+1,LEN(_xlpm.A)),_xlpm.A))</f>
        <v/>
      </c>
      <c r="I197" s="18" t="str">
        <f>_xlfn.LET(_xlpm.A,IF(ISNUMBER(SEARCH("晒单",N197)),"【晒单】"&amp;MID(N197,SEARCH("晒单",N197)+LEN("晒单"),LEN(N197))&amp;"（需晒单后联系客服登记）",IF(ISNUMBER(SEARCH("包修",N197)),"【购机】"&amp;MID(N197,SEARCH("购机",N197)+LEN("购机"),LEN(N197)),IF(ISNUMBER(SEARCH("叠放支架",N197)),"【赠品】"&amp;MID(N197,SEARCH("购机",N197)+LEN("购机"),LEN(N197)),IF(ISNUMBER(SEARCH("秀图",N197)),"【秀图】"&amp;MID(N197,SEARCH("秀图",N197)+LEN("秀图"),LEN(N197)),"")))),IFERROR(LEFT(_xlpm.A,FIND("【",_xlpm.A,FIND("】",_xlpm.A)+1)-1)&amp;MID(_xlpm.A,FIND("】",_xlpm.A,FIND("】",_xlpm.A)+1)+1,LEN(_xlpm.A)),_xlpm.A))</f>
        <v/>
      </c>
      <c r="J197" s="18" t="str" cm="1">
        <f t="array" ref="J197">IFERROR(INDEX(_xlfn.TEXTSPLIT(_xlfn.XLOOKUP($A197&amp;$B197&amp;$C197,盘货信息!$A:$A&amp;盘货信息!$B:$B&amp;盘货信息!$C:$C,盘货信息!$S:$S),CHAR(10),,TRUE),1,COLUMN(A196)),"")</f>
        <v/>
      </c>
      <c r="K197" s="18" t="str" cm="1">
        <f t="array" ref="K197">IFERROR(INDEX(_xlfn.TEXTSPLIT(_xlfn.XLOOKUP($A197&amp;$B197&amp;$C197,盘货信息!$A:$A&amp;盘货信息!$B:$B&amp;盘货信息!$C:$C,盘货信息!$S:$S),CHAR(10),,TRUE),1,COLUMN(B196)),"")</f>
        <v/>
      </c>
      <c r="L197" s="18" t="str" cm="1">
        <f t="array" ref="L197">IFERROR(INDEX(_xlfn.TEXTSPLIT(_xlfn.XLOOKUP($A197&amp;$B197&amp;$C197,盘货信息!$A:$A&amp;盘货信息!$B:$B&amp;盘货信息!$C:$C,盘货信息!$S:$S),CHAR(10),,TRUE),1,COLUMN(C196)),"")</f>
        <v/>
      </c>
      <c r="M197" s="18" t="str" cm="1">
        <f t="array" ref="M197">IFERROR(INDEX(_xlfn.TEXTSPLIT(_xlfn.XLOOKUP($A197&amp;$B197&amp;$C197,盘货信息!$A:$A&amp;盘货信息!$B:$B&amp;盘货信息!$C:$C,盘货信息!$S:$S),CHAR(10),,TRUE),1,COLUMN(D196)),"")</f>
        <v/>
      </c>
      <c r="N197" s="18" t="str" cm="1">
        <f t="array" ref="N197">IFERROR(INDEX(_xlfn.TEXTSPLIT(_xlfn.XLOOKUP($A197&amp;$B197&amp;$C197,盘货信息!$A:$A&amp;盘货信息!$B:$B&amp;盘货信息!$C:$C,盘货信息!$S:$S),CHAR(10),,TRUE),1,COLUMN(E196)),"")</f>
        <v/>
      </c>
    </row>
    <row r="198" customHeight="1" spans="1:14">
      <c r="A198" s="17" t="str">
        <f>IF(盘货信息!A198="","",盘货信息!A198)</f>
        <v/>
      </c>
      <c r="B198" s="17" t="str">
        <f>IF(盘货信息!B198="","",盘货信息!B198)</f>
        <v/>
      </c>
      <c r="C198" s="18" t="str">
        <f>IF(盘货信息!C198="","",盘货信息!C198)</f>
        <v/>
      </c>
      <c r="D198" s="18" t="str">
        <f t="shared" si="3"/>
        <v/>
      </c>
      <c r="E198" s="18" t="str">
        <f>_xlfn.LET(_xlpm.A,IF(ISNUMBER(SEARCH("晒单",J198)),"【晒单】"&amp;MID(J198,SEARCH("晒单",J198)+LEN("晒单"),LEN(J198))&amp;"（需晒单后联系客服登记）",IF(ISNUMBER(SEARCH("包修",J198)),"【购机】"&amp;MID(J198,SEARCH("购机",J198)+LEN("购机"),LEN(J198)),IF(ISNUMBER(SEARCH("叠放支架",J198)),"【赠品】"&amp;MID(J198,SEARCH("购机",J198)+LEN("购机"),LEN(J198)),IF(ISNUMBER(SEARCH("秀图",J198)),"【秀图】"&amp;MID(J198,SEARCH("秀图",J198)+LEN("秀图"),LEN(J198)),"")))),IFERROR(LEFT(_xlpm.A,FIND("【",_xlpm.A,FIND("】",_xlpm.A)+1)-1)&amp;MID(_xlpm.A,FIND("】",_xlpm.A,FIND("】",_xlpm.A)+1)+1,LEN(_xlpm.A)),_xlpm.A))</f>
        <v/>
      </c>
      <c r="F198" s="18" t="str">
        <f>_xlfn.LET(_xlpm.A,IF(ISNUMBER(SEARCH("晒单",K198)),"【晒单】"&amp;MID(K198,SEARCH("晒单",K198)+LEN("晒单"),LEN(K198))&amp;"（需晒单后联系客服登记）",IF(ISNUMBER(SEARCH("包修",K198)),"【购机】"&amp;MID(K198,SEARCH("购机",K198)+LEN("购机"),LEN(K198)),IF(ISNUMBER(SEARCH("叠放支架",K198)),"【赠品】"&amp;MID(K198,SEARCH("购机",K198)+LEN("购机"),LEN(K198)),IF(ISNUMBER(SEARCH("秀图",K198)),"【秀图】"&amp;MID(K198,SEARCH("秀图",K198)+LEN("秀图"),LEN(K198)),"")))),IFERROR(LEFT(_xlpm.A,FIND("【",_xlpm.A,FIND("】",_xlpm.A)+1)-1)&amp;MID(_xlpm.A,FIND("】",_xlpm.A,FIND("】",_xlpm.A)+1)+1,LEN(_xlpm.A)),_xlpm.A))</f>
        <v/>
      </c>
      <c r="G198" s="18" t="str">
        <f>_xlfn.LET(_xlpm.A,IF(ISNUMBER(SEARCH("晒单",L198)),"【晒单】"&amp;MID(L198,SEARCH("晒单",L198)+LEN("晒单"),LEN(L198))&amp;"（需晒单后联系客服登记）",IF(ISNUMBER(SEARCH("包修",L198)),"【购机】"&amp;MID(L198,SEARCH("购机",L198)+LEN("购机"),LEN(L198)),IF(ISNUMBER(SEARCH("叠放支架",L198)),"【赠品】"&amp;MID(L198,SEARCH("购机",L198)+LEN("购机"),LEN(L198)),IF(ISNUMBER(SEARCH("秀图",L198)),"【秀图】"&amp;MID(L198,SEARCH("秀图",L198)+LEN("秀图"),LEN(L198)),"")))),IFERROR(LEFT(_xlpm.A,FIND("【",_xlpm.A,FIND("】",_xlpm.A)+1)-1)&amp;MID(_xlpm.A,FIND("】",_xlpm.A,FIND("】",_xlpm.A)+1)+1,LEN(_xlpm.A)),_xlpm.A))</f>
        <v/>
      </c>
      <c r="H198" s="18" t="str">
        <f>_xlfn.LET(_xlpm.A,IF(ISNUMBER(SEARCH("晒单",M198)),"【晒单】"&amp;MID(M198,SEARCH("晒单",M198)+LEN("晒单"),LEN(M198))&amp;"（需晒单后联系客服登记）",IF(ISNUMBER(SEARCH("包修",M198)),"【购机】"&amp;MID(M198,SEARCH("购机",M198)+LEN("购机"),LEN(M198)),IF(ISNUMBER(SEARCH("叠放支架",M198)),"【赠品】"&amp;MID(M198,SEARCH("购机",M198)+LEN("购机"),LEN(M198)),IF(ISNUMBER(SEARCH("秀图",M198)),"【秀图】"&amp;MID(M198,SEARCH("秀图",M198)+LEN("秀图"),LEN(M198)),"")))),IFERROR(LEFT(_xlpm.A,FIND("【",_xlpm.A,FIND("】",_xlpm.A)+1)-1)&amp;MID(_xlpm.A,FIND("】",_xlpm.A,FIND("】",_xlpm.A)+1)+1,LEN(_xlpm.A)),_xlpm.A))</f>
        <v/>
      </c>
      <c r="I198" s="18" t="str">
        <f>_xlfn.LET(_xlpm.A,IF(ISNUMBER(SEARCH("晒单",N198)),"【晒单】"&amp;MID(N198,SEARCH("晒单",N198)+LEN("晒单"),LEN(N198))&amp;"（需晒单后联系客服登记）",IF(ISNUMBER(SEARCH("包修",N198)),"【购机】"&amp;MID(N198,SEARCH("购机",N198)+LEN("购机"),LEN(N198)),IF(ISNUMBER(SEARCH("叠放支架",N198)),"【赠品】"&amp;MID(N198,SEARCH("购机",N198)+LEN("购机"),LEN(N198)),IF(ISNUMBER(SEARCH("秀图",N198)),"【秀图】"&amp;MID(N198,SEARCH("秀图",N198)+LEN("秀图"),LEN(N198)),"")))),IFERROR(LEFT(_xlpm.A,FIND("【",_xlpm.A,FIND("】",_xlpm.A)+1)-1)&amp;MID(_xlpm.A,FIND("】",_xlpm.A,FIND("】",_xlpm.A)+1)+1,LEN(_xlpm.A)),_xlpm.A))</f>
        <v/>
      </c>
      <c r="J198" s="18" t="str" cm="1">
        <f t="array" ref="J198">IFERROR(INDEX(_xlfn.TEXTSPLIT(_xlfn.XLOOKUP($A198&amp;$B198&amp;$C198,盘货信息!$A:$A&amp;盘货信息!$B:$B&amp;盘货信息!$C:$C,盘货信息!$S:$S),CHAR(10),,TRUE),1,COLUMN(A197)),"")</f>
        <v/>
      </c>
      <c r="K198" s="18" t="str" cm="1">
        <f t="array" ref="K198">IFERROR(INDEX(_xlfn.TEXTSPLIT(_xlfn.XLOOKUP($A198&amp;$B198&amp;$C198,盘货信息!$A:$A&amp;盘货信息!$B:$B&amp;盘货信息!$C:$C,盘货信息!$S:$S),CHAR(10),,TRUE),1,COLUMN(B197)),"")</f>
        <v/>
      </c>
      <c r="L198" s="18" t="str" cm="1">
        <f t="array" ref="L198">IFERROR(INDEX(_xlfn.TEXTSPLIT(_xlfn.XLOOKUP($A198&amp;$B198&amp;$C198,盘货信息!$A:$A&amp;盘货信息!$B:$B&amp;盘货信息!$C:$C,盘货信息!$S:$S),CHAR(10),,TRUE),1,COLUMN(C197)),"")</f>
        <v/>
      </c>
      <c r="M198" s="18" t="str" cm="1">
        <f t="array" ref="M198">IFERROR(INDEX(_xlfn.TEXTSPLIT(_xlfn.XLOOKUP($A198&amp;$B198&amp;$C198,盘货信息!$A:$A&amp;盘货信息!$B:$B&amp;盘货信息!$C:$C,盘货信息!$S:$S),CHAR(10),,TRUE),1,COLUMN(D197)),"")</f>
        <v/>
      </c>
      <c r="N198" s="18" t="str" cm="1">
        <f t="array" ref="N198">IFERROR(INDEX(_xlfn.TEXTSPLIT(_xlfn.XLOOKUP($A198&amp;$B198&amp;$C198,盘货信息!$A:$A&amp;盘货信息!$B:$B&amp;盘货信息!$C:$C,盘货信息!$S:$S),CHAR(10),,TRUE),1,COLUMN(E197)),"")</f>
        <v/>
      </c>
    </row>
    <row r="199" customHeight="1" spans="1:14">
      <c r="A199" s="17" t="str">
        <f>IF(盘货信息!A199="","",盘货信息!A199)</f>
        <v/>
      </c>
      <c r="B199" s="17" t="str">
        <f>IF(盘货信息!B199="","",盘货信息!B199)</f>
        <v/>
      </c>
      <c r="C199" s="18" t="str">
        <f>IF(盘货信息!C199="","",盘货信息!C199)</f>
        <v/>
      </c>
      <c r="D199" s="18" t="str">
        <f t="shared" si="3"/>
        <v/>
      </c>
      <c r="E199" s="18" t="str">
        <f>_xlfn.LET(_xlpm.A,IF(ISNUMBER(SEARCH("晒单",J199)),"【晒单】"&amp;MID(J199,SEARCH("晒单",J199)+LEN("晒单"),LEN(J199))&amp;"（需晒单后联系客服登记）",IF(ISNUMBER(SEARCH("包修",J199)),"【购机】"&amp;MID(J199,SEARCH("购机",J199)+LEN("购机"),LEN(J199)),IF(ISNUMBER(SEARCH("叠放支架",J199)),"【赠品】"&amp;MID(J199,SEARCH("购机",J199)+LEN("购机"),LEN(J199)),IF(ISNUMBER(SEARCH("秀图",J199)),"【秀图】"&amp;MID(J199,SEARCH("秀图",J199)+LEN("秀图"),LEN(J199)),"")))),IFERROR(LEFT(_xlpm.A,FIND("【",_xlpm.A,FIND("】",_xlpm.A)+1)-1)&amp;MID(_xlpm.A,FIND("】",_xlpm.A,FIND("】",_xlpm.A)+1)+1,LEN(_xlpm.A)),_xlpm.A))</f>
        <v/>
      </c>
      <c r="F199" s="18" t="str">
        <f>_xlfn.LET(_xlpm.A,IF(ISNUMBER(SEARCH("晒单",K199)),"【晒单】"&amp;MID(K199,SEARCH("晒单",K199)+LEN("晒单"),LEN(K199))&amp;"（需晒单后联系客服登记）",IF(ISNUMBER(SEARCH("包修",K199)),"【购机】"&amp;MID(K199,SEARCH("购机",K199)+LEN("购机"),LEN(K199)),IF(ISNUMBER(SEARCH("叠放支架",K199)),"【赠品】"&amp;MID(K199,SEARCH("购机",K199)+LEN("购机"),LEN(K199)),IF(ISNUMBER(SEARCH("秀图",K199)),"【秀图】"&amp;MID(K199,SEARCH("秀图",K199)+LEN("秀图"),LEN(K199)),"")))),IFERROR(LEFT(_xlpm.A,FIND("【",_xlpm.A,FIND("】",_xlpm.A)+1)-1)&amp;MID(_xlpm.A,FIND("】",_xlpm.A,FIND("】",_xlpm.A)+1)+1,LEN(_xlpm.A)),_xlpm.A))</f>
        <v/>
      </c>
      <c r="G199" s="18" t="str">
        <f>_xlfn.LET(_xlpm.A,IF(ISNUMBER(SEARCH("晒单",L199)),"【晒单】"&amp;MID(L199,SEARCH("晒单",L199)+LEN("晒单"),LEN(L199))&amp;"（需晒单后联系客服登记）",IF(ISNUMBER(SEARCH("包修",L199)),"【购机】"&amp;MID(L199,SEARCH("购机",L199)+LEN("购机"),LEN(L199)),IF(ISNUMBER(SEARCH("叠放支架",L199)),"【赠品】"&amp;MID(L199,SEARCH("购机",L199)+LEN("购机"),LEN(L199)),IF(ISNUMBER(SEARCH("秀图",L199)),"【秀图】"&amp;MID(L199,SEARCH("秀图",L199)+LEN("秀图"),LEN(L199)),"")))),IFERROR(LEFT(_xlpm.A,FIND("【",_xlpm.A,FIND("】",_xlpm.A)+1)-1)&amp;MID(_xlpm.A,FIND("】",_xlpm.A,FIND("】",_xlpm.A)+1)+1,LEN(_xlpm.A)),_xlpm.A))</f>
        <v/>
      </c>
      <c r="H199" s="18" t="str">
        <f>_xlfn.LET(_xlpm.A,IF(ISNUMBER(SEARCH("晒单",M199)),"【晒单】"&amp;MID(M199,SEARCH("晒单",M199)+LEN("晒单"),LEN(M199))&amp;"（需晒单后联系客服登记）",IF(ISNUMBER(SEARCH("包修",M199)),"【购机】"&amp;MID(M199,SEARCH("购机",M199)+LEN("购机"),LEN(M199)),IF(ISNUMBER(SEARCH("叠放支架",M199)),"【赠品】"&amp;MID(M199,SEARCH("购机",M199)+LEN("购机"),LEN(M199)),IF(ISNUMBER(SEARCH("秀图",M199)),"【秀图】"&amp;MID(M199,SEARCH("秀图",M199)+LEN("秀图"),LEN(M199)),"")))),IFERROR(LEFT(_xlpm.A,FIND("【",_xlpm.A,FIND("】",_xlpm.A)+1)-1)&amp;MID(_xlpm.A,FIND("】",_xlpm.A,FIND("】",_xlpm.A)+1)+1,LEN(_xlpm.A)),_xlpm.A))</f>
        <v/>
      </c>
      <c r="I199" s="18" t="str">
        <f>_xlfn.LET(_xlpm.A,IF(ISNUMBER(SEARCH("晒单",N199)),"【晒单】"&amp;MID(N199,SEARCH("晒单",N199)+LEN("晒单"),LEN(N199))&amp;"（需晒单后联系客服登记）",IF(ISNUMBER(SEARCH("包修",N199)),"【购机】"&amp;MID(N199,SEARCH("购机",N199)+LEN("购机"),LEN(N199)),IF(ISNUMBER(SEARCH("叠放支架",N199)),"【赠品】"&amp;MID(N199,SEARCH("购机",N199)+LEN("购机"),LEN(N199)),IF(ISNUMBER(SEARCH("秀图",N199)),"【秀图】"&amp;MID(N199,SEARCH("秀图",N199)+LEN("秀图"),LEN(N199)),"")))),IFERROR(LEFT(_xlpm.A,FIND("【",_xlpm.A,FIND("】",_xlpm.A)+1)-1)&amp;MID(_xlpm.A,FIND("】",_xlpm.A,FIND("】",_xlpm.A)+1)+1,LEN(_xlpm.A)),_xlpm.A))</f>
        <v/>
      </c>
      <c r="J199" s="18" t="str" cm="1">
        <f t="array" ref="J199">IFERROR(INDEX(_xlfn.TEXTSPLIT(_xlfn.XLOOKUP($A199&amp;$B199&amp;$C199,盘货信息!$A:$A&amp;盘货信息!$B:$B&amp;盘货信息!$C:$C,盘货信息!$S:$S),CHAR(10),,TRUE),1,COLUMN(A198)),"")</f>
        <v/>
      </c>
      <c r="K199" s="18" t="str" cm="1">
        <f t="array" ref="K199">IFERROR(INDEX(_xlfn.TEXTSPLIT(_xlfn.XLOOKUP($A199&amp;$B199&amp;$C199,盘货信息!$A:$A&amp;盘货信息!$B:$B&amp;盘货信息!$C:$C,盘货信息!$S:$S),CHAR(10),,TRUE),1,COLUMN(B198)),"")</f>
        <v/>
      </c>
      <c r="L199" s="18" t="str" cm="1">
        <f t="array" ref="L199">IFERROR(INDEX(_xlfn.TEXTSPLIT(_xlfn.XLOOKUP($A199&amp;$B199&amp;$C199,盘货信息!$A:$A&amp;盘货信息!$B:$B&amp;盘货信息!$C:$C,盘货信息!$S:$S),CHAR(10),,TRUE),1,COLUMN(C198)),"")</f>
        <v/>
      </c>
      <c r="M199" s="18" t="str" cm="1">
        <f t="array" ref="M199">IFERROR(INDEX(_xlfn.TEXTSPLIT(_xlfn.XLOOKUP($A199&amp;$B199&amp;$C199,盘货信息!$A:$A&amp;盘货信息!$B:$B&amp;盘货信息!$C:$C,盘货信息!$S:$S),CHAR(10),,TRUE),1,COLUMN(D198)),"")</f>
        <v/>
      </c>
      <c r="N199" s="18" t="str" cm="1">
        <f t="array" ref="N199">IFERROR(INDEX(_xlfn.TEXTSPLIT(_xlfn.XLOOKUP($A199&amp;$B199&amp;$C199,盘货信息!$A:$A&amp;盘货信息!$B:$B&amp;盘货信息!$C:$C,盘货信息!$S:$S),CHAR(10),,TRUE),1,COLUMN(E198)),"")</f>
        <v/>
      </c>
    </row>
    <row r="200" customHeight="1" spans="1:14">
      <c r="A200" s="17" t="str">
        <f>IF(盘货信息!A200="","",盘货信息!A200)</f>
        <v/>
      </c>
      <c r="B200" s="17" t="str">
        <f>IF(盘货信息!B200="","",盘货信息!B200)</f>
        <v/>
      </c>
      <c r="C200" s="18" t="str">
        <f>IF(盘货信息!C200="","",盘货信息!C200)</f>
        <v/>
      </c>
      <c r="D200" s="18" t="str">
        <f t="shared" si="3"/>
        <v/>
      </c>
      <c r="E200" s="18" t="str">
        <f>_xlfn.LET(_xlpm.A,IF(ISNUMBER(SEARCH("晒单",J200)),"【晒单】"&amp;MID(J200,SEARCH("晒单",J200)+LEN("晒单"),LEN(J200))&amp;"（需晒单后联系客服登记）",IF(ISNUMBER(SEARCH("包修",J200)),"【购机】"&amp;MID(J200,SEARCH("购机",J200)+LEN("购机"),LEN(J200)),IF(ISNUMBER(SEARCH("叠放支架",J200)),"【赠品】"&amp;MID(J200,SEARCH("购机",J200)+LEN("购机"),LEN(J200)),IF(ISNUMBER(SEARCH("秀图",J200)),"【秀图】"&amp;MID(J200,SEARCH("秀图",J200)+LEN("秀图"),LEN(J200)),"")))),IFERROR(LEFT(_xlpm.A,FIND("【",_xlpm.A,FIND("】",_xlpm.A)+1)-1)&amp;MID(_xlpm.A,FIND("】",_xlpm.A,FIND("】",_xlpm.A)+1)+1,LEN(_xlpm.A)),_xlpm.A))</f>
        <v/>
      </c>
      <c r="F200" s="18" t="str">
        <f>_xlfn.LET(_xlpm.A,IF(ISNUMBER(SEARCH("晒单",K200)),"【晒单】"&amp;MID(K200,SEARCH("晒单",K200)+LEN("晒单"),LEN(K200))&amp;"（需晒单后联系客服登记）",IF(ISNUMBER(SEARCH("包修",K200)),"【购机】"&amp;MID(K200,SEARCH("购机",K200)+LEN("购机"),LEN(K200)),IF(ISNUMBER(SEARCH("叠放支架",K200)),"【赠品】"&amp;MID(K200,SEARCH("购机",K200)+LEN("购机"),LEN(K200)),IF(ISNUMBER(SEARCH("秀图",K200)),"【秀图】"&amp;MID(K200,SEARCH("秀图",K200)+LEN("秀图"),LEN(K200)),"")))),IFERROR(LEFT(_xlpm.A,FIND("【",_xlpm.A,FIND("】",_xlpm.A)+1)-1)&amp;MID(_xlpm.A,FIND("】",_xlpm.A,FIND("】",_xlpm.A)+1)+1,LEN(_xlpm.A)),_xlpm.A))</f>
        <v/>
      </c>
      <c r="G200" s="18" t="str">
        <f>_xlfn.LET(_xlpm.A,IF(ISNUMBER(SEARCH("晒单",L200)),"【晒单】"&amp;MID(L200,SEARCH("晒单",L200)+LEN("晒单"),LEN(L200))&amp;"（需晒单后联系客服登记）",IF(ISNUMBER(SEARCH("包修",L200)),"【购机】"&amp;MID(L200,SEARCH("购机",L200)+LEN("购机"),LEN(L200)),IF(ISNUMBER(SEARCH("叠放支架",L200)),"【赠品】"&amp;MID(L200,SEARCH("购机",L200)+LEN("购机"),LEN(L200)),IF(ISNUMBER(SEARCH("秀图",L200)),"【秀图】"&amp;MID(L200,SEARCH("秀图",L200)+LEN("秀图"),LEN(L200)),"")))),IFERROR(LEFT(_xlpm.A,FIND("【",_xlpm.A,FIND("】",_xlpm.A)+1)-1)&amp;MID(_xlpm.A,FIND("】",_xlpm.A,FIND("】",_xlpm.A)+1)+1,LEN(_xlpm.A)),_xlpm.A))</f>
        <v/>
      </c>
      <c r="H200" s="18" t="str">
        <f>_xlfn.LET(_xlpm.A,IF(ISNUMBER(SEARCH("晒单",M200)),"【晒单】"&amp;MID(M200,SEARCH("晒单",M200)+LEN("晒单"),LEN(M200))&amp;"（需晒单后联系客服登记）",IF(ISNUMBER(SEARCH("包修",M200)),"【购机】"&amp;MID(M200,SEARCH("购机",M200)+LEN("购机"),LEN(M200)),IF(ISNUMBER(SEARCH("叠放支架",M200)),"【赠品】"&amp;MID(M200,SEARCH("购机",M200)+LEN("购机"),LEN(M200)),IF(ISNUMBER(SEARCH("秀图",M200)),"【秀图】"&amp;MID(M200,SEARCH("秀图",M200)+LEN("秀图"),LEN(M200)),"")))),IFERROR(LEFT(_xlpm.A,FIND("【",_xlpm.A,FIND("】",_xlpm.A)+1)-1)&amp;MID(_xlpm.A,FIND("】",_xlpm.A,FIND("】",_xlpm.A)+1)+1,LEN(_xlpm.A)),_xlpm.A))</f>
        <v/>
      </c>
      <c r="I200" s="18" t="str">
        <f>_xlfn.LET(_xlpm.A,IF(ISNUMBER(SEARCH("晒单",N200)),"【晒单】"&amp;MID(N200,SEARCH("晒单",N200)+LEN("晒单"),LEN(N200))&amp;"（需晒单后联系客服登记）",IF(ISNUMBER(SEARCH("包修",N200)),"【购机】"&amp;MID(N200,SEARCH("购机",N200)+LEN("购机"),LEN(N200)),IF(ISNUMBER(SEARCH("叠放支架",N200)),"【赠品】"&amp;MID(N200,SEARCH("购机",N200)+LEN("购机"),LEN(N200)),IF(ISNUMBER(SEARCH("秀图",N200)),"【秀图】"&amp;MID(N200,SEARCH("秀图",N200)+LEN("秀图"),LEN(N200)),"")))),IFERROR(LEFT(_xlpm.A,FIND("【",_xlpm.A,FIND("】",_xlpm.A)+1)-1)&amp;MID(_xlpm.A,FIND("】",_xlpm.A,FIND("】",_xlpm.A)+1)+1,LEN(_xlpm.A)),_xlpm.A))</f>
        <v/>
      </c>
      <c r="J200" s="18" t="str" cm="1">
        <f t="array" ref="J200">IFERROR(INDEX(_xlfn.TEXTSPLIT(_xlfn.XLOOKUP($A200&amp;$B200&amp;$C200,盘货信息!$A:$A&amp;盘货信息!$B:$B&amp;盘货信息!$C:$C,盘货信息!$S:$S),CHAR(10),,TRUE),1,COLUMN(A199)),"")</f>
        <v/>
      </c>
      <c r="K200" s="18" t="str" cm="1">
        <f t="array" ref="K200">IFERROR(INDEX(_xlfn.TEXTSPLIT(_xlfn.XLOOKUP($A200&amp;$B200&amp;$C200,盘货信息!$A:$A&amp;盘货信息!$B:$B&amp;盘货信息!$C:$C,盘货信息!$S:$S),CHAR(10),,TRUE),1,COLUMN(B199)),"")</f>
        <v/>
      </c>
      <c r="L200" s="18" t="str" cm="1">
        <f t="array" ref="L200">IFERROR(INDEX(_xlfn.TEXTSPLIT(_xlfn.XLOOKUP($A200&amp;$B200&amp;$C200,盘货信息!$A:$A&amp;盘货信息!$B:$B&amp;盘货信息!$C:$C,盘货信息!$S:$S),CHAR(10),,TRUE),1,COLUMN(C199)),"")</f>
        <v/>
      </c>
      <c r="M200" s="18" t="str" cm="1">
        <f t="array" ref="M200">IFERROR(INDEX(_xlfn.TEXTSPLIT(_xlfn.XLOOKUP($A200&amp;$B200&amp;$C200,盘货信息!$A:$A&amp;盘货信息!$B:$B&amp;盘货信息!$C:$C,盘货信息!$S:$S),CHAR(10),,TRUE),1,COLUMN(D199)),"")</f>
        <v/>
      </c>
      <c r="N200" s="18" t="str" cm="1">
        <f t="array" ref="N200">IFERROR(INDEX(_xlfn.TEXTSPLIT(_xlfn.XLOOKUP($A200&amp;$B200&amp;$C200,盘货信息!$A:$A&amp;盘货信息!$B:$B&amp;盘货信息!$C:$C,盘货信息!$S:$S),CHAR(10),,TRUE),1,COLUMN(E199)),"")</f>
        <v/>
      </c>
    </row>
    <row r="201" customHeight="1" spans="1:14">
      <c r="A201" s="17" t="str">
        <f>IF(盘货信息!A201="","",盘货信息!A201)</f>
        <v/>
      </c>
      <c r="B201" s="17" t="str">
        <f>IF(盘货信息!B201="","",盘货信息!B201)</f>
        <v/>
      </c>
      <c r="C201" s="18" t="str">
        <f>IF(盘货信息!C201="","",盘货信息!C201)</f>
        <v/>
      </c>
      <c r="D201" s="18" t="str">
        <f t="shared" si="3"/>
        <v/>
      </c>
      <c r="E201" s="18" t="str">
        <f>_xlfn.LET(_xlpm.A,IF(ISNUMBER(SEARCH("晒单",J201)),"【晒单】"&amp;MID(J201,SEARCH("晒单",J201)+LEN("晒单"),LEN(J201))&amp;"（需晒单后联系客服登记）",IF(ISNUMBER(SEARCH("包修",J201)),"【购机】"&amp;MID(J201,SEARCH("购机",J201)+LEN("购机"),LEN(J201)),IF(ISNUMBER(SEARCH("叠放支架",J201)),"【赠品】"&amp;MID(J201,SEARCH("购机",J201)+LEN("购机"),LEN(J201)),IF(ISNUMBER(SEARCH("秀图",J201)),"【秀图】"&amp;MID(J201,SEARCH("秀图",J201)+LEN("秀图"),LEN(J201)),"")))),IFERROR(LEFT(_xlpm.A,FIND("【",_xlpm.A,FIND("】",_xlpm.A)+1)-1)&amp;MID(_xlpm.A,FIND("】",_xlpm.A,FIND("】",_xlpm.A)+1)+1,LEN(_xlpm.A)),_xlpm.A))</f>
        <v/>
      </c>
      <c r="F201" s="18" t="str">
        <f>_xlfn.LET(_xlpm.A,IF(ISNUMBER(SEARCH("晒单",K201)),"【晒单】"&amp;MID(K201,SEARCH("晒单",K201)+LEN("晒单"),LEN(K201))&amp;"（需晒单后联系客服登记）",IF(ISNUMBER(SEARCH("包修",K201)),"【购机】"&amp;MID(K201,SEARCH("购机",K201)+LEN("购机"),LEN(K201)),IF(ISNUMBER(SEARCH("叠放支架",K201)),"【赠品】"&amp;MID(K201,SEARCH("购机",K201)+LEN("购机"),LEN(K201)),IF(ISNUMBER(SEARCH("秀图",K201)),"【秀图】"&amp;MID(K201,SEARCH("秀图",K201)+LEN("秀图"),LEN(K201)),"")))),IFERROR(LEFT(_xlpm.A,FIND("【",_xlpm.A,FIND("】",_xlpm.A)+1)-1)&amp;MID(_xlpm.A,FIND("】",_xlpm.A,FIND("】",_xlpm.A)+1)+1,LEN(_xlpm.A)),_xlpm.A))</f>
        <v/>
      </c>
      <c r="G201" s="18" t="str">
        <f>_xlfn.LET(_xlpm.A,IF(ISNUMBER(SEARCH("晒单",L201)),"【晒单】"&amp;MID(L201,SEARCH("晒单",L201)+LEN("晒单"),LEN(L201))&amp;"（需晒单后联系客服登记）",IF(ISNUMBER(SEARCH("包修",L201)),"【购机】"&amp;MID(L201,SEARCH("购机",L201)+LEN("购机"),LEN(L201)),IF(ISNUMBER(SEARCH("叠放支架",L201)),"【赠品】"&amp;MID(L201,SEARCH("购机",L201)+LEN("购机"),LEN(L201)),IF(ISNUMBER(SEARCH("秀图",L201)),"【秀图】"&amp;MID(L201,SEARCH("秀图",L201)+LEN("秀图"),LEN(L201)),"")))),IFERROR(LEFT(_xlpm.A,FIND("【",_xlpm.A,FIND("】",_xlpm.A)+1)-1)&amp;MID(_xlpm.A,FIND("】",_xlpm.A,FIND("】",_xlpm.A)+1)+1,LEN(_xlpm.A)),_xlpm.A))</f>
        <v/>
      </c>
      <c r="H201" s="18" t="str">
        <f>_xlfn.LET(_xlpm.A,IF(ISNUMBER(SEARCH("晒单",M201)),"【晒单】"&amp;MID(M201,SEARCH("晒单",M201)+LEN("晒单"),LEN(M201))&amp;"（需晒单后联系客服登记）",IF(ISNUMBER(SEARCH("包修",M201)),"【购机】"&amp;MID(M201,SEARCH("购机",M201)+LEN("购机"),LEN(M201)),IF(ISNUMBER(SEARCH("叠放支架",M201)),"【赠品】"&amp;MID(M201,SEARCH("购机",M201)+LEN("购机"),LEN(M201)),IF(ISNUMBER(SEARCH("秀图",M201)),"【秀图】"&amp;MID(M201,SEARCH("秀图",M201)+LEN("秀图"),LEN(M201)),"")))),IFERROR(LEFT(_xlpm.A,FIND("【",_xlpm.A,FIND("】",_xlpm.A)+1)-1)&amp;MID(_xlpm.A,FIND("】",_xlpm.A,FIND("】",_xlpm.A)+1)+1,LEN(_xlpm.A)),_xlpm.A))</f>
        <v/>
      </c>
      <c r="I201" s="18" t="str">
        <f>_xlfn.LET(_xlpm.A,IF(ISNUMBER(SEARCH("晒单",N201)),"【晒单】"&amp;MID(N201,SEARCH("晒单",N201)+LEN("晒单"),LEN(N201))&amp;"（需晒单后联系客服登记）",IF(ISNUMBER(SEARCH("包修",N201)),"【购机】"&amp;MID(N201,SEARCH("购机",N201)+LEN("购机"),LEN(N201)),IF(ISNUMBER(SEARCH("叠放支架",N201)),"【赠品】"&amp;MID(N201,SEARCH("购机",N201)+LEN("购机"),LEN(N201)),IF(ISNUMBER(SEARCH("秀图",N201)),"【秀图】"&amp;MID(N201,SEARCH("秀图",N201)+LEN("秀图"),LEN(N201)),"")))),IFERROR(LEFT(_xlpm.A,FIND("【",_xlpm.A,FIND("】",_xlpm.A)+1)-1)&amp;MID(_xlpm.A,FIND("】",_xlpm.A,FIND("】",_xlpm.A)+1)+1,LEN(_xlpm.A)),_xlpm.A))</f>
        <v/>
      </c>
      <c r="J201" s="18" t="str" cm="1">
        <f t="array" ref="J201">IFERROR(INDEX(_xlfn.TEXTSPLIT(_xlfn.XLOOKUP($A201&amp;$B201&amp;$C201,盘货信息!$A:$A&amp;盘货信息!$B:$B&amp;盘货信息!$C:$C,盘货信息!$S:$S),CHAR(10),,TRUE),1,COLUMN(A200)),"")</f>
        <v/>
      </c>
      <c r="K201" s="18" t="str" cm="1">
        <f t="array" ref="K201">IFERROR(INDEX(_xlfn.TEXTSPLIT(_xlfn.XLOOKUP($A201&amp;$B201&amp;$C201,盘货信息!$A:$A&amp;盘货信息!$B:$B&amp;盘货信息!$C:$C,盘货信息!$S:$S),CHAR(10),,TRUE),1,COLUMN(B200)),"")</f>
        <v/>
      </c>
      <c r="L201" s="18" t="str" cm="1">
        <f t="array" ref="L201">IFERROR(INDEX(_xlfn.TEXTSPLIT(_xlfn.XLOOKUP($A201&amp;$B201&amp;$C201,盘货信息!$A:$A&amp;盘货信息!$B:$B&amp;盘货信息!$C:$C,盘货信息!$S:$S),CHAR(10),,TRUE),1,COLUMN(C200)),"")</f>
        <v/>
      </c>
      <c r="M201" s="18" t="str" cm="1">
        <f t="array" ref="M201">IFERROR(INDEX(_xlfn.TEXTSPLIT(_xlfn.XLOOKUP($A201&amp;$B201&amp;$C201,盘货信息!$A:$A&amp;盘货信息!$B:$B&amp;盘货信息!$C:$C,盘货信息!$S:$S),CHAR(10),,TRUE),1,COLUMN(D200)),"")</f>
        <v/>
      </c>
      <c r="N201" s="18" t="str" cm="1">
        <f t="array" ref="N201">IFERROR(INDEX(_xlfn.TEXTSPLIT(_xlfn.XLOOKUP($A201&amp;$B201&amp;$C201,盘货信息!$A:$A&amp;盘货信息!$B:$B&amp;盘货信息!$C:$C,盘货信息!$S:$S),CHAR(10),,TRUE),1,COLUMN(E200)),"")</f>
        <v/>
      </c>
    </row>
    <row r="202" customHeight="1" spans="1:14">
      <c r="A202" s="17" t="str">
        <f>IF(盘货信息!A202="","",盘货信息!A202)</f>
        <v/>
      </c>
      <c r="B202" s="17" t="str">
        <f>IF(盘货信息!B202="","",盘货信息!B202)</f>
        <v/>
      </c>
      <c r="C202" s="18" t="str">
        <f>IF(盘货信息!C202="","",盘货信息!C202)</f>
        <v/>
      </c>
      <c r="D202" s="18" t="str">
        <f t="shared" si="3"/>
        <v/>
      </c>
      <c r="E202" s="18" t="str">
        <f>_xlfn.LET(_xlpm.A,IF(ISNUMBER(SEARCH("晒单",J202)),"【晒单】"&amp;MID(J202,SEARCH("晒单",J202)+LEN("晒单"),LEN(J202))&amp;"（需晒单后联系客服登记）",IF(ISNUMBER(SEARCH("包修",J202)),"【购机】"&amp;MID(J202,SEARCH("购机",J202)+LEN("购机"),LEN(J202)),IF(ISNUMBER(SEARCH("叠放支架",J202)),"【赠品】"&amp;MID(J202,SEARCH("购机",J202)+LEN("购机"),LEN(J202)),IF(ISNUMBER(SEARCH("秀图",J202)),"【秀图】"&amp;MID(J202,SEARCH("秀图",J202)+LEN("秀图"),LEN(J202)),"")))),IFERROR(LEFT(_xlpm.A,FIND("【",_xlpm.A,FIND("】",_xlpm.A)+1)-1)&amp;MID(_xlpm.A,FIND("】",_xlpm.A,FIND("】",_xlpm.A)+1)+1,LEN(_xlpm.A)),_xlpm.A))</f>
        <v/>
      </c>
      <c r="F202" s="18" t="str">
        <f>_xlfn.LET(_xlpm.A,IF(ISNUMBER(SEARCH("晒单",K202)),"【晒单】"&amp;MID(K202,SEARCH("晒单",K202)+LEN("晒单"),LEN(K202))&amp;"（需晒单后联系客服登记）",IF(ISNUMBER(SEARCH("包修",K202)),"【购机】"&amp;MID(K202,SEARCH("购机",K202)+LEN("购机"),LEN(K202)),IF(ISNUMBER(SEARCH("叠放支架",K202)),"【赠品】"&amp;MID(K202,SEARCH("购机",K202)+LEN("购机"),LEN(K202)),IF(ISNUMBER(SEARCH("秀图",K202)),"【秀图】"&amp;MID(K202,SEARCH("秀图",K202)+LEN("秀图"),LEN(K202)),"")))),IFERROR(LEFT(_xlpm.A,FIND("【",_xlpm.A,FIND("】",_xlpm.A)+1)-1)&amp;MID(_xlpm.A,FIND("】",_xlpm.A,FIND("】",_xlpm.A)+1)+1,LEN(_xlpm.A)),_xlpm.A))</f>
        <v/>
      </c>
      <c r="G202" s="18" t="str">
        <f>_xlfn.LET(_xlpm.A,IF(ISNUMBER(SEARCH("晒单",L202)),"【晒单】"&amp;MID(L202,SEARCH("晒单",L202)+LEN("晒单"),LEN(L202))&amp;"（需晒单后联系客服登记）",IF(ISNUMBER(SEARCH("包修",L202)),"【购机】"&amp;MID(L202,SEARCH("购机",L202)+LEN("购机"),LEN(L202)),IF(ISNUMBER(SEARCH("叠放支架",L202)),"【赠品】"&amp;MID(L202,SEARCH("购机",L202)+LEN("购机"),LEN(L202)),IF(ISNUMBER(SEARCH("秀图",L202)),"【秀图】"&amp;MID(L202,SEARCH("秀图",L202)+LEN("秀图"),LEN(L202)),"")))),IFERROR(LEFT(_xlpm.A,FIND("【",_xlpm.A,FIND("】",_xlpm.A)+1)-1)&amp;MID(_xlpm.A,FIND("】",_xlpm.A,FIND("】",_xlpm.A)+1)+1,LEN(_xlpm.A)),_xlpm.A))</f>
        <v/>
      </c>
      <c r="H202" s="18" t="str">
        <f>_xlfn.LET(_xlpm.A,IF(ISNUMBER(SEARCH("晒单",M202)),"【晒单】"&amp;MID(M202,SEARCH("晒单",M202)+LEN("晒单"),LEN(M202))&amp;"（需晒单后联系客服登记）",IF(ISNUMBER(SEARCH("包修",M202)),"【购机】"&amp;MID(M202,SEARCH("购机",M202)+LEN("购机"),LEN(M202)),IF(ISNUMBER(SEARCH("叠放支架",M202)),"【赠品】"&amp;MID(M202,SEARCH("购机",M202)+LEN("购机"),LEN(M202)),IF(ISNUMBER(SEARCH("秀图",M202)),"【秀图】"&amp;MID(M202,SEARCH("秀图",M202)+LEN("秀图"),LEN(M202)),"")))),IFERROR(LEFT(_xlpm.A,FIND("【",_xlpm.A,FIND("】",_xlpm.A)+1)-1)&amp;MID(_xlpm.A,FIND("】",_xlpm.A,FIND("】",_xlpm.A)+1)+1,LEN(_xlpm.A)),_xlpm.A))</f>
        <v/>
      </c>
      <c r="I202" s="18" t="str">
        <f>_xlfn.LET(_xlpm.A,IF(ISNUMBER(SEARCH("晒单",N202)),"【晒单】"&amp;MID(N202,SEARCH("晒单",N202)+LEN("晒单"),LEN(N202))&amp;"（需晒单后联系客服登记）",IF(ISNUMBER(SEARCH("包修",N202)),"【购机】"&amp;MID(N202,SEARCH("购机",N202)+LEN("购机"),LEN(N202)),IF(ISNUMBER(SEARCH("叠放支架",N202)),"【赠品】"&amp;MID(N202,SEARCH("购机",N202)+LEN("购机"),LEN(N202)),IF(ISNUMBER(SEARCH("秀图",N202)),"【秀图】"&amp;MID(N202,SEARCH("秀图",N202)+LEN("秀图"),LEN(N202)),"")))),IFERROR(LEFT(_xlpm.A,FIND("【",_xlpm.A,FIND("】",_xlpm.A)+1)-1)&amp;MID(_xlpm.A,FIND("】",_xlpm.A,FIND("】",_xlpm.A)+1)+1,LEN(_xlpm.A)),_xlpm.A))</f>
        <v/>
      </c>
      <c r="J202" s="18" t="str" cm="1">
        <f t="array" ref="J202">IFERROR(INDEX(_xlfn.TEXTSPLIT(_xlfn.XLOOKUP($A202&amp;$B202&amp;$C202,盘货信息!$A:$A&amp;盘货信息!$B:$B&amp;盘货信息!$C:$C,盘货信息!$S:$S),CHAR(10),,TRUE),1,COLUMN(A201)),"")</f>
        <v/>
      </c>
      <c r="K202" s="18" t="str" cm="1">
        <f t="array" ref="K202">IFERROR(INDEX(_xlfn.TEXTSPLIT(_xlfn.XLOOKUP($A202&amp;$B202&amp;$C202,盘货信息!$A:$A&amp;盘货信息!$B:$B&amp;盘货信息!$C:$C,盘货信息!$S:$S),CHAR(10),,TRUE),1,COLUMN(B201)),"")</f>
        <v/>
      </c>
      <c r="L202" s="18" t="str" cm="1">
        <f t="array" ref="L202">IFERROR(INDEX(_xlfn.TEXTSPLIT(_xlfn.XLOOKUP($A202&amp;$B202&amp;$C202,盘货信息!$A:$A&amp;盘货信息!$B:$B&amp;盘货信息!$C:$C,盘货信息!$S:$S),CHAR(10),,TRUE),1,COLUMN(C201)),"")</f>
        <v/>
      </c>
      <c r="M202" s="18" t="str" cm="1">
        <f t="array" ref="M202">IFERROR(INDEX(_xlfn.TEXTSPLIT(_xlfn.XLOOKUP($A202&amp;$B202&amp;$C202,盘货信息!$A:$A&amp;盘货信息!$B:$B&amp;盘货信息!$C:$C,盘货信息!$S:$S),CHAR(10),,TRUE),1,COLUMN(D201)),"")</f>
        <v/>
      </c>
      <c r="N202" s="18" t="str" cm="1">
        <f t="array" ref="N202">IFERROR(INDEX(_xlfn.TEXTSPLIT(_xlfn.XLOOKUP($A202&amp;$B202&amp;$C202,盘货信息!$A:$A&amp;盘货信息!$B:$B&amp;盘货信息!$C:$C,盘货信息!$S:$S),CHAR(10),,TRUE),1,COLUMN(E201)),"")</f>
        <v/>
      </c>
    </row>
    <row r="203" customHeight="1" spans="1:14">
      <c r="A203" s="17" t="str">
        <f>IF(盘货信息!A203="","",盘货信息!A203)</f>
        <v/>
      </c>
      <c r="B203" s="17" t="str">
        <f>IF(盘货信息!B203="","",盘货信息!B203)</f>
        <v/>
      </c>
      <c r="C203" s="18" t="str">
        <f>IF(盘货信息!C203="","",盘货信息!C203)</f>
        <v/>
      </c>
      <c r="D203" s="18" t="str">
        <f t="shared" si="3"/>
        <v/>
      </c>
      <c r="E203" s="18" t="str">
        <f>_xlfn.LET(_xlpm.A,IF(ISNUMBER(SEARCH("晒单",J203)),"【晒单】"&amp;MID(J203,SEARCH("晒单",J203)+LEN("晒单"),LEN(J203))&amp;"（需晒单后联系客服登记）",IF(ISNUMBER(SEARCH("包修",J203)),"【购机】"&amp;MID(J203,SEARCH("购机",J203)+LEN("购机"),LEN(J203)),IF(ISNUMBER(SEARCH("叠放支架",J203)),"【赠品】"&amp;MID(J203,SEARCH("购机",J203)+LEN("购机"),LEN(J203)),IF(ISNUMBER(SEARCH("秀图",J203)),"【秀图】"&amp;MID(J203,SEARCH("秀图",J203)+LEN("秀图"),LEN(J203)),"")))),IFERROR(LEFT(_xlpm.A,FIND("【",_xlpm.A,FIND("】",_xlpm.A)+1)-1)&amp;MID(_xlpm.A,FIND("】",_xlpm.A,FIND("】",_xlpm.A)+1)+1,LEN(_xlpm.A)),_xlpm.A))</f>
        <v/>
      </c>
      <c r="F203" s="18" t="str">
        <f>_xlfn.LET(_xlpm.A,IF(ISNUMBER(SEARCH("晒单",K203)),"【晒单】"&amp;MID(K203,SEARCH("晒单",K203)+LEN("晒单"),LEN(K203))&amp;"（需晒单后联系客服登记）",IF(ISNUMBER(SEARCH("包修",K203)),"【购机】"&amp;MID(K203,SEARCH("购机",K203)+LEN("购机"),LEN(K203)),IF(ISNUMBER(SEARCH("叠放支架",K203)),"【赠品】"&amp;MID(K203,SEARCH("购机",K203)+LEN("购机"),LEN(K203)),IF(ISNUMBER(SEARCH("秀图",K203)),"【秀图】"&amp;MID(K203,SEARCH("秀图",K203)+LEN("秀图"),LEN(K203)),"")))),IFERROR(LEFT(_xlpm.A,FIND("【",_xlpm.A,FIND("】",_xlpm.A)+1)-1)&amp;MID(_xlpm.A,FIND("】",_xlpm.A,FIND("】",_xlpm.A)+1)+1,LEN(_xlpm.A)),_xlpm.A))</f>
        <v/>
      </c>
      <c r="G203" s="18" t="str">
        <f>_xlfn.LET(_xlpm.A,IF(ISNUMBER(SEARCH("晒单",L203)),"【晒单】"&amp;MID(L203,SEARCH("晒单",L203)+LEN("晒单"),LEN(L203))&amp;"（需晒单后联系客服登记）",IF(ISNUMBER(SEARCH("包修",L203)),"【购机】"&amp;MID(L203,SEARCH("购机",L203)+LEN("购机"),LEN(L203)),IF(ISNUMBER(SEARCH("叠放支架",L203)),"【赠品】"&amp;MID(L203,SEARCH("购机",L203)+LEN("购机"),LEN(L203)),IF(ISNUMBER(SEARCH("秀图",L203)),"【秀图】"&amp;MID(L203,SEARCH("秀图",L203)+LEN("秀图"),LEN(L203)),"")))),IFERROR(LEFT(_xlpm.A,FIND("【",_xlpm.A,FIND("】",_xlpm.A)+1)-1)&amp;MID(_xlpm.A,FIND("】",_xlpm.A,FIND("】",_xlpm.A)+1)+1,LEN(_xlpm.A)),_xlpm.A))</f>
        <v/>
      </c>
      <c r="H203" s="18" t="str">
        <f>_xlfn.LET(_xlpm.A,IF(ISNUMBER(SEARCH("晒单",M203)),"【晒单】"&amp;MID(M203,SEARCH("晒单",M203)+LEN("晒单"),LEN(M203))&amp;"（需晒单后联系客服登记）",IF(ISNUMBER(SEARCH("包修",M203)),"【购机】"&amp;MID(M203,SEARCH("购机",M203)+LEN("购机"),LEN(M203)),IF(ISNUMBER(SEARCH("叠放支架",M203)),"【赠品】"&amp;MID(M203,SEARCH("购机",M203)+LEN("购机"),LEN(M203)),IF(ISNUMBER(SEARCH("秀图",M203)),"【秀图】"&amp;MID(M203,SEARCH("秀图",M203)+LEN("秀图"),LEN(M203)),"")))),IFERROR(LEFT(_xlpm.A,FIND("【",_xlpm.A,FIND("】",_xlpm.A)+1)-1)&amp;MID(_xlpm.A,FIND("】",_xlpm.A,FIND("】",_xlpm.A)+1)+1,LEN(_xlpm.A)),_xlpm.A))</f>
        <v/>
      </c>
      <c r="I203" s="18" t="str">
        <f>_xlfn.LET(_xlpm.A,IF(ISNUMBER(SEARCH("晒单",N203)),"【晒单】"&amp;MID(N203,SEARCH("晒单",N203)+LEN("晒单"),LEN(N203))&amp;"（需晒单后联系客服登记）",IF(ISNUMBER(SEARCH("包修",N203)),"【购机】"&amp;MID(N203,SEARCH("购机",N203)+LEN("购机"),LEN(N203)),IF(ISNUMBER(SEARCH("叠放支架",N203)),"【赠品】"&amp;MID(N203,SEARCH("购机",N203)+LEN("购机"),LEN(N203)),IF(ISNUMBER(SEARCH("秀图",N203)),"【秀图】"&amp;MID(N203,SEARCH("秀图",N203)+LEN("秀图"),LEN(N203)),"")))),IFERROR(LEFT(_xlpm.A,FIND("【",_xlpm.A,FIND("】",_xlpm.A)+1)-1)&amp;MID(_xlpm.A,FIND("】",_xlpm.A,FIND("】",_xlpm.A)+1)+1,LEN(_xlpm.A)),_xlpm.A))</f>
        <v/>
      </c>
      <c r="J203" s="18" t="str" cm="1">
        <f t="array" ref="J203">IFERROR(INDEX(_xlfn.TEXTSPLIT(_xlfn.XLOOKUP($A203&amp;$B203&amp;$C203,盘货信息!$A:$A&amp;盘货信息!$B:$B&amp;盘货信息!$C:$C,盘货信息!$S:$S),CHAR(10),,TRUE),1,COLUMN(A202)),"")</f>
        <v/>
      </c>
      <c r="K203" s="18" t="str" cm="1">
        <f t="array" ref="K203">IFERROR(INDEX(_xlfn.TEXTSPLIT(_xlfn.XLOOKUP($A203&amp;$B203&amp;$C203,盘货信息!$A:$A&amp;盘货信息!$B:$B&amp;盘货信息!$C:$C,盘货信息!$S:$S),CHAR(10),,TRUE),1,COLUMN(B202)),"")</f>
        <v/>
      </c>
      <c r="L203" s="18" t="str" cm="1">
        <f t="array" ref="L203">IFERROR(INDEX(_xlfn.TEXTSPLIT(_xlfn.XLOOKUP($A203&amp;$B203&amp;$C203,盘货信息!$A:$A&amp;盘货信息!$B:$B&amp;盘货信息!$C:$C,盘货信息!$S:$S),CHAR(10),,TRUE),1,COLUMN(C202)),"")</f>
        <v/>
      </c>
      <c r="M203" s="18" t="str" cm="1">
        <f t="array" ref="M203">IFERROR(INDEX(_xlfn.TEXTSPLIT(_xlfn.XLOOKUP($A203&amp;$B203&amp;$C203,盘货信息!$A:$A&amp;盘货信息!$B:$B&amp;盘货信息!$C:$C,盘货信息!$S:$S),CHAR(10),,TRUE),1,COLUMN(D202)),"")</f>
        <v/>
      </c>
      <c r="N203" s="18" t="str" cm="1">
        <f t="array" ref="N203">IFERROR(INDEX(_xlfn.TEXTSPLIT(_xlfn.XLOOKUP($A203&amp;$B203&amp;$C203,盘货信息!$A:$A&amp;盘货信息!$B:$B&amp;盘货信息!$C:$C,盘货信息!$S:$S),CHAR(10),,TRUE),1,COLUMN(E202)),"")</f>
        <v/>
      </c>
    </row>
    <row r="204" customHeight="1" spans="1:14">
      <c r="A204" s="17" t="str">
        <f>IF(盘货信息!A204="","",盘货信息!A204)</f>
        <v/>
      </c>
      <c r="B204" s="17" t="str">
        <f>IF(盘货信息!B204="","",盘货信息!B204)</f>
        <v/>
      </c>
      <c r="C204" s="18" t="str">
        <f>IF(盘货信息!C204="","",盘货信息!C204)</f>
        <v/>
      </c>
      <c r="D204" s="18" t="str">
        <f t="shared" si="3"/>
        <v/>
      </c>
      <c r="E204" s="18" t="str">
        <f>_xlfn.LET(_xlpm.A,IF(ISNUMBER(SEARCH("晒单",J204)),"【晒单】"&amp;MID(J204,SEARCH("晒单",J204)+LEN("晒单"),LEN(J204))&amp;"（需晒单后联系客服登记）",IF(ISNUMBER(SEARCH("包修",J204)),"【购机】"&amp;MID(J204,SEARCH("购机",J204)+LEN("购机"),LEN(J204)),IF(ISNUMBER(SEARCH("叠放支架",J204)),"【赠品】"&amp;MID(J204,SEARCH("购机",J204)+LEN("购机"),LEN(J204)),IF(ISNUMBER(SEARCH("秀图",J204)),"【秀图】"&amp;MID(J204,SEARCH("秀图",J204)+LEN("秀图"),LEN(J204)),"")))),IFERROR(LEFT(_xlpm.A,FIND("【",_xlpm.A,FIND("】",_xlpm.A)+1)-1)&amp;MID(_xlpm.A,FIND("】",_xlpm.A,FIND("】",_xlpm.A)+1)+1,LEN(_xlpm.A)),_xlpm.A))</f>
        <v/>
      </c>
      <c r="F204" s="18" t="str">
        <f>_xlfn.LET(_xlpm.A,IF(ISNUMBER(SEARCH("晒单",K204)),"【晒单】"&amp;MID(K204,SEARCH("晒单",K204)+LEN("晒单"),LEN(K204))&amp;"（需晒单后联系客服登记）",IF(ISNUMBER(SEARCH("包修",K204)),"【购机】"&amp;MID(K204,SEARCH("购机",K204)+LEN("购机"),LEN(K204)),IF(ISNUMBER(SEARCH("叠放支架",K204)),"【赠品】"&amp;MID(K204,SEARCH("购机",K204)+LEN("购机"),LEN(K204)),IF(ISNUMBER(SEARCH("秀图",K204)),"【秀图】"&amp;MID(K204,SEARCH("秀图",K204)+LEN("秀图"),LEN(K204)),"")))),IFERROR(LEFT(_xlpm.A,FIND("【",_xlpm.A,FIND("】",_xlpm.A)+1)-1)&amp;MID(_xlpm.A,FIND("】",_xlpm.A,FIND("】",_xlpm.A)+1)+1,LEN(_xlpm.A)),_xlpm.A))</f>
        <v/>
      </c>
      <c r="G204" s="18" t="str">
        <f>_xlfn.LET(_xlpm.A,IF(ISNUMBER(SEARCH("晒单",L204)),"【晒单】"&amp;MID(L204,SEARCH("晒单",L204)+LEN("晒单"),LEN(L204))&amp;"（需晒单后联系客服登记）",IF(ISNUMBER(SEARCH("包修",L204)),"【购机】"&amp;MID(L204,SEARCH("购机",L204)+LEN("购机"),LEN(L204)),IF(ISNUMBER(SEARCH("叠放支架",L204)),"【赠品】"&amp;MID(L204,SEARCH("购机",L204)+LEN("购机"),LEN(L204)),IF(ISNUMBER(SEARCH("秀图",L204)),"【秀图】"&amp;MID(L204,SEARCH("秀图",L204)+LEN("秀图"),LEN(L204)),"")))),IFERROR(LEFT(_xlpm.A,FIND("【",_xlpm.A,FIND("】",_xlpm.A)+1)-1)&amp;MID(_xlpm.A,FIND("】",_xlpm.A,FIND("】",_xlpm.A)+1)+1,LEN(_xlpm.A)),_xlpm.A))</f>
        <v/>
      </c>
      <c r="H204" s="18" t="str">
        <f>_xlfn.LET(_xlpm.A,IF(ISNUMBER(SEARCH("晒单",M204)),"【晒单】"&amp;MID(M204,SEARCH("晒单",M204)+LEN("晒单"),LEN(M204))&amp;"（需晒单后联系客服登记）",IF(ISNUMBER(SEARCH("包修",M204)),"【购机】"&amp;MID(M204,SEARCH("购机",M204)+LEN("购机"),LEN(M204)),IF(ISNUMBER(SEARCH("叠放支架",M204)),"【赠品】"&amp;MID(M204,SEARCH("购机",M204)+LEN("购机"),LEN(M204)),IF(ISNUMBER(SEARCH("秀图",M204)),"【秀图】"&amp;MID(M204,SEARCH("秀图",M204)+LEN("秀图"),LEN(M204)),"")))),IFERROR(LEFT(_xlpm.A,FIND("【",_xlpm.A,FIND("】",_xlpm.A)+1)-1)&amp;MID(_xlpm.A,FIND("】",_xlpm.A,FIND("】",_xlpm.A)+1)+1,LEN(_xlpm.A)),_xlpm.A))</f>
        <v/>
      </c>
      <c r="I204" s="18" t="str">
        <f>_xlfn.LET(_xlpm.A,IF(ISNUMBER(SEARCH("晒单",N204)),"【晒单】"&amp;MID(N204,SEARCH("晒单",N204)+LEN("晒单"),LEN(N204))&amp;"（需晒单后联系客服登记）",IF(ISNUMBER(SEARCH("包修",N204)),"【购机】"&amp;MID(N204,SEARCH("购机",N204)+LEN("购机"),LEN(N204)),IF(ISNUMBER(SEARCH("叠放支架",N204)),"【赠品】"&amp;MID(N204,SEARCH("购机",N204)+LEN("购机"),LEN(N204)),IF(ISNUMBER(SEARCH("秀图",N204)),"【秀图】"&amp;MID(N204,SEARCH("秀图",N204)+LEN("秀图"),LEN(N204)),"")))),IFERROR(LEFT(_xlpm.A,FIND("【",_xlpm.A,FIND("】",_xlpm.A)+1)-1)&amp;MID(_xlpm.A,FIND("】",_xlpm.A,FIND("】",_xlpm.A)+1)+1,LEN(_xlpm.A)),_xlpm.A))</f>
        <v/>
      </c>
      <c r="J204" s="18" t="str" cm="1">
        <f t="array" ref="J204">IFERROR(INDEX(_xlfn.TEXTSPLIT(_xlfn.XLOOKUP($A204&amp;$B204&amp;$C204,盘货信息!$A:$A&amp;盘货信息!$B:$B&amp;盘货信息!$C:$C,盘货信息!$S:$S),CHAR(10),,TRUE),1,COLUMN(A203)),"")</f>
        <v/>
      </c>
      <c r="K204" s="18" t="str" cm="1">
        <f t="array" ref="K204">IFERROR(INDEX(_xlfn.TEXTSPLIT(_xlfn.XLOOKUP($A204&amp;$B204&amp;$C204,盘货信息!$A:$A&amp;盘货信息!$B:$B&amp;盘货信息!$C:$C,盘货信息!$S:$S),CHAR(10),,TRUE),1,COLUMN(B203)),"")</f>
        <v/>
      </c>
      <c r="L204" s="18" t="str" cm="1">
        <f t="array" ref="L204">IFERROR(INDEX(_xlfn.TEXTSPLIT(_xlfn.XLOOKUP($A204&amp;$B204&amp;$C204,盘货信息!$A:$A&amp;盘货信息!$B:$B&amp;盘货信息!$C:$C,盘货信息!$S:$S),CHAR(10),,TRUE),1,COLUMN(C203)),"")</f>
        <v/>
      </c>
      <c r="M204" s="18" t="str" cm="1">
        <f t="array" ref="M204">IFERROR(INDEX(_xlfn.TEXTSPLIT(_xlfn.XLOOKUP($A204&amp;$B204&amp;$C204,盘货信息!$A:$A&amp;盘货信息!$B:$B&amp;盘货信息!$C:$C,盘货信息!$S:$S),CHAR(10),,TRUE),1,COLUMN(D203)),"")</f>
        <v/>
      </c>
      <c r="N204" s="18" t="str" cm="1">
        <f t="array" ref="N204">IFERROR(INDEX(_xlfn.TEXTSPLIT(_xlfn.XLOOKUP($A204&amp;$B204&amp;$C204,盘货信息!$A:$A&amp;盘货信息!$B:$B&amp;盘货信息!$C:$C,盘货信息!$S:$S),CHAR(10),,TRUE),1,COLUMN(E203)),"")</f>
        <v/>
      </c>
    </row>
    <row r="205" customHeight="1" spans="1:14">
      <c r="A205" s="17" t="str">
        <f>IF(盘货信息!A205="","",盘货信息!A205)</f>
        <v/>
      </c>
      <c r="B205" s="17" t="str">
        <f>IF(盘货信息!B205="","",盘货信息!B205)</f>
        <v/>
      </c>
      <c r="C205" s="18" t="str">
        <f>IF(盘货信息!C205="","",盘货信息!C205)</f>
        <v/>
      </c>
      <c r="D205" s="18" t="str">
        <f t="shared" si="3"/>
        <v/>
      </c>
      <c r="E205" s="18" t="str">
        <f>_xlfn.LET(_xlpm.A,IF(ISNUMBER(SEARCH("晒单",J205)),"【晒单】"&amp;MID(J205,SEARCH("晒单",J205)+LEN("晒单"),LEN(J205))&amp;"（需晒单后联系客服登记）",IF(ISNUMBER(SEARCH("包修",J205)),"【购机】"&amp;MID(J205,SEARCH("购机",J205)+LEN("购机"),LEN(J205)),IF(ISNUMBER(SEARCH("叠放支架",J205)),"【赠品】"&amp;MID(J205,SEARCH("购机",J205)+LEN("购机"),LEN(J205)),IF(ISNUMBER(SEARCH("秀图",J205)),"【秀图】"&amp;MID(J205,SEARCH("秀图",J205)+LEN("秀图"),LEN(J205)),"")))),IFERROR(LEFT(_xlpm.A,FIND("【",_xlpm.A,FIND("】",_xlpm.A)+1)-1)&amp;MID(_xlpm.A,FIND("】",_xlpm.A,FIND("】",_xlpm.A)+1)+1,LEN(_xlpm.A)),_xlpm.A))</f>
        <v/>
      </c>
      <c r="F205" s="18" t="str">
        <f>_xlfn.LET(_xlpm.A,IF(ISNUMBER(SEARCH("晒单",K205)),"【晒单】"&amp;MID(K205,SEARCH("晒单",K205)+LEN("晒单"),LEN(K205))&amp;"（需晒单后联系客服登记）",IF(ISNUMBER(SEARCH("包修",K205)),"【购机】"&amp;MID(K205,SEARCH("购机",K205)+LEN("购机"),LEN(K205)),IF(ISNUMBER(SEARCH("叠放支架",K205)),"【赠品】"&amp;MID(K205,SEARCH("购机",K205)+LEN("购机"),LEN(K205)),IF(ISNUMBER(SEARCH("秀图",K205)),"【秀图】"&amp;MID(K205,SEARCH("秀图",K205)+LEN("秀图"),LEN(K205)),"")))),IFERROR(LEFT(_xlpm.A,FIND("【",_xlpm.A,FIND("】",_xlpm.A)+1)-1)&amp;MID(_xlpm.A,FIND("】",_xlpm.A,FIND("】",_xlpm.A)+1)+1,LEN(_xlpm.A)),_xlpm.A))</f>
        <v/>
      </c>
      <c r="G205" s="18" t="str">
        <f>_xlfn.LET(_xlpm.A,IF(ISNUMBER(SEARCH("晒单",L205)),"【晒单】"&amp;MID(L205,SEARCH("晒单",L205)+LEN("晒单"),LEN(L205))&amp;"（需晒单后联系客服登记）",IF(ISNUMBER(SEARCH("包修",L205)),"【购机】"&amp;MID(L205,SEARCH("购机",L205)+LEN("购机"),LEN(L205)),IF(ISNUMBER(SEARCH("叠放支架",L205)),"【赠品】"&amp;MID(L205,SEARCH("购机",L205)+LEN("购机"),LEN(L205)),IF(ISNUMBER(SEARCH("秀图",L205)),"【秀图】"&amp;MID(L205,SEARCH("秀图",L205)+LEN("秀图"),LEN(L205)),"")))),IFERROR(LEFT(_xlpm.A,FIND("【",_xlpm.A,FIND("】",_xlpm.A)+1)-1)&amp;MID(_xlpm.A,FIND("】",_xlpm.A,FIND("】",_xlpm.A)+1)+1,LEN(_xlpm.A)),_xlpm.A))</f>
        <v/>
      </c>
      <c r="H205" s="18" t="str">
        <f>_xlfn.LET(_xlpm.A,IF(ISNUMBER(SEARCH("晒单",M205)),"【晒单】"&amp;MID(M205,SEARCH("晒单",M205)+LEN("晒单"),LEN(M205))&amp;"（需晒单后联系客服登记）",IF(ISNUMBER(SEARCH("包修",M205)),"【购机】"&amp;MID(M205,SEARCH("购机",M205)+LEN("购机"),LEN(M205)),IF(ISNUMBER(SEARCH("叠放支架",M205)),"【赠品】"&amp;MID(M205,SEARCH("购机",M205)+LEN("购机"),LEN(M205)),IF(ISNUMBER(SEARCH("秀图",M205)),"【秀图】"&amp;MID(M205,SEARCH("秀图",M205)+LEN("秀图"),LEN(M205)),"")))),IFERROR(LEFT(_xlpm.A,FIND("【",_xlpm.A,FIND("】",_xlpm.A)+1)-1)&amp;MID(_xlpm.A,FIND("】",_xlpm.A,FIND("】",_xlpm.A)+1)+1,LEN(_xlpm.A)),_xlpm.A))</f>
        <v/>
      </c>
      <c r="I205" s="18" t="str">
        <f>_xlfn.LET(_xlpm.A,IF(ISNUMBER(SEARCH("晒单",N205)),"【晒单】"&amp;MID(N205,SEARCH("晒单",N205)+LEN("晒单"),LEN(N205))&amp;"（需晒单后联系客服登记）",IF(ISNUMBER(SEARCH("包修",N205)),"【购机】"&amp;MID(N205,SEARCH("购机",N205)+LEN("购机"),LEN(N205)),IF(ISNUMBER(SEARCH("叠放支架",N205)),"【赠品】"&amp;MID(N205,SEARCH("购机",N205)+LEN("购机"),LEN(N205)),IF(ISNUMBER(SEARCH("秀图",N205)),"【秀图】"&amp;MID(N205,SEARCH("秀图",N205)+LEN("秀图"),LEN(N205)),"")))),IFERROR(LEFT(_xlpm.A,FIND("【",_xlpm.A,FIND("】",_xlpm.A)+1)-1)&amp;MID(_xlpm.A,FIND("】",_xlpm.A,FIND("】",_xlpm.A)+1)+1,LEN(_xlpm.A)),_xlpm.A))</f>
        <v/>
      </c>
      <c r="J205" s="18" t="str" cm="1">
        <f t="array" ref="J205">IFERROR(INDEX(_xlfn.TEXTSPLIT(_xlfn.XLOOKUP($A205&amp;$B205&amp;$C205,盘货信息!$A:$A&amp;盘货信息!$B:$B&amp;盘货信息!$C:$C,盘货信息!$S:$S),CHAR(10),,TRUE),1,COLUMN(A204)),"")</f>
        <v/>
      </c>
      <c r="K205" s="18" t="str" cm="1">
        <f t="array" ref="K205">IFERROR(INDEX(_xlfn.TEXTSPLIT(_xlfn.XLOOKUP($A205&amp;$B205&amp;$C205,盘货信息!$A:$A&amp;盘货信息!$B:$B&amp;盘货信息!$C:$C,盘货信息!$S:$S),CHAR(10),,TRUE),1,COLUMN(B204)),"")</f>
        <v/>
      </c>
      <c r="L205" s="18" t="str" cm="1">
        <f t="array" ref="L205">IFERROR(INDEX(_xlfn.TEXTSPLIT(_xlfn.XLOOKUP($A205&amp;$B205&amp;$C205,盘货信息!$A:$A&amp;盘货信息!$B:$B&amp;盘货信息!$C:$C,盘货信息!$S:$S),CHAR(10),,TRUE),1,COLUMN(C204)),"")</f>
        <v/>
      </c>
      <c r="M205" s="18" t="str" cm="1">
        <f t="array" ref="M205">IFERROR(INDEX(_xlfn.TEXTSPLIT(_xlfn.XLOOKUP($A205&amp;$B205&amp;$C205,盘货信息!$A:$A&amp;盘货信息!$B:$B&amp;盘货信息!$C:$C,盘货信息!$S:$S),CHAR(10),,TRUE),1,COLUMN(D204)),"")</f>
        <v/>
      </c>
      <c r="N205" s="18" t="str" cm="1">
        <f t="array" ref="N205">IFERROR(INDEX(_xlfn.TEXTSPLIT(_xlfn.XLOOKUP($A205&amp;$B205&amp;$C205,盘货信息!$A:$A&amp;盘货信息!$B:$B&amp;盘货信息!$C:$C,盘货信息!$S:$S),CHAR(10),,TRUE),1,COLUMN(E204)),"")</f>
        <v/>
      </c>
    </row>
    <row r="206" customHeight="1" spans="1:14">
      <c r="A206" s="17" t="str">
        <f>IF(盘货信息!A206="","",盘货信息!A206)</f>
        <v/>
      </c>
      <c r="B206" s="17" t="str">
        <f>IF(盘货信息!B206="","",盘货信息!B206)</f>
        <v/>
      </c>
      <c r="C206" s="18" t="str">
        <f>IF(盘货信息!C206="","",盘货信息!C206)</f>
        <v/>
      </c>
      <c r="D206" s="18" t="str">
        <f t="shared" si="3"/>
        <v/>
      </c>
      <c r="E206" s="18" t="str">
        <f>_xlfn.LET(_xlpm.A,IF(ISNUMBER(SEARCH("晒单",J206)),"【晒单】"&amp;MID(J206,SEARCH("晒单",J206)+LEN("晒单"),LEN(J206))&amp;"（需晒单后联系客服登记）",IF(ISNUMBER(SEARCH("包修",J206)),"【购机】"&amp;MID(J206,SEARCH("购机",J206)+LEN("购机"),LEN(J206)),IF(ISNUMBER(SEARCH("叠放支架",J206)),"【赠品】"&amp;MID(J206,SEARCH("购机",J206)+LEN("购机"),LEN(J206)),IF(ISNUMBER(SEARCH("秀图",J206)),"【秀图】"&amp;MID(J206,SEARCH("秀图",J206)+LEN("秀图"),LEN(J206)),"")))),IFERROR(LEFT(_xlpm.A,FIND("【",_xlpm.A,FIND("】",_xlpm.A)+1)-1)&amp;MID(_xlpm.A,FIND("】",_xlpm.A,FIND("】",_xlpm.A)+1)+1,LEN(_xlpm.A)),_xlpm.A))</f>
        <v/>
      </c>
      <c r="F206" s="18" t="str">
        <f>_xlfn.LET(_xlpm.A,IF(ISNUMBER(SEARCH("晒单",K206)),"【晒单】"&amp;MID(K206,SEARCH("晒单",K206)+LEN("晒单"),LEN(K206))&amp;"（需晒单后联系客服登记）",IF(ISNUMBER(SEARCH("包修",K206)),"【购机】"&amp;MID(K206,SEARCH("购机",K206)+LEN("购机"),LEN(K206)),IF(ISNUMBER(SEARCH("叠放支架",K206)),"【赠品】"&amp;MID(K206,SEARCH("购机",K206)+LEN("购机"),LEN(K206)),IF(ISNUMBER(SEARCH("秀图",K206)),"【秀图】"&amp;MID(K206,SEARCH("秀图",K206)+LEN("秀图"),LEN(K206)),"")))),IFERROR(LEFT(_xlpm.A,FIND("【",_xlpm.A,FIND("】",_xlpm.A)+1)-1)&amp;MID(_xlpm.A,FIND("】",_xlpm.A,FIND("】",_xlpm.A)+1)+1,LEN(_xlpm.A)),_xlpm.A))</f>
        <v/>
      </c>
      <c r="G206" s="18" t="str">
        <f>_xlfn.LET(_xlpm.A,IF(ISNUMBER(SEARCH("晒单",L206)),"【晒单】"&amp;MID(L206,SEARCH("晒单",L206)+LEN("晒单"),LEN(L206))&amp;"（需晒单后联系客服登记）",IF(ISNUMBER(SEARCH("包修",L206)),"【购机】"&amp;MID(L206,SEARCH("购机",L206)+LEN("购机"),LEN(L206)),IF(ISNUMBER(SEARCH("叠放支架",L206)),"【赠品】"&amp;MID(L206,SEARCH("购机",L206)+LEN("购机"),LEN(L206)),IF(ISNUMBER(SEARCH("秀图",L206)),"【秀图】"&amp;MID(L206,SEARCH("秀图",L206)+LEN("秀图"),LEN(L206)),"")))),IFERROR(LEFT(_xlpm.A,FIND("【",_xlpm.A,FIND("】",_xlpm.A)+1)-1)&amp;MID(_xlpm.A,FIND("】",_xlpm.A,FIND("】",_xlpm.A)+1)+1,LEN(_xlpm.A)),_xlpm.A))</f>
        <v/>
      </c>
      <c r="H206" s="18" t="str">
        <f>_xlfn.LET(_xlpm.A,IF(ISNUMBER(SEARCH("晒单",M206)),"【晒单】"&amp;MID(M206,SEARCH("晒单",M206)+LEN("晒单"),LEN(M206))&amp;"（需晒单后联系客服登记）",IF(ISNUMBER(SEARCH("包修",M206)),"【购机】"&amp;MID(M206,SEARCH("购机",M206)+LEN("购机"),LEN(M206)),IF(ISNUMBER(SEARCH("叠放支架",M206)),"【赠品】"&amp;MID(M206,SEARCH("购机",M206)+LEN("购机"),LEN(M206)),IF(ISNUMBER(SEARCH("秀图",M206)),"【秀图】"&amp;MID(M206,SEARCH("秀图",M206)+LEN("秀图"),LEN(M206)),"")))),IFERROR(LEFT(_xlpm.A,FIND("【",_xlpm.A,FIND("】",_xlpm.A)+1)-1)&amp;MID(_xlpm.A,FIND("】",_xlpm.A,FIND("】",_xlpm.A)+1)+1,LEN(_xlpm.A)),_xlpm.A))</f>
        <v/>
      </c>
      <c r="I206" s="18" t="str">
        <f>_xlfn.LET(_xlpm.A,IF(ISNUMBER(SEARCH("晒单",N206)),"【晒单】"&amp;MID(N206,SEARCH("晒单",N206)+LEN("晒单"),LEN(N206))&amp;"（需晒单后联系客服登记）",IF(ISNUMBER(SEARCH("包修",N206)),"【购机】"&amp;MID(N206,SEARCH("购机",N206)+LEN("购机"),LEN(N206)),IF(ISNUMBER(SEARCH("叠放支架",N206)),"【赠品】"&amp;MID(N206,SEARCH("购机",N206)+LEN("购机"),LEN(N206)),IF(ISNUMBER(SEARCH("秀图",N206)),"【秀图】"&amp;MID(N206,SEARCH("秀图",N206)+LEN("秀图"),LEN(N206)),"")))),IFERROR(LEFT(_xlpm.A,FIND("【",_xlpm.A,FIND("】",_xlpm.A)+1)-1)&amp;MID(_xlpm.A,FIND("】",_xlpm.A,FIND("】",_xlpm.A)+1)+1,LEN(_xlpm.A)),_xlpm.A))</f>
        <v/>
      </c>
      <c r="J206" s="18" t="str" cm="1">
        <f t="array" ref="J206">IFERROR(INDEX(_xlfn.TEXTSPLIT(_xlfn.XLOOKUP($A206&amp;$B206&amp;$C206,盘货信息!$A:$A&amp;盘货信息!$B:$B&amp;盘货信息!$C:$C,盘货信息!$S:$S),CHAR(10),,TRUE),1,COLUMN(A205)),"")</f>
        <v/>
      </c>
      <c r="K206" s="18" t="str" cm="1">
        <f t="array" ref="K206">IFERROR(INDEX(_xlfn.TEXTSPLIT(_xlfn.XLOOKUP($A206&amp;$B206&amp;$C206,盘货信息!$A:$A&amp;盘货信息!$B:$B&amp;盘货信息!$C:$C,盘货信息!$S:$S),CHAR(10),,TRUE),1,COLUMN(B205)),"")</f>
        <v/>
      </c>
      <c r="L206" s="18" t="str" cm="1">
        <f t="array" ref="L206">IFERROR(INDEX(_xlfn.TEXTSPLIT(_xlfn.XLOOKUP($A206&amp;$B206&amp;$C206,盘货信息!$A:$A&amp;盘货信息!$B:$B&amp;盘货信息!$C:$C,盘货信息!$S:$S),CHAR(10),,TRUE),1,COLUMN(C205)),"")</f>
        <v/>
      </c>
      <c r="M206" s="18" t="str" cm="1">
        <f t="array" ref="M206">IFERROR(INDEX(_xlfn.TEXTSPLIT(_xlfn.XLOOKUP($A206&amp;$B206&amp;$C206,盘货信息!$A:$A&amp;盘货信息!$B:$B&amp;盘货信息!$C:$C,盘货信息!$S:$S),CHAR(10),,TRUE),1,COLUMN(D205)),"")</f>
        <v/>
      </c>
      <c r="N206" s="18" t="str" cm="1">
        <f t="array" ref="N206">IFERROR(INDEX(_xlfn.TEXTSPLIT(_xlfn.XLOOKUP($A206&amp;$B206&amp;$C206,盘货信息!$A:$A&amp;盘货信息!$B:$B&amp;盘货信息!$C:$C,盘货信息!$S:$S),CHAR(10),,TRUE),1,COLUMN(E205)),"")</f>
        <v/>
      </c>
    </row>
    <row r="207" customHeight="1" spans="1:14">
      <c r="A207" s="17" t="str">
        <f>IF(盘货信息!A207="","",盘货信息!A207)</f>
        <v/>
      </c>
      <c r="B207" s="17" t="str">
        <f>IF(盘货信息!B207="","",盘货信息!B207)</f>
        <v/>
      </c>
      <c r="C207" s="18" t="str">
        <f>IF(盘货信息!C207="","",盘货信息!C207)</f>
        <v/>
      </c>
      <c r="D207" s="18" t="str">
        <f t="shared" si="3"/>
        <v/>
      </c>
      <c r="E207" s="18" t="str">
        <f>_xlfn.LET(_xlpm.A,IF(ISNUMBER(SEARCH("晒单",J207)),"【晒单】"&amp;MID(J207,SEARCH("晒单",J207)+LEN("晒单"),LEN(J207))&amp;"（需晒单后联系客服登记）",IF(ISNUMBER(SEARCH("包修",J207)),"【购机】"&amp;MID(J207,SEARCH("购机",J207)+LEN("购机"),LEN(J207)),IF(ISNUMBER(SEARCH("叠放支架",J207)),"【赠品】"&amp;MID(J207,SEARCH("购机",J207)+LEN("购机"),LEN(J207)),IF(ISNUMBER(SEARCH("秀图",J207)),"【秀图】"&amp;MID(J207,SEARCH("秀图",J207)+LEN("秀图"),LEN(J207)),"")))),IFERROR(LEFT(_xlpm.A,FIND("【",_xlpm.A,FIND("】",_xlpm.A)+1)-1)&amp;MID(_xlpm.A,FIND("】",_xlpm.A,FIND("】",_xlpm.A)+1)+1,LEN(_xlpm.A)),_xlpm.A))</f>
        <v/>
      </c>
      <c r="F207" s="18" t="str">
        <f>_xlfn.LET(_xlpm.A,IF(ISNUMBER(SEARCH("晒单",K207)),"【晒单】"&amp;MID(K207,SEARCH("晒单",K207)+LEN("晒单"),LEN(K207))&amp;"（需晒单后联系客服登记）",IF(ISNUMBER(SEARCH("包修",K207)),"【购机】"&amp;MID(K207,SEARCH("购机",K207)+LEN("购机"),LEN(K207)),IF(ISNUMBER(SEARCH("叠放支架",K207)),"【赠品】"&amp;MID(K207,SEARCH("购机",K207)+LEN("购机"),LEN(K207)),IF(ISNUMBER(SEARCH("秀图",K207)),"【秀图】"&amp;MID(K207,SEARCH("秀图",K207)+LEN("秀图"),LEN(K207)),"")))),IFERROR(LEFT(_xlpm.A,FIND("【",_xlpm.A,FIND("】",_xlpm.A)+1)-1)&amp;MID(_xlpm.A,FIND("】",_xlpm.A,FIND("】",_xlpm.A)+1)+1,LEN(_xlpm.A)),_xlpm.A))</f>
        <v/>
      </c>
      <c r="G207" s="18" t="str">
        <f>_xlfn.LET(_xlpm.A,IF(ISNUMBER(SEARCH("晒单",L207)),"【晒单】"&amp;MID(L207,SEARCH("晒单",L207)+LEN("晒单"),LEN(L207))&amp;"（需晒单后联系客服登记）",IF(ISNUMBER(SEARCH("包修",L207)),"【购机】"&amp;MID(L207,SEARCH("购机",L207)+LEN("购机"),LEN(L207)),IF(ISNUMBER(SEARCH("叠放支架",L207)),"【赠品】"&amp;MID(L207,SEARCH("购机",L207)+LEN("购机"),LEN(L207)),IF(ISNUMBER(SEARCH("秀图",L207)),"【秀图】"&amp;MID(L207,SEARCH("秀图",L207)+LEN("秀图"),LEN(L207)),"")))),IFERROR(LEFT(_xlpm.A,FIND("【",_xlpm.A,FIND("】",_xlpm.A)+1)-1)&amp;MID(_xlpm.A,FIND("】",_xlpm.A,FIND("】",_xlpm.A)+1)+1,LEN(_xlpm.A)),_xlpm.A))</f>
        <v/>
      </c>
      <c r="H207" s="18" t="str">
        <f>_xlfn.LET(_xlpm.A,IF(ISNUMBER(SEARCH("晒单",M207)),"【晒单】"&amp;MID(M207,SEARCH("晒单",M207)+LEN("晒单"),LEN(M207))&amp;"（需晒单后联系客服登记）",IF(ISNUMBER(SEARCH("包修",M207)),"【购机】"&amp;MID(M207,SEARCH("购机",M207)+LEN("购机"),LEN(M207)),IF(ISNUMBER(SEARCH("叠放支架",M207)),"【赠品】"&amp;MID(M207,SEARCH("购机",M207)+LEN("购机"),LEN(M207)),IF(ISNUMBER(SEARCH("秀图",M207)),"【秀图】"&amp;MID(M207,SEARCH("秀图",M207)+LEN("秀图"),LEN(M207)),"")))),IFERROR(LEFT(_xlpm.A,FIND("【",_xlpm.A,FIND("】",_xlpm.A)+1)-1)&amp;MID(_xlpm.A,FIND("】",_xlpm.A,FIND("】",_xlpm.A)+1)+1,LEN(_xlpm.A)),_xlpm.A))</f>
        <v/>
      </c>
      <c r="I207" s="18" t="str">
        <f>_xlfn.LET(_xlpm.A,IF(ISNUMBER(SEARCH("晒单",N207)),"【晒单】"&amp;MID(N207,SEARCH("晒单",N207)+LEN("晒单"),LEN(N207))&amp;"（需晒单后联系客服登记）",IF(ISNUMBER(SEARCH("包修",N207)),"【购机】"&amp;MID(N207,SEARCH("购机",N207)+LEN("购机"),LEN(N207)),IF(ISNUMBER(SEARCH("叠放支架",N207)),"【赠品】"&amp;MID(N207,SEARCH("购机",N207)+LEN("购机"),LEN(N207)),IF(ISNUMBER(SEARCH("秀图",N207)),"【秀图】"&amp;MID(N207,SEARCH("秀图",N207)+LEN("秀图"),LEN(N207)),"")))),IFERROR(LEFT(_xlpm.A,FIND("【",_xlpm.A,FIND("】",_xlpm.A)+1)-1)&amp;MID(_xlpm.A,FIND("】",_xlpm.A,FIND("】",_xlpm.A)+1)+1,LEN(_xlpm.A)),_xlpm.A))</f>
        <v/>
      </c>
      <c r="J207" s="18" t="str" cm="1">
        <f t="array" ref="J207">IFERROR(INDEX(_xlfn.TEXTSPLIT(_xlfn.XLOOKUP($A207&amp;$B207&amp;$C207,盘货信息!$A:$A&amp;盘货信息!$B:$B&amp;盘货信息!$C:$C,盘货信息!$S:$S),CHAR(10),,TRUE),1,COLUMN(A206)),"")</f>
        <v/>
      </c>
      <c r="K207" s="18" t="str" cm="1">
        <f t="array" ref="K207">IFERROR(INDEX(_xlfn.TEXTSPLIT(_xlfn.XLOOKUP($A207&amp;$B207&amp;$C207,盘货信息!$A:$A&amp;盘货信息!$B:$B&amp;盘货信息!$C:$C,盘货信息!$S:$S),CHAR(10),,TRUE),1,COLUMN(B206)),"")</f>
        <v/>
      </c>
      <c r="L207" s="18" t="str" cm="1">
        <f t="array" ref="L207">IFERROR(INDEX(_xlfn.TEXTSPLIT(_xlfn.XLOOKUP($A207&amp;$B207&amp;$C207,盘货信息!$A:$A&amp;盘货信息!$B:$B&amp;盘货信息!$C:$C,盘货信息!$S:$S),CHAR(10),,TRUE),1,COLUMN(C206)),"")</f>
        <v/>
      </c>
      <c r="M207" s="18" t="str" cm="1">
        <f t="array" ref="M207">IFERROR(INDEX(_xlfn.TEXTSPLIT(_xlfn.XLOOKUP($A207&amp;$B207&amp;$C207,盘货信息!$A:$A&amp;盘货信息!$B:$B&amp;盘货信息!$C:$C,盘货信息!$S:$S),CHAR(10),,TRUE),1,COLUMN(D206)),"")</f>
        <v/>
      </c>
      <c r="N207" s="18" t="str" cm="1">
        <f t="array" ref="N207">IFERROR(INDEX(_xlfn.TEXTSPLIT(_xlfn.XLOOKUP($A207&amp;$B207&amp;$C207,盘货信息!$A:$A&amp;盘货信息!$B:$B&amp;盘货信息!$C:$C,盘货信息!$S:$S),CHAR(10),,TRUE),1,COLUMN(E206)),"")</f>
        <v/>
      </c>
    </row>
    <row r="208" customHeight="1" spans="1:14">
      <c r="A208" s="17" t="str">
        <f>IF(盘货信息!A208="","",盘货信息!A208)</f>
        <v/>
      </c>
      <c r="B208" s="17" t="str">
        <f>IF(盘货信息!B208="","",盘货信息!B208)</f>
        <v/>
      </c>
      <c r="C208" s="18" t="str">
        <f>IF(盘货信息!C208="","",盘货信息!C208)</f>
        <v/>
      </c>
      <c r="D208" s="18" t="str">
        <f t="shared" si="3"/>
        <v/>
      </c>
      <c r="E208" s="18" t="str">
        <f>_xlfn.LET(_xlpm.A,IF(ISNUMBER(SEARCH("晒单",J208)),"【晒单】"&amp;MID(J208,SEARCH("晒单",J208)+LEN("晒单"),LEN(J208))&amp;"（需晒单后联系客服登记）",IF(ISNUMBER(SEARCH("包修",J208)),"【购机】"&amp;MID(J208,SEARCH("购机",J208)+LEN("购机"),LEN(J208)),IF(ISNUMBER(SEARCH("叠放支架",J208)),"【赠品】"&amp;MID(J208,SEARCH("购机",J208)+LEN("购机"),LEN(J208)),IF(ISNUMBER(SEARCH("秀图",J208)),"【秀图】"&amp;MID(J208,SEARCH("秀图",J208)+LEN("秀图"),LEN(J208)),"")))),IFERROR(LEFT(_xlpm.A,FIND("【",_xlpm.A,FIND("】",_xlpm.A)+1)-1)&amp;MID(_xlpm.A,FIND("】",_xlpm.A,FIND("】",_xlpm.A)+1)+1,LEN(_xlpm.A)),_xlpm.A))</f>
        <v/>
      </c>
      <c r="F208" s="18" t="str">
        <f>_xlfn.LET(_xlpm.A,IF(ISNUMBER(SEARCH("晒单",K208)),"【晒单】"&amp;MID(K208,SEARCH("晒单",K208)+LEN("晒单"),LEN(K208))&amp;"（需晒单后联系客服登记）",IF(ISNUMBER(SEARCH("包修",K208)),"【购机】"&amp;MID(K208,SEARCH("购机",K208)+LEN("购机"),LEN(K208)),IF(ISNUMBER(SEARCH("叠放支架",K208)),"【赠品】"&amp;MID(K208,SEARCH("购机",K208)+LEN("购机"),LEN(K208)),IF(ISNUMBER(SEARCH("秀图",K208)),"【秀图】"&amp;MID(K208,SEARCH("秀图",K208)+LEN("秀图"),LEN(K208)),"")))),IFERROR(LEFT(_xlpm.A,FIND("【",_xlpm.A,FIND("】",_xlpm.A)+1)-1)&amp;MID(_xlpm.A,FIND("】",_xlpm.A,FIND("】",_xlpm.A)+1)+1,LEN(_xlpm.A)),_xlpm.A))</f>
        <v/>
      </c>
      <c r="G208" s="18" t="str">
        <f>_xlfn.LET(_xlpm.A,IF(ISNUMBER(SEARCH("晒单",L208)),"【晒单】"&amp;MID(L208,SEARCH("晒单",L208)+LEN("晒单"),LEN(L208))&amp;"（需晒单后联系客服登记）",IF(ISNUMBER(SEARCH("包修",L208)),"【购机】"&amp;MID(L208,SEARCH("购机",L208)+LEN("购机"),LEN(L208)),IF(ISNUMBER(SEARCH("叠放支架",L208)),"【赠品】"&amp;MID(L208,SEARCH("购机",L208)+LEN("购机"),LEN(L208)),IF(ISNUMBER(SEARCH("秀图",L208)),"【秀图】"&amp;MID(L208,SEARCH("秀图",L208)+LEN("秀图"),LEN(L208)),"")))),IFERROR(LEFT(_xlpm.A,FIND("【",_xlpm.A,FIND("】",_xlpm.A)+1)-1)&amp;MID(_xlpm.A,FIND("】",_xlpm.A,FIND("】",_xlpm.A)+1)+1,LEN(_xlpm.A)),_xlpm.A))</f>
        <v/>
      </c>
      <c r="H208" s="18" t="str">
        <f>_xlfn.LET(_xlpm.A,IF(ISNUMBER(SEARCH("晒单",M208)),"【晒单】"&amp;MID(M208,SEARCH("晒单",M208)+LEN("晒单"),LEN(M208))&amp;"（需晒单后联系客服登记）",IF(ISNUMBER(SEARCH("包修",M208)),"【购机】"&amp;MID(M208,SEARCH("购机",M208)+LEN("购机"),LEN(M208)),IF(ISNUMBER(SEARCH("叠放支架",M208)),"【赠品】"&amp;MID(M208,SEARCH("购机",M208)+LEN("购机"),LEN(M208)),IF(ISNUMBER(SEARCH("秀图",M208)),"【秀图】"&amp;MID(M208,SEARCH("秀图",M208)+LEN("秀图"),LEN(M208)),"")))),IFERROR(LEFT(_xlpm.A,FIND("【",_xlpm.A,FIND("】",_xlpm.A)+1)-1)&amp;MID(_xlpm.A,FIND("】",_xlpm.A,FIND("】",_xlpm.A)+1)+1,LEN(_xlpm.A)),_xlpm.A))</f>
        <v/>
      </c>
      <c r="I208" s="18" t="str">
        <f>_xlfn.LET(_xlpm.A,IF(ISNUMBER(SEARCH("晒单",N208)),"【晒单】"&amp;MID(N208,SEARCH("晒单",N208)+LEN("晒单"),LEN(N208))&amp;"（需晒单后联系客服登记）",IF(ISNUMBER(SEARCH("包修",N208)),"【购机】"&amp;MID(N208,SEARCH("购机",N208)+LEN("购机"),LEN(N208)),IF(ISNUMBER(SEARCH("叠放支架",N208)),"【赠品】"&amp;MID(N208,SEARCH("购机",N208)+LEN("购机"),LEN(N208)),IF(ISNUMBER(SEARCH("秀图",N208)),"【秀图】"&amp;MID(N208,SEARCH("秀图",N208)+LEN("秀图"),LEN(N208)),"")))),IFERROR(LEFT(_xlpm.A,FIND("【",_xlpm.A,FIND("】",_xlpm.A)+1)-1)&amp;MID(_xlpm.A,FIND("】",_xlpm.A,FIND("】",_xlpm.A)+1)+1,LEN(_xlpm.A)),_xlpm.A))</f>
        <v/>
      </c>
      <c r="J208" s="18" t="str" cm="1">
        <f t="array" ref="J208">IFERROR(INDEX(_xlfn.TEXTSPLIT(_xlfn.XLOOKUP($A208&amp;$B208&amp;$C208,盘货信息!$A:$A&amp;盘货信息!$B:$B&amp;盘货信息!$C:$C,盘货信息!$S:$S),CHAR(10),,TRUE),1,COLUMN(A207)),"")</f>
        <v/>
      </c>
      <c r="K208" s="18" t="str" cm="1">
        <f t="array" ref="K208">IFERROR(INDEX(_xlfn.TEXTSPLIT(_xlfn.XLOOKUP($A208&amp;$B208&amp;$C208,盘货信息!$A:$A&amp;盘货信息!$B:$B&amp;盘货信息!$C:$C,盘货信息!$S:$S),CHAR(10),,TRUE),1,COLUMN(B207)),"")</f>
        <v/>
      </c>
      <c r="L208" s="18" t="str" cm="1">
        <f t="array" ref="L208">IFERROR(INDEX(_xlfn.TEXTSPLIT(_xlfn.XLOOKUP($A208&amp;$B208&amp;$C208,盘货信息!$A:$A&amp;盘货信息!$B:$B&amp;盘货信息!$C:$C,盘货信息!$S:$S),CHAR(10),,TRUE),1,COLUMN(C207)),"")</f>
        <v/>
      </c>
      <c r="M208" s="18" t="str" cm="1">
        <f t="array" ref="M208">IFERROR(INDEX(_xlfn.TEXTSPLIT(_xlfn.XLOOKUP($A208&amp;$B208&amp;$C208,盘货信息!$A:$A&amp;盘货信息!$B:$B&amp;盘货信息!$C:$C,盘货信息!$S:$S),CHAR(10),,TRUE),1,COLUMN(D207)),"")</f>
        <v/>
      </c>
      <c r="N208" s="18" t="str" cm="1">
        <f t="array" ref="N208">IFERROR(INDEX(_xlfn.TEXTSPLIT(_xlfn.XLOOKUP($A208&amp;$B208&amp;$C208,盘货信息!$A:$A&amp;盘货信息!$B:$B&amp;盘货信息!$C:$C,盘货信息!$S:$S),CHAR(10),,TRUE),1,COLUMN(E207)),"")</f>
        <v/>
      </c>
    </row>
    <row r="209" customHeight="1" spans="1:14">
      <c r="A209" s="17" t="str">
        <f>IF(盘货信息!A209="","",盘货信息!A209)</f>
        <v/>
      </c>
      <c r="B209" s="17" t="str">
        <f>IF(盘货信息!B209="","",盘货信息!B209)</f>
        <v/>
      </c>
      <c r="C209" s="18" t="str">
        <f>IF(盘货信息!C209="","",盘货信息!C209)</f>
        <v/>
      </c>
      <c r="D209" s="18" t="str">
        <f t="shared" si="3"/>
        <v/>
      </c>
      <c r="E209" s="18" t="str">
        <f>_xlfn.LET(_xlpm.A,IF(ISNUMBER(SEARCH("晒单",J209)),"【晒单】"&amp;MID(J209,SEARCH("晒单",J209)+LEN("晒单"),LEN(J209))&amp;"（需晒单后联系客服登记）",IF(ISNUMBER(SEARCH("包修",J209)),"【购机】"&amp;MID(J209,SEARCH("购机",J209)+LEN("购机"),LEN(J209)),IF(ISNUMBER(SEARCH("叠放支架",J209)),"【赠品】"&amp;MID(J209,SEARCH("购机",J209)+LEN("购机"),LEN(J209)),IF(ISNUMBER(SEARCH("秀图",J209)),"【秀图】"&amp;MID(J209,SEARCH("秀图",J209)+LEN("秀图"),LEN(J209)),"")))),IFERROR(LEFT(_xlpm.A,FIND("【",_xlpm.A,FIND("】",_xlpm.A)+1)-1)&amp;MID(_xlpm.A,FIND("】",_xlpm.A,FIND("】",_xlpm.A)+1)+1,LEN(_xlpm.A)),_xlpm.A))</f>
        <v/>
      </c>
      <c r="F209" s="18" t="str">
        <f>_xlfn.LET(_xlpm.A,IF(ISNUMBER(SEARCH("晒单",K209)),"【晒单】"&amp;MID(K209,SEARCH("晒单",K209)+LEN("晒单"),LEN(K209))&amp;"（需晒单后联系客服登记）",IF(ISNUMBER(SEARCH("包修",K209)),"【购机】"&amp;MID(K209,SEARCH("购机",K209)+LEN("购机"),LEN(K209)),IF(ISNUMBER(SEARCH("叠放支架",K209)),"【赠品】"&amp;MID(K209,SEARCH("购机",K209)+LEN("购机"),LEN(K209)),IF(ISNUMBER(SEARCH("秀图",K209)),"【秀图】"&amp;MID(K209,SEARCH("秀图",K209)+LEN("秀图"),LEN(K209)),"")))),IFERROR(LEFT(_xlpm.A,FIND("【",_xlpm.A,FIND("】",_xlpm.A)+1)-1)&amp;MID(_xlpm.A,FIND("】",_xlpm.A,FIND("】",_xlpm.A)+1)+1,LEN(_xlpm.A)),_xlpm.A))</f>
        <v/>
      </c>
      <c r="G209" s="18" t="str">
        <f>_xlfn.LET(_xlpm.A,IF(ISNUMBER(SEARCH("晒单",L209)),"【晒单】"&amp;MID(L209,SEARCH("晒单",L209)+LEN("晒单"),LEN(L209))&amp;"（需晒单后联系客服登记）",IF(ISNUMBER(SEARCH("包修",L209)),"【购机】"&amp;MID(L209,SEARCH("购机",L209)+LEN("购机"),LEN(L209)),IF(ISNUMBER(SEARCH("叠放支架",L209)),"【赠品】"&amp;MID(L209,SEARCH("购机",L209)+LEN("购机"),LEN(L209)),IF(ISNUMBER(SEARCH("秀图",L209)),"【秀图】"&amp;MID(L209,SEARCH("秀图",L209)+LEN("秀图"),LEN(L209)),"")))),IFERROR(LEFT(_xlpm.A,FIND("【",_xlpm.A,FIND("】",_xlpm.A)+1)-1)&amp;MID(_xlpm.A,FIND("】",_xlpm.A,FIND("】",_xlpm.A)+1)+1,LEN(_xlpm.A)),_xlpm.A))</f>
        <v/>
      </c>
      <c r="H209" s="18" t="str">
        <f>_xlfn.LET(_xlpm.A,IF(ISNUMBER(SEARCH("晒单",M209)),"【晒单】"&amp;MID(M209,SEARCH("晒单",M209)+LEN("晒单"),LEN(M209))&amp;"（需晒单后联系客服登记）",IF(ISNUMBER(SEARCH("包修",M209)),"【购机】"&amp;MID(M209,SEARCH("购机",M209)+LEN("购机"),LEN(M209)),IF(ISNUMBER(SEARCH("叠放支架",M209)),"【赠品】"&amp;MID(M209,SEARCH("购机",M209)+LEN("购机"),LEN(M209)),IF(ISNUMBER(SEARCH("秀图",M209)),"【秀图】"&amp;MID(M209,SEARCH("秀图",M209)+LEN("秀图"),LEN(M209)),"")))),IFERROR(LEFT(_xlpm.A,FIND("【",_xlpm.A,FIND("】",_xlpm.A)+1)-1)&amp;MID(_xlpm.A,FIND("】",_xlpm.A,FIND("】",_xlpm.A)+1)+1,LEN(_xlpm.A)),_xlpm.A))</f>
        <v/>
      </c>
      <c r="I209" s="18" t="str">
        <f>_xlfn.LET(_xlpm.A,IF(ISNUMBER(SEARCH("晒单",N209)),"【晒单】"&amp;MID(N209,SEARCH("晒单",N209)+LEN("晒单"),LEN(N209))&amp;"（需晒单后联系客服登记）",IF(ISNUMBER(SEARCH("包修",N209)),"【购机】"&amp;MID(N209,SEARCH("购机",N209)+LEN("购机"),LEN(N209)),IF(ISNUMBER(SEARCH("叠放支架",N209)),"【赠品】"&amp;MID(N209,SEARCH("购机",N209)+LEN("购机"),LEN(N209)),IF(ISNUMBER(SEARCH("秀图",N209)),"【秀图】"&amp;MID(N209,SEARCH("秀图",N209)+LEN("秀图"),LEN(N209)),"")))),IFERROR(LEFT(_xlpm.A,FIND("【",_xlpm.A,FIND("】",_xlpm.A)+1)-1)&amp;MID(_xlpm.A,FIND("】",_xlpm.A,FIND("】",_xlpm.A)+1)+1,LEN(_xlpm.A)),_xlpm.A))</f>
        <v/>
      </c>
      <c r="J209" s="18" t="str" cm="1">
        <f t="array" ref="J209">IFERROR(INDEX(_xlfn.TEXTSPLIT(_xlfn.XLOOKUP($A209&amp;$B209&amp;$C209,盘货信息!$A:$A&amp;盘货信息!$B:$B&amp;盘货信息!$C:$C,盘货信息!$S:$S),CHAR(10),,TRUE),1,COLUMN(A208)),"")</f>
        <v/>
      </c>
      <c r="K209" s="18" t="str" cm="1">
        <f t="array" ref="K209">IFERROR(INDEX(_xlfn.TEXTSPLIT(_xlfn.XLOOKUP($A209&amp;$B209&amp;$C209,盘货信息!$A:$A&amp;盘货信息!$B:$B&amp;盘货信息!$C:$C,盘货信息!$S:$S),CHAR(10),,TRUE),1,COLUMN(B208)),"")</f>
        <v/>
      </c>
      <c r="L209" s="18" t="str" cm="1">
        <f t="array" ref="L209">IFERROR(INDEX(_xlfn.TEXTSPLIT(_xlfn.XLOOKUP($A209&amp;$B209&amp;$C209,盘货信息!$A:$A&amp;盘货信息!$B:$B&amp;盘货信息!$C:$C,盘货信息!$S:$S),CHAR(10),,TRUE),1,COLUMN(C208)),"")</f>
        <v/>
      </c>
      <c r="M209" s="18" t="str" cm="1">
        <f t="array" ref="M209">IFERROR(INDEX(_xlfn.TEXTSPLIT(_xlfn.XLOOKUP($A209&amp;$B209&amp;$C209,盘货信息!$A:$A&amp;盘货信息!$B:$B&amp;盘货信息!$C:$C,盘货信息!$S:$S),CHAR(10),,TRUE),1,COLUMN(D208)),"")</f>
        <v/>
      </c>
      <c r="N209" s="18" t="str" cm="1">
        <f t="array" ref="N209">IFERROR(INDEX(_xlfn.TEXTSPLIT(_xlfn.XLOOKUP($A209&amp;$B209&amp;$C209,盘货信息!$A:$A&amp;盘货信息!$B:$B&amp;盘货信息!$C:$C,盘货信息!$S:$S),CHAR(10),,TRUE),1,COLUMN(E208)),"")</f>
        <v/>
      </c>
    </row>
    <row r="210" customHeight="1" spans="1:14">
      <c r="A210" s="17" t="str">
        <f>IF(盘货信息!A210="","",盘货信息!A210)</f>
        <v/>
      </c>
      <c r="B210" s="17" t="str">
        <f>IF(盘货信息!B210="","",盘货信息!B210)</f>
        <v/>
      </c>
      <c r="C210" s="18" t="str">
        <f>IF(盘货信息!C210="","",盘货信息!C210)</f>
        <v/>
      </c>
      <c r="D210" s="18" t="str">
        <f t="shared" si="3"/>
        <v/>
      </c>
      <c r="E210" s="18" t="str">
        <f>_xlfn.LET(_xlpm.A,IF(ISNUMBER(SEARCH("晒单",J210)),"【晒单】"&amp;MID(J210,SEARCH("晒单",J210)+LEN("晒单"),LEN(J210))&amp;"（需晒单后联系客服登记）",IF(ISNUMBER(SEARCH("包修",J210)),"【购机】"&amp;MID(J210,SEARCH("购机",J210)+LEN("购机"),LEN(J210)),IF(ISNUMBER(SEARCH("叠放支架",J210)),"【赠品】"&amp;MID(J210,SEARCH("购机",J210)+LEN("购机"),LEN(J210)),IF(ISNUMBER(SEARCH("秀图",J210)),"【秀图】"&amp;MID(J210,SEARCH("秀图",J210)+LEN("秀图"),LEN(J210)),"")))),IFERROR(LEFT(_xlpm.A,FIND("【",_xlpm.A,FIND("】",_xlpm.A)+1)-1)&amp;MID(_xlpm.A,FIND("】",_xlpm.A,FIND("】",_xlpm.A)+1)+1,LEN(_xlpm.A)),_xlpm.A))</f>
        <v/>
      </c>
      <c r="F210" s="18" t="str">
        <f>_xlfn.LET(_xlpm.A,IF(ISNUMBER(SEARCH("晒单",K210)),"【晒单】"&amp;MID(K210,SEARCH("晒单",K210)+LEN("晒单"),LEN(K210))&amp;"（需晒单后联系客服登记）",IF(ISNUMBER(SEARCH("包修",K210)),"【购机】"&amp;MID(K210,SEARCH("购机",K210)+LEN("购机"),LEN(K210)),IF(ISNUMBER(SEARCH("叠放支架",K210)),"【赠品】"&amp;MID(K210,SEARCH("购机",K210)+LEN("购机"),LEN(K210)),IF(ISNUMBER(SEARCH("秀图",K210)),"【秀图】"&amp;MID(K210,SEARCH("秀图",K210)+LEN("秀图"),LEN(K210)),"")))),IFERROR(LEFT(_xlpm.A,FIND("【",_xlpm.A,FIND("】",_xlpm.A)+1)-1)&amp;MID(_xlpm.A,FIND("】",_xlpm.A,FIND("】",_xlpm.A)+1)+1,LEN(_xlpm.A)),_xlpm.A))</f>
        <v/>
      </c>
      <c r="G210" s="18" t="str">
        <f>_xlfn.LET(_xlpm.A,IF(ISNUMBER(SEARCH("晒单",L210)),"【晒单】"&amp;MID(L210,SEARCH("晒单",L210)+LEN("晒单"),LEN(L210))&amp;"（需晒单后联系客服登记）",IF(ISNUMBER(SEARCH("包修",L210)),"【购机】"&amp;MID(L210,SEARCH("购机",L210)+LEN("购机"),LEN(L210)),IF(ISNUMBER(SEARCH("叠放支架",L210)),"【赠品】"&amp;MID(L210,SEARCH("购机",L210)+LEN("购机"),LEN(L210)),IF(ISNUMBER(SEARCH("秀图",L210)),"【秀图】"&amp;MID(L210,SEARCH("秀图",L210)+LEN("秀图"),LEN(L210)),"")))),IFERROR(LEFT(_xlpm.A,FIND("【",_xlpm.A,FIND("】",_xlpm.A)+1)-1)&amp;MID(_xlpm.A,FIND("】",_xlpm.A,FIND("】",_xlpm.A)+1)+1,LEN(_xlpm.A)),_xlpm.A))</f>
        <v/>
      </c>
      <c r="H210" s="18" t="str">
        <f>_xlfn.LET(_xlpm.A,IF(ISNUMBER(SEARCH("晒单",M210)),"【晒单】"&amp;MID(M210,SEARCH("晒单",M210)+LEN("晒单"),LEN(M210))&amp;"（需晒单后联系客服登记）",IF(ISNUMBER(SEARCH("包修",M210)),"【购机】"&amp;MID(M210,SEARCH("购机",M210)+LEN("购机"),LEN(M210)),IF(ISNUMBER(SEARCH("叠放支架",M210)),"【赠品】"&amp;MID(M210,SEARCH("购机",M210)+LEN("购机"),LEN(M210)),IF(ISNUMBER(SEARCH("秀图",M210)),"【秀图】"&amp;MID(M210,SEARCH("秀图",M210)+LEN("秀图"),LEN(M210)),"")))),IFERROR(LEFT(_xlpm.A,FIND("【",_xlpm.A,FIND("】",_xlpm.A)+1)-1)&amp;MID(_xlpm.A,FIND("】",_xlpm.A,FIND("】",_xlpm.A)+1)+1,LEN(_xlpm.A)),_xlpm.A))</f>
        <v/>
      </c>
      <c r="I210" s="18" t="str">
        <f>_xlfn.LET(_xlpm.A,IF(ISNUMBER(SEARCH("晒单",N210)),"【晒单】"&amp;MID(N210,SEARCH("晒单",N210)+LEN("晒单"),LEN(N210))&amp;"（需晒单后联系客服登记）",IF(ISNUMBER(SEARCH("包修",N210)),"【购机】"&amp;MID(N210,SEARCH("购机",N210)+LEN("购机"),LEN(N210)),IF(ISNUMBER(SEARCH("叠放支架",N210)),"【赠品】"&amp;MID(N210,SEARCH("购机",N210)+LEN("购机"),LEN(N210)),IF(ISNUMBER(SEARCH("秀图",N210)),"【秀图】"&amp;MID(N210,SEARCH("秀图",N210)+LEN("秀图"),LEN(N210)),"")))),IFERROR(LEFT(_xlpm.A,FIND("【",_xlpm.A,FIND("】",_xlpm.A)+1)-1)&amp;MID(_xlpm.A,FIND("】",_xlpm.A,FIND("】",_xlpm.A)+1)+1,LEN(_xlpm.A)),_xlpm.A))</f>
        <v/>
      </c>
      <c r="J210" s="18" t="str" cm="1">
        <f t="array" ref="J210">IFERROR(INDEX(_xlfn.TEXTSPLIT(_xlfn.XLOOKUP($A210&amp;$B210&amp;$C210,盘货信息!$A:$A&amp;盘货信息!$B:$B&amp;盘货信息!$C:$C,盘货信息!$S:$S),CHAR(10),,TRUE),1,COLUMN(A209)),"")</f>
        <v/>
      </c>
      <c r="K210" s="18" t="str" cm="1">
        <f t="array" ref="K210">IFERROR(INDEX(_xlfn.TEXTSPLIT(_xlfn.XLOOKUP($A210&amp;$B210&amp;$C210,盘货信息!$A:$A&amp;盘货信息!$B:$B&amp;盘货信息!$C:$C,盘货信息!$S:$S),CHAR(10),,TRUE),1,COLUMN(B209)),"")</f>
        <v/>
      </c>
      <c r="L210" s="18" t="str" cm="1">
        <f t="array" ref="L210">IFERROR(INDEX(_xlfn.TEXTSPLIT(_xlfn.XLOOKUP($A210&amp;$B210&amp;$C210,盘货信息!$A:$A&amp;盘货信息!$B:$B&amp;盘货信息!$C:$C,盘货信息!$S:$S),CHAR(10),,TRUE),1,COLUMN(C209)),"")</f>
        <v/>
      </c>
      <c r="M210" s="18" t="str" cm="1">
        <f t="array" ref="M210">IFERROR(INDEX(_xlfn.TEXTSPLIT(_xlfn.XLOOKUP($A210&amp;$B210&amp;$C210,盘货信息!$A:$A&amp;盘货信息!$B:$B&amp;盘货信息!$C:$C,盘货信息!$S:$S),CHAR(10),,TRUE),1,COLUMN(D209)),"")</f>
        <v/>
      </c>
      <c r="N210" s="18" t="str" cm="1">
        <f t="array" ref="N210">IFERROR(INDEX(_xlfn.TEXTSPLIT(_xlfn.XLOOKUP($A210&amp;$B210&amp;$C210,盘货信息!$A:$A&amp;盘货信息!$B:$B&amp;盘货信息!$C:$C,盘货信息!$S:$S),CHAR(10),,TRUE),1,COLUMN(E209)),"")</f>
        <v/>
      </c>
    </row>
    <row r="211" customHeight="1" spans="1:14">
      <c r="A211" s="17" t="str">
        <f>IF(盘货信息!A211="","",盘货信息!A211)</f>
        <v/>
      </c>
      <c r="B211" s="17" t="str">
        <f>IF(盘货信息!B211="","",盘货信息!B211)</f>
        <v/>
      </c>
      <c r="C211" s="18" t="str">
        <f>IF(盘货信息!C211="","",盘货信息!C211)</f>
        <v/>
      </c>
      <c r="D211" s="18" t="str">
        <f t="shared" si="3"/>
        <v/>
      </c>
      <c r="E211" s="18" t="str">
        <f>_xlfn.LET(_xlpm.A,IF(ISNUMBER(SEARCH("晒单",J211)),"【晒单】"&amp;MID(J211,SEARCH("晒单",J211)+LEN("晒单"),LEN(J211))&amp;"（需晒单后联系客服登记）",IF(ISNUMBER(SEARCH("包修",J211)),"【购机】"&amp;MID(J211,SEARCH("购机",J211)+LEN("购机"),LEN(J211)),IF(ISNUMBER(SEARCH("叠放支架",J211)),"【赠品】"&amp;MID(J211,SEARCH("购机",J211)+LEN("购机"),LEN(J211)),IF(ISNUMBER(SEARCH("秀图",J211)),"【秀图】"&amp;MID(J211,SEARCH("秀图",J211)+LEN("秀图"),LEN(J211)),"")))),IFERROR(LEFT(_xlpm.A,FIND("【",_xlpm.A,FIND("】",_xlpm.A)+1)-1)&amp;MID(_xlpm.A,FIND("】",_xlpm.A,FIND("】",_xlpm.A)+1)+1,LEN(_xlpm.A)),_xlpm.A))</f>
        <v/>
      </c>
      <c r="F211" s="18" t="str">
        <f>_xlfn.LET(_xlpm.A,IF(ISNUMBER(SEARCH("晒单",K211)),"【晒单】"&amp;MID(K211,SEARCH("晒单",K211)+LEN("晒单"),LEN(K211))&amp;"（需晒单后联系客服登记）",IF(ISNUMBER(SEARCH("包修",K211)),"【购机】"&amp;MID(K211,SEARCH("购机",K211)+LEN("购机"),LEN(K211)),IF(ISNUMBER(SEARCH("叠放支架",K211)),"【赠品】"&amp;MID(K211,SEARCH("购机",K211)+LEN("购机"),LEN(K211)),IF(ISNUMBER(SEARCH("秀图",K211)),"【秀图】"&amp;MID(K211,SEARCH("秀图",K211)+LEN("秀图"),LEN(K211)),"")))),IFERROR(LEFT(_xlpm.A,FIND("【",_xlpm.A,FIND("】",_xlpm.A)+1)-1)&amp;MID(_xlpm.A,FIND("】",_xlpm.A,FIND("】",_xlpm.A)+1)+1,LEN(_xlpm.A)),_xlpm.A))</f>
        <v/>
      </c>
      <c r="G211" s="18" t="str">
        <f>_xlfn.LET(_xlpm.A,IF(ISNUMBER(SEARCH("晒单",L211)),"【晒单】"&amp;MID(L211,SEARCH("晒单",L211)+LEN("晒单"),LEN(L211))&amp;"（需晒单后联系客服登记）",IF(ISNUMBER(SEARCH("包修",L211)),"【购机】"&amp;MID(L211,SEARCH("购机",L211)+LEN("购机"),LEN(L211)),IF(ISNUMBER(SEARCH("叠放支架",L211)),"【赠品】"&amp;MID(L211,SEARCH("购机",L211)+LEN("购机"),LEN(L211)),IF(ISNUMBER(SEARCH("秀图",L211)),"【秀图】"&amp;MID(L211,SEARCH("秀图",L211)+LEN("秀图"),LEN(L211)),"")))),IFERROR(LEFT(_xlpm.A,FIND("【",_xlpm.A,FIND("】",_xlpm.A)+1)-1)&amp;MID(_xlpm.A,FIND("】",_xlpm.A,FIND("】",_xlpm.A)+1)+1,LEN(_xlpm.A)),_xlpm.A))</f>
        <v/>
      </c>
      <c r="H211" s="18" t="str">
        <f>_xlfn.LET(_xlpm.A,IF(ISNUMBER(SEARCH("晒单",M211)),"【晒单】"&amp;MID(M211,SEARCH("晒单",M211)+LEN("晒单"),LEN(M211))&amp;"（需晒单后联系客服登记）",IF(ISNUMBER(SEARCH("包修",M211)),"【购机】"&amp;MID(M211,SEARCH("购机",M211)+LEN("购机"),LEN(M211)),IF(ISNUMBER(SEARCH("叠放支架",M211)),"【赠品】"&amp;MID(M211,SEARCH("购机",M211)+LEN("购机"),LEN(M211)),IF(ISNUMBER(SEARCH("秀图",M211)),"【秀图】"&amp;MID(M211,SEARCH("秀图",M211)+LEN("秀图"),LEN(M211)),"")))),IFERROR(LEFT(_xlpm.A,FIND("【",_xlpm.A,FIND("】",_xlpm.A)+1)-1)&amp;MID(_xlpm.A,FIND("】",_xlpm.A,FIND("】",_xlpm.A)+1)+1,LEN(_xlpm.A)),_xlpm.A))</f>
        <v/>
      </c>
      <c r="I211" s="18" t="str">
        <f>_xlfn.LET(_xlpm.A,IF(ISNUMBER(SEARCH("晒单",N211)),"【晒单】"&amp;MID(N211,SEARCH("晒单",N211)+LEN("晒单"),LEN(N211))&amp;"（需晒单后联系客服登记）",IF(ISNUMBER(SEARCH("包修",N211)),"【购机】"&amp;MID(N211,SEARCH("购机",N211)+LEN("购机"),LEN(N211)),IF(ISNUMBER(SEARCH("叠放支架",N211)),"【赠品】"&amp;MID(N211,SEARCH("购机",N211)+LEN("购机"),LEN(N211)),IF(ISNUMBER(SEARCH("秀图",N211)),"【秀图】"&amp;MID(N211,SEARCH("秀图",N211)+LEN("秀图"),LEN(N211)),"")))),IFERROR(LEFT(_xlpm.A,FIND("【",_xlpm.A,FIND("】",_xlpm.A)+1)-1)&amp;MID(_xlpm.A,FIND("】",_xlpm.A,FIND("】",_xlpm.A)+1)+1,LEN(_xlpm.A)),_xlpm.A))</f>
        <v/>
      </c>
      <c r="J211" s="18" t="str" cm="1">
        <f t="array" ref="J211">IFERROR(INDEX(_xlfn.TEXTSPLIT(_xlfn.XLOOKUP($A211&amp;$B211&amp;$C211,盘货信息!$A:$A&amp;盘货信息!$B:$B&amp;盘货信息!$C:$C,盘货信息!$S:$S),CHAR(10),,TRUE),1,COLUMN(A210)),"")</f>
        <v/>
      </c>
      <c r="K211" s="18" t="str" cm="1">
        <f t="array" ref="K211">IFERROR(INDEX(_xlfn.TEXTSPLIT(_xlfn.XLOOKUP($A211&amp;$B211&amp;$C211,盘货信息!$A:$A&amp;盘货信息!$B:$B&amp;盘货信息!$C:$C,盘货信息!$S:$S),CHAR(10),,TRUE),1,COLUMN(B210)),"")</f>
        <v/>
      </c>
      <c r="L211" s="18" t="str" cm="1">
        <f t="array" ref="L211">IFERROR(INDEX(_xlfn.TEXTSPLIT(_xlfn.XLOOKUP($A211&amp;$B211&amp;$C211,盘货信息!$A:$A&amp;盘货信息!$B:$B&amp;盘货信息!$C:$C,盘货信息!$S:$S),CHAR(10),,TRUE),1,COLUMN(C210)),"")</f>
        <v/>
      </c>
      <c r="M211" s="18" t="str" cm="1">
        <f t="array" ref="M211">IFERROR(INDEX(_xlfn.TEXTSPLIT(_xlfn.XLOOKUP($A211&amp;$B211&amp;$C211,盘货信息!$A:$A&amp;盘货信息!$B:$B&amp;盘货信息!$C:$C,盘货信息!$S:$S),CHAR(10),,TRUE),1,COLUMN(D210)),"")</f>
        <v/>
      </c>
      <c r="N211" s="18" t="str" cm="1">
        <f t="array" ref="N211">IFERROR(INDEX(_xlfn.TEXTSPLIT(_xlfn.XLOOKUP($A211&amp;$B211&amp;$C211,盘货信息!$A:$A&amp;盘货信息!$B:$B&amp;盘货信息!$C:$C,盘货信息!$S:$S),CHAR(10),,TRUE),1,COLUMN(E210)),"")</f>
        <v/>
      </c>
    </row>
    <row r="212" customHeight="1" spans="1:14">
      <c r="A212" s="17" t="str">
        <f>IF(盘货信息!A212="","",盘货信息!A212)</f>
        <v/>
      </c>
      <c r="B212" s="17" t="str">
        <f>IF(盘货信息!B212="","",盘货信息!B212)</f>
        <v/>
      </c>
      <c r="C212" s="18" t="str">
        <f>IF(盘货信息!C212="","",盘货信息!C212)</f>
        <v/>
      </c>
      <c r="D212" s="18" t="str">
        <f t="shared" si="3"/>
        <v/>
      </c>
      <c r="E212" s="18" t="str">
        <f>_xlfn.LET(_xlpm.A,IF(ISNUMBER(SEARCH("晒单",J212)),"【晒单】"&amp;MID(J212,SEARCH("晒单",J212)+LEN("晒单"),LEN(J212))&amp;"（需晒单后联系客服登记）",IF(ISNUMBER(SEARCH("包修",J212)),"【购机】"&amp;MID(J212,SEARCH("购机",J212)+LEN("购机"),LEN(J212)),IF(ISNUMBER(SEARCH("叠放支架",J212)),"【赠品】"&amp;MID(J212,SEARCH("购机",J212)+LEN("购机"),LEN(J212)),IF(ISNUMBER(SEARCH("秀图",J212)),"【秀图】"&amp;MID(J212,SEARCH("秀图",J212)+LEN("秀图"),LEN(J212)),"")))),IFERROR(LEFT(_xlpm.A,FIND("【",_xlpm.A,FIND("】",_xlpm.A)+1)-1)&amp;MID(_xlpm.A,FIND("】",_xlpm.A,FIND("】",_xlpm.A)+1)+1,LEN(_xlpm.A)),_xlpm.A))</f>
        <v/>
      </c>
      <c r="F212" s="18" t="str">
        <f>_xlfn.LET(_xlpm.A,IF(ISNUMBER(SEARCH("晒单",K212)),"【晒单】"&amp;MID(K212,SEARCH("晒单",K212)+LEN("晒单"),LEN(K212))&amp;"（需晒单后联系客服登记）",IF(ISNUMBER(SEARCH("包修",K212)),"【购机】"&amp;MID(K212,SEARCH("购机",K212)+LEN("购机"),LEN(K212)),IF(ISNUMBER(SEARCH("叠放支架",K212)),"【赠品】"&amp;MID(K212,SEARCH("购机",K212)+LEN("购机"),LEN(K212)),IF(ISNUMBER(SEARCH("秀图",K212)),"【秀图】"&amp;MID(K212,SEARCH("秀图",K212)+LEN("秀图"),LEN(K212)),"")))),IFERROR(LEFT(_xlpm.A,FIND("【",_xlpm.A,FIND("】",_xlpm.A)+1)-1)&amp;MID(_xlpm.A,FIND("】",_xlpm.A,FIND("】",_xlpm.A)+1)+1,LEN(_xlpm.A)),_xlpm.A))</f>
        <v/>
      </c>
      <c r="G212" s="18" t="str">
        <f>_xlfn.LET(_xlpm.A,IF(ISNUMBER(SEARCH("晒单",L212)),"【晒单】"&amp;MID(L212,SEARCH("晒单",L212)+LEN("晒单"),LEN(L212))&amp;"（需晒单后联系客服登记）",IF(ISNUMBER(SEARCH("包修",L212)),"【购机】"&amp;MID(L212,SEARCH("购机",L212)+LEN("购机"),LEN(L212)),IF(ISNUMBER(SEARCH("叠放支架",L212)),"【赠品】"&amp;MID(L212,SEARCH("购机",L212)+LEN("购机"),LEN(L212)),IF(ISNUMBER(SEARCH("秀图",L212)),"【秀图】"&amp;MID(L212,SEARCH("秀图",L212)+LEN("秀图"),LEN(L212)),"")))),IFERROR(LEFT(_xlpm.A,FIND("【",_xlpm.A,FIND("】",_xlpm.A)+1)-1)&amp;MID(_xlpm.A,FIND("】",_xlpm.A,FIND("】",_xlpm.A)+1)+1,LEN(_xlpm.A)),_xlpm.A))</f>
        <v/>
      </c>
      <c r="H212" s="18" t="str">
        <f>_xlfn.LET(_xlpm.A,IF(ISNUMBER(SEARCH("晒单",M212)),"【晒单】"&amp;MID(M212,SEARCH("晒单",M212)+LEN("晒单"),LEN(M212))&amp;"（需晒单后联系客服登记）",IF(ISNUMBER(SEARCH("包修",M212)),"【购机】"&amp;MID(M212,SEARCH("购机",M212)+LEN("购机"),LEN(M212)),IF(ISNUMBER(SEARCH("叠放支架",M212)),"【赠品】"&amp;MID(M212,SEARCH("购机",M212)+LEN("购机"),LEN(M212)),IF(ISNUMBER(SEARCH("秀图",M212)),"【秀图】"&amp;MID(M212,SEARCH("秀图",M212)+LEN("秀图"),LEN(M212)),"")))),IFERROR(LEFT(_xlpm.A,FIND("【",_xlpm.A,FIND("】",_xlpm.A)+1)-1)&amp;MID(_xlpm.A,FIND("】",_xlpm.A,FIND("】",_xlpm.A)+1)+1,LEN(_xlpm.A)),_xlpm.A))</f>
        <v/>
      </c>
      <c r="I212" s="18" t="str">
        <f>_xlfn.LET(_xlpm.A,IF(ISNUMBER(SEARCH("晒单",N212)),"【晒单】"&amp;MID(N212,SEARCH("晒单",N212)+LEN("晒单"),LEN(N212))&amp;"（需晒单后联系客服登记）",IF(ISNUMBER(SEARCH("包修",N212)),"【购机】"&amp;MID(N212,SEARCH("购机",N212)+LEN("购机"),LEN(N212)),IF(ISNUMBER(SEARCH("叠放支架",N212)),"【赠品】"&amp;MID(N212,SEARCH("购机",N212)+LEN("购机"),LEN(N212)),IF(ISNUMBER(SEARCH("秀图",N212)),"【秀图】"&amp;MID(N212,SEARCH("秀图",N212)+LEN("秀图"),LEN(N212)),"")))),IFERROR(LEFT(_xlpm.A,FIND("【",_xlpm.A,FIND("】",_xlpm.A)+1)-1)&amp;MID(_xlpm.A,FIND("】",_xlpm.A,FIND("】",_xlpm.A)+1)+1,LEN(_xlpm.A)),_xlpm.A))</f>
        <v/>
      </c>
      <c r="J212" s="18" t="str" cm="1">
        <f t="array" ref="J212">IFERROR(INDEX(_xlfn.TEXTSPLIT(_xlfn.XLOOKUP($A212&amp;$B212&amp;$C212,盘货信息!$A:$A&amp;盘货信息!$B:$B&amp;盘货信息!$C:$C,盘货信息!$S:$S),CHAR(10),,TRUE),1,COLUMN(A211)),"")</f>
        <v/>
      </c>
      <c r="K212" s="18" t="str" cm="1">
        <f t="array" ref="K212">IFERROR(INDEX(_xlfn.TEXTSPLIT(_xlfn.XLOOKUP($A212&amp;$B212&amp;$C212,盘货信息!$A:$A&amp;盘货信息!$B:$B&amp;盘货信息!$C:$C,盘货信息!$S:$S),CHAR(10),,TRUE),1,COLUMN(B211)),"")</f>
        <v/>
      </c>
      <c r="L212" s="18" t="str" cm="1">
        <f t="array" ref="L212">IFERROR(INDEX(_xlfn.TEXTSPLIT(_xlfn.XLOOKUP($A212&amp;$B212&amp;$C212,盘货信息!$A:$A&amp;盘货信息!$B:$B&amp;盘货信息!$C:$C,盘货信息!$S:$S),CHAR(10),,TRUE),1,COLUMN(C211)),"")</f>
        <v/>
      </c>
      <c r="M212" s="18" t="str" cm="1">
        <f t="array" ref="M212">IFERROR(INDEX(_xlfn.TEXTSPLIT(_xlfn.XLOOKUP($A212&amp;$B212&amp;$C212,盘货信息!$A:$A&amp;盘货信息!$B:$B&amp;盘货信息!$C:$C,盘货信息!$S:$S),CHAR(10),,TRUE),1,COLUMN(D211)),"")</f>
        <v/>
      </c>
      <c r="N212" s="18" t="str" cm="1">
        <f t="array" ref="N212">IFERROR(INDEX(_xlfn.TEXTSPLIT(_xlfn.XLOOKUP($A212&amp;$B212&amp;$C212,盘货信息!$A:$A&amp;盘货信息!$B:$B&amp;盘货信息!$C:$C,盘货信息!$S:$S),CHAR(10),,TRUE),1,COLUMN(E211)),"")</f>
        <v/>
      </c>
    </row>
    <row r="213" customHeight="1" spans="1:14">
      <c r="A213" s="17" t="str">
        <f>IF(盘货信息!A213="","",盘货信息!A213)</f>
        <v/>
      </c>
      <c r="B213" s="17" t="str">
        <f>IF(盘货信息!B213="","",盘货信息!B213)</f>
        <v/>
      </c>
      <c r="C213" s="18" t="str">
        <f>IF(盘货信息!C213="","",盘货信息!C213)</f>
        <v/>
      </c>
      <c r="D213" s="18" t="str">
        <f t="shared" si="3"/>
        <v/>
      </c>
      <c r="E213" s="18" t="str">
        <f>_xlfn.LET(_xlpm.A,IF(ISNUMBER(SEARCH("晒单",J213)),"【晒单】"&amp;MID(J213,SEARCH("晒单",J213)+LEN("晒单"),LEN(J213))&amp;"（需晒单后联系客服登记）",IF(ISNUMBER(SEARCH("包修",J213)),"【购机】"&amp;MID(J213,SEARCH("购机",J213)+LEN("购机"),LEN(J213)),IF(ISNUMBER(SEARCH("叠放支架",J213)),"【赠品】"&amp;MID(J213,SEARCH("购机",J213)+LEN("购机"),LEN(J213)),IF(ISNUMBER(SEARCH("秀图",J213)),"【秀图】"&amp;MID(J213,SEARCH("秀图",J213)+LEN("秀图"),LEN(J213)),"")))),IFERROR(LEFT(_xlpm.A,FIND("【",_xlpm.A,FIND("】",_xlpm.A)+1)-1)&amp;MID(_xlpm.A,FIND("】",_xlpm.A,FIND("】",_xlpm.A)+1)+1,LEN(_xlpm.A)),_xlpm.A))</f>
        <v/>
      </c>
      <c r="F213" s="18" t="str">
        <f>_xlfn.LET(_xlpm.A,IF(ISNUMBER(SEARCH("晒单",K213)),"【晒单】"&amp;MID(K213,SEARCH("晒单",K213)+LEN("晒单"),LEN(K213))&amp;"（需晒单后联系客服登记）",IF(ISNUMBER(SEARCH("包修",K213)),"【购机】"&amp;MID(K213,SEARCH("购机",K213)+LEN("购机"),LEN(K213)),IF(ISNUMBER(SEARCH("叠放支架",K213)),"【赠品】"&amp;MID(K213,SEARCH("购机",K213)+LEN("购机"),LEN(K213)),IF(ISNUMBER(SEARCH("秀图",K213)),"【秀图】"&amp;MID(K213,SEARCH("秀图",K213)+LEN("秀图"),LEN(K213)),"")))),IFERROR(LEFT(_xlpm.A,FIND("【",_xlpm.A,FIND("】",_xlpm.A)+1)-1)&amp;MID(_xlpm.A,FIND("】",_xlpm.A,FIND("】",_xlpm.A)+1)+1,LEN(_xlpm.A)),_xlpm.A))</f>
        <v/>
      </c>
      <c r="G213" s="18" t="str">
        <f>_xlfn.LET(_xlpm.A,IF(ISNUMBER(SEARCH("晒单",L213)),"【晒单】"&amp;MID(L213,SEARCH("晒单",L213)+LEN("晒单"),LEN(L213))&amp;"（需晒单后联系客服登记）",IF(ISNUMBER(SEARCH("包修",L213)),"【购机】"&amp;MID(L213,SEARCH("购机",L213)+LEN("购机"),LEN(L213)),IF(ISNUMBER(SEARCH("叠放支架",L213)),"【赠品】"&amp;MID(L213,SEARCH("购机",L213)+LEN("购机"),LEN(L213)),IF(ISNUMBER(SEARCH("秀图",L213)),"【秀图】"&amp;MID(L213,SEARCH("秀图",L213)+LEN("秀图"),LEN(L213)),"")))),IFERROR(LEFT(_xlpm.A,FIND("【",_xlpm.A,FIND("】",_xlpm.A)+1)-1)&amp;MID(_xlpm.A,FIND("】",_xlpm.A,FIND("】",_xlpm.A)+1)+1,LEN(_xlpm.A)),_xlpm.A))</f>
        <v/>
      </c>
      <c r="H213" s="18" t="str">
        <f>_xlfn.LET(_xlpm.A,IF(ISNUMBER(SEARCH("晒单",M213)),"【晒单】"&amp;MID(M213,SEARCH("晒单",M213)+LEN("晒单"),LEN(M213))&amp;"（需晒单后联系客服登记）",IF(ISNUMBER(SEARCH("包修",M213)),"【购机】"&amp;MID(M213,SEARCH("购机",M213)+LEN("购机"),LEN(M213)),IF(ISNUMBER(SEARCH("叠放支架",M213)),"【赠品】"&amp;MID(M213,SEARCH("购机",M213)+LEN("购机"),LEN(M213)),IF(ISNUMBER(SEARCH("秀图",M213)),"【秀图】"&amp;MID(M213,SEARCH("秀图",M213)+LEN("秀图"),LEN(M213)),"")))),IFERROR(LEFT(_xlpm.A,FIND("【",_xlpm.A,FIND("】",_xlpm.A)+1)-1)&amp;MID(_xlpm.A,FIND("】",_xlpm.A,FIND("】",_xlpm.A)+1)+1,LEN(_xlpm.A)),_xlpm.A))</f>
        <v/>
      </c>
      <c r="I213" s="18" t="str">
        <f>_xlfn.LET(_xlpm.A,IF(ISNUMBER(SEARCH("晒单",N213)),"【晒单】"&amp;MID(N213,SEARCH("晒单",N213)+LEN("晒单"),LEN(N213))&amp;"（需晒单后联系客服登记）",IF(ISNUMBER(SEARCH("包修",N213)),"【购机】"&amp;MID(N213,SEARCH("购机",N213)+LEN("购机"),LEN(N213)),IF(ISNUMBER(SEARCH("叠放支架",N213)),"【赠品】"&amp;MID(N213,SEARCH("购机",N213)+LEN("购机"),LEN(N213)),IF(ISNUMBER(SEARCH("秀图",N213)),"【秀图】"&amp;MID(N213,SEARCH("秀图",N213)+LEN("秀图"),LEN(N213)),"")))),IFERROR(LEFT(_xlpm.A,FIND("【",_xlpm.A,FIND("】",_xlpm.A)+1)-1)&amp;MID(_xlpm.A,FIND("】",_xlpm.A,FIND("】",_xlpm.A)+1)+1,LEN(_xlpm.A)),_xlpm.A))</f>
        <v/>
      </c>
      <c r="J213" s="18" t="str" cm="1">
        <f t="array" ref="J213">IFERROR(INDEX(_xlfn.TEXTSPLIT(_xlfn.XLOOKUP($A213&amp;$B213&amp;$C213,盘货信息!$A:$A&amp;盘货信息!$B:$B&amp;盘货信息!$C:$C,盘货信息!$S:$S),CHAR(10),,TRUE),1,COLUMN(A212)),"")</f>
        <v/>
      </c>
      <c r="K213" s="18" t="str" cm="1">
        <f t="array" ref="K213">IFERROR(INDEX(_xlfn.TEXTSPLIT(_xlfn.XLOOKUP($A213&amp;$B213&amp;$C213,盘货信息!$A:$A&amp;盘货信息!$B:$B&amp;盘货信息!$C:$C,盘货信息!$S:$S),CHAR(10),,TRUE),1,COLUMN(B212)),"")</f>
        <v/>
      </c>
      <c r="L213" s="18" t="str" cm="1">
        <f t="array" ref="L213">IFERROR(INDEX(_xlfn.TEXTSPLIT(_xlfn.XLOOKUP($A213&amp;$B213&amp;$C213,盘货信息!$A:$A&amp;盘货信息!$B:$B&amp;盘货信息!$C:$C,盘货信息!$S:$S),CHAR(10),,TRUE),1,COLUMN(C212)),"")</f>
        <v/>
      </c>
      <c r="M213" s="18" t="str" cm="1">
        <f t="array" ref="M213">IFERROR(INDEX(_xlfn.TEXTSPLIT(_xlfn.XLOOKUP($A213&amp;$B213&amp;$C213,盘货信息!$A:$A&amp;盘货信息!$B:$B&amp;盘货信息!$C:$C,盘货信息!$S:$S),CHAR(10),,TRUE),1,COLUMN(D212)),"")</f>
        <v/>
      </c>
      <c r="N213" s="18" t="str" cm="1">
        <f t="array" ref="N213">IFERROR(INDEX(_xlfn.TEXTSPLIT(_xlfn.XLOOKUP($A213&amp;$B213&amp;$C213,盘货信息!$A:$A&amp;盘货信息!$B:$B&amp;盘货信息!$C:$C,盘货信息!$S:$S),CHAR(10),,TRUE),1,COLUMN(E212)),"")</f>
        <v/>
      </c>
    </row>
    <row r="214" customHeight="1" spans="1:14">
      <c r="A214" s="17" t="str">
        <f>IF(盘货信息!A214="","",盘货信息!A214)</f>
        <v/>
      </c>
      <c r="B214" s="17" t="str">
        <f>IF(盘货信息!B214="","",盘货信息!B214)</f>
        <v/>
      </c>
      <c r="C214" s="18" t="str">
        <f>IF(盘货信息!C214="","",盘货信息!C214)</f>
        <v/>
      </c>
      <c r="D214" s="18" t="str">
        <f t="shared" si="3"/>
        <v/>
      </c>
      <c r="E214" s="18" t="str">
        <f>_xlfn.LET(_xlpm.A,IF(ISNUMBER(SEARCH("晒单",J214)),"【晒单】"&amp;MID(J214,SEARCH("晒单",J214)+LEN("晒单"),LEN(J214))&amp;"（需晒单后联系客服登记）",IF(ISNUMBER(SEARCH("包修",J214)),"【购机】"&amp;MID(J214,SEARCH("购机",J214)+LEN("购机"),LEN(J214)),IF(ISNUMBER(SEARCH("叠放支架",J214)),"【赠品】"&amp;MID(J214,SEARCH("购机",J214)+LEN("购机"),LEN(J214)),IF(ISNUMBER(SEARCH("秀图",J214)),"【秀图】"&amp;MID(J214,SEARCH("秀图",J214)+LEN("秀图"),LEN(J214)),"")))),IFERROR(LEFT(_xlpm.A,FIND("【",_xlpm.A,FIND("】",_xlpm.A)+1)-1)&amp;MID(_xlpm.A,FIND("】",_xlpm.A,FIND("】",_xlpm.A)+1)+1,LEN(_xlpm.A)),_xlpm.A))</f>
        <v/>
      </c>
      <c r="F214" s="18" t="str">
        <f>_xlfn.LET(_xlpm.A,IF(ISNUMBER(SEARCH("晒单",K214)),"【晒单】"&amp;MID(K214,SEARCH("晒单",K214)+LEN("晒单"),LEN(K214))&amp;"（需晒单后联系客服登记）",IF(ISNUMBER(SEARCH("包修",K214)),"【购机】"&amp;MID(K214,SEARCH("购机",K214)+LEN("购机"),LEN(K214)),IF(ISNUMBER(SEARCH("叠放支架",K214)),"【赠品】"&amp;MID(K214,SEARCH("购机",K214)+LEN("购机"),LEN(K214)),IF(ISNUMBER(SEARCH("秀图",K214)),"【秀图】"&amp;MID(K214,SEARCH("秀图",K214)+LEN("秀图"),LEN(K214)),"")))),IFERROR(LEFT(_xlpm.A,FIND("【",_xlpm.A,FIND("】",_xlpm.A)+1)-1)&amp;MID(_xlpm.A,FIND("】",_xlpm.A,FIND("】",_xlpm.A)+1)+1,LEN(_xlpm.A)),_xlpm.A))</f>
        <v/>
      </c>
      <c r="G214" s="18" t="str">
        <f>_xlfn.LET(_xlpm.A,IF(ISNUMBER(SEARCH("晒单",L214)),"【晒单】"&amp;MID(L214,SEARCH("晒单",L214)+LEN("晒单"),LEN(L214))&amp;"（需晒单后联系客服登记）",IF(ISNUMBER(SEARCH("包修",L214)),"【购机】"&amp;MID(L214,SEARCH("购机",L214)+LEN("购机"),LEN(L214)),IF(ISNUMBER(SEARCH("叠放支架",L214)),"【赠品】"&amp;MID(L214,SEARCH("购机",L214)+LEN("购机"),LEN(L214)),IF(ISNUMBER(SEARCH("秀图",L214)),"【秀图】"&amp;MID(L214,SEARCH("秀图",L214)+LEN("秀图"),LEN(L214)),"")))),IFERROR(LEFT(_xlpm.A,FIND("【",_xlpm.A,FIND("】",_xlpm.A)+1)-1)&amp;MID(_xlpm.A,FIND("】",_xlpm.A,FIND("】",_xlpm.A)+1)+1,LEN(_xlpm.A)),_xlpm.A))</f>
        <v/>
      </c>
      <c r="H214" s="18" t="str">
        <f>_xlfn.LET(_xlpm.A,IF(ISNUMBER(SEARCH("晒单",M214)),"【晒单】"&amp;MID(M214,SEARCH("晒单",M214)+LEN("晒单"),LEN(M214))&amp;"（需晒单后联系客服登记）",IF(ISNUMBER(SEARCH("包修",M214)),"【购机】"&amp;MID(M214,SEARCH("购机",M214)+LEN("购机"),LEN(M214)),IF(ISNUMBER(SEARCH("叠放支架",M214)),"【赠品】"&amp;MID(M214,SEARCH("购机",M214)+LEN("购机"),LEN(M214)),IF(ISNUMBER(SEARCH("秀图",M214)),"【秀图】"&amp;MID(M214,SEARCH("秀图",M214)+LEN("秀图"),LEN(M214)),"")))),IFERROR(LEFT(_xlpm.A,FIND("【",_xlpm.A,FIND("】",_xlpm.A)+1)-1)&amp;MID(_xlpm.A,FIND("】",_xlpm.A,FIND("】",_xlpm.A)+1)+1,LEN(_xlpm.A)),_xlpm.A))</f>
        <v/>
      </c>
      <c r="I214" s="18" t="str">
        <f>_xlfn.LET(_xlpm.A,IF(ISNUMBER(SEARCH("晒单",N214)),"【晒单】"&amp;MID(N214,SEARCH("晒单",N214)+LEN("晒单"),LEN(N214))&amp;"（需晒单后联系客服登记）",IF(ISNUMBER(SEARCH("包修",N214)),"【购机】"&amp;MID(N214,SEARCH("购机",N214)+LEN("购机"),LEN(N214)),IF(ISNUMBER(SEARCH("叠放支架",N214)),"【赠品】"&amp;MID(N214,SEARCH("购机",N214)+LEN("购机"),LEN(N214)),IF(ISNUMBER(SEARCH("秀图",N214)),"【秀图】"&amp;MID(N214,SEARCH("秀图",N214)+LEN("秀图"),LEN(N214)),"")))),IFERROR(LEFT(_xlpm.A,FIND("【",_xlpm.A,FIND("】",_xlpm.A)+1)-1)&amp;MID(_xlpm.A,FIND("】",_xlpm.A,FIND("】",_xlpm.A)+1)+1,LEN(_xlpm.A)),_xlpm.A))</f>
        <v/>
      </c>
      <c r="J214" s="18" t="str" cm="1">
        <f t="array" ref="J214">IFERROR(INDEX(_xlfn.TEXTSPLIT(_xlfn.XLOOKUP($A214&amp;$B214&amp;$C214,盘货信息!$A:$A&amp;盘货信息!$B:$B&amp;盘货信息!$C:$C,盘货信息!$S:$S),CHAR(10),,TRUE),1,COLUMN(A213)),"")</f>
        <v/>
      </c>
      <c r="K214" s="18" t="str" cm="1">
        <f t="array" ref="K214">IFERROR(INDEX(_xlfn.TEXTSPLIT(_xlfn.XLOOKUP($A214&amp;$B214&amp;$C214,盘货信息!$A:$A&amp;盘货信息!$B:$B&amp;盘货信息!$C:$C,盘货信息!$S:$S),CHAR(10),,TRUE),1,COLUMN(B213)),"")</f>
        <v/>
      </c>
      <c r="L214" s="18" t="str" cm="1">
        <f t="array" ref="L214">IFERROR(INDEX(_xlfn.TEXTSPLIT(_xlfn.XLOOKUP($A214&amp;$B214&amp;$C214,盘货信息!$A:$A&amp;盘货信息!$B:$B&amp;盘货信息!$C:$C,盘货信息!$S:$S),CHAR(10),,TRUE),1,COLUMN(C213)),"")</f>
        <v/>
      </c>
      <c r="M214" s="18" t="str" cm="1">
        <f t="array" ref="M214">IFERROR(INDEX(_xlfn.TEXTSPLIT(_xlfn.XLOOKUP($A214&amp;$B214&amp;$C214,盘货信息!$A:$A&amp;盘货信息!$B:$B&amp;盘货信息!$C:$C,盘货信息!$S:$S),CHAR(10),,TRUE),1,COLUMN(D213)),"")</f>
        <v/>
      </c>
      <c r="N214" s="18" t="str" cm="1">
        <f t="array" ref="N214">IFERROR(INDEX(_xlfn.TEXTSPLIT(_xlfn.XLOOKUP($A214&amp;$B214&amp;$C214,盘货信息!$A:$A&amp;盘货信息!$B:$B&amp;盘货信息!$C:$C,盘货信息!$S:$S),CHAR(10),,TRUE),1,COLUMN(E213)),"")</f>
        <v/>
      </c>
    </row>
    <row r="215" customHeight="1" spans="1:14">
      <c r="A215" s="17" t="str">
        <f>IF(盘货信息!A215="","",盘货信息!A215)</f>
        <v/>
      </c>
      <c r="B215" s="17" t="str">
        <f>IF(盘货信息!B215="","",盘货信息!B215)</f>
        <v/>
      </c>
      <c r="C215" s="18" t="str">
        <f>IF(盘货信息!C215="","",盘货信息!C215)</f>
        <v/>
      </c>
      <c r="D215" s="18" t="str">
        <f t="shared" si="3"/>
        <v/>
      </c>
      <c r="E215" s="18" t="str">
        <f>_xlfn.LET(_xlpm.A,IF(ISNUMBER(SEARCH("晒单",J215)),"【晒单】"&amp;MID(J215,SEARCH("晒单",J215)+LEN("晒单"),LEN(J215))&amp;"（需晒单后联系客服登记）",IF(ISNUMBER(SEARCH("包修",J215)),"【购机】"&amp;MID(J215,SEARCH("购机",J215)+LEN("购机"),LEN(J215)),IF(ISNUMBER(SEARCH("叠放支架",J215)),"【赠品】"&amp;MID(J215,SEARCH("购机",J215)+LEN("购机"),LEN(J215)),IF(ISNUMBER(SEARCH("秀图",J215)),"【秀图】"&amp;MID(J215,SEARCH("秀图",J215)+LEN("秀图"),LEN(J215)),"")))),IFERROR(LEFT(_xlpm.A,FIND("【",_xlpm.A,FIND("】",_xlpm.A)+1)-1)&amp;MID(_xlpm.A,FIND("】",_xlpm.A,FIND("】",_xlpm.A)+1)+1,LEN(_xlpm.A)),_xlpm.A))</f>
        <v/>
      </c>
      <c r="F215" s="18" t="str">
        <f>_xlfn.LET(_xlpm.A,IF(ISNUMBER(SEARCH("晒单",K215)),"【晒单】"&amp;MID(K215,SEARCH("晒单",K215)+LEN("晒单"),LEN(K215))&amp;"（需晒单后联系客服登记）",IF(ISNUMBER(SEARCH("包修",K215)),"【购机】"&amp;MID(K215,SEARCH("购机",K215)+LEN("购机"),LEN(K215)),IF(ISNUMBER(SEARCH("叠放支架",K215)),"【赠品】"&amp;MID(K215,SEARCH("购机",K215)+LEN("购机"),LEN(K215)),IF(ISNUMBER(SEARCH("秀图",K215)),"【秀图】"&amp;MID(K215,SEARCH("秀图",K215)+LEN("秀图"),LEN(K215)),"")))),IFERROR(LEFT(_xlpm.A,FIND("【",_xlpm.A,FIND("】",_xlpm.A)+1)-1)&amp;MID(_xlpm.A,FIND("】",_xlpm.A,FIND("】",_xlpm.A)+1)+1,LEN(_xlpm.A)),_xlpm.A))</f>
        <v/>
      </c>
      <c r="G215" s="18" t="str">
        <f>_xlfn.LET(_xlpm.A,IF(ISNUMBER(SEARCH("晒单",L215)),"【晒单】"&amp;MID(L215,SEARCH("晒单",L215)+LEN("晒单"),LEN(L215))&amp;"（需晒单后联系客服登记）",IF(ISNUMBER(SEARCH("包修",L215)),"【购机】"&amp;MID(L215,SEARCH("购机",L215)+LEN("购机"),LEN(L215)),IF(ISNUMBER(SEARCH("叠放支架",L215)),"【赠品】"&amp;MID(L215,SEARCH("购机",L215)+LEN("购机"),LEN(L215)),IF(ISNUMBER(SEARCH("秀图",L215)),"【秀图】"&amp;MID(L215,SEARCH("秀图",L215)+LEN("秀图"),LEN(L215)),"")))),IFERROR(LEFT(_xlpm.A,FIND("【",_xlpm.A,FIND("】",_xlpm.A)+1)-1)&amp;MID(_xlpm.A,FIND("】",_xlpm.A,FIND("】",_xlpm.A)+1)+1,LEN(_xlpm.A)),_xlpm.A))</f>
        <v/>
      </c>
      <c r="H215" s="18" t="str">
        <f>_xlfn.LET(_xlpm.A,IF(ISNUMBER(SEARCH("晒单",M215)),"【晒单】"&amp;MID(M215,SEARCH("晒单",M215)+LEN("晒单"),LEN(M215))&amp;"（需晒单后联系客服登记）",IF(ISNUMBER(SEARCH("包修",M215)),"【购机】"&amp;MID(M215,SEARCH("购机",M215)+LEN("购机"),LEN(M215)),IF(ISNUMBER(SEARCH("叠放支架",M215)),"【赠品】"&amp;MID(M215,SEARCH("购机",M215)+LEN("购机"),LEN(M215)),IF(ISNUMBER(SEARCH("秀图",M215)),"【秀图】"&amp;MID(M215,SEARCH("秀图",M215)+LEN("秀图"),LEN(M215)),"")))),IFERROR(LEFT(_xlpm.A,FIND("【",_xlpm.A,FIND("】",_xlpm.A)+1)-1)&amp;MID(_xlpm.A,FIND("】",_xlpm.A,FIND("】",_xlpm.A)+1)+1,LEN(_xlpm.A)),_xlpm.A))</f>
        <v/>
      </c>
      <c r="I215" s="18" t="str">
        <f>_xlfn.LET(_xlpm.A,IF(ISNUMBER(SEARCH("晒单",N215)),"【晒单】"&amp;MID(N215,SEARCH("晒单",N215)+LEN("晒单"),LEN(N215))&amp;"（需晒单后联系客服登记）",IF(ISNUMBER(SEARCH("包修",N215)),"【购机】"&amp;MID(N215,SEARCH("购机",N215)+LEN("购机"),LEN(N215)),IF(ISNUMBER(SEARCH("叠放支架",N215)),"【赠品】"&amp;MID(N215,SEARCH("购机",N215)+LEN("购机"),LEN(N215)),IF(ISNUMBER(SEARCH("秀图",N215)),"【秀图】"&amp;MID(N215,SEARCH("秀图",N215)+LEN("秀图"),LEN(N215)),"")))),IFERROR(LEFT(_xlpm.A,FIND("【",_xlpm.A,FIND("】",_xlpm.A)+1)-1)&amp;MID(_xlpm.A,FIND("】",_xlpm.A,FIND("】",_xlpm.A)+1)+1,LEN(_xlpm.A)),_xlpm.A))</f>
        <v/>
      </c>
      <c r="J215" s="18" t="str" cm="1">
        <f t="array" ref="J215">IFERROR(INDEX(_xlfn.TEXTSPLIT(_xlfn.XLOOKUP($A215&amp;$B215&amp;$C215,盘货信息!$A:$A&amp;盘货信息!$B:$B&amp;盘货信息!$C:$C,盘货信息!$S:$S),CHAR(10),,TRUE),1,COLUMN(A214)),"")</f>
        <v/>
      </c>
      <c r="K215" s="18" t="str" cm="1">
        <f t="array" ref="K215">IFERROR(INDEX(_xlfn.TEXTSPLIT(_xlfn.XLOOKUP($A215&amp;$B215&amp;$C215,盘货信息!$A:$A&amp;盘货信息!$B:$B&amp;盘货信息!$C:$C,盘货信息!$S:$S),CHAR(10),,TRUE),1,COLUMN(B214)),"")</f>
        <v/>
      </c>
      <c r="L215" s="18" t="str" cm="1">
        <f t="array" ref="L215">IFERROR(INDEX(_xlfn.TEXTSPLIT(_xlfn.XLOOKUP($A215&amp;$B215&amp;$C215,盘货信息!$A:$A&amp;盘货信息!$B:$B&amp;盘货信息!$C:$C,盘货信息!$S:$S),CHAR(10),,TRUE),1,COLUMN(C214)),"")</f>
        <v/>
      </c>
      <c r="M215" s="18" t="str" cm="1">
        <f t="array" ref="M215">IFERROR(INDEX(_xlfn.TEXTSPLIT(_xlfn.XLOOKUP($A215&amp;$B215&amp;$C215,盘货信息!$A:$A&amp;盘货信息!$B:$B&amp;盘货信息!$C:$C,盘货信息!$S:$S),CHAR(10),,TRUE),1,COLUMN(D214)),"")</f>
        <v/>
      </c>
      <c r="N215" s="18" t="str" cm="1">
        <f t="array" ref="N215">IFERROR(INDEX(_xlfn.TEXTSPLIT(_xlfn.XLOOKUP($A215&amp;$B215&amp;$C215,盘货信息!$A:$A&amp;盘货信息!$B:$B&amp;盘货信息!$C:$C,盘货信息!$S:$S),CHAR(10),,TRUE),1,COLUMN(E214)),"")</f>
        <v/>
      </c>
    </row>
    <row r="216" customHeight="1" spans="1:14">
      <c r="A216" s="17" t="str">
        <f>IF(盘货信息!A216="","",盘货信息!A216)</f>
        <v/>
      </c>
      <c r="B216" s="17" t="str">
        <f>IF(盘货信息!B216="","",盘货信息!B216)</f>
        <v/>
      </c>
      <c r="C216" s="18" t="str">
        <f>IF(盘货信息!C216="","",盘货信息!C216)</f>
        <v/>
      </c>
      <c r="D216" s="18" t="str">
        <f t="shared" si="3"/>
        <v/>
      </c>
      <c r="E216" s="18" t="str">
        <f>_xlfn.LET(_xlpm.A,IF(ISNUMBER(SEARCH("晒单",J216)),"【晒单】"&amp;MID(J216,SEARCH("晒单",J216)+LEN("晒单"),LEN(J216))&amp;"（需晒单后联系客服登记）",IF(ISNUMBER(SEARCH("包修",J216)),"【购机】"&amp;MID(J216,SEARCH("购机",J216)+LEN("购机"),LEN(J216)),IF(ISNUMBER(SEARCH("叠放支架",J216)),"【赠品】"&amp;MID(J216,SEARCH("购机",J216)+LEN("购机"),LEN(J216)),IF(ISNUMBER(SEARCH("秀图",J216)),"【秀图】"&amp;MID(J216,SEARCH("秀图",J216)+LEN("秀图"),LEN(J216)),"")))),IFERROR(LEFT(_xlpm.A,FIND("【",_xlpm.A,FIND("】",_xlpm.A)+1)-1)&amp;MID(_xlpm.A,FIND("】",_xlpm.A,FIND("】",_xlpm.A)+1)+1,LEN(_xlpm.A)),_xlpm.A))</f>
        <v/>
      </c>
      <c r="F216" s="18" t="str">
        <f>_xlfn.LET(_xlpm.A,IF(ISNUMBER(SEARCH("晒单",K216)),"【晒单】"&amp;MID(K216,SEARCH("晒单",K216)+LEN("晒单"),LEN(K216))&amp;"（需晒单后联系客服登记）",IF(ISNUMBER(SEARCH("包修",K216)),"【购机】"&amp;MID(K216,SEARCH("购机",K216)+LEN("购机"),LEN(K216)),IF(ISNUMBER(SEARCH("叠放支架",K216)),"【赠品】"&amp;MID(K216,SEARCH("购机",K216)+LEN("购机"),LEN(K216)),IF(ISNUMBER(SEARCH("秀图",K216)),"【秀图】"&amp;MID(K216,SEARCH("秀图",K216)+LEN("秀图"),LEN(K216)),"")))),IFERROR(LEFT(_xlpm.A,FIND("【",_xlpm.A,FIND("】",_xlpm.A)+1)-1)&amp;MID(_xlpm.A,FIND("】",_xlpm.A,FIND("】",_xlpm.A)+1)+1,LEN(_xlpm.A)),_xlpm.A))</f>
        <v/>
      </c>
      <c r="G216" s="18" t="str">
        <f>_xlfn.LET(_xlpm.A,IF(ISNUMBER(SEARCH("晒单",L216)),"【晒单】"&amp;MID(L216,SEARCH("晒单",L216)+LEN("晒单"),LEN(L216))&amp;"（需晒单后联系客服登记）",IF(ISNUMBER(SEARCH("包修",L216)),"【购机】"&amp;MID(L216,SEARCH("购机",L216)+LEN("购机"),LEN(L216)),IF(ISNUMBER(SEARCH("叠放支架",L216)),"【赠品】"&amp;MID(L216,SEARCH("购机",L216)+LEN("购机"),LEN(L216)),IF(ISNUMBER(SEARCH("秀图",L216)),"【秀图】"&amp;MID(L216,SEARCH("秀图",L216)+LEN("秀图"),LEN(L216)),"")))),IFERROR(LEFT(_xlpm.A,FIND("【",_xlpm.A,FIND("】",_xlpm.A)+1)-1)&amp;MID(_xlpm.A,FIND("】",_xlpm.A,FIND("】",_xlpm.A)+1)+1,LEN(_xlpm.A)),_xlpm.A))</f>
        <v/>
      </c>
      <c r="H216" s="18" t="str">
        <f>_xlfn.LET(_xlpm.A,IF(ISNUMBER(SEARCH("晒单",M216)),"【晒单】"&amp;MID(M216,SEARCH("晒单",M216)+LEN("晒单"),LEN(M216))&amp;"（需晒单后联系客服登记）",IF(ISNUMBER(SEARCH("包修",M216)),"【购机】"&amp;MID(M216,SEARCH("购机",M216)+LEN("购机"),LEN(M216)),IF(ISNUMBER(SEARCH("叠放支架",M216)),"【赠品】"&amp;MID(M216,SEARCH("购机",M216)+LEN("购机"),LEN(M216)),IF(ISNUMBER(SEARCH("秀图",M216)),"【秀图】"&amp;MID(M216,SEARCH("秀图",M216)+LEN("秀图"),LEN(M216)),"")))),IFERROR(LEFT(_xlpm.A,FIND("【",_xlpm.A,FIND("】",_xlpm.A)+1)-1)&amp;MID(_xlpm.A,FIND("】",_xlpm.A,FIND("】",_xlpm.A)+1)+1,LEN(_xlpm.A)),_xlpm.A))</f>
        <v/>
      </c>
      <c r="I216" s="18" t="str">
        <f>_xlfn.LET(_xlpm.A,IF(ISNUMBER(SEARCH("晒单",N216)),"【晒单】"&amp;MID(N216,SEARCH("晒单",N216)+LEN("晒单"),LEN(N216))&amp;"（需晒单后联系客服登记）",IF(ISNUMBER(SEARCH("包修",N216)),"【购机】"&amp;MID(N216,SEARCH("购机",N216)+LEN("购机"),LEN(N216)),IF(ISNUMBER(SEARCH("叠放支架",N216)),"【赠品】"&amp;MID(N216,SEARCH("购机",N216)+LEN("购机"),LEN(N216)),IF(ISNUMBER(SEARCH("秀图",N216)),"【秀图】"&amp;MID(N216,SEARCH("秀图",N216)+LEN("秀图"),LEN(N216)),"")))),IFERROR(LEFT(_xlpm.A,FIND("【",_xlpm.A,FIND("】",_xlpm.A)+1)-1)&amp;MID(_xlpm.A,FIND("】",_xlpm.A,FIND("】",_xlpm.A)+1)+1,LEN(_xlpm.A)),_xlpm.A))</f>
        <v/>
      </c>
      <c r="J216" s="18" t="str" cm="1">
        <f t="array" ref="J216">IFERROR(INDEX(_xlfn.TEXTSPLIT(_xlfn.XLOOKUP($A216&amp;$B216&amp;$C216,盘货信息!$A:$A&amp;盘货信息!$B:$B&amp;盘货信息!$C:$C,盘货信息!$S:$S),CHAR(10),,TRUE),1,COLUMN(A215)),"")</f>
        <v/>
      </c>
      <c r="K216" s="18" t="str" cm="1">
        <f t="array" ref="K216">IFERROR(INDEX(_xlfn.TEXTSPLIT(_xlfn.XLOOKUP($A216&amp;$B216&amp;$C216,盘货信息!$A:$A&amp;盘货信息!$B:$B&amp;盘货信息!$C:$C,盘货信息!$S:$S),CHAR(10),,TRUE),1,COLUMN(B215)),"")</f>
        <v/>
      </c>
      <c r="L216" s="18" t="str" cm="1">
        <f t="array" ref="L216">IFERROR(INDEX(_xlfn.TEXTSPLIT(_xlfn.XLOOKUP($A216&amp;$B216&amp;$C216,盘货信息!$A:$A&amp;盘货信息!$B:$B&amp;盘货信息!$C:$C,盘货信息!$S:$S),CHAR(10),,TRUE),1,COLUMN(C215)),"")</f>
        <v/>
      </c>
      <c r="M216" s="18" t="str" cm="1">
        <f t="array" ref="M216">IFERROR(INDEX(_xlfn.TEXTSPLIT(_xlfn.XLOOKUP($A216&amp;$B216&amp;$C216,盘货信息!$A:$A&amp;盘货信息!$B:$B&amp;盘货信息!$C:$C,盘货信息!$S:$S),CHAR(10),,TRUE),1,COLUMN(D215)),"")</f>
        <v/>
      </c>
      <c r="N216" s="18" t="str" cm="1">
        <f t="array" ref="N216">IFERROR(INDEX(_xlfn.TEXTSPLIT(_xlfn.XLOOKUP($A216&amp;$B216&amp;$C216,盘货信息!$A:$A&amp;盘货信息!$B:$B&amp;盘货信息!$C:$C,盘货信息!$S:$S),CHAR(10),,TRUE),1,COLUMN(E215)),"")</f>
        <v/>
      </c>
    </row>
    <row r="217" customHeight="1" spans="1:14">
      <c r="A217" s="17" t="str">
        <f>IF(盘货信息!A217="","",盘货信息!A217)</f>
        <v/>
      </c>
      <c r="B217" s="17" t="str">
        <f>IF(盘货信息!B217="","",盘货信息!B217)</f>
        <v/>
      </c>
      <c r="C217" s="18" t="str">
        <f>IF(盘货信息!C217="","",盘货信息!C217)</f>
        <v/>
      </c>
      <c r="D217" s="18" t="str">
        <f t="shared" si="3"/>
        <v/>
      </c>
      <c r="E217" s="18" t="str">
        <f>_xlfn.LET(_xlpm.A,IF(ISNUMBER(SEARCH("晒单",J217)),"【晒单】"&amp;MID(J217,SEARCH("晒单",J217)+LEN("晒单"),LEN(J217))&amp;"（需晒单后联系客服登记）",IF(ISNUMBER(SEARCH("包修",J217)),"【购机】"&amp;MID(J217,SEARCH("购机",J217)+LEN("购机"),LEN(J217)),IF(ISNUMBER(SEARCH("叠放支架",J217)),"【赠品】"&amp;MID(J217,SEARCH("购机",J217)+LEN("购机"),LEN(J217)),IF(ISNUMBER(SEARCH("秀图",J217)),"【秀图】"&amp;MID(J217,SEARCH("秀图",J217)+LEN("秀图"),LEN(J217)),"")))),IFERROR(LEFT(_xlpm.A,FIND("【",_xlpm.A,FIND("】",_xlpm.A)+1)-1)&amp;MID(_xlpm.A,FIND("】",_xlpm.A,FIND("】",_xlpm.A)+1)+1,LEN(_xlpm.A)),_xlpm.A))</f>
        <v/>
      </c>
      <c r="F217" s="18" t="str">
        <f>_xlfn.LET(_xlpm.A,IF(ISNUMBER(SEARCH("晒单",K217)),"【晒单】"&amp;MID(K217,SEARCH("晒单",K217)+LEN("晒单"),LEN(K217))&amp;"（需晒单后联系客服登记）",IF(ISNUMBER(SEARCH("包修",K217)),"【购机】"&amp;MID(K217,SEARCH("购机",K217)+LEN("购机"),LEN(K217)),IF(ISNUMBER(SEARCH("叠放支架",K217)),"【赠品】"&amp;MID(K217,SEARCH("购机",K217)+LEN("购机"),LEN(K217)),IF(ISNUMBER(SEARCH("秀图",K217)),"【秀图】"&amp;MID(K217,SEARCH("秀图",K217)+LEN("秀图"),LEN(K217)),"")))),IFERROR(LEFT(_xlpm.A,FIND("【",_xlpm.A,FIND("】",_xlpm.A)+1)-1)&amp;MID(_xlpm.A,FIND("】",_xlpm.A,FIND("】",_xlpm.A)+1)+1,LEN(_xlpm.A)),_xlpm.A))</f>
        <v/>
      </c>
      <c r="G217" s="18" t="str">
        <f>_xlfn.LET(_xlpm.A,IF(ISNUMBER(SEARCH("晒单",L217)),"【晒单】"&amp;MID(L217,SEARCH("晒单",L217)+LEN("晒单"),LEN(L217))&amp;"（需晒单后联系客服登记）",IF(ISNUMBER(SEARCH("包修",L217)),"【购机】"&amp;MID(L217,SEARCH("购机",L217)+LEN("购机"),LEN(L217)),IF(ISNUMBER(SEARCH("叠放支架",L217)),"【赠品】"&amp;MID(L217,SEARCH("购机",L217)+LEN("购机"),LEN(L217)),IF(ISNUMBER(SEARCH("秀图",L217)),"【秀图】"&amp;MID(L217,SEARCH("秀图",L217)+LEN("秀图"),LEN(L217)),"")))),IFERROR(LEFT(_xlpm.A,FIND("【",_xlpm.A,FIND("】",_xlpm.A)+1)-1)&amp;MID(_xlpm.A,FIND("】",_xlpm.A,FIND("】",_xlpm.A)+1)+1,LEN(_xlpm.A)),_xlpm.A))</f>
        <v/>
      </c>
      <c r="H217" s="18" t="str">
        <f>_xlfn.LET(_xlpm.A,IF(ISNUMBER(SEARCH("晒单",M217)),"【晒单】"&amp;MID(M217,SEARCH("晒单",M217)+LEN("晒单"),LEN(M217))&amp;"（需晒单后联系客服登记）",IF(ISNUMBER(SEARCH("包修",M217)),"【购机】"&amp;MID(M217,SEARCH("购机",M217)+LEN("购机"),LEN(M217)),IF(ISNUMBER(SEARCH("叠放支架",M217)),"【赠品】"&amp;MID(M217,SEARCH("购机",M217)+LEN("购机"),LEN(M217)),IF(ISNUMBER(SEARCH("秀图",M217)),"【秀图】"&amp;MID(M217,SEARCH("秀图",M217)+LEN("秀图"),LEN(M217)),"")))),IFERROR(LEFT(_xlpm.A,FIND("【",_xlpm.A,FIND("】",_xlpm.A)+1)-1)&amp;MID(_xlpm.A,FIND("】",_xlpm.A,FIND("】",_xlpm.A)+1)+1,LEN(_xlpm.A)),_xlpm.A))</f>
        <v/>
      </c>
      <c r="I217" s="18" t="str">
        <f>_xlfn.LET(_xlpm.A,IF(ISNUMBER(SEARCH("晒单",N217)),"【晒单】"&amp;MID(N217,SEARCH("晒单",N217)+LEN("晒单"),LEN(N217))&amp;"（需晒单后联系客服登记）",IF(ISNUMBER(SEARCH("包修",N217)),"【购机】"&amp;MID(N217,SEARCH("购机",N217)+LEN("购机"),LEN(N217)),IF(ISNUMBER(SEARCH("叠放支架",N217)),"【赠品】"&amp;MID(N217,SEARCH("购机",N217)+LEN("购机"),LEN(N217)),IF(ISNUMBER(SEARCH("秀图",N217)),"【秀图】"&amp;MID(N217,SEARCH("秀图",N217)+LEN("秀图"),LEN(N217)),"")))),IFERROR(LEFT(_xlpm.A,FIND("【",_xlpm.A,FIND("】",_xlpm.A)+1)-1)&amp;MID(_xlpm.A,FIND("】",_xlpm.A,FIND("】",_xlpm.A)+1)+1,LEN(_xlpm.A)),_xlpm.A))</f>
        <v/>
      </c>
      <c r="J217" s="18" t="str" cm="1">
        <f t="array" ref="J217">IFERROR(INDEX(_xlfn.TEXTSPLIT(_xlfn.XLOOKUP($A217&amp;$B217&amp;$C217,盘货信息!$A:$A&amp;盘货信息!$B:$B&amp;盘货信息!$C:$C,盘货信息!$S:$S),CHAR(10),,TRUE),1,COLUMN(A216)),"")</f>
        <v/>
      </c>
      <c r="K217" s="18" t="str" cm="1">
        <f t="array" ref="K217">IFERROR(INDEX(_xlfn.TEXTSPLIT(_xlfn.XLOOKUP($A217&amp;$B217&amp;$C217,盘货信息!$A:$A&amp;盘货信息!$B:$B&amp;盘货信息!$C:$C,盘货信息!$S:$S),CHAR(10),,TRUE),1,COLUMN(B216)),"")</f>
        <v/>
      </c>
      <c r="L217" s="18" t="str" cm="1">
        <f t="array" ref="L217">IFERROR(INDEX(_xlfn.TEXTSPLIT(_xlfn.XLOOKUP($A217&amp;$B217&amp;$C217,盘货信息!$A:$A&amp;盘货信息!$B:$B&amp;盘货信息!$C:$C,盘货信息!$S:$S),CHAR(10),,TRUE),1,COLUMN(C216)),"")</f>
        <v/>
      </c>
      <c r="M217" s="18" t="str" cm="1">
        <f t="array" ref="M217">IFERROR(INDEX(_xlfn.TEXTSPLIT(_xlfn.XLOOKUP($A217&amp;$B217&amp;$C217,盘货信息!$A:$A&amp;盘货信息!$B:$B&amp;盘货信息!$C:$C,盘货信息!$S:$S),CHAR(10),,TRUE),1,COLUMN(D216)),"")</f>
        <v/>
      </c>
      <c r="N217" s="18" t="str" cm="1">
        <f t="array" ref="N217">IFERROR(INDEX(_xlfn.TEXTSPLIT(_xlfn.XLOOKUP($A217&amp;$B217&amp;$C217,盘货信息!$A:$A&amp;盘货信息!$B:$B&amp;盘货信息!$C:$C,盘货信息!$S:$S),CHAR(10),,TRUE),1,COLUMN(E216)),"")</f>
        <v/>
      </c>
    </row>
    <row r="218" customHeight="1" spans="1:14">
      <c r="A218" s="17" t="str">
        <f>IF(盘货信息!A218="","",盘货信息!A218)</f>
        <v/>
      </c>
      <c r="B218" s="17" t="str">
        <f>IF(盘货信息!B218="","",盘货信息!B218)</f>
        <v/>
      </c>
      <c r="C218" s="18" t="str">
        <f>IF(盘货信息!C218="","",盘货信息!C218)</f>
        <v/>
      </c>
      <c r="D218" s="18" t="str">
        <f t="shared" si="3"/>
        <v/>
      </c>
      <c r="E218" s="18" t="str">
        <f>_xlfn.LET(_xlpm.A,IF(ISNUMBER(SEARCH("晒单",J218)),"【晒单】"&amp;MID(J218,SEARCH("晒单",J218)+LEN("晒单"),LEN(J218))&amp;"（需晒单后联系客服登记）",IF(ISNUMBER(SEARCH("包修",J218)),"【购机】"&amp;MID(J218,SEARCH("购机",J218)+LEN("购机"),LEN(J218)),IF(ISNUMBER(SEARCH("叠放支架",J218)),"【赠品】"&amp;MID(J218,SEARCH("购机",J218)+LEN("购机"),LEN(J218)),IF(ISNUMBER(SEARCH("秀图",J218)),"【秀图】"&amp;MID(J218,SEARCH("秀图",J218)+LEN("秀图"),LEN(J218)),"")))),IFERROR(LEFT(_xlpm.A,FIND("【",_xlpm.A,FIND("】",_xlpm.A)+1)-1)&amp;MID(_xlpm.A,FIND("】",_xlpm.A,FIND("】",_xlpm.A)+1)+1,LEN(_xlpm.A)),_xlpm.A))</f>
        <v/>
      </c>
      <c r="F218" s="18" t="str">
        <f>_xlfn.LET(_xlpm.A,IF(ISNUMBER(SEARCH("晒单",K218)),"【晒单】"&amp;MID(K218,SEARCH("晒单",K218)+LEN("晒单"),LEN(K218))&amp;"（需晒单后联系客服登记）",IF(ISNUMBER(SEARCH("包修",K218)),"【购机】"&amp;MID(K218,SEARCH("购机",K218)+LEN("购机"),LEN(K218)),IF(ISNUMBER(SEARCH("叠放支架",K218)),"【赠品】"&amp;MID(K218,SEARCH("购机",K218)+LEN("购机"),LEN(K218)),IF(ISNUMBER(SEARCH("秀图",K218)),"【秀图】"&amp;MID(K218,SEARCH("秀图",K218)+LEN("秀图"),LEN(K218)),"")))),IFERROR(LEFT(_xlpm.A,FIND("【",_xlpm.A,FIND("】",_xlpm.A)+1)-1)&amp;MID(_xlpm.A,FIND("】",_xlpm.A,FIND("】",_xlpm.A)+1)+1,LEN(_xlpm.A)),_xlpm.A))</f>
        <v/>
      </c>
      <c r="G218" s="18" t="str">
        <f>_xlfn.LET(_xlpm.A,IF(ISNUMBER(SEARCH("晒单",L218)),"【晒单】"&amp;MID(L218,SEARCH("晒单",L218)+LEN("晒单"),LEN(L218))&amp;"（需晒单后联系客服登记）",IF(ISNUMBER(SEARCH("包修",L218)),"【购机】"&amp;MID(L218,SEARCH("购机",L218)+LEN("购机"),LEN(L218)),IF(ISNUMBER(SEARCH("叠放支架",L218)),"【赠品】"&amp;MID(L218,SEARCH("购机",L218)+LEN("购机"),LEN(L218)),IF(ISNUMBER(SEARCH("秀图",L218)),"【秀图】"&amp;MID(L218,SEARCH("秀图",L218)+LEN("秀图"),LEN(L218)),"")))),IFERROR(LEFT(_xlpm.A,FIND("【",_xlpm.A,FIND("】",_xlpm.A)+1)-1)&amp;MID(_xlpm.A,FIND("】",_xlpm.A,FIND("】",_xlpm.A)+1)+1,LEN(_xlpm.A)),_xlpm.A))</f>
        <v/>
      </c>
      <c r="H218" s="18" t="str">
        <f>_xlfn.LET(_xlpm.A,IF(ISNUMBER(SEARCH("晒单",M218)),"【晒单】"&amp;MID(M218,SEARCH("晒单",M218)+LEN("晒单"),LEN(M218))&amp;"（需晒单后联系客服登记）",IF(ISNUMBER(SEARCH("包修",M218)),"【购机】"&amp;MID(M218,SEARCH("购机",M218)+LEN("购机"),LEN(M218)),IF(ISNUMBER(SEARCH("叠放支架",M218)),"【赠品】"&amp;MID(M218,SEARCH("购机",M218)+LEN("购机"),LEN(M218)),IF(ISNUMBER(SEARCH("秀图",M218)),"【秀图】"&amp;MID(M218,SEARCH("秀图",M218)+LEN("秀图"),LEN(M218)),"")))),IFERROR(LEFT(_xlpm.A,FIND("【",_xlpm.A,FIND("】",_xlpm.A)+1)-1)&amp;MID(_xlpm.A,FIND("】",_xlpm.A,FIND("】",_xlpm.A)+1)+1,LEN(_xlpm.A)),_xlpm.A))</f>
        <v/>
      </c>
      <c r="I218" s="18" t="str">
        <f>_xlfn.LET(_xlpm.A,IF(ISNUMBER(SEARCH("晒单",N218)),"【晒单】"&amp;MID(N218,SEARCH("晒单",N218)+LEN("晒单"),LEN(N218))&amp;"（需晒单后联系客服登记）",IF(ISNUMBER(SEARCH("包修",N218)),"【购机】"&amp;MID(N218,SEARCH("购机",N218)+LEN("购机"),LEN(N218)),IF(ISNUMBER(SEARCH("叠放支架",N218)),"【赠品】"&amp;MID(N218,SEARCH("购机",N218)+LEN("购机"),LEN(N218)),IF(ISNUMBER(SEARCH("秀图",N218)),"【秀图】"&amp;MID(N218,SEARCH("秀图",N218)+LEN("秀图"),LEN(N218)),"")))),IFERROR(LEFT(_xlpm.A,FIND("【",_xlpm.A,FIND("】",_xlpm.A)+1)-1)&amp;MID(_xlpm.A,FIND("】",_xlpm.A,FIND("】",_xlpm.A)+1)+1,LEN(_xlpm.A)),_xlpm.A))</f>
        <v/>
      </c>
      <c r="J218" s="18" t="str" cm="1">
        <f t="array" ref="J218">IFERROR(INDEX(_xlfn.TEXTSPLIT(_xlfn.XLOOKUP($A218&amp;$B218&amp;$C218,盘货信息!$A:$A&amp;盘货信息!$B:$B&amp;盘货信息!$C:$C,盘货信息!$S:$S),CHAR(10),,TRUE),1,COLUMN(A217)),"")</f>
        <v/>
      </c>
      <c r="K218" s="18" t="str" cm="1">
        <f t="array" ref="K218">IFERROR(INDEX(_xlfn.TEXTSPLIT(_xlfn.XLOOKUP($A218&amp;$B218&amp;$C218,盘货信息!$A:$A&amp;盘货信息!$B:$B&amp;盘货信息!$C:$C,盘货信息!$S:$S),CHAR(10),,TRUE),1,COLUMN(B217)),"")</f>
        <v/>
      </c>
      <c r="L218" s="18" t="str" cm="1">
        <f t="array" ref="L218">IFERROR(INDEX(_xlfn.TEXTSPLIT(_xlfn.XLOOKUP($A218&amp;$B218&amp;$C218,盘货信息!$A:$A&amp;盘货信息!$B:$B&amp;盘货信息!$C:$C,盘货信息!$S:$S),CHAR(10),,TRUE),1,COLUMN(C217)),"")</f>
        <v/>
      </c>
      <c r="M218" s="18" t="str" cm="1">
        <f t="array" ref="M218">IFERROR(INDEX(_xlfn.TEXTSPLIT(_xlfn.XLOOKUP($A218&amp;$B218&amp;$C218,盘货信息!$A:$A&amp;盘货信息!$B:$B&amp;盘货信息!$C:$C,盘货信息!$S:$S),CHAR(10),,TRUE),1,COLUMN(D217)),"")</f>
        <v/>
      </c>
      <c r="N218" s="18" t="str" cm="1">
        <f t="array" ref="N218">IFERROR(INDEX(_xlfn.TEXTSPLIT(_xlfn.XLOOKUP($A218&amp;$B218&amp;$C218,盘货信息!$A:$A&amp;盘货信息!$B:$B&amp;盘货信息!$C:$C,盘货信息!$S:$S),CHAR(10),,TRUE),1,COLUMN(E217)),"")</f>
        <v/>
      </c>
    </row>
    <row r="219" customHeight="1" spans="1:14">
      <c r="A219" s="17" t="str">
        <f>IF(盘货信息!A219="","",盘货信息!A219)</f>
        <v/>
      </c>
      <c r="B219" s="17" t="str">
        <f>IF(盘货信息!B219="","",盘货信息!B219)</f>
        <v/>
      </c>
      <c r="C219" s="18" t="str">
        <f>IF(盘货信息!C219="","",盘货信息!C219)</f>
        <v/>
      </c>
      <c r="D219" s="18" t="str">
        <f t="shared" si="3"/>
        <v/>
      </c>
      <c r="E219" s="18" t="str">
        <f>_xlfn.LET(_xlpm.A,IF(ISNUMBER(SEARCH("晒单",J219)),"【晒单】"&amp;MID(J219,SEARCH("晒单",J219)+LEN("晒单"),LEN(J219))&amp;"（需晒单后联系客服登记）",IF(ISNUMBER(SEARCH("包修",J219)),"【购机】"&amp;MID(J219,SEARCH("购机",J219)+LEN("购机"),LEN(J219)),IF(ISNUMBER(SEARCH("叠放支架",J219)),"【赠品】"&amp;MID(J219,SEARCH("购机",J219)+LEN("购机"),LEN(J219)),IF(ISNUMBER(SEARCH("秀图",J219)),"【秀图】"&amp;MID(J219,SEARCH("秀图",J219)+LEN("秀图"),LEN(J219)),"")))),IFERROR(LEFT(_xlpm.A,FIND("【",_xlpm.A,FIND("】",_xlpm.A)+1)-1)&amp;MID(_xlpm.A,FIND("】",_xlpm.A,FIND("】",_xlpm.A)+1)+1,LEN(_xlpm.A)),_xlpm.A))</f>
        <v/>
      </c>
      <c r="F219" s="18" t="str">
        <f>_xlfn.LET(_xlpm.A,IF(ISNUMBER(SEARCH("晒单",K219)),"【晒单】"&amp;MID(K219,SEARCH("晒单",K219)+LEN("晒单"),LEN(K219))&amp;"（需晒单后联系客服登记）",IF(ISNUMBER(SEARCH("包修",K219)),"【购机】"&amp;MID(K219,SEARCH("购机",K219)+LEN("购机"),LEN(K219)),IF(ISNUMBER(SEARCH("叠放支架",K219)),"【赠品】"&amp;MID(K219,SEARCH("购机",K219)+LEN("购机"),LEN(K219)),IF(ISNUMBER(SEARCH("秀图",K219)),"【秀图】"&amp;MID(K219,SEARCH("秀图",K219)+LEN("秀图"),LEN(K219)),"")))),IFERROR(LEFT(_xlpm.A,FIND("【",_xlpm.A,FIND("】",_xlpm.A)+1)-1)&amp;MID(_xlpm.A,FIND("】",_xlpm.A,FIND("】",_xlpm.A)+1)+1,LEN(_xlpm.A)),_xlpm.A))</f>
        <v/>
      </c>
      <c r="G219" s="18" t="str">
        <f>_xlfn.LET(_xlpm.A,IF(ISNUMBER(SEARCH("晒单",L219)),"【晒单】"&amp;MID(L219,SEARCH("晒单",L219)+LEN("晒单"),LEN(L219))&amp;"（需晒单后联系客服登记）",IF(ISNUMBER(SEARCH("包修",L219)),"【购机】"&amp;MID(L219,SEARCH("购机",L219)+LEN("购机"),LEN(L219)),IF(ISNUMBER(SEARCH("叠放支架",L219)),"【赠品】"&amp;MID(L219,SEARCH("购机",L219)+LEN("购机"),LEN(L219)),IF(ISNUMBER(SEARCH("秀图",L219)),"【秀图】"&amp;MID(L219,SEARCH("秀图",L219)+LEN("秀图"),LEN(L219)),"")))),IFERROR(LEFT(_xlpm.A,FIND("【",_xlpm.A,FIND("】",_xlpm.A)+1)-1)&amp;MID(_xlpm.A,FIND("】",_xlpm.A,FIND("】",_xlpm.A)+1)+1,LEN(_xlpm.A)),_xlpm.A))</f>
        <v/>
      </c>
      <c r="H219" s="18" t="str">
        <f>_xlfn.LET(_xlpm.A,IF(ISNUMBER(SEARCH("晒单",M219)),"【晒单】"&amp;MID(M219,SEARCH("晒单",M219)+LEN("晒单"),LEN(M219))&amp;"（需晒单后联系客服登记）",IF(ISNUMBER(SEARCH("包修",M219)),"【购机】"&amp;MID(M219,SEARCH("购机",M219)+LEN("购机"),LEN(M219)),IF(ISNUMBER(SEARCH("叠放支架",M219)),"【赠品】"&amp;MID(M219,SEARCH("购机",M219)+LEN("购机"),LEN(M219)),IF(ISNUMBER(SEARCH("秀图",M219)),"【秀图】"&amp;MID(M219,SEARCH("秀图",M219)+LEN("秀图"),LEN(M219)),"")))),IFERROR(LEFT(_xlpm.A,FIND("【",_xlpm.A,FIND("】",_xlpm.A)+1)-1)&amp;MID(_xlpm.A,FIND("】",_xlpm.A,FIND("】",_xlpm.A)+1)+1,LEN(_xlpm.A)),_xlpm.A))</f>
        <v/>
      </c>
      <c r="I219" s="18" t="str">
        <f>_xlfn.LET(_xlpm.A,IF(ISNUMBER(SEARCH("晒单",N219)),"【晒单】"&amp;MID(N219,SEARCH("晒单",N219)+LEN("晒单"),LEN(N219))&amp;"（需晒单后联系客服登记）",IF(ISNUMBER(SEARCH("包修",N219)),"【购机】"&amp;MID(N219,SEARCH("购机",N219)+LEN("购机"),LEN(N219)),IF(ISNUMBER(SEARCH("叠放支架",N219)),"【赠品】"&amp;MID(N219,SEARCH("购机",N219)+LEN("购机"),LEN(N219)),IF(ISNUMBER(SEARCH("秀图",N219)),"【秀图】"&amp;MID(N219,SEARCH("秀图",N219)+LEN("秀图"),LEN(N219)),"")))),IFERROR(LEFT(_xlpm.A,FIND("【",_xlpm.A,FIND("】",_xlpm.A)+1)-1)&amp;MID(_xlpm.A,FIND("】",_xlpm.A,FIND("】",_xlpm.A)+1)+1,LEN(_xlpm.A)),_xlpm.A))</f>
        <v/>
      </c>
      <c r="J219" s="18" t="str" cm="1">
        <f t="array" ref="J219">IFERROR(INDEX(_xlfn.TEXTSPLIT(_xlfn.XLOOKUP($A219&amp;$B219&amp;$C219,盘货信息!$A:$A&amp;盘货信息!$B:$B&amp;盘货信息!$C:$C,盘货信息!$S:$S),CHAR(10),,TRUE),1,COLUMN(A218)),"")</f>
        <v/>
      </c>
      <c r="K219" s="18" t="str" cm="1">
        <f t="array" ref="K219">IFERROR(INDEX(_xlfn.TEXTSPLIT(_xlfn.XLOOKUP($A219&amp;$B219&amp;$C219,盘货信息!$A:$A&amp;盘货信息!$B:$B&amp;盘货信息!$C:$C,盘货信息!$S:$S),CHAR(10),,TRUE),1,COLUMN(B218)),"")</f>
        <v/>
      </c>
      <c r="L219" s="18" t="str" cm="1">
        <f t="array" ref="L219">IFERROR(INDEX(_xlfn.TEXTSPLIT(_xlfn.XLOOKUP($A219&amp;$B219&amp;$C219,盘货信息!$A:$A&amp;盘货信息!$B:$B&amp;盘货信息!$C:$C,盘货信息!$S:$S),CHAR(10),,TRUE),1,COLUMN(C218)),"")</f>
        <v/>
      </c>
      <c r="M219" s="18" t="str" cm="1">
        <f t="array" ref="M219">IFERROR(INDEX(_xlfn.TEXTSPLIT(_xlfn.XLOOKUP($A219&amp;$B219&amp;$C219,盘货信息!$A:$A&amp;盘货信息!$B:$B&amp;盘货信息!$C:$C,盘货信息!$S:$S),CHAR(10),,TRUE),1,COLUMN(D218)),"")</f>
        <v/>
      </c>
      <c r="N219" s="18" t="str" cm="1">
        <f t="array" ref="N219">IFERROR(INDEX(_xlfn.TEXTSPLIT(_xlfn.XLOOKUP($A219&amp;$B219&amp;$C219,盘货信息!$A:$A&amp;盘货信息!$B:$B&amp;盘货信息!$C:$C,盘货信息!$S:$S),CHAR(10),,TRUE),1,COLUMN(E218)),"")</f>
        <v/>
      </c>
    </row>
    <row r="220" customHeight="1" spans="1:14">
      <c r="A220" s="17" t="str">
        <f>IF(盘货信息!A220="","",盘货信息!A220)</f>
        <v/>
      </c>
      <c r="B220" s="17" t="str">
        <f>IF(盘货信息!B220="","",盘货信息!B220)</f>
        <v/>
      </c>
      <c r="C220" s="18" t="str">
        <f>IF(盘货信息!C220="","",盘货信息!C220)</f>
        <v/>
      </c>
      <c r="D220" s="18" t="str">
        <f t="shared" si="3"/>
        <v/>
      </c>
      <c r="E220" s="18" t="str">
        <f>_xlfn.LET(_xlpm.A,IF(ISNUMBER(SEARCH("晒单",J220)),"【晒单】"&amp;MID(J220,SEARCH("晒单",J220)+LEN("晒单"),LEN(J220))&amp;"（需晒单后联系客服登记）",IF(ISNUMBER(SEARCH("包修",J220)),"【购机】"&amp;MID(J220,SEARCH("购机",J220)+LEN("购机"),LEN(J220)),IF(ISNUMBER(SEARCH("叠放支架",J220)),"【赠品】"&amp;MID(J220,SEARCH("购机",J220)+LEN("购机"),LEN(J220)),IF(ISNUMBER(SEARCH("秀图",J220)),"【秀图】"&amp;MID(J220,SEARCH("秀图",J220)+LEN("秀图"),LEN(J220)),"")))),IFERROR(LEFT(_xlpm.A,FIND("【",_xlpm.A,FIND("】",_xlpm.A)+1)-1)&amp;MID(_xlpm.A,FIND("】",_xlpm.A,FIND("】",_xlpm.A)+1)+1,LEN(_xlpm.A)),_xlpm.A))</f>
        <v/>
      </c>
      <c r="F220" s="18" t="str">
        <f>_xlfn.LET(_xlpm.A,IF(ISNUMBER(SEARCH("晒单",K220)),"【晒单】"&amp;MID(K220,SEARCH("晒单",K220)+LEN("晒单"),LEN(K220))&amp;"（需晒单后联系客服登记）",IF(ISNUMBER(SEARCH("包修",K220)),"【购机】"&amp;MID(K220,SEARCH("购机",K220)+LEN("购机"),LEN(K220)),IF(ISNUMBER(SEARCH("叠放支架",K220)),"【赠品】"&amp;MID(K220,SEARCH("购机",K220)+LEN("购机"),LEN(K220)),IF(ISNUMBER(SEARCH("秀图",K220)),"【秀图】"&amp;MID(K220,SEARCH("秀图",K220)+LEN("秀图"),LEN(K220)),"")))),IFERROR(LEFT(_xlpm.A,FIND("【",_xlpm.A,FIND("】",_xlpm.A)+1)-1)&amp;MID(_xlpm.A,FIND("】",_xlpm.A,FIND("】",_xlpm.A)+1)+1,LEN(_xlpm.A)),_xlpm.A))</f>
        <v/>
      </c>
      <c r="G220" s="18" t="str">
        <f>_xlfn.LET(_xlpm.A,IF(ISNUMBER(SEARCH("晒单",L220)),"【晒单】"&amp;MID(L220,SEARCH("晒单",L220)+LEN("晒单"),LEN(L220))&amp;"（需晒单后联系客服登记）",IF(ISNUMBER(SEARCH("包修",L220)),"【购机】"&amp;MID(L220,SEARCH("购机",L220)+LEN("购机"),LEN(L220)),IF(ISNUMBER(SEARCH("叠放支架",L220)),"【赠品】"&amp;MID(L220,SEARCH("购机",L220)+LEN("购机"),LEN(L220)),IF(ISNUMBER(SEARCH("秀图",L220)),"【秀图】"&amp;MID(L220,SEARCH("秀图",L220)+LEN("秀图"),LEN(L220)),"")))),IFERROR(LEFT(_xlpm.A,FIND("【",_xlpm.A,FIND("】",_xlpm.A)+1)-1)&amp;MID(_xlpm.A,FIND("】",_xlpm.A,FIND("】",_xlpm.A)+1)+1,LEN(_xlpm.A)),_xlpm.A))</f>
        <v/>
      </c>
      <c r="H220" s="18" t="str">
        <f>_xlfn.LET(_xlpm.A,IF(ISNUMBER(SEARCH("晒单",M220)),"【晒单】"&amp;MID(M220,SEARCH("晒单",M220)+LEN("晒单"),LEN(M220))&amp;"（需晒单后联系客服登记）",IF(ISNUMBER(SEARCH("包修",M220)),"【购机】"&amp;MID(M220,SEARCH("购机",M220)+LEN("购机"),LEN(M220)),IF(ISNUMBER(SEARCH("叠放支架",M220)),"【赠品】"&amp;MID(M220,SEARCH("购机",M220)+LEN("购机"),LEN(M220)),IF(ISNUMBER(SEARCH("秀图",M220)),"【秀图】"&amp;MID(M220,SEARCH("秀图",M220)+LEN("秀图"),LEN(M220)),"")))),IFERROR(LEFT(_xlpm.A,FIND("【",_xlpm.A,FIND("】",_xlpm.A)+1)-1)&amp;MID(_xlpm.A,FIND("】",_xlpm.A,FIND("】",_xlpm.A)+1)+1,LEN(_xlpm.A)),_xlpm.A))</f>
        <v/>
      </c>
      <c r="I220" s="18" t="str">
        <f>_xlfn.LET(_xlpm.A,IF(ISNUMBER(SEARCH("晒单",N220)),"【晒单】"&amp;MID(N220,SEARCH("晒单",N220)+LEN("晒单"),LEN(N220))&amp;"（需晒单后联系客服登记）",IF(ISNUMBER(SEARCH("包修",N220)),"【购机】"&amp;MID(N220,SEARCH("购机",N220)+LEN("购机"),LEN(N220)),IF(ISNUMBER(SEARCH("叠放支架",N220)),"【赠品】"&amp;MID(N220,SEARCH("购机",N220)+LEN("购机"),LEN(N220)),IF(ISNUMBER(SEARCH("秀图",N220)),"【秀图】"&amp;MID(N220,SEARCH("秀图",N220)+LEN("秀图"),LEN(N220)),"")))),IFERROR(LEFT(_xlpm.A,FIND("【",_xlpm.A,FIND("】",_xlpm.A)+1)-1)&amp;MID(_xlpm.A,FIND("】",_xlpm.A,FIND("】",_xlpm.A)+1)+1,LEN(_xlpm.A)),_xlpm.A))</f>
        <v/>
      </c>
      <c r="J220" s="18" t="str" cm="1">
        <f t="array" ref="J220">IFERROR(INDEX(_xlfn.TEXTSPLIT(_xlfn.XLOOKUP($A220&amp;$B220&amp;$C220,盘货信息!$A:$A&amp;盘货信息!$B:$B&amp;盘货信息!$C:$C,盘货信息!$S:$S),CHAR(10),,TRUE),1,COLUMN(A219)),"")</f>
        <v/>
      </c>
      <c r="K220" s="18" t="str" cm="1">
        <f t="array" ref="K220">IFERROR(INDEX(_xlfn.TEXTSPLIT(_xlfn.XLOOKUP($A220&amp;$B220&amp;$C220,盘货信息!$A:$A&amp;盘货信息!$B:$B&amp;盘货信息!$C:$C,盘货信息!$S:$S),CHAR(10),,TRUE),1,COLUMN(B219)),"")</f>
        <v/>
      </c>
      <c r="L220" s="18" t="str" cm="1">
        <f t="array" ref="L220">IFERROR(INDEX(_xlfn.TEXTSPLIT(_xlfn.XLOOKUP($A220&amp;$B220&amp;$C220,盘货信息!$A:$A&amp;盘货信息!$B:$B&amp;盘货信息!$C:$C,盘货信息!$S:$S),CHAR(10),,TRUE),1,COLUMN(C219)),"")</f>
        <v/>
      </c>
      <c r="M220" s="18" t="str" cm="1">
        <f t="array" ref="M220">IFERROR(INDEX(_xlfn.TEXTSPLIT(_xlfn.XLOOKUP($A220&amp;$B220&amp;$C220,盘货信息!$A:$A&amp;盘货信息!$B:$B&amp;盘货信息!$C:$C,盘货信息!$S:$S),CHAR(10),,TRUE),1,COLUMN(D219)),"")</f>
        <v/>
      </c>
      <c r="N220" s="18" t="str" cm="1">
        <f t="array" ref="N220">IFERROR(INDEX(_xlfn.TEXTSPLIT(_xlfn.XLOOKUP($A220&amp;$B220&amp;$C220,盘货信息!$A:$A&amp;盘货信息!$B:$B&amp;盘货信息!$C:$C,盘货信息!$S:$S),CHAR(10),,TRUE),1,COLUMN(E219)),"")</f>
        <v/>
      </c>
    </row>
    <row r="221" customHeight="1" spans="1:14">
      <c r="A221" s="17" t="str">
        <f>IF(盘货信息!A221="","",盘货信息!A221)</f>
        <v/>
      </c>
      <c r="B221" s="17" t="str">
        <f>IF(盘货信息!B221="","",盘货信息!B221)</f>
        <v/>
      </c>
      <c r="C221" s="18" t="str">
        <f>IF(盘货信息!C221="","",盘货信息!C221)</f>
        <v/>
      </c>
      <c r="D221" s="18" t="str">
        <f t="shared" si="3"/>
        <v/>
      </c>
      <c r="E221" s="18" t="str">
        <f>_xlfn.LET(_xlpm.A,IF(ISNUMBER(SEARCH("晒单",J221)),"【晒单】"&amp;MID(J221,SEARCH("晒单",J221)+LEN("晒单"),LEN(J221))&amp;"（需晒单后联系客服登记）",IF(ISNUMBER(SEARCH("包修",J221)),"【购机】"&amp;MID(J221,SEARCH("购机",J221)+LEN("购机"),LEN(J221)),IF(ISNUMBER(SEARCH("叠放支架",J221)),"【赠品】"&amp;MID(J221,SEARCH("购机",J221)+LEN("购机"),LEN(J221)),IF(ISNUMBER(SEARCH("秀图",J221)),"【秀图】"&amp;MID(J221,SEARCH("秀图",J221)+LEN("秀图"),LEN(J221)),"")))),IFERROR(LEFT(_xlpm.A,FIND("【",_xlpm.A,FIND("】",_xlpm.A)+1)-1)&amp;MID(_xlpm.A,FIND("】",_xlpm.A,FIND("】",_xlpm.A)+1)+1,LEN(_xlpm.A)),_xlpm.A))</f>
        <v/>
      </c>
      <c r="F221" s="18" t="str">
        <f>_xlfn.LET(_xlpm.A,IF(ISNUMBER(SEARCH("晒单",K221)),"【晒单】"&amp;MID(K221,SEARCH("晒单",K221)+LEN("晒单"),LEN(K221))&amp;"（需晒单后联系客服登记）",IF(ISNUMBER(SEARCH("包修",K221)),"【购机】"&amp;MID(K221,SEARCH("购机",K221)+LEN("购机"),LEN(K221)),IF(ISNUMBER(SEARCH("叠放支架",K221)),"【赠品】"&amp;MID(K221,SEARCH("购机",K221)+LEN("购机"),LEN(K221)),IF(ISNUMBER(SEARCH("秀图",K221)),"【秀图】"&amp;MID(K221,SEARCH("秀图",K221)+LEN("秀图"),LEN(K221)),"")))),IFERROR(LEFT(_xlpm.A,FIND("【",_xlpm.A,FIND("】",_xlpm.A)+1)-1)&amp;MID(_xlpm.A,FIND("】",_xlpm.A,FIND("】",_xlpm.A)+1)+1,LEN(_xlpm.A)),_xlpm.A))</f>
        <v/>
      </c>
      <c r="G221" s="18" t="str">
        <f>_xlfn.LET(_xlpm.A,IF(ISNUMBER(SEARCH("晒单",L221)),"【晒单】"&amp;MID(L221,SEARCH("晒单",L221)+LEN("晒单"),LEN(L221))&amp;"（需晒单后联系客服登记）",IF(ISNUMBER(SEARCH("包修",L221)),"【购机】"&amp;MID(L221,SEARCH("购机",L221)+LEN("购机"),LEN(L221)),IF(ISNUMBER(SEARCH("叠放支架",L221)),"【赠品】"&amp;MID(L221,SEARCH("购机",L221)+LEN("购机"),LEN(L221)),IF(ISNUMBER(SEARCH("秀图",L221)),"【秀图】"&amp;MID(L221,SEARCH("秀图",L221)+LEN("秀图"),LEN(L221)),"")))),IFERROR(LEFT(_xlpm.A,FIND("【",_xlpm.A,FIND("】",_xlpm.A)+1)-1)&amp;MID(_xlpm.A,FIND("】",_xlpm.A,FIND("】",_xlpm.A)+1)+1,LEN(_xlpm.A)),_xlpm.A))</f>
        <v/>
      </c>
      <c r="H221" s="18" t="str">
        <f>_xlfn.LET(_xlpm.A,IF(ISNUMBER(SEARCH("晒单",M221)),"【晒单】"&amp;MID(M221,SEARCH("晒单",M221)+LEN("晒单"),LEN(M221))&amp;"（需晒单后联系客服登记）",IF(ISNUMBER(SEARCH("包修",M221)),"【购机】"&amp;MID(M221,SEARCH("购机",M221)+LEN("购机"),LEN(M221)),IF(ISNUMBER(SEARCH("叠放支架",M221)),"【赠品】"&amp;MID(M221,SEARCH("购机",M221)+LEN("购机"),LEN(M221)),IF(ISNUMBER(SEARCH("秀图",M221)),"【秀图】"&amp;MID(M221,SEARCH("秀图",M221)+LEN("秀图"),LEN(M221)),"")))),IFERROR(LEFT(_xlpm.A,FIND("【",_xlpm.A,FIND("】",_xlpm.A)+1)-1)&amp;MID(_xlpm.A,FIND("】",_xlpm.A,FIND("】",_xlpm.A)+1)+1,LEN(_xlpm.A)),_xlpm.A))</f>
        <v/>
      </c>
      <c r="I221" s="18" t="str">
        <f>_xlfn.LET(_xlpm.A,IF(ISNUMBER(SEARCH("晒单",N221)),"【晒单】"&amp;MID(N221,SEARCH("晒单",N221)+LEN("晒单"),LEN(N221))&amp;"（需晒单后联系客服登记）",IF(ISNUMBER(SEARCH("包修",N221)),"【购机】"&amp;MID(N221,SEARCH("购机",N221)+LEN("购机"),LEN(N221)),IF(ISNUMBER(SEARCH("叠放支架",N221)),"【赠品】"&amp;MID(N221,SEARCH("购机",N221)+LEN("购机"),LEN(N221)),IF(ISNUMBER(SEARCH("秀图",N221)),"【秀图】"&amp;MID(N221,SEARCH("秀图",N221)+LEN("秀图"),LEN(N221)),"")))),IFERROR(LEFT(_xlpm.A,FIND("【",_xlpm.A,FIND("】",_xlpm.A)+1)-1)&amp;MID(_xlpm.A,FIND("】",_xlpm.A,FIND("】",_xlpm.A)+1)+1,LEN(_xlpm.A)),_xlpm.A))</f>
        <v/>
      </c>
      <c r="J221" s="18" t="str" cm="1">
        <f t="array" ref="J221">IFERROR(INDEX(_xlfn.TEXTSPLIT(_xlfn.XLOOKUP($A221&amp;$B221&amp;$C221,盘货信息!$A:$A&amp;盘货信息!$B:$B&amp;盘货信息!$C:$C,盘货信息!$S:$S),CHAR(10),,TRUE),1,COLUMN(A220)),"")</f>
        <v/>
      </c>
      <c r="K221" s="18" t="str" cm="1">
        <f t="array" ref="K221">IFERROR(INDEX(_xlfn.TEXTSPLIT(_xlfn.XLOOKUP($A221&amp;$B221&amp;$C221,盘货信息!$A:$A&amp;盘货信息!$B:$B&amp;盘货信息!$C:$C,盘货信息!$S:$S),CHAR(10),,TRUE),1,COLUMN(B220)),"")</f>
        <v/>
      </c>
      <c r="L221" s="18" t="str" cm="1">
        <f t="array" ref="L221">IFERROR(INDEX(_xlfn.TEXTSPLIT(_xlfn.XLOOKUP($A221&amp;$B221&amp;$C221,盘货信息!$A:$A&amp;盘货信息!$B:$B&amp;盘货信息!$C:$C,盘货信息!$S:$S),CHAR(10),,TRUE),1,COLUMN(C220)),"")</f>
        <v/>
      </c>
      <c r="M221" s="18" t="str" cm="1">
        <f t="array" ref="M221">IFERROR(INDEX(_xlfn.TEXTSPLIT(_xlfn.XLOOKUP($A221&amp;$B221&amp;$C221,盘货信息!$A:$A&amp;盘货信息!$B:$B&amp;盘货信息!$C:$C,盘货信息!$S:$S),CHAR(10),,TRUE),1,COLUMN(D220)),"")</f>
        <v/>
      </c>
      <c r="N221" s="18" t="str" cm="1">
        <f t="array" ref="N221">IFERROR(INDEX(_xlfn.TEXTSPLIT(_xlfn.XLOOKUP($A221&amp;$B221&amp;$C221,盘货信息!$A:$A&amp;盘货信息!$B:$B&amp;盘货信息!$C:$C,盘货信息!$S:$S),CHAR(10),,TRUE),1,COLUMN(E220)),"")</f>
        <v/>
      </c>
    </row>
    <row r="222" customHeight="1" spans="1:14">
      <c r="A222" s="17" t="str">
        <f>IF(盘货信息!A222="","",盘货信息!A222)</f>
        <v/>
      </c>
      <c r="B222" s="17" t="str">
        <f>IF(盘货信息!B222="","",盘货信息!B222)</f>
        <v/>
      </c>
      <c r="C222" s="18" t="str">
        <f>IF(盘货信息!C222="","",盘货信息!C222)</f>
        <v/>
      </c>
      <c r="D222" s="18" t="str">
        <f t="shared" si="3"/>
        <v/>
      </c>
      <c r="E222" s="18" t="str">
        <f>_xlfn.LET(_xlpm.A,IF(ISNUMBER(SEARCH("晒单",J222)),"【晒单】"&amp;MID(J222,SEARCH("晒单",J222)+LEN("晒单"),LEN(J222))&amp;"（需晒单后联系客服登记）",IF(ISNUMBER(SEARCH("包修",J222)),"【购机】"&amp;MID(J222,SEARCH("购机",J222)+LEN("购机"),LEN(J222)),IF(ISNUMBER(SEARCH("叠放支架",J222)),"【赠品】"&amp;MID(J222,SEARCH("购机",J222)+LEN("购机"),LEN(J222)),IF(ISNUMBER(SEARCH("秀图",J222)),"【秀图】"&amp;MID(J222,SEARCH("秀图",J222)+LEN("秀图"),LEN(J222)),"")))),IFERROR(LEFT(_xlpm.A,FIND("【",_xlpm.A,FIND("】",_xlpm.A)+1)-1)&amp;MID(_xlpm.A,FIND("】",_xlpm.A,FIND("】",_xlpm.A)+1)+1,LEN(_xlpm.A)),_xlpm.A))</f>
        <v/>
      </c>
      <c r="F222" s="18" t="str">
        <f>_xlfn.LET(_xlpm.A,IF(ISNUMBER(SEARCH("晒单",K222)),"【晒单】"&amp;MID(K222,SEARCH("晒单",K222)+LEN("晒单"),LEN(K222))&amp;"（需晒单后联系客服登记）",IF(ISNUMBER(SEARCH("包修",K222)),"【购机】"&amp;MID(K222,SEARCH("购机",K222)+LEN("购机"),LEN(K222)),IF(ISNUMBER(SEARCH("叠放支架",K222)),"【赠品】"&amp;MID(K222,SEARCH("购机",K222)+LEN("购机"),LEN(K222)),IF(ISNUMBER(SEARCH("秀图",K222)),"【秀图】"&amp;MID(K222,SEARCH("秀图",K222)+LEN("秀图"),LEN(K222)),"")))),IFERROR(LEFT(_xlpm.A,FIND("【",_xlpm.A,FIND("】",_xlpm.A)+1)-1)&amp;MID(_xlpm.A,FIND("】",_xlpm.A,FIND("】",_xlpm.A)+1)+1,LEN(_xlpm.A)),_xlpm.A))</f>
        <v/>
      </c>
      <c r="G222" s="18" t="str">
        <f>_xlfn.LET(_xlpm.A,IF(ISNUMBER(SEARCH("晒单",L222)),"【晒单】"&amp;MID(L222,SEARCH("晒单",L222)+LEN("晒单"),LEN(L222))&amp;"（需晒单后联系客服登记）",IF(ISNUMBER(SEARCH("包修",L222)),"【购机】"&amp;MID(L222,SEARCH("购机",L222)+LEN("购机"),LEN(L222)),IF(ISNUMBER(SEARCH("叠放支架",L222)),"【赠品】"&amp;MID(L222,SEARCH("购机",L222)+LEN("购机"),LEN(L222)),IF(ISNUMBER(SEARCH("秀图",L222)),"【秀图】"&amp;MID(L222,SEARCH("秀图",L222)+LEN("秀图"),LEN(L222)),"")))),IFERROR(LEFT(_xlpm.A,FIND("【",_xlpm.A,FIND("】",_xlpm.A)+1)-1)&amp;MID(_xlpm.A,FIND("】",_xlpm.A,FIND("】",_xlpm.A)+1)+1,LEN(_xlpm.A)),_xlpm.A))</f>
        <v/>
      </c>
      <c r="H222" s="18" t="str">
        <f>_xlfn.LET(_xlpm.A,IF(ISNUMBER(SEARCH("晒单",M222)),"【晒单】"&amp;MID(M222,SEARCH("晒单",M222)+LEN("晒单"),LEN(M222))&amp;"（需晒单后联系客服登记）",IF(ISNUMBER(SEARCH("包修",M222)),"【购机】"&amp;MID(M222,SEARCH("购机",M222)+LEN("购机"),LEN(M222)),IF(ISNUMBER(SEARCH("叠放支架",M222)),"【赠品】"&amp;MID(M222,SEARCH("购机",M222)+LEN("购机"),LEN(M222)),IF(ISNUMBER(SEARCH("秀图",M222)),"【秀图】"&amp;MID(M222,SEARCH("秀图",M222)+LEN("秀图"),LEN(M222)),"")))),IFERROR(LEFT(_xlpm.A,FIND("【",_xlpm.A,FIND("】",_xlpm.A)+1)-1)&amp;MID(_xlpm.A,FIND("】",_xlpm.A,FIND("】",_xlpm.A)+1)+1,LEN(_xlpm.A)),_xlpm.A))</f>
        <v/>
      </c>
      <c r="I222" s="18" t="str">
        <f>_xlfn.LET(_xlpm.A,IF(ISNUMBER(SEARCH("晒单",N222)),"【晒单】"&amp;MID(N222,SEARCH("晒单",N222)+LEN("晒单"),LEN(N222))&amp;"（需晒单后联系客服登记）",IF(ISNUMBER(SEARCH("包修",N222)),"【购机】"&amp;MID(N222,SEARCH("购机",N222)+LEN("购机"),LEN(N222)),IF(ISNUMBER(SEARCH("叠放支架",N222)),"【赠品】"&amp;MID(N222,SEARCH("购机",N222)+LEN("购机"),LEN(N222)),IF(ISNUMBER(SEARCH("秀图",N222)),"【秀图】"&amp;MID(N222,SEARCH("秀图",N222)+LEN("秀图"),LEN(N222)),"")))),IFERROR(LEFT(_xlpm.A,FIND("【",_xlpm.A,FIND("】",_xlpm.A)+1)-1)&amp;MID(_xlpm.A,FIND("】",_xlpm.A,FIND("】",_xlpm.A)+1)+1,LEN(_xlpm.A)),_xlpm.A))</f>
        <v/>
      </c>
      <c r="J222" s="18" t="str" cm="1">
        <f t="array" ref="J222">IFERROR(INDEX(_xlfn.TEXTSPLIT(_xlfn.XLOOKUP($A222&amp;$B222&amp;$C222,盘货信息!$A:$A&amp;盘货信息!$B:$B&amp;盘货信息!$C:$C,盘货信息!$S:$S),CHAR(10),,TRUE),1,COLUMN(A221)),"")</f>
        <v/>
      </c>
      <c r="K222" s="18" t="str" cm="1">
        <f t="array" ref="K222">IFERROR(INDEX(_xlfn.TEXTSPLIT(_xlfn.XLOOKUP($A222&amp;$B222&amp;$C222,盘货信息!$A:$A&amp;盘货信息!$B:$B&amp;盘货信息!$C:$C,盘货信息!$S:$S),CHAR(10),,TRUE),1,COLUMN(B221)),"")</f>
        <v/>
      </c>
      <c r="L222" s="18" t="str" cm="1">
        <f t="array" ref="L222">IFERROR(INDEX(_xlfn.TEXTSPLIT(_xlfn.XLOOKUP($A222&amp;$B222&amp;$C222,盘货信息!$A:$A&amp;盘货信息!$B:$B&amp;盘货信息!$C:$C,盘货信息!$S:$S),CHAR(10),,TRUE),1,COLUMN(C221)),"")</f>
        <v/>
      </c>
      <c r="M222" s="18" t="str" cm="1">
        <f t="array" ref="M222">IFERROR(INDEX(_xlfn.TEXTSPLIT(_xlfn.XLOOKUP($A222&amp;$B222&amp;$C222,盘货信息!$A:$A&amp;盘货信息!$B:$B&amp;盘货信息!$C:$C,盘货信息!$S:$S),CHAR(10),,TRUE),1,COLUMN(D221)),"")</f>
        <v/>
      </c>
      <c r="N222" s="18" t="str" cm="1">
        <f t="array" ref="N222">IFERROR(INDEX(_xlfn.TEXTSPLIT(_xlfn.XLOOKUP($A222&amp;$B222&amp;$C222,盘货信息!$A:$A&amp;盘货信息!$B:$B&amp;盘货信息!$C:$C,盘货信息!$S:$S),CHAR(10),,TRUE),1,COLUMN(E221)),"")</f>
        <v/>
      </c>
    </row>
    <row r="223" customHeight="1" spans="1:14">
      <c r="A223" s="17" t="str">
        <f>IF(盘货信息!A223="","",盘货信息!A223)</f>
        <v/>
      </c>
      <c r="B223" s="17" t="str">
        <f>IF(盘货信息!B223="","",盘货信息!B223)</f>
        <v/>
      </c>
      <c r="C223" s="18" t="str">
        <f>IF(盘货信息!C223="","",盘货信息!C223)</f>
        <v/>
      </c>
      <c r="D223" s="18" t="str">
        <f t="shared" si="3"/>
        <v/>
      </c>
      <c r="E223" s="18" t="str">
        <f>_xlfn.LET(_xlpm.A,IF(ISNUMBER(SEARCH("晒单",J223)),"【晒单】"&amp;MID(J223,SEARCH("晒单",J223)+LEN("晒单"),LEN(J223))&amp;"（需晒单后联系客服登记）",IF(ISNUMBER(SEARCH("包修",J223)),"【购机】"&amp;MID(J223,SEARCH("购机",J223)+LEN("购机"),LEN(J223)),IF(ISNUMBER(SEARCH("叠放支架",J223)),"【赠品】"&amp;MID(J223,SEARCH("购机",J223)+LEN("购机"),LEN(J223)),IF(ISNUMBER(SEARCH("秀图",J223)),"【秀图】"&amp;MID(J223,SEARCH("秀图",J223)+LEN("秀图"),LEN(J223)),"")))),IFERROR(LEFT(_xlpm.A,FIND("【",_xlpm.A,FIND("】",_xlpm.A)+1)-1)&amp;MID(_xlpm.A,FIND("】",_xlpm.A,FIND("】",_xlpm.A)+1)+1,LEN(_xlpm.A)),_xlpm.A))</f>
        <v/>
      </c>
      <c r="F223" s="18" t="str">
        <f>_xlfn.LET(_xlpm.A,IF(ISNUMBER(SEARCH("晒单",K223)),"【晒单】"&amp;MID(K223,SEARCH("晒单",K223)+LEN("晒单"),LEN(K223))&amp;"（需晒单后联系客服登记）",IF(ISNUMBER(SEARCH("包修",K223)),"【购机】"&amp;MID(K223,SEARCH("购机",K223)+LEN("购机"),LEN(K223)),IF(ISNUMBER(SEARCH("叠放支架",K223)),"【赠品】"&amp;MID(K223,SEARCH("购机",K223)+LEN("购机"),LEN(K223)),IF(ISNUMBER(SEARCH("秀图",K223)),"【秀图】"&amp;MID(K223,SEARCH("秀图",K223)+LEN("秀图"),LEN(K223)),"")))),IFERROR(LEFT(_xlpm.A,FIND("【",_xlpm.A,FIND("】",_xlpm.A)+1)-1)&amp;MID(_xlpm.A,FIND("】",_xlpm.A,FIND("】",_xlpm.A)+1)+1,LEN(_xlpm.A)),_xlpm.A))</f>
        <v/>
      </c>
      <c r="G223" s="18" t="str">
        <f>_xlfn.LET(_xlpm.A,IF(ISNUMBER(SEARCH("晒单",L223)),"【晒单】"&amp;MID(L223,SEARCH("晒单",L223)+LEN("晒单"),LEN(L223))&amp;"（需晒单后联系客服登记）",IF(ISNUMBER(SEARCH("包修",L223)),"【购机】"&amp;MID(L223,SEARCH("购机",L223)+LEN("购机"),LEN(L223)),IF(ISNUMBER(SEARCH("叠放支架",L223)),"【赠品】"&amp;MID(L223,SEARCH("购机",L223)+LEN("购机"),LEN(L223)),IF(ISNUMBER(SEARCH("秀图",L223)),"【秀图】"&amp;MID(L223,SEARCH("秀图",L223)+LEN("秀图"),LEN(L223)),"")))),IFERROR(LEFT(_xlpm.A,FIND("【",_xlpm.A,FIND("】",_xlpm.A)+1)-1)&amp;MID(_xlpm.A,FIND("】",_xlpm.A,FIND("】",_xlpm.A)+1)+1,LEN(_xlpm.A)),_xlpm.A))</f>
        <v/>
      </c>
      <c r="H223" s="18" t="str">
        <f>_xlfn.LET(_xlpm.A,IF(ISNUMBER(SEARCH("晒单",M223)),"【晒单】"&amp;MID(M223,SEARCH("晒单",M223)+LEN("晒单"),LEN(M223))&amp;"（需晒单后联系客服登记）",IF(ISNUMBER(SEARCH("包修",M223)),"【购机】"&amp;MID(M223,SEARCH("购机",M223)+LEN("购机"),LEN(M223)),IF(ISNUMBER(SEARCH("叠放支架",M223)),"【赠品】"&amp;MID(M223,SEARCH("购机",M223)+LEN("购机"),LEN(M223)),IF(ISNUMBER(SEARCH("秀图",M223)),"【秀图】"&amp;MID(M223,SEARCH("秀图",M223)+LEN("秀图"),LEN(M223)),"")))),IFERROR(LEFT(_xlpm.A,FIND("【",_xlpm.A,FIND("】",_xlpm.A)+1)-1)&amp;MID(_xlpm.A,FIND("】",_xlpm.A,FIND("】",_xlpm.A)+1)+1,LEN(_xlpm.A)),_xlpm.A))</f>
        <v/>
      </c>
      <c r="I223" s="18" t="str">
        <f>_xlfn.LET(_xlpm.A,IF(ISNUMBER(SEARCH("晒单",N223)),"【晒单】"&amp;MID(N223,SEARCH("晒单",N223)+LEN("晒单"),LEN(N223))&amp;"（需晒单后联系客服登记）",IF(ISNUMBER(SEARCH("包修",N223)),"【购机】"&amp;MID(N223,SEARCH("购机",N223)+LEN("购机"),LEN(N223)),IF(ISNUMBER(SEARCH("叠放支架",N223)),"【赠品】"&amp;MID(N223,SEARCH("购机",N223)+LEN("购机"),LEN(N223)),IF(ISNUMBER(SEARCH("秀图",N223)),"【秀图】"&amp;MID(N223,SEARCH("秀图",N223)+LEN("秀图"),LEN(N223)),"")))),IFERROR(LEFT(_xlpm.A,FIND("【",_xlpm.A,FIND("】",_xlpm.A)+1)-1)&amp;MID(_xlpm.A,FIND("】",_xlpm.A,FIND("】",_xlpm.A)+1)+1,LEN(_xlpm.A)),_xlpm.A))</f>
        <v/>
      </c>
      <c r="J223" s="18" t="str" cm="1">
        <f t="array" ref="J223">IFERROR(INDEX(_xlfn.TEXTSPLIT(_xlfn.XLOOKUP($A223&amp;$B223&amp;$C223,盘货信息!$A:$A&amp;盘货信息!$B:$B&amp;盘货信息!$C:$C,盘货信息!$S:$S),CHAR(10),,TRUE),1,COLUMN(A222)),"")</f>
        <v/>
      </c>
      <c r="K223" s="18" t="str" cm="1">
        <f t="array" ref="K223">IFERROR(INDEX(_xlfn.TEXTSPLIT(_xlfn.XLOOKUP($A223&amp;$B223&amp;$C223,盘货信息!$A:$A&amp;盘货信息!$B:$B&amp;盘货信息!$C:$C,盘货信息!$S:$S),CHAR(10),,TRUE),1,COLUMN(B222)),"")</f>
        <v/>
      </c>
      <c r="L223" s="18" t="str" cm="1">
        <f t="array" ref="L223">IFERROR(INDEX(_xlfn.TEXTSPLIT(_xlfn.XLOOKUP($A223&amp;$B223&amp;$C223,盘货信息!$A:$A&amp;盘货信息!$B:$B&amp;盘货信息!$C:$C,盘货信息!$S:$S),CHAR(10),,TRUE),1,COLUMN(C222)),"")</f>
        <v/>
      </c>
      <c r="M223" s="18" t="str" cm="1">
        <f t="array" ref="M223">IFERROR(INDEX(_xlfn.TEXTSPLIT(_xlfn.XLOOKUP($A223&amp;$B223&amp;$C223,盘货信息!$A:$A&amp;盘货信息!$B:$B&amp;盘货信息!$C:$C,盘货信息!$S:$S),CHAR(10),,TRUE),1,COLUMN(D222)),"")</f>
        <v/>
      </c>
      <c r="N223" s="18" t="str" cm="1">
        <f t="array" ref="N223">IFERROR(INDEX(_xlfn.TEXTSPLIT(_xlfn.XLOOKUP($A223&amp;$B223&amp;$C223,盘货信息!$A:$A&amp;盘货信息!$B:$B&amp;盘货信息!$C:$C,盘货信息!$S:$S),CHAR(10),,TRUE),1,COLUMN(E222)),"")</f>
        <v/>
      </c>
    </row>
    <row r="224" customHeight="1" spans="1:14">
      <c r="A224" s="17" t="str">
        <f>IF(盘货信息!A224="","",盘货信息!A224)</f>
        <v/>
      </c>
      <c r="B224" s="17" t="str">
        <f>IF(盘货信息!B224="","",盘货信息!B224)</f>
        <v/>
      </c>
      <c r="C224" s="18" t="str">
        <f>IF(盘货信息!C224="","",盘货信息!C224)</f>
        <v/>
      </c>
      <c r="D224" s="18" t="str">
        <f t="shared" si="3"/>
        <v/>
      </c>
      <c r="E224" s="18" t="str">
        <f>_xlfn.LET(_xlpm.A,IF(ISNUMBER(SEARCH("晒单",J224)),"【晒单】"&amp;MID(J224,SEARCH("晒单",J224)+LEN("晒单"),LEN(J224))&amp;"（需晒单后联系客服登记）",IF(ISNUMBER(SEARCH("包修",J224)),"【购机】"&amp;MID(J224,SEARCH("购机",J224)+LEN("购机"),LEN(J224)),IF(ISNUMBER(SEARCH("叠放支架",J224)),"【赠品】"&amp;MID(J224,SEARCH("购机",J224)+LEN("购机"),LEN(J224)),IF(ISNUMBER(SEARCH("秀图",J224)),"【秀图】"&amp;MID(J224,SEARCH("秀图",J224)+LEN("秀图"),LEN(J224)),"")))),IFERROR(LEFT(_xlpm.A,FIND("【",_xlpm.A,FIND("】",_xlpm.A)+1)-1)&amp;MID(_xlpm.A,FIND("】",_xlpm.A,FIND("】",_xlpm.A)+1)+1,LEN(_xlpm.A)),_xlpm.A))</f>
        <v/>
      </c>
      <c r="F224" s="18" t="str">
        <f>_xlfn.LET(_xlpm.A,IF(ISNUMBER(SEARCH("晒单",K224)),"【晒单】"&amp;MID(K224,SEARCH("晒单",K224)+LEN("晒单"),LEN(K224))&amp;"（需晒单后联系客服登记）",IF(ISNUMBER(SEARCH("包修",K224)),"【购机】"&amp;MID(K224,SEARCH("购机",K224)+LEN("购机"),LEN(K224)),IF(ISNUMBER(SEARCH("叠放支架",K224)),"【赠品】"&amp;MID(K224,SEARCH("购机",K224)+LEN("购机"),LEN(K224)),IF(ISNUMBER(SEARCH("秀图",K224)),"【秀图】"&amp;MID(K224,SEARCH("秀图",K224)+LEN("秀图"),LEN(K224)),"")))),IFERROR(LEFT(_xlpm.A,FIND("【",_xlpm.A,FIND("】",_xlpm.A)+1)-1)&amp;MID(_xlpm.A,FIND("】",_xlpm.A,FIND("】",_xlpm.A)+1)+1,LEN(_xlpm.A)),_xlpm.A))</f>
        <v/>
      </c>
      <c r="G224" s="18" t="str">
        <f>_xlfn.LET(_xlpm.A,IF(ISNUMBER(SEARCH("晒单",L224)),"【晒单】"&amp;MID(L224,SEARCH("晒单",L224)+LEN("晒单"),LEN(L224))&amp;"（需晒单后联系客服登记）",IF(ISNUMBER(SEARCH("包修",L224)),"【购机】"&amp;MID(L224,SEARCH("购机",L224)+LEN("购机"),LEN(L224)),IF(ISNUMBER(SEARCH("叠放支架",L224)),"【赠品】"&amp;MID(L224,SEARCH("购机",L224)+LEN("购机"),LEN(L224)),IF(ISNUMBER(SEARCH("秀图",L224)),"【秀图】"&amp;MID(L224,SEARCH("秀图",L224)+LEN("秀图"),LEN(L224)),"")))),IFERROR(LEFT(_xlpm.A,FIND("【",_xlpm.A,FIND("】",_xlpm.A)+1)-1)&amp;MID(_xlpm.A,FIND("】",_xlpm.A,FIND("】",_xlpm.A)+1)+1,LEN(_xlpm.A)),_xlpm.A))</f>
        <v/>
      </c>
      <c r="H224" s="18" t="str">
        <f>_xlfn.LET(_xlpm.A,IF(ISNUMBER(SEARCH("晒单",M224)),"【晒单】"&amp;MID(M224,SEARCH("晒单",M224)+LEN("晒单"),LEN(M224))&amp;"（需晒单后联系客服登记）",IF(ISNUMBER(SEARCH("包修",M224)),"【购机】"&amp;MID(M224,SEARCH("购机",M224)+LEN("购机"),LEN(M224)),IF(ISNUMBER(SEARCH("叠放支架",M224)),"【赠品】"&amp;MID(M224,SEARCH("购机",M224)+LEN("购机"),LEN(M224)),IF(ISNUMBER(SEARCH("秀图",M224)),"【秀图】"&amp;MID(M224,SEARCH("秀图",M224)+LEN("秀图"),LEN(M224)),"")))),IFERROR(LEFT(_xlpm.A,FIND("【",_xlpm.A,FIND("】",_xlpm.A)+1)-1)&amp;MID(_xlpm.A,FIND("】",_xlpm.A,FIND("】",_xlpm.A)+1)+1,LEN(_xlpm.A)),_xlpm.A))</f>
        <v/>
      </c>
      <c r="I224" s="18" t="str">
        <f>_xlfn.LET(_xlpm.A,IF(ISNUMBER(SEARCH("晒单",N224)),"【晒单】"&amp;MID(N224,SEARCH("晒单",N224)+LEN("晒单"),LEN(N224))&amp;"（需晒单后联系客服登记）",IF(ISNUMBER(SEARCH("包修",N224)),"【购机】"&amp;MID(N224,SEARCH("购机",N224)+LEN("购机"),LEN(N224)),IF(ISNUMBER(SEARCH("叠放支架",N224)),"【赠品】"&amp;MID(N224,SEARCH("购机",N224)+LEN("购机"),LEN(N224)),IF(ISNUMBER(SEARCH("秀图",N224)),"【秀图】"&amp;MID(N224,SEARCH("秀图",N224)+LEN("秀图"),LEN(N224)),"")))),IFERROR(LEFT(_xlpm.A,FIND("【",_xlpm.A,FIND("】",_xlpm.A)+1)-1)&amp;MID(_xlpm.A,FIND("】",_xlpm.A,FIND("】",_xlpm.A)+1)+1,LEN(_xlpm.A)),_xlpm.A))</f>
        <v/>
      </c>
      <c r="J224" s="18" t="str" cm="1">
        <f t="array" ref="J224">IFERROR(INDEX(_xlfn.TEXTSPLIT(_xlfn.XLOOKUP($A224&amp;$B224&amp;$C224,盘货信息!$A:$A&amp;盘货信息!$B:$B&amp;盘货信息!$C:$C,盘货信息!$S:$S),CHAR(10),,TRUE),1,COLUMN(A223)),"")</f>
        <v/>
      </c>
      <c r="K224" s="18" t="str" cm="1">
        <f t="array" ref="K224">IFERROR(INDEX(_xlfn.TEXTSPLIT(_xlfn.XLOOKUP($A224&amp;$B224&amp;$C224,盘货信息!$A:$A&amp;盘货信息!$B:$B&amp;盘货信息!$C:$C,盘货信息!$S:$S),CHAR(10),,TRUE),1,COLUMN(B223)),"")</f>
        <v/>
      </c>
      <c r="L224" s="18" t="str" cm="1">
        <f t="array" ref="L224">IFERROR(INDEX(_xlfn.TEXTSPLIT(_xlfn.XLOOKUP($A224&amp;$B224&amp;$C224,盘货信息!$A:$A&amp;盘货信息!$B:$B&amp;盘货信息!$C:$C,盘货信息!$S:$S),CHAR(10),,TRUE),1,COLUMN(C223)),"")</f>
        <v/>
      </c>
      <c r="M224" s="18" t="str" cm="1">
        <f t="array" ref="M224">IFERROR(INDEX(_xlfn.TEXTSPLIT(_xlfn.XLOOKUP($A224&amp;$B224&amp;$C224,盘货信息!$A:$A&amp;盘货信息!$B:$B&amp;盘货信息!$C:$C,盘货信息!$S:$S),CHAR(10),,TRUE),1,COLUMN(D223)),"")</f>
        <v/>
      </c>
      <c r="N224" s="18" t="str" cm="1">
        <f t="array" ref="N224">IFERROR(INDEX(_xlfn.TEXTSPLIT(_xlfn.XLOOKUP($A224&amp;$B224&amp;$C224,盘货信息!$A:$A&amp;盘货信息!$B:$B&amp;盘货信息!$C:$C,盘货信息!$S:$S),CHAR(10),,TRUE),1,COLUMN(E223)),"")</f>
        <v/>
      </c>
    </row>
    <row r="225" customHeight="1" spans="1:14">
      <c r="A225" s="17" t="str">
        <f>IF(盘货信息!A225="","",盘货信息!A225)</f>
        <v/>
      </c>
      <c r="B225" s="17" t="str">
        <f>IF(盘货信息!B225="","",盘货信息!B225)</f>
        <v/>
      </c>
      <c r="C225" s="18" t="str">
        <f>IF(盘货信息!C225="","",盘货信息!C225)</f>
        <v/>
      </c>
      <c r="D225" s="18" t="str">
        <f t="shared" si="3"/>
        <v/>
      </c>
      <c r="E225" s="18" t="str">
        <f>_xlfn.LET(_xlpm.A,IF(ISNUMBER(SEARCH("晒单",J225)),"【晒单】"&amp;MID(J225,SEARCH("晒单",J225)+LEN("晒单"),LEN(J225))&amp;"（需晒单后联系客服登记）",IF(ISNUMBER(SEARCH("包修",J225)),"【购机】"&amp;MID(J225,SEARCH("购机",J225)+LEN("购机"),LEN(J225)),IF(ISNUMBER(SEARCH("叠放支架",J225)),"【赠品】"&amp;MID(J225,SEARCH("购机",J225)+LEN("购机"),LEN(J225)),IF(ISNUMBER(SEARCH("秀图",J225)),"【秀图】"&amp;MID(J225,SEARCH("秀图",J225)+LEN("秀图"),LEN(J225)),"")))),IFERROR(LEFT(_xlpm.A,FIND("【",_xlpm.A,FIND("】",_xlpm.A)+1)-1)&amp;MID(_xlpm.A,FIND("】",_xlpm.A,FIND("】",_xlpm.A)+1)+1,LEN(_xlpm.A)),_xlpm.A))</f>
        <v/>
      </c>
      <c r="F225" s="18" t="str">
        <f>_xlfn.LET(_xlpm.A,IF(ISNUMBER(SEARCH("晒单",K225)),"【晒单】"&amp;MID(K225,SEARCH("晒单",K225)+LEN("晒单"),LEN(K225))&amp;"（需晒单后联系客服登记）",IF(ISNUMBER(SEARCH("包修",K225)),"【购机】"&amp;MID(K225,SEARCH("购机",K225)+LEN("购机"),LEN(K225)),IF(ISNUMBER(SEARCH("叠放支架",K225)),"【赠品】"&amp;MID(K225,SEARCH("购机",K225)+LEN("购机"),LEN(K225)),IF(ISNUMBER(SEARCH("秀图",K225)),"【秀图】"&amp;MID(K225,SEARCH("秀图",K225)+LEN("秀图"),LEN(K225)),"")))),IFERROR(LEFT(_xlpm.A,FIND("【",_xlpm.A,FIND("】",_xlpm.A)+1)-1)&amp;MID(_xlpm.A,FIND("】",_xlpm.A,FIND("】",_xlpm.A)+1)+1,LEN(_xlpm.A)),_xlpm.A))</f>
        <v/>
      </c>
      <c r="G225" s="18" t="str">
        <f>_xlfn.LET(_xlpm.A,IF(ISNUMBER(SEARCH("晒单",L225)),"【晒单】"&amp;MID(L225,SEARCH("晒单",L225)+LEN("晒单"),LEN(L225))&amp;"（需晒单后联系客服登记）",IF(ISNUMBER(SEARCH("包修",L225)),"【购机】"&amp;MID(L225,SEARCH("购机",L225)+LEN("购机"),LEN(L225)),IF(ISNUMBER(SEARCH("叠放支架",L225)),"【赠品】"&amp;MID(L225,SEARCH("购机",L225)+LEN("购机"),LEN(L225)),IF(ISNUMBER(SEARCH("秀图",L225)),"【秀图】"&amp;MID(L225,SEARCH("秀图",L225)+LEN("秀图"),LEN(L225)),"")))),IFERROR(LEFT(_xlpm.A,FIND("【",_xlpm.A,FIND("】",_xlpm.A)+1)-1)&amp;MID(_xlpm.A,FIND("】",_xlpm.A,FIND("】",_xlpm.A)+1)+1,LEN(_xlpm.A)),_xlpm.A))</f>
        <v/>
      </c>
      <c r="H225" s="18" t="str">
        <f>_xlfn.LET(_xlpm.A,IF(ISNUMBER(SEARCH("晒单",M225)),"【晒单】"&amp;MID(M225,SEARCH("晒单",M225)+LEN("晒单"),LEN(M225))&amp;"（需晒单后联系客服登记）",IF(ISNUMBER(SEARCH("包修",M225)),"【购机】"&amp;MID(M225,SEARCH("购机",M225)+LEN("购机"),LEN(M225)),IF(ISNUMBER(SEARCH("叠放支架",M225)),"【赠品】"&amp;MID(M225,SEARCH("购机",M225)+LEN("购机"),LEN(M225)),IF(ISNUMBER(SEARCH("秀图",M225)),"【秀图】"&amp;MID(M225,SEARCH("秀图",M225)+LEN("秀图"),LEN(M225)),"")))),IFERROR(LEFT(_xlpm.A,FIND("【",_xlpm.A,FIND("】",_xlpm.A)+1)-1)&amp;MID(_xlpm.A,FIND("】",_xlpm.A,FIND("】",_xlpm.A)+1)+1,LEN(_xlpm.A)),_xlpm.A))</f>
        <v/>
      </c>
      <c r="I225" s="18" t="str">
        <f>_xlfn.LET(_xlpm.A,IF(ISNUMBER(SEARCH("晒单",N225)),"【晒单】"&amp;MID(N225,SEARCH("晒单",N225)+LEN("晒单"),LEN(N225))&amp;"（需晒单后联系客服登记）",IF(ISNUMBER(SEARCH("包修",N225)),"【购机】"&amp;MID(N225,SEARCH("购机",N225)+LEN("购机"),LEN(N225)),IF(ISNUMBER(SEARCH("叠放支架",N225)),"【赠品】"&amp;MID(N225,SEARCH("购机",N225)+LEN("购机"),LEN(N225)),IF(ISNUMBER(SEARCH("秀图",N225)),"【秀图】"&amp;MID(N225,SEARCH("秀图",N225)+LEN("秀图"),LEN(N225)),"")))),IFERROR(LEFT(_xlpm.A,FIND("【",_xlpm.A,FIND("】",_xlpm.A)+1)-1)&amp;MID(_xlpm.A,FIND("】",_xlpm.A,FIND("】",_xlpm.A)+1)+1,LEN(_xlpm.A)),_xlpm.A))</f>
        <v/>
      </c>
      <c r="J225" s="18" t="str" cm="1">
        <f t="array" ref="J225">IFERROR(INDEX(_xlfn.TEXTSPLIT(_xlfn.XLOOKUP($A225&amp;$B225&amp;$C225,盘货信息!$A:$A&amp;盘货信息!$B:$B&amp;盘货信息!$C:$C,盘货信息!$S:$S),CHAR(10),,TRUE),1,COLUMN(A224)),"")</f>
        <v/>
      </c>
      <c r="K225" s="18" t="str" cm="1">
        <f t="array" ref="K225">IFERROR(INDEX(_xlfn.TEXTSPLIT(_xlfn.XLOOKUP($A225&amp;$B225&amp;$C225,盘货信息!$A:$A&amp;盘货信息!$B:$B&amp;盘货信息!$C:$C,盘货信息!$S:$S),CHAR(10),,TRUE),1,COLUMN(B224)),"")</f>
        <v/>
      </c>
      <c r="L225" s="18" t="str" cm="1">
        <f t="array" ref="L225">IFERROR(INDEX(_xlfn.TEXTSPLIT(_xlfn.XLOOKUP($A225&amp;$B225&amp;$C225,盘货信息!$A:$A&amp;盘货信息!$B:$B&amp;盘货信息!$C:$C,盘货信息!$S:$S),CHAR(10),,TRUE),1,COLUMN(C224)),"")</f>
        <v/>
      </c>
      <c r="M225" s="18" t="str" cm="1">
        <f t="array" ref="M225">IFERROR(INDEX(_xlfn.TEXTSPLIT(_xlfn.XLOOKUP($A225&amp;$B225&amp;$C225,盘货信息!$A:$A&amp;盘货信息!$B:$B&amp;盘货信息!$C:$C,盘货信息!$S:$S),CHAR(10),,TRUE),1,COLUMN(D224)),"")</f>
        <v/>
      </c>
      <c r="N225" s="18" t="str" cm="1">
        <f t="array" ref="N225">IFERROR(INDEX(_xlfn.TEXTSPLIT(_xlfn.XLOOKUP($A225&amp;$B225&amp;$C225,盘货信息!$A:$A&amp;盘货信息!$B:$B&amp;盘货信息!$C:$C,盘货信息!$S:$S),CHAR(10),,TRUE),1,COLUMN(E224)),"")</f>
        <v/>
      </c>
    </row>
    <row r="226" customHeight="1" spans="1:14">
      <c r="A226" s="17" t="str">
        <f>IF(盘货信息!A226="","",盘货信息!A226)</f>
        <v/>
      </c>
      <c r="B226" s="17" t="str">
        <f>IF(盘货信息!B226="","",盘货信息!B226)</f>
        <v/>
      </c>
      <c r="C226" s="18" t="str">
        <f>IF(盘货信息!C226="","",盘货信息!C226)</f>
        <v/>
      </c>
      <c r="D226" s="18" t="str">
        <f t="shared" si="3"/>
        <v/>
      </c>
      <c r="E226" s="18" t="str">
        <f>_xlfn.LET(_xlpm.A,IF(ISNUMBER(SEARCH("晒单",J226)),"【晒单】"&amp;MID(J226,SEARCH("晒单",J226)+LEN("晒单"),LEN(J226))&amp;"（需晒单后联系客服登记）",IF(ISNUMBER(SEARCH("包修",J226)),"【购机】"&amp;MID(J226,SEARCH("购机",J226)+LEN("购机"),LEN(J226)),IF(ISNUMBER(SEARCH("叠放支架",J226)),"【赠品】"&amp;MID(J226,SEARCH("购机",J226)+LEN("购机"),LEN(J226)),IF(ISNUMBER(SEARCH("秀图",J226)),"【秀图】"&amp;MID(J226,SEARCH("秀图",J226)+LEN("秀图"),LEN(J226)),"")))),IFERROR(LEFT(_xlpm.A,FIND("【",_xlpm.A,FIND("】",_xlpm.A)+1)-1)&amp;MID(_xlpm.A,FIND("】",_xlpm.A,FIND("】",_xlpm.A)+1)+1,LEN(_xlpm.A)),_xlpm.A))</f>
        <v/>
      </c>
      <c r="F226" s="18" t="str">
        <f>_xlfn.LET(_xlpm.A,IF(ISNUMBER(SEARCH("晒单",K226)),"【晒单】"&amp;MID(K226,SEARCH("晒单",K226)+LEN("晒单"),LEN(K226))&amp;"（需晒单后联系客服登记）",IF(ISNUMBER(SEARCH("包修",K226)),"【购机】"&amp;MID(K226,SEARCH("购机",K226)+LEN("购机"),LEN(K226)),IF(ISNUMBER(SEARCH("叠放支架",K226)),"【赠品】"&amp;MID(K226,SEARCH("购机",K226)+LEN("购机"),LEN(K226)),IF(ISNUMBER(SEARCH("秀图",K226)),"【秀图】"&amp;MID(K226,SEARCH("秀图",K226)+LEN("秀图"),LEN(K226)),"")))),IFERROR(LEFT(_xlpm.A,FIND("【",_xlpm.A,FIND("】",_xlpm.A)+1)-1)&amp;MID(_xlpm.A,FIND("】",_xlpm.A,FIND("】",_xlpm.A)+1)+1,LEN(_xlpm.A)),_xlpm.A))</f>
        <v/>
      </c>
      <c r="G226" s="18" t="str">
        <f>_xlfn.LET(_xlpm.A,IF(ISNUMBER(SEARCH("晒单",L226)),"【晒单】"&amp;MID(L226,SEARCH("晒单",L226)+LEN("晒单"),LEN(L226))&amp;"（需晒单后联系客服登记）",IF(ISNUMBER(SEARCH("包修",L226)),"【购机】"&amp;MID(L226,SEARCH("购机",L226)+LEN("购机"),LEN(L226)),IF(ISNUMBER(SEARCH("叠放支架",L226)),"【赠品】"&amp;MID(L226,SEARCH("购机",L226)+LEN("购机"),LEN(L226)),IF(ISNUMBER(SEARCH("秀图",L226)),"【秀图】"&amp;MID(L226,SEARCH("秀图",L226)+LEN("秀图"),LEN(L226)),"")))),IFERROR(LEFT(_xlpm.A,FIND("【",_xlpm.A,FIND("】",_xlpm.A)+1)-1)&amp;MID(_xlpm.A,FIND("】",_xlpm.A,FIND("】",_xlpm.A)+1)+1,LEN(_xlpm.A)),_xlpm.A))</f>
        <v/>
      </c>
      <c r="H226" s="18" t="str">
        <f>_xlfn.LET(_xlpm.A,IF(ISNUMBER(SEARCH("晒单",M226)),"【晒单】"&amp;MID(M226,SEARCH("晒单",M226)+LEN("晒单"),LEN(M226))&amp;"（需晒单后联系客服登记）",IF(ISNUMBER(SEARCH("包修",M226)),"【购机】"&amp;MID(M226,SEARCH("购机",M226)+LEN("购机"),LEN(M226)),IF(ISNUMBER(SEARCH("叠放支架",M226)),"【赠品】"&amp;MID(M226,SEARCH("购机",M226)+LEN("购机"),LEN(M226)),IF(ISNUMBER(SEARCH("秀图",M226)),"【秀图】"&amp;MID(M226,SEARCH("秀图",M226)+LEN("秀图"),LEN(M226)),"")))),IFERROR(LEFT(_xlpm.A,FIND("【",_xlpm.A,FIND("】",_xlpm.A)+1)-1)&amp;MID(_xlpm.A,FIND("】",_xlpm.A,FIND("】",_xlpm.A)+1)+1,LEN(_xlpm.A)),_xlpm.A))</f>
        <v/>
      </c>
      <c r="I226" s="18" t="str">
        <f>_xlfn.LET(_xlpm.A,IF(ISNUMBER(SEARCH("晒单",N226)),"【晒单】"&amp;MID(N226,SEARCH("晒单",N226)+LEN("晒单"),LEN(N226))&amp;"（需晒单后联系客服登记）",IF(ISNUMBER(SEARCH("包修",N226)),"【购机】"&amp;MID(N226,SEARCH("购机",N226)+LEN("购机"),LEN(N226)),IF(ISNUMBER(SEARCH("叠放支架",N226)),"【赠品】"&amp;MID(N226,SEARCH("购机",N226)+LEN("购机"),LEN(N226)),IF(ISNUMBER(SEARCH("秀图",N226)),"【秀图】"&amp;MID(N226,SEARCH("秀图",N226)+LEN("秀图"),LEN(N226)),"")))),IFERROR(LEFT(_xlpm.A,FIND("【",_xlpm.A,FIND("】",_xlpm.A)+1)-1)&amp;MID(_xlpm.A,FIND("】",_xlpm.A,FIND("】",_xlpm.A)+1)+1,LEN(_xlpm.A)),_xlpm.A))</f>
        <v/>
      </c>
      <c r="J226" s="18" t="str" cm="1">
        <f t="array" ref="J226">IFERROR(INDEX(_xlfn.TEXTSPLIT(_xlfn.XLOOKUP($A226&amp;$B226&amp;$C226,盘货信息!$A:$A&amp;盘货信息!$B:$B&amp;盘货信息!$C:$C,盘货信息!$S:$S),CHAR(10),,TRUE),1,COLUMN(A225)),"")</f>
        <v/>
      </c>
      <c r="K226" s="18" t="str" cm="1">
        <f t="array" ref="K226">IFERROR(INDEX(_xlfn.TEXTSPLIT(_xlfn.XLOOKUP($A226&amp;$B226&amp;$C226,盘货信息!$A:$A&amp;盘货信息!$B:$B&amp;盘货信息!$C:$C,盘货信息!$S:$S),CHAR(10),,TRUE),1,COLUMN(B225)),"")</f>
        <v/>
      </c>
      <c r="L226" s="18" t="str" cm="1">
        <f t="array" ref="L226">IFERROR(INDEX(_xlfn.TEXTSPLIT(_xlfn.XLOOKUP($A226&amp;$B226&amp;$C226,盘货信息!$A:$A&amp;盘货信息!$B:$B&amp;盘货信息!$C:$C,盘货信息!$S:$S),CHAR(10),,TRUE),1,COLUMN(C225)),"")</f>
        <v/>
      </c>
      <c r="M226" s="18" t="str" cm="1">
        <f t="array" ref="M226">IFERROR(INDEX(_xlfn.TEXTSPLIT(_xlfn.XLOOKUP($A226&amp;$B226&amp;$C226,盘货信息!$A:$A&amp;盘货信息!$B:$B&amp;盘货信息!$C:$C,盘货信息!$S:$S),CHAR(10),,TRUE),1,COLUMN(D225)),"")</f>
        <v/>
      </c>
      <c r="N226" s="18" t="str" cm="1">
        <f t="array" ref="N226">IFERROR(INDEX(_xlfn.TEXTSPLIT(_xlfn.XLOOKUP($A226&amp;$B226&amp;$C226,盘货信息!$A:$A&amp;盘货信息!$B:$B&amp;盘货信息!$C:$C,盘货信息!$S:$S),CHAR(10),,TRUE),1,COLUMN(E225)),"")</f>
        <v/>
      </c>
    </row>
    <row r="227" customHeight="1" spans="1:14">
      <c r="A227" s="17" t="str">
        <f>IF(盘货信息!A227="","",盘货信息!A227)</f>
        <v/>
      </c>
      <c r="B227" s="17" t="str">
        <f>IF(盘货信息!B227="","",盘货信息!B227)</f>
        <v/>
      </c>
      <c r="C227" s="18" t="str">
        <f>IF(盘货信息!C227="","",盘货信息!C227)</f>
        <v/>
      </c>
      <c r="D227" s="18" t="str">
        <f t="shared" si="3"/>
        <v/>
      </c>
      <c r="E227" s="18" t="str">
        <f>_xlfn.LET(_xlpm.A,IF(ISNUMBER(SEARCH("晒单",J227)),"【晒单】"&amp;MID(J227,SEARCH("晒单",J227)+LEN("晒单"),LEN(J227))&amp;"（需晒单后联系客服登记）",IF(ISNUMBER(SEARCH("包修",J227)),"【购机】"&amp;MID(J227,SEARCH("购机",J227)+LEN("购机"),LEN(J227)),IF(ISNUMBER(SEARCH("叠放支架",J227)),"【赠品】"&amp;MID(J227,SEARCH("购机",J227)+LEN("购机"),LEN(J227)),IF(ISNUMBER(SEARCH("秀图",J227)),"【秀图】"&amp;MID(J227,SEARCH("秀图",J227)+LEN("秀图"),LEN(J227)),"")))),IFERROR(LEFT(_xlpm.A,FIND("【",_xlpm.A,FIND("】",_xlpm.A)+1)-1)&amp;MID(_xlpm.A,FIND("】",_xlpm.A,FIND("】",_xlpm.A)+1)+1,LEN(_xlpm.A)),_xlpm.A))</f>
        <v/>
      </c>
      <c r="F227" s="18" t="str">
        <f>_xlfn.LET(_xlpm.A,IF(ISNUMBER(SEARCH("晒单",K227)),"【晒单】"&amp;MID(K227,SEARCH("晒单",K227)+LEN("晒单"),LEN(K227))&amp;"（需晒单后联系客服登记）",IF(ISNUMBER(SEARCH("包修",K227)),"【购机】"&amp;MID(K227,SEARCH("购机",K227)+LEN("购机"),LEN(K227)),IF(ISNUMBER(SEARCH("叠放支架",K227)),"【赠品】"&amp;MID(K227,SEARCH("购机",K227)+LEN("购机"),LEN(K227)),IF(ISNUMBER(SEARCH("秀图",K227)),"【秀图】"&amp;MID(K227,SEARCH("秀图",K227)+LEN("秀图"),LEN(K227)),"")))),IFERROR(LEFT(_xlpm.A,FIND("【",_xlpm.A,FIND("】",_xlpm.A)+1)-1)&amp;MID(_xlpm.A,FIND("】",_xlpm.A,FIND("】",_xlpm.A)+1)+1,LEN(_xlpm.A)),_xlpm.A))</f>
        <v/>
      </c>
      <c r="G227" s="18" t="str">
        <f>_xlfn.LET(_xlpm.A,IF(ISNUMBER(SEARCH("晒单",L227)),"【晒单】"&amp;MID(L227,SEARCH("晒单",L227)+LEN("晒单"),LEN(L227))&amp;"（需晒单后联系客服登记）",IF(ISNUMBER(SEARCH("包修",L227)),"【购机】"&amp;MID(L227,SEARCH("购机",L227)+LEN("购机"),LEN(L227)),IF(ISNUMBER(SEARCH("叠放支架",L227)),"【赠品】"&amp;MID(L227,SEARCH("购机",L227)+LEN("购机"),LEN(L227)),IF(ISNUMBER(SEARCH("秀图",L227)),"【秀图】"&amp;MID(L227,SEARCH("秀图",L227)+LEN("秀图"),LEN(L227)),"")))),IFERROR(LEFT(_xlpm.A,FIND("【",_xlpm.A,FIND("】",_xlpm.A)+1)-1)&amp;MID(_xlpm.A,FIND("】",_xlpm.A,FIND("】",_xlpm.A)+1)+1,LEN(_xlpm.A)),_xlpm.A))</f>
        <v/>
      </c>
      <c r="H227" s="18" t="str">
        <f>_xlfn.LET(_xlpm.A,IF(ISNUMBER(SEARCH("晒单",M227)),"【晒单】"&amp;MID(M227,SEARCH("晒单",M227)+LEN("晒单"),LEN(M227))&amp;"（需晒单后联系客服登记）",IF(ISNUMBER(SEARCH("包修",M227)),"【购机】"&amp;MID(M227,SEARCH("购机",M227)+LEN("购机"),LEN(M227)),IF(ISNUMBER(SEARCH("叠放支架",M227)),"【赠品】"&amp;MID(M227,SEARCH("购机",M227)+LEN("购机"),LEN(M227)),IF(ISNUMBER(SEARCH("秀图",M227)),"【秀图】"&amp;MID(M227,SEARCH("秀图",M227)+LEN("秀图"),LEN(M227)),"")))),IFERROR(LEFT(_xlpm.A,FIND("【",_xlpm.A,FIND("】",_xlpm.A)+1)-1)&amp;MID(_xlpm.A,FIND("】",_xlpm.A,FIND("】",_xlpm.A)+1)+1,LEN(_xlpm.A)),_xlpm.A))</f>
        <v/>
      </c>
      <c r="I227" s="18" t="str">
        <f>_xlfn.LET(_xlpm.A,IF(ISNUMBER(SEARCH("晒单",N227)),"【晒单】"&amp;MID(N227,SEARCH("晒单",N227)+LEN("晒单"),LEN(N227))&amp;"（需晒单后联系客服登记）",IF(ISNUMBER(SEARCH("包修",N227)),"【购机】"&amp;MID(N227,SEARCH("购机",N227)+LEN("购机"),LEN(N227)),IF(ISNUMBER(SEARCH("叠放支架",N227)),"【赠品】"&amp;MID(N227,SEARCH("购机",N227)+LEN("购机"),LEN(N227)),IF(ISNUMBER(SEARCH("秀图",N227)),"【秀图】"&amp;MID(N227,SEARCH("秀图",N227)+LEN("秀图"),LEN(N227)),"")))),IFERROR(LEFT(_xlpm.A,FIND("【",_xlpm.A,FIND("】",_xlpm.A)+1)-1)&amp;MID(_xlpm.A,FIND("】",_xlpm.A,FIND("】",_xlpm.A)+1)+1,LEN(_xlpm.A)),_xlpm.A))</f>
        <v/>
      </c>
      <c r="J227" s="18" t="str" cm="1">
        <f t="array" ref="J227">IFERROR(INDEX(_xlfn.TEXTSPLIT(_xlfn.XLOOKUP($A227&amp;$B227&amp;$C227,盘货信息!$A:$A&amp;盘货信息!$B:$B&amp;盘货信息!$C:$C,盘货信息!$S:$S),CHAR(10),,TRUE),1,COLUMN(A226)),"")</f>
        <v/>
      </c>
      <c r="K227" s="18" t="str" cm="1">
        <f t="array" ref="K227">IFERROR(INDEX(_xlfn.TEXTSPLIT(_xlfn.XLOOKUP($A227&amp;$B227&amp;$C227,盘货信息!$A:$A&amp;盘货信息!$B:$B&amp;盘货信息!$C:$C,盘货信息!$S:$S),CHAR(10),,TRUE),1,COLUMN(B226)),"")</f>
        <v/>
      </c>
      <c r="L227" s="18" t="str" cm="1">
        <f t="array" ref="L227">IFERROR(INDEX(_xlfn.TEXTSPLIT(_xlfn.XLOOKUP($A227&amp;$B227&amp;$C227,盘货信息!$A:$A&amp;盘货信息!$B:$B&amp;盘货信息!$C:$C,盘货信息!$S:$S),CHAR(10),,TRUE),1,COLUMN(C226)),"")</f>
        <v/>
      </c>
      <c r="M227" s="18" t="str" cm="1">
        <f t="array" ref="M227">IFERROR(INDEX(_xlfn.TEXTSPLIT(_xlfn.XLOOKUP($A227&amp;$B227&amp;$C227,盘货信息!$A:$A&amp;盘货信息!$B:$B&amp;盘货信息!$C:$C,盘货信息!$S:$S),CHAR(10),,TRUE),1,COLUMN(D226)),"")</f>
        <v/>
      </c>
      <c r="N227" s="18" t="str" cm="1">
        <f t="array" ref="N227">IFERROR(INDEX(_xlfn.TEXTSPLIT(_xlfn.XLOOKUP($A227&amp;$B227&amp;$C227,盘货信息!$A:$A&amp;盘货信息!$B:$B&amp;盘货信息!$C:$C,盘货信息!$S:$S),CHAR(10),,TRUE),1,COLUMN(E226)),"")</f>
        <v/>
      </c>
    </row>
    <row r="228" customHeight="1" spans="1:14">
      <c r="A228" s="17" t="str">
        <f>IF(盘货信息!A228="","",盘货信息!A228)</f>
        <v/>
      </c>
      <c r="B228" s="17" t="str">
        <f>IF(盘货信息!B228="","",盘货信息!B228)</f>
        <v/>
      </c>
      <c r="C228" s="18" t="str">
        <f>IF(盘货信息!C228="","",盘货信息!C228)</f>
        <v/>
      </c>
      <c r="D228" s="18" t="str">
        <f t="shared" si="3"/>
        <v/>
      </c>
      <c r="E228" s="18" t="str">
        <f>_xlfn.LET(_xlpm.A,IF(ISNUMBER(SEARCH("晒单",J228)),"【晒单】"&amp;MID(J228,SEARCH("晒单",J228)+LEN("晒单"),LEN(J228))&amp;"（需晒单后联系客服登记）",IF(ISNUMBER(SEARCH("包修",J228)),"【购机】"&amp;MID(J228,SEARCH("购机",J228)+LEN("购机"),LEN(J228)),IF(ISNUMBER(SEARCH("叠放支架",J228)),"【赠品】"&amp;MID(J228,SEARCH("购机",J228)+LEN("购机"),LEN(J228)),IF(ISNUMBER(SEARCH("秀图",J228)),"【秀图】"&amp;MID(J228,SEARCH("秀图",J228)+LEN("秀图"),LEN(J228)),"")))),IFERROR(LEFT(_xlpm.A,FIND("【",_xlpm.A,FIND("】",_xlpm.A)+1)-1)&amp;MID(_xlpm.A,FIND("】",_xlpm.A,FIND("】",_xlpm.A)+1)+1,LEN(_xlpm.A)),_xlpm.A))</f>
        <v/>
      </c>
      <c r="F228" s="18" t="str">
        <f>_xlfn.LET(_xlpm.A,IF(ISNUMBER(SEARCH("晒单",K228)),"【晒单】"&amp;MID(K228,SEARCH("晒单",K228)+LEN("晒单"),LEN(K228))&amp;"（需晒单后联系客服登记）",IF(ISNUMBER(SEARCH("包修",K228)),"【购机】"&amp;MID(K228,SEARCH("购机",K228)+LEN("购机"),LEN(K228)),IF(ISNUMBER(SEARCH("叠放支架",K228)),"【赠品】"&amp;MID(K228,SEARCH("购机",K228)+LEN("购机"),LEN(K228)),IF(ISNUMBER(SEARCH("秀图",K228)),"【秀图】"&amp;MID(K228,SEARCH("秀图",K228)+LEN("秀图"),LEN(K228)),"")))),IFERROR(LEFT(_xlpm.A,FIND("【",_xlpm.A,FIND("】",_xlpm.A)+1)-1)&amp;MID(_xlpm.A,FIND("】",_xlpm.A,FIND("】",_xlpm.A)+1)+1,LEN(_xlpm.A)),_xlpm.A))</f>
        <v/>
      </c>
      <c r="G228" s="18" t="str">
        <f>_xlfn.LET(_xlpm.A,IF(ISNUMBER(SEARCH("晒单",L228)),"【晒单】"&amp;MID(L228,SEARCH("晒单",L228)+LEN("晒单"),LEN(L228))&amp;"（需晒单后联系客服登记）",IF(ISNUMBER(SEARCH("包修",L228)),"【购机】"&amp;MID(L228,SEARCH("购机",L228)+LEN("购机"),LEN(L228)),IF(ISNUMBER(SEARCH("叠放支架",L228)),"【赠品】"&amp;MID(L228,SEARCH("购机",L228)+LEN("购机"),LEN(L228)),IF(ISNUMBER(SEARCH("秀图",L228)),"【秀图】"&amp;MID(L228,SEARCH("秀图",L228)+LEN("秀图"),LEN(L228)),"")))),IFERROR(LEFT(_xlpm.A,FIND("【",_xlpm.A,FIND("】",_xlpm.A)+1)-1)&amp;MID(_xlpm.A,FIND("】",_xlpm.A,FIND("】",_xlpm.A)+1)+1,LEN(_xlpm.A)),_xlpm.A))</f>
        <v/>
      </c>
      <c r="H228" s="18" t="str">
        <f>_xlfn.LET(_xlpm.A,IF(ISNUMBER(SEARCH("晒单",M228)),"【晒单】"&amp;MID(M228,SEARCH("晒单",M228)+LEN("晒单"),LEN(M228))&amp;"（需晒单后联系客服登记）",IF(ISNUMBER(SEARCH("包修",M228)),"【购机】"&amp;MID(M228,SEARCH("购机",M228)+LEN("购机"),LEN(M228)),IF(ISNUMBER(SEARCH("叠放支架",M228)),"【赠品】"&amp;MID(M228,SEARCH("购机",M228)+LEN("购机"),LEN(M228)),IF(ISNUMBER(SEARCH("秀图",M228)),"【秀图】"&amp;MID(M228,SEARCH("秀图",M228)+LEN("秀图"),LEN(M228)),"")))),IFERROR(LEFT(_xlpm.A,FIND("【",_xlpm.A,FIND("】",_xlpm.A)+1)-1)&amp;MID(_xlpm.A,FIND("】",_xlpm.A,FIND("】",_xlpm.A)+1)+1,LEN(_xlpm.A)),_xlpm.A))</f>
        <v/>
      </c>
      <c r="I228" s="18" t="str">
        <f>_xlfn.LET(_xlpm.A,IF(ISNUMBER(SEARCH("晒单",N228)),"【晒单】"&amp;MID(N228,SEARCH("晒单",N228)+LEN("晒单"),LEN(N228))&amp;"（需晒单后联系客服登记）",IF(ISNUMBER(SEARCH("包修",N228)),"【购机】"&amp;MID(N228,SEARCH("购机",N228)+LEN("购机"),LEN(N228)),IF(ISNUMBER(SEARCH("叠放支架",N228)),"【赠品】"&amp;MID(N228,SEARCH("购机",N228)+LEN("购机"),LEN(N228)),IF(ISNUMBER(SEARCH("秀图",N228)),"【秀图】"&amp;MID(N228,SEARCH("秀图",N228)+LEN("秀图"),LEN(N228)),"")))),IFERROR(LEFT(_xlpm.A,FIND("【",_xlpm.A,FIND("】",_xlpm.A)+1)-1)&amp;MID(_xlpm.A,FIND("】",_xlpm.A,FIND("】",_xlpm.A)+1)+1,LEN(_xlpm.A)),_xlpm.A))</f>
        <v/>
      </c>
      <c r="J228" s="18" t="str" cm="1">
        <f t="array" ref="J228">IFERROR(INDEX(_xlfn.TEXTSPLIT(_xlfn.XLOOKUP($A228&amp;$B228&amp;$C228,盘货信息!$A:$A&amp;盘货信息!$B:$B&amp;盘货信息!$C:$C,盘货信息!$S:$S),CHAR(10),,TRUE),1,COLUMN(A227)),"")</f>
        <v/>
      </c>
      <c r="K228" s="18" t="str" cm="1">
        <f t="array" ref="K228">IFERROR(INDEX(_xlfn.TEXTSPLIT(_xlfn.XLOOKUP($A228&amp;$B228&amp;$C228,盘货信息!$A:$A&amp;盘货信息!$B:$B&amp;盘货信息!$C:$C,盘货信息!$S:$S),CHAR(10),,TRUE),1,COLUMN(B227)),"")</f>
        <v/>
      </c>
      <c r="L228" s="18" t="str" cm="1">
        <f t="array" ref="L228">IFERROR(INDEX(_xlfn.TEXTSPLIT(_xlfn.XLOOKUP($A228&amp;$B228&amp;$C228,盘货信息!$A:$A&amp;盘货信息!$B:$B&amp;盘货信息!$C:$C,盘货信息!$S:$S),CHAR(10),,TRUE),1,COLUMN(C227)),"")</f>
        <v/>
      </c>
      <c r="M228" s="18" t="str" cm="1">
        <f t="array" ref="M228">IFERROR(INDEX(_xlfn.TEXTSPLIT(_xlfn.XLOOKUP($A228&amp;$B228&amp;$C228,盘货信息!$A:$A&amp;盘货信息!$B:$B&amp;盘货信息!$C:$C,盘货信息!$S:$S),CHAR(10),,TRUE),1,COLUMN(D227)),"")</f>
        <v/>
      </c>
      <c r="N228" s="18" t="str" cm="1">
        <f t="array" ref="N228">IFERROR(INDEX(_xlfn.TEXTSPLIT(_xlfn.XLOOKUP($A228&amp;$B228&amp;$C228,盘货信息!$A:$A&amp;盘货信息!$B:$B&amp;盘货信息!$C:$C,盘货信息!$S:$S),CHAR(10),,TRUE),1,COLUMN(E227)),"")</f>
        <v/>
      </c>
    </row>
    <row r="229" customHeight="1" spans="1:14">
      <c r="A229" s="17" t="str">
        <f>IF(盘货信息!A229="","",盘货信息!A229)</f>
        <v/>
      </c>
      <c r="B229" s="17" t="str">
        <f>IF(盘货信息!B229="","",盘货信息!B229)</f>
        <v/>
      </c>
      <c r="C229" s="18" t="str">
        <f>IF(盘货信息!C229="","",盘货信息!C229)</f>
        <v/>
      </c>
      <c r="D229" s="18" t="str">
        <f t="shared" si="3"/>
        <v/>
      </c>
      <c r="E229" s="18" t="str">
        <f>_xlfn.LET(_xlpm.A,IF(ISNUMBER(SEARCH("晒单",J229)),"【晒单】"&amp;MID(J229,SEARCH("晒单",J229)+LEN("晒单"),LEN(J229))&amp;"（需晒单后联系客服登记）",IF(ISNUMBER(SEARCH("包修",J229)),"【购机】"&amp;MID(J229,SEARCH("购机",J229)+LEN("购机"),LEN(J229)),IF(ISNUMBER(SEARCH("叠放支架",J229)),"【赠品】"&amp;MID(J229,SEARCH("购机",J229)+LEN("购机"),LEN(J229)),IF(ISNUMBER(SEARCH("秀图",J229)),"【秀图】"&amp;MID(J229,SEARCH("秀图",J229)+LEN("秀图"),LEN(J229)),"")))),IFERROR(LEFT(_xlpm.A,FIND("【",_xlpm.A,FIND("】",_xlpm.A)+1)-1)&amp;MID(_xlpm.A,FIND("】",_xlpm.A,FIND("】",_xlpm.A)+1)+1,LEN(_xlpm.A)),_xlpm.A))</f>
        <v/>
      </c>
      <c r="F229" s="18" t="str">
        <f>_xlfn.LET(_xlpm.A,IF(ISNUMBER(SEARCH("晒单",K229)),"【晒单】"&amp;MID(K229,SEARCH("晒单",K229)+LEN("晒单"),LEN(K229))&amp;"（需晒单后联系客服登记）",IF(ISNUMBER(SEARCH("包修",K229)),"【购机】"&amp;MID(K229,SEARCH("购机",K229)+LEN("购机"),LEN(K229)),IF(ISNUMBER(SEARCH("叠放支架",K229)),"【赠品】"&amp;MID(K229,SEARCH("购机",K229)+LEN("购机"),LEN(K229)),IF(ISNUMBER(SEARCH("秀图",K229)),"【秀图】"&amp;MID(K229,SEARCH("秀图",K229)+LEN("秀图"),LEN(K229)),"")))),IFERROR(LEFT(_xlpm.A,FIND("【",_xlpm.A,FIND("】",_xlpm.A)+1)-1)&amp;MID(_xlpm.A,FIND("】",_xlpm.A,FIND("】",_xlpm.A)+1)+1,LEN(_xlpm.A)),_xlpm.A))</f>
        <v/>
      </c>
      <c r="G229" s="18" t="str">
        <f>_xlfn.LET(_xlpm.A,IF(ISNUMBER(SEARCH("晒单",L229)),"【晒单】"&amp;MID(L229,SEARCH("晒单",L229)+LEN("晒单"),LEN(L229))&amp;"（需晒单后联系客服登记）",IF(ISNUMBER(SEARCH("包修",L229)),"【购机】"&amp;MID(L229,SEARCH("购机",L229)+LEN("购机"),LEN(L229)),IF(ISNUMBER(SEARCH("叠放支架",L229)),"【赠品】"&amp;MID(L229,SEARCH("购机",L229)+LEN("购机"),LEN(L229)),IF(ISNUMBER(SEARCH("秀图",L229)),"【秀图】"&amp;MID(L229,SEARCH("秀图",L229)+LEN("秀图"),LEN(L229)),"")))),IFERROR(LEFT(_xlpm.A,FIND("【",_xlpm.A,FIND("】",_xlpm.A)+1)-1)&amp;MID(_xlpm.A,FIND("】",_xlpm.A,FIND("】",_xlpm.A)+1)+1,LEN(_xlpm.A)),_xlpm.A))</f>
        <v/>
      </c>
      <c r="H229" s="18" t="str">
        <f>_xlfn.LET(_xlpm.A,IF(ISNUMBER(SEARCH("晒单",M229)),"【晒单】"&amp;MID(M229,SEARCH("晒单",M229)+LEN("晒单"),LEN(M229))&amp;"（需晒单后联系客服登记）",IF(ISNUMBER(SEARCH("包修",M229)),"【购机】"&amp;MID(M229,SEARCH("购机",M229)+LEN("购机"),LEN(M229)),IF(ISNUMBER(SEARCH("叠放支架",M229)),"【赠品】"&amp;MID(M229,SEARCH("购机",M229)+LEN("购机"),LEN(M229)),IF(ISNUMBER(SEARCH("秀图",M229)),"【秀图】"&amp;MID(M229,SEARCH("秀图",M229)+LEN("秀图"),LEN(M229)),"")))),IFERROR(LEFT(_xlpm.A,FIND("【",_xlpm.A,FIND("】",_xlpm.A)+1)-1)&amp;MID(_xlpm.A,FIND("】",_xlpm.A,FIND("】",_xlpm.A)+1)+1,LEN(_xlpm.A)),_xlpm.A))</f>
        <v/>
      </c>
      <c r="I229" s="18" t="str">
        <f>_xlfn.LET(_xlpm.A,IF(ISNUMBER(SEARCH("晒单",N229)),"【晒单】"&amp;MID(N229,SEARCH("晒单",N229)+LEN("晒单"),LEN(N229))&amp;"（需晒单后联系客服登记）",IF(ISNUMBER(SEARCH("包修",N229)),"【购机】"&amp;MID(N229,SEARCH("购机",N229)+LEN("购机"),LEN(N229)),IF(ISNUMBER(SEARCH("叠放支架",N229)),"【赠品】"&amp;MID(N229,SEARCH("购机",N229)+LEN("购机"),LEN(N229)),IF(ISNUMBER(SEARCH("秀图",N229)),"【秀图】"&amp;MID(N229,SEARCH("秀图",N229)+LEN("秀图"),LEN(N229)),"")))),IFERROR(LEFT(_xlpm.A,FIND("【",_xlpm.A,FIND("】",_xlpm.A)+1)-1)&amp;MID(_xlpm.A,FIND("】",_xlpm.A,FIND("】",_xlpm.A)+1)+1,LEN(_xlpm.A)),_xlpm.A))</f>
        <v/>
      </c>
      <c r="J229" s="18" t="str" cm="1">
        <f t="array" ref="J229">IFERROR(INDEX(_xlfn.TEXTSPLIT(_xlfn.XLOOKUP($A229&amp;$B229&amp;$C229,盘货信息!$A:$A&amp;盘货信息!$B:$B&amp;盘货信息!$C:$C,盘货信息!$S:$S),CHAR(10),,TRUE),1,COLUMN(A228)),"")</f>
        <v/>
      </c>
      <c r="K229" s="18" t="str" cm="1">
        <f t="array" ref="K229">IFERROR(INDEX(_xlfn.TEXTSPLIT(_xlfn.XLOOKUP($A229&amp;$B229&amp;$C229,盘货信息!$A:$A&amp;盘货信息!$B:$B&amp;盘货信息!$C:$C,盘货信息!$S:$S),CHAR(10),,TRUE),1,COLUMN(B228)),"")</f>
        <v/>
      </c>
      <c r="L229" s="18" t="str" cm="1">
        <f t="array" ref="L229">IFERROR(INDEX(_xlfn.TEXTSPLIT(_xlfn.XLOOKUP($A229&amp;$B229&amp;$C229,盘货信息!$A:$A&amp;盘货信息!$B:$B&amp;盘货信息!$C:$C,盘货信息!$S:$S),CHAR(10),,TRUE),1,COLUMN(C228)),"")</f>
        <v/>
      </c>
      <c r="M229" s="18" t="str" cm="1">
        <f t="array" ref="M229">IFERROR(INDEX(_xlfn.TEXTSPLIT(_xlfn.XLOOKUP($A229&amp;$B229&amp;$C229,盘货信息!$A:$A&amp;盘货信息!$B:$B&amp;盘货信息!$C:$C,盘货信息!$S:$S),CHAR(10),,TRUE),1,COLUMN(D228)),"")</f>
        <v/>
      </c>
      <c r="N229" s="18" t="str" cm="1">
        <f t="array" ref="N229">IFERROR(INDEX(_xlfn.TEXTSPLIT(_xlfn.XLOOKUP($A229&amp;$B229&amp;$C229,盘货信息!$A:$A&amp;盘货信息!$B:$B&amp;盘货信息!$C:$C,盘货信息!$S:$S),CHAR(10),,TRUE),1,COLUMN(E228)),"")</f>
        <v/>
      </c>
    </row>
    <row r="230" customHeight="1" spans="1:14">
      <c r="A230" s="17" t="str">
        <f>IF(盘货信息!A230="","",盘货信息!A230)</f>
        <v/>
      </c>
      <c r="B230" s="17" t="str">
        <f>IF(盘货信息!B230="","",盘货信息!B230)</f>
        <v/>
      </c>
      <c r="C230" s="18" t="str">
        <f>IF(盘货信息!C230="","",盘货信息!C230)</f>
        <v/>
      </c>
      <c r="D230" s="18" t="str">
        <f t="shared" si="3"/>
        <v/>
      </c>
      <c r="E230" s="18" t="str">
        <f>_xlfn.LET(_xlpm.A,IF(ISNUMBER(SEARCH("晒单",J230)),"【晒单】"&amp;MID(J230,SEARCH("晒单",J230)+LEN("晒单"),LEN(J230))&amp;"（需晒单后联系客服登记）",IF(ISNUMBER(SEARCH("包修",J230)),"【购机】"&amp;MID(J230,SEARCH("购机",J230)+LEN("购机"),LEN(J230)),IF(ISNUMBER(SEARCH("叠放支架",J230)),"【赠品】"&amp;MID(J230,SEARCH("购机",J230)+LEN("购机"),LEN(J230)),IF(ISNUMBER(SEARCH("秀图",J230)),"【秀图】"&amp;MID(J230,SEARCH("秀图",J230)+LEN("秀图"),LEN(J230)),"")))),IFERROR(LEFT(_xlpm.A,FIND("【",_xlpm.A,FIND("】",_xlpm.A)+1)-1)&amp;MID(_xlpm.A,FIND("】",_xlpm.A,FIND("】",_xlpm.A)+1)+1,LEN(_xlpm.A)),_xlpm.A))</f>
        <v/>
      </c>
      <c r="F230" s="18" t="str">
        <f>_xlfn.LET(_xlpm.A,IF(ISNUMBER(SEARCH("晒单",K230)),"【晒单】"&amp;MID(K230,SEARCH("晒单",K230)+LEN("晒单"),LEN(K230))&amp;"（需晒单后联系客服登记）",IF(ISNUMBER(SEARCH("包修",K230)),"【购机】"&amp;MID(K230,SEARCH("购机",K230)+LEN("购机"),LEN(K230)),IF(ISNUMBER(SEARCH("叠放支架",K230)),"【赠品】"&amp;MID(K230,SEARCH("购机",K230)+LEN("购机"),LEN(K230)),IF(ISNUMBER(SEARCH("秀图",K230)),"【秀图】"&amp;MID(K230,SEARCH("秀图",K230)+LEN("秀图"),LEN(K230)),"")))),IFERROR(LEFT(_xlpm.A,FIND("【",_xlpm.A,FIND("】",_xlpm.A)+1)-1)&amp;MID(_xlpm.A,FIND("】",_xlpm.A,FIND("】",_xlpm.A)+1)+1,LEN(_xlpm.A)),_xlpm.A))</f>
        <v/>
      </c>
      <c r="G230" s="18" t="str">
        <f>_xlfn.LET(_xlpm.A,IF(ISNUMBER(SEARCH("晒单",L230)),"【晒单】"&amp;MID(L230,SEARCH("晒单",L230)+LEN("晒单"),LEN(L230))&amp;"（需晒单后联系客服登记）",IF(ISNUMBER(SEARCH("包修",L230)),"【购机】"&amp;MID(L230,SEARCH("购机",L230)+LEN("购机"),LEN(L230)),IF(ISNUMBER(SEARCH("叠放支架",L230)),"【赠品】"&amp;MID(L230,SEARCH("购机",L230)+LEN("购机"),LEN(L230)),IF(ISNUMBER(SEARCH("秀图",L230)),"【秀图】"&amp;MID(L230,SEARCH("秀图",L230)+LEN("秀图"),LEN(L230)),"")))),IFERROR(LEFT(_xlpm.A,FIND("【",_xlpm.A,FIND("】",_xlpm.A)+1)-1)&amp;MID(_xlpm.A,FIND("】",_xlpm.A,FIND("】",_xlpm.A)+1)+1,LEN(_xlpm.A)),_xlpm.A))</f>
        <v/>
      </c>
      <c r="H230" s="18" t="str">
        <f>_xlfn.LET(_xlpm.A,IF(ISNUMBER(SEARCH("晒单",M230)),"【晒单】"&amp;MID(M230,SEARCH("晒单",M230)+LEN("晒单"),LEN(M230))&amp;"（需晒单后联系客服登记）",IF(ISNUMBER(SEARCH("包修",M230)),"【购机】"&amp;MID(M230,SEARCH("购机",M230)+LEN("购机"),LEN(M230)),IF(ISNUMBER(SEARCH("叠放支架",M230)),"【赠品】"&amp;MID(M230,SEARCH("购机",M230)+LEN("购机"),LEN(M230)),IF(ISNUMBER(SEARCH("秀图",M230)),"【秀图】"&amp;MID(M230,SEARCH("秀图",M230)+LEN("秀图"),LEN(M230)),"")))),IFERROR(LEFT(_xlpm.A,FIND("【",_xlpm.A,FIND("】",_xlpm.A)+1)-1)&amp;MID(_xlpm.A,FIND("】",_xlpm.A,FIND("】",_xlpm.A)+1)+1,LEN(_xlpm.A)),_xlpm.A))</f>
        <v/>
      </c>
      <c r="I230" s="18" t="str">
        <f>_xlfn.LET(_xlpm.A,IF(ISNUMBER(SEARCH("晒单",N230)),"【晒单】"&amp;MID(N230,SEARCH("晒单",N230)+LEN("晒单"),LEN(N230))&amp;"（需晒单后联系客服登记）",IF(ISNUMBER(SEARCH("包修",N230)),"【购机】"&amp;MID(N230,SEARCH("购机",N230)+LEN("购机"),LEN(N230)),IF(ISNUMBER(SEARCH("叠放支架",N230)),"【赠品】"&amp;MID(N230,SEARCH("购机",N230)+LEN("购机"),LEN(N230)),IF(ISNUMBER(SEARCH("秀图",N230)),"【秀图】"&amp;MID(N230,SEARCH("秀图",N230)+LEN("秀图"),LEN(N230)),"")))),IFERROR(LEFT(_xlpm.A,FIND("【",_xlpm.A,FIND("】",_xlpm.A)+1)-1)&amp;MID(_xlpm.A,FIND("】",_xlpm.A,FIND("】",_xlpm.A)+1)+1,LEN(_xlpm.A)),_xlpm.A))</f>
        <v/>
      </c>
      <c r="J230" s="18" t="str" cm="1">
        <f t="array" ref="J230">IFERROR(INDEX(_xlfn.TEXTSPLIT(_xlfn.XLOOKUP($A230&amp;$B230&amp;$C230,盘货信息!$A:$A&amp;盘货信息!$B:$B&amp;盘货信息!$C:$C,盘货信息!$S:$S),CHAR(10),,TRUE),1,COLUMN(A229)),"")</f>
        <v/>
      </c>
      <c r="K230" s="18" t="str" cm="1">
        <f t="array" ref="K230">IFERROR(INDEX(_xlfn.TEXTSPLIT(_xlfn.XLOOKUP($A230&amp;$B230&amp;$C230,盘货信息!$A:$A&amp;盘货信息!$B:$B&amp;盘货信息!$C:$C,盘货信息!$S:$S),CHAR(10),,TRUE),1,COLUMN(B229)),"")</f>
        <v/>
      </c>
      <c r="L230" s="18" t="str" cm="1">
        <f t="array" ref="L230">IFERROR(INDEX(_xlfn.TEXTSPLIT(_xlfn.XLOOKUP($A230&amp;$B230&amp;$C230,盘货信息!$A:$A&amp;盘货信息!$B:$B&amp;盘货信息!$C:$C,盘货信息!$S:$S),CHAR(10),,TRUE),1,COLUMN(C229)),"")</f>
        <v/>
      </c>
      <c r="M230" s="18" t="str" cm="1">
        <f t="array" ref="M230">IFERROR(INDEX(_xlfn.TEXTSPLIT(_xlfn.XLOOKUP($A230&amp;$B230&amp;$C230,盘货信息!$A:$A&amp;盘货信息!$B:$B&amp;盘货信息!$C:$C,盘货信息!$S:$S),CHAR(10),,TRUE),1,COLUMN(D229)),"")</f>
        <v/>
      </c>
      <c r="N230" s="18" t="str" cm="1">
        <f t="array" ref="N230">IFERROR(INDEX(_xlfn.TEXTSPLIT(_xlfn.XLOOKUP($A230&amp;$B230&amp;$C230,盘货信息!$A:$A&amp;盘货信息!$B:$B&amp;盘货信息!$C:$C,盘货信息!$S:$S),CHAR(10),,TRUE),1,COLUMN(E229)),"")</f>
        <v/>
      </c>
    </row>
    <row r="231" customHeight="1" spans="1:14">
      <c r="A231" s="17" t="str">
        <f>IF(盘货信息!A231="","",盘货信息!A231)</f>
        <v/>
      </c>
      <c r="B231" s="17" t="str">
        <f>IF(盘货信息!B231="","",盘货信息!B231)</f>
        <v/>
      </c>
      <c r="C231" s="18" t="str">
        <f>IF(盘货信息!C231="","",盘货信息!C231)</f>
        <v/>
      </c>
      <c r="D231" s="18" t="str">
        <f t="shared" si="3"/>
        <v/>
      </c>
      <c r="E231" s="18" t="str">
        <f>_xlfn.LET(_xlpm.A,IF(ISNUMBER(SEARCH("晒单",J231)),"【晒单】"&amp;MID(J231,SEARCH("晒单",J231)+LEN("晒单"),LEN(J231))&amp;"（需晒单后联系客服登记）",IF(ISNUMBER(SEARCH("包修",J231)),"【购机】"&amp;MID(J231,SEARCH("购机",J231)+LEN("购机"),LEN(J231)),IF(ISNUMBER(SEARCH("叠放支架",J231)),"【赠品】"&amp;MID(J231,SEARCH("购机",J231)+LEN("购机"),LEN(J231)),IF(ISNUMBER(SEARCH("秀图",J231)),"【秀图】"&amp;MID(J231,SEARCH("秀图",J231)+LEN("秀图"),LEN(J231)),"")))),IFERROR(LEFT(_xlpm.A,FIND("【",_xlpm.A,FIND("】",_xlpm.A)+1)-1)&amp;MID(_xlpm.A,FIND("】",_xlpm.A,FIND("】",_xlpm.A)+1)+1,LEN(_xlpm.A)),_xlpm.A))</f>
        <v/>
      </c>
      <c r="F231" s="18" t="str">
        <f>_xlfn.LET(_xlpm.A,IF(ISNUMBER(SEARCH("晒单",K231)),"【晒单】"&amp;MID(K231,SEARCH("晒单",K231)+LEN("晒单"),LEN(K231))&amp;"（需晒单后联系客服登记）",IF(ISNUMBER(SEARCH("包修",K231)),"【购机】"&amp;MID(K231,SEARCH("购机",K231)+LEN("购机"),LEN(K231)),IF(ISNUMBER(SEARCH("叠放支架",K231)),"【赠品】"&amp;MID(K231,SEARCH("购机",K231)+LEN("购机"),LEN(K231)),IF(ISNUMBER(SEARCH("秀图",K231)),"【秀图】"&amp;MID(K231,SEARCH("秀图",K231)+LEN("秀图"),LEN(K231)),"")))),IFERROR(LEFT(_xlpm.A,FIND("【",_xlpm.A,FIND("】",_xlpm.A)+1)-1)&amp;MID(_xlpm.A,FIND("】",_xlpm.A,FIND("】",_xlpm.A)+1)+1,LEN(_xlpm.A)),_xlpm.A))</f>
        <v/>
      </c>
      <c r="G231" s="18" t="str">
        <f>_xlfn.LET(_xlpm.A,IF(ISNUMBER(SEARCH("晒单",L231)),"【晒单】"&amp;MID(L231,SEARCH("晒单",L231)+LEN("晒单"),LEN(L231))&amp;"（需晒单后联系客服登记）",IF(ISNUMBER(SEARCH("包修",L231)),"【购机】"&amp;MID(L231,SEARCH("购机",L231)+LEN("购机"),LEN(L231)),IF(ISNUMBER(SEARCH("叠放支架",L231)),"【赠品】"&amp;MID(L231,SEARCH("购机",L231)+LEN("购机"),LEN(L231)),IF(ISNUMBER(SEARCH("秀图",L231)),"【秀图】"&amp;MID(L231,SEARCH("秀图",L231)+LEN("秀图"),LEN(L231)),"")))),IFERROR(LEFT(_xlpm.A,FIND("【",_xlpm.A,FIND("】",_xlpm.A)+1)-1)&amp;MID(_xlpm.A,FIND("】",_xlpm.A,FIND("】",_xlpm.A)+1)+1,LEN(_xlpm.A)),_xlpm.A))</f>
        <v/>
      </c>
      <c r="H231" s="18" t="str">
        <f>_xlfn.LET(_xlpm.A,IF(ISNUMBER(SEARCH("晒单",M231)),"【晒单】"&amp;MID(M231,SEARCH("晒单",M231)+LEN("晒单"),LEN(M231))&amp;"（需晒单后联系客服登记）",IF(ISNUMBER(SEARCH("包修",M231)),"【购机】"&amp;MID(M231,SEARCH("购机",M231)+LEN("购机"),LEN(M231)),IF(ISNUMBER(SEARCH("叠放支架",M231)),"【赠品】"&amp;MID(M231,SEARCH("购机",M231)+LEN("购机"),LEN(M231)),IF(ISNUMBER(SEARCH("秀图",M231)),"【秀图】"&amp;MID(M231,SEARCH("秀图",M231)+LEN("秀图"),LEN(M231)),"")))),IFERROR(LEFT(_xlpm.A,FIND("【",_xlpm.A,FIND("】",_xlpm.A)+1)-1)&amp;MID(_xlpm.A,FIND("】",_xlpm.A,FIND("】",_xlpm.A)+1)+1,LEN(_xlpm.A)),_xlpm.A))</f>
        <v/>
      </c>
      <c r="I231" s="18" t="str">
        <f>_xlfn.LET(_xlpm.A,IF(ISNUMBER(SEARCH("晒单",N231)),"【晒单】"&amp;MID(N231,SEARCH("晒单",N231)+LEN("晒单"),LEN(N231))&amp;"（需晒单后联系客服登记）",IF(ISNUMBER(SEARCH("包修",N231)),"【购机】"&amp;MID(N231,SEARCH("购机",N231)+LEN("购机"),LEN(N231)),IF(ISNUMBER(SEARCH("叠放支架",N231)),"【赠品】"&amp;MID(N231,SEARCH("购机",N231)+LEN("购机"),LEN(N231)),IF(ISNUMBER(SEARCH("秀图",N231)),"【秀图】"&amp;MID(N231,SEARCH("秀图",N231)+LEN("秀图"),LEN(N231)),"")))),IFERROR(LEFT(_xlpm.A,FIND("【",_xlpm.A,FIND("】",_xlpm.A)+1)-1)&amp;MID(_xlpm.A,FIND("】",_xlpm.A,FIND("】",_xlpm.A)+1)+1,LEN(_xlpm.A)),_xlpm.A))</f>
        <v/>
      </c>
      <c r="J231" s="18" t="str" cm="1">
        <f t="array" ref="J231">IFERROR(INDEX(_xlfn.TEXTSPLIT(_xlfn.XLOOKUP($A231&amp;$B231&amp;$C231,盘货信息!$A:$A&amp;盘货信息!$B:$B&amp;盘货信息!$C:$C,盘货信息!$S:$S),CHAR(10),,TRUE),1,COLUMN(A230)),"")</f>
        <v/>
      </c>
      <c r="K231" s="18" t="str" cm="1">
        <f t="array" ref="K231">IFERROR(INDEX(_xlfn.TEXTSPLIT(_xlfn.XLOOKUP($A231&amp;$B231&amp;$C231,盘货信息!$A:$A&amp;盘货信息!$B:$B&amp;盘货信息!$C:$C,盘货信息!$S:$S),CHAR(10),,TRUE),1,COLUMN(B230)),"")</f>
        <v/>
      </c>
      <c r="L231" s="18" t="str" cm="1">
        <f t="array" ref="L231">IFERROR(INDEX(_xlfn.TEXTSPLIT(_xlfn.XLOOKUP($A231&amp;$B231&amp;$C231,盘货信息!$A:$A&amp;盘货信息!$B:$B&amp;盘货信息!$C:$C,盘货信息!$S:$S),CHAR(10),,TRUE),1,COLUMN(C230)),"")</f>
        <v/>
      </c>
      <c r="M231" s="18" t="str" cm="1">
        <f t="array" ref="M231">IFERROR(INDEX(_xlfn.TEXTSPLIT(_xlfn.XLOOKUP($A231&amp;$B231&amp;$C231,盘货信息!$A:$A&amp;盘货信息!$B:$B&amp;盘货信息!$C:$C,盘货信息!$S:$S),CHAR(10),,TRUE),1,COLUMN(D230)),"")</f>
        <v/>
      </c>
      <c r="N231" s="18" t="str" cm="1">
        <f t="array" ref="N231">IFERROR(INDEX(_xlfn.TEXTSPLIT(_xlfn.XLOOKUP($A231&amp;$B231&amp;$C231,盘货信息!$A:$A&amp;盘货信息!$B:$B&amp;盘货信息!$C:$C,盘货信息!$S:$S),CHAR(10),,TRUE),1,COLUMN(E230)),"")</f>
        <v/>
      </c>
    </row>
    <row r="232" customHeight="1" spans="1:14">
      <c r="A232" s="17" t="str">
        <f>IF(盘货信息!A232="","",盘货信息!A232)</f>
        <v/>
      </c>
      <c r="B232" s="17" t="str">
        <f>IF(盘货信息!B232="","",盘货信息!B232)</f>
        <v/>
      </c>
      <c r="C232" s="18" t="str">
        <f>IF(盘货信息!C232="","",盘货信息!C232)</f>
        <v/>
      </c>
      <c r="D232" s="18" t="str">
        <f t="shared" si="3"/>
        <v/>
      </c>
      <c r="E232" s="18" t="str">
        <f>_xlfn.LET(_xlpm.A,IF(ISNUMBER(SEARCH("晒单",J232)),"【晒单】"&amp;MID(J232,SEARCH("晒单",J232)+LEN("晒单"),LEN(J232))&amp;"（需晒单后联系客服登记）",IF(ISNUMBER(SEARCH("包修",J232)),"【购机】"&amp;MID(J232,SEARCH("购机",J232)+LEN("购机"),LEN(J232)),IF(ISNUMBER(SEARCH("叠放支架",J232)),"【赠品】"&amp;MID(J232,SEARCH("购机",J232)+LEN("购机"),LEN(J232)),IF(ISNUMBER(SEARCH("秀图",J232)),"【秀图】"&amp;MID(J232,SEARCH("秀图",J232)+LEN("秀图"),LEN(J232)),"")))),IFERROR(LEFT(_xlpm.A,FIND("【",_xlpm.A,FIND("】",_xlpm.A)+1)-1)&amp;MID(_xlpm.A,FIND("】",_xlpm.A,FIND("】",_xlpm.A)+1)+1,LEN(_xlpm.A)),_xlpm.A))</f>
        <v/>
      </c>
      <c r="F232" s="18" t="str">
        <f>_xlfn.LET(_xlpm.A,IF(ISNUMBER(SEARCH("晒单",K232)),"【晒单】"&amp;MID(K232,SEARCH("晒单",K232)+LEN("晒单"),LEN(K232))&amp;"（需晒单后联系客服登记）",IF(ISNUMBER(SEARCH("包修",K232)),"【购机】"&amp;MID(K232,SEARCH("购机",K232)+LEN("购机"),LEN(K232)),IF(ISNUMBER(SEARCH("叠放支架",K232)),"【赠品】"&amp;MID(K232,SEARCH("购机",K232)+LEN("购机"),LEN(K232)),IF(ISNUMBER(SEARCH("秀图",K232)),"【秀图】"&amp;MID(K232,SEARCH("秀图",K232)+LEN("秀图"),LEN(K232)),"")))),IFERROR(LEFT(_xlpm.A,FIND("【",_xlpm.A,FIND("】",_xlpm.A)+1)-1)&amp;MID(_xlpm.A,FIND("】",_xlpm.A,FIND("】",_xlpm.A)+1)+1,LEN(_xlpm.A)),_xlpm.A))</f>
        <v/>
      </c>
      <c r="G232" s="18" t="str">
        <f>_xlfn.LET(_xlpm.A,IF(ISNUMBER(SEARCH("晒单",L232)),"【晒单】"&amp;MID(L232,SEARCH("晒单",L232)+LEN("晒单"),LEN(L232))&amp;"（需晒单后联系客服登记）",IF(ISNUMBER(SEARCH("包修",L232)),"【购机】"&amp;MID(L232,SEARCH("购机",L232)+LEN("购机"),LEN(L232)),IF(ISNUMBER(SEARCH("叠放支架",L232)),"【赠品】"&amp;MID(L232,SEARCH("购机",L232)+LEN("购机"),LEN(L232)),IF(ISNUMBER(SEARCH("秀图",L232)),"【秀图】"&amp;MID(L232,SEARCH("秀图",L232)+LEN("秀图"),LEN(L232)),"")))),IFERROR(LEFT(_xlpm.A,FIND("【",_xlpm.A,FIND("】",_xlpm.A)+1)-1)&amp;MID(_xlpm.A,FIND("】",_xlpm.A,FIND("】",_xlpm.A)+1)+1,LEN(_xlpm.A)),_xlpm.A))</f>
        <v/>
      </c>
      <c r="H232" s="18" t="str">
        <f>_xlfn.LET(_xlpm.A,IF(ISNUMBER(SEARCH("晒单",M232)),"【晒单】"&amp;MID(M232,SEARCH("晒单",M232)+LEN("晒单"),LEN(M232))&amp;"（需晒单后联系客服登记）",IF(ISNUMBER(SEARCH("包修",M232)),"【购机】"&amp;MID(M232,SEARCH("购机",M232)+LEN("购机"),LEN(M232)),IF(ISNUMBER(SEARCH("叠放支架",M232)),"【赠品】"&amp;MID(M232,SEARCH("购机",M232)+LEN("购机"),LEN(M232)),IF(ISNUMBER(SEARCH("秀图",M232)),"【秀图】"&amp;MID(M232,SEARCH("秀图",M232)+LEN("秀图"),LEN(M232)),"")))),IFERROR(LEFT(_xlpm.A,FIND("【",_xlpm.A,FIND("】",_xlpm.A)+1)-1)&amp;MID(_xlpm.A,FIND("】",_xlpm.A,FIND("】",_xlpm.A)+1)+1,LEN(_xlpm.A)),_xlpm.A))</f>
        <v/>
      </c>
      <c r="I232" s="18" t="str">
        <f>_xlfn.LET(_xlpm.A,IF(ISNUMBER(SEARCH("晒单",N232)),"【晒单】"&amp;MID(N232,SEARCH("晒单",N232)+LEN("晒单"),LEN(N232))&amp;"（需晒单后联系客服登记）",IF(ISNUMBER(SEARCH("包修",N232)),"【购机】"&amp;MID(N232,SEARCH("购机",N232)+LEN("购机"),LEN(N232)),IF(ISNUMBER(SEARCH("叠放支架",N232)),"【赠品】"&amp;MID(N232,SEARCH("购机",N232)+LEN("购机"),LEN(N232)),IF(ISNUMBER(SEARCH("秀图",N232)),"【秀图】"&amp;MID(N232,SEARCH("秀图",N232)+LEN("秀图"),LEN(N232)),"")))),IFERROR(LEFT(_xlpm.A,FIND("【",_xlpm.A,FIND("】",_xlpm.A)+1)-1)&amp;MID(_xlpm.A,FIND("】",_xlpm.A,FIND("】",_xlpm.A)+1)+1,LEN(_xlpm.A)),_xlpm.A))</f>
        <v/>
      </c>
      <c r="J232" s="18" t="str" cm="1">
        <f t="array" ref="J232">IFERROR(INDEX(_xlfn.TEXTSPLIT(_xlfn.XLOOKUP($A232&amp;$B232&amp;$C232,盘货信息!$A:$A&amp;盘货信息!$B:$B&amp;盘货信息!$C:$C,盘货信息!$S:$S),CHAR(10),,TRUE),1,COLUMN(A231)),"")</f>
        <v/>
      </c>
      <c r="K232" s="18" t="str" cm="1">
        <f t="array" ref="K232">IFERROR(INDEX(_xlfn.TEXTSPLIT(_xlfn.XLOOKUP($A232&amp;$B232&amp;$C232,盘货信息!$A:$A&amp;盘货信息!$B:$B&amp;盘货信息!$C:$C,盘货信息!$S:$S),CHAR(10),,TRUE),1,COLUMN(B231)),"")</f>
        <v/>
      </c>
      <c r="L232" s="18" t="str" cm="1">
        <f t="array" ref="L232">IFERROR(INDEX(_xlfn.TEXTSPLIT(_xlfn.XLOOKUP($A232&amp;$B232&amp;$C232,盘货信息!$A:$A&amp;盘货信息!$B:$B&amp;盘货信息!$C:$C,盘货信息!$S:$S),CHAR(10),,TRUE),1,COLUMN(C231)),"")</f>
        <v/>
      </c>
      <c r="M232" s="18" t="str" cm="1">
        <f t="array" ref="M232">IFERROR(INDEX(_xlfn.TEXTSPLIT(_xlfn.XLOOKUP($A232&amp;$B232&amp;$C232,盘货信息!$A:$A&amp;盘货信息!$B:$B&amp;盘货信息!$C:$C,盘货信息!$S:$S),CHAR(10),,TRUE),1,COLUMN(D231)),"")</f>
        <v/>
      </c>
      <c r="N232" s="18" t="str" cm="1">
        <f t="array" ref="N232">IFERROR(INDEX(_xlfn.TEXTSPLIT(_xlfn.XLOOKUP($A232&amp;$B232&amp;$C232,盘货信息!$A:$A&amp;盘货信息!$B:$B&amp;盘货信息!$C:$C,盘货信息!$S:$S),CHAR(10),,TRUE),1,COLUMN(E231)),"")</f>
        <v/>
      </c>
    </row>
    <row r="233" customHeight="1" spans="1:14">
      <c r="A233" s="17" t="str">
        <f>IF(盘货信息!A233="","",盘货信息!A233)</f>
        <v/>
      </c>
      <c r="B233" s="17" t="str">
        <f>IF(盘货信息!B233="","",盘货信息!B233)</f>
        <v/>
      </c>
      <c r="C233" s="18" t="str">
        <f>IF(盘货信息!C233="","",盘货信息!C233)</f>
        <v/>
      </c>
      <c r="D233" s="18" t="str">
        <f t="shared" si="3"/>
        <v/>
      </c>
      <c r="E233" s="18" t="str">
        <f>_xlfn.LET(_xlpm.A,IF(ISNUMBER(SEARCH("晒单",J233)),"【晒单】"&amp;MID(J233,SEARCH("晒单",J233)+LEN("晒单"),LEN(J233))&amp;"（需晒单后联系客服登记）",IF(ISNUMBER(SEARCH("包修",J233)),"【购机】"&amp;MID(J233,SEARCH("购机",J233)+LEN("购机"),LEN(J233)),IF(ISNUMBER(SEARCH("叠放支架",J233)),"【赠品】"&amp;MID(J233,SEARCH("购机",J233)+LEN("购机"),LEN(J233)),IF(ISNUMBER(SEARCH("秀图",J233)),"【秀图】"&amp;MID(J233,SEARCH("秀图",J233)+LEN("秀图"),LEN(J233)),"")))),IFERROR(LEFT(_xlpm.A,FIND("【",_xlpm.A,FIND("】",_xlpm.A)+1)-1)&amp;MID(_xlpm.A,FIND("】",_xlpm.A,FIND("】",_xlpm.A)+1)+1,LEN(_xlpm.A)),_xlpm.A))</f>
        <v/>
      </c>
      <c r="F233" s="18" t="str">
        <f>_xlfn.LET(_xlpm.A,IF(ISNUMBER(SEARCH("晒单",K233)),"【晒单】"&amp;MID(K233,SEARCH("晒单",K233)+LEN("晒单"),LEN(K233))&amp;"（需晒单后联系客服登记）",IF(ISNUMBER(SEARCH("包修",K233)),"【购机】"&amp;MID(K233,SEARCH("购机",K233)+LEN("购机"),LEN(K233)),IF(ISNUMBER(SEARCH("叠放支架",K233)),"【赠品】"&amp;MID(K233,SEARCH("购机",K233)+LEN("购机"),LEN(K233)),IF(ISNUMBER(SEARCH("秀图",K233)),"【秀图】"&amp;MID(K233,SEARCH("秀图",K233)+LEN("秀图"),LEN(K233)),"")))),IFERROR(LEFT(_xlpm.A,FIND("【",_xlpm.A,FIND("】",_xlpm.A)+1)-1)&amp;MID(_xlpm.A,FIND("】",_xlpm.A,FIND("】",_xlpm.A)+1)+1,LEN(_xlpm.A)),_xlpm.A))</f>
        <v/>
      </c>
      <c r="G233" s="18" t="str">
        <f>_xlfn.LET(_xlpm.A,IF(ISNUMBER(SEARCH("晒单",L233)),"【晒单】"&amp;MID(L233,SEARCH("晒单",L233)+LEN("晒单"),LEN(L233))&amp;"（需晒单后联系客服登记）",IF(ISNUMBER(SEARCH("包修",L233)),"【购机】"&amp;MID(L233,SEARCH("购机",L233)+LEN("购机"),LEN(L233)),IF(ISNUMBER(SEARCH("叠放支架",L233)),"【赠品】"&amp;MID(L233,SEARCH("购机",L233)+LEN("购机"),LEN(L233)),IF(ISNUMBER(SEARCH("秀图",L233)),"【秀图】"&amp;MID(L233,SEARCH("秀图",L233)+LEN("秀图"),LEN(L233)),"")))),IFERROR(LEFT(_xlpm.A,FIND("【",_xlpm.A,FIND("】",_xlpm.A)+1)-1)&amp;MID(_xlpm.A,FIND("】",_xlpm.A,FIND("】",_xlpm.A)+1)+1,LEN(_xlpm.A)),_xlpm.A))</f>
        <v/>
      </c>
      <c r="H233" s="18" t="str">
        <f>_xlfn.LET(_xlpm.A,IF(ISNUMBER(SEARCH("晒单",M233)),"【晒单】"&amp;MID(M233,SEARCH("晒单",M233)+LEN("晒单"),LEN(M233))&amp;"（需晒单后联系客服登记）",IF(ISNUMBER(SEARCH("包修",M233)),"【购机】"&amp;MID(M233,SEARCH("购机",M233)+LEN("购机"),LEN(M233)),IF(ISNUMBER(SEARCH("叠放支架",M233)),"【赠品】"&amp;MID(M233,SEARCH("购机",M233)+LEN("购机"),LEN(M233)),IF(ISNUMBER(SEARCH("秀图",M233)),"【秀图】"&amp;MID(M233,SEARCH("秀图",M233)+LEN("秀图"),LEN(M233)),"")))),IFERROR(LEFT(_xlpm.A,FIND("【",_xlpm.A,FIND("】",_xlpm.A)+1)-1)&amp;MID(_xlpm.A,FIND("】",_xlpm.A,FIND("】",_xlpm.A)+1)+1,LEN(_xlpm.A)),_xlpm.A))</f>
        <v/>
      </c>
      <c r="I233" s="18" t="str">
        <f>_xlfn.LET(_xlpm.A,IF(ISNUMBER(SEARCH("晒单",N233)),"【晒单】"&amp;MID(N233,SEARCH("晒单",N233)+LEN("晒单"),LEN(N233))&amp;"（需晒单后联系客服登记）",IF(ISNUMBER(SEARCH("包修",N233)),"【购机】"&amp;MID(N233,SEARCH("购机",N233)+LEN("购机"),LEN(N233)),IF(ISNUMBER(SEARCH("叠放支架",N233)),"【赠品】"&amp;MID(N233,SEARCH("购机",N233)+LEN("购机"),LEN(N233)),IF(ISNUMBER(SEARCH("秀图",N233)),"【秀图】"&amp;MID(N233,SEARCH("秀图",N233)+LEN("秀图"),LEN(N233)),"")))),IFERROR(LEFT(_xlpm.A,FIND("【",_xlpm.A,FIND("】",_xlpm.A)+1)-1)&amp;MID(_xlpm.A,FIND("】",_xlpm.A,FIND("】",_xlpm.A)+1)+1,LEN(_xlpm.A)),_xlpm.A))</f>
        <v/>
      </c>
      <c r="J233" s="18" t="str" cm="1">
        <f t="array" ref="J233">IFERROR(INDEX(_xlfn.TEXTSPLIT(_xlfn.XLOOKUP($A233&amp;$B233&amp;$C233,盘货信息!$A:$A&amp;盘货信息!$B:$B&amp;盘货信息!$C:$C,盘货信息!$S:$S),CHAR(10),,TRUE),1,COLUMN(A232)),"")</f>
        <v/>
      </c>
      <c r="K233" s="18" t="str" cm="1">
        <f t="array" ref="K233">IFERROR(INDEX(_xlfn.TEXTSPLIT(_xlfn.XLOOKUP($A233&amp;$B233&amp;$C233,盘货信息!$A:$A&amp;盘货信息!$B:$B&amp;盘货信息!$C:$C,盘货信息!$S:$S),CHAR(10),,TRUE),1,COLUMN(B232)),"")</f>
        <v/>
      </c>
      <c r="L233" s="18" t="str" cm="1">
        <f t="array" ref="L233">IFERROR(INDEX(_xlfn.TEXTSPLIT(_xlfn.XLOOKUP($A233&amp;$B233&amp;$C233,盘货信息!$A:$A&amp;盘货信息!$B:$B&amp;盘货信息!$C:$C,盘货信息!$S:$S),CHAR(10),,TRUE),1,COLUMN(C232)),"")</f>
        <v/>
      </c>
      <c r="M233" s="18" t="str" cm="1">
        <f t="array" ref="M233">IFERROR(INDEX(_xlfn.TEXTSPLIT(_xlfn.XLOOKUP($A233&amp;$B233&amp;$C233,盘货信息!$A:$A&amp;盘货信息!$B:$B&amp;盘货信息!$C:$C,盘货信息!$S:$S),CHAR(10),,TRUE),1,COLUMN(D232)),"")</f>
        <v/>
      </c>
      <c r="N233" s="18" t="str" cm="1">
        <f t="array" ref="N233">IFERROR(INDEX(_xlfn.TEXTSPLIT(_xlfn.XLOOKUP($A233&amp;$B233&amp;$C233,盘货信息!$A:$A&amp;盘货信息!$B:$B&amp;盘货信息!$C:$C,盘货信息!$S:$S),CHAR(10),,TRUE),1,COLUMN(E232)),"")</f>
        <v/>
      </c>
    </row>
    <row r="234" customHeight="1" spans="1:14">
      <c r="A234" s="17" t="str">
        <f>IF(盘货信息!A234="","",盘货信息!A234)</f>
        <v/>
      </c>
      <c r="B234" s="17" t="str">
        <f>IF(盘货信息!B234="","",盘货信息!B234)</f>
        <v/>
      </c>
      <c r="C234" s="18" t="str">
        <f>IF(盘货信息!C234="","",盘货信息!C234)</f>
        <v/>
      </c>
      <c r="D234" s="18" t="str">
        <f t="shared" si="3"/>
        <v/>
      </c>
      <c r="E234" s="18" t="str">
        <f>_xlfn.LET(_xlpm.A,IF(ISNUMBER(SEARCH("晒单",J234)),"【晒单】"&amp;MID(J234,SEARCH("晒单",J234)+LEN("晒单"),LEN(J234))&amp;"（需晒单后联系客服登记）",IF(ISNUMBER(SEARCH("包修",J234)),"【购机】"&amp;MID(J234,SEARCH("购机",J234)+LEN("购机"),LEN(J234)),IF(ISNUMBER(SEARCH("叠放支架",J234)),"【赠品】"&amp;MID(J234,SEARCH("购机",J234)+LEN("购机"),LEN(J234)),IF(ISNUMBER(SEARCH("秀图",J234)),"【秀图】"&amp;MID(J234,SEARCH("秀图",J234)+LEN("秀图"),LEN(J234)),"")))),IFERROR(LEFT(_xlpm.A,FIND("【",_xlpm.A,FIND("】",_xlpm.A)+1)-1)&amp;MID(_xlpm.A,FIND("】",_xlpm.A,FIND("】",_xlpm.A)+1)+1,LEN(_xlpm.A)),_xlpm.A))</f>
        <v/>
      </c>
      <c r="F234" s="18" t="str">
        <f>_xlfn.LET(_xlpm.A,IF(ISNUMBER(SEARCH("晒单",K234)),"【晒单】"&amp;MID(K234,SEARCH("晒单",K234)+LEN("晒单"),LEN(K234))&amp;"（需晒单后联系客服登记）",IF(ISNUMBER(SEARCH("包修",K234)),"【购机】"&amp;MID(K234,SEARCH("购机",K234)+LEN("购机"),LEN(K234)),IF(ISNUMBER(SEARCH("叠放支架",K234)),"【赠品】"&amp;MID(K234,SEARCH("购机",K234)+LEN("购机"),LEN(K234)),IF(ISNUMBER(SEARCH("秀图",K234)),"【秀图】"&amp;MID(K234,SEARCH("秀图",K234)+LEN("秀图"),LEN(K234)),"")))),IFERROR(LEFT(_xlpm.A,FIND("【",_xlpm.A,FIND("】",_xlpm.A)+1)-1)&amp;MID(_xlpm.A,FIND("】",_xlpm.A,FIND("】",_xlpm.A)+1)+1,LEN(_xlpm.A)),_xlpm.A))</f>
        <v/>
      </c>
      <c r="G234" s="18" t="str">
        <f>_xlfn.LET(_xlpm.A,IF(ISNUMBER(SEARCH("晒单",L234)),"【晒单】"&amp;MID(L234,SEARCH("晒单",L234)+LEN("晒单"),LEN(L234))&amp;"（需晒单后联系客服登记）",IF(ISNUMBER(SEARCH("包修",L234)),"【购机】"&amp;MID(L234,SEARCH("购机",L234)+LEN("购机"),LEN(L234)),IF(ISNUMBER(SEARCH("叠放支架",L234)),"【赠品】"&amp;MID(L234,SEARCH("购机",L234)+LEN("购机"),LEN(L234)),IF(ISNUMBER(SEARCH("秀图",L234)),"【秀图】"&amp;MID(L234,SEARCH("秀图",L234)+LEN("秀图"),LEN(L234)),"")))),IFERROR(LEFT(_xlpm.A,FIND("【",_xlpm.A,FIND("】",_xlpm.A)+1)-1)&amp;MID(_xlpm.A,FIND("】",_xlpm.A,FIND("】",_xlpm.A)+1)+1,LEN(_xlpm.A)),_xlpm.A))</f>
        <v/>
      </c>
      <c r="H234" s="18" t="str">
        <f>_xlfn.LET(_xlpm.A,IF(ISNUMBER(SEARCH("晒单",M234)),"【晒单】"&amp;MID(M234,SEARCH("晒单",M234)+LEN("晒单"),LEN(M234))&amp;"（需晒单后联系客服登记）",IF(ISNUMBER(SEARCH("包修",M234)),"【购机】"&amp;MID(M234,SEARCH("购机",M234)+LEN("购机"),LEN(M234)),IF(ISNUMBER(SEARCH("叠放支架",M234)),"【赠品】"&amp;MID(M234,SEARCH("购机",M234)+LEN("购机"),LEN(M234)),IF(ISNUMBER(SEARCH("秀图",M234)),"【秀图】"&amp;MID(M234,SEARCH("秀图",M234)+LEN("秀图"),LEN(M234)),"")))),IFERROR(LEFT(_xlpm.A,FIND("【",_xlpm.A,FIND("】",_xlpm.A)+1)-1)&amp;MID(_xlpm.A,FIND("】",_xlpm.A,FIND("】",_xlpm.A)+1)+1,LEN(_xlpm.A)),_xlpm.A))</f>
        <v/>
      </c>
      <c r="I234" s="18" t="str">
        <f>_xlfn.LET(_xlpm.A,IF(ISNUMBER(SEARCH("晒单",N234)),"【晒单】"&amp;MID(N234,SEARCH("晒单",N234)+LEN("晒单"),LEN(N234))&amp;"（需晒单后联系客服登记）",IF(ISNUMBER(SEARCH("包修",N234)),"【购机】"&amp;MID(N234,SEARCH("购机",N234)+LEN("购机"),LEN(N234)),IF(ISNUMBER(SEARCH("叠放支架",N234)),"【赠品】"&amp;MID(N234,SEARCH("购机",N234)+LEN("购机"),LEN(N234)),IF(ISNUMBER(SEARCH("秀图",N234)),"【秀图】"&amp;MID(N234,SEARCH("秀图",N234)+LEN("秀图"),LEN(N234)),"")))),IFERROR(LEFT(_xlpm.A,FIND("【",_xlpm.A,FIND("】",_xlpm.A)+1)-1)&amp;MID(_xlpm.A,FIND("】",_xlpm.A,FIND("】",_xlpm.A)+1)+1,LEN(_xlpm.A)),_xlpm.A))</f>
        <v/>
      </c>
      <c r="J234" s="18" t="str" cm="1">
        <f t="array" ref="J234">IFERROR(INDEX(_xlfn.TEXTSPLIT(_xlfn.XLOOKUP($A234&amp;$B234&amp;$C234,盘货信息!$A:$A&amp;盘货信息!$B:$B&amp;盘货信息!$C:$C,盘货信息!$S:$S),CHAR(10),,TRUE),1,COLUMN(A233)),"")</f>
        <v/>
      </c>
      <c r="K234" s="18" t="str" cm="1">
        <f t="array" ref="K234">IFERROR(INDEX(_xlfn.TEXTSPLIT(_xlfn.XLOOKUP($A234&amp;$B234&amp;$C234,盘货信息!$A:$A&amp;盘货信息!$B:$B&amp;盘货信息!$C:$C,盘货信息!$S:$S),CHAR(10),,TRUE),1,COLUMN(B233)),"")</f>
        <v/>
      </c>
      <c r="L234" s="18" t="str" cm="1">
        <f t="array" ref="L234">IFERROR(INDEX(_xlfn.TEXTSPLIT(_xlfn.XLOOKUP($A234&amp;$B234&amp;$C234,盘货信息!$A:$A&amp;盘货信息!$B:$B&amp;盘货信息!$C:$C,盘货信息!$S:$S),CHAR(10),,TRUE),1,COLUMN(C233)),"")</f>
        <v/>
      </c>
      <c r="M234" s="18" t="str" cm="1">
        <f t="array" ref="M234">IFERROR(INDEX(_xlfn.TEXTSPLIT(_xlfn.XLOOKUP($A234&amp;$B234&amp;$C234,盘货信息!$A:$A&amp;盘货信息!$B:$B&amp;盘货信息!$C:$C,盘货信息!$S:$S),CHAR(10),,TRUE),1,COLUMN(D233)),"")</f>
        <v/>
      </c>
      <c r="N234" s="18" t="str" cm="1">
        <f t="array" ref="N234">IFERROR(INDEX(_xlfn.TEXTSPLIT(_xlfn.XLOOKUP($A234&amp;$B234&amp;$C234,盘货信息!$A:$A&amp;盘货信息!$B:$B&amp;盘货信息!$C:$C,盘货信息!$S:$S),CHAR(10),,TRUE),1,COLUMN(E233)),"")</f>
        <v/>
      </c>
    </row>
    <row r="235" customHeight="1" spans="1:14">
      <c r="A235" s="17" t="str">
        <f>IF(盘货信息!A235="","",盘货信息!A235)</f>
        <v/>
      </c>
      <c r="B235" s="17" t="str">
        <f>IF(盘货信息!B235="","",盘货信息!B235)</f>
        <v/>
      </c>
      <c r="C235" s="18" t="str">
        <f>IF(盘货信息!C235="","",盘货信息!C235)</f>
        <v/>
      </c>
      <c r="D235" s="18" t="str">
        <f t="shared" si="3"/>
        <v/>
      </c>
      <c r="E235" s="18" t="str">
        <f>_xlfn.LET(_xlpm.A,IF(ISNUMBER(SEARCH("晒单",J235)),"【晒单】"&amp;MID(J235,SEARCH("晒单",J235)+LEN("晒单"),LEN(J235))&amp;"（需晒单后联系客服登记）",IF(ISNUMBER(SEARCH("包修",J235)),"【购机】"&amp;MID(J235,SEARCH("购机",J235)+LEN("购机"),LEN(J235)),IF(ISNUMBER(SEARCH("叠放支架",J235)),"【赠品】"&amp;MID(J235,SEARCH("购机",J235)+LEN("购机"),LEN(J235)),IF(ISNUMBER(SEARCH("秀图",J235)),"【秀图】"&amp;MID(J235,SEARCH("秀图",J235)+LEN("秀图"),LEN(J235)),"")))),IFERROR(LEFT(_xlpm.A,FIND("【",_xlpm.A,FIND("】",_xlpm.A)+1)-1)&amp;MID(_xlpm.A,FIND("】",_xlpm.A,FIND("】",_xlpm.A)+1)+1,LEN(_xlpm.A)),_xlpm.A))</f>
        <v/>
      </c>
      <c r="F235" s="18" t="str">
        <f>_xlfn.LET(_xlpm.A,IF(ISNUMBER(SEARCH("晒单",K235)),"【晒单】"&amp;MID(K235,SEARCH("晒单",K235)+LEN("晒单"),LEN(K235))&amp;"（需晒单后联系客服登记）",IF(ISNUMBER(SEARCH("包修",K235)),"【购机】"&amp;MID(K235,SEARCH("购机",K235)+LEN("购机"),LEN(K235)),IF(ISNUMBER(SEARCH("叠放支架",K235)),"【赠品】"&amp;MID(K235,SEARCH("购机",K235)+LEN("购机"),LEN(K235)),IF(ISNUMBER(SEARCH("秀图",K235)),"【秀图】"&amp;MID(K235,SEARCH("秀图",K235)+LEN("秀图"),LEN(K235)),"")))),IFERROR(LEFT(_xlpm.A,FIND("【",_xlpm.A,FIND("】",_xlpm.A)+1)-1)&amp;MID(_xlpm.A,FIND("】",_xlpm.A,FIND("】",_xlpm.A)+1)+1,LEN(_xlpm.A)),_xlpm.A))</f>
        <v/>
      </c>
      <c r="G235" s="18" t="str">
        <f>_xlfn.LET(_xlpm.A,IF(ISNUMBER(SEARCH("晒单",L235)),"【晒单】"&amp;MID(L235,SEARCH("晒单",L235)+LEN("晒单"),LEN(L235))&amp;"（需晒单后联系客服登记）",IF(ISNUMBER(SEARCH("包修",L235)),"【购机】"&amp;MID(L235,SEARCH("购机",L235)+LEN("购机"),LEN(L235)),IF(ISNUMBER(SEARCH("叠放支架",L235)),"【赠品】"&amp;MID(L235,SEARCH("购机",L235)+LEN("购机"),LEN(L235)),IF(ISNUMBER(SEARCH("秀图",L235)),"【秀图】"&amp;MID(L235,SEARCH("秀图",L235)+LEN("秀图"),LEN(L235)),"")))),IFERROR(LEFT(_xlpm.A,FIND("【",_xlpm.A,FIND("】",_xlpm.A)+1)-1)&amp;MID(_xlpm.A,FIND("】",_xlpm.A,FIND("】",_xlpm.A)+1)+1,LEN(_xlpm.A)),_xlpm.A))</f>
        <v/>
      </c>
      <c r="H235" s="18" t="str">
        <f>_xlfn.LET(_xlpm.A,IF(ISNUMBER(SEARCH("晒单",M235)),"【晒单】"&amp;MID(M235,SEARCH("晒单",M235)+LEN("晒单"),LEN(M235))&amp;"（需晒单后联系客服登记）",IF(ISNUMBER(SEARCH("包修",M235)),"【购机】"&amp;MID(M235,SEARCH("购机",M235)+LEN("购机"),LEN(M235)),IF(ISNUMBER(SEARCH("叠放支架",M235)),"【赠品】"&amp;MID(M235,SEARCH("购机",M235)+LEN("购机"),LEN(M235)),IF(ISNUMBER(SEARCH("秀图",M235)),"【秀图】"&amp;MID(M235,SEARCH("秀图",M235)+LEN("秀图"),LEN(M235)),"")))),IFERROR(LEFT(_xlpm.A,FIND("【",_xlpm.A,FIND("】",_xlpm.A)+1)-1)&amp;MID(_xlpm.A,FIND("】",_xlpm.A,FIND("】",_xlpm.A)+1)+1,LEN(_xlpm.A)),_xlpm.A))</f>
        <v/>
      </c>
      <c r="I235" s="18" t="str">
        <f>_xlfn.LET(_xlpm.A,IF(ISNUMBER(SEARCH("晒单",N235)),"【晒单】"&amp;MID(N235,SEARCH("晒单",N235)+LEN("晒单"),LEN(N235))&amp;"（需晒单后联系客服登记）",IF(ISNUMBER(SEARCH("包修",N235)),"【购机】"&amp;MID(N235,SEARCH("购机",N235)+LEN("购机"),LEN(N235)),IF(ISNUMBER(SEARCH("叠放支架",N235)),"【赠品】"&amp;MID(N235,SEARCH("购机",N235)+LEN("购机"),LEN(N235)),IF(ISNUMBER(SEARCH("秀图",N235)),"【秀图】"&amp;MID(N235,SEARCH("秀图",N235)+LEN("秀图"),LEN(N235)),"")))),IFERROR(LEFT(_xlpm.A,FIND("【",_xlpm.A,FIND("】",_xlpm.A)+1)-1)&amp;MID(_xlpm.A,FIND("】",_xlpm.A,FIND("】",_xlpm.A)+1)+1,LEN(_xlpm.A)),_xlpm.A))</f>
        <v/>
      </c>
      <c r="J235" s="18" t="str" cm="1">
        <f t="array" ref="J235">IFERROR(INDEX(_xlfn.TEXTSPLIT(_xlfn.XLOOKUP($A235&amp;$B235&amp;$C235,盘货信息!$A:$A&amp;盘货信息!$B:$B&amp;盘货信息!$C:$C,盘货信息!$S:$S),CHAR(10),,TRUE),1,COLUMN(A234)),"")</f>
        <v/>
      </c>
      <c r="K235" s="18" t="str" cm="1">
        <f t="array" ref="K235">IFERROR(INDEX(_xlfn.TEXTSPLIT(_xlfn.XLOOKUP($A235&amp;$B235&amp;$C235,盘货信息!$A:$A&amp;盘货信息!$B:$B&amp;盘货信息!$C:$C,盘货信息!$S:$S),CHAR(10),,TRUE),1,COLUMN(B234)),"")</f>
        <v/>
      </c>
      <c r="L235" s="18" t="str" cm="1">
        <f t="array" ref="L235">IFERROR(INDEX(_xlfn.TEXTSPLIT(_xlfn.XLOOKUP($A235&amp;$B235&amp;$C235,盘货信息!$A:$A&amp;盘货信息!$B:$B&amp;盘货信息!$C:$C,盘货信息!$S:$S),CHAR(10),,TRUE),1,COLUMN(C234)),"")</f>
        <v/>
      </c>
      <c r="M235" s="18" t="str" cm="1">
        <f t="array" ref="M235">IFERROR(INDEX(_xlfn.TEXTSPLIT(_xlfn.XLOOKUP($A235&amp;$B235&amp;$C235,盘货信息!$A:$A&amp;盘货信息!$B:$B&amp;盘货信息!$C:$C,盘货信息!$S:$S),CHAR(10),,TRUE),1,COLUMN(D234)),"")</f>
        <v/>
      </c>
      <c r="N235" s="18" t="str" cm="1">
        <f t="array" ref="N235">IFERROR(INDEX(_xlfn.TEXTSPLIT(_xlfn.XLOOKUP($A235&amp;$B235&amp;$C235,盘货信息!$A:$A&amp;盘货信息!$B:$B&amp;盘货信息!$C:$C,盘货信息!$S:$S),CHAR(10),,TRUE),1,COLUMN(E234)),"")</f>
        <v/>
      </c>
    </row>
    <row r="236" customHeight="1" spans="1:14">
      <c r="A236" s="17" t="str">
        <f>IF(盘货信息!A236="","",盘货信息!A236)</f>
        <v/>
      </c>
      <c r="B236" s="17" t="str">
        <f>IF(盘货信息!B236="","",盘货信息!B236)</f>
        <v/>
      </c>
      <c r="C236" s="18" t="str">
        <f>IF(盘货信息!C236="","",盘货信息!C236)</f>
        <v/>
      </c>
      <c r="D236" s="18" t="str">
        <f t="shared" si="3"/>
        <v/>
      </c>
      <c r="E236" s="18" t="str">
        <f>_xlfn.LET(_xlpm.A,IF(ISNUMBER(SEARCH("晒单",J236)),"【晒单】"&amp;MID(J236,SEARCH("晒单",J236)+LEN("晒单"),LEN(J236))&amp;"（需晒单后联系客服登记）",IF(ISNUMBER(SEARCH("包修",J236)),"【购机】"&amp;MID(J236,SEARCH("购机",J236)+LEN("购机"),LEN(J236)),IF(ISNUMBER(SEARCH("叠放支架",J236)),"【赠品】"&amp;MID(J236,SEARCH("购机",J236)+LEN("购机"),LEN(J236)),IF(ISNUMBER(SEARCH("秀图",J236)),"【秀图】"&amp;MID(J236,SEARCH("秀图",J236)+LEN("秀图"),LEN(J236)),"")))),IFERROR(LEFT(_xlpm.A,FIND("【",_xlpm.A,FIND("】",_xlpm.A)+1)-1)&amp;MID(_xlpm.A,FIND("】",_xlpm.A,FIND("】",_xlpm.A)+1)+1,LEN(_xlpm.A)),_xlpm.A))</f>
        <v/>
      </c>
      <c r="F236" s="18" t="str">
        <f>_xlfn.LET(_xlpm.A,IF(ISNUMBER(SEARCH("晒单",K236)),"【晒单】"&amp;MID(K236,SEARCH("晒单",K236)+LEN("晒单"),LEN(K236))&amp;"（需晒单后联系客服登记）",IF(ISNUMBER(SEARCH("包修",K236)),"【购机】"&amp;MID(K236,SEARCH("购机",K236)+LEN("购机"),LEN(K236)),IF(ISNUMBER(SEARCH("叠放支架",K236)),"【赠品】"&amp;MID(K236,SEARCH("购机",K236)+LEN("购机"),LEN(K236)),IF(ISNUMBER(SEARCH("秀图",K236)),"【秀图】"&amp;MID(K236,SEARCH("秀图",K236)+LEN("秀图"),LEN(K236)),"")))),IFERROR(LEFT(_xlpm.A,FIND("【",_xlpm.A,FIND("】",_xlpm.A)+1)-1)&amp;MID(_xlpm.A,FIND("】",_xlpm.A,FIND("】",_xlpm.A)+1)+1,LEN(_xlpm.A)),_xlpm.A))</f>
        <v/>
      </c>
      <c r="G236" s="18" t="str">
        <f>_xlfn.LET(_xlpm.A,IF(ISNUMBER(SEARCH("晒单",L236)),"【晒单】"&amp;MID(L236,SEARCH("晒单",L236)+LEN("晒单"),LEN(L236))&amp;"（需晒单后联系客服登记）",IF(ISNUMBER(SEARCH("包修",L236)),"【购机】"&amp;MID(L236,SEARCH("购机",L236)+LEN("购机"),LEN(L236)),IF(ISNUMBER(SEARCH("叠放支架",L236)),"【赠品】"&amp;MID(L236,SEARCH("购机",L236)+LEN("购机"),LEN(L236)),IF(ISNUMBER(SEARCH("秀图",L236)),"【秀图】"&amp;MID(L236,SEARCH("秀图",L236)+LEN("秀图"),LEN(L236)),"")))),IFERROR(LEFT(_xlpm.A,FIND("【",_xlpm.A,FIND("】",_xlpm.A)+1)-1)&amp;MID(_xlpm.A,FIND("】",_xlpm.A,FIND("】",_xlpm.A)+1)+1,LEN(_xlpm.A)),_xlpm.A))</f>
        <v/>
      </c>
      <c r="H236" s="18" t="str">
        <f>_xlfn.LET(_xlpm.A,IF(ISNUMBER(SEARCH("晒单",M236)),"【晒单】"&amp;MID(M236,SEARCH("晒单",M236)+LEN("晒单"),LEN(M236))&amp;"（需晒单后联系客服登记）",IF(ISNUMBER(SEARCH("包修",M236)),"【购机】"&amp;MID(M236,SEARCH("购机",M236)+LEN("购机"),LEN(M236)),IF(ISNUMBER(SEARCH("叠放支架",M236)),"【赠品】"&amp;MID(M236,SEARCH("购机",M236)+LEN("购机"),LEN(M236)),IF(ISNUMBER(SEARCH("秀图",M236)),"【秀图】"&amp;MID(M236,SEARCH("秀图",M236)+LEN("秀图"),LEN(M236)),"")))),IFERROR(LEFT(_xlpm.A,FIND("【",_xlpm.A,FIND("】",_xlpm.A)+1)-1)&amp;MID(_xlpm.A,FIND("】",_xlpm.A,FIND("】",_xlpm.A)+1)+1,LEN(_xlpm.A)),_xlpm.A))</f>
        <v/>
      </c>
      <c r="I236" s="18" t="str">
        <f>_xlfn.LET(_xlpm.A,IF(ISNUMBER(SEARCH("晒单",N236)),"【晒单】"&amp;MID(N236,SEARCH("晒单",N236)+LEN("晒单"),LEN(N236))&amp;"（需晒单后联系客服登记）",IF(ISNUMBER(SEARCH("包修",N236)),"【购机】"&amp;MID(N236,SEARCH("购机",N236)+LEN("购机"),LEN(N236)),IF(ISNUMBER(SEARCH("叠放支架",N236)),"【赠品】"&amp;MID(N236,SEARCH("购机",N236)+LEN("购机"),LEN(N236)),IF(ISNUMBER(SEARCH("秀图",N236)),"【秀图】"&amp;MID(N236,SEARCH("秀图",N236)+LEN("秀图"),LEN(N236)),"")))),IFERROR(LEFT(_xlpm.A,FIND("【",_xlpm.A,FIND("】",_xlpm.A)+1)-1)&amp;MID(_xlpm.A,FIND("】",_xlpm.A,FIND("】",_xlpm.A)+1)+1,LEN(_xlpm.A)),_xlpm.A))</f>
        <v/>
      </c>
      <c r="J236" s="18" t="str" cm="1">
        <f t="array" ref="J236">IFERROR(INDEX(_xlfn.TEXTSPLIT(_xlfn.XLOOKUP($A236&amp;$B236&amp;$C236,盘货信息!$A:$A&amp;盘货信息!$B:$B&amp;盘货信息!$C:$C,盘货信息!$S:$S),CHAR(10),,TRUE),1,COLUMN(A235)),"")</f>
        <v/>
      </c>
      <c r="K236" s="18" t="str" cm="1">
        <f t="array" ref="K236">IFERROR(INDEX(_xlfn.TEXTSPLIT(_xlfn.XLOOKUP($A236&amp;$B236&amp;$C236,盘货信息!$A:$A&amp;盘货信息!$B:$B&amp;盘货信息!$C:$C,盘货信息!$S:$S),CHAR(10),,TRUE),1,COLUMN(B235)),"")</f>
        <v/>
      </c>
      <c r="L236" s="18" t="str" cm="1">
        <f t="array" ref="L236">IFERROR(INDEX(_xlfn.TEXTSPLIT(_xlfn.XLOOKUP($A236&amp;$B236&amp;$C236,盘货信息!$A:$A&amp;盘货信息!$B:$B&amp;盘货信息!$C:$C,盘货信息!$S:$S),CHAR(10),,TRUE),1,COLUMN(C235)),"")</f>
        <v/>
      </c>
      <c r="M236" s="18" t="str" cm="1">
        <f t="array" ref="M236">IFERROR(INDEX(_xlfn.TEXTSPLIT(_xlfn.XLOOKUP($A236&amp;$B236&amp;$C236,盘货信息!$A:$A&amp;盘货信息!$B:$B&amp;盘货信息!$C:$C,盘货信息!$S:$S),CHAR(10),,TRUE),1,COLUMN(D235)),"")</f>
        <v/>
      </c>
      <c r="N236" s="18" t="str" cm="1">
        <f t="array" ref="N236">IFERROR(INDEX(_xlfn.TEXTSPLIT(_xlfn.XLOOKUP($A236&amp;$B236&amp;$C236,盘货信息!$A:$A&amp;盘货信息!$B:$B&amp;盘货信息!$C:$C,盘货信息!$S:$S),CHAR(10),,TRUE),1,COLUMN(E235)),"")</f>
        <v/>
      </c>
    </row>
    <row r="237" customHeight="1" spans="1:14">
      <c r="A237" s="17" t="str">
        <f>IF(盘货信息!A237="","",盘货信息!A237)</f>
        <v/>
      </c>
      <c r="B237" s="17" t="str">
        <f>IF(盘货信息!B237="","",盘货信息!B237)</f>
        <v/>
      </c>
      <c r="C237" s="18" t="str">
        <f>IF(盘货信息!C237="","",盘货信息!C237)</f>
        <v/>
      </c>
      <c r="D237" s="18" t="str">
        <f t="shared" si="3"/>
        <v/>
      </c>
      <c r="E237" s="18" t="str">
        <f>_xlfn.LET(_xlpm.A,IF(ISNUMBER(SEARCH("晒单",J237)),"【晒单】"&amp;MID(J237,SEARCH("晒单",J237)+LEN("晒单"),LEN(J237))&amp;"（需晒单后联系客服登记）",IF(ISNUMBER(SEARCH("包修",J237)),"【购机】"&amp;MID(J237,SEARCH("购机",J237)+LEN("购机"),LEN(J237)),IF(ISNUMBER(SEARCH("叠放支架",J237)),"【赠品】"&amp;MID(J237,SEARCH("购机",J237)+LEN("购机"),LEN(J237)),IF(ISNUMBER(SEARCH("秀图",J237)),"【秀图】"&amp;MID(J237,SEARCH("秀图",J237)+LEN("秀图"),LEN(J237)),"")))),IFERROR(LEFT(_xlpm.A,FIND("【",_xlpm.A,FIND("】",_xlpm.A)+1)-1)&amp;MID(_xlpm.A,FIND("】",_xlpm.A,FIND("】",_xlpm.A)+1)+1,LEN(_xlpm.A)),_xlpm.A))</f>
        <v/>
      </c>
      <c r="F237" s="18" t="str">
        <f>_xlfn.LET(_xlpm.A,IF(ISNUMBER(SEARCH("晒单",K237)),"【晒单】"&amp;MID(K237,SEARCH("晒单",K237)+LEN("晒单"),LEN(K237))&amp;"（需晒单后联系客服登记）",IF(ISNUMBER(SEARCH("包修",K237)),"【购机】"&amp;MID(K237,SEARCH("购机",K237)+LEN("购机"),LEN(K237)),IF(ISNUMBER(SEARCH("叠放支架",K237)),"【赠品】"&amp;MID(K237,SEARCH("购机",K237)+LEN("购机"),LEN(K237)),IF(ISNUMBER(SEARCH("秀图",K237)),"【秀图】"&amp;MID(K237,SEARCH("秀图",K237)+LEN("秀图"),LEN(K237)),"")))),IFERROR(LEFT(_xlpm.A,FIND("【",_xlpm.A,FIND("】",_xlpm.A)+1)-1)&amp;MID(_xlpm.A,FIND("】",_xlpm.A,FIND("】",_xlpm.A)+1)+1,LEN(_xlpm.A)),_xlpm.A))</f>
        <v/>
      </c>
      <c r="G237" s="18" t="str">
        <f>_xlfn.LET(_xlpm.A,IF(ISNUMBER(SEARCH("晒单",L237)),"【晒单】"&amp;MID(L237,SEARCH("晒单",L237)+LEN("晒单"),LEN(L237))&amp;"（需晒单后联系客服登记）",IF(ISNUMBER(SEARCH("包修",L237)),"【购机】"&amp;MID(L237,SEARCH("购机",L237)+LEN("购机"),LEN(L237)),IF(ISNUMBER(SEARCH("叠放支架",L237)),"【赠品】"&amp;MID(L237,SEARCH("购机",L237)+LEN("购机"),LEN(L237)),IF(ISNUMBER(SEARCH("秀图",L237)),"【秀图】"&amp;MID(L237,SEARCH("秀图",L237)+LEN("秀图"),LEN(L237)),"")))),IFERROR(LEFT(_xlpm.A,FIND("【",_xlpm.A,FIND("】",_xlpm.A)+1)-1)&amp;MID(_xlpm.A,FIND("】",_xlpm.A,FIND("】",_xlpm.A)+1)+1,LEN(_xlpm.A)),_xlpm.A))</f>
        <v/>
      </c>
      <c r="H237" s="18" t="str">
        <f>_xlfn.LET(_xlpm.A,IF(ISNUMBER(SEARCH("晒单",M237)),"【晒单】"&amp;MID(M237,SEARCH("晒单",M237)+LEN("晒单"),LEN(M237))&amp;"（需晒单后联系客服登记）",IF(ISNUMBER(SEARCH("包修",M237)),"【购机】"&amp;MID(M237,SEARCH("购机",M237)+LEN("购机"),LEN(M237)),IF(ISNUMBER(SEARCH("叠放支架",M237)),"【赠品】"&amp;MID(M237,SEARCH("购机",M237)+LEN("购机"),LEN(M237)),IF(ISNUMBER(SEARCH("秀图",M237)),"【秀图】"&amp;MID(M237,SEARCH("秀图",M237)+LEN("秀图"),LEN(M237)),"")))),IFERROR(LEFT(_xlpm.A,FIND("【",_xlpm.A,FIND("】",_xlpm.A)+1)-1)&amp;MID(_xlpm.A,FIND("】",_xlpm.A,FIND("】",_xlpm.A)+1)+1,LEN(_xlpm.A)),_xlpm.A))</f>
        <v/>
      </c>
      <c r="I237" s="18" t="str">
        <f>_xlfn.LET(_xlpm.A,IF(ISNUMBER(SEARCH("晒单",N237)),"【晒单】"&amp;MID(N237,SEARCH("晒单",N237)+LEN("晒单"),LEN(N237))&amp;"（需晒单后联系客服登记）",IF(ISNUMBER(SEARCH("包修",N237)),"【购机】"&amp;MID(N237,SEARCH("购机",N237)+LEN("购机"),LEN(N237)),IF(ISNUMBER(SEARCH("叠放支架",N237)),"【赠品】"&amp;MID(N237,SEARCH("购机",N237)+LEN("购机"),LEN(N237)),IF(ISNUMBER(SEARCH("秀图",N237)),"【秀图】"&amp;MID(N237,SEARCH("秀图",N237)+LEN("秀图"),LEN(N237)),"")))),IFERROR(LEFT(_xlpm.A,FIND("【",_xlpm.A,FIND("】",_xlpm.A)+1)-1)&amp;MID(_xlpm.A,FIND("】",_xlpm.A,FIND("】",_xlpm.A)+1)+1,LEN(_xlpm.A)),_xlpm.A))</f>
        <v/>
      </c>
      <c r="J237" s="18" t="str" cm="1">
        <f t="array" ref="J237">IFERROR(INDEX(_xlfn.TEXTSPLIT(_xlfn.XLOOKUP($A237&amp;$B237&amp;$C237,盘货信息!$A:$A&amp;盘货信息!$B:$B&amp;盘货信息!$C:$C,盘货信息!$S:$S),CHAR(10),,TRUE),1,COLUMN(A236)),"")</f>
        <v/>
      </c>
      <c r="K237" s="18" t="str" cm="1">
        <f t="array" ref="K237">IFERROR(INDEX(_xlfn.TEXTSPLIT(_xlfn.XLOOKUP($A237&amp;$B237&amp;$C237,盘货信息!$A:$A&amp;盘货信息!$B:$B&amp;盘货信息!$C:$C,盘货信息!$S:$S),CHAR(10),,TRUE),1,COLUMN(B236)),"")</f>
        <v/>
      </c>
      <c r="L237" s="18" t="str" cm="1">
        <f t="array" ref="L237">IFERROR(INDEX(_xlfn.TEXTSPLIT(_xlfn.XLOOKUP($A237&amp;$B237&amp;$C237,盘货信息!$A:$A&amp;盘货信息!$B:$B&amp;盘货信息!$C:$C,盘货信息!$S:$S),CHAR(10),,TRUE),1,COLUMN(C236)),"")</f>
        <v/>
      </c>
      <c r="M237" s="18" t="str" cm="1">
        <f t="array" ref="M237">IFERROR(INDEX(_xlfn.TEXTSPLIT(_xlfn.XLOOKUP($A237&amp;$B237&amp;$C237,盘货信息!$A:$A&amp;盘货信息!$B:$B&amp;盘货信息!$C:$C,盘货信息!$S:$S),CHAR(10),,TRUE),1,COLUMN(D236)),"")</f>
        <v/>
      </c>
      <c r="N237" s="18" t="str" cm="1">
        <f t="array" ref="N237">IFERROR(INDEX(_xlfn.TEXTSPLIT(_xlfn.XLOOKUP($A237&amp;$B237&amp;$C237,盘货信息!$A:$A&amp;盘货信息!$B:$B&amp;盘货信息!$C:$C,盘货信息!$S:$S),CHAR(10),,TRUE),1,COLUMN(E236)),"")</f>
        <v/>
      </c>
    </row>
    <row r="238" customHeight="1" spans="1:14">
      <c r="A238" s="17" t="str">
        <f>IF(盘货信息!A238="","",盘货信息!A238)</f>
        <v/>
      </c>
      <c r="B238" s="17" t="str">
        <f>IF(盘货信息!B238="","",盘货信息!B238)</f>
        <v/>
      </c>
      <c r="C238" s="18" t="str">
        <f>IF(盘货信息!C238="","",盘货信息!C238)</f>
        <v/>
      </c>
      <c r="D238" s="18" t="str">
        <f t="shared" si="3"/>
        <v/>
      </c>
      <c r="E238" s="18" t="str">
        <f>_xlfn.LET(_xlpm.A,IF(ISNUMBER(SEARCH("晒单",J238)),"【晒单】"&amp;MID(J238,SEARCH("晒单",J238)+LEN("晒单"),LEN(J238))&amp;"（需晒单后联系客服登记）",IF(ISNUMBER(SEARCH("包修",J238)),"【购机】"&amp;MID(J238,SEARCH("购机",J238)+LEN("购机"),LEN(J238)),IF(ISNUMBER(SEARCH("叠放支架",J238)),"【赠品】"&amp;MID(J238,SEARCH("购机",J238)+LEN("购机"),LEN(J238)),IF(ISNUMBER(SEARCH("秀图",J238)),"【秀图】"&amp;MID(J238,SEARCH("秀图",J238)+LEN("秀图"),LEN(J238)),"")))),IFERROR(LEFT(_xlpm.A,FIND("【",_xlpm.A,FIND("】",_xlpm.A)+1)-1)&amp;MID(_xlpm.A,FIND("】",_xlpm.A,FIND("】",_xlpm.A)+1)+1,LEN(_xlpm.A)),_xlpm.A))</f>
        <v/>
      </c>
      <c r="F238" s="18" t="str">
        <f>_xlfn.LET(_xlpm.A,IF(ISNUMBER(SEARCH("晒单",K238)),"【晒单】"&amp;MID(K238,SEARCH("晒单",K238)+LEN("晒单"),LEN(K238))&amp;"（需晒单后联系客服登记）",IF(ISNUMBER(SEARCH("包修",K238)),"【购机】"&amp;MID(K238,SEARCH("购机",K238)+LEN("购机"),LEN(K238)),IF(ISNUMBER(SEARCH("叠放支架",K238)),"【赠品】"&amp;MID(K238,SEARCH("购机",K238)+LEN("购机"),LEN(K238)),IF(ISNUMBER(SEARCH("秀图",K238)),"【秀图】"&amp;MID(K238,SEARCH("秀图",K238)+LEN("秀图"),LEN(K238)),"")))),IFERROR(LEFT(_xlpm.A,FIND("【",_xlpm.A,FIND("】",_xlpm.A)+1)-1)&amp;MID(_xlpm.A,FIND("】",_xlpm.A,FIND("】",_xlpm.A)+1)+1,LEN(_xlpm.A)),_xlpm.A))</f>
        <v/>
      </c>
      <c r="G238" s="18" t="str">
        <f>_xlfn.LET(_xlpm.A,IF(ISNUMBER(SEARCH("晒单",L238)),"【晒单】"&amp;MID(L238,SEARCH("晒单",L238)+LEN("晒单"),LEN(L238))&amp;"（需晒单后联系客服登记）",IF(ISNUMBER(SEARCH("包修",L238)),"【购机】"&amp;MID(L238,SEARCH("购机",L238)+LEN("购机"),LEN(L238)),IF(ISNUMBER(SEARCH("叠放支架",L238)),"【赠品】"&amp;MID(L238,SEARCH("购机",L238)+LEN("购机"),LEN(L238)),IF(ISNUMBER(SEARCH("秀图",L238)),"【秀图】"&amp;MID(L238,SEARCH("秀图",L238)+LEN("秀图"),LEN(L238)),"")))),IFERROR(LEFT(_xlpm.A,FIND("【",_xlpm.A,FIND("】",_xlpm.A)+1)-1)&amp;MID(_xlpm.A,FIND("】",_xlpm.A,FIND("】",_xlpm.A)+1)+1,LEN(_xlpm.A)),_xlpm.A))</f>
        <v/>
      </c>
      <c r="H238" s="18" t="str">
        <f>_xlfn.LET(_xlpm.A,IF(ISNUMBER(SEARCH("晒单",M238)),"【晒单】"&amp;MID(M238,SEARCH("晒单",M238)+LEN("晒单"),LEN(M238))&amp;"（需晒单后联系客服登记）",IF(ISNUMBER(SEARCH("包修",M238)),"【购机】"&amp;MID(M238,SEARCH("购机",M238)+LEN("购机"),LEN(M238)),IF(ISNUMBER(SEARCH("叠放支架",M238)),"【赠品】"&amp;MID(M238,SEARCH("购机",M238)+LEN("购机"),LEN(M238)),IF(ISNUMBER(SEARCH("秀图",M238)),"【秀图】"&amp;MID(M238,SEARCH("秀图",M238)+LEN("秀图"),LEN(M238)),"")))),IFERROR(LEFT(_xlpm.A,FIND("【",_xlpm.A,FIND("】",_xlpm.A)+1)-1)&amp;MID(_xlpm.A,FIND("】",_xlpm.A,FIND("】",_xlpm.A)+1)+1,LEN(_xlpm.A)),_xlpm.A))</f>
        <v/>
      </c>
      <c r="I238" s="18" t="str">
        <f>_xlfn.LET(_xlpm.A,IF(ISNUMBER(SEARCH("晒单",N238)),"【晒单】"&amp;MID(N238,SEARCH("晒单",N238)+LEN("晒单"),LEN(N238))&amp;"（需晒单后联系客服登记）",IF(ISNUMBER(SEARCH("包修",N238)),"【购机】"&amp;MID(N238,SEARCH("购机",N238)+LEN("购机"),LEN(N238)),IF(ISNUMBER(SEARCH("叠放支架",N238)),"【赠品】"&amp;MID(N238,SEARCH("购机",N238)+LEN("购机"),LEN(N238)),IF(ISNUMBER(SEARCH("秀图",N238)),"【秀图】"&amp;MID(N238,SEARCH("秀图",N238)+LEN("秀图"),LEN(N238)),"")))),IFERROR(LEFT(_xlpm.A,FIND("【",_xlpm.A,FIND("】",_xlpm.A)+1)-1)&amp;MID(_xlpm.A,FIND("】",_xlpm.A,FIND("】",_xlpm.A)+1)+1,LEN(_xlpm.A)),_xlpm.A))</f>
        <v/>
      </c>
      <c r="J238" s="18" t="str" cm="1">
        <f t="array" ref="J238">IFERROR(INDEX(_xlfn.TEXTSPLIT(_xlfn.XLOOKUP($A238&amp;$B238&amp;$C238,盘货信息!$A:$A&amp;盘货信息!$B:$B&amp;盘货信息!$C:$C,盘货信息!$S:$S),CHAR(10),,TRUE),1,COLUMN(A237)),"")</f>
        <v/>
      </c>
      <c r="K238" s="18" t="str" cm="1">
        <f t="array" ref="K238">IFERROR(INDEX(_xlfn.TEXTSPLIT(_xlfn.XLOOKUP($A238&amp;$B238&amp;$C238,盘货信息!$A:$A&amp;盘货信息!$B:$B&amp;盘货信息!$C:$C,盘货信息!$S:$S),CHAR(10),,TRUE),1,COLUMN(B237)),"")</f>
        <v/>
      </c>
      <c r="L238" s="18" t="str" cm="1">
        <f t="array" ref="L238">IFERROR(INDEX(_xlfn.TEXTSPLIT(_xlfn.XLOOKUP($A238&amp;$B238&amp;$C238,盘货信息!$A:$A&amp;盘货信息!$B:$B&amp;盘货信息!$C:$C,盘货信息!$S:$S),CHAR(10),,TRUE),1,COLUMN(C237)),"")</f>
        <v/>
      </c>
      <c r="M238" s="18" t="str" cm="1">
        <f t="array" ref="M238">IFERROR(INDEX(_xlfn.TEXTSPLIT(_xlfn.XLOOKUP($A238&amp;$B238&amp;$C238,盘货信息!$A:$A&amp;盘货信息!$B:$B&amp;盘货信息!$C:$C,盘货信息!$S:$S),CHAR(10),,TRUE),1,COLUMN(D237)),"")</f>
        <v/>
      </c>
      <c r="N238" s="18" t="str" cm="1">
        <f t="array" ref="N238">IFERROR(INDEX(_xlfn.TEXTSPLIT(_xlfn.XLOOKUP($A238&amp;$B238&amp;$C238,盘货信息!$A:$A&amp;盘货信息!$B:$B&amp;盘货信息!$C:$C,盘货信息!$S:$S),CHAR(10),,TRUE),1,COLUMN(E237)),"")</f>
        <v/>
      </c>
    </row>
    <row r="239" customHeight="1" spans="1:14">
      <c r="A239" s="17" t="str">
        <f>IF(盘货信息!A239="","",盘货信息!A239)</f>
        <v/>
      </c>
      <c r="B239" s="17" t="str">
        <f>IF(盘货信息!B239="","",盘货信息!B239)</f>
        <v/>
      </c>
      <c r="C239" s="18" t="str">
        <f>IF(盘货信息!C239="","",盘货信息!C239)</f>
        <v/>
      </c>
      <c r="D239" s="18" t="str">
        <f t="shared" si="3"/>
        <v/>
      </c>
      <c r="E239" s="18" t="str">
        <f>_xlfn.LET(_xlpm.A,IF(ISNUMBER(SEARCH("晒单",J239)),"【晒单】"&amp;MID(J239,SEARCH("晒单",J239)+LEN("晒单"),LEN(J239))&amp;"（需晒单后联系客服登记）",IF(ISNUMBER(SEARCH("包修",J239)),"【购机】"&amp;MID(J239,SEARCH("购机",J239)+LEN("购机"),LEN(J239)),IF(ISNUMBER(SEARCH("叠放支架",J239)),"【赠品】"&amp;MID(J239,SEARCH("购机",J239)+LEN("购机"),LEN(J239)),IF(ISNUMBER(SEARCH("秀图",J239)),"【秀图】"&amp;MID(J239,SEARCH("秀图",J239)+LEN("秀图"),LEN(J239)),"")))),IFERROR(LEFT(_xlpm.A,FIND("【",_xlpm.A,FIND("】",_xlpm.A)+1)-1)&amp;MID(_xlpm.A,FIND("】",_xlpm.A,FIND("】",_xlpm.A)+1)+1,LEN(_xlpm.A)),_xlpm.A))</f>
        <v/>
      </c>
      <c r="F239" s="18" t="str">
        <f>_xlfn.LET(_xlpm.A,IF(ISNUMBER(SEARCH("晒单",K239)),"【晒单】"&amp;MID(K239,SEARCH("晒单",K239)+LEN("晒单"),LEN(K239))&amp;"（需晒单后联系客服登记）",IF(ISNUMBER(SEARCH("包修",K239)),"【购机】"&amp;MID(K239,SEARCH("购机",K239)+LEN("购机"),LEN(K239)),IF(ISNUMBER(SEARCH("叠放支架",K239)),"【赠品】"&amp;MID(K239,SEARCH("购机",K239)+LEN("购机"),LEN(K239)),IF(ISNUMBER(SEARCH("秀图",K239)),"【秀图】"&amp;MID(K239,SEARCH("秀图",K239)+LEN("秀图"),LEN(K239)),"")))),IFERROR(LEFT(_xlpm.A,FIND("【",_xlpm.A,FIND("】",_xlpm.A)+1)-1)&amp;MID(_xlpm.A,FIND("】",_xlpm.A,FIND("】",_xlpm.A)+1)+1,LEN(_xlpm.A)),_xlpm.A))</f>
        <v/>
      </c>
      <c r="G239" s="18" t="str">
        <f>_xlfn.LET(_xlpm.A,IF(ISNUMBER(SEARCH("晒单",L239)),"【晒单】"&amp;MID(L239,SEARCH("晒单",L239)+LEN("晒单"),LEN(L239))&amp;"（需晒单后联系客服登记）",IF(ISNUMBER(SEARCH("包修",L239)),"【购机】"&amp;MID(L239,SEARCH("购机",L239)+LEN("购机"),LEN(L239)),IF(ISNUMBER(SEARCH("叠放支架",L239)),"【赠品】"&amp;MID(L239,SEARCH("购机",L239)+LEN("购机"),LEN(L239)),IF(ISNUMBER(SEARCH("秀图",L239)),"【秀图】"&amp;MID(L239,SEARCH("秀图",L239)+LEN("秀图"),LEN(L239)),"")))),IFERROR(LEFT(_xlpm.A,FIND("【",_xlpm.A,FIND("】",_xlpm.A)+1)-1)&amp;MID(_xlpm.A,FIND("】",_xlpm.A,FIND("】",_xlpm.A)+1)+1,LEN(_xlpm.A)),_xlpm.A))</f>
        <v/>
      </c>
      <c r="H239" s="18" t="str">
        <f>_xlfn.LET(_xlpm.A,IF(ISNUMBER(SEARCH("晒单",M239)),"【晒单】"&amp;MID(M239,SEARCH("晒单",M239)+LEN("晒单"),LEN(M239))&amp;"（需晒单后联系客服登记）",IF(ISNUMBER(SEARCH("包修",M239)),"【购机】"&amp;MID(M239,SEARCH("购机",M239)+LEN("购机"),LEN(M239)),IF(ISNUMBER(SEARCH("叠放支架",M239)),"【赠品】"&amp;MID(M239,SEARCH("购机",M239)+LEN("购机"),LEN(M239)),IF(ISNUMBER(SEARCH("秀图",M239)),"【秀图】"&amp;MID(M239,SEARCH("秀图",M239)+LEN("秀图"),LEN(M239)),"")))),IFERROR(LEFT(_xlpm.A,FIND("【",_xlpm.A,FIND("】",_xlpm.A)+1)-1)&amp;MID(_xlpm.A,FIND("】",_xlpm.A,FIND("】",_xlpm.A)+1)+1,LEN(_xlpm.A)),_xlpm.A))</f>
        <v/>
      </c>
      <c r="I239" s="18" t="str">
        <f>_xlfn.LET(_xlpm.A,IF(ISNUMBER(SEARCH("晒单",N239)),"【晒单】"&amp;MID(N239,SEARCH("晒单",N239)+LEN("晒单"),LEN(N239))&amp;"（需晒单后联系客服登记）",IF(ISNUMBER(SEARCH("包修",N239)),"【购机】"&amp;MID(N239,SEARCH("购机",N239)+LEN("购机"),LEN(N239)),IF(ISNUMBER(SEARCH("叠放支架",N239)),"【赠品】"&amp;MID(N239,SEARCH("购机",N239)+LEN("购机"),LEN(N239)),IF(ISNUMBER(SEARCH("秀图",N239)),"【秀图】"&amp;MID(N239,SEARCH("秀图",N239)+LEN("秀图"),LEN(N239)),"")))),IFERROR(LEFT(_xlpm.A,FIND("【",_xlpm.A,FIND("】",_xlpm.A)+1)-1)&amp;MID(_xlpm.A,FIND("】",_xlpm.A,FIND("】",_xlpm.A)+1)+1,LEN(_xlpm.A)),_xlpm.A))</f>
        <v/>
      </c>
      <c r="J239" s="18" t="str" cm="1">
        <f t="array" ref="J239">IFERROR(INDEX(_xlfn.TEXTSPLIT(_xlfn.XLOOKUP($A239&amp;$B239&amp;$C239,盘货信息!$A:$A&amp;盘货信息!$B:$B&amp;盘货信息!$C:$C,盘货信息!$S:$S),CHAR(10),,TRUE),1,COLUMN(A238)),"")</f>
        <v/>
      </c>
      <c r="K239" s="18" t="str" cm="1">
        <f t="array" ref="K239">IFERROR(INDEX(_xlfn.TEXTSPLIT(_xlfn.XLOOKUP($A239&amp;$B239&amp;$C239,盘货信息!$A:$A&amp;盘货信息!$B:$B&amp;盘货信息!$C:$C,盘货信息!$S:$S),CHAR(10),,TRUE),1,COLUMN(B238)),"")</f>
        <v/>
      </c>
      <c r="L239" s="18" t="str" cm="1">
        <f t="array" ref="L239">IFERROR(INDEX(_xlfn.TEXTSPLIT(_xlfn.XLOOKUP($A239&amp;$B239&amp;$C239,盘货信息!$A:$A&amp;盘货信息!$B:$B&amp;盘货信息!$C:$C,盘货信息!$S:$S),CHAR(10),,TRUE),1,COLUMN(C238)),"")</f>
        <v/>
      </c>
      <c r="M239" s="18" t="str" cm="1">
        <f t="array" ref="M239">IFERROR(INDEX(_xlfn.TEXTSPLIT(_xlfn.XLOOKUP($A239&amp;$B239&amp;$C239,盘货信息!$A:$A&amp;盘货信息!$B:$B&amp;盘货信息!$C:$C,盘货信息!$S:$S),CHAR(10),,TRUE),1,COLUMN(D238)),"")</f>
        <v/>
      </c>
      <c r="N239" s="18" t="str" cm="1">
        <f t="array" ref="N239">IFERROR(INDEX(_xlfn.TEXTSPLIT(_xlfn.XLOOKUP($A239&amp;$B239&amp;$C239,盘货信息!$A:$A&amp;盘货信息!$B:$B&amp;盘货信息!$C:$C,盘货信息!$S:$S),CHAR(10),,TRUE),1,COLUMN(E238)),"")</f>
        <v/>
      </c>
    </row>
    <row r="240" customHeight="1" spans="1:14">
      <c r="A240" s="17" t="str">
        <f>IF(盘货信息!A240="","",盘货信息!A240)</f>
        <v/>
      </c>
      <c r="B240" s="17" t="str">
        <f>IF(盘货信息!B240="","",盘货信息!B240)</f>
        <v/>
      </c>
      <c r="C240" s="18" t="str">
        <f>IF(盘货信息!C240="","",盘货信息!C240)</f>
        <v/>
      </c>
      <c r="D240" s="18" t="str">
        <f t="shared" si="3"/>
        <v/>
      </c>
      <c r="E240" s="18" t="str">
        <f>_xlfn.LET(_xlpm.A,IF(ISNUMBER(SEARCH("晒单",J240)),"【晒单】"&amp;MID(J240,SEARCH("晒单",J240)+LEN("晒单"),LEN(J240))&amp;"（需晒单后联系客服登记）",IF(ISNUMBER(SEARCH("包修",J240)),"【购机】"&amp;MID(J240,SEARCH("购机",J240)+LEN("购机"),LEN(J240)),IF(ISNUMBER(SEARCH("叠放支架",J240)),"【赠品】"&amp;MID(J240,SEARCH("购机",J240)+LEN("购机"),LEN(J240)),IF(ISNUMBER(SEARCH("秀图",J240)),"【秀图】"&amp;MID(J240,SEARCH("秀图",J240)+LEN("秀图"),LEN(J240)),"")))),IFERROR(LEFT(_xlpm.A,FIND("【",_xlpm.A,FIND("】",_xlpm.A)+1)-1)&amp;MID(_xlpm.A,FIND("】",_xlpm.A,FIND("】",_xlpm.A)+1)+1,LEN(_xlpm.A)),_xlpm.A))</f>
        <v/>
      </c>
      <c r="F240" s="18" t="str">
        <f>_xlfn.LET(_xlpm.A,IF(ISNUMBER(SEARCH("晒单",K240)),"【晒单】"&amp;MID(K240,SEARCH("晒单",K240)+LEN("晒单"),LEN(K240))&amp;"（需晒单后联系客服登记）",IF(ISNUMBER(SEARCH("包修",K240)),"【购机】"&amp;MID(K240,SEARCH("购机",K240)+LEN("购机"),LEN(K240)),IF(ISNUMBER(SEARCH("叠放支架",K240)),"【赠品】"&amp;MID(K240,SEARCH("购机",K240)+LEN("购机"),LEN(K240)),IF(ISNUMBER(SEARCH("秀图",K240)),"【秀图】"&amp;MID(K240,SEARCH("秀图",K240)+LEN("秀图"),LEN(K240)),"")))),IFERROR(LEFT(_xlpm.A,FIND("【",_xlpm.A,FIND("】",_xlpm.A)+1)-1)&amp;MID(_xlpm.A,FIND("】",_xlpm.A,FIND("】",_xlpm.A)+1)+1,LEN(_xlpm.A)),_xlpm.A))</f>
        <v/>
      </c>
      <c r="G240" s="18" t="str">
        <f>_xlfn.LET(_xlpm.A,IF(ISNUMBER(SEARCH("晒单",L240)),"【晒单】"&amp;MID(L240,SEARCH("晒单",L240)+LEN("晒单"),LEN(L240))&amp;"（需晒单后联系客服登记）",IF(ISNUMBER(SEARCH("包修",L240)),"【购机】"&amp;MID(L240,SEARCH("购机",L240)+LEN("购机"),LEN(L240)),IF(ISNUMBER(SEARCH("叠放支架",L240)),"【赠品】"&amp;MID(L240,SEARCH("购机",L240)+LEN("购机"),LEN(L240)),IF(ISNUMBER(SEARCH("秀图",L240)),"【秀图】"&amp;MID(L240,SEARCH("秀图",L240)+LEN("秀图"),LEN(L240)),"")))),IFERROR(LEFT(_xlpm.A,FIND("【",_xlpm.A,FIND("】",_xlpm.A)+1)-1)&amp;MID(_xlpm.A,FIND("】",_xlpm.A,FIND("】",_xlpm.A)+1)+1,LEN(_xlpm.A)),_xlpm.A))</f>
        <v/>
      </c>
      <c r="H240" s="18" t="str">
        <f>_xlfn.LET(_xlpm.A,IF(ISNUMBER(SEARCH("晒单",M240)),"【晒单】"&amp;MID(M240,SEARCH("晒单",M240)+LEN("晒单"),LEN(M240))&amp;"（需晒单后联系客服登记）",IF(ISNUMBER(SEARCH("包修",M240)),"【购机】"&amp;MID(M240,SEARCH("购机",M240)+LEN("购机"),LEN(M240)),IF(ISNUMBER(SEARCH("叠放支架",M240)),"【赠品】"&amp;MID(M240,SEARCH("购机",M240)+LEN("购机"),LEN(M240)),IF(ISNUMBER(SEARCH("秀图",M240)),"【秀图】"&amp;MID(M240,SEARCH("秀图",M240)+LEN("秀图"),LEN(M240)),"")))),IFERROR(LEFT(_xlpm.A,FIND("【",_xlpm.A,FIND("】",_xlpm.A)+1)-1)&amp;MID(_xlpm.A,FIND("】",_xlpm.A,FIND("】",_xlpm.A)+1)+1,LEN(_xlpm.A)),_xlpm.A))</f>
        <v/>
      </c>
      <c r="I240" s="18" t="str">
        <f>_xlfn.LET(_xlpm.A,IF(ISNUMBER(SEARCH("晒单",N240)),"【晒单】"&amp;MID(N240,SEARCH("晒单",N240)+LEN("晒单"),LEN(N240))&amp;"（需晒单后联系客服登记）",IF(ISNUMBER(SEARCH("包修",N240)),"【购机】"&amp;MID(N240,SEARCH("购机",N240)+LEN("购机"),LEN(N240)),IF(ISNUMBER(SEARCH("叠放支架",N240)),"【赠品】"&amp;MID(N240,SEARCH("购机",N240)+LEN("购机"),LEN(N240)),IF(ISNUMBER(SEARCH("秀图",N240)),"【秀图】"&amp;MID(N240,SEARCH("秀图",N240)+LEN("秀图"),LEN(N240)),"")))),IFERROR(LEFT(_xlpm.A,FIND("【",_xlpm.A,FIND("】",_xlpm.A)+1)-1)&amp;MID(_xlpm.A,FIND("】",_xlpm.A,FIND("】",_xlpm.A)+1)+1,LEN(_xlpm.A)),_xlpm.A))</f>
        <v/>
      </c>
      <c r="J240" s="18" t="str" cm="1">
        <f t="array" ref="J240">IFERROR(INDEX(_xlfn.TEXTSPLIT(_xlfn.XLOOKUP($A240&amp;$B240&amp;$C240,盘货信息!$A:$A&amp;盘货信息!$B:$B&amp;盘货信息!$C:$C,盘货信息!$S:$S),CHAR(10),,TRUE),1,COLUMN(A239)),"")</f>
        <v/>
      </c>
      <c r="K240" s="18" t="str" cm="1">
        <f t="array" ref="K240">IFERROR(INDEX(_xlfn.TEXTSPLIT(_xlfn.XLOOKUP($A240&amp;$B240&amp;$C240,盘货信息!$A:$A&amp;盘货信息!$B:$B&amp;盘货信息!$C:$C,盘货信息!$S:$S),CHAR(10),,TRUE),1,COLUMN(B239)),"")</f>
        <v/>
      </c>
      <c r="L240" s="18" t="str" cm="1">
        <f t="array" ref="L240">IFERROR(INDEX(_xlfn.TEXTSPLIT(_xlfn.XLOOKUP($A240&amp;$B240&amp;$C240,盘货信息!$A:$A&amp;盘货信息!$B:$B&amp;盘货信息!$C:$C,盘货信息!$S:$S),CHAR(10),,TRUE),1,COLUMN(C239)),"")</f>
        <v/>
      </c>
      <c r="M240" s="18" t="str" cm="1">
        <f t="array" ref="M240">IFERROR(INDEX(_xlfn.TEXTSPLIT(_xlfn.XLOOKUP($A240&amp;$B240&amp;$C240,盘货信息!$A:$A&amp;盘货信息!$B:$B&amp;盘货信息!$C:$C,盘货信息!$S:$S),CHAR(10),,TRUE),1,COLUMN(D239)),"")</f>
        <v/>
      </c>
      <c r="N240" s="18" t="str" cm="1">
        <f t="array" ref="N240">IFERROR(INDEX(_xlfn.TEXTSPLIT(_xlfn.XLOOKUP($A240&amp;$B240&amp;$C240,盘货信息!$A:$A&amp;盘货信息!$B:$B&amp;盘货信息!$C:$C,盘货信息!$S:$S),CHAR(10),,TRUE),1,COLUMN(E239)),"")</f>
        <v/>
      </c>
    </row>
    <row r="241" customHeight="1" spans="1:14">
      <c r="A241" s="17" t="str">
        <f>IF(盘货信息!A241="","",盘货信息!A241)</f>
        <v/>
      </c>
      <c r="B241" s="17" t="str">
        <f>IF(盘货信息!B241="","",盘货信息!B241)</f>
        <v/>
      </c>
      <c r="C241" s="18" t="str">
        <f>IF(盘货信息!C241="","",盘货信息!C241)</f>
        <v/>
      </c>
      <c r="D241" s="18" t="str">
        <f t="shared" si="3"/>
        <v/>
      </c>
      <c r="E241" s="18" t="str">
        <f>_xlfn.LET(_xlpm.A,IF(ISNUMBER(SEARCH("晒单",J241)),"【晒单】"&amp;MID(J241,SEARCH("晒单",J241)+LEN("晒单"),LEN(J241))&amp;"（需晒单后联系客服登记）",IF(ISNUMBER(SEARCH("包修",J241)),"【购机】"&amp;MID(J241,SEARCH("购机",J241)+LEN("购机"),LEN(J241)),IF(ISNUMBER(SEARCH("叠放支架",J241)),"【赠品】"&amp;MID(J241,SEARCH("购机",J241)+LEN("购机"),LEN(J241)),IF(ISNUMBER(SEARCH("秀图",J241)),"【秀图】"&amp;MID(J241,SEARCH("秀图",J241)+LEN("秀图"),LEN(J241)),"")))),IFERROR(LEFT(_xlpm.A,FIND("【",_xlpm.A,FIND("】",_xlpm.A)+1)-1)&amp;MID(_xlpm.A,FIND("】",_xlpm.A,FIND("】",_xlpm.A)+1)+1,LEN(_xlpm.A)),_xlpm.A))</f>
        <v/>
      </c>
      <c r="F241" s="18" t="str">
        <f>_xlfn.LET(_xlpm.A,IF(ISNUMBER(SEARCH("晒单",K241)),"【晒单】"&amp;MID(K241,SEARCH("晒单",K241)+LEN("晒单"),LEN(K241))&amp;"（需晒单后联系客服登记）",IF(ISNUMBER(SEARCH("包修",K241)),"【购机】"&amp;MID(K241,SEARCH("购机",K241)+LEN("购机"),LEN(K241)),IF(ISNUMBER(SEARCH("叠放支架",K241)),"【赠品】"&amp;MID(K241,SEARCH("购机",K241)+LEN("购机"),LEN(K241)),IF(ISNUMBER(SEARCH("秀图",K241)),"【秀图】"&amp;MID(K241,SEARCH("秀图",K241)+LEN("秀图"),LEN(K241)),"")))),IFERROR(LEFT(_xlpm.A,FIND("【",_xlpm.A,FIND("】",_xlpm.A)+1)-1)&amp;MID(_xlpm.A,FIND("】",_xlpm.A,FIND("】",_xlpm.A)+1)+1,LEN(_xlpm.A)),_xlpm.A))</f>
        <v/>
      </c>
      <c r="G241" s="18" t="str">
        <f>_xlfn.LET(_xlpm.A,IF(ISNUMBER(SEARCH("晒单",L241)),"【晒单】"&amp;MID(L241,SEARCH("晒单",L241)+LEN("晒单"),LEN(L241))&amp;"（需晒单后联系客服登记）",IF(ISNUMBER(SEARCH("包修",L241)),"【购机】"&amp;MID(L241,SEARCH("购机",L241)+LEN("购机"),LEN(L241)),IF(ISNUMBER(SEARCH("叠放支架",L241)),"【赠品】"&amp;MID(L241,SEARCH("购机",L241)+LEN("购机"),LEN(L241)),IF(ISNUMBER(SEARCH("秀图",L241)),"【秀图】"&amp;MID(L241,SEARCH("秀图",L241)+LEN("秀图"),LEN(L241)),"")))),IFERROR(LEFT(_xlpm.A,FIND("【",_xlpm.A,FIND("】",_xlpm.A)+1)-1)&amp;MID(_xlpm.A,FIND("】",_xlpm.A,FIND("】",_xlpm.A)+1)+1,LEN(_xlpm.A)),_xlpm.A))</f>
        <v/>
      </c>
      <c r="H241" s="18" t="str">
        <f>_xlfn.LET(_xlpm.A,IF(ISNUMBER(SEARCH("晒单",M241)),"【晒单】"&amp;MID(M241,SEARCH("晒单",M241)+LEN("晒单"),LEN(M241))&amp;"（需晒单后联系客服登记）",IF(ISNUMBER(SEARCH("包修",M241)),"【购机】"&amp;MID(M241,SEARCH("购机",M241)+LEN("购机"),LEN(M241)),IF(ISNUMBER(SEARCH("叠放支架",M241)),"【赠品】"&amp;MID(M241,SEARCH("购机",M241)+LEN("购机"),LEN(M241)),IF(ISNUMBER(SEARCH("秀图",M241)),"【秀图】"&amp;MID(M241,SEARCH("秀图",M241)+LEN("秀图"),LEN(M241)),"")))),IFERROR(LEFT(_xlpm.A,FIND("【",_xlpm.A,FIND("】",_xlpm.A)+1)-1)&amp;MID(_xlpm.A,FIND("】",_xlpm.A,FIND("】",_xlpm.A)+1)+1,LEN(_xlpm.A)),_xlpm.A))</f>
        <v/>
      </c>
      <c r="I241" s="18" t="str">
        <f>_xlfn.LET(_xlpm.A,IF(ISNUMBER(SEARCH("晒单",N241)),"【晒单】"&amp;MID(N241,SEARCH("晒单",N241)+LEN("晒单"),LEN(N241))&amp;"（需晒单后联系客服登记）",IF(ISNUMBER(SEARCH("包修",N241)),"【购机】"&amp;MID(N241,SEARCH("购机",N241)+LEN("购机"),LEN(N241)),IF(ISNUMBER(SEARCH("叠放支架",N241)),"【赠品】"&amp;MID(N241,SEARCH("购机",N241)+LEN("购机"),LEN(N241)),IF(ISNUMBER(SEARCH("秀图",N241)),"【秀图】"&amp;MID(N241,SEARCH("秀图",N241)+LEN("秀图"),LEN(N241)),"")))),IFERROR(LEFT(_xlpm.A,FIND("【",_xlpm.A,FIND("】",_xlpm.A)+1)-1)&amp;MID(_xlpm.A,FIND("】",_xlpm.A,FIND("】",_xlpm.A)+1)+1,LEN(_xlpm.A)),_xlpm.A))</f>
        <v/>
      </c>
      <c r="J241" s="18" t="str" cm="1">
        <f t="array" ref="J241">IFERROR(INDEX(_xlfn.TEXTSPLIT(_xlfn.XLOOKUP($A241&amp;$B241&amp;$C241,盘货信息!$A:$A&amp;盘货信息!$B:$B&amp;盘货信息!$C:$C,盘货信息!$S:$S),CHAR(10),,TRUE),1,COLUMN(A240)),"")</f>
        <v/>
      </c>
      <c r="K241" s="18" t="str" cm="1">
        <f t="array" ref="K241">IFERROR(INDEX(_xlfn.TEXTSPLIT(_xlfn.XLOOKUP($A241&amp;$B241&amp;$C241,盘货信息!$A:$A&amp;盘货信息!$B:$B&amp;盘货信息!$C:$C,盘货信息!$S:$S),CHAR(10),,TRUE),1,COLUMN(B240)),"")</f>
        <v/>
      </c>
      <c r="L241" s="18" t="str" cm="1">
        <f t="array" ref="L241">IFERROR(INDEX(_xlfn.TEXTSPLIT(_xlfn.XLOOKUP($A241&amp;$B241&amp;$C241,盘货信息!$A:$A&amp;盘货信息!$B:$B&amp;盘货信息!$C:$C,盘货信息!$S:$S),CHAR(10),,TRUE),1,COLUMN(C240)),"")</f>
        <v/>
      </c>
      <c r="M241" s="18" t="str" cm="1">
        <f t="array" ref="M241">IFERROR(INDEX(_xlfn.TEXTSPLIT(_xlfn.XLOOKUP($A241&amp;$B241&amp;$C241,盘货信息!$A:$A&amp;盘货信息!$B:$B&amp;盘货信息!$C:$C,盘货信息!$S:$S),CHAR(10),,TRUE),1,COLUMN(D240)),"")</f>
        <v/>
      </c>
      <c r="N241" s="18" t="str" cm="1">
        <f t="array" ref="N241">IFERROR(INDEX(_xlfn.TEXTSPLIT(_xlfn.XLOOKUP($A241&amp;$B241&amp;$C241,盘货信息!$A:$A&amp;盘货信息!$B:$B&amp;盘货信息!$C:$C,盘货信息!$S:$S),CHAR(10),,TRUE),1,COLUMN(E240)),"")</f>
        <v/>
      </c>
    </row>
    <row r="242" customHeight="1" spans="1:14">
      <c r="A242" s="17" t="str">
        <f>IF(盘货信息!A242="","",盘货信息!A242)</f>
        <v/>
      </c>
      <c r="B242" s="17" t="str">
        <f>IF(盘货信息!B242="","",盘货信息!B242)</f>
        <v/>
      </c>
      <c r="C242" s="18" t="str">
        <f>IF(盘货信息!C242="","",盘货信息!C242)</f>
        <v/>
      </c>
      <c r="D242" s="18" t="str">
        <f t="shared" si="3"/>
        <v/>
      </c>
      <c r="E242" s="18" t="str">
        <f>_xlfn.LET(_xlpm.A,IF(ISNUMBER(SEARCH("晒单",J242)),"【晒单】"&amp;MID(J242,SEARCH("晒单",J242)+LEN("晒单"),LEN(J242))&amp;"（需晒单后联系客服登记）",IF(ISNUMBER(SEARCH("包修",J242)),"【购机】"&amp;MID(J242,SEARCH("购机",J242)+LEN("购机"),LEN(J242)),IF(ISNUMBER(SEARCH("叠放支架",J242)),"【赠品】"&amp;MID(J242,SEARCH("购机",J242)+LEN("购机"),LEN(J242)),IF(ISNUMBER(SEARCH("秀图",J242)),"【秀图】"&amp;MID(J242,SEARCH("秀图",J242)+LEN("秀图"),LEN(J242)),"")))),IFERROR(LEFT(_xlpm.A,FIND("【",_xlpm.A,FIND("】",_xlpm.A)+1)-1)&amp;MID(_xlpm.A,FIND("】",_xlpm.A,FIND("】",_xlpm.A)+1)+1,LEN(_xlpm.A)),_xlpm.A))</f>
        <v/>
      </c>
      <c r="F242" s="18" t="str">
        <f>_xlfn.LET(_xlpm.A,IF(ISNUMBER(SEARCH("晒单",K242)),"【晒单】"&amp;MID(K242,SEARCH("晒单",K242)+LEN("晒单"),LEN(K242))&amp;"（需晒单后联系客服登记）",IF(ISNUMBER(SEARCH("包修",K242)),"【购机】"&amp;MID(K242,SEARCH("购机",K242)+LEN("购机"),LEN(K242)),IF(ISNUMBER(SEARCH("叠放支架",K242)),"【赠品】"&amp;MID(K242,SEARCH("购机",K242)+LEN("购机"),LEN(K242)),IF(ISNUMBER(SEARCH("秀图",K242)),"【秀图】"&amp;MID(K242,SEARCH("秀图",K242)+LEN("秀图"),LEN(K242)),"")))),IFERROR(LEFT(_xlpm.A,FIND("【",_xlpm.A,FIND("】",_xlpm.A)+1)-1)&amp;MID(_xlpm.A,FIND("】",_xlpm.A,FIND("】",_xlpm.A)+1)+1,LEN(_xlpm.A)),_xlpm.A))</f>
        <v/>
      </c>
      <c r="G242" s="18" t="str">
        <f>_xlfn.LET(_xlpm.A,IF(ISNUMBER(SEARCH("晒单",L242)),"【晒单】"&amp;MID(L242,SEARCH("晒单",L242)+LEN("晒单"),LEN(L242))&amp;"（需晒单后联系客服登记）",IF(ISNUMBER(SEARCH("包修",L242)),"【购机】"&amp;MID(L242,SEARCH("购机",L242)+LEN("购机"),LEN(L242)),IF(ISNUMBER(SEARCH("叠放支架",L242)),"【赠品】"&amp;MID(L242,SEARCH("购机",L242)+LEN("购机"),LEN(L242)),IF(ISNUMBER(SEARCH("秀图",L242)),"【秀图】"&amp;MID(L242,SEARCH("秀图",L242)+LEN("秀图"),LEN(L242)),"")))),IFERROR(LEFT(_xlpm.A,FIND("【",_xlpm.A,FIND("】",_xlpm.A)+1)-1)&amp;MID(_xlpm.A,FIND("】",_xlpm.A,FIND("】",_xlpm.A)+1)+1,LEN(_xlpm.A)),_xlpm.A))</f>
        <v/>
      </c>
      <c r="H242" s="18" t="str">
        <f>_xlfn.LET(_xlpm.A,IF(ISNUMBER(SEARCH("晒单",M242)),"【晒单】"&amp;MID(M242,SEARCH("晒单",M242)+LEN("晒单"),LEN(M242))&amp;"（需晒单后联系客服登记）",IF(ISNUMBER(SEARCH("包修",M242)),"【购机】"&amp;MID(M242,SEARCH("购机",M242)+LEN("购机"),LEN(M242)),IF(ISNUMBER(SEARCH("叠放支架",M242)),"【赠品】"&amp;MID(M242,SEARCH("购机",M242)+LEN("购机"),LEN(M242)),IF(ISNUMBER(SEARCH("秀图",M242)),"【秀图】"&amp;MID(M242,SEARCH("秀图",M242)+LEN("秀图"),LEN(M242)),"")))),IFERROR(LEFT(_xlpm.A,FIND("【",_xlpm.A,FIND("】",_xlpm.A)+1)-1)&amp;MID(_xlpm.A,FIND("】",_xlpm.A,FIND("】",_xlpm.A)+1)+1,LEN(_xlpm.A)),_xlpm.A))</f>
        <v/>
      </c>
      <c r="I242" s="18" t="str">
        <f>_xlfn.LET(_xlpm.A,IF(ISNUMBER(SEARCH("晒单",N242)),"【晒单】"&amp;MID(N242,SEARCH("晒单",N242)+LEN("晒单"),LEN(N242))&amp;"（需晒单后联系客服登记）",IF(ISNUMBER(SEARCH("包修",N242)),"【购机】"&amp;MID(N242,SEARCH("购机",N242)+LEN("购机"),LEN(N242)),IF(ISNUMBER(SEARCH("叠放支架",N242)),"【赠品】"&amp;MID(N242,SEARCH("购机",N242)+LEN("购机"),LEN(N242)),IF(ISNUMBER(SEARCH("秀图",N242)),"【秀图】"&amp;MID(N242,SEARCH("秀图",N242)+LEN("秀图"),LEN(N242)),"")))),IFERROR(LEFT(_xlpm.A,FIND("【",_xlpm.A,FIND("】",_xlpm.A)+1)-1)&amp;MID(_xlpm.A,FIND("】",_xlpm.A,FIND("】",_xlpm.A)+1)+1,LEN(_xlpm.A)),_xlpm.A))</f>
        <v/>
      </c>
      <c r="J242" s="18" t="str" cm="1">
        <f t="array" ref="J242">IFERROR(INDEX(_xlfn.TEXTSPLIT(_xlfn.XLOOKUP($A242&amp;$B242&amp;$C242,盘货信息!$A:$A&amp;盘货信息!$B:$B&amp;盘货信息!$C:$C,盘货信息!$S:$S),CHAR(10),,TRUE),1,COLUMN(A241)),"")</f>
        <v/>
      </c>
      <c r="K242" s="18" t="str" cm="1">
        <f t="array" ref="K242">IFERROR(INDEX(_xlfn.TEXTSPLIT(_xlfn.XLOOKUP($A242&amp;$B242&amp;$C242,盘货信息!$A:$A&amp;盘货信息!$B:$B&amp;盘货信息!$C:$C,盘货信息!$S:$S),CHAR(10),,TRUE),1,COLUMN(B241)),"")</f>
        <v/>
      </c>
      <c r="L242" s="18" t="str" cm="1">
        <f t="array" ref="L242">IFERROR(INDEX(_xlfn.TEXTSPLIT(_xlfn.XLOOKUP($A242&amp;$B242&amp;$C242,盘货信息!$A:$A&amp;盘货信息!$B:$B&amp;盘货信息!$C:$C,盘货信息!$S:$S),CHAR(10),,TRUE),1,COLUMN(C241)),"")</f>
        <v/>
      </c>
      <c r="M242" s="18" t="str" cm="1">
        <f t="array" ref="M242">IFERROR(INDEX(_xlfn.TEXTSPLIT(_xlfn.XLOOKUP($A242&amp;$B242&amp;$C242,盘货信息!$A:$A&amp;盘货信息!$B:$B&amp;盘货信息!$C:$C,盘货信息!$S:$S),CHAR(10),,TRUE),1,COLUMN(D241)),"")</f>
        <v/>
      </c>
      <c r="N242" s="18" t="str" cm="1">
        <f t="array" ref="N242">IFERROR(INDEX(_xlfn.TEXTSPLIT(_xlfn.XLOOKUP($A242&amp;$B242&amp;$C242,盘货信息!$A:$A&amp;盘货信息!$B:$B&amp;盘货信息!$C:$C,盘货信息!$S:$S),CHAR(10),,TRUE),1,COLUMN(E241)),"")</f>
        <v/>
      </c>
    </row>
    <row r="243" customHeight="1" spans="1:14">
      <c r="A243" s="17" t="str">
        <f>IF(盘货信息!A243="","",盘货信息!A243)</f>
        <v/>
      </c>
      <c r="B243" s="17" t="str">
        <f>IF(盘货信息!B243="","",盘货信息!B243)</f>
        <v/>
      </c>
      <c r="C243" s="18" t="str">
        <f>IF(盘货信息!C243="","",盘货信息!C243)</f>
        <v/>
      </c>
      <c r="D243" s="18" t="str">
        <f t="shared" si="3"/>
        <v/>
      </c>
      <c r="E243" s="18" t="str">
        <f>_xlfn.LET(_xlpm.A,IF(ISNUMBER(SEARCH("晒单",J243)),"【晒单】"&amp;MID(J243,SEARCH("晒单",J243)+LEN("晒单"),LEN(J243))&amp;"（需晒单后联系客服登记）",IF(ISNUMBER(SEARCH("包修",J243)),"【购机】"&amp;MID(J243,SEARCH("购机",J243)+LEN("购机"),LEN(J243)),IF(ISNUMBER(SEARCH("叠放支架",J243)),"【赠品】"&amp;MID(J243,SEARCH("购机",J243)+LEN("购机"),LEN(J243)),IF(ISNUMBER(SEARCH("秀图",J243)),"【秀图】"&amp;MID(J243,SEARCH("秀图",J243)+LEN("秀图"),LEN(J243)),"")))),IFERROR(LEFT(_xlpm.A,FIND("【",_xlpm.A,FIND("】",_xlpm.A)+1)-1)&amp;MID(_xlpm.A,FIND("】",_xlpm.A,FIND("】",_xlpm.A)+1)+1,LEN(_xlpm.A)),_xlpm.A))</f>
        <v/>
      </c>
      <c r="F243" s="18" t="str">
        <f>_xlfn.LET(_xlpm.A,IF(ISNUMBER(SEARCH("晒单",K243)),"【晒单】"&amp;MID(K243,SEARCH("晒单",K243)+LEN("晒单"),LEN(K243))&amp;"（需晒单后联系客服登记）",IF(ISNUMBER(SEARCH("包修",K243)),"【购机】"&amp;MID(K243,SEARCH("购机",K243)+LEN("购机"),LEN(K243)),IF(ISNUMBER(SEARCH("叠放支架",K243)),"【赠品】"&amp;MID(K243,SEARCH("购机",K243)+LEN("购机"),LEN(K243)),IF(ISNUMBER(SEARCH("秀图",K243)),"【秀图】"&amp;MID(K243,SEARCH("秀图",K243)+LEN("秀图"),LEN(K243)),"")))),IFERROR(LEFT(_xlpm.A,FIND("【",_xlpm.A,FIND("】",_xlpm.A)+1)-1)&amp;MID(_xlpm.A,FIND("】",_xlpm.A,FIND("】",_xlpm.A)+1)+1,LEN(_xlpm.A)),_xlpm.A))</f>
        <v/>
      </c>
      <c r="G243" s="18" t="str">
        <f>_xlfn.LET(_xlpm.A,IF(ISNUMBER(SEARCH("晒单",L243)),"【晒单】"&amp;MID(L243,SEARCH("晒单",L243)+LEN("晒单"),LEN(L243))&amp;"（需晒单后联系客服登记）",IF(ISNUMBER(SEARCH("包修",L243)),"【购机】"&amp;MID(L243,SEARCH("购机",L243)+LEN("购机"),LEN(L243)),IF(ISNUMBER(SEARCH("叠放支架",L243)),"【赠品】"&amp;MID(L243,SEARCH("购机",L243)+LEN("购机"),LEN(L243)),IF(ISNUMBER(SEARCH("秀图",L243)),"【秀图】"&amp;MID(L243,SEARCH("秀图",L243)+LEN("秀图"),LEN(L243)),"")))),IFERROR(LEFT(_xlpm.A,FIND("【",_xlpm.A,FIND("】",_xlpm.A)+1)-1)&amp;MID(_xlpm.A,FIND("】",_xlpm.A,FIND("】",_xlpm.A)+1)+1,LEN(_xlpm.A)),_xlpm.A))</f>
        <v/>
      </c>
      <c r="H243" s="18" t="str">
        <f>_xlfn.LET(_xlpm.A,IF(ISNUMBER(SEARCH("晒单",M243)),"【晒单】"&amp;MID(M243,SEARCH("晒单",M243)+LEN("晒单"),LEN(M243))&amp;"（需晒单后联系客服登记）",IF(ISNUMBER(SEARCH("包修",M243)),"【购机】"&amp;MID(M243,SEARCH("购机",M243)+LEN("购机"),LEN(M243)),IF(ISNUMBER(SEARCH("叠放支架",M243)),"【赠品】"&amp;MID(M243,SEARCH("购机",M243)+LEN("购机"),LEN(M243)),IF(ISNUMBER(SEARCH("秀图",M243)),"【秀图】"&amp;MID(M243,SEARCH("秀图",M243)+LEN("秀图"),LEN(M243)),"")))),IFERROR(LEFT(_xlpm.A,FIND("【",_xlpm.A,FIND("】",_xlpm.A)+1)-1)&amp;MID(_xlpm.A,FIND("】",_xlpm.A,FIND("】",_xlpm.A)+1)+1,LEN(_xlpm.A)),_xlpm.A))</f>
        <v/>
      </c>
      <c r="I243" s="18" t="str">
        <f>_xlfn.LET(_xlpm.A,IF(ISNUMBER(SEARCH("晒单",N243)),"【晒单】"&amp;MID(N243,SEARCH("晒单",N243)+LEN("晒单"),LEN(N243))&amp;"（需晒单后联系客服登记）",IF(ISNUMBER(SEARCH("包修",N243)),"【购机】"&amp;MID(N243,SEARCH("购机",N243)+LEN("购机"),LEN(N243)),IF(ISNUMBER(SEARCH("叠放支架",N243)),"【赠品】"&amp;MID(N243,SEARCH("购机",N243)+LEN("购机"),LEN(N243)),IF(ISNUMBER(SEARCH("秀图",N243)),"【秀图】"&amp;MID(N243,SEARCH("秀图",N243)+LEN("秀图"),LEN(N243)),"")))),IFERROR(LEFT(_xlpm.A,FIND("【",_xlpm.A,FIND("】",_xlpm.A)+1)-1)&amp;MID(_xlpm.A,FIND("】",_xlpm.A,FIND("】",_xlpm.A)+1)+1,LEN(_xlpm.A)),_xlpm.A))</f>
        <v/>
      </c>
      <c r="J243" s="18" t="str" cm="1">
        <f t="array" ref="J243">IFERROR(INDEX(_xlfn.TEXTSPLIT(_xlfn.XLOOKUP($A243&amp;$B243&amp;$C243,盘货信息!$A:$A&amp;盘货信息!$B:$B&amp;盘货信息!$C:$C,盘货信息!$S:$S),CHAR(10),,TRUE),1,COLUMN(A242)),"")</f>
        <v/>
      </c>
      <c r="K243" s="18" t="str" cm="1">
        <f t="array" ref="K243">IFERROR(INDEX(_xlfn.TEXTSPLIT(_xlfn.XLOOKUP($A243&amp;$B243&amp;$C243,盘货信息!$A:$A&amp;盘货信息!$B:$B&amp;盘货信息!$C:$C,盘货信息!$S:$S),CHAR(10),,TRUE),1,COLUMN(B242)),"")</f>
        <v/>
      </c>
      <c r="L243" s="18" t="str" cm="1">
        <f t="array" ref="L243">IFERROR(INDEX(_xlfn.TEXTSPLIT(_xlfn.XLOOKUP($A243&amp;$B243&amp;$C243,盘货信息!$A:$A&amp;盘货信息!$B:$B&amp;盘货信息!$C:$C,盘货信息!$S:$S),CHAR(10),,TRUE),1,COLUMN(C242)),"")</f>
        <v/>
      </c>
      <c r="M243" s="18" t="str" cm="1">
        <f t="array" ref="M243">IFERROR(INDEX(_xlfn.TEXTSPLIT(_xlfn.XLOOKUP($A243&amp;$B243&amp;$C243,盘货信息!$A:$A&amp;盘货信息!$B:$B&amp;盘货信息!$C:$C,盘货信息!$S:$S),CHAR(10),,TRUE),1,COLUMN(D242)),"")</f>
        <v/>
      </c>
      <c r="N243" s="18" t="str" cm="1">
        <f t="array" ref="N243">IFERROR(INDEX(_xlfn.TEXTSPLIT(_xlfn.XLOOKUP($A243&amp;$B243&amp;$C243,盘货信息!$A:$A&amp;盘货信息!$B:$B&amp;盘货信息!$C:$C,盘货信息!$S:$S),CHAR(10),,TRUE),1,COLUMN(E242)),"")</f>
        <v/>
      </c>
    </row>
    <row r="244" customHeight="1" spans="1:14">
      <c r="A244" s="17" t="str">
        <f>IF(盘货信息!A244="","",盘货信息!A244)</f>
        <v/>
      </c>
      <c r="B244" s="17" t="str">
        <f>IF(盘货信息!B244="","",盘货信息!B244)</f>
        <v/>
      </c>
      <c r="C244" s="18" t="str">
        <f>IF(盘货信息!C244="","",盘货信息!C244)</f>
        <v/>
      </c>
      <c r="D244" s="18" t="str">
        <f t="shared" si="3"/>
        <v/>
      </c>
      <c r="E244" s="18" t="str">
        <f>_xlfn.LET(_xlpm.A,IF(ISNUMBER(SEARCH("晒单",J244)),"【晒单】"&amp;MID(J244,SEARCH("晒单",J244)+LEN("晒单"),LEN(J244))&amp;"（需晒单后联系客服登记）",IF(ISNUMBER(SEARCH("包修",J244)),"【购机】"&amp;MID(J244,SEARCH("购机",J244)+LEN("购机"),LEN(J244)),IF(ISNUMBER(SEARCH("叠放支架",J244)),"【赠品】"&amp;MID(J244,SEARCH("购机",J244)+LEN("购机"),LEN(J244)),IF(ISNUMBER(SEARCH("秀图",J244)),"【秀图】"&amp;MID(J244,SEARCH("秀图",J244)+LEN("秀图"),LEN(J244)),"")))),IFERROR(LEFT(_xlpm.A,FIND("【",_xlpm.A,FIND("】",_xlpm.A)+1)-1)&amp;MID(_xlpm.A,FIND("】",_xlpm.A,FIND("】",_xlpm.A)+1)+1,LEN(_xlpm.A)),_xlpm.A))</f>
        <v/>
      </c>
      <c r="F244" s="18" t="str">
        <f>_xlfn.LET(_xlpm.A,IF(ISNUMBER(SEARCH("晒单",K244)),"【晒单】"&amp;MID(K244,SEARCH("晒单",K244)+LEN("晒单"),LEN(K244))&amp;"（需晒单后联系客服登记）",IF(ISNUMBER(SEARCH("包修",K244)),"【购机】"&amp;MID(K244,SEARCH("购机",K244)+LEN("购机"),LEN(K244)),IF(ISNUMBER(SEARCH("叠放支架",K244)),"【赠品】"&amp;MID(K244,SEARCH("购机",K244)+LEN("购机"),LEN(K244)),IF(ISNUMBER(SEARCH("秀图",K244)),"【秀图】"&amp;MID(K244,SEARCH("秀图",K244)+LEN("秀图"),LEN(K244)),"")))),IFERROR(LEFT(_xlpm.A,FIND("【",_xlpm.A,FIND("】",_xlpm.A)+1)-1)&amp;MID(_xlpm.A,FIND("】",_xlpm.A,FIND("】",_xlpm.A)+1)+1,LEN(_xlpm.A)),_xlpm.A))</f>
        <v/>
      </c>
      <c r="G244" s="18" t="str">
        <f>_xlfn.LET(_xlpm.A,IF(ISNUMBER(SEARCH("晒单",L244)),"【晒单】"&amp;MID(L244,SEARCH("晒单",L244)+LEN("晒单"),LEN(L244))&amp;"（需晒单后联系客服登记）",IF(ISNUMBER(SEARCH("包修",L244)),"【购机】"&amp;MID(L244,SEARCH("购机",L244)+LEN("购机"),LEN(L244)),IF(ISNUMBER(SEARCH("叠放支架",L244)),"【赠品】"&amp;MID(L244,SEARCH("购机",L244)+LEN("购机"),LEN(L244)),IF(ISNUMBER(SEARCH("秀图",L244)),"【秀图】"&amp;MID(L244,SEARCH("秀图",L244)+LEN("秀图"),LEN(L244)),"")))),IFERROR(LEFT(_xlpm.A,FIND("【",_xlpm.A,FIND("】",_xlpm.A)+1)-1)&amp;MID(_xlpm.A,FIND("】",_xlpm.A,FIND("】",_xlpm.A)+1)+1,LEN(_xlpm.A)),_xlpm.A))</f>
        <v/>
      </c>
      <c r="H244" s="18" t="str">
        <f>_xlfn.LET(_xlpm.A,IF(ISNUMBER(SEARCH("晒单",M244)),"【晒单】"&amp;MID(M244,SEARCH("晒单",M244)+LEN("晒单"),LEN(M244))&amp;"（需晒单后联系客服登记）",IF(ISNUMBER(SEARCH("包修",M244)),"【购机】"&amp;MID(M244,SEARCH("购机",M244)+LEN("购机"),LEN(M244)),IF(ISNUMBER(SEARCH("叠放支架",M244)),"【赠品】"&amp;MID(M244,SEARCH("购机",M244)+LEN("购机"),LEN(M244)),IF(ISNUMBER(SEARCH("秀图",M244)),"【秀图】"&amp;MID(M244,SEARCH("秀图",M244)+LEN("秀图"),LEN(M244)),"")))),IFERROR(LEFT(_xlpm.A,FIND("【",_xlpm.A,FIND("】",_xlpm.A)+1)-1)&amp;MID(_xlpm.A,FIND("】",_xlpm.A,FIND("】",_xlpm.A)+1)+1,LEN(_xlpm.A)),_xlpm.A))</f>
        <v/>
      </c>
      <c r="I244" s="18" t="str">
        <f>_xlfn.LET(_xlpm.A,IF(ISNUMBER(SEARCH("晒单",N244)),"【晒单】"&amp;MID(N244,SEARCH("晒单",N244)+LEN("晒单"),LEN(N244))&amp;"（需晒单后联系客服登记）",IF(ISNUMBER(SEARCH("包修",N244)),"【购机】"&amp;MID(N244,SEARCH("购机",N244)+LEN("购机"),LEN(N244)),IF(ISNUMBER(SEARCH("叠放支架",N244)),"【赠品】"&amp;MID(N244,SEARCH("购机",N244)+LEN("购机"),LEN(N244)),IF(ISNUMBER(SEARCH("秀图",N244)),"【秀图】"&amp;MID(N244,SEARCH("秀图",N244)+LEN("秀图"),LEN(N244)),"")))),IFERROR(LEFT(_xlpm.A,FIND("【",_xlpm.A,FIND("】",_xlpm.A)+1)-1)&amp;MID(_xlpm.A,FIND("】",_xlpm.A,FIND("】",_xlpm.A)+1)+1,LEN(_xlpm.A)),_xlpm.A))</f>
        <v/>
      </c>
      <c r="J244" s="18" t="str" cm="1">
        <f t="array" ref="J244">IFERROR(INDEX(_xlfn.TEXTSPLIT(_xlfn.XLOOKUP($A244&amp;$B244&amp;$C244,盘货信息!$A:$A&amp;盘货信息!$B:$B&amp;盘货信息!$C:$C,盘货信息!$S:$S),CHAR(10),,TRUE),1,COLUMN(A243)),"")</f>
        <v/>
      </c>
      <c r="K244" s="18" t="str" cm="1">
        <f t="array" ref="K244">IFERROR(INDEX(_xlfn.TEXTSPLIT(_xlfn.XLOOKUP($A244&amp;$B244&amp;$C244,盘货信息!$A:$A&amp;盘货信息!$B:$B&amp;盘货信息!$C:$C,盘货信息!$S:$S),CHAR(10),,TRUE),1,COLUMN(B243)),"")</f>
        <v/>
      </c>
      <c r="L244" s="18" t="str" cm="1">
        <f t="array" ref="L244">IFERROR(INDEX(_xlfn.TEXTSPLIT(_xlfn.XLOOKUP($A244&amp;$B244&amp;$C244,盘货信息!$A:$A&amp;盘货信息!$B:$B&amp;盘货信息!$C:$C,盘货信息!$S:$S),CHAR(10),,TRUE),1,COLUMN(C243)),"")</f>
        <v/>
      </c>
      <c r="M244" s="18" t="str" cm="1">
        <f t="array" ref="M244">IFERROR(INDEX(_xlfn.TEXTSPLIT(_xlfn.XLOOKUP($A244&amp;$B244&amp;$C244,盘货信息!$A:$A&amp;盘货信息!$B:$B&amp;盘货信息!$C:$C,盘货信息!$S:$S),CHAR(10),,TRUE),1,COLUMN(D243)),"")</f>
        <v/>
      </c>
      <c r="N244" s="18" t="str" cm="1">
        <f t="array" ref="N244">IFERROR(INDEX(_xlfn.TEXTSPLIT(_xlfn.XLOOKUP($A244&amp;$B244&amp;$C244,盘货信息!$A:$A&amp;盘货信息!$B:$B&amp;盘货信息!$C:$C,盘货信息!$S:$S),CHAR(10),,TRUE),1,COLUMN(E243)),"")</f>
        <v/>
      </c>
    </row>
    <row r="245" customHeight="1" spans="1:14">
      <c r="A245" s="17" t="str">
        <f>IF(盘货信息!A245="","",盘货信息!A245)</f>
        <v/>
      </c>
      <c r="B245" s="17" t="str">
        <f>IF(盘货信息!B245="","",盘货信息!B245)</f>
        <v/>
      </c>
      <c r="C245" s="18" t="str">
        <f>IF(盘货信息!C245="","",盘货信息!C245)</f>
        <v/>
      </c>
      <c r="D245" s="18" t="str">
        <f t="shared" si="3"/>
        <v/>
      </c>
      <c r="E245" s="18" t="str">
        <f>_xlfn.LET(_xlpm.A,IF(ISNUMBER(SEARCH("晒单",J245)),"【晒单】"&amp;MID(J245,SEARCH("晒单",J245)+LEN("晒单"),LEN(J245))&amp;"（需晒单后联系客服登记）",IF(ISNUMBER(SEARCH("包修",J245)),"【购机】"&amp;MID(J245,SEARCH("购机",J245)+LEN("购机"),LEN(J245)),IF(ISNUMBER(SEARCH("叠放支架",J245)),"【赠品】"&amp;MID(J245,SEARCH("购机",J245)+LEN("购机"),LEN(J245)),IF(ISNUMBER(SEARCH("秀图",J245)),"【秀图】"&amp;MID(J245,SEARCH("秀图",J245)+LEN("秀图"),LEN(J245)),"")))),IFERROR(LEFT(_xlpm.A,FIND("【",_xlpm.A,FIND("】",_xlpm.A)+1)-1)&amp;MID(_xlpm.A,FIND("】",_xlpm.A,FIND("】",_xlpm.A)+1)+1,LEN(_xlpm.A)),_xlpm.A))</f>
        <v/>
      </c>
      <c r="F245" s="18" t="str">
        <f>_xlfn.LET(_xlpm.A,IF(ISNUMBER(SEARCH("晒单",K245)),"【晒单】"&amp;MID(K245,SEARCH("晒单",K245)+LEN("晒单"),LEN(K245))&amp;"（需晒单后联系客服登记）",IF(ISNUMBER(SEARCH("包修",K245)),"【购机】"&amp;MID(K245,SEARCH("购机",K245)+LEN("购机"),LEN(K245)),IF(ISNUMBER(SEARCH("叠放支架",K245)),"【赠品】"&amp;MID(K245,SEARCH("购机",K245)+LEN("购机"),LEN(K245)),IF(ISNUMBER(SEARCH("秀图",K245)),"【秀图】"&amp;MID(K245,SEARCH("秀图",K245)+LEN("秀图"),LEN(K245)),"")))),IFERROR(LEFT(_xlpm.A,FIND("【",_xlpm.A,FIND("】",_xlpm.A)+1)-1)&amp;MID(_xlpm.A,FIND("】",_xlpm.A,FIND("】",_xlpm.A)+1)+1,LEN(_xlpm.A)),_xlpm.A))</f>
        <v/>
      </c>
      <c r="G245" s="18" t="str">
        <f>_xlfn.LET(_xlpm.A,IF(ISNUMBER(SEARCH("晒单",L245)),"【晒单】"&amp;MID(L245,SEARCH("晒单",L245)+LEN("晒单"),LEN(L245))&amp;"（需晒单后联系客服登记）",IF(ISNUMBER(SEARCH("包修",L245)),"【购机】"&amp;MID(L245,SEARCH("购机",L245)+LEN("购机"),LEN(L245)),IF(ISNUMBER(SEARCH("叠放支架",L245)),"【赠品】"&amp;MID(L245,SEARCH("购机",L245)+LEN("购机"),LEN(L245)),IF(ISNUMBER(SEARCH("秀图",L245)),"【秀图】"&amp;MID(L245,SEARCH("秀图",L245)+LEN("秀图"),LEN(L245)),"")))),IFERROR(LEFT(_xlpm.A,FIND("【",_xlpm.A,FIND("】",_xlpm.A)+1)-1)&amp;MID(_xlpm.A,FIND("】",_xlpm.A,FIND("】",_xlpm.A)+1)+1,LEN(_xlpm.A)),_xlpm.A))</f>
        <v/>
      </c>
      <c r="H245" s="18" t="str">
        <f>_xlfn.LET(_xlpm.A,IF(ISNUMBER(SEARCH("晒单",M245)),"【晒单】"&amp;MID(M245,SEARCH("晒单",M245)+LEN("晒单"),LEN(M245))&amp;"（需晒单后联系客服登记）",IF(ISNUMBER(SEARCH("包修",M245)),"【购机】"&amp;MID(M245,SEARCH("购机",M245)+LEN("购机"),LEN(M245)),IF(ISNUMBER(SEARCH("叠放支架",M245)),"【赠品】"&amp;MID(M245,SEARCH("购机",M245)+LEN("购机"),LEN(M245)),IF(ISNUMBER(SEARCH("秀图",M245)),"【秀图】"&amp;MID(M245,SEARCH("秀图",M245)+LEN("秀图"),LEN(M245)),"")))),IFERROR(LEFT(_xlpm.A,FIND("【",_xlpm.A,FIND("】",_xlpm.A)+1)-1)&amp;MID(_xlpm.A,FIND("】",_xlpm.A,FIND("】",_xlpm.A)+1)+1,LEN(_xlpm.A)),_xlpm.A))</f>
        <v/>
      </c>
      <c r="I245" s="18" t="str">
        <f>_xlfn.LET(_xlpm.A,IF(ISNUMBER(SEARCH("晒单",N245)),"【晒单】"&amp;MID(N245,SEARCH("晒单",N245)+LEN("晒单"),LEN(N245))&amp;"（需晒单后联系客服登记）",IF(ISNUMBER(SEARCH("包修",N245)),"【购机】"&amp;MID(N245,SEARCH("购机",N245)+LEN("购机"),LEN(N245)),IF(ISNUMBER(SEARCH("叠放支架",N245)),"【赠品】"&amp;MID(N245,SEARCH("购机",N245)+LEN("购机"),LEN(N245)),IF(ISNUMBER(SEARCH("秀图",N245)),"【秀图】"&amp;MID(N245,SEARCH("秀图",N245)+LEN("秀图"),LEN(N245)),"")))),IFERROR(LEFT(_xlpm.A,FIND("【",_xlpm.A,FIND("】",_xlpm.A)+1)-1)&amp;MID(_xlpm.A,FIND("】",_xlpm.A,FIND("】",_xlpm.A)+1)+1,LEN(_xlpm.A)),_xlpm.A))</f>
        <v/>
      </c>
      <c r="J245" s="18" t="str" cm="1">
        <f t="array" ref="J245">IFERROR(INDEX(_xlfn.TEXTSPLIT(_xlfn.XLOOKUP($A245&amp;$B245&amp;$C245,盘货信息!$A:$A&amp;盘货信息!$B:$B&amp;盘货信息!$C:$C,盘货信息!$S:$S),CHAR(10),,TRUE),1,COLUMN(A244)),"")</f>
        <v/>
      </c>
      <c r="K245" s="18" t="str" cm="1">
        <f t="array" ref="K245">IFERROR(INDEX(_xlfn.TEXTSPLIT(_xlfn.XLOOKUP($A245&amp;$B245&amp;$C245,盘货信息!$A:$A&amp;盘货信息!$B:$B&amp;盘货信息!$C:$C,盘货信息!$S:$S),CHAR(10),,TRUE),1,COLUMN(B244)),"")</f>
        <v/>
      </c>
      <c r="L245" s="18" t="str" cm="1">
        <f t="array" ref="L245">IFERROR(INDEX(_xlfn.TEXTSPLIT(_xlfn.XLOOKUP($A245&amp;$B245&amp;$C245,盘货信息!$A:$A&amp;盘货信息!$B:$B&amp;盘货信息!$C:$C,盘货信息!$S:$S),CHAR(10),,TRUE),1,COLUMN(C244)),"")</f>
        <v/>
      </c>
      <c r="M245" s="18" t="str" cm="1">
        <f t="array" ref="M245">IFERROR(INDEX(_xlfn.TEXTSPLIT(_xlfn.XLOOKUP($A245&amp;$B245&amp;$C245,盘货信息!$A:$A&amp;盘货信息!$B:$B&amp;盘货信息!$C:$C,盘货信息!$S:$S),CHAR(10),,TRUE),1,COLUMN(D244)),"")</f>
        <v/>
      </c>
      <c r="N245" s="18" t="str" cm="1">
        <f t="array" ref="N245">IFERROR(INDEX(_xlfn.TEXTSPLIT(_xlfn.XLOOKUP($A245&amp;$B245&amp;$C245,盘货信息!$A:$A&amp;盘货信息!$B:$B&amp;盘货信息!$C:$C,盘货信息!$S:$S),CHAR(10),,TRUE),1,COLUMN(E244)),"")</f>
        <v/>
      </c>
    </row>
    <row r="246" customHeight="1" spans="1:14">
      <c r="A246" s="17" t="str">
        <f>IF(盘货信息!A246="","",盘货信息!A246)</f>
        <v/>
      </c>
      <c r="B246" s="17" t="str">
        <f>IF(盘货信息!B246="","",盘货信息!B246)</f>
        <v/>
      </c>
      <c r="C246" s="18" t="str">
        <f>IF(盘货信息!C246="","",盘货信息!C246)</f>
        <v/>
      </c>
      <c r="D246" s="18" t="str">
        <f t="shared" si="3"/>
        <v/>
      </c>
      <c r="E246" s="18" t="str">
        <f>_xlfn.LET(_xlpm.A,IF(ISNUMBER(SEARCH("晒单",J246)),"【晒单】"&amp;MID(J246,SEARCH("晒单",J246)+LEN("晒单"),LEN(J246))&amp;"（需晒单后联系客服登记）",IF(ISNUMBER(SEARCH("包修",J246)),"【购机】"&amp;MID(J246,SEARCH("购机",J246)+LEN("购机"),LEN(J246)),IF(ISNUMBER(SEARCH("叠放支架",J246)),"【赠品】"&amp;MID(J246,SEARCH("购机",J246)+LEN("购机"),LEN(J246)),IF(ISNUMBER(SEARCH("秀图",J246)),"【秀图】"&amp;MID(J246,SEARCH("秀图",J246)+LEN("秀图"),LEN(J246)),"")))),IFERROR(LEFT(_xlpm.A,FIND("【",_xlpm.A,FIND("】",_xlpm.A)+1)-1)&amp;MID(_xlpm.A,FIND("】",_xlpm.A,FIND("】",_xlpm.A)+1)+1,LEN(_xlpm.A)),_xlpm.A))</f>
        <v/>
      </c>
      <c r="F246" s="18" t="str">
        <f>_xlfn.LET(_xlpm.A,IF(ISNUMBER(SEARCH("晒单",K246)),"【晒单】"&amp;MID(K246,SEARCH("晒单",K246)+LEN("晒单"),LEN(K246))&amp;"（需晒单后联系客服登记）",IF(ISNUMBER(SEARCH("包修",K246)),"【购机】"&amp;MID(K246,SEARCH("购机",K246)+LEN("购机"),LEN(K246)),IF(ISNUMBER(SEARCH("叠放支架",K246)),"【赠品】"&amp;MID(K246,SEARCH("购机",K246)+LEN("购机"),LEN(K246)),IF(ISNUMBER(SEARCH("秀图",K246)),"【秀图】"&amp;MID(K246,SEARCH("秀图",K246)+LEN("秀图"),LEN(K246)),"")))),IFERROR(LEFT(_xlpm.A,FIND("【",_xlpm.A,FIND("】",_xlpm.A)+1)-1)&amp;MID(_xlpm.A,FIND("】",_xlpm.A,FIND("】",_xlpm.A)+1)+1,LEN(_xlpm.A)),_xlpm.A))</f>
        <v/>
      </c>
      <c r="G246" s="18" t="str">
        <f>_xlfn.LET(_xlpm.A,IF(ISNUMBER(SEARCH("晒单",L246)),"【晒单】"&amp;MID(L246,SEARCH("晒单",L246)+LEN("晒单"),LEN(L246))&amp;"（需晒单后联系客服登记）",IF(ISNUMBER(SEARCH("包修",L246)),"【购机】"&amp;MID(L246,SEARCH("购机",L246)+LEN("购机"),LEN(L246)),IF(ISNUMBER(SEARCH("叠放支架",L246)),"【赠品】"&amp;MID(L246,SEARCH("购机",L246)+LEN("购机"),LEN(L246)),IF(ISNUMBER(SEARCH("秀图",L246)),"【秀图】"&amp;MID(L246,SEARCH("秀图",L246)+LEN("秀图"),LEN(L246)),"")))),IFERROR(LEFT(_xlpm.A,FIND("【",_xlpm.A,FIND("】",_xlpm.A)+1)-1)&amp;MID(_xlpm.A,FIND("】",_xlpm.A,FIND("】",_xlpm.A)+1)+1,LEN(_xlpm.A)),_xlpm.A))</f>
        <v/>
      </c>
      <c r="H246" s="18" t="str">
        <f>_xlfn.LET(_xlpm.A,IF(ISNUMBER(SEARCH("晒单",M246)),"【晒单】"&amp;MID(M246,SEARCH("晒单",M246)+LEN("晒单"),LEN(M246))&amp;"（需晒单后联系客服登记）",IF(ISNUMBER(SEARCH("包修",M246)),"【购机】"&amp;MID(M246,SEARCH("购机",M246)+LEN("购机"),LEN(M246)),IF(ISNUMBER(SEARCH("叠放支架",M246)),"【赠品】"&amp;MID(M246,SEARCH("购机",M246)+LEN("购机"),LEN(M246)),IF(ISNUMBER(SEARCH("秀图",M246)),"【秀图】"&amp;MID(M246,SEARCH("秀图",M246)+LEN("秀图"),LEN(M246)),"")))),IFERROR(LEFT(_xlpm.A,FIND("【",_xlpm.A,FIND("】",_xlpm.A)+1)-1)&amp;MID(_xlpm.A,FIND("】",_xlpm.A,FIND("】",_xlpm.A)+1)+1,LEN(_xlpm.A)),_xlpm.A))</f>
        <v/>
      </c>
      <c r="I246" s="18" t="str">
        <f>_xlfn.LET(_xlpm.A,IF(ISNUMBER(SEARCH("晒单",N246)),"【晒单】"&amp;MID(N246,SEARCH("晒单",N246)+LEN("晒单"),LEN(N246))&amp;"（需晒单后联系客服登记）",IF(ISNUMBER(SEARCH("包修",N246)),"【购机】"&amp;MID(N246,SEARCH("购机",N246)+LEN("购机"),LEN(N246)),IF(ISNUMBER(SEARCH("叠放支架",N246)),"【赠品】"&amp;MID(N246,SEARCH("购机",N246)+LEN("购机"),LEN(N246)),IF(ISNUMBER(SEARCH("秀图",N246)),"【秀图】"&amp;MID(N246,SEARCH("秀图",N246)+LEN("秀图"),LEN(N246)),"")))),IFERROR(LEFT(_xlpm.A,FIND("【",_xlpm.A,FIND("】",_xlpm.A)+1)-1)&amp;MID(_xlpm.A,FIND("】",_xlpm.A,FIND("】",_xlpm.A)+1)+1,LEN(_xlpm.A)),_xlpm.A))</f>
        <v/>
      </c>
      <c r="J246" s="18" t="str" cm="1">
        <f t="array" ref="J246">IFERROR(INDEX(_xlfn.TEXTSPLIT(_xlfn.XLOOKUP($A246&amp;$B246&amp;$C246,盘货信息!$A:$A&amp;盘货信息!$B:$B&amp;盘货信息!$C:$C,盘货信息!$S:$S),CHAR(10),,TRUE),1,COLUMN(A245)),"")</f>
        <v/>
      </c>
      <c r="K246" s="18" t="str" cm="1">
        <f t="array" ref="K246">IFERROR(INDEX(_xlfn.TEXTSPLIT(_xlfn.XLOOKUP($A246&amp;$B246&amp;$C246,盘货信息!$A:$A&amp;盘货信息!$B:$B&amp;盘货信息!$C:$C,盘货信息!$S:$S),CHAR(10),,TRUE),1,COLUMN(B245)),"")</f>
        <v/>
      </c>
      <c r="L246" s="18" t="str" cm="1">
        <f t="array" ref="L246">IFERROR(INDEX(_xlfn.TEXTSPLIT(_xlfn.XLOOKUP($A246&amp;$B246&amp;$C246,盘货信息!$A:$A&amp;盘货信息!$B:$B&amp;盘货信息!$C:$C,盘货信息!$S:$S),CHAR(10),,TRUE),1,COLUMN(C245)),"")</f>
        <v/>
      </c>
      <c r="M246" s="18" t="str" cm="1">
        <f t="array" ref="M246">IFERROR(INDEX(_xlfn.TEXTSPLIT(_xlfn.XLOOKUP($A246&amp;$B246&amp;$C246,盘货信息!$A:$A&amp;盘货信息!$B:$B&amp;盘货信息!$C:$C,盘货信息!$S:$S),CHAR(10),,TRUE),1,COLUMN(D245)),"")</f>
        <v/>
      </c>
      <c r="N246" s="18" t="str" cm="1">
        <f t="array" ref="N246">IFERROR(INDEX(_xlfn.TEXTSPLIT(_xlfn.XLOOKUP($A246&amp;$B246&amp;$C246,盘货信息!$A:$A&amp;盘货信息!$B:$B&amp;盘货信息!$C:$C,盘货信息!$S:$S),CHAR(10),,TRUE),1,COLUMN(E245)),"")</f>
        <v/>
      </c>
    </row>
    <row r="247" customHeight="1" spans="1:14">
      <c r="A247" s="17" t="str">
        <f>IF(盘货信息!A247="","",盘货信息!A247)</f>
        <v/>
      </c>
      <c r="B247" s="17" t="str">
        <f>IF(盘货信息!B247="","",盘货信息!B247)</f>
        <v/>
      </c>
      <c r="C247" s="18" t="str">
        <f>IF(盘货信息!C247="","",盘货信息!C247)</f>
        <v/>
      </c>
      <c r="D247" s="18" t="str">
        <f t="shared" si="3"/>
        <v/>
      </c>
      <c r="E247" s="18" t="str">
        <f>_xlfn.LET(_xlpm.A,IF(ISNUMBER(SEARCH("晒单",J247)),"【晒单】"&amp;MID(J247,SEARCH("晒单",J247)+LEN("晒单"),LEN(J247))&amp;"（需晒单后联系客服登记）",IF(ISNUMBER(SEARCH("包修",J247)),"【购机】"&amp;MID(J247,SEARCH("购机",J247)+LEN("购机"),LEN(J247)),IF(ISNUMBER(SEARCH("叠放支架",J247)),"【赠品】"&amp;MID(J247,SEARCH("购机",J247)+LEN("购机"),LEN(J247)),IF(ISNUMBER(SEARCH("秀图",J247)),"【秀图】"&amp;MID(J247,SEARCH("秀图",J247)+LEN("秀图"),LEN(J247)),"")))),IFERROR(LEFT(_xlpm.A,FIND("【",_xlpm.A,FIND("】",_xlpm.A)+1)-1)&amp;MID(_xlpm.A,FIND("】",_xlpm.A,FIND("】",_xlpm.A)+1)+1,LEN(_xlpm.A)),_xlpm.A))</f>
        <v/>
      </c>
      <c r="F247" s="18" t="str">
        <f>_xlfn.LET(_xlpm.A,IF(ISNUMBER(SEARCH("晒单",K247)),"【晒单】"&amp;MID(K247,SEARCH("晒单",K247)+LEN("晒单"),LEN(K247))&amp;"（需晒单后联系客服登记）",IF(ISNUMBER(SEARCH("包修",K247)),"【购机】"&amp;MID(K247,SEARCH("购机",K247)+LEN("购机"),LEN(K247)),IF(ISNUMBER(SEARCH("叠放支架",K247)),"【赠品】"&amp;MID(K247,SEARCH("购机",K247)+LEN("购机"),LEN(K247)),IF(ISNUMBER(SEARCH("秀图",K247)),"【秀图】"&amp;MID(K247,SEARCH("秀图",K247)+LEN("秀图"),LEN(K247)),"")))),IFERROR(LEFT(_xlpm.A,FIND("【",_xlpm.A,FIND("】",_xlpm.A)+1)-1)&amp;MID(_xlpm.A,FIND("】",_xlpm.A,FIND("】",_xlpm.A)+1)+1,LEN(_xlpm.A)),_xlpm.A))</f>
        <v/>
      </c>
      <c r="G247" s="18" t="str">
        <f>_xlfn.LET(_xlpm.A,IF(ISNUMBER(SEARCH("晒单",L247)),"【晒单】"&amp;MID(L247,SEARCH("晒单",L247)+LEN("晒单"),LEN(L247))&amp;"（需晒单后联系客服登记）",IF(ISNUMBER(SEARCH("包修",L247)),"【购机】"&amp;MID(L247,SEARCH("购机",L247)+LEN("购机"),LEN(L247)),IF(ISNUMBER(SEARCH("叠放支架",L247)),"【赠品】"&amp;MID(L247,SEARCH("购机",L247)+LEN("购机"),LEN(L247)),IF(ISNUMBER(SEARCH("秀图",L247)),"【秀图】"&amp;MID(L247,SEARCH("秀图",L247)+LEN("秀图"),LEN(L247)),"")))),IFERROR(LEFT(_xlpm.A,FIND("【",_xlpm.A,FIND("】",_xlpm.A)+1)-1)&amp;MID(_xlpm.A,FIND("】",_xlpm.A,FIND("】",_xlpm.A)+1)+1,LEN(_xlpm.A)),_xlpm.A))</f>
        <v/>
      </c>
      <c r="H247" s="18" t="str">
        <f>_xlfn.LET(_xlpm.A,IF(ISNUMBER(SEARCH("晒单",M247)),"【晒单】"&amp;MID(M247,SEARCH("晒单",M247)+LEN("晒单"),LEN(M247))&amp;"（需晒单后联系客服登记）",IF(ISNUMBER(SEARCH("包修",M247)),"【购机】"&amp;MID(M247,SEARCH("购机",M247)+LEN("购机"),LEN(M247)),IF(ISNUMBER(SEARCH("叠放支架",M247)),"【赠品】"&amp;MID(M247,SEARCH("购机",M247)+LEN("购机"),LEN(M247)),IF(ISNUMBER(SEARCH("秀图",M247)),"【秀图】"&amp;MID(M247,SEARCH("秀图",M247)+LEN("秀图"),LEN(M247)),"")))),IFERROR(LEFT(_xlpm.A,FIND("【",_xlpm.A,FIND("】",_xlpm.A)+1)-1)&amp;MID(_xlpm.A,FIND("】",_xlpm.A,FIND("】",_xlpm.A)+1)+1,LEN(_xlpm.A)),_xlpm.A))</f>
        <v/>
      </c>
      <c r="I247" s="18" t="str">
        <f>_xlfn.LET(_xlpm.A,IF(ISNUMBER(SEARCH("晒单",N247)),"【晒单】"&amp;MID(N247,SEARCH("晒单",N247)+LEN("晒单"),LEN(N247))&amp;"（需晒单后联系客服登记）",IF(ISNUMBER(SEARCH("包修",N247)),"【购机】"&amp;MID(N247,SEARCH("购机",N247)+LEN("购机"),LEN(N247)),IF(ISNUMBER(SEARCH("叠放支架",N247)),"【赠品】"&amp;MID(N247,SEARCH("购机",N247)+LEN("购机"),LEN(N247)),IF(ISNUMBER(SEARCH("秀图",N247)),"【秀图】"&amp;MID(N247,SEARCH("秀图",N247)+LEN("秀图"),LEN(N247)),"")))),IFERROR(LEFT(_xlpm.A,FIND("【",_xlpm.A,FIND("】",_xlpm.A)+1)-1)&amp;MID(_xlpm.A,FIND("】",_xlpm.A,FIND("】",_xlpm.A)+1)+1,LEN(_xlpm.A)),_xlpm.A))</f>
        <v/>
      </c>
      <c r="J247" s="18" t="str" cm="1">
        <f t="array" ref="J247">IFERROR(INDEX(_xlfn.TEXTSPLIT(_xlfn.XLOOKUP($A247&amp;$B247&amp;$C247,盘货信息!$A:$A&amp;盘货信息!$B:$B&amp;盘货信息!$C:$C,盘货信息!$S:$S),CHAR(10),,TRUE),1,COLUMN(A246)),"")</f>
        <v/>
      </c>
      <c r="K247" s="18" t="str" cm="1">
        <f t="array" ref="K247">IFERROR(INDEX(_xlfn.TEXTSPLIT(_xlfn.XLOOKUP($A247&amp;$B247&amp;$C247,盘货信息!$A:$A&amp;盘货信息!$B:$B&amp;盘货信息!$C:$C,盘货信息!$S:$S),CHAR(10),,TRUE),1,COLUMN(B246)),"")</f>
        <v/>
      </c>
      <c r="L247" s="18" t="str" cm="1">
        <f t="array" ref="L247">IFERROR(INDEX(_xlfn.TEXTSPLIT(_xlfn.XLOOKUP($A247&amp;$B247&amp;$C247,盘货信息!$A:$A&amp;盘货信息!$B:$B&amp;盘货信息!$C:$C,盘货信息!$S:$S),CHAR(10),,TRUE),1,COLUMN(C246)),"")</f>
        <v/>
      </c>
      <c r="M247" s="18" t="str" cm="1">
        <f t="array" ref="M247">IFERROR(INDEX(_xlfn.TEXTSPLIT(_xlfn.XLOOKUP($A247&amp;$B247&amp;$C247,盘货信息!$A:$A&amp;盘货信息!$B:$B&amp;盘货信息!$C:$C,盘货信息!$S:$S),CHAR(10),,TRUE),1,COLUMN(D246)),"")</f>
        <v/>
      </c>
      <c r="N247" s="18" t="str" cm="1">
        <f t="array" ref="N247">IFERROR(INDEX(_xlfn.TEXTSPLIT(_xlfn.XLOOKUP($A247&amp;$B247&amp;$C247,盘货信息!$A:$A&amp;盘货信息!$B:$B&amp;盘货信息!$C:$C,盘货信息!$S:$S),CHAR(10),,TRUE),1,COLUMN(E246)),"")</f>
        <v/>
      </c>
    </row>
    <row r="248" customHeight="1" spans="1:14">
      <c r="A248" s="17" t="str">
        <f>IF(盘货信息!A248="","",盘货信息!A248)</f>
        <v/>
      </c>
      <c r="B248" s="17" t="str">
        <f>IF(盘货信息!B248="","",盘货信息!B248)</f>
        <v/>
      </c>
      <c r="C248" s="18" t="str">
        <f>IF(盘货信息!C248="","",盘货信息!C248)</f>
        <v/>
      </c>
      <c r="D248" s="18" t="str">
        <f t="shared" si="3"/>
        <v/>
      </c>
      <c r="E248" s="18" t="str">
        <f>_xlfn.LET(_xlpm.A,IF(ISNUMBER(SEARCH("晒单",J248)),"【晒单】"&amp;MID(J248,SEARCH("晒单",J248)+LEN("晒单"),LEN(J248))&amp;"（需晒单后联系客服登记）",IF(ISNUMBER(SEARCH("包修",J248)),"【购机】"&amp;MID(J248,SEARCH("购机",J248)+LEN("购机"),LEN(J248)),IF(ISNUMBER(SEARCH("叠放支架",J248)),"【赠品】"&amp;MID(J248,SEARCH("购机",J248)+LEN("购机"),LEN(J248)),IF(ISNUMBER(SEARCH("秀图",J248)),"【秀图】"&amp;MID(J248,SEARCH("秀图",J248)+LEN("秀图"),LEN(J248)),"")))),IFERROR(LEFT(_xlpm.A,FIND("【",_xlpm.A,FIND("】",_xlpm.A)+1)-1)&amp;MID(_xlpm.A,FIND("】",_xlpm.A,FIND("】",_xlpm.A)+1)+1,LEN(_xlpm.A)),_xlpm.A))</f>
        <v/>
      </c>
      <c r="F248" s="18" t="str">
        <f>_xlfn.LET(_xlpm.A,IF(ISNUMBER(SEARCH("晒单",K248)),"【晒单】"&amp;MID(K248,SEARCH("晒单",K248)+LEN("晒单"),LEN(K248))&amp;"（需晒单后联系客服登记）",IF(ISNUMBER(SEARCH("包修",K248)),"【购机】"&amp;MID(K248,SEARCH("购机",K248)+LEN("购机"),LEN(K248)),IF(ISNUMBER(SEARCH("叠放支架",K248)),"【赠品】"&amp;MID(K248,SEARCH("购机",K248)+LEN("购机"),LEN(K248)),IF(ISNUMBER(SEARCH("秀图",K248)),"【秀图】"&amp;MID(K248,SEARCH("秀图",K248)+LEN("秀图"),LEN(K248)),"")))),IFERROR(LEFT(_xlpm.A,FIND("【",_xlpm.A,FIND("】",_xlpm.A)+1)-1)&amp;MID(_xlpm.A,FIND("】",_xlpm.A,FIND("】",_xlpm.A)+1)+1,LEN(_xlpm.A)),_xlpm.A))</f>
        <v/>
      </c>
      <c r="G248" s="18" t="str">
        <f>_xlfn.LET(_xlpm.A,IF(ISNUMBER(SEARCH("晒单",L248)),"【晒单】"&amp;MID(L248,SEARCH("晒单",L248)+LEN("晒单"),LEN(L248))&amp;"（需晒单后联系客服登记）",IF(ISNUMBER(SEARCH("包修",L248)),"【购机】"&amp;MID(L248,SEARCH("购机",L248)+LEN("购机"),LEN(L248)),IF(ISNUMBER(SEARCH("叠放支架",L248)),"【赠品】"&amp;MID(L248,SEARCH("购机",L248)+LEN("购机"),LEN(L248)),IF(ISNUMBER(SEARCH("秀图",L248)),"【秀图】"&amp;MID(L248,SEARCH("秀图",L248)+LEN("秀图"),LEN(L248)),"")))),IFERROR(LEFT(_xlpm.A,FIND("【",_xlpm.A,FIND("】",_xlpm.A)+1)-1)&amp;MID(_xlpm.A,FIND("】",_xlpm.A,FIND("】",_xlpm.A)+1)+1,LEN(_xlpm.A)),_xlpm.A))</f>
        <v/>
      </c>
      <c r="H248" s="18" t="str">
        <f>_xlfn.LET(_xlpm.A,IF(ISNUMBER(SEARCH("晒单",M248)),"【晒单】"&amp;MID(M248,SEARCH("晒单",M248)+LEN("晒单"),LEN(M248))&amp;"（需晒单后联系客服登记）",IF(ISNUMBER(SEARCH("包修",M248)),"【购机】"&amp;MID(M248,SEARCH("购机",M248)+LEN("购机"),LEN(M248)),IF(ISNUMBER(SEARCH("叠放支架",M248)),"【赠品】"&amp;MID(M248,SEARCH("购机",M248)+LEN("购机"),LEN(M248)),IF(ISNUMBER(SEARCH("秀图",M248)),"【秀图】"&amp;MID(M248,SEARCH("秀图",M248)+LEN("秀图"),LEN(M248)),"")))),IFERROR(LEFT(_xlpm.A,FIND("【",_xlpm.A,FIND("】",_xlpm.A)+1)-1)&amp;MID(_xlpm.A,FIND("】",_xlpm.A,FIND("】",_xlpm.A)+1)+1,LEN(_xlpm.A)),_xlpm.A))</f>
        <v/>
      </c>
      <c r="I248" s="18" t="str">
        <f>_xlfn.LET(_xlpm.A,IF(ISNUMBER(SEARCH("晒单",N248)),"【晒单】"&amp;MID(N248,SEARCH("晒单",N248)+LEN("晒单"),LEN(N248))&amp;"（需晒单后联系客服登记）",IF(ISNUMBER(SEARCH("包修",N248)),"【购机】"&amp;MID(N248,SEARCH("购机",N248)+LEN("购机"),LEN(N248)),IF(ISNUMBER(SEARCH("叠放支架",N248)),"【赠品】"&amp;MID(N248,SEARCH("购机",N248)+LEN("购机"),LEN(N248)),IF(ISNUMBER(SEARCH("秀图",N248)),"【秀图】"&amp;MID(N248,SEARCH("秀图",N248)+LEN("秀图"),LEN(N248)),"")))),IFERROR(LEFT(_xlpm.A,FIND("【",_xlpm.A,FIND("】",_xlpm.A)+1)-1)&amp;MID(_xlpm.A,FIND("】",_xlpm.A,FIND("】",_xlpm.A)+1)+1,LEN(_xlpm.A)),_xlpm.A))</f>
        <v/>
      </c>
      <c r="J248" s="18" t="str" cm="1">
        <f t="array" ref="J248">IFERROR(INDEX(_xlfn.TEXTSPLIT(_xlfn.XLOOKUP($A248&amp;$B248&amp;$C248,盘货信息!$A:$A&amp;盘货信息!$B:$B&amp;盘货信息!$C:$C,盘货信息!$S:$S),CHAR(10),,TRUE),1,COLUMN(A247)),"")</f>
        <v/>
      </c>
      <c r="K248" s="18" t="str" cm="1">
        <f t="array" ref="K248">IFERROR(INDEX(_xlfn.TEXTSPLIT(_xlfn.XLOOKUP($A248&amp;$B248&amp;$C248,盘货信息!$A:$A&amp;盘货信息!$B:$B&amp;盘货信息!$C:$C,盘货信息!$S:$S),CHAR(10),,TRUE),1,COLUMN(B247)),"")</f>
        <v/>
      </c>
      <c r="L248" s="18" t="str" cm="1">
        <f t="array" ref="L248">IFERROR(INDEX(_xlfn.TEXTSPLIT(_xlfn.XLOOKUP($A248&amp;$B248&amp;$C248,盘货信息!$A:$A&amp;盘货信息!$B:$B&amp;盘货信息!$C:$C,盘货信息!$S:$S),CHAR(10),,TRUE),1,COLUMN(C247)),"")</f>
        <v/>
      </c>
      <c r="M248" s="18" t="str" cm="1">
        <f t="array" ref="M248">IFERROR(INDEX(_xlfn.TEXTSPLIT(_xlfn.XLOOKUP($A248&amp;$B248&amp;$C248,盘货信息!$A:$A&amp;盘货信息!$B:$B&amp;盘货信息!$C:$C,盘货信息!$S:$S),CHAR(10),,TRUE),1,COLUMN(D247)),"")</f>
        <v/>
      </c>
      <c r="N248" s="18" t="str" cm="1">
        <f t="array" ref="N248">IFERROR(INDEX(_xlfn.TEXTSPLIT(_xlfn.XLOOKUP($A248&amp;$B248&amp;$C248,盘货信息!$A:$A&amp;盘货信息!$B:$B&amp;盘货信息!$C:$C,盘货信息!$S:$S),CHAR(10),,TRUE),1,COLUMN(E247)),"")</f>
        <v/>
      </c>
    </row>
    <row r="249" customHeight="1" spans="1:14">
      <c r="A249" s="17" t="str">
        <f>IF(盘货信息!A249="","",盘货信息!A249)</f>
        <v/>
      </c>
      <c r="B249" s="17" t="str">
        <f>IF(盘货信息!B249="","",盘货信息!B249)</f>
        <v/>
      </c>
      <c r="C249" s="18" t="str">
        <f>IF(盘货信息!C249="","",盘货信息!C249)</f>
        <v/>
      </c>
      <c r="D249" s="18" t="str">
        <f t="shared" si="3"/>
        <v/>
      </c>
      <c r="E249" s="18" t="str">
        <f>_xlfn.LET(_xlpm.A,IF(ISNUMBER(SEARCH("晒单",J249)),"【晒单】"&amp;MID(J249,SEARCH("晒单",J249)+LEN("晒单"),LEN(J249))&amp;"（需晒单后联系客服登记）",IF(ISNUMBER(SEARCH("包修",J249)),"【购机】"&amp;MID(J249,SEARCH("购机",J249)+LEN("购机"),LEN(J249)),IF(ISNUMBER(SEARCH("叠放支架",J249)),"【赠品】"&amp;MID(J249,SEARCH("购机",J249)+LEN("购机"),LEN(J249)),IF(ISNUMBER(SEARCH("秀图",J249)),"【秀图】"&amp;MID(J249,SEARCH("秀图",J249)+LEN("秀图"),LEN(J249)),"")))),IFERROR(LEFT(_xlpm.A,FIND("【",_xlpm.A,FIND("】",_xlpm.A)+1)-1)&amp;MID(_xlpm.A,FIND("】",_xlpm.A,FIND("】",_xlpm.A)+1)+1,LEN(_xlpm.A)),_xlpm.A))</f>
        <v/>
      </c>
      <c r="F249" s="18" t="str">
        <f>_xlfn.LET(_xlpm.A,IF(ISNUMBER(SEARCH("晒单",K249)),"【晒单】"&amp;MID(K249,SEARCH("晒单",K249)+LEN("晒单"),LEN(K249))&amp;"（需晒单后联系客服登记）",IF(ISNUMBER(SEARCH("包修",K249)),"【购机】"&amp;MID(K249,SEARCH("购机",K249)+LEN("购机"),LEN(K249)),IF(ISNUMBER(SEARCH("叠放支架",K249)),"【赠品】"&amp;MID(K249,SEARCH("购机",K249)+LEN("购机"),LEN(K249)),IF(ISNUMBER(SEARCH("秀图",K249)),"【秀图】"&amp;MID(K249,SEARCH("秀图",K249)+LEN("秀图"),LEN(K249)),"")))),IFERROR(LEFT(_xlpm.A,FIND("【",_xlpm.A,FIND("】",_xlpm.A)+1)-1)&amp;MID(_xlpm.A,FIND("】",_xlpm.A,FIND("】",_xlpm.A)+1)+1,LEN(_xlpm.A)),_xlpm.A))</f>
        <v/>
      </c>
      <c r="G249" s="18" t="str">
        <f>_xlfn.LET(_xlpm.A,IF(ISNUMBER(SEARCH("晒单",L249)),"【晒单】"&amp;MID(L249,SEARCH("晒单",L249)+LEN("晒单"),LEN(L249))&amp;"（需晒单后联系客服登记）",IF(ISNUMBER(SEARCH("包修",L249)),"【购机】"&amp;MID(L249,SEARCH("购机",L249)+LEN("购机"),LEN(L249)),IF(ISNUMBER(SEARCH("叠放支架",L249)),"【赠品】"&amp;MID(L249,SEARCH("购机",L249)+LEN("购机"),LEN(L249)),IF(ISNUMBER(SEARCH("秀图",L249)),"【秀图】"&amp;MID(L249,SEARCH("秀图",L249)+LEN("秀图"),LEN(L249)),"")))),IFERROR(LEFT(_xlpm.A,FIND("【",_xlpm.A,FIND("】",_xlpm.A)+1)-1)&amp;MID(_xlpm.A,FIND("】",_xlpm.A,FIND("】",_xlpm.A)+1)+1,LEN(_xlpm.A)),_xlpm.A))</f>
        <v/>
      </c>
      <c r="H249" s="18" t="str">
        <f>_xlfn.LET(_xlpm.A,IF(ISNUMBER(SEARCH("晒单",M249)),"【晒单】"&amp;MID(M249,SEARCH("晒单",M249)+LEN("晒单"),LEN(M249))&amp;"（需晒单后联系客服登记）",IF(ISNUMBER(SEARCH("包修",M249)),"【购机】"&amp;MID(M249,SEARCH("购机",M249)+LEN("购机"),LEN(M249)),IF(ISNUMBER(SEARCH("叠放支架",M249)),"【赠品】"&amp;MID(M249,SEARCH("购机",M249)+LEN("购机"),LEN(M249)),IF(ISNUMBER(SEARCH("秀图",M249)),"【秀图】"&amp;MID(M249,SEARCH("秀图",M249)+LEN("秀图"),LEN(M249)),"")))),IFERROR(LEFT(_xlpm.A,FIND("【",_xlpm.A,FIND("】",_xlpm.A)+1)-1)&amp;MID(_xlpm.A,FIND("】",_xlpm.A,FIND("】",_xlpm.A)+1)+1,LEN(_xlpm.A)),_xlpm.A))</f>
        <v/>
      </c>
      <c r="I249" s="18" t="str">
        <f>_xlfn.LET(_xlpm.A,IF(ISNUMBER(SEARCH("晒单",N249)),"【晒单】"&amp;MID(N249,SEARCH("晒单",N249)+LEN("晒单"),LEN(N249))&amp;"（需晒单后联系客服登记）",IF(ISNUMBER(SEARCH("包修",N249)),"【购机】"&amp;MID(N249,SEARCH("购机",N249)+LEN("购机"),LEN(N249)),IF(ISNUMBER(SEARCH("叠放支架",N249)),"【赠品】"&amp;MID(N249,SEARCH("购机",N249)+LEN("购机"),LEN(N249)),IF(ISNUMBER(SEARCH("秀图",N249)),"【秀图】"&amp;MID(N249,SEARCH("秀图",N249)+LEN("秀图"),LEN(N249)),"")))),IFERROR(LEFT(_xlpm.A,FIND("【",_xlpm.A,FIND("】",_xlpm.A)+1)-1)&amp;MID(_xlpm.A,FIND("】",_xlpm.A,FIND("】",_xlpm.A)+1)+1,LEN(_xlpm.A)),_xlpm.A))</f>
        <v/>
      </c>
      <c r="J249" s="18" t="str" cm="1">
        <f t="array" ref="J249">IFERROR(INDEX(_xlfn.TEXTSPLIT(_xlfn.XLOOKUP($A249&amp;$B249&amp;$C249,盘货信息!$A:$A&amp;盘货信息!$B:$B&amp;盘货信息!$C:$C,盘货信息!$S:$S),CHAR(10),,TRUE),1,COLUMN(A248)),"")</f>
        <v/>
      </c>
      <c r="K249" s="18" t="str" cm="1">
        <f t="array" ref="K249">IFERROR(INDEX(_xlfn.TEXTSPLIT(_xlfn.XLOOKUP($A249&amp;$B249&amp;$C249,盘货信息!$A:$A&amp;盘货信息!$B:$B&amp;盘货信息!$C:$C,盘货信息!$S:$S),CHAR(10),,TRUE),1,COLUMN(B248)),"")</f>
        <v/>
      </c>
      <c r="L249" s="18" t="str" cm="1">
        <f t="array" ref="L249">IFERROR(INDEX(_xlfn.TEXTSPLIT(_xlfn.XLOOKUP($A249&amp;$B249&amp;$C249,盘货信息!$A:$A&amp;盘货信息!$B:$B&amp;盘货信息!$C:$C,盘货信息!$S:$S),CHAR(10),,TRUE),1,COLUMN(C248)),"")</f>
        <v/>
      </c>
      <c r="M249" s="18" t="str" cm="1">
        <f t="array" ref="M249">IFERROR(INDEX(_xlfn.TEXTSPLIT(_xlfn.XLOOKUP($A249&amp;$B249&amp;$C249,盘货信息!$A:$A&amp;盘货信息!$B:$B&amp;盘货信息!$C:$C,盘货信息!$S:$S),CHAR(10),,TRUE),1,COLUMN(D248)),"")</f>
        <v/>
      </c>
      <c r="N249" s="18" t="str" cm="1">
        <f t="array" ref="N249">IFERROR(INDEX(_xlfn.TEXTSPLIT(_xlfn.XLOOKUP($A249&amp;$B249&amp;$C249,盘货信息!$A:$A&amp;盘货信息!$B:$B&amp;盘货信息!$C:$C,盘货信息!$S:$S),CHAR(10),,TRUE),1,COLUMN(E248)),"")</f>
        <v/>
      </c>
    </row>
    <row r="250" customHeight="1" spans="1:14">
      <c r="A250" s="17" t="str">
        <f>IF(盘货信息!A250="","",盘货信息!A250)</f>
        <v/>
      </c>
      <c r="B250" s="17" t="str">
        <f>IF(盘货信息!B250="","",盘货信息!B250)</f>
        <v/>
      </c>
      <c r="C250" s="18" t="str">
        <f>IF(盘货信息!C250="","",盘货信息!C250)</f>
        <v/>
      </c>
      <c r="D250" s="18" t="str">
        <f t="shared" si="3"/>
        <v/>
      </c>
      <c r="E250" s="18" t="str">
        <f>_xlfn.LET(_xlpm.A,IF(ISNUMBER(SEARCH("晒单",J250)),"【晒单】"&amp;MID(J250,SEARCH("晒单",J250)+LEN("晒单"),LEN(J250))&amp;"（需晒单后联系客服登记）",IF(ISNUMBER(SEARCH("包修",J250)),"【购机】"&amp;MID(J250,SEARCH("购机",J250)+LEN("购机"),LEN(J250)),IF(ISNUMBER(SEARCH("叠放支架",J250)),"【赠品】"&amp;MID(J250,SEARCH("购机",J250)+LEN("购机"),LEN(J250)),IF(ISNUMBER(SEARCH("秀图",J250)),"【秀图】"&amp;MID(J250,SEARCH("秀图",J250)+LEN("秀图"),LEN(J250)),"")))),IFERROR(LEFT(_xlpm.A,FIND("【",_xlpm.A,FIND("】",_xlpm.A)+1)-1)&amp;MID(_xlpm.A,FIND("】",_xlpm.A,FIND("】",_xlpm.A)+1)+1,LEN(_xlpm.A)),_xlpm.A))</f>
        <v/>
      </c>
      <c r="F250" s="18" t="str">
        <f>_xlfn.LET(_xlpm.A,IF(ISNUMBER(SEARCH("晒单",K250)),"【晒单】"&amp;MID(K250,SEARCH("晒单",K250)+LEN("晒单"),LEN(K250))&amp;"（需晒单后联系客服登记）",IF(ISNUMBER(SEARCH("包修",K250)),"【购机】"&amp;MID(K250,SEARCH("购机",K250)+LEN("购机"),LEN(K250)),IF(ISNUMBER(SEARCH("叠放支架",K250)),"【赠品】"&amp;MID(K250,SEARCH("购机",K250)+LEN("购机"),LEN(K250)),IF(ISNUMBER(SEARCH("秀图",K250)),"【秀图】"&amp;MID(K250,SEARCH("秀图",K250)+LEN("秀图"),LEN(K250)),"")))),IFERROR(LEFT(_xlpm.A,FIND("【",_xlpm.A,FIND("】",_xlpm.A)+1)-1)&amp;MID(_xlpm.A,FIND("】",_xlpm.A,FIND("】",_xlpm.A)+1)+1,LEN(_xlpm.A)),_xlpm.A))</f>
        <v/>
      </c>
      <c r="G250" s="18" t="str">
        <f>_xlfn.LET(_xlpm.A,IF(ISNUMBER(SEARCH("晒单",L250)),"【晒单】"&amp;MID(L250,SEARCH("晒单",L250)+LEN("晒单"),LEN(L250))&amp;"（需晒单后联系客服登记）",IF(ISNUMBER(SEARCH("包修",L250)),"【购机】"&amp;MID(L250,SEARCH("购机",L250)+LEN("购机"),LEN(L250)),IF(ISNUMBER(SEARCH("叠放支架",L250)),"【赠品】"&amp;MID(L250,SEARCH("购机",L250)+LEN("购机"),LEN(L250)),IF(ISNUMBER(SEARCH("秀图",L250)),"【秀图】"&amp;MID(L250,SEARCH("秀图",L250)+LEN("秀图"),LEN(L250)),"")))),IFERROR(LEFT(_xlpm.A,FIND("【",_xlpm.A,FIND("】",_xlpm.A)+1)-1)&amp;MID(_xlpm.A,FIND("】",_xlpm.A,FIND("】",_xlpm.A)+1)+1,LEN(_xlpm.A)),_xlpm.A))</f>
        <v/>
      </c>
      <c r="H250" s="18" t="str">
        <f>_xlfn.LET(_xlpm.A,IF(ISNUMBER(SEARCH("晒单",M250)),"【晒单】"&amp;MID(M250,SEARCH("晒单",M250)+LEN("晒单"),LEN(M250))&amp;"（需晒单后联系客服登记）",IF(ISNUMBER(SEARCH("包修",M250)),"【购机】"&amp;MID(M250,SEARCH("购机",M250)+LEN("购机"),LEN(M250)),IF(ISNUMBER(SEARCH("叠放支架",M250)),"【赠品】"&amp;MID(M250,SEARCH("购机",M250)+LEN("购机"),LEN(M250)),IF(ISNUMBER(SEARCH("秀图",M250)),"【秀图】"&amp;MID(M250,SEARCH("秀图",M250)+LEN("秀图"),LEN(M250)),"")))),IFERROR(LEFT(_xlpm.A,FIND("【",_xlpm.A,FIND("】",_xlpm.A)+1)-1)&amp;MID(_xlpm.A,FIND("】",_xlpm.A,FIND("】",_xlpm.A)+1)+1,LEN(_xlpm.A)),_xlpm.A))</f>
        <v/>
      </c>
      <c r="I250" s="18" t="str">
        <f>_xlfn.LET(_xlpm.A,IF(ISNUMBER(SEARCH("晒单",N250)),"【晒单】"&amp;MID(N250,SEARCH("晒单",N250)+LEN("晒单"),LEN(N250))&amp;"（需晒单后联系客服登记）",IF(ISNUMBER(SEARCH("包修",N250)),"【购机】"&amp;MID(N250,SEARCH("购机",N250)+LEN("购机"),LEN(N250)),IF(ISNUMBER(SEARCH("叠放支架",N250)),"【赠品】"&amp;MID(N250,SEARCH("购机",N250)+LEN("购机"),LEN(N250)),IF(ISNUMBER(SEARCH("秀图",N250)),"【秀图】"&amp;MID(N250,SEARCH("秀图",N250)+LEN("秀图"),LEN(N250)),"")))),IFERROR(LEFT(_xlpm.A,FIND("【",_xlpm.A,FIND("】",_xlpm.A)+1)-1)&amp;MID(_xlpm.A,FIND("】",_xlpm.A,FIND("】",_xlpm.A)+1)+1,LEN(_xlpm.A)),_xlpm.A))</f>
        <v/>
      </c>
      <c r="J250" s="18" t="str" cm="1">
        <f t="array" ref="J250">IFERROR(INDEX(_xlfn.TEXTSPLIT(_xlfn.XLOOKUP($A250&amp;$B250&amp;$C250,盘货信息!$A:$A&amp;盘货信息!$B:$B&amp;盘货信息!$C:$C,盘货信息!$S:$S),CHAR(10),,TRUE),1,COLUMN(A249)),"")</f>
        <v/>
      </c>
      <c r="K250" s="18" t="str" cm="1">
        <f t="array" ref="K250">IFERROR(INDEX(_xlfn.TEXTSPLIT(_xlfn.XLOOKUP($A250&amp;$B250&amp;$C250,盘货信息!$A:$A&amp;盘货信息!$B:$B&amp;盘货信息!$C:$C,盘货信息!$S:$S),CHAR(10),,TRUE),1,COLUMN(B249)),"")</f>
        <v/>
      </c>
      <c r="L250" s="18" t="str" cm="1">
        <f t="array" ref="L250">IFERROR(INDEX(_xlfn.TEXTSPLIT(_xlfn.XLOOKUP($A250&amp;$B250&amp;$C250,盘货信息!$A:$A&amp;盘货信息!$B:$B&amp;盘货信息!$C:$C,盘货信息!$S:$S),CHAR(10),,TRUE),1,COLUMN(C249)),"")</f>
        <v/>
      </c>
      <c r="M250" s="18" t="str" cm="1">
        <f t="array" ref="M250">IFERROR(INDEX(_xlfn.TEXTSPLIT(_xlfn.XLOOKUP($A250&amp;$B250&amp;$C250,盘货信息!$A:$A&amp;盘货信息!$B:$B&amp;盘货信息!$C:$C,盘货信息!$S:$S),CHAR(10),,TRUE),1,COLUMN(D249)),"")</f>
        <v/>
      </c>
      <c r="N250" s="18" t="str" cm="1">
        <f t="array" ref="N250">IFERROR(INDEX(_xlfn.TEXTSPLIT(_xlfn.XLOOKUP($A250&amp;$B250&amp;$C250,盘货信息!$A:$A&amp;盘货信息!$B:$B&amp;盘货信息!$C:$C,盘货信息!$S:$S),CHAR(10),,TRUE),1,COLUMN(E249)),"")</f>
        <v/>
      </c>
    </row>
    <row r="251" customHeight="1" spans="1:14">
      <c r="A251" s="17" t="str">
        <f>IF(盘货信息!A251="","",盘货信息!A251)</f>
        <v/>
      </c>
      <c r="B251" s="17" t="str">
        <f>IF(盘货信息!B251="","",盘货信息!B251)</f>
        <v/>
      </c>
      <c r="C251" s="18" t="str">
        <f>IF(盘货信息!C251="","",盘货信息!C251)</f>
        <v/>
      </c>
      <c r="D251" s="18" t="str">
        <f t="shared" si="3"/>
        <v/>
      </c>
      <c r="E251" s="18" t="str">
        <f>_xlfn.LET(_xlpm.A,IF(ISNUMBER(SEARCH("晒单",J251)),"【晒单】"&amp;MID(J251,SEARCH("晒单",J251)+LEN("晒单"),LEN(J251))&amp;"（需晒单后联系客服登记）",IF(ISNUMBER(SEARCH("包修",J251)),"【购机】"&amp;MID(J251,SEARCH("购机",J251)+LEN("购机"),LEN(J251)),IF(ISNUMBER(SEARCH("叠放支架",J251)),"【赠品】"&amp;MID(J251,SEARCH("购机",J251)+LEN("购机"),LEN(J251)),IF(ISNUMBER(SEARCH("秀图",J251)),"【秀图】"&amp;MID(J251,SEARCH("秀图",J251)+LEN("秀图"),LEN(J251)),"")))),IFERROR(LEFT(_xlpm.A,FIND("【",_xlpm.A,FIND("】",_xlpm.A)+1)-1)&amp;MID(_xlpm.A,FIND("】",_xlpm.A,FIND("】",_xlpm.A)+1)+1,LEN(_xlpm.A)),_xlpm.A))</f>
        <v/>
      </c>
      <c r="F251" s="18" t="str">
        <f>_xlfn.LET(_xlpm.A,IF(ISNUMBER(SEARCH("晒单",K251)),"【晒单】"&amp;MID(K251,SEARCH("晒单",K251)+LEN("晒单"),LEN(K251))&amp;"（需晒单后联系客服登记）",IF(ISNUMBER(SEARCH("包修",K251)),"【购机】"&amp;MID(K251,SEARCH("购机",K251)+LEN("购机"),LEN(K251)),IF(ISNUMBER(SEARCH("叠放支架",K251)),"【赠品】"&amp;MID(K251,SEARCH("购机",K251)+LEN("购机"),LEN(K251)),IF(ISNUMBER(SEARCH("秀图",K251)),"【秀图】"&amp;MID(K251,SEARCH("秀图",K251)+LEN("秀图"),LEN(K251)),"")))),IFERROR(LEFT(_xlpm.A,FIND("【",_xlpm.A,FIND("】",_xlpm.A)+1)-1)&amp;MID(_xlpm.A,FIND("】",_xlpm.A,FIND("】",_xlpm.A)+1)+1,LEN(_xlpm.A)),_xlpm.A))</f>
        <v/>
      </c>
      <c r="G251" s="18" t="str">
        <f>_xlfn.LET(_xlpm.A,IF(ISNUMBER(SEARCH("晒单",L251)),"【晒单】"&amp;MID(L251,SEARCH("晒单",L251)+LEN("晒单"),LEN(L251))&amp;"（需晒单后联系客服登记）",IF(ISNUMBER(SEARCH("包修",L251)),"【购机】"&amp;MID(L251,SEARCH("购机",L251)+LEN("购机"),LEN(L251)),IF(ISNUMBER(SEARCH("叠放支架",L251)),"【赠品】"&amp;MID(L251,SEARCH("购机",L251)+LEN("购机"),LEN(L251)),IF(ISNUMBER(SEARCH("秀图",L251)),"【秀图】"&amp;MID(L251,SEARCH("秀图",L251)+LEN("秀图"),LEN(L251)),"")))),IFERROR(LEFT(_xlpm.A,FIND("【",_xlpm.A,FIND("】",_xlpm.A)+1)-1)&amp;MID(_xlpm.A,FIND("】",_xlpm.A,FIND("】",_xlpm.A)+1)+1,LEN(_xlpm.A)),_xlpm.A))</f>
        <v/>
      </c>
      <c r="H251" s="18" t="str">
        <f>_xlfn.LET(_xlpm.A,IF(ISNUMBER(SEARCH("晒单",M251)),"【晒单】"&amp;MID(M251,SEARCH("晒单",M251)+LEN("晒单"),LEN(M251))&amp;"（需晒单后联系客服登记）",IF(ISNUMBER(SEARCH("包修",M251)),"【购机】"&amp;MID(M251,SEARCH("购机",M251)+LEN("购机"),LEN(M251)),IF(ISNUMBER(SEARCH("叠放支架",M251)),"【赠品】"&amp;MID(M251,SEARCH("购机",M251)+LEN("购机"),LEN(M251)),IF(ISNUMBER(SEARCH("秀图",M251)),"【秀图】"&amp;MID(M251,SEARCH("秀图",M251)+LEN("秀图"),LEN(M251)),"")))),IFERROR(LEFT(_xlpm.A,FIND("【",_xlpm.A,FIND("】",_xlpm.A)+1)-1)&amp;MID(_xlpm.A,FIND("】",_xlpm.A,FIND("】",_xlpm.A)+1)+1,LEN(_xlpm.A)),_xlpm.A))</f>
        <v/>
      </c>
      <c r="I251" s="18" t="str">
        <f>_xlfn.LET(_xlpm.A,IF(ISNUMBER(SEARCH("晒单",N251)),"【晒单】"&amp;MID(N251,SEARCH("晒单",N251)+LEN("晒单"),LEN(N251))&amp;"（需晒单后联系客服登记）",IF(ISNUMBER(SEARCH("包修",N251)),"【购机】"&amp;MID(N251,SEARCH("购机",N251)+LEN("购机"),LEN(N251)),IF(ISNUMBER(SEARCH("叠放支架",N251)),"【赠品】"&amp;MID(N251,SEARCH("购机",N251)+LEN("购机"),LEN(N251)),IF(ISNUMBER(SEARCH("秀图",N251)),"【秀图】"&amp;MID(N251,SEARCH("秀图",N251)+LEN("秀图"),LEN(N251)),"")))),IFERROR(LEFT(_xlpm.A,FIND("【",_xlpm.A,FIND("】",_xlpm.A)+1)-1)&amp;MID(_xlpm.A,FIND("】",_xlpm.A,FIND("】",_xlpm.A)+1)+1,LEN(_xlpm.A)),_xlpm.A))</f>
        <v/>
      </c>
      <c r="J251" s="18" t="str" cm="1">
        <f t="array" ref="J251">IFERROR(INDEX(_xlfn.TEXTSPLIT(_xlfn.XLOOKUP($A251&amp;$B251&amp;$C251,盘货信息!$A:$A&amp;盘货信息!$B:$B&amp;盘货信息!$C:$C,盘货信息!$S:$S),CHAR(10),,TRUE),1,COLUMN(A250)),"")</f>
        <v/>
      </c>
      <c r="K251" s="18" t="str" cm="1">
        <f t="array" ref="K251">IFERROR(INDEX(_xlfn.TEXTSPLIT(_xlfn.XLOOKUP($A251&amp;$B251&amp;$C251,盘货信息!$A:$A&amp;盘货信息!$B:$B&amp;盘货信息!$C:$C,盘货信息!$S:$S),CHAR(10),,TRUE),1,COLUMN(B250)),"")</f>
        <v/>
      </c>
      <c r="L251" s="18" t="str" cm="1">
        <f t="array" ref="L251">IFERROR(INDEX(_xlfn.TEXTSPLIT(_xlfn.XLOOKUP($A251&amp;$B251&amp;$C251,盘货信息!$A:$A&amp;盘货信息!$B:$B&amp;盘货信息!$C:$C,盘货信息!$S:$S),CHAR(10),,TRUE),1,COLUMN(C250)),"")</f>
        <v/>
      </c>
      <c r="M251" s="18" t="str" cm="1">
        <f t="array" ref="M251">IFERROR(INDEX(_xlfn.TEXTSPLIT(_xlfn.XLOOKUP($A251&amp;$B251&amp;$C251,盘货信息!$A:$A&amp;盘货信息!$B:$B&amp;盘货信息!$C:$C,盘货信息!$S:$S),CHAR(10),,TRUE),1,COLUMN(D250)),"")</f>
        <v/>
      </c>
      <c r="N251" s="18" t="str" cm="1">
        <f t="array" ref="N251">IFERROR(INDEX(_xlfn.TEXTSPLIT(_xlfn.XLOOKUP($A251&amp;$B251&amp;$C251,盘货信息!$A:$A&amp;盘货信息!$B:$B&amp;盘货信息!$C:$C,盘货信息!$S:$S),CHAR(10),,TRUE),1,COLUMN(E250)),"")</f>
        <v/>
      </c>
    </row>
    <row r="252" customHeight="1" spans="1:14">
      <c r="A252" s="17" t="str">
        <f>IF(盘货信息!A252="","",盘货信息!A252)</f>
        <v/>
      </c>
      <c r="B252" s="17" t="str">
        <f>IF(盘货信息!B252="","",盘货信息!B252)</f>
        <v/>
      </c>
      <c r="C252" s="18" t="str">
        <f>IF(盘货信息!C252="","",盘货信息!C252)</f>
        <v/>
      </c>
      <c r="D252" s="18" t="str">
        <f t="shared" si="3"/>
        <v/>
      </c>
      <c r="E252" s="18" t="str">
        <f>_xlfn.LET(_xlpm.A,IF(ISNUMBER(SEARCH("晒单",J252)),"【晒单】"&amp;MID(J252,SEARCH("晒单",J252)+LEN("晒单"),LEN(J252))&amp;"（需晒单后联系客服登记）",IF(ISNUMBER(SEARCH("包修",J252)),"【购机】"&amp;MID(J252,SEARCH("购机",J252)+LEN("购机"),LEN(J252)),IF(ISNUMBER(SEARCH("叠放支架",J252)),"【赠品】"&amp;MID(J252,SEARCH("购机",J252)+LEN("购机"),LEN(J252)),IF(ISNUMBER(SEARCH("秀图",J252)),"【秀图】"&amp;MID(J252,SEARCH("秀图",J252)+LEN("秀图"),LEN(J252)),"")))),IFERROR(LEFT(_xlpm.A,FIND("【",_xlpm.A,FIND("】",_xlpm.A)+1)-1)&amp;MID(_xlpm.A,FIND("】",_xlpm.A,FIND("】",_xlpm.A)+1)+1,LEN(_xlpm.A)),_xlpm.A))</f>
        <v/>
      </c>
      <c r="F252" s="18" t="str">
        <f>_xlfn.LET(_xlpm.A,IF(ISNUMBER(SEARCH("晒单",K252)),"【晒单】"&amp;MID(K252,SEARCH("晒单",K252)+LEN("晒单"),LEN(K252))&amp;"（需晒单后联系客服登记）",IF(ISNUMBER(SEARCH("包修",K252)),"【购机】"&amp;MID(K252,SEARCH("购机",K252)+LEN("购机"),LEN(K252)),IF(ISNUMBER(SEARCH("叠放支架",K252)),"【赠品】"&amp;MID(K252,SEARCH("购机",K252)+LEN("购机"),LEN(K252)),IF(ISNUMBER(SEARCH("秀图",K252)),"【秀图】"&amp;MID(K252,SEARCH("秀图",K252)+LEN("秀图"),LEN(K252)),"")))),IFERROR(LEFT(_xlpm.A,FIND("【",_xlpm.A,FIND("】",_xlpm.A)+1)-1)&amp;MID(_xlpm.A,FIND("】",_xlpm.A,FIND("】",_xlpm.A)+1)+1,LEN(_xlpm.A)),_xlpm.A))</f>
        <v/>
      </c>
      <c r="G252" s="18" t="str">
        <f>_xlfn.LET(_xlpm.A,IF(ISNUMBER(SEARCH("晒单",L252)),"【晒单】"&amp;MID(L252,SEARCH("晒单",L252)+LEN("晒单"),LEN(L252))&amp;"（需晒单后联系客服登记）",IF(ISNUMBER(SEARCH("包修",L252)),"【购机】"&amp;MID(L252,SEARCH("购机",L252)+LEN("购机"),LEN(L252)),IF(ISNUMBER(SEARCH("叠放支架",L252)),"【赠品】"&amp;MID(L252,SEARCH("购机",L252)+LEN("购机"),LEN(L252)),IF(ISNUMBER(SEARCH("秀图",L252)),"【秀图】"&amp;MID(L252,SEARCH("秀图",L252)+LEN("秀图"),LEN(L252)),"")))),IFERROR(LEFT(_xlpm.A,FIND("【",_xlpm.A,FIND("】",_xlpm.A)+1)-1)&amp;MID(_xlpm.A,FIND("】",_xlpm.A,FIND("】",_xlpm.A)+1)+1,LEN(_xlpm.A)),_xlpm.A))</f>
        <v/>
      </c>
      <c r="H252" s="18" t="str">
        <f>_xlfn.LET(_xlpm.A,IF(ISNUMBER(SEARCH("晒单",M252)),"【晒单】"&amp;MID(M252,SEARCH("晒单",M252)+LEN("晒单"),LEN(M252))&amp;"（需晒单后联系客服登记）",IF(ISNUMBER(SEARCH("包修",M252)),"【购机】"&amp;MID(M252,SEARCH("购机",M252)+LEN("购机"),LEN(M252)),IF(ISNUMBER(SEARCH("叠放支架",M252)),"【赠品】"&amp;MID(M252,SEARCH("购机",M252)+LEN("购机"),LEN(M252)),IF(ISNUMBER(SEARCH("秀图",M252)),"【秀图】"&amp;MID(M252,SEARCH("秀图",M252)+LEN("秀图"),LEN(M252)),"")))),IFERROR(LEFT(_xlpm.A,FIND("【",_xlpm.A,FIND("】",_xlpm.A)+1)-1)&amp;MID(_xlpm.A,FIND("】",_xlpm.A,FIND("】",_xlpm.A)+1)+1,LEN(_xlpm.A)),_xlpm.A))</f>
        <v/>
      </c>
      <c r="I252" s="18" t="str">
        <f>_xlfn.LET(_xlpm.A,IF(ISNUMBER(SEARCH("晒单",N252)),"【晒单】"&amp;MID(N252,SEARCH("晒单",N252)+LEN("晒单"),LEN(N252))&amp;"（需晒单后联系客服登记）",IF(ISNUMBER(SEARCH("包修",N252)),"【购机】"&amp;MID(N252,SEARCH("购机",N252)+LEN("购机"),LEN(N252)),IF(ISNUMBER(SEARCH("叠放支架",N252)),"【赠品】"&amp;MID(N252,SEARCH("购机",N252)+LEN("购机"),LEN(N252)),IF(ISNUMBER(SEARCH("秀图",N252)),"【秀图】"&amp;MID(N252,SEARCH("秀图",N252)+LEN("秀图"),LEN(N252)),"")))),IFERROR(LEFT(_xlpm.A,FIND("【",_xlpm.A,FIND("】",_xlpm.A)+1)-1)&amp;MID(_xlpm.A,FIND("】",_xlpm.A,FIND("】",_xlpm.A)+1)+1,LEN(_xlpm.A)),_xlpm.A))</f>
        <v/>
      </c>
      <c r="J252" s="18" t="str" cm="1">
        <f t="array" ref="J252">IFERROR(INDEX(_xlfn.TEXTSPLIT(_xlfn.XLOOKUP($A252&amp;$B252&amp;$C252,盘货信息!$A:$A&amp;盘货信息!$B:$B&amp;盘货信息!$C:$C,盘货信息!$S:$S),CHAR(10),,TRUE),1,COLUMN(A251)),"")</f>
        <v/>
      </c>
      <c r="K252" s="18" t="str" cm="1">
        <f t="array" ref="K252">IFERROR(INDEX(_xlfn.TEXTSPLIT(_xlfn.XLOOKUP($A252&amp;$B252&amp;$C252,盘货信息!$A:$A&amp;盘货信息!$B:$B&amp;盘货信息!$C:$C,盘货信息!$S:$S),CHAR(10),,TRUE),1,COLUMN(B251)),"")</f>
        <v/>
      </c>
      <c r="L252" s="18" t="str" cm="1">
        <f t="array" ref="L252">IFERROR(INDEX(_xlfn.TEXTSPLIT(_xlfn.XLOOKUP($A252&amp;$B252&amp;$C252,盘货信息!$A:$A&amp;盘货信息!$B:$B&amp;盘货信息!$C:$C,盘货信息!$S:$S),CHAR(10),,TRUE),1,COLUMN(C251)),"")</f>
        <v/>
      </c>
      <c r="M252" s="18" t="str" cm="1">
        <f t="array" ref="M252">IFERROR(INDEX(_xlfn.TEXTSPLIT(_xlfn.XLOOKUP($A252&amp;$B252&amp;$C252,盘货信息!$A:$A&amp;盘货信息!$B:$B&amp;盘货信息!$C:$C,盘货信息!$S:$S),CHAR(10),,TRUE),1,COLUMN(D251)),"")</f>
        <v/>
      </c>
      <c r="N252" s="18" t="str" cm="1">
        <f t="array" ref="N252">IFERROR(INDEX(_xlfn.TEXTSPLIT(_xlfn.XLOOKUP($A252&amp;$B252&amp;$C252,盘货信息!$A:$A&amp;盘货信息!$B:$B&amp;盘货信息!$C:$C,盘货信息!$S:$S),CHAR(10),,TRUE),1,COLUMN(E251)),"")</f>
        <v/>
      </c>
    </row>
    <row r="253" customHeight="1" spans="1:14">
      <c r="A253" s="17" t="str">
        <f>IF(盘货信息!A253="","",盘货信息!A253)</f>
        <v/>
      </c>
      <c r="B253" s="17" t="str">
        <f>IF(盘货信息!B253="","",盘货信息!B253)</f>
        <v/>
      </c>
      <c r="C253" s="18" t="str">
        <f>IF(盘货信息!C253="","",盘货信息!C253)</f>
        <v/>
      </c>
      <c r="D253" s="18" t="str">
        <f t="shared" si="3"/>
        <v/>
      </c>
      <c r="E253" s="18" t="str">
        <f>_xlfn.LET(_xlpm.A,IF(ISNUMBER(SEARCH("晒单",J253)),"【晒单】"&amp;MID(J253,SEARCH("晒单",J253)+LEN("晒单"),LEN(J253))&amp;"（需晒单后联系客服登记）",IF(ISNUMBER(SEARCH("包修",J253)),"【购机】"&amp;MID(J253,SEARCH("购机",J253)+LEN("购机"),LEN(J253)),IF(ISNUMBER(SEARCH("叠放支架",J253)),"【赠品】"&amp;MID(J253,SEARCH("购机",J253)+LEN("购机"),LEN(J253)),IF(ISNUMBER(SEARCH("秀图",J253)),"【秀图】"&amp;MID(J253,SEARCH("秀图",J253)+LEN("秀图"),LEN(J253)),"")))),IFERROR(LEFT(_xlpm.A,FIND("【",_xlpm.A,FIND("】",_xlpm.A)+1)-1)&amp;MID(_xlpm.A,FIND("】",_xlpm.A,FIND("】",_xlpm.A)+1)+1,LEN(_xlpm.A)),_xlpm.A))</f>
        <v/>
      </c>
      <c r="F253" s="18" t="str">
        <f>_xlfn.LET(_xlpm.A,IF(ISNUMBER(SEARCH("晒单",K253)),"【晒单】"&amp;MID(K253,SEARCH("晒单",K253)+LEN("晒单"),LEN(K253))&amp;"（需晒单后联系客服登记）",IF(ISNUMBER(SEARCH("包修",K253)),"【购机】"&amp;MID(K253,SEARCH("购机",K253)+LEN("购机"),LEN(K253)),IF(ISNUMBER(SEARCH("叠放支架",K253)),"【赠品】"&amp;MID(K253,SEARCH("购机",K253)+LEN("购机"),LEN(K253)),IF(ISNUMBER(SEARCH("秀图",K253)),"【秀图】"&amp;MID(K253,SEARCH("秀图",K253)+LEN("秀图"),LEN(K253)),"")))),IFERROR(LEFT(_xlpm.A,FIND("【",_xlpm.A,FIND("】",_xlpm.A)+1)-1)&amp;MID(_xlpm.A,FIND("】",_xlpm.A,FIND("】",_xlpm.A)+1)+1,LEN(_xlpm.A)),_xlpm.A))</f>
        <v/>
      </c>
      <c r="G253" s="18" t="str">
        <f>_xlfn.LET(_xlpm.A,IF(ISNUMBER(SEARCH("晒单",L253)),"【晒单】"&amp;MID(L253,SEARCH("晒单",L253)+LEN("晒单"),LEN(L253))&amp;"（需晒单后联系客服登记）",IF(ISNUMBER(SEARCH("包修",L253)),"【购机】"&amp;MID(L253,SEARCH("购机",L253)+LEN("购机"),LEN(L253)),IF(ISNUMBER(SEARCH("叠放支架",L253)),"【赠品】"&amp;MID(L253,SEARCH("购机",L253)+LEN("购机"),LEN(L253)),IF(ISNUMBER(SEARCH("秀图",L253)),"【秀图】"&amp;MID(L253,SEARCH("秀图",L253)+LEN("秀图"),LEN(L253)),"")))),IFERROR(LEFT(_xlpm.A,FIND("【",_xlpm.A,FIND("】",_xlpm.A)+1)-1)&amp;MID(_xlpm.A,FIND("】",_xlpm.A,FIND("】",_xlpm.A)+1)+1,LEN(_xlpm.A)),_xlpm.A))</f>
        <v/>
      </c>
      <c r="H253" s="18" t="str">
        <f>_xlfn.LET(_xlpm.A,IF(ISNUMBER(SEARCH("晒单",M253)),"【晒单】"&amp;MID(M253,SEARCH("晒单",M253)+LEN("晒单"),LEN(M253))&amp;"（需晒单后联系客服登记）",IF(ISNUMBER(SEARCH("包修",M253)),"【购机】"&amp;MID(M253,SEARCH("购机",M253)+LEN("购机"),LEN(M253)),IF(ISNUMBER(SEARCH("叠放支架",M253)),"【赠品】"&amp;MID(M253,SEARCH("购机",M253)+LEN("购机"),LEN(M253)),IF(ISNUMBER(SEARCH("秀图",M253)),"【秀图】"&amp;MID(M253,SEARCH("秀图",M253)+LEN("秀图"),LEN(M253)),"")))),IFERROR(LEFT(_xlpm.A,FIND("【",_xlpm.A,FIND("】",_xlpm.A)+1)-1)&amp;MID(_xlpm.A,FIND("】",_xlpm.A,FIND("】",_xlpm.A)+1)+1,LEN(_xlpm.A)),_xlpm.A))</f>
        <v/>
      </c>
      <c r="I253" s="18" t="str">
        <f>_xlfn.LET(_xlpm.A,IF(ISNUMBER(SEARCH("晒单",N253)),"【晒单】"&amp;MID(N253,SEARCH("晒单",N253)+LEN("晒单"),LEN(N253))&amp;"（需晒单后联系客服登记）",IF(ISNUMBER(SEARCH("包修",N253)),"【购机】"&amp;MID(N253,SEARCH("购机",N253)+LEN("购机"),LEN(N253)),IF(ISNUMBER(SEARCH("叠放支架",N253)),"【赠品】"&amp;MID(N253,SEARCH("购机",N253)+LEN("购机"),LEN(N253)),IF(ISNUMBER(SEARCH("秀图",N253)),"【秀图】"&amp;MID(N253,SEARCH("秀图",N253)+LEN("秀图"),LEN(N253)),"")))),IFERROR(LEFT(_xlpm.A,FIND("【",_xlpm.A,FIND("】",_xlpm.A)+1)-1)&amp;MID(_xlpm.A,FIND("】",_xlpm.A,FIND("】",_xlpm.A)+1)+1,LEN(_xlpm.A)),_xlpm.A))</f>
        <v/>
      </c>
      <c r="J253" s="18" t="str" cm="1">
        <f t="array" ref="J253">IFERROR(INDEX(_xlfn.TEXTSPLIT(_xlfn.XLOOKUP($A253&amp;$B253&amp;$C253,盘货信息!$A:$A&amp;盘货信息!$B:$B&amp;盘货信息!$C:$C,盘货信息!$S:$S),CHAR(10),,TRUE),1,COLUMN(A252)),"")</f>
        <v/>
      </c>
      <c r="K253" s="18" t="str" cm="1">
        <f t="array" ref="K253">IFERROR(INDEX(_xlfn.TEXTSPLIT(_xlfn.XLOOKUP($A253&amp;$B253&amp;$C253,盘货信息!$A:$A&amp;盘货信息!$B:$B&amp;盘货信息!$C:$C,盘货信息!$S:$S),CHAR(10),,TRUE),1,COLUMN(B252)),"")</f>
        <v/>
      </c>
      <c r="L253" s="18" t="str" cm="1">
        <f t="array" ref="L253">IFERROR(INDEX(_xlfn.TEXTSPLIT(_xlfn.XLOOKUP($A253&amp;$B253&amp;$C253,盘货信息!$A:$A&amp;盘货信息!$B:$B&amp;盘货信息!$C:$C,盘货信息!$S:$S),CHAR(10),,TRUE),1,COLUMN(C252)),"")</f>
        <v/>
      </c>
      <c r="M253" s="18" t="str" cm="1">
        <f t="array" ref="M253">IFERROR(INDEX(_xlfn.TEXTSPLIT(_xlfn.XLOOKUP($A253&amp;$B253&amp;$C253,盘货信息!$A:$A&amp;盘货信息!$B:$B&amp;盘货信息!$C:$C,盘货信息!$S:$S),CHAR(10),,TRUE),1,COLUMN(D252)),"")</f>
        <v/>
      </c>
      <c r="N253" s="18" t="str" cm="1">
        <f t="array" ref="N253">IFERROR(INDEX(_xlfn.TEXTSPLIT(_xlfn.XLOOKUP($A253&amp;$B253&amp;$C253,盘货信息!$A:$A&amp;盘货信息!$B:$B&amp;盘货信息!$C:$C,盘货信息!$S:$S),CHAR(10),,TRUE),1,COLUMN(E252)),"")</f>
        <v/>
      </c>
    </row>
    <row r="254" customHeight="1" spans="1:14">
      <c r="A254" s="17" t="str">
        <f>IF(盘货信息!A254="","",盘货信息!A254)</f>
        <v/>
      </c>
      <c r="B254" s="17" t="str">
        <f>IF(盘货信息!B254="","",盘货信息!B254)</f>
        <v/>
      </c>
      <c r="C254" s="18" t="str">
        <f>IF(盘货信息!C254="","",盘货信息!C254)</f>
        <v/>
      </c>
      <c r="D254" s="18" t="str">
        <f t="shared" si="3"/>
        <v/>
      </c>
      <c r="E254" s="18" t="str">
        <f>_xlfn.LET(_xlpm.A,IF(ISNUMBER(SEARCH("晒单",J254)),"【晒单】"&amp;MID(J254,SEARCH("晒单",J254)+LEN("晒单"),LEN(J254))&amp;"（需晒单后联系客服登记）",IF(ISNUMBER(SEARCH("包修",J254)),"【购机】"&amp;MID(J254,SEARCH("购机",J254)+LEN("购机"),LEN(J254)),IF(ISNUMBER(SEARCH("叠放支架",J254)),"【赠品】"&amp;MID(J254,SEARCH("购机",J254)+LEN("购机"),LEN(J254)),IF(ISNUMBER(SEARCH("秀图",J254)),"【秀图】"&amp;MID(J254,SEARCH("秀图",J254)+LEN("秀图"),LEN(J254)),"")))),IFERROR(LEFT(_xlpm.A,FIND("【",_xlpm.A,FIND("】",_xlpm.A)+1)-1)&amp;MID(_xlpm.A,FIND("】",_xlpm.A,FIND("】",_xlpm.A)+1)+1,LEN(_xlpm.A)),_xlpm.A))</f>
        <v/>
      </c>
      <c r="F254" s="18" t="str">
        <f>_xlfn.LET(_xlpm.A,IF(ISNUMBER(SEARCH("晒单",K254)),"【晒单】"&amp;MID(K254,SEARCH("晒单",K254)+LEN("晒单"),LEN(K254))&amp;"（需晒单后联系客服登记）",IF(ISNUMBER(SEARCH("包修",K254)),"【购机】"&amp;MID(K254,SEARCH("购机",K254)+LEN("购机"),LEN(K254)),IF(ISNUMBER(SEARCH("叠放支架",K254)),"【赠品】"&amp;MID(K254,SEARCH("购机",K254)+LEN("购机"),LEN(K254)),IF(ISNUMBER(SEARCH("秀图",K254)),"【秀图】"&amp;MID(K254,SEARCH("秀图",K254)+LEN("秀图"),LEN(K254)),"")))),IFERROR(LEFT(_xlpm.A,FIND("【",_xlpm.A,FIND("】",_xlpm.A)+1)-1)&amp;MID(_xlpm.A,FIND("】",_xlpm.A,FIND("】",_xlpm.A)+1)+1,LEN(_xlpm.A)),_xlpm.A))</f>
        <v/>
      </c>
      <c r="G254" s="18" t="str">
        <f>_xlfn.LET(_xlpm.A,IF(ISNUMBER(SEARCH("晒单",L254)),"【晒单】"&amp;MID(L254,SEARCH("晒单",L254)+LEN("晒单"),LEN(L254))&amp;"（需晒单后联系客服登记）",IF(ISNUMBER(SEARCH("包修",L254)),"【购机】"&amp;MID(L254,SEARCH("购机",L254)+LEN("购机"),LEN(L254)),IF(ISNUMBER(SEARCH("叠放支架",L254)),"【赠品】"&amp;MID(L254,SEARCH("购机",L254)+LEN("购机"),LEN(L254)),IF(ISNUMBER(SEARCH("秀图",L254)),"【秀图】"&amp;MID(L254,SEARCH("秀图",L254)+LEN("秀图"),LEN(L254)),"")))),IFERROR(LEFT(_xlpm.A,FIND("【",_xlpm.A,FIND("】",_xlpm.A)+1)-1)&amp;MID(_xlpm.A,FIND("】",_xlpm.A,FIND("】",_xlpm.A)+1)+1,LEN(_xlpm.A)),_xlpm.A))</f>
        <v/>
      </c>
      <c r="H254" s="18" t="str">
        <f>_xlfn.LET(_xlpm.A,IF(ISNUMBER(SEARCH("晒单",M254)),"【晒单】"&amp;MID(M254,SEARCH("晒单",M254)+LEN("晒单"),LEN(M254))&amp;"（需晒单后联系客服登记）",IF(ISNUMBER(SEARCH("包修",M254)),"【购机】"&amp;MID(M254,SEARCH("购机",M254)+LEN("购机"),LEN(M254)),IF(ISNUMBER(SEARCH("叠放支架",M254)),"【赠品】"&amp;MID(M254,SEARCH("购机",M254)+LEN("购机"),LEN(M254)),IF(ISNUMBER(SEARCH("秀图",M254)),"【秀图】"&amp;MID(M254,SEARCH("秀图",M254)+LEN("秀图"),LEN(M254)),"")))),IFERROR(LEFT(_xlpm.A,FIND("【",_xlpm.A,FIND("】",_xlpm.A)+1)-1)&amp;MID(_xlpm.A,FIND("】",_xlpm.A,FIND("】",_xlpm.A)+1)+1,LEN(_xlpm.A)),_xlpm.A))</f>
        <v/>
      </c>
      <c r="I254" s="18" t="str">
        <f>_xlfn.LET(_xlpm.A,IF(ISNUMBER(SEARCH("晒单",N254)),"【晒单】"&amp;MID(N254,SEARCH("晒单",N254)+LEN("晒单"),LEN(N254))&amp;"（需晒单后联系客服登记）",IF(ISNUMBER(SEARCH("包修",N254)),"【购机】"&amp;MID(N254,SEARCH("购机",N254)+LEN("购机"),LEN(N254)),IF(ISNUMBER(SEARCH("叠放支架",N254)),"【赠品】"&amp;MID(N254,SEARCH("购机",N254)+LEN("购机"),LEN(N254)),IF(ISNUMBER(SEARCH("秀图",N254)),"【秀图】"&amp;MID(N254,SEARCH("秀图",N254)+LEN("秀图"),LEN(N254)),"")))),IFERROR(LEFT(_xlpm.A,FIND("【",_xlpm.A,FIND("】",_xlpm.A)+1)-1)&amp;MID(_xlpm.A,FIND("】",_xlpm.A,FIND("】",_xlpm.A)+1)+1,LEN(_xlpm.A)),_xlpm.A))</f>
        <v/>
      </c>
      <c r="J254" s="18" t="str" cm="1">
        <f t="array" ref="J254">IFERROR(INDEX(_xlfn.TEXTSPLIT(_xlfn.XLOOKUP($A254&amp;$B254&amp;$C254,盘货信息!$A:$A&amp;盘货信息!$B:$B&amp;盘货信息!$C:$C,盘货信息!$S:$S),CHAR(10),,TRUE),1,COLUMN(A253)),"")</f>
        <v/>
      </c>
      <c r="K254" s="18" t="str" cm="1">
        <f t="array" ref="K254">IFERROR(INDEX(_xlfn.TEXTSPLIT(_xlfn.XLOOKUP($A254&amp;$B254&amp;$C254,盘货信息!$A:$A&amp;盘货信息!$B:$B&amp;盘货信息!$C:$C,盘货信息!$S:$S),CHAR(10),,TRUE),1,COLUMN(B253)),"")</f>
        <v/>
      </c>
      <c r="L254" s="18" t="str" cm="1">
        <f t="array" ref="L254">IFERROR(INDEX(_xlfn.TEXTSPLIT(_xlfn.XLOOKUP($A254&amp;$B254&amp;$C254,盘货信息!$A:$A&amp;盘货信息!$B:$B&amp;盘货信息!$C:$C,盘货信息!$S:$S),CHAR(10),,TRUE),1,COLUMN(C253)),"")</f>
        <v/>
      </c>
      <c r="M254" s="18" t="str" cm="1">
        <f t="array" ref="M254">IFERROR(INDEX(_xlfn.TEXTSPLIT(_xlfn.XLOOKUP($A254&amp;$B254&amp;$C254,盘货信息!$A:$A&amp;盘货信息!$B:$B&amp;盘货信息!$C:$C,盘货信息!$S:$S),CHAR(10),,TRUE),1,COLUMN(D253)),"")</f>
        <v/>
      </c>
      <c r="N254" s="18" t="str" cm="1">
        <f t="array" ref="N254">IFERROR(INDEX(_xlfn.TEXTSPLIT(_xlfn.XLOOKUP($A254&amp;$B254&amp;$C254,盘货信息!$A:$A&amp;盘货信息!$B:$B&amp;盘货信息!$C:$C,盘货信息!$S:$S),CHAR(10),,TRUE),1,COLUMN(E253)),"")</f>
        <v/>
      </c>
    </row>
    <row r="255" customHeight="1" spans="1:14">
      <c r="A255" s="17" t="str">
        <f>IF(盘货信息!A255="","",盘货信息!A255)</f>
        <v/>
      </c>
      <c r="B255" s="17" t="str">
        <f>IF(盘货信息!B255="","",盘货信息!B255)</f>
        <v/>
      </c>
      <c r="C255" s="18" t="str">
        <f>IF(盘货信息!C255="","",盘货信息!C255)</f>
        <v/>
      </c>
      <c r="D255" s="18" t="str">
        <f t="shared" si="3"/>
        <v/>
      </c>
      <c r="E255" s="18" t="str">
        <f>_xlfn.LET(_xlpm.A,IF(ISNUMBER(SEARCH("晒单",J255)),"【晒单】"&amp;MID(J255,SEARCH("晒单",J255)+LEN("晒单"),LEN(J255))&amp;"（需晒单后联系客服登记）",IF(ISNUMBER(SEARCH("包修",J255)),"【购机】"&amp;MID(J255,SEARCH("购机",J255)+LEN("购机"),LEN(J255)),IF(ISNUMBER(SEARCH("叠放支架",J255)),"【赠品】"&amp;MID(J255,SEARCH("购机",J255)+LEN("购机"),LEN(J255)),IF(ISNUMBER(SEARCH("秀图",J255)),"【秀图】"&amp;MID(J255,SEARCH("秀图",J255)+LEN("秀图"),LEN(J255)),"")))),IFERROR(LEFT(_xlpm.A,FIND("【",_xlpm.A,FIND("】",_xlpm.A)+1)-1)&amp;MID(_xlpm.A,FIND("】",_xlpm.A,FIND("】",_xlpm.A)+1)+1,LEN(_xlpm.A)),_xlpm.A))</f>
        <v/>
      </c>
      <c r="F255" s="18" t="str">
        <f>_xlfn.LET(_xlpm.A,IF(ISNUMBER(SEARCH("晒单",K255)),"【晒单】"&amp;MID(K255,SEARCH("晒单",K255)+LEN("晒单"),LEN(K255))&amp;"（需晒单后联系客服登记）",IF(ISNUMBER(SEARCH("包修",K255)),"【购机】"&amp;MID(K255,SEARCH("购机",K255)+LEN("购机"),LEN(K255)),IF(ISNUMBER(SEARCH("叠放支架",K255)),"【赠品】"&amp;MID(K255,SEARCH("购机",K255)+LEN("购机"),LEN(K255)),IF(ISNUMBER(SEARCH("秀图",K255)),"【秀图】"&amp;MID(K255,SEARCH("秀图",K255)+LEN("秀图"),LEN(K255)),"")))),IFERROR(LEFT(_xlpm.A,FIND("【",_xlpm.A,FIND("】",_xlpm.A)+1)-1)&amp;MID(_xlpm.A,FIND("】",_xlpm.A,FIND("】",_xlpm.A)+1)+1,LEN(_xlpm.A)),_xlpm.A))</f>
        <v/>
      </c>
      <c r="G255" s="18" t="str">
        <f>_xlfn.LET(_xlpm.A,IF(ISNUMBER(SEARCH("晒单",L255)),"【晒单】"&amp;MID(L255,SEARCH("晒单",L255)+LEN("晒单"),LEN(L255))&amp;"（需晒单后联系客服登记）",IF(ISNUMBER(SEARCH("包修",L255)),"【购机】"&amp;MID(L255,SEARCH("购机",L255)+LEN("购机"),LEN(L255)),IF(ISNUMBER(SEARCH("叠放支架",L255)),"【赠品】"&amp;MID(L255,SEARCH("购机",L255)+LEN("购机"),LEN(L255)),IF(ISNUMBER(SEARCH("秀图",L255)),"【秀图】"&amp;MID(L255,SEARCH("秀图",L255)+LEN("秀图"),LEN(L255)),"")))),IFERROR(LEFT(_xlpm.A,FIND("【",_xlpm.A,FIND("】",_xlpm.A)+1)-1)&amp;MID(_xlpm.A,FIND("】",_xlpm.A,FIND("】",_xlpm.A)+1)+1,LEN(_xlpm.A)),_xlpm.A))</f>
        <v/>
      </c>
      <c r="H255" s="18" t="str">
        <f>_xlfn.LET(_xlpm.A,IF(ISNUMBER(SEARCH("晒单",M255)),"【晒单】"&amp;MID(M255,SEARCH("晒单",M255)+LEN("晒单"),LEN(M255))&amp;"（需晒单后联系客服登记）",IF(ISNUMBER(SEARCH("包修",M255)),"【购机】"&amp;MID(M255,SEARCH("购机",M255)+LEN("购机"),LEN(M255)),IF(ISNUMBER(SEARCH("叠放支架",M255)),"【赠品】"&amp;MID(M255,SEARCH("购机",M255)+LEN("购机"),LEN(M255)),IF(ISNUMBER(SEARCH("秀图",M255)),"【秀图】"&amp;MID(M255,SEARCH("秀图",M255)+LEN("秀图"),LEN(M255)),"")))),IFERROR(LEFT(_xlpm.A,FIND("【",_xlpm.A,FIND("】",_xlpm.A)+1)-1)&amp;MID(_xlpm.A,FIND("】",_xlpm.A,FIND("】",_xlpm.A)+1)+1,LEN(_xlpm.A)),_xlpm.A))</f>
        <v/>
      </c>
      <c r="I255" s="18" t="str">
        <f>_xlfn.LET(_xlpm.A,IF(ISNUMBER(SEARCH("晒单",N255)),"【晒单】"&amp;MID(N255,SEARCH("晒单",N255)+LEN("晒单"),LEN(N255))&amp;"（需晒单后联系客服登记）",IF(ISNUMBER(SEARCH("包修",N255)),"【购机】"&amp;MID(N255,SEARCH("购机",N255)+LEN("购机"),LEN(N255)),IF(ISNUMBER(SEARCH("叠放支架",N255)),"【赠品】"&amp;MID(N255,SEARCH("购机",N255)+LEN("购机"),LEN(N255)),IF(ISNUMBER(SEARCH("秀图",N255)),"【秀图】"&amp;MID(N255,SEARCH("秀图",N255)+LEN("秀图"),LEN(N255)),"")))),IFERROR(LEFT(_xlpm.A,FIND("【",_xlpm.A,FIND("】",_xlpm.A)+1)-1)&amp;MID(_xlpm.A,FIND("】",_xlpm.A,FIND("】",_xlpm.A)+1)+1,LEN(_xlpm.A)),_xlpm.A))</f>
        <v/>
      </c>
      <c r="J255" s="18" t="str" cm="1">
        <f t="array" ref="J255">IFERROR(INDEX(_xlfn.TEXTSPLIT(_xlfn.XLOOKUP($A255&amp;$B255&amp;$C255,盘货信息!$A:$A&amp;盘货信息!$B:$B&amp;盘货信息!$C:$C,盘货信息!$S:$S),CHAR(10),,TRUE),1,COLUMN(A254)),"")</f>
        <v/>
      </c>
      <c r="K255" s="18" t="str" cm="1">
        <f t="array" ref="K255">IFERROR(INDEX(_xlfn.TEXTSPLIT(_xlfn.XLOOKUP($A255&amp;$B255&amp;$C255,盘货信息!$A:$A&amp;盘货信息!$B:$B&amp;盘货信息!$C:$C,盘货信息!$S:$S),CHAR(10),,TRUE),1,COLUMN(B254)),"")</f>
        <v/>
      </c>
      <c r="L255" s="18" t="str" cm="1">
        <f t="array" ref="L255">IFERROR(INDEX(_xlfn.TEXTSPLIT(_xlfn.XLOOKUP($A255&amp;$B255&amp;$C255,盘货信息!$A:$A&amp;盘货信息!$B:$B&amp;盘货信息!$C:$C,盘货信息!$S:$S),CHAR(10),,TRUE),1,COLUMN(C254)),"")</f>
        <v/>
      </c>
      <c r="M255" s="18" t="str" cm="1">
        <f t="array" ref="M255">IFERROR(INDEX(_xlfn.TEXTSPLIT(_xlfn.XLOOKUP($A255&amp;$B255&amp;$C255,盘货信息!$A:$A&amp;盘货信息!$B:$B&amp;盘货信息!$C:$C,盘货信息!$S:$S),CHAR(10),,TRUE),1,COLUMN(D254)),"")</f>
        <v/>
      </c>
      <c r="N255" s="18" t="str" cm="1">
        <f t="array" ref="N255">IFERROR(INDEX(_xlfn.TEXTSPLIT(_xlfn.XLOOKUP($A255&amp;$B255&amp;$C255,盘货信息!$A:$A&amp;盘货信息!$B:$B&amp;盘货信息!$C:$C,盘货信息!$S:$S),CHAR(10),,TRUE),1,COLUMN(E254)),"")</f>
        <v/>
      </c>
    </row>
    <row r="256" customHeight="1" spans="1:14">
      <c r="A256" s="17" t="str">
        <f>IF(盘货信息!A256="","",盘货信息!A256)</f>
        <v/>
      </c>
      <c r="B256" s="17" t="str">
        <f>IF(盘货信息!B256="","",盘货信息!B256)</f>
        <v/>
      </c>
      <c r="C256" s="18" t="str">
        <f>IF(盘货信息!C256="","",盘货信息!C256)</f>
        <v/>
      </c>
      <c r="D256" s="18" t="str">
        <f t="shared" si="3"/>
        <v/>
      </c>
      <c r="E256" s="18" t="str">
        <f>_xlfn.LET(_xlpm.A,IF(ISNUMBER(SEARCH("晒单",J256)),"【晒单】"&amp;MID(J256,SEARCH("晒单",J256)+LEN("晒单"),LEN(J256))&amp;"（需晒单后联系客服登记）",IF(ISNUMBER(SEARCH("包修",J256)),"【购机】"&amp;MID(J256,SEARCH("购机",J256)+LEN("购机"),LEN(J256)),IF(ISNUMBER(SEARCH("叠放支架",J256)),"【赠品】"&amp;MID(J256,SEARCH("购机",J256)+LEN("购机"),LEN(J256)),IF(ISNUMBER(SEARCH("秀图",J256)),"【秀图】"&amp;MID(J256,SEARCH("秀图",J256)+LEN("秀图"),LEN(J256)),"")))),IFERROR(LEFT(_xlpm.A,FIND("【",_xlpm.A,FIND("】",_xlpm.A)+1)-1)&amp;MID(_xlpm.A,FIND("】",_xlpm.A,FIND("】",_xlpm.A)+1)+1,LEN(_xlpm.A)),_xlpm.A))</f>
        <v/>
      </c>
      <c r="F256" s="18" t="str">
        <f>_xlfn.LET(_xlpm.A,IF(ISNUMBER(SEARCH("晒单",K256)),"【晒单】"&amp;MID(K256,SEARCH("晒单",K256)+LEN("晒单"),LEN(K256))&amp;"（需晒单后联系客服登记）",IF(ISNUMBER(SEARCH("包修",K256)),"【购机】"&amp;MID(K256,SEARCH("购机",K256)+LEN("购机"),LEN(K256)),IF(ISNUMBER(SEARCH("叠放支架",K256)),"【赠品】"&amp;MID(K256,SEARCH("购机",K256)+LEN("购机"),LEN(K256)),IF(ISNUMBER(SEARCH("秀图",K256)),"【秀图】"&amp;MID(K256,SEARCH("秀图",K256)+LEN("秀图"),LEN(K256)),"")))),IFERROR(LEFT(_xlpm.A,FIND("【",_xlpm.A,FIND("】",_xlpm.A)+1)-1)&amp;MID(_xlpm.A,FIND("】",_xlpm.A,FIND("】",_xlpm.A)+1)+1,LEN(_xlpm.A)),_xlpm.A))</f>
        <v/>
      </c>
      <c r="G256" s="18" t="str">
        <f>_xlfn.LET(_xlpm.A,IF(ISNUMBER(SEARCH("晒单",L256)),"【晒单】"&amp;MID(L256,SEARCH("晒单",L256)+LEN("晒单"),LEN(L256))&amp;"（需晒单后联系客服登记）",IF(ISNUMBER(SEARCH("包修",L256)),"【购机】"&amp;MID(L256,SEARCH("购机",L256)+LEN("购机"),LEN(L256)),IF(ISNUMBER(SEARCH("叠放支架",L256)),"【赠品】"&amp;MID(L256,SEARCH("购机",L256)+LEN("购机"),LEN(L256)),IF(ISNUMBER(SEARCH("秀图",L256)),"【秀图】"&amp;MID(L256,SEARCH("秀图",L256)+LEN("秀图"),LEN(L256)),"")))),IFERROR(LEFT(_xlpm.A,FIND("【",_xlpm.A,FIND("】",_xlpm.A)+1)-1)&amp;MID(_xlpm.A,FIND("】",_xlpm.A,FIND("】",_xlpm.A)+1)+1,LEN(_xlpm.A)),_xlpm.A))</f>
        <v/>
      </c>
      <c r="H256" s="18" t="str">
        <f>_xlfn.LET(_xlpm.A,IF(ISNUMBER(SEARCH("晒单",M256)),"【晒单】"&amp;MID(M256,SEARCH("晒单",M256)+LEN("晒单"),LEN(M256))&amp;"（需晒单后联系客服登记）",IF(ISNUMBER(SEARCH("包修",M256)),"【购机】"&amp;MID(M256,SEARCH("购机",M256)+LEN("购机"),LEN(M256)),IF(ISNUMBER(SEARCH("叠放支架",M256)),"【赠品】"&amp;MID(M256,SEARCH("购机",M256)+LEN("购机"),LEN(M256)),IF(ISNUMBER(SEARCH("秀图",M256)),"【秀图】"&amp;MID(M256,SEARCH("秀图",M256)+LEN("秀图"),LEN(M256)),"")))),IFERROR(LEFT(_xlpm.A,FIND("【",_xlpm.A,FIND("】",_xlpm.A)+1)-1)&amp;MID(_xlpm.A,FIND("】",_xlpm.A,FIND("】",_xlpm.A)+1)+1,LEN(_xlpm.A)),_xlpm.A))</f>
        <v/>
      </c>
      <c r="I256" s="18" t="str">
        <f>_xlfn.LET(_xlpm.A,IF(ISNUMBER(SEARCH("晒单",N256)),"【晒单】"&amp;MID(N256,SEARCH("晒单",N256)+LEN("晒单"),LEN(N256))&amp;"（需晒单后联系客服登记）",IF(ISNUMBER(SEARCH("包修",N256)),"【购机】"&amp;MID(N256,SEARCH("购机",N256)+LEN("购机"),LEN(N256)),IF(ISNUMBER(SEARCH("叠放支架",N256)),"【赠品】"&amp;MID(N256,SEARCH("购机",N256)+LEN("购机"),LEN(N256)),IF(ISNUMBER(SEARCH("秀图",N256)),"【秀图】"&amp;MID(N256,SEARCH("秀图",N256)+LEN("秀图"),LEN(N256)),"")))),IFERROR(LEFT(_xlpm.A,FIND("【",_xlpm.A,FIND("】",_xlpm.A)+1)-1)&amp;MID(_xlpm.A,FIND("】",_xlpm.A,FIND("】",_xlpm.A)+1)+1,LEN(_xlpm.A)),_xlpm.A))</f>
        <v/>
      </c>
      <c r="J256" s="18" t="str" cm="1">
        <f t="array" ref="J256">IFERROR(INDEX(_xlfn.TEXTSPLIT(_xlfn.XLOOKUP($A256&amp;$B256&amp;$C256,盘货信息!$A:$A&amp;盘货信息!$B:$B&amp;盘货信息!$C:$C,盘货信息!$S:$S),CHAR(10),,TRUE),1,COLUMN(A255)),"")</f>
        <v/>
      </c>
      <c r="K256" s="18" t="str" cm="1">
        <f t="array" ref="K256">IFERROR(INDEX(_xlfn.TEXTSPLIT(_xlfn.XLOOKUP($A256&amp;$B256&amp;$C256,盘货信息!$A:$A&amp;盘货信息!$B:$B&amp;盘货信息!$C:$C,盘货信息!$S:$S),CHAR(10),,TRUE),1,COLUMN(B255)),"")</f>
        <v/>
      </c>
      <c r="L256" s="18" t="str" cm="1">
        <f t="array" ref="L256">IFERROR(INDEX(_xlfn.TEXTSPLIT(_xlfn.XLOOKUP($A256&amp;$B256&amp;$C256,盘货信息!$A:$A&amp;盘货信息!$B:$B&amp;盘货信息!$C:$C,盘货信息!$S:$S),CHAR(10),,TRUE),1,COLUMN(C255)),"")</f>
        <v/>
      </c>
      <c r="M256" s="18" t="str" cm="1">
        <f t="array" ref="M256">IFERROR(INDEX(_xlfn.TEXTSPLIT(_xlfn.XLOOKUP($A256&amp;$B256&amp;$C256,盘货信息!$A:$A&amp;盘货信息!$B:$B&amp;盘货信息!$C:$C,盘货信息!$S:$S),CHAR(10),,TRUE),1,COLUMN(D255)),"")</f>
        <v/>
      </c>
      <c r="N256" s="18" t="str" cm="1">
        <f t="array" ref="N256">IFERROR(INDEX(_xlfn.TEXTSPLIT(_xlfn.XLOOKUP($A256&amp;$B256&amp;$C256,盘货信息!$A:$A&amp;盘货信息!$B:$B&amp;盘货信息!$C:$C,盘货信息!$S:$S),CHAR(10),,TRUE),1,COLUMN(E255)),"")</f>
        <v/>
      </c>
    </row>
    <row r="257" customHeight="1" spans="1:14">
      <c r="A257" s="17" t="str">
        <f>IF(盘货信息!A257="","",盘货信息!A257)</f>
        <v/>
      </c>
      <c r="B257" s="17" t="str">
        <f>IF(盘货信息!B257="","",盘货信息!B257)</f>
        <v/>
      </c>
      <c r="C257" s="18" t="str">
        <f>IF(盘货信息!C257="","",盘货信息!C257)</f>
        <v/>
      </c>
      <c r="D257" s="18" t="str">
        <f t="shared" si="3"/>
        <v/>
      </c>
      <c r="E257" s="18" t="str">
        <f>_xlfn.LET(_xlpm.A,IF(ISNUMBER(SEARCH("晒单",J257)),"【晒单】"&amp;MID(J257,SEARCH("晒单",J257)+LEN("晒单"),LEN(J257))&amp;"（需晒单后联系客服登记）",IF(ISNUMBER(SEARCH("包修",J257)),"【购机】"&amp;MID(J257,SEARCH("购机",J257)+LEN("购机"),LEN(J257)),IF(ISNUMBER(SEARCH("叠放支架",J257)),"【赠品】"&amp;MID(J257,SEARCH("购机",J257)+LEN("购机"),LEN(J257)),IF(ISNUMBER(SEARCH("秀图",J257)),"【秀图】"&amp;MID(J257,SEARCH("秀图",J257)+LEN("秀图"),LEN(J257)),"")))),IFERROR(LEFT(_xlpm.A,FIND("【",_xlpm.A,FIND("】",_xlpm.A)+1)-1)&amp;MID(_xlpm.A,FIND("】",_xlpm.A,FIND("】",_xlpm.A)+1)+1,LEN(_xlpm.A)),_xlpm.A))</f>
        <v/>
      </c>
      <c r="F257" s="18" t="str">
        <f>_xlfn.LET(_xlpm.A,IF(ISNUMBER(SEARCH("晒单",K257)),"【晒单】"&amp;MID(K257,SEARCH("晒单",K257)+LEN("晒单"),LEN(K257))&amp;"（需晒单后联系客服登记）",IF(ISNUMBER(SEARCH("包修",K257)),"【购机】"&amp;MID(K257,SEARCH("购机",K257)+LEN("购机"),LEN(K257)),IF(ISNUMBER(SEARCH("叠放支架",K257)),"【赠品】"&amp;MID(K257,SEARCH("购机",K257)+LEN("购机"),LEN(K257)),IF(ISNUMBER(SEARCH("秀图",K257)),"【秀图】"&amp;MID(K257,SEARCH("秀图",K257)+LEN("秀图"),LEN(K257)),"")))),IFERROR(LEFT(_xlpm.A,FIND("【",_xlpm.A,FIND("】",_xlpm.A)+1)-1)&amp;MID(_xlpm.A,FIND("】",_xlpm.A,FIND("】",_xlpm.A)+1)+1,LEN(_xlpm.A)),_xlpm.A))</f>
        <v/>
      </c>
      <c r="G257" s="18" t="str">
        <f>_xlfn.LET(_xlpm.A,IF(ISNUMBER(SEARCH("晒单",L257)),"【晒单】"&amp;MID(L257,SEARCH("晒单",L257)+LEN("晒单"),LEN(L257))&amp;"（需晒单后联系客服登记）",IF(ISNUMBER(SEARCH("包修",L257)),"【购机】"&amp;MID(L257,SEARCH("购机",L257)+LEN("购机"),LEN(L257)),IF(ISNUMBER(SEARCH("叠放支架",L257)),"【赠品】"&amp;MID(L257,SEARCH("购机",L257)+LEN("购机"),LEN(L257)),IF(ISNUMBER(SEARCH("秀图",L257)),"【秀图】"&amp;MID(L257,SEARCH("秀图",L257)+LEN("秀图"),LEN(L257)),"")))),IFERROR(LEFT(_xlpm.A,FIND("【",_xlpm.A,FIND("】",_xlpm.A)+1)-1)&amp;MID(_xlpm.A,FIND("】",_xlpm.A,FIND("】",_xlpm.A)+1)+1,LEN(_xlpm.A)),_xlpm.A))</f>
        <v/>
      </c>
      <c r="H257" s="18" t="str">
        <f>_xlfn.LET(_xlpm.A,IF(ISNUMBER(SEARCH("晒单",M257)),"【晒单】"&amp;MID(M257,SEARCH("晒单",M257)+LEN("晒单"),LEN(M257))&amp;"（需晒单后联系客服登记）",IF(ISNUMBER(SEARCH("包修",M257)),"【购机】"&amp;MID(M257,SEARCH("购机",M257)+LEN("购机"),LEN(M257)),IF(ISNUMBER(SEARCH("叠放支架",M257)),"【赠品】"&amp;MID(M257,SEARCH("购机",M257)+LEN("购机"),LEN(M257)),IF(ISNUMBER(SEARCH("秀图",M257)),"【秀图】"&amp;MID(M257,SEARCH("秀图",M257)+LEN("秀图"),LEN(M257)),"")))),IFERROR(LEFT(_xlpm.A,FIND("【",_xlpm.A,FIND("】",_xlpm.A)+1)-1)&amp;MID(_xlpm.A,FIND("】",_xlpm.A,FIND("】",_xlpm.A)+1)+1,LEN(_xlpm.A)),_xlpm.A))</f>
        <v/>
      </c>
      <c r="I257" s="18" t="str">
        <f>_xlfn.LET(_xlpm.A,IF(ISNUMBER(SEARCH("晒单",N257)),"【晒单】"&amp;MID(N257,SEARCH("晒单",N257)+LEN("晒单"),LEN(N257))&amp;"（需晒单后联系客服登记）",IF(ISNUMBER(SEARCH("包修",N257)),"【购机】"&amp;MID(N257,SEARCH("购机",N257)+LEN("购机"),LEN(N257)),IF(ISNUMBER(SEARCH("叠放支架",N257)),"【赠品】"&amp;MID(N257,SEARCH("购机",N257)+LEN("购机"),LEN(N257)),IF(ISNUMBER(SEARCH("秀图",N257)),"【秀图】"&amp;MID(N257,SEARCH("秀图",N257)+LEN("秀图"),LEN(N257)),"")))),IFERROR(LEFT(_xlpm.A,FIND("【",_xlpm.A,FIND("】",_xlpm.A)+1)-1)&amp;MID(_xlpm.A,FIND("】",_xlpm.A,FIND("】",_xlpm.A)+1)+1,LEN(_xlpm.A)),_xlpm.A))</f>
        <v/>
      </c>
      <c r="J257" s="18" t="str" cm="1">
        <f t="array" ref="J257">IFERROR(INDEX(_xlfn.TEXTSPLIT(_xlfn.XLOOKUP($A257&amp;$B257&amp;$C257,盘货信息!$A:$A&amp;盘货信息!$B:$B&amp;盘货信息!$C:$C,盘货信息!$S:$S),CHAR(10),,TRUE),1,COLUMN(A256)),"")</f>
        <v/>
      </c>
      <c r="K257" s="18" t="str" cm="1">
        <f t="array" ref="K257">IFERROR(INDEX(_xlfn.TEXTSPLIT(_xlfn.XLOOKUP($A257&amp;$B257&amp;$C257,盘货信息!$A:$A&amp;盘货信息!$B:$B&amp;盘货信息!$C:$C,盘货信息!$S:$S),CHAR(10),,TRUE),1,COLUMN(B256)),"")</f>
        <v/>
      </c>
      <c r="L257" s="18" t="str" cm="1">
        <f t="array" ref="L257">IFERROR(INDEX(_xlfn.TEXTSPLIT(_xlfn.XLOOKUP($A257&amp;$B257&amp;$C257,盘货信息!$A:$A&amp;盘货信息!$B:$B&amp;盘货信息!$C:$C,盘货信息!$S:$S),CHAR(10),,TRUE),1,COLUMN(C256)),"")</f>
        <v/>
      </c>
      <c r="M257" s="18" t="str" cm="1">
        <f t="array" ref="M257">IFERROR(INDEX(_xlfn.TEXTSPLIT(_xlfn.XLOOKUP($A257&amp;$B257&amp;$C257,盘货信息!$A:$A&amp;盘货信息!$B:$B&amp;盘货信息!$C:$C,盘货信息!$S:$S),CHAR(10),,TRUE),1,COLUMN(D256)),"")</f>
        <v/>
      </c>
      <c r="N257" s="18" t="str" cm="1">
        <f t="array" ref="N257">IFERROR(INDEX(_xlfn.TEXTSPLIT(_xlfn.XLOOKUP($A257&amp;$B257&amp;$C257,盘货信息!$A:$A&amp;盘货信息!$B:$B&amp;盘货信息!$C:$C,盘货信息!$S:$S),CHAR(10),,TRUE),1,COLUMN(E256)),"")</f>
        <v/>
      </c>
    </row>
    <row r="258" customHeight="1" spans="1:14">
      <c r="A258" s="17" t="str">
        <f>IF(盘货信息!A258="","",盘货信息!A258)</f>
        <v/>
      </c>
      <c r="B258" s="17" t="str">
        <f>IF(盘货信息!B258="","",盘货信息!B258)</f>
        <v/>
      </c>
      <c r="C258" s="18" t="str">
        <f>IF(盘货信息!C258="","",盘货信息!C258)</f>
        <v/>
      </c>
      <c r="D258" s="18" t="str">
        <f t="shared" ref="D258:D321" si="4">_xlfn.TEXTJOIN(CHAR(10),TRUE,E258:I258)</f>
        <v/>
      </c>
      <c r="E258" s="18" t="str">
        <f>_xlfn.LET(_xlpm.A,IF(ISNUMBER(SEARCH("晒单",J258)),"【晒单】"&amp;MID(J258,SEARCH("晒单",J258)+LEN("晒单"),LEN(J258))&amp;"（需晒单后联系客服登记）",IF(ISNUMBER(SEARCH("包修",J258)),"【购机】"&amp;MID(J258,SEARCH("购机",J258)+LEN("购机"),LEN(J258)),IF(ISNUMBER(SEARCH("叠放支架",J258)),"【赠品】"&amp;MID(J258,SEARCH("购机",J258)+LEN("购机"),LEN(J258)),IF(ISNUMBER(SEARCH("秀图",J258)),"【秀图】"&amp;MID(J258,SEARCH("秀图",J258)+LEN("秀图"),LEN(J258)),"")))),IFERROR(LEFT(_xlpm.A,FIND("【",_xlpm.A,FIND("】",_xlpm.A)+1)-1)&amp;MID(_xlpm.A,FIND("】",_xlpm.A,FIND("】",_xlpm.A)+1)+1,LEN(_xlpm.A)),_xlpm.A))</f>
        <v/>
      </c>
      <c r="F258" s="18" t="str">
        <f>_xlfn.LET(_xlpm.A,IF(ISNUMBER(SEARCH("晒单",K258)),"【晒单】"&amp;MID(K258,SEARCH("晒单",K258)+LEN("晒单"),LEN(K258))&amp;"（需晒单后联系客服登记）",IF(ISNUMBER(SEARCH("包修",K258)),"【购机】"&amp;MID(K258,SEARCH("购机",K258)+LEN("购机"),LEN(K258)),IF(ISNUMBER(SEARCH("叠放支架",K258)),"【赠品】"&amp;MID(K258,SEARCH("购机",K258)+LEN("购机"),LEN(K258)),IF(ISNUMBER(SEARCH("秀图",K258)),"【秀图】"&amp;MID(K258,SEARCH("秀图",K258)+LEN("秀图"),LEN(K258)),"")))),IFERROR(LEFT(_xlpm.A,FIND("【",_xlpm.A,FIND("】",_xlpm.A)+1)-1)&amp;MID(_xlpm.A,FIND("】",_xlpm.A,FIND("】",_xlpm.A)+1)+1,LEN(_xlpm.A)),_xlpm.A))</f>
        <v/>
      </c>
      <c r="G258" s="18" t="str">
        <f>_xlfn.LET(_xlpm.A,IF(ISNUMBER(SEARCH("晒单",L258)),"【晒单】"&amp;MID(L258,SEARCH("晒单",L258)+LEN("晒单"),LEN(L258))&amp;"（需晒单后联系客服登记）",IF(ISNUMBER(SEARCH("包修",L258)),"【购机】"&amp;MID(L258,SEARCH("购机",L258)+LEN("购机"),LEN(L258)),IF(ISNUMBER(SEARCH("叠放支架",L258)),"【赠品】"&amp;MID(L258,SEARCH("购机",L258)+LEN("购机"),LEN(L258)),IF(ISNUMBER(SEARCH("秀图",L258)),"【秀图】"&amp;MID(L258,SEARCH("秀图",L258)+LEN("秀图"),LEN(L258)),"")))),IFERROR(LEFT(_xlpm.A,FIND("【",_xlpm.A,FIND("】",_xlpm.A)+1)-1)&amp;MID(_xlpm.A,FIND("】",_xlpm.A,FIND("】",_xlpm.A)+1)+1,LEN(_xlpm.A)),_xlpm.A))</f>
        <v/>
      </c>
      <c r="H258" s="18" t="str">
        <f>_xlfn.LET(_xlpm.A,IF(ISNUMBER(SEARCH("晒单",M258)),"【晒单】"&amp;MID(M258,SEARCH("晒单",M258)+LEN("晒单"),LEN(M258))&amp;"（需晒单后联系客服登记）",IF(ISNUMBER(SEARCH("包修",M258)),"【购机】"&amp;MID(M258,SEARCH("购机",M258)+LEN("购机"),LEN(M258)),IF(ISNUMBER(SEARCH("叠放支架",M258)),"【赠品】"&amp;MID(M258,SEARCH("购机",M258)+LEN("购机"),LEN(M258)),IF(ISNUMBER(SEARCH("秀图",M258)),"【秀图】"&amp;MID(M258,SEARCH("秀图",M258)+LEN("秀图"),LEN(M258)),"")))),IFERROR(LEFT(_xlpm.A,FIND("【",_xlpm.A,FIND("】",_xlpm.A)+1)-1)&amp;MID(_xlpm.A,FIND("】",_xlpm.A,FIND("】",_xlpm.A)+1)+1,LEN(_xlpm.A)),_xlpm.A))</f>
        <v/>
      </c>
      <c r="I258" s="18" t="str">
        <f>_xlfn.LET(_xlpm.A,IF(ISNUMBER(SEARCH("晒单",N258)),"【晒单】"&amp;MID(N258,SEARCH("晒单",N258)+LEN("晒单"),LEN(N258))&amp;"（需晒单后联系客服登记）",IF(ISNUMBER(SEARCH("包修",N258)),"【购机】"&amp;MID(N258,SEARCH("购机",N258)+LEN("购机"),LEN(N258)),IF(ISNUMBER(SEARCH("叠放支架",N258)),"【赠品】"&amp;MID(N258,SEARCH("购机",N258)+LEN("购机"),LEN(N258)),IF(ISNUMBER(SEARCH("秀图",N258)),"【秀图】"&amp;MID(N258,SEARCH("秀图",N258)+LEN("秀图"),LEN(N258)),"")))),IFERROR(LEFT(_xlpm.A,FIND("【",_xlpm.A,FIND("】",_xlpm.A)+1)-1)&amp;MID(_xlpm.A,FIND("】",_xlpm.A,FIND("】",_xlpm.A)+1)+1,LEN(_xlpm.A)),_xlpm.A))</f>
        <v/>
      </c>
      <c r="J258" s="18" t="str" cm="1">
        <f t="array" ref="J258">IFERROR(INDEX(_xlfn.TEXTSPLIT(_xlfn.XLOOKUP($A258&amp;$B258&amp;$C258,盘货信息!$A:$A&amp;盘货信息!$B:$B&amp;盘货信息!$C:$C,盘货信息!$S:$S),CHAR(10),,TRUE),1,COLUMN(A257)),"")</f>
        <v/>
      </c>
      <c r="K258" s="18" t="str" cm="1">
        <f t="array" ref="K258">IFERROR(INDEX(_xlfn.TEXTSPLIT(_xlfn.XLOOKUP($A258&amp;$B258&amp;$C258,盘货信息!$A:$A&amp;盘货信息!$B:$B&amp;盘货信息!$C:$C,盘货信息!$S:$S),CHAR(10),,TRUE),1,COLUMN(B257)),"")</f>
        <v/>
      </c>
      <c r="L258" s="18" t="str" cm="1">
        <f t="array" ref="L258">IFERROR(INDEX(_xlfn.TEXTSPLIT(_xlfn.XLOOKUP($A258&amp;$B258&amp;$C258,盘货信息!$A:$A&amp;盘货信息!$B:$B&amp;盘货信息!$C:$C,盘货信息!$S:$S),CHAR(10),,TRUE),1,COLUMN(C257)),"")</f>
        <v/>
      </c>
      <c r="M258" s="18" t="str" cm="1">
        <f t="array" ref="M258">IFERROR(INDEX(_xlfn.TEXTSPLIT(_xlfn.XLOOKUP($A258&amp;$B258&amp;$C258,盘货信息!$A:$A&amp;盘货信息!$B:$B&amp;盘货信息!$C:$C,盘货信息!$S:$S),CHAR(10),,TRUE),1,COLUMN(D257)),"")</f>
        <v/>
      </c>
      <c r="N258" s="18" t="str" cm="1">
        <f t="array" ref="N258">IFERROR(INDEX(_xlfn.TEXTSPLIT(_xlfn.XLOOKUP($A258&amp;$B258&amp;$C258,盘货信息!$A:$A&amp;盘货信息!$B:$B&amp;盘货信息!$C:$C,盘货信息!$S:$S),CHAR(10),,TRUE),1,COLUMN(E257)),"")</f>
        <v/>
      </c>
    </row>
    <row r="259" customHeight="1" spans="1:14">
      <c r="A259" s="17" t="str">
        <f>IF(盘货信息!A259="","",盘货信息!A259)</f>
        <v/>
      </c>
      <c r="B259" s="17" t="str">
        <f>IF(盘货信息!B259="","",盘货信息!B259)</f>
        <v/>
      </c>
      <c r="C259" s="18" t="str">
        <f>IF(盘货信息!C259="","",盘货信息!C259)</f>
        <v/>
      </c>
      <c r="D259" s="18" t="str">
        <f t="shared" si="4"/>
        <v/>
      </c>
      <c r="E259" s="18" t="str">
        <f>_xlfn.LET(_xlpm.A,IF(ISNUMBER(SEARCH("晒单",J259)),"【晒单】"&amp;MID(J259,SEARCH("晒单",J259)+LEN("晒单"),LEN(J259))&amp;"（需晒单后联系客服登记）",IF(ISNUMBER(SEARCH("包修",J259)),"【购机】"&amp;MID(J259,SEARCH("购机",J259)+LEN("购机"),LEN(J259)),IF(ISNUMBER(SEARCH("叠放支架",J259)),"【赠品】"&amp;MID(J259,SEARCH("购机",J259)+LEN("购机"),LEN(J259)),IF(ISNUMBER(SEARCH("秀图",J259)),"【秀图】"&amp;MID(J259,SEARCH("秀图",J259)+LEN("秀图"),LEN(J259)),"")))),IFERROR(LEFT(_xlpm.A,FIND("【",_xlpm.A,FIND("】",_xlpm.A)+1)-1)&amp;MID(_xlpm.A,FIND("】",_xlpm.A,FIND("】",_xlpm.A)+1)+1,LEN(_xlpm.A)),_xlpm.A))</f>
        <v/>
      </c>
      <c r="F259" s="18" t="str">
        <f>_xlfn.LET(_xlpm.A,IF(ISNUMBER(SEARCH("晒单",K259)),"【晒单】"&amp;MID(K259,SEARCH("晒单",K259)+LEN("晒单"),LEN(K259))&amp;"（需晒单后联系客服登记）",IF(ISNUMBER(SEARCH("包修",K259)),"【购机】"&amp;MID(K259,SEARCH("购机",K259)+LEN("购机"),LEN(K259)),IF(ISNUMBER(SEARCH("叠放支架",K259)),"【赠品】"&amp;MID(K259,SEARCH("购机",K259)+LEN("购机"),LEN(K259)),IF(ISNUMBER(SEARCH("秀图",K259)),"【秀图】"&amp;MID(K259,SEARCH("秀图",K259)+LEN("秀图"),LEN(K259)),"")))),IFERROR(LEFT(_xlpm.A,FIND("【",_xlpm.A,FIND("】",_xlpm.A)+1)-1)&amp;MID(_xlpm.A,FIND("】",_xlpm.A,FIND("】",_xlpm.A)+1)+1,LEN(_xlpm.A)),_xlpm.A))</f>
        <v/>
      </c>
      <c r="G259" s="18" t="str">
        <f>_xlfn.LET(_xlpm.A,IF(ISNUMBER(SEARCH("晒单",L259)),"【晒单】"&amp;MID(L259,SEARCH("晒单",L259)+LEN("晒单"),LEN(L259))&amp;"（需晒单后联系客服登记）",IF(ISNUMBER(SEARCH("包修",L259)),"【购机】"&amp;MID(L259,SEARCH("购机",L259)+LEN("购机"),LEN(L259)),IF(ISNUMBER(SEARCH("叠放支架",L259)),"【赠品】"&amp;MID(L259,SEARCH("购机",L259)+LEN("购机"),LEN(L259)),IF(ISNUMBER(SEARCH("秀图",L259)),"【秀图】"&amp;MID(L259,SEARCH("秀图",L259)+LEN("秀图"),LEN(L259)),"")))),IFERROR(LEFT(_xlpm.A,FIND("【",_xlpm.A,FIND("】",_xlpm.A)+1)-1)&amp;MID(_xlpm.A,FIND("】",_xlpm.A,FIND("】",_xlpm.A)+1)+1,LEN(_xlpm.A)),_xlpm.A))</f>
        <v/>
      </c>
      <c r="H259" s="18" t="str">
        <f>_xlfn.LET(_xlpm.A,IF(ISNUMBER(SEARCH("晒单",M259)),"【晒单】"&amp;MID(M259,SEARCH("晒单",M259)+LEN("晒单"),LEN(M259))&amp;"（需晒单后联系客服登记）",IF(ISNUMBER(SEARCH("包修",M259)),"【购机】"&amp;MID(M259,SEARCH("购机",M259)+LEN("购机"),LEN(M259)),IF(ISNUMBER(SEARCH("叠放支架",M259)),"【赠品】"&amp;MID(M259,SEARCH("购机",M259)+LEN("购机"),LEN(M259)),IF(ISNUMBER(SEARCH("秀图",M259)),"【秀图】"&amp;MID(M259,SEARCH("秀图",M259)+LEN("秀图"),LEN(M259)),"")))),IFERROR(LEFT(_xlpm.A,FIND("【",_xlpm.A,FIND("】",_xlpm.A)+1)-1)&amp;MID(_xlpm.A,FIND("】",_xlpm.A,FIND("】",_xlpm.A)+1)+1,LEN(_xlpm.A)),_xlpm.A))</f>
        <v/>
      </c>
      <c r="I259" s="18" t="str">
        <f>_xlfn.LET(_xlpm.A,IF(ISNUMBER(SEARCH("晒单",N259)),"【晒单】"&amp;MID(N259,SEARCH("晒单",N259)+LEN("晒单"),LEN(N259))&amp;"（需晒单后联系客服登记）",IF(ISNUMBER(SEARCH("包修",N259)),"【购机】"&amp;MID(N259,SEARCH("购机",N259)+LEN("购机"),LEN(N259)),IF(ISNUMBER(SEARCH("叠放支架",N259)),"【赠品】"&amp;MID(N259,SEARCH("购机",N259)+LEN("购机"),LEN(N259)),IF(ISNUMBER(SEARCH("秀图",N259)),"【秀图】"&amp;MID(N259,SEARCH("秀图",N259)+LEN("秀图"),LEN(N259)),"")))),IFERROR(LEFT(_xlpm.A,FIND("【",_xlpm.A,FIND("】",_xlpm.A)+1)-1)&amp;MID(_xlpm.A,FIND("】",_xlpm.A,FIND("】",_xlpm.A)+1)+1,LEN(_xlpm.A)),_xlpm.A))</f>
        <v/>
      </c>
      <c r="J259" s="18" t="str" cm="1">
        <f t="array" ref="J259">IFERROR(INDEX(_xlfn.TEXTSPLIT(_xlfn.XLOOKUP($A259&amp;$B259&amp;$C259,盘货信息!$A:$A&amp;盘货信息!$B:$B&amp;盘货信息!$C:$C,盘货信息!$S:$S),CHAR(10),,TRUE),1,COLUMN(A258)),"")</f>
        <v/>
      </c>
      <c r="K259" s="18" t="str" cm="1">
        <f t="array" ref="K259">IFERROR(INDEX(_xlfn.TEXTSPLIT(_xlfn.XLOOKUP($A259&amp;$B259&amp;$C259,盘货信息!$A:$A&amp;盘货信息!$B:$B&amp;盘货信息!$C:$C,盘货信息!$S:$S),CHAR(10),,TRUE),1,COLUMN(B258)),"")</f>
        <v/>
      </c>
      <c r="L259" s="18" t="str" cm="1">
        <f t="array" ref="L259">IFERROR(INDEX(_xlfn.TEXTSPLIT(_xlfn.XLOOKUP($A259&amp;$B259&amp;$C259,盘货信息!$A:$A&amp;盘货信息!$B:$B&amp;盘货信息!$C:$C,盘货信息!$S:$S),CHAR(10),,TRUE),1,COLUMN(C258)),"")</f>
        <v/>
      </c>
      <c r="M259" s="18" t="str" cm="1">
        <f t="array" ref="M259">IFERROR(INDEX(_xlfn.TEXTSPLIT(_xlfn.XLOOKUP($A259&amp;$B259&amp;$C259,盘货信息!$A:$A&amp;盘货信息!$B:$B&amp;盘货信息!$C:$C,盘货信息!$S:$S),CHAR(10),,TRUE),1,COLUMN(D258)),"")</f>
        <v/>
      </c>
      <c r="N259" s="18" t="str" cm="1">
        <f t="array" ref="N259">IFERROR(INDEX(_xlfn.TEXTSPLIT(_xlfn.XLOOKUP($A259&amp;$B259&amp;$C259,盘货信息!$A:$A&amp;盘货信息!$B:$B&amp;盘货信息!$C:$C,盘货信息!$S:$S),CHAR(10),,TRUE),1,COLUMN(E258)),"")</f>
        <v/>
      </c>
    </row>
    <row r="260" customHeight="1" spans="1:14">
      <c r="A260" s="17" t="str">
        <f>IF(盘货信息!A260="","",盘货信息!A260)</f>
        <v/>
      </c>
      <c r="B260" s="17" t="str">
        <f>IF(盘货信息!B260="","",盘货信息!B260)</f>
        <v/>
      </c>
      <c r="C260" s="18" t="str">
        <f>IF(盘货信息!C260="","",盘货信息!C260)</f>
        <v/>
      </c>
      <c r="D260" s="18" t="str">
        <f t="shared" si="4"/>
        <v/>
      </c>
      <c r="E260" s="18" t="str">
        <f>_xlfn.LET(_xlpm.A,IF(ISNUMBER(SEARCH("晒单",J260)),"【晒单】"&amp;MID(J260,SEARCH("晒单",J260)+LEN("晒单"),LEN(J260))&amp;"（需晒单后联系客服登记）",IF(ISNUMBER(SEARCH("包修",J260)),"【购机】"&amp;MID(J260,SEARCH("购机",J260)+LEN("购机"),LEN(J260)),IF(ISNUMBER(SEARCH("叠放支架",J260)),"【赠品】"&amp;MID(J260,SEARCH("购机",J260)+LEN("购机"),LEN(J260)),IF(ISNUMBER(SEARCH("秀图",J260)),"【秀图】"&amp;MID(J260,SEARCH("秀图",J260)+LEN("秀图"),LEN(J260)),"")))),IFERROR(LEFT(_xlpm.A,FIND("【",_xlpm.A,FIND("】",_xlpm.A)+1)-1)&amp;MID(_xlpm.A,FIND("】",_xlpm.A,FIND("】",_xlpm.A)+1)+1,LEN(_xlpm.A)),_xlpm.A))</f>
        <v/>
      </c>
      <c r="F260" s="18" t="str">
        <f>_xlfn.LET(_xlpm.A,IF(ISNUMBER(SEARCH("晒单",K260)),"【晒单】"&amp;MID(K260,SEARCH("晒单",K260)+LEN("晒单"),LEN(K260))&amp;"（需晒单后联系客服登记）",IF(ISNUMBER(SEARCH("包修",K260)),"【购机】"&amp;MID(K260,SEARCH("购机",K260)+LEN("购机"),LEN(K260)),IF(ISNUMBER(SEARCH("叠放支架",K260)),"【赠品】"&amp;MID(K260,SEARCH("购机",K260)+LEN("购机"),LEN(K260)),IF(ISNUMBER(SEARCH("秀图",K260)),"【秀图】"&amp;MID(K260,SEARCH("秀图",K260)+LEN("秀图"),LEN(K260)),"")))),IFERROR(LEFT(_xlpm.A,FIND("【",_xlpm.A,FIND("】",_xlpm.A)+1)-1)&amp;MID(_xlpm.A,FIND("】",_xlpm.A,FIND("】",_xlpm.A)+1)+1,LEN(_xlpm.A)),_xlpm.A))</f>
        <v/>
      </c>
      <c r="G260" s="18" t="str">
        <f>_xlfn.LET(_xlpm.A,IF(ISNUMBER(SEARCH("晒单",L260)),"【晒单】"&amp;MID(L260,SEARCH("晒单",L260)+LEN("晒单"),LEN(L260))&amp;"（需晒单后联系客服登记）",IF(ISNUMBER(SEARCH("包修",L260)),"【购机】"&amp;MID(L260,SEARCH("购机",L260)+LEN("购机"),LEN(L260)),IF(ISNUMBER(SEARCH("叠放支架",L260)),"【赠品】"&amp;MID(L260,SEARCH("购机",L260)+LEN("购机"),LEN(L260)),IF(ISNUMBER(SEARCH("秀图",L260)),"【秀图】"&amp;MID(L260,SEARCH("秀图",L260)+LEN("秀图"),LEN(L260)),"")))),IFERROR(LEFT(_xlpm.A,FIND("【",_xlpm.A,FIND("】",_xlpm.A)+1)-1)&amp;MID(_xlpm.A,FIND("】",_xlpm.A,FIND("】",_xlpm.A)+1)+1,LEN(_xlpm.A)),_xlpm.A))</f>
        <v/>
      </c>
      <c r="H260" s="18" t="str">
        <f>_xlfn.LET(_xlpm.A,IF(ISNUMBER(SEARCH("晒单",M260)),"【晒单】"&amp;MID(M260,SEARCH("晒单",M260)+LEN("晒单"),LEN(M260))&amp;"（需晒单后联系客服登记）",IF(ISNUMBER(SEARCH("包修",M260)),"【购机】"&amp;MID(M260,SEARCH("购机",M260)+LEN("购机"),LEN(M260)),IF(ISNUMBER(SEARCH("叠放支架",M260)),"【赠品】"&amp;MID(M260,SEARCH("购机",M260)+LEN("购机"),LEN(M260)),IF(ISNUMBER(SEARCH("秀图",M260)),"【秀图】"&amp;MID(M260,SEARCH("秀图",M260)+LEN("秀图"),LEN(M260)),"")))),IFERROR(LEFT(_xlpm.A,FIND("【",_xlpm.A,FIND("】",_xlpm.A)+1)-1)&amp;MID(_xlpm.A,FIND("】",_xlpm.A,FIND("】",_xlpm.A)+1)+1,LEN(_xlpm.A)),_xlpm.A))</f>
        <v/>
      </c>
      <c r="I260" s="18" t="str">
        <f>_xlfn.LET(_xlpm.A,IF(ISNUMBER(SEARCH("晒单",N260)),"【晒单】"&amp;MID(N260,SEARCH("晒单",N260)+LEN("晒单"),LEN(N260))&amp;"（需晒单后联系客服登记）",IF(ISNUMBER(SEARCH("包修",N260)),"【购机】"&amp;MID(N260,SEARCH("购机",N260)+LEN("购机"),LEN(N260)),IF(ISNUMBER(SEARCH("叠放支架",N260)),"【赠品】"&amp;MID(N260,SEARCH("购机",N260)+LEN("购机"),LEN(N260)),IF(ISNUMBER(SEARCH("秀图",N260)),"【秀图】"&amp;MID(N260,SEARCH("秀图",N260)+LEN("秀图"),LEN(N260)),"")))),IFERROR(LEFT(_xlpm.A,FIND("【",_xlpm.A,FIND("】",_xlpm.A)+1)-1)&amp;MID(_xlpm.A,FIND("】",_xlpm.A,FIND("】",_xlpm.A)+1)+1,LEN(_xlpm.A)),_xlpm.A))</f>
        <v/>
      </c>
      <c r="J260" s="18" t="str" cm="1">
        <f t="array" ref="J260">IFERROR(INDEX(_xlfn.TEXTSPLIT(_xlfn.XLOOKUP($A260&amp;$B260&amp;$C260,盘货信息!$A:$A&amp;盘货信息!$B:$B&amp;盘货信息!$C:$C,盘货信息!$S:$S),CHAR(10),,TRUE),1,COLUMN(A259)),"")</f>
        <v/>
      </c>
      <c r="K260" s="18" t="str" cm="1">
        <f t="array" ref="K260">IFERROR(INDEX(_xlfn.TEXTSPLIT(_xlfn.XLOOKUP($A260&amp;$B260&amp;$C260,盘货信息!$A:$A&amp;盘货信息!$B:$B&amp;盘货信息!$C:$C,盘货信息!$S:$S),CHAR(10),,TRUE),1,COLUMN(B259)),"")</f>
        <v/>
      </c>
      <c r="L260" s="18" t="str" cm="1">
        <f t="array" ref="L260">IFERROR(INDEX(_xlfn.TEXTSPLIT(_xlfn.XLOOKUP($A260&amp;$B260&amp;$C260,盘货信息!$A:$A&amp;盘货信息!$B:$B&amp;盘货信息!$C:$C,盘货信息!$S:$S),CHAR(10),,TRUE),1,COLUMN(C259)),"")</f>
        <v/>
      </c>
      <c r="M260" s="18" t="str" cm="1">
        <f t="array" ref="M260">IFERROR(INDEX(_xlfn.TEXTSPLIT(_xlfn.XLOOKUP($A260&amp;$B260&amp;$C260,盘货信息!$A:$A&amp;盘货信息!$B:$B&amp;盘货信息!$C:$C,盘货信息!$S:$S),CHAR(10),,TRUE),1,COLUMN(D259)),"")</f>
        <v/>
      </c>
      <c r="N260" s="18" t="str" cm="1">
        <f t="array" ref="N260">IFERROR(INDEX(_xlfn.TEXTSPLIT(_xlfn.XLOOKUP($A260&amp;$B260&amp;$C260,盘货信息!$A:$A&amp;盘货信息!$B:$B&amp;盘货信息!$C:$C,盘货信息!$S:$S),CHAR(10),,TRUE),1,COLUMN(E259)),"")</f>
        <v/>
      </c>
    </row>
    <row r="261" customHeight="1" spans="1:14">
      <c r="A261" s="17" t="str">
        <f>IF(盘货信息!A261="","",盘货信息!A261)</f>
        <v/>
      </c>
      <c r="B261" s="17" t="str">
        <f>IF(盘货信息!B261="","",盘货信息!B261)</f>
        <v/>
      </c>
      <c r="C261" s="18" t="str">
        <f>IF(盘货信息!C261="","",盘货信息!C261)</f>
        <v/>
      </c>
      <c r="D261" s="18" t="str">
        <f t="shared" si="4"/>
        <v/>
      </c>
      <c r="E261" s="18" t="str">
        <f>_xlfn.LET(_xlpm.A,IF(ISNUMBER(SEARCH("晒单",J261)),"【晒单】"&amp;MID(J261,SEARCH("晒单",J261)+LEN("晒单"),LEN(J261))&amp;"（需晒单后联系客服登记）",IF(ISNUMBER(SEARCH("包修",J261)),"【购机】"&amp;MID(J261,SEARCH("购机",J261)+LEN("购机"),LEN(J261)),IF(ISNUMBER(SEARCH("叠放支架",J261)),"【赠品】"&amp;MID(J261,SEARCH("购机",J261)+LEN("购机"),LEN(J261)),IF(ISNUMBER(SEARCH("秀图",J261)),"【秀图】"&amp;MID(J261,SEARCH("秀图",J261)+LEN("秀图"),LEN(J261)),"")))),IFERROR(LEFT(_xlpm.A,FIND("【",_xlpm.A,FIND("】",_xlpm.A)+1)-1)&amp;MID(_xlpm.A,FIND("】",_xlpm.A,FIND("】",_xlpm.A)+1)+1,LEN(_xlpm.A)),_xlpm.A))</f>
        <v/>
      </c>
      <c r="F261" s="18" t="str">
        <f>_xlfn.LET(_xlpm.A,IF(ISNUMBER(SEARCH("晒单",K261)),"【晒单】"&amp;MID(K261,SEARCH("晒单",K261)+LEN("晒单"),LEN(K261))&amp;"（需晒单后联系客服登记）",IF(ISNUMBER(SEARCH("包修",K261)),"【购机】"&amp;MID(K261,SEARCH("购机",K261)+LEN("购机"),LEN(K261)),IF(ISNUMBER(SEARCH("叠放支架",K261)),"【赠品】"&amp;MID(K261,SEARCH("购机",K261)+LEN("购机"),LEN(K261)),IF(ISNUMBER(SEARCH("秀图",K261)),"【秀图】"&amp;MID(K261,SEARCH("秀图",K261)+LEN("秀图"),LEN(K261)),"")))),IFERROR(LEFT(_xlpm.A,FIND("【",_xlpm.A,FIND("】",_xlpm.A)+1)-1)&amp;MID(_xlpm.A,FIND("】",_xlpm.A,FIND("】",_xlpm.A)+1)+1,LEN(_xlpm.A)),_xlpm.A))</f>
        <v/>
      </c>
      <c r="G261" s="18" t="str">
        <f>_xlfn.LET(_xlpm.A,IF(ISNUMBER(SEARCH("晒单",L261)),"【晒单】"&amp;MID(L261,SEARCH("晒单",L261)+LEN("晒单"),LEN(L261))&amp;"（需晒单后联系客服登记）",IF(ISNUMBER(SEARCH("包修",L261)),"【购机】"&amp;MID(L261,SEARCH("购机",L261)+LEN("购机"),LEN(L261)),IF(ISNUMBER(SEARCH("叠放支架",L261)),"【赠品】"&amp;MID(L261,SEARCH("购机",L261)+LEN("购机"),LEN(L261)),IF(ISNUMBER(SEARCH("秀图",L261)),"【秀图】"&amp;MID(L261,SEARCH("秀图",L261)+LEN("秀图"),LEN(L261)),"")))),IFERROR(LEFT(_xlpm.A,FIND("【",_xlpm.A,FIND("】",_xlpm.A)+1)-1)&amp;MID(_xlpm.A,FIND("】",_xlpm.A,FIND("】",_xlpm.A)+1)+1,LEN(_xlpm.A)),_xlpm.A))</f>
        <v/>
      </c>
      <c r="H261" s="18" t="str">
        <f>_xlfn.LET(_xlpm.A,IF(ISNUMBER(SEARCH("晒单",M261)),"【晒单】"&amp;MID(M261,SEARCH("晒单",M261)+LEN("晒单"),LEN(M261))&amp;"（需晒单后联系客服登记）",IF(ISNUMBER(SEARCH("包修",M261)),"【购机】"&amp;MID(M261,SEARCH("购机",M261)+LEN("购机"),LEN(M261)),IF(ISNUMBER(SEARCH("叠放支架",M261)),"【赠品】"&amp;MID(M261,SEARCH("购机",M261)+LEN("购机"),LEN(M261)),IF(ISNUMBER(SEARCH("秀图",M261)),"【秀图】"&amp;MID(M261,SEARCH("秀图",M261)+LEN("秀图"),LEN(M261)),"")))),IFERROR(LEFT(_xlpm.A,FIND("【",_xlpm.A,FIND("】",_xlpm.A)+1)-1)&amp;MID(_xlpm.A,FIND("】",_xlpm.A,FIND("】",_xlpm.A)+1)+1,LEN(_xlpm.A)),_xlpm.A))</f>
        <v/>
      </c>
      <c r="I261" s="18" t="str">
        <f>_xlfn.LET(_xlpm.A,IF(ISNUMBER(SEARCH("晒单",N261)),"【晒单】"&amp;MID(N261,SEARCH("晒单",N261)+LEN("晒单"),LEN(N261))&amp;"（需晒单后联系客服登记）",IF(ISNUMBER(SEARCH("包修",N261)),"【购机】"&amp;MID(N261,SEARCH("购机",N261)+LEN("购机"),LEN(N261)),IF(ISNUMBER(SEARCH("叠放支架",N261)),"【赠品】"&amp;MID(N261,SEARCH("购机",N261)+LEN("购机"),LEN(N261)),IF(ISNUMBER(SEARCH("秀图",N261)),"【秀图】"&amp;MID(N261,SEARCH("秀图",N261)+LEN("秀图"),LEN(N261)),"")))),IFERROR(LEFT(_xlpm.A,FIND("【",_xlpm.A,FIND("】",_xlpm.A)+1)-1)&amp;MID(_xlpm.A,FIND("】",_xlpm.A,FIND("】",_xlpm.A)+1)+1,LEN(_xlpm.A)),_xlpm.A))</f>
        <v/>
      </c>
      <c r="J261" s="18" t="str" cm="1">
        <f t="array" ref="J261">IFERROR(INDEX(_xlfn.TEXTSPLIT(_xlfn.XLOOKUP($A261&amp;$B261&amp;$C261,盘货信息!$A:$A&amp;盘货信息!$B:$B&amp;盘货信息!$C:$C,盘货信息!$S:$S),CHAR(10),,TRUE),1,COLUMN(A260)),"")</f>
        <v/>
      </c>
      <c r="K261" s="18" t="str" cm="1">
        <f t="array" ref="K261">IFERROR(INDEX(_xlfn.TEXTSPLIT(_xlfn.XLOOKUP($A261&amp;$B261&amp;$C261,盘货信息!$A:$A&amp;盘货信息!$B:$B&amp;盘货信息!$C:$C,盘货信息!$S:$S),CHAR(10),,TRUE),1,COLUMN(B260)),"")</f>
        <v/>
      </c>
      <c r="L261" s="18" t="str" cm="1">
        <f t="array" ref="L261">IFERROR(INDEX(_xlfn.TEXTSPLIT(_xlfn.XLOOKUP($A261&amp;$B261&amp;$C261,盘货信息!$A:$A&amp;盘货信息!$B:$B&amp;盘货信息!$C:$C,盘货信息!$S:$S),CHAR(10),,TRUE),1,COLUMN(C260)),"")</f>
        <v/>
      </c>
      <c r="M261" s="18" t="str" cm="1">
        <f t="array" ref="M261">IFERROR(INDEX(_xlfn.TEXTSPLIT(_xlfn.XLOOKUP($A261&amp;$B261&amp;$C261,盘货信息!$A:$A&amp;盘货信息!$B:$B&amp;盘货信息!$C:$C,盘货信息!$S:$S),CHAR(10),,TRUE),1,COLUMN(D260)),"")</f>
        <v/>
      </c>
      <c r="N261" s="18" t="str" cm="1">
        <f t="array" ref="N261">IFERROR(INDEX(_xlfn.TEXTSPLIT(_xlfn.XLOOKUP($A261&amp;$B261&amp;$C261,盘货信息!$A:$A&amp;盘货信息!$B:$B&amp;盘货信息!$C:$C,盘货信息!$S:$S),CHAR(10),,TRUE),1,COLUMN(E260)),"")</f>
        <v/>
      </c>
    </row>
    <row r="262" customHeight="1" spans="1:14">
      <c r="A262" s="17" t="str">
        <f>IF(盘货信息!A262="","",盘货信息!A262)</f>
        <v/>
      </c>
      <c r="B262" s="17" t="str">
        <f>IF(盘货信息!B262="","",盘货信息!B262)</f>
        <v/>
      </c>
      <c r="C262" s="18" t="str">
        <f>IF(盘货信息!C262="","",盘货信息!C262)</f>
        <v/>
      </c>
      <c r="D262" s="18" t="str">
        <f t="shared" si="4"/>
        <v/>
      </c>
      <c r="E262" s="18" t="str">
        <f>_xlfn.LET(_xlpm.A,IF(ISNUMBER(SEARCH("晒单",J262)),"【晒单】"&amp;MID(J262,SEARCH("晒单",J262)+LEN("晒单"),LEN(J262))&amp;"（需晒单后联系客服登记）",IF(ISNUMBER(SEARCH("包修",J262)),"【购机】"&amp;MID(J262,SEARCH("购机",J262)+LEN("购机"),LEN(J262)),IF(ISNUMBER(SEARCH("叠放支架",J262)),"【赠品】"&amp;MID(J262,SEARCH("购机",J262)+LEN("购机"),LEN(J262)),IF(ISNUMBER(SEARCH("秀图",J262)),"【秀图】"&amp;MID(J262,SEARCH("秀图",J262)+LEN("秀图"),LEN(J262)),"")))),IFERROR(LEFT(_xlpm.A,FIND("【",_xlpm.A,FIND("】",_xlpm.A)+1)-1)&amp;MID(_xlpm.A,FIND("】",_xlpm.A,FIND("】",_xlpm.A)+1)+1,LEN(_xlpm.A)),_xlpm.A))</f>
        <v/>
      </c>
      <c r="F262" s="18" t="str">
        <f>_xlfn.LET(_xlpm.A,IF(ISNUMBER(SEARCH("晒单",K262)),"【晒单】"&amp;MID(K262,SEARCH("晒单",K262)+LEN("晒单"),LEN(K262))&amp;"（需晒单后联系客服登记）",IF(ISNUMBER(SEARCH("包修",K262)),"【购机】"&amp;MID(K262,SEARCH("购机",K262)+LEN("购机"),LEN(K262)),IF(ISNUMBER(SEARCH("叠放支架",K262)),"【赠品】"&amp;MID(K262,SEARCH("购机",K262)+LEN("购机"),LEN(K262)),IF(ISNUMBER(SEARCH("秀图",K262)),"【秀图】"&amp;MID(K262,SEARCH("秀图",K262)+LEN("秀图"),LEN(K262)),"")))),IFERROR(LEFT(_xlpm.A,FIND("【",_xlpm.A,FIND("】",_xlpm.A)+1)-1)&amp;MID(_xlpm.A,FIND("】",_xlpm.A,FIND("】",_xlpm.A)+1)+1,LEN(_xlpm.A)),_xlpm.A))</f>
        <v/>
      </c>
      <c r="G262" s="18" t="str">
        <f>_xlfn.LET(_xlpm.A,IF(ISNUMBER(SEARCH("晒单",L262)),"【晒单】"&amp;MID(L262,SEARCH("晒单",L262)+LEN("晒单"),LEN(L262))&amp;"（需晒单后联系客服登记）",IF(ISNUMBER(SEARCH("包修",L262)),"【购机】"&amp;MID(L262,SEARCH("购机",L262)+LEN("购机"),LEN(L262)),IF(ISNUMBER(SEARCH("叠放支架",L262)),"【赠品】"&amp;MID(L262,SEARCH("购机",L262)+LEN("购机"),LEN(L262)),IF(ISNUMBER(SEARCH("秀图",L262)),"【秀图】"&amp;MID(L262,SEARCH("秀图",L262)+LEN("秀图"),LEN(L262)),"")))),IFERROR(LEFT(_xlpm.A,FIND("【",_xlpm.A,FIND("】",_xlpm.A)+1)-1)&amp;MID(_xlpm.A,FIND("】",_xlpm.A,FIND("】",_xlpm.A)+1)+1,LEN(_xlpm.A)),_xlpm.A))</f>
        <v/>
      </c>
      <c r="H262" s="18" t="str">
        <f>_xlfn.LET(_xlpm.A,IF(ISNUMBER(SEARCH("晒单",M262)),"【晒单】"&amp;MID(M262,SEARCH("晒单",M262)+LEN("晒单"),LEN(M262))&amp;"（需晒单后联系客服登记）",IF(ISNUMBER(SEARCH("包修",M262)),"【购机】"&amp;MID(M262,SEARCH("购机",M262)+LEN("购机"),LEN(M262)),IF(ISNUMBER(SEARCH("叠放支架",M262)),"【赠品】"&amp;MID(M262,SEARCH("购机",M262)+LEN("购机"),LEN(M262)),IF(ISNUMBER(SEARCH("秀图",M262)),"【秀图】"&amp;MID(M262,SEARCH("秀图",M262)+LEN("秀图"),LEN(M262)),"")))),IFERROR(LEFT(_xlpm.A,FIND("【",_xlpm.A,FIND("】",_xlpm.A)+1)-1)&amp;MID(_xlpm.A,FIND("】",_xlpm.A,FIND("】",_xlpm.A)+1)+1,LEN(_xlpm.A)),_xlpm.A))</f>
        <v/>
      </c>
      <c r="I262" s="18" t="str">
        <f>_xlfn.LET(_xlpm.A,IF(ISNUMBER(SEARCH("晒单",N262)),"【晒单】"&amp;MID(N262,SEARCH("晒单",N262)+LEN("晒单"),LEN(N262))&amp;"（需晒单后联系客服登记）",IF(ISNUMBER(SEARCH("包修",N262)),"【购机】"&amp;MID(N262,SEARCH("购机",N262)+LEN("购机"),LEN(N262)),IF(ISNUMBER(SEARCH("叠放支架",N262)),"【赠品】"&amp;MID(N262,SEARCH("购机",N262)+LEN("购机"),LEN(N262)),IF(ISNUMBER(SEARCH("秀图",N262)),"【秀图】"&amp;MID(N262,SEARCH("秀图",N262)+LEN("秀图"),LEN(N262)),"")))),IFERROR(LEFT(_xlpm.A,FIND("【",_xlpm.A,FIND("】",_xlpm.A)+1)-1)&amp;MID(_xlpm.A,FIND("】",_xlpm.A,FIND("】",_xlpm.A)+1)+1,LEN(_xlpm.A)),_xlpm.A))</f>
        <v/>
      </c>
      <c r="J262" s="18" t="str" cm="1">
        <f t="array" ref="J262">IFERROR(INDEX(_xlfn.TEXTSPLIT(_xlfn.XLOOKUP($A262&amp;$B262&amp;$C262,盘货信息!$A:$A&amp;盘货信息!$B:$B&amp;盘货信息!$C:$C,盘货信息!$S:$S),CHAR(10),,TRUE),1,COLUMN(A261)),"")</f>
        <v/>
      </c>
      <c r="K262" s="18" t="str" cm="1">
        <f t="array" ref="K262">IFERROR(INDEX(_xlfn.TEXTSPLIT(_xlfn.XLOOKUP($A262&amp;$B262&amp;$C262,盘货信息!$A:$A&amp;盘货信息!$B:$B&amp;盘货信息!$C:$C,盘货信息!$S:$S),CHAR(10),,TRUE),1,COLUMN(B261)),"")</f>
        <v/>
      </c>
      <c r="L262" s="18" t="str" cm="1">
        <f t="array" ref="L262">IFERROR(INDEX(_xlfn.TEXTSPLIT(_xlfn.XLOOKUP($A262&amp;$B262&amp;$C262,盘货信息!$A:$A&amp;盘货信息!$B:$B&amp;盘货信息!$C:$C,盘货信息!$S:$S),CHAR(10),,TRUE),1,COLUMN(C261)),"")</f>
        <v/>
      </c>
      <c r="M262" s="18" t="str" cm="1">
        <f t="array" ref="M262">IFERROR(INDEX(_xlfn.TEXTSPLIT(_xlfn.XLOOKUP($A262&amp;$B262&amp;$C262,盘货信息!$A:$A&amp;盘货信息!$B:$B&amp;盘货信息!$C:$C,盘货信息!$S:$S),CHAR(10),,TRUE),1,COLUMN(D261)),"")</f>
        <v/>
      </c>
      <c r="N262" s="18" t="str" cm="1">
        <f t="array" ref="N262">IFERROR(INDEX(_xlfn.TEXTSPLIT(_xlfn.XLOOKUP($A262&amp;$B262&amp;$C262,盘货信息!$A:$A&amp;盘货信息!$B:$B&amp;盘货信息!$C:$C,盘货信息!$S:$S),CHAR(10),,TRUE),1,COLUMN(E261)),"")</f>
        <v/>
      </c>
    </row>
    <row r="263" customHeight="1" spans="1:14">
      <c r="A263" s="17" t="str">
        <f>IF(盘货信息!A263="","",盘货信息!A263)</f>
        <v/>
      </c>
      <c r="B263" s="17" t="str">
        <f>IF(盘货信息!B263="","",盘货信息!B263)</f>
        <v/>
      </c>
      <c r="C263" s="18" t="str">
        <f>IF(盘货信息!C263="","",盘货信息!C263)</f>
        <v/>
      </c>
      <c r="D263" s="18" t="str">
        <f t="shared" si="4"/>
        <v/>
      </c>
      <c r="E263" s="18" t="str">
        <f>_xlfn.LET(_xlpm.A,IF(ISNUMBER(SEARCH("晒单",J263)),"【晒单】"&amp;MID(J263,SEARCH("晒单",J263)+LEN("晒单"),LEN(J263))&amp;"（需晒单后联系客服登记）",IF(ISNUMBER(SEARCH("包修",J263)),"【购机】"&amp;MID(J263,SEARCH("购机",J263)+LEN("购机"),LEN(J263)),IF(ISNUMBER(SEARCH("叠放支架",J263)),"【赠品】"&amp;MID(J263,SEARCH("购机",J263)+LEN("购机"),LEN(J263)),IF(ISNUMBER(SEARCH("秀图",J263)),"【秀图】"&amp;MID(J263,SEARCH("秀图",J263)+LEN("秀图"),LEN(J263)),"")))),IFERROR(LEFT(_xlpm.A,FIND("【",_xlpm.A,FIND("】",_xlpm.A)+1)-1)&amp;MID(_xlpm.A,FIND("】",_xlpm.A,FIND("】",_xlpm.A)+1)+1,LEN(_xlpm.A)),_xlpm.A))</f>
        <v/>
      </c>
      <c r="F263" s="18" t="str">
        <f>_xlfn.LET(_xlpm.A,IF(ISNUMBER(SEARCH("晒单",K263)),"【晒单】"&amp;MID(K263,SEARCH("晒单",K263)+LEN("晒单"),LEN(K263))&amp;"（需晒单后联系客服登记）",IF(ISNUMBER(SEARCH("包修",K263)),"【购机】"&amp;MID(K263,SEARCH("购机",K263)+LEN("购机"),LEN(K263)),IF(ISNUMBER(SEARCH("叠放支架",K263)),"【赠品】"&amp;MID(K263,SEARCH("购机",K263)+LEN("购机"),LEN(K263)),IF(ISNUMBER(SEARCH("秀图",K263)),"【秀图】"&amp;MID(K263,SEARCH("秀图",K263)+LEN("秀图"),LEN(K263)),"")))),IFERROR(LEFT(_xlpm.A,FIND("【",_xlpm.A,FIND("】",_xlpm.A)+1)-1)&amp;MID(_xlpm.A,FIND("】",_xlpm.A,FIND("】",_xlpm.A)+1)+1,LEN(_xlpm.A)),_xlpm.A))</f>
        <v/>
      </c>
      <c r="G263" s="18" t="str">
        <f>_xlfn.LET(_xlpm.A,IF(ISNUMBER(SEARCH("晒单",L263)),"【晒单】"&amp;MID(L263,SEARCH("晒单",L263)+LEN("晒单"),LEN(L263))&amp;"（需晒单后联系客服登记）",IF(ISNUMBER(SEARCH("包修",L263)),"【购机】"&amp;MID(L263,SEARCH("购机",L263)+LEN("购机"),LEN(L263)),IF(ISNUMBER(SEARCH("叠放支架",L263)),"【赠品】"&amp;MID(L263,SEARCH("购机",L263)+LEN("购机"),LEN(L263)),IF(ISNUMBER(SEARCH("秀图",L263)),"【秀图】"&amp;MID(L263,SEARCH("秀图",L263)+LEN("秀图"),LEN(L263)),"")))),IFERROR(LEFT(_xlpm.A,FIND("【",_xlpm.A,FIND("】",_xlpm.A)+1)-1)&amp;MID(_xlpm.A,FIND("】",_xlpm.A,FIND("】",_xlpm.A)+1)+1,LEN(_xlpm.A)),_xlpm.A))</f>
        <v/>
      </c>
      <c r="H263" s="18" t="str">
        <f>_xlfn.LET(_xlpm.A,IF(ISNUMBER(SEARCH("晒单",M263)),"【晒单】"&amp;MID(M263,SEARCH("晒单",M263)+LEN("晒单"),LEN(M263))&amp;"（需晒单后联系客服登记）",IF(ISNUMBER(SEARCH("包修",M263)),"【购机】"&amp;MID(M263,SEARCH("购机",M263)+LEN("购机"),LEN(M263)),IF(ISNUMBER(SEARCH("叠放支架",M263)),"【赠品】"&amp;MID(M263,SEARCH("购机",M263)+LEN("购机"),LEN(M263)),IF(ISNUMBER(SEARCH("秀图",M263)),"【秀图】"&amp;MID(M263,SEARCH("秀图",M263)+LEN("秀图"),LEN(M263)),"")))),IFERROR(LEFT(_xlpm.A,FIND("【",_xlpm.A,FIND("】",_xlpm.A)+1)-1)&amp;MID(_xlpm.A,FIND("】",_xlpm.A,FIND("】",_xlpm.A)+1)+1,LEN(_xlpm.A)),_xlpm.A))</f>
        <v/>
      </c>
      <c r="I263" s="18" t="str">
        <f>_xlfn.LET(_xlpm.A,IF(ISNUMBER(SEARCH("晒单",N263)),"【晒单】"&amp;MID(N263,SEARCH("晒单",N263)+LEN("晒单"),LEN(N263))&amp;"（需晒单后联系客服登记）",IF(ISNUMBER(SEARCH("包修",N263)),"【购机】"&amp;MID(N263,SEARCH("购机",N263)+LEN("购机"),LEN(N263)),IF(ISNUMBER(SEARCH("叠放支架",N263)),"【赠品】"&amp;MID(N263,SEARCH("购机",N263)+LEN("购机"),LEN(N263)),IF(ISNUMBER(SEARCH("秀图",N263)),"【秀图】"&amp;MID(N263,SEARCH("秀图",N263)+LEN("秀图"),LEN(N263)),"")))),IFERROR(LEFT(_xlpm.A,FIND("【",_xlpm.A,FIND("】",_xlpm.A)+1)-1)&amp;MID(_xlpm.A,FIND("】",_xlpm.A,FIND("】",_xlpm.A)+1)+1,LEN(_xlpm.A)),_xlpm.A))</f>
        <v/>
      </c>
      <c r="J263" s="18" t="str" cm="1">
        <f t="array" ref="J263">IFERROR(INDEX(_xlfn.TEXTSPLIT(_xlfn.XLOOKUP($A263&amp;$B263&amp;$C263,盘货信息!$A:$A&amp;盘货信息!$B:$B&amp;盘货信息!$C:$C,盘货信息!$S:$S),CHAR(10),,TRUE),1,COLUMN(A262)),"")</f>
        <v/>
      </c>
      <c r="K263" s="18" t="str" cm="1">
        <f t="array" ref="K263">IFERROR(INDEX(_xlfn.TEXTSPLIT(_xlfn.XLOOKUP($A263&amp;$B263&amp;$C263,盘货信息!$A:$A&amp;盘货信息!$B:$B&amp;盘货信息!$C:$C,盘货信息!$S:$S),CHAR(10),,TRUE),1,COLUMN(B262)),"")</f>
        <v/>
      </c>
      <c r="L263" s="18" t="str" cm="1">
        <f t="array" ref="L263">IFERROR(INDEX(_xlfn.TEXTSPLIT(_xlfn.XLOOKUP($A263&amp;$B263&amp;$C263,盘货信息!$A:$A&amp;盘货信息!$B:$B&amp;盘货信息!$C:$C,盘货信息!$S:$S),CHAR(10),,TRUE),1,COLUMN(C262)),"")</f>
        <v/>
      </c>
      <c r="M263" s="18" t="str" cm="1">
        <f t="array" ref="M263">IFERROR(INDEX(_xlfn.TEXTSPLIT(_xlfn.XLOOKUP($A263&amp;$B263&amp;$C263,盘货信息!$A:$A&amp;盘货信息!$B:$B&amp;盘货信息!$C:$C,盘货信息!$S:$S),CHAR(10),,TRUE),1,COLUMN(D262)),"")</f>
        <v/>
      </c>
      <c r="N263" s="18" t="str" cm="1">
        <f t="array" ref="N263">IFERROR(INDEX(_xlfn.TEXTSPLIT(_xlfn.XLOOKUP($A263&amp;$B263&amp;$C263,盘货信息!$A:$A&amp;盘货信息!$B:$B&amp;盘货信息!$C:$C,盘货信息!$S:$S),CHAR(10),,TRUE),1,COLUMN(E262)),"")</f>
        <v/>
      </c>
    </row>
    <row r="264" customHeight="1" spans="1:14">
      <c r="A264" s="17" t="str">
        <f>IF(盘货信息!A264="","",盘货信息!A264)</f>
        <v/>
      </c>
      <c r="B264" s="17" t="str">
        <f>IF(盘货信息!B264="","",盘货信息!B264)</f>
        <v/>
      </c>
      <c r="C264" s="18" t="str">
        <f>IF(盘货信息!C264="","",盘货信息!C264)</f>
        <v/>
      </c>
      <c r="D264" s="18" t="str">
        <f t="shared" si="4"/>
        <v/>
      </c>
      <c r="E264" s="18" t="str">
        <f>_xlfn.LET(_xlpm.A,IF(ISNUMBER(SEARCH("晒单",J264)),"【晒单】"&amp;MID(J264,SEARCH("晒单",J264)+LEN("晒单"),LEN(J264))&amp;"（需晒单后联系客服登记）",IF(ISNUMBER(SEARCH("包修",J264)),"【购机】"&amp;MID(J264,SEARCH("购机",J264)+LEN("购机"),LEN(J264)),IF(ISNUMBER(SEARCH("叠放支架",J264)),"【赠品】"&amp;MID(J264,SEARCH("购机",J264)+LEN("购机"),LEN(J264)),IF(ISNUMBER(SEARCH("秀图",J264)),"【秀图】"&amp;MID(J264,SEARCH("秀图",J264)+LEN("秀图"),LEN(J264)),"")))),IFERROR(LEFT(_xlpm.A,FIND("【",_xlpm.A,FIND("】",_xlpm.A)+1)-1)&amp;MID(_xlpm.A,FIND("】",_xlpm.A,FIND("】",_xlpm.A)+1)+1,LEN(_xlpm.A)),_xlpm.A))</f>
        <v/>
      </c>
      <c r="F264" s="18" t="str">
        <f>_xlfn.LET(_xlpm.A,IF(ISNUMBER(SEARCH("晒单",K264)),"【晒单】"&amp;MID(K264,SEARCH("晒单",K264)+LEN("晒单"),LEN(K264))&amp;"（需晒单后联系客服登记）",IF(ISNUMBER(SEARCH("包修",K264)),"【购机】"&amp;MID(K264,SEARCH("购机",K264)+LEN("购机"),LEN(K264)),IF(ISNUMBER(SEARCH("叠放支架",K264)),"【赠品】"&amp;MID(K264,SEARCH("购机",K264)+LEN("购机"),LEN(K264)),IF(ISNUMBER(SEARCH("秀图",K264)),"【秀图】"&amp;MID(K264,SEARCH("秀图",K264)+LEN("秀图"),LEN(K264)),"")))),IFERROR(LEFT(_xlpm.A,FIND("【",_xlpm.A,FIND("】",_xlpm.A)+1)-1)&amp;MID(_xlpm.A,FIND("】",_xlpm.A,FIND("】",_xlpm.A)+1)+1,LEN(_xlpm.A)),_xlpm.A))</f>
        <v/>
      </c>
      <c r="G264" s="18" t="str">
        <f>_xlfn.LET(_xlpm.A,IF(ISNUMBER(SEARCH("晒单",L264)),"【晒单】"&amp;MID(L264,SEARCH("晒单",L264)+LEN("晒单"),LEN(L264))&amp;"（需晒单后联系客服登记）",IF(ISNUMBER(SEARCH("包修",L264)),"【购机】"&amp;MID(L264,SEARCH("购机",L264)+LEN("购机"),LEN(L264)),IF(ISNUMBER(SEARCH("叠放支架",L264)),"【赠品】"&amp;MID(L264,SEARCH("购机",L264)+LEN("购机"),LEN(L264)),IF(ISNUMBER(SEARCH("秀图",L264)),"【秀图】"&amp;MID(L264,SEARCH("秀图",L264)+LEN("秀图"),LEN(L264)),"")))),IFERROR(LEFT(_xlpm.A,FIND("【",_xlpm.A,FIND("】",_xlpm.A)+1)-1)&amp;MID(_xlpm.A,FIND("】",_xlpm.A,FIND("】",_xlpm.A)+1)+1,LEN(_xlpm.A)),_xlpm.A))</f>
        <v/>
      </c>
      <c r="H264" s="18" t="str">
        <f>_xlfn.LET(_xlpm.A,IF(ISNUMBER(SEARCH("晒单",M264)),"【晒单】"&amp;MID(M264,SEARCH("晒单",M264)+LEN("晒单"),LEN(M264))&amp;"（需晒单后联系客服登记）",IF(ISNUMBER(SEARCH("包修",M264)),"【购机】"&amp;MID(M264,SEARCH("购机",M264)+LEN("购机"),LEN(M264)),IF(ISNUMBER(SEARCH("叠放支架",M264)),"【赠品】"&amp;MID(M264,SEARCH("购机",M264)+LEN("购机"),LEN(M264)),IF(ISNUMBER(SEARCH("秀图",M264)),"【秀图】"&amp;MID(M264,SEARCH("秀图",M264)+LEN("秀图"),LEN(M264)),"")))),IFERROR(LEFT(_xlpm.A,FIND("【",_xlpm.A,FIND("】",_xlpm.A)+1)-1)&amp;MID(_xlpm.A,FIND("】",_xlpm.A,FIND("】",_xlpm.A)+1)+1,LEN(_xlpm.A)),_xlpm.A))</f>
        <v/>
      </c>
      <c r="I264" s="18" t="str">
        <f>_xlfn.LET(_xlpm.A,IF(ISNUMBER(SEARCH("晒单",N264)),"【晒单】"&amp;MID(N264,SEARCH("晒单",N264)+LEN("晒单"),LEN(N264))&amp;"（需晒单后联系客服登记）",IF(ISNUMBER(SEARCH("包修",N264)),"【购机】"&amp;MID(N264,SEARCH("购机",N264)+LEN("购机"),LEN(N264)),IF(ISNUMBER(SEARCH("叠放支架",N264)),"【赠品】"&amp;MID(N264,SEARCH("购机",N264)+LEN("购机"),LEN(N264)),IF(ISNUMBER(SEARCH("秀图",N264)),"【秀图】"&amp;MID(N264,SEARCH("秀图",N264)+LEN("秀图"),LEN(N264)),"")))),IFERROR(LEFT(_xlpm.A,FIND("【",_xlpm.A,FIND("】",_xlpm.A)+1)-1)&amp;MID(_xlpm.A,FIND("】",_xlpm.A,FIND("】",_xlpm.A)+1)+1,LEN(_xlpm.A)),_xlpm.A))</f>
        <v/>
      </c>
      <c r="J264" s="18" t="str" cm="1">
        <f t="array" ref="J264">IFERROR(INDEX(_xlfn.TEXTSPLIT(_xlfn.XLOOKUP($A264&amp;$B264&amp;$C264,盘货信息!$A:$A&amp;盘货信息!$B:$B&amp;盘货信息!$C:$C,盘货信息!$S:$S),CHAR(10),,TRUE),1,COLUMN(A263)),"")</f>
        <v/>
      </c>
      <c r="K264" s="18" t="str" cm="1">
        <f t="array" ref="K264">IFERROR(INDEX(_xlfn.TEXTSPLIT(_xlfn.XLOOKUP($A264&amp;$B264&amp;$C264,盘货信息!$A:$A&amp;盘货信息!$B:$B&amp;盘货信息!$C:$C,盘货信息!$S:$S),CHAR(10),,TRUE),1,COLUMN(B263)),"")</f>
        <v/>
      </c>
      <c r="L264" s="18" t="str" cm="1">
        <f t="array" ref="L264">IFERROR(INDEX(_xlfn.TEXTSPLIT(_xlfn.XLOOKUP($A264&amp;$B264&amp;$C264,盘货信息!$A:$A&amp;盘货信息!$B:$B&amp;盘货信息!$C:$C,盘货信息!$S:$S),CHAR(10),,TRUE),1,COLUMN(C263)),"")</f>
        <v/>
      </c>
      <c r="M264" s="18" t="str" cm="1">
        <f t="array" ref="M264">IFERROR(INDEX(_xlfn.TEXTSPLIT(_xlfn.XLOOKUP($A264&amp;$B264&amp;$C264,盘货信息!$A:$A&amp;盘货信息!$B:$B&amp;盘货信息!$C:$C,盘货信息!$S:$S),CHAR(10),,TRUE),1,COLUMN(D263)),"")</f>
        <v/>
      </c>
      <c r="N264" s="18" t="str" cm="1">
        <f t="array" ref="N264">IFERROR(INDEX(_xlfn.TEXTSPLIT(_xlfn.XLOOKUP($A264&amp;$B264&amp;$C264,盘货信息!$A:$A&amp;盘货信息!$B:$B&amp;盘货信息!$C:$C,盘货信息!$S:$S),CHAR(10),,TRUE),1,COLUMN(E263)),"")</f>
        <v/>
      </c>
    </row>
    <row r="265" customHeight="1" spans="1:14">
      <c r="A265" s="17" t="str">
        <f>IF(盘货信息!A265="","",盘货信息!A265)</f>
        <v/>
      </c>
      <c r="B265" s="17" t="str">
        <f>IF(盘货信息!B265="","",盘货信息!B265)</f>
        <v/>
      </c>
      <c r="C265" s="18" t="str">
        <f>IF(盘货信息!C265="","",盘货信息!C265)</f>
        <v/>
      </c>
      <c r="D265" s="18" t="str">
        <f t="shared" si="4"/>
        <v/>
      </c>
      <c r="E265" s="18" t="str">
        <f>_xlfn.LET(_xlpm.A,IF(ISNUMBER(SEARCH("晒单",J265)),"【晒单】"&amp;MID(J265,SEARCH("晒单",J265)+LEN("晒单"),LEN(J265))&amp;"（需晒单后联系客服登记）",IF(ISNUMBER(SEARCH("包修",J265)),"【购机】"&amp;MID(J265,SEARCH("购机",J265)+LEN("购机"),LEN(J265)),IF(ISNUMBER(SEARCH("叠放支架",J265)),"【赠品】"&amp;MID(J265,SEARCH("购机",J265)+LEN("购机"),LEN(J265)),IF(ISNUMBER(SEARCH("秀图",J265)),"【秀图】"&amp;MID(J265,SEARCH("秀图",J265)+LEN("秀图"),LEN(J265)),"")))),IFERROR(LEFT(_xlpm.A,FIND("【",_xlpm.A,FIND("】",_xlpm.A)+1)-1)&amp;MID(_xlpm.A,FIND("】",_xlpm.A,FIND("】",_xlpm.A)+1)+1,LEN(_xlpm.A)),_xlpm.A))</f>
        <v/>
      </c>
      <c r="F265" s="18" t="str">
        <f>_xlfn.LET(_xlpm.A,IF(ISNUMBER(SEARCH("晒单",K265)),"【晒单】"&amp;MID(K265,SEARCH("晒单",K265)+LEN("晒单"),LEN(K265))&amp;"（需晒单后联系客服登记）",IF(ISNUMBER(SEARCH("包修",K265)),"【购机】"&amp;MID(K265,SEARCH("购机",K265)+LEN("购机"),LEN(K265)),IF(ISNUMBER(SEARCH("叠放支架",K265)),"【赠品】"&amp;MID(K265,SEARCH("购机",K265)+LEN("购机"),LEN(K265)),IF(ISNUMBER(SEARCH("秀图",K265)),"【秀图】"&amp;MID(K265,SEARCH("秀图",K265)+LEN("秀图"),LEN(K265)),"")))),IFERROR(LEFT(_xlpm.A,FIND("【",_xlpm.A,FIND("】",_xlpm.A)+1)-1)&amp;MID(_xlpm.A,FIND("】",_xlpm.A,FIND("】",_xlpm.A)+1)+1,LEN(_xlpm.A)),_xlpm.A))</f>
        <v/>
      </c>
      <c r="G265" s="18" t="str">
        <f>_xlfn.LET(_xlpm.A,IF(ISNUMBER(SEARCH("晒单",L265)),"【晒单】"&amp;MID(L265,SEARCH("晒单",L265)+LEN("晒单"),LEN(L265))&amp;"（需晒单后联系客服登记）",IF(ISNUMBER(SEARCH("包修",L265)),"【购机】"&amp;MID(L265,SEARCH("购机",L265)+LEN("购机"),LEN(L265)),IF(ISNUMBER(SEARCH("叠放支架",L265)),"【赠品】"&amp;MID(L265,SEARCH("购机",L265)+LEN("购机"),LEN(L265)),IF(ISNUMBER(SEARCH("秀图",L265)),"【秀图】"&amp;MID(L265,SEARCH("秀图",L265)+LEN("秀图"),LEN(L265)),"")))),IFERROR(LEFT(_xlpm.A,FIND("【",_xlpm.A,FIND("】",_xlpm.A)+1)-1)&amp;MID(_xlpm.A,FIND("】",_xlpm.A,FIND("】",_xlpm.A)+1)+1,LEN(_xlpm.A)),_xlpm.A))</f>
        <v/>
      </c>
      <c r="H265" s="18" t="str">
        <f>_xlfn.LET(_xlpm.A,IF(ISNUMBER(SEARCH("晒单",M265)),"【晒单】"&amp;MID(M265,SEARCH("晒单",M265)+LEN("晒单"),LEN(M265))&amp;"（需晒单后联系客服登记）",IF(ISNUMBER(SEARCH("包修",M265)),"【购机】"&amp;MID(M265,SEARCH("购机",M265)+LEN("购机"),LEN(M265)),IF(ISNUMBER(SEARCH("叠放支架",M265)),"【赠品】"&amp;MID(M265,SEARCH("购机",M265)+LEN("购机"),LEN(M265)),IF(ISNUMBER(SEARCH("秀图",M265)),"【秀图】"&amp;MID(M265,SEARCH("秀图",M265)+LEN("秀图"),LEN(M265)),"")))),IFERROR(LEFT(_xlpm.A,FIND("【",_xlpm.A,FIND("】",_xlpm.A)+1)-1)&amp;MID(_xlpm.A,FIND("】",_xlpm.A,FIND("】",_xlpm.A)+1)+1,LEN(_xlpm.A)),_xlpm.A))</f>
        <v/>
      </c>
      <c r="I265" s="18" t="str">
        <f>_xlfn.LET(_xlpm.A,IF(ISNUMBER(SEARCH("晒单",N265)),"【晒单】"&amp;MID(N265,SEARCH("晒单",N265)+LEN("晒单"),LEN(N265))&amp;"（需晒单后联系客服登记）",IF(ISNUMBER(SEARCH("包修",N265)),"【购机】"&amp;MID(N265,SEARCH("购机",N265)+LEN("购机"),LEN(N265)),IF(ISNUMBER(SEARCH("叠放支架",N265)),"【赠品】"&amp;MID(N265,SEARCH("购机",N265)+LEN("购机"),LEN(N265)),IF(ISNUMBER(SEARCH("秀图",N265)),"【秀图】"&amp;MID(N265,SEARCH("秀图",N265)+LEN("秀图"),LEN(N265)),"")))),IFERROR(LEFT(_xlpm.A,FIND("【",_xlpm.A,FIND("】",_xlpm.A)+1)-1)&amp;MID(_xlpm.A,FIND("】",_xlpm.A,FIND("】",_xlpm.A)+1)+1,LEN(_xlpm.A)),_xlpm.A))</f>
        <v/>
      </c>
      <c r="J265" s="18" t="str" cm="1">
        <f t="array" ref="J265">IFERROR(INDEX(_xlfn.TEXTSPLIT(_xlfn.XLOOKUP($A265&amp;$B265&amp;$C265,盘货信息!$A:$A&amp;盘货信息!$B:$B&amp;盘货信息!$C:$C,盘货信息!$S:$S),CHAR(10),,TRUE),1,COLUMN(A264)),"")</f>
        <v/>
      </c>
      <c r="K265" s="18" t="str" cm="1">
        <f t="array" ref="K265">IFERROR(INDEX(_xlfn.TEXTSPLIT(_xlfn.XLOOKUP($A265&amp;$B265&amp;$C265,盘货信息!$A:$A&amp;盘货信息!$B:$B&amp;盘货信息!$C:$C,盘货信息!$S:$S),CHAR(10),,TRUE),1,COLUMN(B264)),"")</f>
        <v/>
      </c>
      <c r="L265" s="18" t="str" cm="1">
        <f t="array" ref="L265">IFERROR(INDEX(_xlfn.TEXTSPLIT(_xlfn.XLOOKUP($A265&amp;$B265&amp;$C265,盘货信息!$A:$A&amp;盘货信息!$B:$B&amp;盘货信息!$C:$C,盘货信息!$S:$S),CHAR(10),,TRUE),1,COLUMN(C264)),"")</f>
        <v/>
      </c>
      <c r="M265" s="18" t="str" cm="1">
        <f t="array" ref="M265">IFERROR(INDEX(_xlfn.TEXTSPLIT(_xlfn.XLOOKUP($A265&amp;$B265&amp;$C265,盘货信息!$A:$A&amp;盘货信息!$B:$B&amp;盘货信息!$C:$C,盘货信息!$S:$S),CHAR(10),,TRUE),1,COLUMN(D264)),"")</f>
        <v/>
      </c>
      <c r="N265" s="18" t="str" cm="1">
        <f t="array" ref="N265">IFERROR(INDEX(_xlfn.TEXTSPLIT(_xlfn.XLOOKUP($A265&amp;$B265&amp;$C265,盘货信息!$A:$A&amp;盘货信息!$B:$B&amp;盘货信息!$C:$C,盘货信息!$S:$S),CHAR(10),,TRUE),1,COLUMN(E264)),"")</f>
        <v/>
      </c>
    </row>
    <row r="266" customHeight="1" spans="1:14">
      <c r="A266" s="17" t="str">
        <f>IF(盘货信息!A266="","",盘货信息!A266)</f>
        <v/>
      </c>
      <c r="B266" s="17" t="str">
        <f>IF(盘货信息!B266="","",盘货信息!B266)</f>
        <v/>
      </c>
      <c r="C266" s="18" t="str">
        <f>IF(盘货信息!C266="","",盘货信息!C266)</f>
        <v/>
      </c>
      <c r="D266" s="18" t="str">
        <f t="shared" si="4"/>
        <v/>
      </c>
      <c r="E266" s="18" t="str">
        <f>_xlfn.LET(_xlpm.A,IF(ISNUMBER(SEARCH("晒单",J266)),"【晒单】"&amp;MID(J266,SEARCH("晒单",J266)+LEN("晒单"),LEN(J266))&amp;"（需晒单后联系客服登记）",IF(ISNUMBER(SEARCH("包修",J266)),"【购机】"&amp;MID(J266,SEARCH("购机",J266)+LEN("购机"),LEN(J266)),IF(ISNUMBER(SEARCH("叠放支架",J266)),"【赠品】"&amp;MID(J266,SEARCH("购机",J266)+LEN("购机"),LEN(J266)),IF(ISNUMBER(SEARCH("秀图",J266)),"【秀图】"&amp;MID(J266,SEARCH("秀图",J266)+LEN("秀图"),LEN(J266)),"")))),IFERROR(LEFT(_xlpm.A,FIND("【",_xlpm.A,FIND("】",_xlpm.A)+1)-1)&amp;MID(_xlpm.A,FIND("】",_xlpm.A,FIND("】",_xlpm.A)+1)+1,LEN(_xlpm.A)),_xlpm.A))</f>
        <v/>
      </c>
      <c r="F266" s="18" t="str">
        <f>_xlfn.LET(_xlpm.A,IF(ISNUMBER(SEARCH("晒单",K266)),"【晒单】"&amp;MID(K266,SEARCH("晒单",K266)+LEN("晒单"),LEN(K266))&amp;"（需晒单后联系客服登记）",IF(ISNUMBER(SEARCH("包修",K266)),"【购机】"&amp;MID(K266,SEARCH("购机",K266)+LEN("购机"),LEN(K266)),IF(ISNUMBER(SEARCH("叠放支架",K266)),"【赠品】"&amp;MID(K266,SEARCH("购机",K266)+LEN("购机"),LEN(K266)),IF(ISNUMBER(SEARCH("秀图",K266)),"【秀图】"&amp;MID(K266,SEARCH("秀图",K266)+LEN("秀图"),LEN(K266)),"")))),IFERROR(LEFT(_xlpm.A,FIND("【",_xlpm.A,FIND("】",_xlpm.A)+1)-1)&amp;MID(_xlpm.A,FIND("】",_xlpm.A,FIND("】",_xlpm.A)+1)+1,LEN(_xlpm.A)),_xlpm.A))</f>
        <v/>
      </c>
      <c r="G266" s="18" t="str">
        <f>_xlfn.LET(_xlpm.A,IF(ISNUMBER(SEARCH("晒单",L266)),"【晒单】"&amp;MID(L266,SEARCH("晒单",L266)+LEN("晒单"),LEN(L266))&amp;"（需晒单后联系客服登记）",IF(ISNUMBER(SEARCH("包修",L266)),"【购机】"&amp;MID(L266,SEARCH("购机",L266)+LEN("购机"),LEN(L266)),IF(ISNUMBER(SEARCH("叠放支架",L266)),"【赠品】"&amp;MID(L266,SEARCH("购机",L266)+LEN("购机"),LEN(L266)),IF(ISNUMBER(SEARCH("秀图",L266)),"【秀图】"&amp;MID(L266,SEARCH("秀图",L266)+LEN("秀图"),LEN(L266)),"")))),IFERROR(LEFT(_xlpm.A,FIND("【",_xlpm.A,FIND("】",_xlpm.A)+1)-1)&amp;MID(_xlpm.A,FIND("】",_xlpm.A,FIND("】",_xlpm.A)+1)+1,LEN(_xlpm.A)),_xlpm.A))</f>
        <v/>
      </c>
      <c r="H266" s="18" t="str">
        <f>_xlfn.LET(_xlpm.A,IF(ISNUMBER(SEARCH("晒单",M266)),"【晒单】"&amp;MID(M266,SEARCH("晒单",M266)+LEN("晒单"),LEN(M266))&amp;"（需晒单后联系客服登记）",IF(ISNUMBER(SEARCH("包修",M266)),"【购机】"&amp;MID(M266,SEARCH("购机",M266)+LEN("购机"),LEN(M266)),IF(ISNUMBER(SEARCH("叠放支架",M266)),"【赠品】"&amp;MID(M266,SEARCH("购机",M266)+LEN("购机"),LEN(M266)),IF(ISNUMBER(SEARCH("秀图",M266)),"【秀图】"&amp;MID(M266,SEARCH("秀图",M266)+LEN("秀图"),LEN(M266)),"")))),IFERROR(LEFT(_xlpm.A,FIND("【",_xlpm.A,FIND("】",_xlpm.A)+1)-1)&amp;MID(_xlpm.A,FIND("】",_xlpm.A,FIND("】",_xlpm.A)+1)+1,LEN(_xlpm.A)),_xlpm.A))</f>
        <v/>
      </c>
      <c r="I266" s="18" t="str">
        <f>_xlfn.LET(_xlpm.A,IF(ISNUMBER(SEARCH("晒单",N266)),"【晒单】"&amp;MID(N266,SEARCH("晒单",N266)+LEN("晒单"),LEN(N266))&amp;"（需晒单后联系客服登记）",IF(ISNUMBER(SEARCH("包修",N266)),"【购机】"&amp;MID(N266,SEARCH("购机",N266)+LEN("购机"),LEN(N266)),IF(ISNUMBER(SEARCH("叠放支架",N266)),"【赠品】"&amp;MID(N266,SEARCH("购机",N266)+LEN("购机"),LEN(N266)),IF(ISNUMBER(SEARCH("秀图",N266)),"【秀图】"&amp;MID(N266,SEARCH("秀图",N266)+LEN("秀图"),LEN(N266)),"")))),IFERROR(LEFT(_xlpm.A,FIND("【",_xlpm.A,FIND("】",_xlpm.A)+1)-1)&amp;MID(_xlpm.A,FIND("】",_xlpm.A,FIND("】",_xlpm.A)+1)+1,LEN(_xlpm.A)),_xlpm.A))</f>
        <v/>
      </c>
      <c r="J266" s="18" t="str" cm="1">
        <f t="array" ref="J266">IFERROR(INDEX(_xlfn.TEXTSPLIT(_xlfn.XLOOKUP($A266&amp;$B266&amp;$C266,盘货信息!$A:$A&amp;盘货信息!$B:$B&amp;盘货信息!$C:$C,盘货信息!$S:$S),CHAR(10),,TRUE),1,COLUMN(A265)),"")</f>
        <v/>
      </c>
      <c r="K266" s="18" t="str" cm="1">
        <f t="array" ref="K266">IFERROR(INDEX(_xlfn.TEXTSPLIT(_xlfn.XLOOKUP($A266&amp;$B266&amp;$C266,盘货信息!$A:$A&amp;盘货信息!$B:$B&amp;盘货信息!$C:$C,盘货信息!$S:$S),CHAR(10),,TRUE),1,COLUMN(B265)),"")</f>
        <v/>
      </c>
      <c r="L266" s="18" t="str" cm="1">
        <f t="array" ref="L266">IFERROR(INDEX(_xlfn.TEXTSPLIT(_xlfn.XLOOKUP($A266&amp;$B266&amp;$C266,盘货信息!$A:$A&amp;盘货信息!$B:$B&amp;盘货信息!$C:$C,盘货信息!$S:$S),CHAR(10),,TRUE),1,COLUMN(C265)),"")</f>
        <v/>
      </c>
      <c r="M266" s="18" t="str" cm="1">
        <f t="array" ref="M266">IFERROR(INDEX(_xlfn.TEXTSPLIT(_xlfn.XLOOKUP($A266&amp;$B266&amp;$C266,盘货信息!$A:$A&amp;盘货信息!$B:$B&amp;盘货信息!$C:$C,盘货信息!$S:$S),CHAR(10),,TRUE),1,COLUMN(D265)),"")</f>
        <v/>
      </c>
      <c r="N266" s="18" t="str" cm="1">
        <f t="array" ref="N266">IFERROR(INDEX(_xlfn.TEXTSPLIT(_xlfn.XLOOKUP($A266&amp;$B266&amp;$C266,盘货信息!$A:$A&amp;盘货信息!$B:$B&amp;盘货信息!$C:$C,盘货信息!$S:$S),CHAR(10),,TRUE),1,COLUMN(E265)),"")</f>
        <v/>
      </c>
    </row>
    <row r="267" customHeight="1" spans="1:14">
      <c r="A267" s="17" t="str">
        <f>IF(盘货信息!A267="","",盘货信息!A267)</f>
        <v/>
      </c>
      <c r="B267" s="17" t="str">
        <f>IF(盘货信息!B267="","",盘货信息!B267)</f>
        <v/>
      </c>
      <c r="C267" s="18" t="str">
        <f>IF(盘货信息!C267="","",盘货信息!C267)</f>
        <v/>
      </c>
      <c r="D267" s="18" t="str">
        <f t="shared" si="4"/>
        <v/>
      </c>
      <c r="E267" s="18" t="str">
        <f>_xlfn.LET(_xlpm.A,IF(ISNUMBER(SEARCH("晒单",J267)),"【晒单】"&amp;MID(J267,SEARCH("晒单",J267)+LEN("晒单"),LEN(J267))&amp;"（需晒单后联系客服登记）",IF(ISNUMBER(SEARCH("包修",J267)),"【购机】"&amp;MID(J267,SEARCH("购机",J267)+LEN("购机"),LEN(J267)),IF(ISNUMBER(SEARCH("叠放支架",J267)),"【赠品】"&amp;MID(J267,SEARCH("购机",J267)+LEN("购机"),LEN(J267)),IF(ISNUMBER(SEARCH("秀图",J267)),"【秀图】"&amp;MID(J267,SEARCH("秀图",J267)+LEN("秀图"),LEN(J267)),"")))),IFERROR(LEFT(_xlpm.A,FIND("【",_xlpm.A,FIND("】",_xlpm.A)+1)-1)&amp;MID(_xlpm.A,FIND("】",_xlpm.A,FIND("】",_xlpm.A)+1)+1,LEN(_xlpm.A)),_xlpm.A))</f>
        <v/>
      </c>
      <c r="F267" s="18" t="str">
        <f>_xlfn.LET(_xlpm.A,IF(ISNUMBER(SEARCH("晒单",K267)),"【晒单】"&amp;MID(K267,SEARCH("晒单",K267)+LEN("晒单"),LEN(K267))&amp;"（需晒单后联系客服登记）",IF(ISNUMBER(SEARCH("包修",K267)),"【购机】"&amp;MID(K267,SEARCH("购机",K267)+LEN("购机"),LEN(K267)),IF(ISNUMBER(SEARCH("叠放支架",K267)),"【赠品】"&amp;MID(K267,SEARCH("购机",K267)+LEN("购机"),LEN(K267)),IF(ISNUMBER(SEARCH("秀图",K267)),"【秀图】"&amp;MID(K267,SEARCH("秀图",K267)+LEN("秀图"),LEN(K267)),"")))),IFERROR(LEFT(_xlpm.A,FIND("【",_xlpm.A,FIND("】",_xlpm.A)+1)-1)&amp;MID(_xlpm.A,FIND("】",_xlpm.A,FIND("】",_xlpm.A)+1)+1,LEN(_xlpm.A)),_xlpm.A))</f>
        <v/>
      </c>
      <c r="G267" s="18" t="str">
        <f>_xlfn.LET(_xlpm.A,IF(ISNUMBER(SEARCH("晒单",L267)),"【晒单】"&amp;MID(L267,SEARCH("晒单",L267)+LEN("晒单"),LEN(L267))&amp;"（需晒单后联系客服登记）",IF(ISNUMBER(SEARCH("包修",L267)),"【购机】"&amp;MID(L267,SEARCH("购机",L267)+LEN("购机"),LEN(L267)),IF(ISNUMBER(SEARCH("叠放支架",L267)),"【赠品】"&amp;MID(L267,SEARCH("购机",L267)+LEN("购机"),LEN(L267)),IF(ISNUMBER(SEARCH("秀图",L267)),"【秀图】"&amp;MID(L267,SEARCH("秀图",L267)+LEN("秀图"),LEN(L267)),"")))),IFERROR(LEFT(_xlpm.A,FIND("【",_xlpm.A,FIND("】",_xlpm.A)+1)-1)&amp;MID(_xlpm.A,FIND("】",_xlpm.A,FIND("】",_xlpm.A)+1)+1,LEN(_xlpm.A)),_xlpm.A))</f>
        <v/>
      </c>
      <c r="H267" s="18" t="str">
        <f>_xlfn.LET(_xlpm.A,IF(ISNUMBER(SEARCH("晒单",M267)),"【晒单】"&amp;MID(M267,SEARCH("晒单",M267)+LEN("晒单"),LEN(M267))&amp;"（需晒单后联系客服登记）",IF(ISNUMBER(SEARCH("包修",M267)),"【购机】"&amp;MID(M267,SEARCH("购机",M267)+LEN("购机"),LEN(M267)),IF(ISNUMBER(SEARCH("叠放支架",M267)),"【赠品】"&amp;MID(M267,SEARCH("购机",M267)+LEN("购机"),LEN(M267)),IF(ISNUMBER(SEARCH("秀图",M267)),"【秀图】"&amp;MID(M267,SEARCH("秀图",M267)+LEN("秀图"),LEN(M267)),"")))),IFERROR(LEFT(_xlpm.A,FIND("【",_xlpm.A,FIND("】",_xlpm.A)+1)-1)&amp;MID(_xlpm.A,FIND("】",_xlpm.A,FIND("】",_xlpm.A)+1)+1,LEN(_xlpm.A)),_xlpm.A))</f>
        <v/>
      </c>
      <c r="I267" s="18" t="str">
        <f>_xlfn.LET(_xlpm.A,IF(ISNUMBER(SEARCH("晒单",N267)),"【晒单】"&amp;MID(N267,SEARCH("晒单",N267)+LEN("晒单"),LEN(N267))&amp;"（需晒单后联系客服登记）",IF(ISNUMBER(SEARCH("包修",N267)),"【购机】"&amp;MID(N267,SEARCH("购机",N267)+LEN("购机"),LEN(N267)),IF(ISNUMBER(SEARCH("叠放支架",N267)),"【赠品】"&amp;MID(N267,SEARCH("购机",N267)+LEN("购机"),LEN(N267)),IF(ISNUMBER(SEARCH("秀图",N267)),"【秀图】"&amp;MID(N267,SEARCH("秀图",N267)+LEN("秀图"),LEN(N267)),"")))),IFERROR(LEFT(_xlpm.A,FIND("【",_xlpm.A,FIND("】",_xlpm.A)+1)-1)&amp;MID(_xlpm.A,FIND("】",_xlpm.A,FIND("】",_xlpm.A)+1)+1,LEN(_xlpm.A)),_xlpm.A))</f>
        <v/>
      </c>
      <c r="J267" s="18" t="str" cm="1">
        <f t="array" ref="J267">IFERROR(INDEX(_xlfn.TEXTSPLIT(_xlfn.XLOOKUP($A267&amp;$B267&amp;$C267,盘货信息!$A:$A&amp;盘货信息!$B:$B&amp;盘货信息!$C:$C,盘货信息!$S:$S),CHAR(10),,TRUE),1,COLUMN(A266)),"")</f>
        <v/>
      </c>
      <c r="K267" s="18" t="str" cm="1">
        <f t="array" ref="K267">IFERROR(INDEX(_xlfn.TEXTSPLIT(_xlfn.XLOOKUP($A267&amp;$B267&amp;$C267,盘货信息!$A:$A&amp;盘货信息!$B:$B&amp;盘货信息!$C:$C,盘货信息!$S:$S),CHAR(10),,TRUE),1,COLUMN(B266)),"")</f>
        <v/>
      </c>
      <c r="L267" s="18" t="str" cm="1">
        <f t="array" ref="L267">IFERROR(INDEX(_xlfn.TEXTSPLIT(_xlfn.XLOOKUP($A267&amp;$B267&amp;$C267,盘货信息!$A:$A&amp;盘货信息!$B:$B&amp;盘货信息!$C:$C,盘货信息!$S:$S),CHAR(10),,TRUE),1,COLUMN(C266)),"")</f>
        <v/>
      </c>
      <c r="M267" s="18" t="str" cm="1">
        <f t="array" ref="M267">IFERROR(INDEX(_xlfn.TEXTSPLIT(_xlfn.XLOOKUP($A267&amp;$B267&amp;$C267,盘货信息!$A:$A&amp;盘货信息!$B:$B&amp;盘货信息!$C:$C,盘货信息!$S:$S),CHAR(10),,TRUE),1,COLUMN(D266)),"")</f>
        <v/>
      </c>
      <c r="N267" s="18" t="str" cm="1">
        <f t="array" ref="N267">IFERROR(INDEX(_xlfn.TEXTSPLIT(_xlfn.XLOOKUP($A267&amp;$B267&amp;$C267,盘货信息!$A:$A&amp;盘货信息!$B:$B&amp;盘货信息!$C:$C,盘货信息!$S:$S),CHAR(10),,TRUE),1,COLUMN(E266)),"")</f>
        <v/>
      </c>
    </row>
    <row r="268" customHeight="1" spans="1:14">
      <c r="A268" s="17" t="str">
        <f>IF(盘货信息!A268="","",盘货信息!A268)</f>
        <v/>
      </c>
      <c r="B268" s="17" t="str">
        <f>IF(盘货信息!B268="","",盘货信息!B268)</f>
        <v/>
      </c>
      <c r="C268" s="18" t="str">
        <f>IF(盘货信息!C268="","",盘货信息!C268)</f>
        <v/>
      </c>
      <c r="D268" s="18" t="str">
        <f t="shared" si="4"/>
        <v/>
      </c>
      <c r="E268" s="18" t="str">
        <f>_xlfn.LET(_xlpm.A,IF(ISNUMBER(SEARCH("晒单",J268)),"【晒单】"&amp;MID(J268,SEARCH("晒单",J268)+LEN("晒单"),LEN(J268))&amp;"（需晒单后联系客服登记）",IF(ISNUMBER(SEARCH("包修",J268)),"【购机】"&amp;MID(J268,SEARCH("购机",J268)+LEN("购机"),LEN(J268)),IF(ISNUMBER(SEARCH("叠放支架",J268)),"【赠品】"&amp;MID(J268,SEARCH("购机",J268)+LEN("购机"),LEN(J268)),IF(ISNUMBER(SEARCH("秀图",J268)),"【秀图】"&amp;MID(J268,SEARCH("秀图",J268)+LEN("秀图"),LEN(J268)),"")))),IFERROR(LEFT(_xlpm.A,FIND("【",_xlpm.A,FIND("】",_xlpm.A)+1)-1)&amp;MID(_xlpm.A,FIND("】",_xlpm.A,FIND("】",_xlpm.A)+1)+1,LEN(_xlpm.A)),_xlpm.A))</f>
        <v/>
      </c>
      <c r="F268" s="18" t="str">
        <f>_xlfn.LET(_xlpm.A,IF(ISNUMBER(SEARCH("晒单",K268)),"【晒单】"&amp;MID(K268,SEARCH("晒单",K268)+LEN("晒单"),LEN(K268))&amp;"（需晒单后联系客服登记）",IF(ISNUMBER(SEARCH("包修",K268)),"【购机】"&amp;MID(K268,SEARCH("购机",K268)+LEN("购机"),LEN(K268)),IF(ISNUMBER(SEARCH("叠放支架",K268)),"【赠品】"&amp;MID(K268,SEARCH("购机",K268)+LEN("购机"),LEN(K268)),IF(ISNUMBER(SEARCH("秀图",K268)),"【秀图】"&amp;MID(K268,SEARCH("秀图",K268)+LEN("秀图"),LEN(K268)),"")))),IFERROR(LEFT(_xlpm.A,FIND("【",_xlpm.A,FIND("】",_xlpm.A)+1)-1)&amp;MID(_xlpm.A,FIND("】",_xlpm.A,FIND("】",_xlpm.A)+1)+1,LEN(_xlpm.A)),_xlpm.A))</f>
        <v/>
      </c>
      <c r="G268" s="18" t="str">
        <f>_xlfn.LET(_xlpm.A,IF(ISNUMBER(SEARCH("晒单",L268)),"【晒单】"&amp;MID(L268,SEARCH("晒单",L268)+LEN("晒单"),LEN(L268))&amp;"（需晒单后联系客服登记）",IF(ISNUMBER(SEARCH("包修",L268)),"【购机】"&amp;MID(L268,SEARCH("购机",L268)+LEN("购机"),LEN(L268)),IF(ISNUMBER(SEARCH("叠放支架",L268)),"【赠品】"&amp;MID(L268,SEARCH("购机",L268)+LEN("购机"),LEN(L268)),IF(ISNUMBER(SEARCH("秀图",L268)),"【秀图】"&amp;MID(L268,SEARCH("秀图",L268)+LEN("秀图"),LEN(L268)),"")))),IFERROR(LEFT(_xlpm.A,FIND("【",_xlpm.A,FIND("】",_xlpm.A)+1)-1)&amp;MID(_xlpm.A,FIND("】",_xlpm.A,FIND("】",_xlpm.A)+1)+1,LEN(_xlpm.A)),_xlpm.A))</f>
        <v/>
      </c>
      <c r="H268" s="18" t="str">
        <f>_xlfn.LET(_xlpm.A,IF(ISNUMBER(SEARCH("晒单",M268)),"【晒单】"&amp;MID(M268,SEARCH("晒单",M268)+LEN("晒单"),LEN(M268))&amp;"（需晒单后联系客服登记）",IF(ISNUMBER(SEARCH("包修",M268)),"【购机】"&amp;MID(M268,SEARCH("购机",M268)+LEN("购机"),LEN(M268)),IF(ISNUMBER(SEARCH("叠放支架",M268)),"【赠品】"&amp;MID(M268,SEARCH("购机",M268)+LEN("购机"),LEN(M268)),IF(ISNUMBER(SEARCH("秀图",M268)),"【秀图】"&amp;MID(M268,SEARCH("秀图",M268)+LEN("秀图"),LEN(M268)),"")))),IFERROR(LEFT(_xlpm.A,FIND("【",_xlpm.A,FIND("】",_xlpm.A)+1)-1)&amp;MID(_xlpm.A,FIND("】",_xlpm.A,FIND("】",_xlpm.A)+1)+1,LEN(_xlpm.A)),_xlpm.A))</f>
        <v/>
      </c>
      <c r="I268" s="18" t="str">
        <f>_xlfn.LET(_xlpm.A,IF(ISNUMBER(SEARCH("晒单",N268)),"【晒单】"&amp;MID(N268,SEARCH("晒单",N268)+LEN("晒单"),LEN(N268))&amp;"（需晒单后联系客服登记）",IF(ISNUMBER(SEARCH("包修",N268)),"【购机】"&amp;MID(N268,SEARCH("购机",N268)+LEN("购机"),LEN(N268)),IF(ISNUMBER(SEARCH("叠放支架",N268)),"【赠品】"&amp;MID(N268,SEARCH("购机",N268)+LEN("购机"),LEN(N268)),IF(ISNUMBER(SEARCH("秀图",N268)),"【秀图】"&amp;MID(N268,SEARCH("秀图",N268)+LEN("秀图"),LEN(N268)),"")))),IFERROR(LEFT(_xlpm.A,FIND("【",_xlpm.A,FIND("】",_xlpm.A)+1)-1)&amp;MID(_xlpm.A,FIND("】",_xlpm.A,FIND("】",_xlpm.A)+1)+1,LEN(_xlpm.A)),_xlpm.A))</f>
        <v/>
      </c>
      <c r="J268" s="18" t="str" cm="1">
        <f t="array" ref="J268">IFERROR(INDEX(_xlfn.TEXTSPLIT(_xlfn.XLOOKUP($A268&amp;$B268&amp;$C268,盘货信息!$A:$A&amp;盘货信息!$B:$B&amp;盘货信息!$C:$C,盘货信息!$S:$S),CHAR(10),,TRUE),1,COLUMN(A267)),"")</f>
        <v/>
      </c>
      <c r="K268" s="18" t="str" cm="1">
        <f t="array" ref="K268">IFERROR(INDEX(_xlfn.TEXTSPLIT(_xlfn.XLOOKUP($A268&amp;$B268&amp;$C268,盘货信息!$A:$A&amp;盘货信息!$B:$B&amp;盘货信息!$C:$C,盘货信息!$S:$S),CHAR(10),,TRUE),1,COLUMN(B267)),"")</f>
        <v/>
      </c>
      <c r="L268" s="18" t="str" cm="1">
        <f t="array" ref="L268">IFERROR(INDEX(_xlfn.TEXTSPLIT(_xlfn.XLOOKUP($A268&amp;$B268&amp;$C268,盘货信息!$A:$A&amp;盘货信息!$B:$B&amp;盘货信息!$C:$C,盘货信息!$S:$S),CHAR(10),,TRUE),1,COLUMN(C267)),"")</f>
        <v/>
      </c>
      <c r="M268" s="18" t="str" cm="1">
        <f t="array" ref="M268">IFERROR(INDEX(_xlfn.TEXTSPLIT(_xlfn.XLOOKUP($A268&amp;$B268&amp;$C268,盘货信息!$A:$A&amp;盘货信息!$B:$B&amp;盘货信息!$C:$C,盘货信息!$S:$S),CHAR(10),,TRUE),1,COLUMN(D267)),"")</f>
        <v/>
      </c>
      <c r="N268" s="18" t="str" cm="1">
        <f t="array" ref="N268">IFERROR(INDEX(_xlfn.TEXTSPLIT(_xlfn.XLOOKUP($A268&amp;$B268&amp;$C268,盘货信息!$A:$A&amp;盘货信息!$B:$B&amp;盘货信息!$C:$C,盘货信息!$S:$S),CHAR(10),,TRUE),1,COLUMN(E267)),"")</f>
        <v/>
      </c>
    </row>
    <row r="269" customHeight="1" spans="1:14">
      <c r="A269" s="17" t="str">
        <f>IF(盘货信息!A269="","",盘货信息!A269)</f>
        <v/>
      </c>
      <c r="B269" s="17" t="str">
        <f>IF(盘货信息!B269="","",盘货信息!B269)</f>
        <v/>
      </c>
      <c r="C269" s="18" t="str">
        <f>IF(盘货信息!C269="","",盘货信息!C269)</f>
        <v/>
      </c>
      <c r="D269" s="18" t="str">
        <f t="shared" si="4"/>
        <v/>
      </c>
      <c r="E269" s="18" t="str">
        <f>_xlfn.LET(_xlpm.A,IF(ISNUMBER(SEARCH("晒单",J269)),"【晒单】"&amp;MID(J269,SEARCH("晒单",J269)+LEN("晒单"),LEN(J269))&amp;"（需晒单后联系客服登记）",IF(ISNUMBER(SEARCH("包修",J269)),"【购机】"&amp;MID(J269,SEARCH("购机",J269)+LEN("购机"),LEN(J269)),IF(ISNUMBER(SEARCH("叠放支架",J269)),"【赠品】"&amp;MID(J269,SEARCH("购机",J269)+LEN("购机"),LEN(J269)),IF(ISNUMBER(SEARCH("秀图",J269)),"【秀图】"&amp;MID(J269,SEARCH("秀图",J269)+LEN("秀图"),LEN(J269)),"")))),IFERROR(LEFT(_xlpm.A,FIND("【",_xlpm.A,FIND("】",_xlpm.A)+1)-1)&amp;MID(_xlpm.A,FIND("】",_xlpm.A,FIND("】",_xlpm.A)+1)+1,LEN(_xlpm.A)),_xlpm.A))</f>
        <v/>
      </c>
      <c r="F269" s="18" t="str">
        <f>_xlfn.LET(_xlpm.A,IF(ISNUMBER(SEARCH("晒单",K269)),"【晒单】"&amp;MID(K269,SEARCH("晒单",K269)+LEN("晒单"),LEN(K269))&amp;"（需晒单后联系客服登记）",IF(ISNUMBER(SEARCH("包修",K269)),"【购机】"&amp;MID(K269,SEARCH("购机",K269)+LEN("购机"),LEN(K269)),IF(ISNUMBER(SEARCH("叠放支架",K269)),"【赠品】"&amp;MID(K269,SEARCH("购机",K269)+LEN("购机"),LEN(K269)),IF(ISNUMBER(SEARCH("秀图",K269)),"【秀图】"&amp;MID(K269,SEARCH("秀图",K269)+LEN("秀图"),LEN(K269)),"")))),IFERROR(LEFT(_xlpm.A,FIND("【",_xlpm.A,FIND("】",_xlpm.A)+1)-1)&amp;MID(_xlpm.A,FIND("】",_xlpm.A,FIND("】",_xlpm.A)+1)+1,LEN(_xlpm.A)),_xlpm.A))</f>
        <v/>
      </c>
      <c r="G269" s="18" t="str">
        <f>_xlfn.LET(_xlpm.A,IF(ISNUMBER(SEARCH("晒单",L269)),"【晒单】"&amp;MID(L269,SEARCH("晒单",L269)+LEN("晒单"),LEN(L269))&amp;"（需晒单后联系客服登记）",IF(ISNUMBER(SEARCH("包修",L269)),"【购机】"&amp;MID(L269,SEARCH("购机",L269)+LEN("购机"),LEN(L269)),IF(ISNUMBER(SEARCH("叠放支架",L269)),"【赠品】"&amp;MID(L269,SEARCH("购机",L269)+LEN("购机"),LEN(L269)),IF(ISNUMBER(SEARCH("秀图",L269)),"【秀图】"&amp;MID(L269,SEARCH("秀图",L269)+LEN("秀图"),LEN(L269)),"")))),IFERROR(LEFT(_xlpm.A,FIND("【",_xlpm.A,FIND("】",_xlpm.A)+1)-1)&amp;MID(_xlpm.A,FIND("】",_xlpm.A,FIND("】",_xlpm.A)+1)+1,LEN(_xlpm.A)),_xlpm.A))</f>
        <v/>
      </c>
      <c r="H269" s="18" t="str">
        <f>_xlfn.LET(_xlpm.A,IF(ISNUMBER(SEARCH("晒单",M269)),"【晒单】"&amp;MID(M269,SEARCH("晒单",M269)+LEN("晒单"),LEN(M269))&amp;"（需晒单后联系客服登记）",IF(ISNUMBER(SEARCH("包修",M269)),"【购机】"&amp;MID(M269,SEARCH("购机",M269)+LEN("购机"),LEN(M269)),IF(ISNUMBER(SEARCH("叠放支架",M269)),"【赠品】"&amp;MID(M269,SEARCH("购机",M269)+LEN("购机"),LEN(M269)),IF(ISNUMBER(SEARCH("秀图",M269)),"【秀图】"&amp;MID(M269,SEARCH("秀图",M269)+LEN("秀图"),LEN(M269)),"")))),IFERROR(LEFT(_xlpm.A,FIND("【",_xlpm.A,FIND("】",_xlpm.A)+1)-1)&amp;MID(_xlpm.A,FIND("】",_xlpm.A,FIND("】",_xlpm.A)+1)+1,LEN(_xlpm.A)),_xlpm.A))</f>
        <v/>
      </c>
      <c r="I269" s="18" t="str">
        <f>_xlfn.LET(_xlpm.A,IF(ISNUMBER(SEARCH("晒单",N269)),"【晒单】"&amp;MID(N269,SEARCH("晒单",N269)+LEN("晒单"),LEN(N269))&amp;"（需晒单后联系客服登记）",IF(ISNUMBER(SEARCH("包修",N269)),"【购机】"&amp;MID(N269,SEARCH("购机",N269)+LEN("购机"),LEN(N269)),IF(ISNUMBER(SEARCH("叠放支架",N269)),"【赠品】"&amp;MID(N269,SEARCH("购机",N269)+LEN("购机"),LEN(N269)),IF(ISNUMBER(SEARCH("秀图",N269)),"【秀图】"&amp;MID(N269,SEARCH("秀图",N269)+LEN("秀图"),LEN(N269)),"")))),IFERROR(LEFT(_xlpm.A,FIND("【",_xlpm.A,FIND("】",_xlpm.A)+1)-1)&amp;MID(_xlpm.A,FIND("】",_xlpm.A,FIND("】",_xlpm.A)+1)+1,LEN(_xlpm.A)),_xlpm.A))</f>
        <v/>
      </c>
      <c r="J269" s="18" t="str" cm="1">
        <f t="array" ref="J269">IFERROR(INDEX(_xlfn.TEXTSPLIT(_xlfn.XLOOKUP($A269&amp;$B269&amp;$C269,盘货信息!$A:$A&amp;盘货信息!$B:$B&amp;盘货信息!$C:$C,盘货信息!$S:$S),CHAR(10),,TRUE),1,COLUMN(A268)),"")</f>
        <v/>
      </c>
      <c r="K269" s="18" t="str" cm="1">
        <f t="array" ref="K269">IFERROR(INDEX(_xlfn.TEXTSPLIT(_xlfn.XLOOKUP($A269&amp;$B269&amp;$C269,盘货信息!$A:$A&amp;盘货信息!$B:$B&amp;盘货信息!$C:$C,盘货信息!$S:$S),CHAR(10),,TRUE),1,COLUMN(B268)),"")</f>
        <v/>
      </c>
      <c r="L269" s="18" t="str" cm="1">
        <f t="array" ref="L269">IFERROR(INDEX(_xlfn.TEXTSPLIT(_xlfn.XLOOKUP($A269&amp;$B269&amp;$C269,盘货信息!$A:$A&amp;盘货信息!$B:$B&amp;盘货信息!$C:$C,盘货信息!$S:$S),CHAR(10),,TRUE),1,COLUMN(C268)),"")</f>
        <v/>
      </c>
      <c r="M269" s="18" t="str" cm="1">
        <f t="array" ref="M269">IFERROR(INDEX(_xlfn.TEXTSPLIT(_xlfn.XLOOKUP($A269&amp;$B269&amp;$C269,盘货信息!$A:$A&amp;盘货信息!$B:$B&amp;盘货信息!$C:$C,盘货信息!$S:$S),CHAR(10),,TRUE),1,COLUMN(D268)),"")</f>
        <v/>
      </c>
      <c r="N269" s="18" t="str" cm="1">
        <f t="array" ref="N269">IFERROR(INDEX(_xlfn.TEXTSPLIT(_xlfn.XLOOKUP($A269&amp;$B269&amp;$C269,盘货信息!$A:$A&amp;盘货信息!$B:$B&amp;盘货信息!$C:$C,盘货信息!$S:$S),CHAR(10),,TRUE),1,COLUMN(E268)),"")</f>
        <v/>
      </c>
    </row>
    <row r="270" customHeight="1" spans="1:14">
      <c r="A270" s="17" t="str">
        <f>IF(盘货信息!A270="","",盘货信息!A270)</f>
        <v/>
      </c>
      <c r="B270" s="17" t="str">
        <f>IF(盘货信息!B270="","",盘货信息!B270)</f>
        <v/>
      </c>
      <c r="C270" s="18" t="str">
        <f>IF(盘货信息!C270="","",盘货信息!C270)</f>
        <v/>
      </c>
      <c r="D270" s="18" t="str">
        <f t="shared" si="4"/>
        <v/>
      </c>
      <c r="E270" s="18" t="str">
        <f>_xlfn.LET(_xlpm.A,IF(ISNUMBER(SEARCH("晒单",J270)),"【晒单】"&amp;MID(J270,SEARCH("晒单",J270)+LEN("晒单"),LEN(J270))&amp;"（需晒单后联系客服登记）",IF(ISNUMBER(SEARCH("包修",J270)),"【购机】"&amp;MID(J270,SEARCH("购机",J270)+LEN("购机"),LEN(J270)),IF(ISNUMBER(SEARCH("叠放支架",J270)),"【赠品】"&amp;MID(J270,SEARCH("购机",J270)+LEN("购机"),LEN(J270)),IF(ISNUMBER(SEARCH("秀图",J270)),"【秀图】"&amp;MID(J270,SEARCH("秀图",J270)+LEN("秀图"),LEN(J270)),"")))),IFERROR(LEFT(_xlpm.A,FIND("【",_xlpm.A,FIND("】",_xlpm.A)+1)-1)&amp;MID(_xlpm.A,FIND("】",_xlpm.A,FIND("】",_xlpm.A)+1)+1,LEN(_xlpm.A)),_xlpm.A))</f>
        <v/>
      </c>
      <c r="F270" s="18" t="str">
        <f>_xlfn.LET(_xlpm.A,IF(ISNUMBER(SEARCH("晒单",K270)),"【晒单】"&amp;MID(K270,SEARCH("晒单",K270)+LEN("晒单"),LEN(K270))&amp;"（需晒单后联系客服登记）",IF(ISNUMBER(SEARCH("包修",K270)),"【购机】"&amp;MID(K270,SEARCH("购机",K270)+LEN("购机"),LEN(K270)),IF(ISNUMBER(SEARCH("叠放支架",K270)),"【赠品】"&amp;MID(K270,SEARCH("购机",K270)+LEN("购机"),LEN(K270)),IF(ISNUMBER(SEARCH("秀图",K270)),"【秀图】"&amp;MID(K270,SEARCH("秀图",K270)+LEN("秀图"),LEN(K270)),"")))),IFERROR(LEFT(_xlpm.A,FIND("【",_xlpm.A,FIND("】",_xlpm.A)+1)-1)&amp;MID(_xlpm.A,FIND("】",_xlpm.A,FIND("】",_xlpm.A)+1)+1,LEN(_xlpm.A)),_xlpm.A))</f>
        <v/>
      </c>
      <c r="G270" s="18" t="str">
        <f>_xlfn.LET(_xlpm.A,IF(ISNUMBER(SEARCH("晒单",L270)),"【晒单】"&amp;MID(L270,SEARCH("晒单",L270)+LEN("晒单"),LEN(L270))&amp;"（需晒单后联系客服登记）",IF(ISNUMBER(SEARCH("包修",L270)),"【购机】"&amp;MID(L270,SEARCH("购机",L270)+LEN("购机"),LEN(L270)),IF(ISNUMBER(SEARCH("叠放支架",L270)),"【赠品】"&amp;MID(L270,SEARCH("购机",L270)+LEN("购机"),LEN(L270)),IF(ISNUMBER(SEARCH("秀图",L270)),"【秀图】"&amp;MID(L270,SEARCH("秀图",L270)+LEN("秀图"),LEN(L270)),"")))),IFERROR(LEFT(_xlpm.A,FIND("【",_xlpm.A,FIND("】",_xlpm.A)+1)-1)&amp;MID(_xlpm.A,FIND("】",_xlpm.A,FIND("】",_xlpm.A)+1)+1,LEN(_xlpm.A)),_xlpm.A))</f>
        <v/>
      </c>
      <c r="H270" s="18" t="str">
        <f>_xlfn.LET(_xlpm.A,IF(ISNUMBER(SEARCH("晒单",M270)),"【晒单】"&amp;MID(M270,SEARCH("晒单",M270)+LEN("晒单"),LEN(M270))&amp;"（需晒单后联系客服登记）",IF(ISNUMBER(SEARCH("包修",M270)),"【购机】"&amp;MID(M270,SEARCH("购机",M270)+LEN("购机"),LEN(M270)),IF(ISNUMBER(SEARCH("叠放支架",M270)),"【赠品】"&amp;MID(M270,SEARCH("购机",M270)+LEN("购机"),LEN(M270)),IF(ISNUMBER(SEARCH("秀图",M270)),"【秀图】"&amp;MID(M270,SEARCH("秀图",M270)+LEN("秀图"),LEN(M270)),"")))),IFERROR(LEFT(_xlpm.A,FIND("【",_xlpm.A,FIND("】",_xlpm.A)+1)-1)&amp;MID(_xlpm.A,FIND("】",_xlpm.A,FIND("】",_xlpm.A)+1)+1,LEN(_xlpm.A)),_xlpm.A))</f>
        <v/>
      </c>
      <c r="I270" s="18" t="str">
        <f>_xlfn.LET(_xlpm.A,IF(ISNUMBER(SEARCH("晒单",N270)),"【晒单】"&amp;MID(N270,SEARCH("晒单",N270)+LEN("晒单"),LEN(N270))&amp;"（需晒单后联系客服登记）",IF(ISNUMBER(SEARCH("包修",N270)),"【购机】"&amp;MID(N270,SEARCH("购机",N270)+LEN("购机"),LEN(N270)),IF(ISNUMBER(SEARCH("叠放支架",N270)),"【赠品】"&amp;MID(N270,SEARCH("购机",N270)+LEN("购机"),LEN(N270)),IF(ISNUMBER(SEARCH("秀图",N270)),"【秀图】"&amp;MID(N270,SEARCH("秀图",N270)+LEN("秀图"),LEN(N270)),"")))),IFERROR(LEFT(_xlpm.A,FIND("【",_xlpm.A,FIND("】",_xlpm.A)+1)-1)&amp;MID(_xlpm.A,FIND("】",_xlpm.A,FIND("】",_xlpm.A)+1)+1,LEN(_xlpm.A)),_xlpm.A))</f>
        <v/>
      </c>
      <c r="J270" s="18" t="str" cm="1">
        <f t="array" ref="J270">IFERROR(INDEX(_xlfn.TEXTSPLIT(_xlfn.XLOOKUP($A270&amp;$B270&amp;$C270,盘货信息!$A:$A&amp;盘货信息!$B:$B&amp;盘货信息!$C:$C,盘货信息!$S:$S),CHAR(10),,TRUE),1,COLUMN(A269)),"")</f>
        <v/>
      </c>
      <c r="K270" s="18" t="str" cm="1">
        <f t="array" ref="K270">IFERROR(INDEX(_xlfn.TEXTSPLIT(_xlfn.XLOOKUP($A270&amp;$B270&amp;$C270,盘货信息!$A:$A&amp;盘货信息!$B:$B&amp;盘货信息!$C:$C,盘货信息!$S:$S),CHAR(10),,TRUE),1,COLUMN(B269)),"")</f>
        <v/>
      </c>
      <c r="L270" s="18" t="str" cm="1">
        <f t="array" ref="L270">IFERROR(INDEX(_xlfn.TEXTSPLIT(_xlfn.XLOOKUP($A270&amp;$B270&amp;$C270,盘货信息!$A:$A&amp;盘货信息!$B:$B&amp;盘货信息!$C:$C,盘货信息!$S:$S),CHAR(10),,TRUE),1,COLUMN(C269)),"")</f>
        <v/>
      </c>
      <c r="M270" s="18" t="str" cm="1">
        <f t="array" ref="M270">IFERROR(INDEX(_xlfn.TEXTSPLIT(_xlfn.XLOOKUP($A270&amp;$B270&amp;$C270,盘货信息!$A:$A&amp;盘货信息!$B:$B&amp;盘货信息!$C:$C,盘货信息!$S:$S),CHAR(10),,TRUE),1,COLUMN(D269)),"")</f>
        <v/>
      </c>
      <c r="N270" s="18" t="str" cm="1">
        <f t="array" ref="N270">IFERROR(INDEX(_xlfn.TEXTSPLIT(_xlfn.XLOOKUP($A270&amp;$B270&amp;$C270,盘货信息!$A:$A&amp;盘货信息!$B:$B&amp;盘货信息!$C:$C,盘货信息!$S:$S),CHAR(10),,TRUE),1,COLUMN(E269)),"")</f>
        <v/>
      </c>
    </row>
    <row r="271" customHeight="1" spans="1:14">
      <c r="A271" s="17" t="str">
        <f>IF(盘货信息!A271="","",盘货信息!A271)</f>
        <v/>
      </c>
      <c r="B271" s="17" t="str">
        <f>IF(盘货信息!B271="","",盘货信息!B271)</f>
        <v/>
      </c>
      <c r="C271" s="18" t="str">
        <f>IF(盘货信息!C271="","",盘货信息!C271)</f>
        <v/>
      </c>
      <c r="D271" s="18" t="str">
        <f t="shared" si="4"/>
        <v/>
      </c>
      <c r="E271" s="18" t="str">
        <f>_xlfn.LET(_xlpm.A,IF(ISNUMBER(SEARCH("晒单",J271)),"【晒单】"&amp;MID(J271,SEARCH("晒单",J271)+LEN("晒单"),LEN(J271))&amp;"（需晒单后联系客服登记）",IF(ISNUMBER(SEARCH("包修",J271)),"【购机】"&amp;MID(J271,SEARCH("购机",J271)+LEN("购机"),LEN(J271)),IF(ISNUMBER(SEARCH("叠放支架",J271)),"【赠品】"&amp;MID(J271,SEARCH("购机",J271)+LEN("购机"),LEN(J271)),IF(ISNUMBER(SEARCH("秀图",J271)),"【秀图】"&amp;MID(J271,SEARCH("秀图",J271)+LEN("秀图"),LEN(J271)),"")))),IFERROR(LEFT(_xlpm.A,FIND("【",_xlpm.A,FIND("】",_xlpm.A)+1)-1)&amp;MID(_xlpm.A,FIND("】",_xlpm.A,FIND("】",_xlpm.A)+1)+1,LEN(_xlpm.A)),_xlpm.A))</f>
        <v/>
      </c>
      <c r="F271" s="18" t="str">
        <f>_xlfn.LET(_xlpm.A,IF(ISNUMBER(SEARCH("晒单",K271)),"【晒单】"&amp;MID(K271,SEARCH("晒单",K271)+LEN("晒单"),LEN(K271))&amp;"（需晒单后联系客服登记）",IF(ISNUMBER(SEARCH("包修",K271)),"【购机】"&amp;MID(K271,SEARCH("购机",K271)+LEN("购机"),LEN(K271)),IF(ISNUMBER(SEARCH("叠放支架",K271)),"【赠品】"&amp;MID(K271,SEARCH("购机",K271)+LEN("购机"),LEN(K271)),IF(ISNUMBER(SEARCH("秀图",K271)),"【秀图】"&amp;MID(K271,SEARCH("秀图",K271)+LEN("秀图"),LEN(K271)),"")))),IFERROR(LEFT(_xlpm.A,FIND("【",_xlpm.A,FIND("】",_xlpm.A)+1)-1)&amp;MID(_xlpm.A,FIND("】",_xlpm.A,FIND("】",_xlpm.A)+1)+1,LEN(_xlpm.A)),_xlpm.A))</f>
        <v/>
      </c>
      <c r="G271" s="18" t="str">
        <f>_xlfn.LET(_xlpm.A,IF(ISNUMBER(SEARCH("晒单",L271)),"【晒单】"&amp;MID(L271,SEARCH("晒单",L271)+LEN("晒单"),LEN(L271))&amp;"（需晒单后联系客服登记）",IF(ISNUMBER(SEARCH("包修",L271)),"【购机】"&amp;MID(L271,SEARCH("购机",L271)+LEN("购机"),LEN(L271)),IF(ISNUMBER(SEARCH("叠放支架",L271)),"【赠品】"&amp;MID(L271,SEARCH("购机",L271)+LEN("购机"),LEN(L271)),IF(ISNUMBER(SEARCH("秀图",L271)),"【秀图】"&amp;MID(L271,SEARCH("秀图",L271)+LEN("秀图"),LEN(L271)),"")))),IFERROR(LEFT(_xlpm.A,FIND("【",_xlpm.A,FIND("】",_xlpm.A)+1)-1)&amp;MID(_xlpm.A,FIND("】",_xlpm.A,FIND("】",_xlpm.A)+1)+1,LEN(_xlpm.A)),_xlpm.A))</f>
        <v/>
      </c>
      <c r="H271" s="18" t="str">
        <f>_xlfn.LET(_xlpm.A,IF(ISNUMBER(SEARCH("晒单",M271)),"【晒单】"&amp;MID(M271,SEARCH("晒单",M271)+LEN("晒单"),LEN(M271))&amp;"（需晒单后联系客服登记）",IF(ISNUMBER(SEARCH("包修",M271)),"【购机】"&amp;MID(M271,SEARCH("购机",M271)+LEN("购机"),LEN(M271)),IF(ISNUMBER(SEARCH("叠放支架",M271)),"【赠品】"&amp;MID(M271,SEARCH("购机",M271)+LEN("购机"),LEN(M271)),IF(ISNUMBER(SEARCH("秀图",M271)),"【秀图】"&amp;MID(M271,SEARCH("秀图",M271)+LEN("秀图"),LEN(M271)),"")))),IFERROR(LEFT(_xlpm.A,FIND("【",_xlpm.A,FIND("】",_xlpm.A)+1)-1)&amp;MID(_xlpm.A,FIND("】",_xlpm.A,FIND("】",_xlpm.A)+1)+1,LEN(_xlpm.A)),_xlpm.A))</f>
        <v/>
      </c>
      <c r="I271" s="18" t="str">
        <f>_xlfn.LET(_xlpm.A,IF(ISNUMBER(SEARCH("晒单",N271)),"【晒单】"&amp;MID(N271,SEARCH("晒单",N271)+LEN("晒单"),LEN(N271))&amp;"（需晒单后联系客服登记）",IF(ISNUMBER(SEARCH("包修",N271)),"【购机】"&amp;MID(N271,SEARCH("购机",N271)+LEN("购机"),LEN(N271)),IF(ISNUMBER(SEARCH("叠放支架",N271)),"【赠品】"&amp;MID(N271,SEARCH("购机",N271)+LEN("购机"),LEN(N271)),IF(ISNUMBER(SEARCH("秀图",N271)),"【秀图】"&amp;MID(N271,SEARCH("秀图",N271)+LEN("秀图"),LEN(N271)),"")))),IFERROR(LEFT(_xlpm.A,FIND("【",_xlpm.A,FIND("】",_xlpm.A)+1)-1)&amp;MID(_xlpm.A,FIND("】",_xlpm.A,FIND("】",_xlpm.A)+1)+1,LEN(_xlpm.A)),_xlpm.A))</f>
        <v/>
      </c>
      <c r="J271" s="18" t="str" cm="1">
        <f t="array" ref="J271">IFERROR(INDEX(_xlfn.TEXTSPLIT(_xlfn.XLOOKUP($A271&amp;$B271&amp;$C271,盘货信息!$A:$A&amp;盘货信息!$B:$B&amp;盘货信息!$C:$C,盘货信息!$S:$S),CHAR(10),,TRUE),1,COLUMN(A270)),"")</f>
        <v/>
      </c>
      <c r="K271" s="18" t="str" cm="1">
        <f t="array" ref="K271">IFERROR(INDEX(_xlfn.TEXTSPLIT(_xlfn.XLOOKUP($A271&amp;$B271&amp;$C271,盘货信息!$A:$A&amp;盘货信息!$B:$B&amp;盘货信息!$C:$C,盘货信息!$S:$S),CHAR(10),,TRUE),1,COLUMN(B270)),"")</f>
        <v/>
      </c>
      <c r="L271" s="18" t="str" cm="1">
        <f t="array" ref="L271">IFERROR(INDEX(_xlfn.TEXTSPLIT(_xlfn.XLOOKUP($A271&amp;$B271&amp;$C271,盘货信息!$A:$A&amp;盘货信息!$B:$B&amp;盘货信息!$C:$C,盘货信息!$S:$S),CHAR(10),,TRUE),1,COLUMN(C270)),"")</f>
        <v/>
      </c>
      <c r="M271" s="18" t="str" cm="1">
        <f t="array" ref="M271">IFERROR(INDEX(_xlfn.TEXTSPLIT(_xlfn.XLOOKUP($A271&amp;$B271&amp;$C271,盘货信息!$A:$A&amp;盘货信息!$B:$B&amp;盘货信息!$C:$C,盘货信息!$S:$S),CHAR(10),,TRUE),1,COLUMN(D270)),"")</f>
        <v/>
      </c>
      <c r="N271" s="18" t="str" cm="1">
        <f t="array" ref="N271">IFERROR(INDEX(_xlfn.TEXTSPLIT(_xlfn.XLOOKUP($A271&amp;$B271&amp;$C271,盘货信息!$A:$A&amp;盘货信息!$B:$B&amp;盘货信息!$C:$C,盘货信息!$S:$S),CHAR(10),,TRUE),1,COLUMN(E270)),"")</f>
        <v/>
      </c>
    </row>
    <row r="272" customHeight="1" spans="1:14">
      <c r="A272" s="17" t="str">
        <f>IF(盘货信息!A272="","",盘货信息!A272)</f>
        <v/>
      </c>
      <c r="B272" s="17" t="str">
        <f>IF(盘货信息!B272="","",盘货信息!B272)</f>
        <v/>
      </c>
      <c r="C272" s="18" t="str">
        <f>IF(盘货信息!C272="","",盘货信息!C272)</f>
        <v/>
      </c>
      <c r="D272" s="18" t="str">
        <f t="shared" si="4"/>
        <v/>
      </c>
      <c r="E272" s="18" t="str">
        <f>_xlfn.LET(_xlpm.A,IF(ISNUMBER(SEARCH("晒单",J272)),"【晒单】"&amp;MID(J272,SEARCH("晒单",J272)+LEN("晒单"),LEN(J272))&amp;"（需晒单后联系客服登记）",IF(ISNUMBER(SEARCH("包修",J272)),"【购机】"&amp;MID(J272,SEARCH("购机",J272)+LEN("购机"),LEN(J272)),IF(ISNUMBER(SEARCH("叠放支架",J272)),"【赠品】"&amp;MID(J272,SEARCH("购机",J272)+LEN("购机"),LEN(J272)),IF(ISNUMBER(SEARCH("秀图",J272)),"【秀图】"&amp;MID(J272,SEARCH("秀图",J272)+LEN("秀图"),LEN(J272)),"")))),IFERROR(LEFT(_xlpm.A,FIND("【",_xlpm.A,FIND("】",_xlpm.A)+1)-1)&amp;MID(_xlpm.A,FIND("】",_xlpm.A,FIND("】",_xlpm.A)+1)+1,LEN(_xlpm.A)),_xlpm.A))</f>
        <v/>
      </c>
      <c r="F272" s="18" t="str">
        <f>_xlfn.LET(_xlpm.A,IF(ISNUMBER(SEARCH("晒单",K272)),"【晒单】"&amp;MID(K272,SEARCH("晒单",K272)+LEN("晒单"),LEN(K272))&amp;"（需晒单后联系客服登记）",IF(ISNUMBER(SEARCH("包修",K272)),"【购机】"&amp;MID(K272,SEARCH("购机",K272)+LEN("购机"),LEN(K272)),IF(ISNUMBER(SEARCH("叠放支架",K272)),"【赠品】"&amp;MID(K272,SEARCH("购机",K272)+LEN("购机"),LEN(K272)),IF(ISNUMBER(SEARCH("秀图",K272)),"【秀图】"&amp;MID(K272,SEARCH("秀图",K272)+LEN("秀图"),LEN(K272)),"")))),IFERROR(LEFT(_xlpm.A,FIND("【",_xlpm.A,FIND("】",_xlpm.A)+1)-1)&amp;MID(_xlpm.A,FIND("】",_xlpm.A,FIND("】",_xlpm.A)+1)+1,LEN(_xlpm.A)),_xlpm.A))</f>
        <v/>
      </c>
      <c r="G272" s="18" t="str">
        <f>_xlfn.LET(_xlpm.A,IF(ISNUMBER(SEARCH("晒单",L272)),"【晒单】"&amp;MID(L272,SEARCH("晒单",L272)+LEN("晒单"),LEN(L272))&amp;"（需晒单后联系客服登记）",IF(ISNUMBER(SEARCH("包修",L272)),"【购机】"&amp;MID(L272,SEARCH("购机",L272)+LEN("购机"),LEN(L272)),IF(ISNUMBER(SEARCH("叠放支架",L272)),"【赠品】"&amp;MID(L272,SEARCH("购机",L272)+LEN("购机"),LEN(L272)),IF(ISNUMBER(SEARCH("秀图",L272)),"【秀图】"&amp;MID(L272,SEARCH("秀图",L272)+LEN("秀图"),LEN(L272)),"")))),IFERROR(LEFT(_xlpm.A,FIND("【",_xlpm.A,FIND("】",_xlpm.A)+1)-1)&amp;MID(_xlpm.A,FIND("】",_xlpm.A,FIND("】",_xlpm.A)+1)+1,LEN(_xlpm.A)),_xlpm.A))</f>
        <v/>
      </c>
      <c r="H272" s="18" t="str">
        <f>_xlfn.LET(_xlpm.A,IF(ISNUMBER(SEARCH("晒单",M272)),"【晒单】"&amp;MID(M272,SEARCH("晒单",M272)+LEN("晒单"),LEN(M272))&amp;"（需晒单后联系客服登记）",IF(ISNUMBER(SEARCH("包修",M272)),"【购机】"&amp;MID(M272,SEARCH("购机",M272)+LEN("购机"),LEN(M272)),IF(ISNUMBER(SEARCH("叠放支架",M272)),"【赠品】"&amp;MID(M272,SEARCH("购机",M272)+LEN("购机"),LEN(M272)),IF(ISNUMBER(SEARCH("秀图",M272)),"【秀图】"&amp;MID(M272,SEARCH("秀图",M272)+LEN("秀图"),LEN(M272)),"")))),IFERROR(LEFT(_xlpm.A,FIND("【",_xlpm.A,FIND("】",_xlpm.A)+1)-1)&amp;MID(_xlpm.A,FIND("】",_xlpm.A,FIND("】",_xlpm.A)+1)+1,LEN(_xlpm.A)),_xlpm.A))</f>
        <v/>
      </c>
      <c r="I272" s="18" t="str">
        <f>_xlfn.LET(_xlpm.A,IF(ISNUMBER(SEARCH("晒单",N272)),"【晒单】"&amp;MID(N272,SEARCH("晒单",N272)+LEN("晒单"),LEN(N272))&amp;"（需晒单后联系客服登记）",IF(ISNUMBER(SEARCH("包修",N272)),"【购机】"&amp;MID(N272,SEARCH("购机",N272)+LEN("购机"),LEN(N272)),IF(ISNUMBER(SEARCH("叠放支架",N272)),"【赠品】"&amp;MID(N272,SEARCH("购机",N272)+LEN("购机"),LEN(N272)),IF(ISNUMBER(SEARCH("秀图",N272)),"【秀图】"&amp;MID(N272,SEARCH("秀图",N272)+LEN("秀图"),LEN(N272)),"")))),IFERROR(LEFT(_xlpm.A,FIND("【",_xlpm.A,FIND("】",_xlpm.A)+1)-1)&amp;MID(_xlpm.A,FIND("】",_xlpm.A,FIND("】",_xlpm.A)+1)+1,LEN(_xlpm.A)),_xlpm.A))</f>
        <v/>
      </c>
      <c r="J272" s="18" t="str" cm="1">
        <f t="array" ref="J272">IFERROR(INDEX(_xlfn.TEXTSPLIT(_xlfn.XLOOKUP($A272&amp;$B272&amp;$C272,盘货信息!$A:$A&amp;盘货信息!$B:$B&amp;盘货信息!$C:$C,盘货信息!$S:$S),CHAR(10),,TRUE),1,COLUMN(A271)),"")</f>
        <v/>
      </c>
      <c r="K272" s="18" t="str" cm="1">
        <f t="array" ref="K272">IFERROR(INDEX(_xlfn.TEXTSPLIT(_xlfn.XLOOKUP($A272&amp;$B272&amp;$C272,盘货信息!$A:$A&amp;盘货信息!$B:$B&amp;盘货信息!$C:$C,盘货信息!$S:$S),CHAR(10),,TRUE),1,COLUMN(B271)),"")</f>
        <v/>
      </c>
      <c r="L272" s="18" t="str" cm="1">
        <f t="array" ref="L272">IFERROR(INDEX(_xlfn.TEXTSPLIT(_xlfn.XLOOKUP($A272&amp;$B272&amp;$C272,盘货信息!$A:$A&amp;盘货信息!$B:$B&amp;盘货信息!$C:$C,盘货信息!$S:$S),CHAR(10),,TRUE),1,COLUMN(C271)),"")</f>
        <v/>
      </c>
      <c r="M272" s="18" t="str" cm="1">
        <f t="array" ref="M272">IFERROR(INDEX(_xlfn.TEXTSPLIT(_xlfn.XLOOKUP($A272&amp;$B272&amp;$C272,盘货信息!$A:$A&amp;盘货信息!$B:$B&amp;盘货信息!$C:$C,盘货信息!$S:$S),CHAR(10),,TRUE),1,COLUMN(D271)),"")</f>
        <v/>
      </c>
      <c r="N272" s="18" t="str" cm="1">
        <f t="array" ref="N272">IFERROR(INDEX(_xlfn.TEXTSPLIT(_xlfn.XLOOKUP($A272&amp;$B272&amp;$C272,盘货信息!$A:$A&amp;盘货信息!$B:$B&amp;盘货信息!$C:$C,盘货信息!$S:$S),CHAR(10),,TRUE),1,COLUMN(E271)),"")</f>
        <v/>
      </c>
    </row>
    <row r="273" customHeight="1" spans="1:14">
      <c r="A273" s="17" t="str">
        <f>IF(盘货信息!A273="","",盘货信息!A273)</f>
        <v/>
      </c>
      <c r="B273" s="17" t="str">
        <f>IF(盘货信息!B273="","",盘货信息!B273)</f>
        <v/>
      </c>
      <c r="C273" s="18" t="str">
        <f>IF(盘货信息!C273="","",盘货信息!C273)</f>
        <v/>
      </c>
      <c r="D273" s="18" t="str">
        <f t="shared" si="4"/>
        <v/>
      </c>
      <c r="E273" s="18" t="str">
        <f>_xlfn.LET(_xlpm.A,IF(ISNUMBER(SEARCH("晒单",J273)),"【晒单】"&amp;MID(J273,SEARCH("晒单",J273)+LEN("晒单"),LEN(J273))&amp;"（需晒单后联系客服登记）",IF(ISNUMBER(SEARCH("包修",J273)),"【购机】"&amp;MID(J273,SEARCH("购机",J273)+LEN("购机"),LEN(J273)),IF(ISNUMBER(SEARCH("叠放支架",J273)),"【赠品】"&amp;MID(J273,SEARCH("购机",J273)+LEN("购机"),LEN(J273)),IF(ISNUMBER(SEARCH("秀图",J273)),"【秀图】"&amp;MID(J273,SEARCH("秀图",J273)+LEN("秀图"),LEN(J273)),"")))),IFERROR(LEFT(_xlpm.A,FIND("【",_xlpm.A,FIND("】",_xlpm.A)+1)-1)&amp;MID(_xlpm.A,FIND("】",_xlpm.A,FIND("】",_xlpm.A)+1)+1,LEN(_xlpm.A)),_xlpm.A))</f>
        <v/>
      </c>
      <c r="F273" s="18" t="str">
        <f>_xlfn.LET(_xlpm.A,IF(ISNUMBER(SEARCH("晒单",K273)),"【晒单】"&amp;MID(K273,SEARCH("晒单",K273)+LEN("晒单"),LEN(K273))&amp;"（需晒单后联系客服登记）",IF(ISNUMBER(SEARCH("包修",K273)),"【购机】"&amp;MID(K273,SEARCH("购机",K273)+LEN("购机"),LEN(K273)),IF(ISNUMBER(SEARCH("叠放支架",K273)),"【赠品】"&amp;MID(K273,SEARCH("购机",K273)+LEN("购机"),LEN(K273)),IF(ISNUMBER(SEARCH("秀图",K273)),"【秀图】"&amp;MID(K273,SEARCH("秀图",K273)+LEN("秀图"),LEN(K273)),"")))),IFERROR(LEFT(_xlpm.A,FIND("【",_xlpm.A,FIND("】",_xlpm.A)+1)-1)&amp;MID(_xlpm.A,FIND("】",_xlpm.A,FIND("】",_xlpm.A)+1)+1,LEN(_xlpm.A)),_xlpm.A))</f>
        <v/>
      </c>
      <c r="G273" s="18" t="str">
        <f>_xlfn.LET(_xlpm.A,IF(ISNUMBER(SEARCH("晒单",L273)),"【晒单】"&amp;MID(L273,SEARCH("晒单",L273)+LEN("晒单"),LEN(L273))&amp;"（需晒单后联系客服登记）",IF(ISNUMBER(SEARCH("包修",L273)),"【购机】"&amp;MID(L273,SEARCH("购机",L273)+LEN("购机"),LEN(L273)),IF(ISNUMBER(SEARCH("叠放支架",L273)),"【赠品】"&amp;MID(L273,SEARCH("购机",L273)+LEN("购机"),LEN(L273)),IF(ISNUMBER(SEARCH("秀图",L273)),"【秀图】"&amp;MID(L273,SEARCH("秀图",L273)+LEN("秀图"),LEN(L273)),"")))),IFERROR(LEFT(_xlpm.A,FIND("【",_xlpm.A,FIND("】",_xlpm.A)+1)-1)&amp;MID(_xlpm.A,FIND("】",_xlpm.A,FIND("】",_xlpm.A)+1)+1,LEN(_xlpm.A)),_xlpm.A))</f>
        <v/>
      </c>
      <c r="H273" s="18" t="str">
        <f>_xlfn.LET(_xlpm.A,IF(ISNUMBER(SEARCH("晒单",M273)),"【晒单】"&amp;MID(M273,SEARCH("晒单",M273)+LEN("晒单"),LEN(M273))&amp;"（需晒单后联系客服登记）",IF(ISNUMBER(SEARCH("包修",M273)),"【购机】"&amp;MID(M273,SEARCH("购机",M273)+LEN("购机"),LEN(M273)),IF(ISNUMBER(SEARCH("叠放支架",M273)),"【赠品】"&amp;MID(M273,SEARCH("购机",M273)+LEN("购机"),LEN(M273)),IF(ISNUMBER(SEARCH("秀图",M273)),"【秀图】"&amp;MID(M273,SEARCH("秀图",M273)+LEN("秀图"),LEN(M273)),"")))),IFERROR(LEFT(_xlpm.A,FIND("【",_xlpm.A,FIND("】",_xlpm.A)+1)-1)&amp;MID(_xlpm.A,FIND("】",_xlpm.A,FIND("】",_xlpm.A)+1)+1,LEN(_xlpm.A)),_xlpm.A))</f>
        <v/>
      </c>
      <c r="I273" s="18" t="str">
        <f>_xlfn.LET(_xlpm.A,IF(ISNUMBER(SEARCH("晒单",N273)),"【晒单】"&amp;MID(N273,SEARCH("晒单",N273)+LEN("晒单"),LEN(N273))&amp;"（需晒单后联系客服登记）",IF(ISNUMBER(SEARCH("包修",N273)),"【购机】"&amp;MID(N273,SEARCH("购机",N273)+LEN("购机"),LEN(N273)),IF(ISNUMBER(SEARCH("叠放支架",N273)),"【赠品】"&amp;MID(N273,SEARCH("购机",N273)+LEN("购机"),LEN(N273)),IF(ISNUMBER(SEARCH("秀图",N273)),"【秀图】"&amp;MID(N273,SEARCH("秀图",N273)+LEN("秀图"),LEN(N273)),"")))),IFERROR(LEFT(_xlpm.A,FIND("【",_xlpm.A,FIND("】",_xlpm.A)+1)-1)&amp;MID(_xlpm.A,FIND("】",_xlpm.A,FIND("】",_xlpm.A)+1)+1,LEN(_xlpm.A)),_xlpm.A))</f>
        <v/>
      </c>
      <c r="J273" s="18" t="str" cm="1">
        <f t="array" ref="J273">IFERROR(INDEX(_xlfn.TEXTSPLIT(_xlfn.XLOOKUP($A273&amp;$B273&amp;$C273,盘货信息!$A:$A&amp;盘货信息!$B:$B&amp;盘货信息!$C:$C,盘货信息!$S:$S),CHAR(10),,TRUE),1,COLUMN(A272)),"")</f>
        <v/>
      </c>
      <c r="K273" s="18" t="str" cm="1">
        <f t="array" ref="K273">IFERROR(INDEX(_xlfn.TEXTSPLIT(_xlfn.XLOOKUP($A273&amp;$B273&amp;$C273,盘货信息!$A:$A&amp;盘货信息!$B:$B&amp;盘货信息!$C:$C,盘货信息!$S:$S),CHAR(10),,TRUE),1,COLUMN(B272)),"")</f>
        <v/>
      </c>
      <c r="L273" s="18" t="str" cm="1">
        <f t="array" ref="L273">IFERROR(INDEX(_xlfn.TEXTSPLIT(_xlfn.XLOOKUP($A273&amp;$B273&amp;$C273,盘货信息!$A:$A&amp;盘货信息!$B:$B&amp;盘货信息!$C:$C,盘货信息!$S:$S),CHAR(10),,TRUE),1,COLUMN(C272)),"")</f>
        <v/>
      </c>
      <c r="M273" s="18" t="str" cm="1">
        <f t="array" ref="M273">IFERROR(INDEX(_xlfn.TEXTSPLIT(_xlfn.XLOOKUP($A273&amp;$B273&amp;$C273,盘货信息!$A:$A&amp;盘货信息!$B:$B&amp;盘货信息!$C:$C,盘货信息!$S:$S),CHAR(10),,TRUE),1,COLUMN(D272)),"")</f>
        <v/>
      </c>
      <c r="N273" s="18" t="str" cm="1">
        <f t="array" ref="N273">IFERROR(INDEX(_xlfn.TEXTSPLIT(_xlfn.XLOOKUP($A273&amp;$B273&amp;$C273,盘货信息!$A:$A&amp;盘货信息!$B:$B&amp;盘货信息!$C:$C,盘货信息!$S:$S),CHAR(10),,TRUE),1,COLUMN(E272)),"")</f>
        <v/>
      </c>
    </row>
    <row r="274" customHeight="1" spans="1:14">
      <c r="A274" s="17" t="str">
        <f>IF(盘货信息!A274="","",盘货信息!A274)</f>
        <v/>
      </c>
      <c r="B274" s="17" t="str">
        <f>IF(盘货信息!B274="","",盘货信息!B274)</f>
        <v/>
      </c>
      <c r="C274" s="18" t="str">
        <f>IF(盘货信息!C274="","",盘货信息!C274)</f>
        <v/>
      </c>
      <c r="D274" s="18" t="str">
        <f t="shared" si="4"/>
        <v/>
      </c>
      <c r="E274" s="18" t="str">
        <f>_xlfn.LET(_xlpm.A,IF(ISNUMBER(SEARCH("晒单",J274)),"【晒单】"&amp;MID(J274,SEARCH("晒单",J274)+LEN("晒单"),LEN(J274))&amp;"（需晒单后联系客服登记）",IF(ISNUMBER(SEARCH("包修",J274)),"【购机】"&amp;MID(J274,SEARCH("购机",J274)+LEN("购机"),LEN(J274)),IF(ISNUMBER(SEARCH("叠放支架",J274)),"【赠品】"&amp;MID(J274,SEARCH("购机",J274)+LEN("购机"),LEN(J274)),IF(ISNUMBER(SEARCH("秀图",J274)),"【秀图】"&amp;MID(J274,SEARCH("秀图",J274)+LEN("秀图"),LEN(J274)),"")))),IFERROR(LEFT(_xlpm.A,FIND("【",_xlpm.A,FIND("】",_xlpm.A)+1)-1)&amp;MID(_xlpm.A,FIND("】",_xlpm.A,FIND("】",_xlpm.A)+1)+1,LEN(_xlpm.A)),_xlpm.A))</f>
        <v/>
      </c>
      <c r="F274" s="18" t="str">
        <f>_xlfn.LET(_xlpm.A,IF(ISNUMBER(SEARCH("晒单",K274)),"【晒单】"&amp;MID(K274,SEARCH("晒单",K274)+LEN("晒单"),LEN(K274))&amp;"（需晒单后联系客服登记）",IF(ISNUMBER(SEARCH("包修",K274)),"【购机】"&amp;MID(K274,SEARCH("购机",K274)+LEN("购机"),LEN(K274)),IF(ISNUMBER(SEARCH("叠放支架",K274)),"【赠品】"&amp;MID(K274,SEARCH("购机",K274)+LEN("购机"),LEN(K274)),IF(ISNUMBER(SEARCH("秀图",K274)),"【秀图】"&amp;MID(K274,SEARCH("秀图",K274)+LEN("秀图"),LEN(K274)),"")))),IFERROR(LEFT(_xlpm.A,FIND("【",_xlpm.A,FIND("】",_xlpm.A)+1)-1)&amp;MID(_xlpm.A,FIND("】",_xlpm.A,FIND("】",_xlpm.A)+1)+1,LEN(_xlpm.A)),_xlpm.A))</f>
        <v/>
      </c>
      <c r="G274" s="18" t="str">
        <f>_xlfn.LET(_xlpm.A,IF(ISNUMBER(SEARCH("晒单",L274)),"【晒单】"&amp;MID(L274,SEARCH("晒单",L274)+LEN("晒单"),LEN(L274))&amp;"（需晒单后联系客服登记）",IF(ISNUMBER(SEARCH("包修",L274)),"【购机】"&amp;MID(L274,SEARCH("购机",L274)+LEN("购机"),LEN(L274)),IF(ISNUMBER(SEARCH("叠放支架",L274)),"【赠品】"&amp;MID(L274,SEARCH("购机",L274)+LEN("购机"),LEN(L274)),IF(ISNUMBER(SEARCH("秀图",L274)),"【秀图】"&amp;MID(L274,SEARCH("秀图",L274)+LEN("秀图"),LEN(L274)),"")))),IFERROR(LEFT(_xlpm.A,FIND("【",_xlpm.A,FIND("】",_xlpm.A)+1)-1)&amp;MID(_xlpm.A,FIND("】",_xlpm.A,FIND("】",_xlpm.A)+1)+1,LEN(_xlpm.A)),_xlpm.A))</f>
        <v/>
      </c>
      <c r="H274" s="18" t="str">
        <f>_xlfn.LET(_xlpm.A,IF(ISNUMBER(SEARCH("晒单",M274)),"【晒单】"&amp;MID(M274,SEARCH("晒单",M274)+LEN("晒单"),LEN(M274))&amp;"（需晒单后联系客服登记）",IF(ISNUMBER(SEARCH("包修",M274)),"【购机】"&amp;MID(M274,SEARCH("购机",M274)+LEN("购机"),LEN(M274)),IF(ISNUMBER(SEARCH("叠放支架",M274)),"【赠品】"&amp;MID(M274,SEARCH("购机",M274)+LEN("购机"),LEN(M274)),IF(ISNUMBER(SEARCH("秀图",M274)),"【秀图】"&amp;MID(M274,SEARCH("秀图",M274)+LEN("秀图"),LEN(M274)),"")))),IFERROR(LEFT(_xlpm.A,FIND("【",_xlpm.A,FIND("】",_xlpm.A)+1)-1)&amp;MID(_xlpm.A,FIND("】",_xlpm.A,FIND("】",_xlpm.A)+1)+1,LEN(_xlpm.A)),_xlpm.A))</f>
        <v/>
      </c>
      <c r="I274" s="18" t="str">
        <f>_xlfn.LET(_xlpm.A,IF(ISNUMBER(SEARCH("晒单",N274)),"【晒单】"&amp;MID(N274,SEARCH("晒单",N274)+LEN("晒单"),LEN(N274))&amp;"（需晒单后联系客服登记）",IF(ISNUMBER(SEARCH("包修",N274)),"【购机】"&amp;MID(N274,SEARCH("购机",N274)+LEN("购机"),LEN(N274)),IF(ISNUMBER(SEARCH("叠放支架",N274)),"【赠品】"&amp;MID(N274,SEARCH("购机",N274)+LEN("购机"),LEN(N274)),IF(ISNUMBER(SEARCH("秀图",N274)),"【秀图】"&amp;MID(N274,SEARCH("秀图",N274)+LEN("秀图"),LEN(N274)),"")))),IFERROR(LEFT(_xlpm.A,FIND("【",_xlpm.A,FIND("】",_xlpm.A)+1)-1)&amp;MID(_xlpm.A,FIND("】",_xlpm.A,FIND("】",_xlpm.A)+1)+1,LEN(_xlpm.A)),_xlpm.A))</f>
        <v/>
      </c>
      <c r="J274" s="18" t="str" cm="1">
        <f t="array" ref="J274">IFERROR(INDEX(_xlfn.TEXTSPLIT(_xlfn.XLOOKUP($A274&amp;$B274&amp;$C274,盘货信息!$A:$A&amp;盘货信息!$B:$B&amp;盘货信息!$C:$C,盘货信息!$S:$S),CHAR(10),,TRUE),1,COLUMN(A273)),"")</f>
        <v/>
      </c>
      <c r="K274" s="18" t="str" cm="1">
        <f t="array" ref="K274">IFERROR(INDEX(_xlfn.TEXTSPLIT(_xlfn.XLOOKUP($A274&amp;$B274&amp;$C274,盘货信息!$A:$A&amp;盘货信息!$B:$B&amp;盘货信息!$C:$C,盘货信息!$S:$S),CHAR(10),,TRUE),1,COLUMN(B273)),"")</f>
        <v/>
      </c>
      <c r="L274" s="18" t="str" cm="1">
        <f t="array" ref="L274">IFERROR(INDEX(_xlfn.TEXTSPLIT(_xlfn.XLOOKUP($A274&amp;$B274&amp;$C274,盘货信息!$A:$A&amp;盘货信息!$B:$B&amp;盘货信息!$C:$C,盘货信息!$S:$S),CHAR(10),,TRUE),1,COLUMN(C273)),"")</f>
        <v/>
      </c>
      <c r="M274" s="18" t="str" cm="1">
        <f t="array" ref="M274">IFERROR(INDEX(_xlfn.TEXTSPLIT(_xlfn.XLOOKUP($A274&amp;$B274&amp;$C274,盘货信息!$A:$A&amp;盘货信息!$B:$B&amp;盘货信息!$C:$C,盘货信息!$S:$S),CHAR(10),,TRUE),1,COLUMN(D273)),"")</f>
        <v/>
      </c>
      <c r="N274" s="18" t="str" cm="1">
        <f t="array" ref="N274">IFERROR(INDEX(_xlfn.TEXTSPLIT(_xlfn.XLOOKUP($A274&amp;$B274&amp;$C274,盘货信息!$A:$A&amp;盘货信息!$B:$B&amp;盘货信息!$C:$C,盘货信息!$S:$S),CHAR(10),,TRUE),1,COLUMN(E273)),"")</f>
        <v/>
      </c>
    </row>
    <row r="275" customHeight="1" spans="1:14">
      <c r="A275" s="17" t="str">
        <f>IF(盘货信息!A275="","",盘货信息!A275)</f>
        <v/>
      </c>
      <c r="B275" s="17" t="str">
        <f>IF(盘货信息!B275="","",盘货信息!B275)</f>
        <v/>
      </c>
      <c r="C275" s="18" t="str">
        <f>IF(盘货信息!C275="","",盘货信息!C275)</f>
        <v/>
      </c>
      <c r="D275" s="18" t="str">
        <f t="shared" si="4"/>
        <v/>
      </c>
      <c r="E275" s="18" t="str">
        <f>_xlfn.LET(_xlpm.A,IF(ISNUMBER(SEARCH("晒单",J275)),"【晒单】"&amp;MID(J275,SEARCH("晒单",J275)+LEN("晒单"),LEN(J275))&amp;"（需晒单后联系客服登记）",IF(ISNUMBER(SEARCH("包修",J275)),"【购机】"&amp;MID(J275,SEARCH("购机",J275)+LEN("购机"),LEN(J275)),IF(ISNUMBER(SEARCH("叠放支架",J275)),"【赠品】"&amp;MID(J275,SEARCH("购机",J275)+LEN("购机"),LEN(J275)),IF(ISNUMBER(SEARCH("秀图",J275)),"【秀图】"&amp;MID(J275,SEARCH("秀图",J275)+LEN("秀图"),LEN(J275)),"")))),IFERROR(LEFT(_xlpm.A,FIND("【",_xlpm.A,FIND("】",_xlpm.A)+1)-1)&amp;MID(_xlpm.A,FIND("】",_xlpm.A,FIND("】",_xlpm.A)+1)+1,LEN(_xlpm.A)),_xlpm.A))</f>
        <v/>
      </c>
      <c r="F275" s="18" t="str">
        <f>_xlfn.LET(_xlpm.A,IF(ISNUMBER(SEARCH("晒单",K275)),"【晒单】"&amp;MID(K275,SEARCH("晒单",K275)+LEN("晒单"),LEN(K275))&amp;"（需晒单后联系客服登记）",IF(ISNUMBER(SEARCH("包修",K275)),"【购机】"&amp;MID(K275,SEARCH("购机",K275)+LEN("购机"),LEN(K275)),IF(ISNUMBER(SEARCH("叠放支架",K275)),"【赠品】"&amp;MID(K275,SEARCH("购机",K275)+LEN("购机"),LEN(K275)),IF(ISNUMBER(SEARCH("秀图",K275)),"【秀图】"&amp;MID(K275,SEARCH("秀图",K275)+LEN("秀图"),LEN(K275)),"")))),IFERROR(LEFT(_xlpm.A,FIND("【",_xlpm.A,FIND("】",_xlpm.A)+1)-1)&amp;MID(_xlpm.A,FIND("】",_xlpm.A,FIND("】",_xlpm.A)+1)+1,LEN(_xlpm.A)),_xlpm.A))</f>
        <v/>
      </c>
      <c r="G275" s="18" t="str">
        <f>_xlfn.LET(_xlpm.A,IF(ISNUMBER(SEARCH("晒单",L275)),"【晒单】"&amp;MID(L275,SEARCH("晒单",L275)+LEN("晒单"),LEN(L275))&amp;"（需晒单后联系客服登记）",IF(ISNUMBER(SEARCH("包修",L275)),"【购机】"&amp;MID(L275,SEARCH("购机",L275)+LEN("购机"),LEN(L275)),IF(ISNUMBER(SEARCH("叠放支架",L275)),"【赠品】"&amp;MID(L275,SEARCH("购机",L275)+LEN("购机"),LEN(L275)),IF(ISNUMBER(SEARCH("秀图",L275)),"【秀图】"&amp;MID(L275,SEARCH("秀图",L275)+LEN("秀图"),LEN(L275)),"")))),IFERROR(LEFT(_xlpm.A,FIND("【",_xlpm.A,FIND("】",_xlpm.A)+1)-1)&amp;MID(_xlpm.A,FIND("】",_xlpm.A,FIND("】",_xlpm.A)+1)+1,LEN(_xlpm.A)),_xlpm.A))</f>
        <v/>
      </c>
      <c r="H275" s="18" t="str">
        <f>_xlfn.LET(_xlpm.A,IF(ISNUMBER(SEARCH("晒单",M275)),"【晒单】"&amp;MID(M275,SEARCH("晒单",M275)+LEN("晒单"),LEN(M275))&amp;"（需晒单后联系客服登记）",IF(ISNUMBER(SEARCH("包修",M275)),"【购机】"&amp;MID(M275,SEARCH("购机",M275)+LEN("购机"),LEN(M275)),IF(ISNUMBER(SEARCH("叠放支架",M275)),"【赠品】"&amp;MID(M275,SEARCH("购机",M275)+LEN("购机"),LEN(M275)),IF(ISNUMBER(SEARCH("秀图",M275)),"【秀图】"&amp;MID(M275,SEARCH("秀图",M275)+LEN("秀图"),LEN(M275)),"")))),IFERROR(LEFT(_xlpm.A,FIND("【",_xlpm.A,FIND("】",_xlpm.A)+1)-1)&amp;MID(_xlpm.A,FIND("】",_xlpm.A,FIND("】",_xlpm.A)+1)+1,LEN(_xlpm.A)),_xlpm.A))</f>
        <v/>
      </c>
      <c r="I275" s="18" t="str">
        <f>_xlfn.LET(_xlpm.A,IF(ISNUMBER(SEARCH("晒单",N275)),"【晒单】"&amp;MID(N275,SEARCH("晒单",N275)+LEN("晒单"),LEN(N275))&amp;"（需晒单后联系客服登记）",IF(ISNUMBER(SEARCH("包修",N275)),"【购机】"&amp;MID(N275,SEARCH("购机",N275)+LEN("购机"),LEN(N275)),IF(ISNUMBER(SEARCH("叠放支架",N275)),"【赠品】"&amp;MID(N275,SEARCH("购机",N275)+LEN("购机"),LEN(N275)),IF(ISNUMBER(SEARCH("秀图",N275)),"【秀图】"&amp;MID(N275,SEARCH("秀图",N275)+LEN("秀图"),LEN(N275)),"")))),IFERROR(LEFT(_xlpm.A,FIND("【",_xlpm.A,FIND("】",_xlpm.A)+1)-1)&amp;MID(_xlpm.A,FIND("】",_xlpm.A,FIND("】",_xlpm.A)+1)+1,LEN(_xlpm.A)),_xlpm.A))</f>
        <v/>
      </c>
      <c r="J275" s="18" t="str" cm="1">
        <f t="array" ref="J275">IFERROR(INDEX(_xlfn.TEXTSPLIT(_xlfn.XLOOKUP($A275&amp;$B275&amp;$C275,盘货信息!$A:$A&amp;盘货信息!$B:$B&amp;盘货信息!$C:$C,盘货信息!$S:$S),CHAR(10),,TRUE),1,COLUMN(A274)),"")</f>
        <v/>
      </c>
      <c r="K275" s="18" t="str" cm="1">
        <f t="array" ref="K275">IFERROR(INDEX(_xlfn.TEXTSPLIT(_xlfn.XLOOKUP($A275&amp;$B275&amp;$C275,盘货信息!$A:$A&amp;盘货信息!$B:$B&amp;盘货信息!$C:$C,盘货信息!$S:$S),CHAR(10),,TRUE),1,COLUMN(B274)),"")</f>
        <v/>
      </c>
      <c r="L275" s="18" t="str" cm="1">
        <f t="array" ref="L275">IFERROR(INDEX(_xlfn.TEXTSPLIT(_xlfn.XLOOKUP($A275&amp;$B275&amp;$C275,盘货信息!$A:$A&amp;盘货信息!$B:$B&amp;盘货信息!$C:$C,盘货信息!$S:$S),CHAR(10),,TRUE),1,COLUMN(C274)),"")</f>
        <v/>
      </c>
      <c r="M275" s="18" t="str" cm="1">
        <f t="array" ref="M275">IFERROR(INDEX(_xlfn.TEXTSPLIT(_xlfn.XLOOKUP($A275&amp;$B275&amp;$C275,盘货信息!$A:$A&amp;盘货信息!$B:$B&amp;盘货信息!$C:$C,盘货信息!$S:$S),CHAR(10),,TRUE),1,COLUMN(D274)),"")</f>
        <v/>
      </c>
      <c r="N275" s="18" t="str" cm="1">
        <f t="array" ref="N275">IFERROR(INDEX(_xlfn.TEXTSPLIT(_xlfn.XLOOKUP($A275&amp;$B275&amp;$C275,盘货信息!$A:$A&amp;盘货信息!$B:$B&amp;盘货信息!$C:$C,盘货信息!$S:$S),CHAR(10),,TRUE),1,COLUMN(E274)),"")</f>
        <v/>
      </c>
    </row>
    <row r="276" customHeight="1" spans="1:14">
      <c r="A276" s="17" t="str">
        <f>IF(盘货信息!A276="","",盘货信息!A276)</f>
        <v/>
      </c>
      <c r="B276" s="17" t="str">
        <f>IF(盘货信息!B276="","",盘货信息!B276)</f>
        <v/>
      </c>
      <c r="C276" s="18" t="str">
        <f>IF(盘货信息!C276="","",盘货信息!C276)</f>
        <v/>
      </c>
      <c r="D276" s="18" t="str">
        <f t="shared" si="4"/>
        <v/>
      </c>
      <c r="E276" s="18" t="str">
        <f>_xlfn.LET(_xlpm.A,IF(ISNUMBER(SEARCH("晒单",J276)),"【晒单】"&amp;MID(J276,SEARCH("晒单",J276)+LEN("晒单"),LEN(J276))&amp;"（需晒单后联系客服登记）",IF(ISNUMBER(SEARCH("包修",J276)),"【购机】"&amp;MID(J276,SEARCH("购机",J276)+LEN("购机"),LEN(J276)),IF(ISNUMBER(SEARCH("叠放支架",J276)),"【赠品】"&amp;MID(J276,SEARCH("购机",J276)+LEN("购机"),LEN(J276)),IF(ISNUMBER(SEARCH("秀图",J276)),"【秀图】"&amp;MID(J276,SEARCH("秀图",J276)+LEN("秀图"),LEN(J276)),"")))),IFERROR(LEFT(_xlpm.A,FIND("【",_xlpm.A,FIND("】",_xlpm.A)+1)-1)&amp;MID(_xlpm.A,FIND("】",_xlpm.A,FIND("】",_xlpm.A)+1)+1,LEN(_xlpm.A)),_xlpm.A))</f>
        <v/>
      </c>
      <c r="F276" s="18" t="str">
        <f>_xlfn.LET(_xlpm.A,IF(ISNUMBER(SEARCH("晒单",K276)),"【晒单】"&amp;MID(K276,SEARCH("晒单",K276)+LEN("晒单"),LEN(K276))&amp;"（需晒单后联系客服登记）",IF(ISNUMBER(SEARCH("包修",K276)),"【购机】"&amp;MID(K276,SEARCH("购机",K276)+LEN("购机"),LEN(K276)),IF(ISNUMBER(SEARCH("叠放支架",K276)),"【赠品】"&amp;MID(K276,SEARCH("购机",K276)+LEN("购机"),LEN(K276)),IF(ISNUMBER(SEARCH("秀图",K276)),"【秀图】"&amp;MID(K276,SEARCH("秀图",K276)+LEN("秀图"),LEN(K276)),"")))),IFERROR(LEFT(_xlpm.A,FIND("【",_xlpm.A,FIND("】",_xlpm.A)+1)-1)&amp;MID(_xlpm.A,FIND("】",_xlpm.A,FIND("】",_xlpm.A)+1)+1,LEN(_xlpm.A)),_xlpm.A))</f>
        <v/>
      </c>
      <c r="G276" s="18" t="str">
        <f>_xlfn.LET(_xlpm.A,IF(ISNUMBER(SEARCH("晒单",L276)),"【晒单】"&amp;MID(L276,SEARCH("晒单",L276)+LEN("晒单"),LEN(L276))&amp;"（需晒单后联系客服登记）",IF(ISNUMBER(SEARCH("包修",L276)),"【购机】"&amp;MID(L276,SEARCH("购机",L276)+LEN("购机"),LEN(L276)),IF(ISNUMBER(SEARCH("叠放支架",L276)),"【赠品】"&amp;MID(L276,SEARCH("购机",L276)+LEN("购机"),LEN(L276)),IF(ISNUMBER(SEARCH("秀图",L276)),"【秀图】"&amp;MID(L276,SEARCH("秀图",L276)+LEN("秀图"),LEN(L276)),"")))),IFERROR(LEFT(_xlpm.A,FIND("【",_xlpm.A,FIND("】",_xlpm.A)+1)-1)&amp;MID(_xlpm.A,FIND("】",_xlpm.A,FIND("】",_xlpm.A)+1)+1,LEN(_xlpm.A)),_xlpm.A))</f>
        <v/>
      </c>
      <c r="H276" s="18" t="str">
        <f>_xlfn.LET(_xlpm.A,IF(ISNUMBER(SEARCH("晒单",M276)),"【晒单】"&amp;MID(M276,SEARCH("晒单",M276)+LEN("晒单"),LEN(M276))&amp;"（需晒单后联系客服登记）",IF(ISNUMBER(SEARCH("包修",M276)),"【购机】"&amp;MID(M276,SEARCH("购机",M276)+LEN("购机"),LEN(M276)),IF(ISNUMBER(SEARCH("叠放支架",M276)),"【赠品】"&amp;MID(M276,SEARCH("购机",M276)+LEN("购机"),LEN(M276)),IF(ISNUMBER(SEARCH("秀图",M276)),"【秀图】"&amp;MID(M276,SEARCH("秀图",M276)+LEN("秀图"),LEN(M276)),"")))),IFERROR(LEFT(_xlpm.A,FIND("【",_xlpm.A,FIND("】",_xlpm.A)+1)-1)&amp;MID(_xlpm.A,FIND("】",_xlpm.A,FIND("】",_xlpm.A)+1)+1,LEN(_xlpm.A)),_xlpm.A))</f>
        <v/>
      </c>
      <c r="I276" s="18" t="str">
        <f>_xlfn.LET(_xlpm.A,IF(ISNUMBER(SEARCH("晒单",N276)),"【晒单】"&amp;MID(N276,SEARCH("晒单",N276)+LEN("晒单"),LEN(N276))&amp;"（需晒单后联系客服登记）",IF(ISNUMBER(SEARCH("包修",N276)),"【购机】"&amp;MID(N276,SEARCH("购机",N276)+LEN("购机"),LEN(N276)),IF(ISNUMBER(SEARCH("叠放支架",N276)),"【赠品】"&amp;MID(N276,SEARCH("购机",N276)+LEN("购机"),LEN(N276)),IF(ISNUMBER(SEARCH("秀图",N276)),"【秀图】"&amp;MID(N276,SEARCH("秀图",N276)+LEN("秀图"),LEN(N276)),"")))),IFERROR(LEFT(_xlpm.A,FIND("【",_xlpm.A,FIND("】",_xlpm.A)+1)-1)&amp;MID(_xlpm.A,FIND("】",_xlpm.A,FIND("】",_xlpm.A)+1)+1,LEN(_xlpm.A)),_xlpm.A))</f>
        <v/>
      </c>
      <c r="J276" s="18" t="str" cm="1">
        <f t="array" ref="J276">IFERROR(INDEX(_xlfn.TEXTSPLIT(_xlfn.XLOOKUP($A276&amp;$B276&amp;$C276,盘货信息!$A:$A&amp;盘货信息!$B:$B&amp;盘货信息!$C:$C,盘货信息!$S:$S),CHAR(10),,TRUE),1,COLUMN(A275)),"")</f>
        <v/>
      </c>
      <c r="K276" s="18" t="str" cm="1">
        <f t="array" ref="K276">IFERROR(INDEX(_xlfn.TEXTSPLIT(_xlfn.XLOOKUP($A276&amp;$B276&amp;$C276,盘货信息!$A:$A&amp;盘货信息!$B:$B&amp;盘货信息!$C:$C,盘货信息!$S:$S),CHAR(10),,TRUE),1,COLUMN(B275)),"")</f>
        <v/>
      </c>
      <c r="L276" s="18" t="str" cm="1">
        <f t="array" ref="L276">IFERROR(INDEX(_xlfn.TEXTSPLIT(_xlfn.XLOOKUP($A276&amp;$B276&amp;$C276,盘货信息!$A:$A&amp;盘货信息!$B:$B&amp;盘货信息!$C:$C,盘货信息!$S:$S),CHAR(10),,TRUE),1,COLUMN(C275)),"")</f>
        <v/>
      </c>
      <c r="M276" s="18" t="str" cm="1">
        <f t="array" ref="M276">IFERROR(INDEX(_xlfn.TEXTSPLIT(_xlfn.XLOOKUP($A276&amp;$B276&amp;$C276,盘货信息!$A:$A&amp;盘货信息!$B:$B&amp;盘货信息!$C:$C,盘货信息!$S:$S),CHAR(10),,TRUE),1,COLUMN(D275)),"")</f>
        <v/>
      </c>
      <c r="N276" s="18" t="str" cm="1">
        <f t="array" ref="N276">IFERROR(INDEX(_xlfn.TEXTSPLIT(_xlfn.XLOOKUP($A276&amp;$B276&amp;$C276,盘货信息!$A:$A&amp;盘货信息!$B:$B&amp;盘货信息!$C:$C,盘货信息!$S:$S),CHAR(10),,TRUE),1,COLUMN(E275)),"")</f>
        <v/>
      </c>
    </row>
    <row r="277" customHeight="1" spans="1:14">
      <c r="A277" s="17" t="str">
        <f>IF(盘货信息!A277="","",盘货信息!A277)</f>
        <v/>
      </c>
      <c r="B277" s="17" t="str">
        <f>IF(盘货信息!B277="","",盘货信息!B277)</f>
        <v/>
      </c>
      <c r="C277" s="18" t="str">
        <f>IF(盘货信息!C277="","",盘货信息!C277)</f>
        <v/>
      </c>
      <c r="D277" s="18" t="str">
        <f t="shared" si="4"/>
        <v/>
      </c>
      <c r="E277" s="18" t="str">
        <f>_xlfn.LET(_xlpm.A,IF(ISNUMBER(SEARCH("晒单",J277)),"【晒单】"&amp;MID(J277,SEARCH("晒单",J277)+LEN("晒单"),LEN(J277))&amp;"（需晒单后联系客服登记）",IF(ISNUMBER(SEARCH("包修",J277)),"【购机】"&amp;MID(J277,SEARCH("购机",J277)+LEN("购机"),LEN(J277)),IF(ISNUMBER(SEARCH("叠放支架",J277)),"【赠品】"&amp;MID(J277,SEARCH("购机",J277)+LEN("购机"),LEN(J277)),IF(ISNUMBER(SEARCH("秀图",J277)),"【秀图】"&amp;MID(J277,SEARCH("秀图",J277)+LEN("秀图"),LEN(J277)),"")))),IFERROR(LEFT(_xlpm.A,FIND("【",_xlpm.A,FIND("】",_xlpm.A)+1)-1)&amp;MID(_xlpm.A,FIND("】",_xlpm.A,FIND("】",_xlpm.A)+1)+1,LEN(_xlpm.A)),_xlpm.A))</f>
        <v/>
      </c>
      <c r="F277" s="18" t="str">
        <f>_xlfn.LET(_xlpm.A,IF(ISNUMBER(SEARCH("晒单",K277)),"【晒单】"&amp;MID(K277,SEARCH("晒单",K277)+LEN("晒单"),LEN(K277))&amp;"（需晒单后联系客服登记）",IF(ISNUMBER(SEARCH("包修",K277)),"【购机】"&amp;MID(K277,SEARCH("购机",K277)+LEN("购机"),LEN(K277)),IF(ISNUMBER(SEARCH("叠放支架",K277)),"【赠品】"&amp;MID(K277,SEARCH("购机",K277)+LEN("购机"),LEN(K277)),IF(ISNUMBER(SEARCH("秀图",K277)),"【秀图】"&amp;MID(K277,SEARCH("秀图",K277)+LEN("秀图"),LEN(K277)),"")))),IFERROR(LEFT(_xlpm.A,FIND("【",_xlpm.A,FIND("】",_xlpm.A)+1)-1)&amp;MID(_xlpm.A,FIND("】",_xlpm.A,FIND("】",_xlpm.A)+1)+1,LEN(_xlpm.A)),_xlpm.A))</f>
        <v/>
      </c>
      <c r="G277" s="18" t="str">
        <f>_xlfn.LET(_xlpm.A,IF(ISNUMBER(SEARCH("晒单",L277)),"【晒单】"&amp;MID(L277,SEARCH("晒单",L277)+LEN("晒单"),LEN(L277))&amp;"（需晒单后联系客服登记）",IF(ISNUMBER(SEARCH("包修",L277)),"【购机】"&amp;MID(L277,SEARCH("购机",L277)+LEN("购机"),LEN(L277)),IF(ISNUMBER(SEARCH("叠放支架",L277)),"【赠品】"&amp;MID(L277,SEARCH("购机",L277)+LEN("购机"),LEN(L277)),IF(ISNUMBER(SEARCH("秀图",L277)),"【秀图】"&amp;MID(L277,SEARCH("秀图",L277)+LEN("秀图"),LEN(L277)),"")))),IFERROR(LEFT(_xlpm.A,FIND("【",_xlpm.A,FIND("】",_xlpm.A)+1)-1)&amp;MID(_xlpm.A,FIND("】",_xlpm.A,FIND("】",_xlpm.A)+1)+1,LEN(_xlpm.A)),_xlpm.A))</f>
        <v/>
      </c>
      <c r="H277" s="18" t="str">
        <f>_xlfn.LET(_xlpm.A,IF(ISNUMBER(SEARCH("晒单",M277)),"【晒单】"&amp;MID(M277,SEARCH("晒单",M277)+LEN("晒单"),LEN(M277))&amp;"（需晒单后联系客服登记）",IF(ISNUMBER(SEARCH("包修",M277)),"【购机】"&amp;MID(M277,SEARCH("购机",M277)+LEN("购机"),LEN(M277)),IF(ISNUMBER(SEARCH("叠放支架",M277)),"【赠品】"&amp;MID(M277,SEARCH("购机",M277)+LEN("购机"),LEN(M277)),IF(ISNUMBER(SEARCH("秀图",M277)),"【秀图】"&amp;MID(M277,SEARCH("秀图",M277)+LEN("秀图"),LEN(M277)),"")))),IFERROR(LEFT(_xlpm.A,FIND("【",_xlpm.A,FIND("】",_xlpm.A)+1)-1)&amp;MID(_xlpm.A,FIND("】",_xlpm.A,FIND("】",_xlpm.A)+1)+1,LEN(_xlpm.A)),_xlpm.A))</f>
        <v/>
      </c>
      <c r="I277" s="18" t="str">
        <f>_xlfn.LET(_xlpm.A,IF(ISNUMBER(SEARCH("晒单",N277)),"【晒单】"&amp;MID(N277,SEARCH("晒单",N277)+LEN("晒单"),LEN(N277))&amp;"（需晒单后联系客服登记）",IF(ISNUMBER(SEARCH("包修",N277)),"【购机】"&amp;MID(N277,SEARCH("购机",N277)+LEN("购机"),LEN(N277)),IF(ISNUMBER(SEARCH("叠放支架",N277)),"【赠品】"&amp;MID(N277,SEARCH("购机",N277)+LEN("购机"),LEN(N277)),IF(ISNUMBER(SEARCH("秀图",N277)),"【秀图】"&amp;MID(N277,SEARCH("秀图",N277)+LEN("秀图"),LEN(N277)),"")))),IFERROR(LEFT(_xlpm.A,FIND("【",_xlpm.A,FIND("】",_xlpm.A)+1)-1)&amp;MID(_xlpm.A,FIND("】",_xlpm.A,FIND("】",_xlpm.A)+1)+1,LEN(_xlpm.A)),_xlpm.A))</f>
        <v/>
      </c>
      <c r="J277" s="18" t="str" cm="1">
        <f t="array" ref="J277">IFERROR(INDEX(_xlfn.TEXTSPLIT(_xlfn.XLOOKUP($A277&amp;$B277&amp;$C277,盘货信息!$A:$A&amp;盘货信息!$B:$B&amp;盘货信息!$C:$C,盘货信息!$S:$S),CHAR(10),,TRUE),1,COLUMN(A276)),"")</f>
        <v/>
      </c>
      <c r="K277" s="18" t="str" cm="1">
        <f t="array" ref="K277">IFERROR(INDEX(_xlfn.TEXTSPLIT(_xlfn.XLOOKUP($A277&amp;$B277&amp;$C277,盘货信息!$A:$A&amp;盘货信息!$B:$B&amp;盘货信息!$C:$C,盘货信息!$S:$S),CHAR(10),,TRUE),1,COLUMN(B276)),"")</f>
        <v/>
      </c>
      <c r="L277" s="18" t="str" cm="1">
        <f t="array" ref="L277">IFERROR(INDEX(_xlfn.TEXTSPLIT(_xlfn.XLOOKUP($A277&amp;$B277&amp;$C277,盘货信息!$A:$A&amp;盘货信息!$B:$B&amp;盘货信息!$C:$C,盘货信息!$S:$S),CHAR(10),,TRUE),1,COLUMN(C276)),"")</f>
        <v/>
      </c>
      <c r="M277" s="18" t="str" cm="1">
        <f t="array" ref="M277">IFERROR(INDEX(_xlfn.TEXTSPLIT(_xlfn.XLOOKUP($A277&amp;$B277&amp;$C277,盘货信息!$A:$A&amp;盘货信息!$B:$B&amp;盘货信息!$C:$C,盘货信息!$S:$S),CHAR(10),,TRUE),1,COLUMN(D276)),"")</f>
        <v/>
      </c>
      <c r="N277" s="18" t="str" cm="1">
        <f t="array" ref="N277">IFERROR(INDEX(_xlfn.TEXTSPLIT(_xlfn.XLOOKUP($A277&amp;$B277&amp;$C277,盘货信息!$A:$A&amp;盘货信息!$B:$B&amp;盘货信息!$C:$C,盘货信息!$S:$S),CHAR(10),,TRUE),1,COLUMN(E276)),"")</f>
        <v/>
      </c>
    </row>
    <row r="278" customHeight="1" spans="1:14">
      <c r="A278" s="17" t="str">
        <f>IF(盘货信息!A278="","",盘货信息!A278)</f>
        <v/>
      </c>
      <c r="B278" s="17" t="str">
        <f>IF(盘货信息!B278="","",盘货信息!B278)</f>
        <v/>
      </c>
      <c r="C278" s="18" t="str">
        <f>IF(盘货信息!C278="","",盘货信息!C278)</f>
        <v/>
      </c>
      <c r="D278" s="18" t="str">
        <f t="shared" si="4"/>
        <v/>
      </c>
      <c r="E278" s="18" t="str">
        <f>_xlfn.LET(_xlpm.A,IF(ISNUMBER(SEARCH("晒单",J278)),"【晒单】"&amp;MID(J278,SEARCH("晒单",J278)+LEN("晒单"),LEN(J278))&amp;"（需晒单后联系客服登记）",IF(ISNUMBER(SEARCH("包修",J278)),"【购机】"&amp;MID(J278,SEARCH("购机",J278)+LEN("购机"),LEN(J278)),IF(ISNUMBER(SEARCH("叠放支架",J278)),"【赠品】"&amp;MID(J278,SEARCH("购机",J278)+LEN("购机"),LEN(J278)),IF(ISNUMBER(SEARCH("秀图",J278)),"【秀图】"&amp;MID(J278,SEARCH("秀图",J278)+LEN("秀图"),LEN(J278)),"")))),IFERROR(LEFT(_xlpm.A,FIND("【",_xlpm.A,FIND("】",_xlpm.A)+1)-1)&amp;MID(_xlpm.A,FIND("】",_xlpm.A,FIND("】",_xlpm.A)+1)+1,LEN(_xlpm.A)),_xlpm.A))</f>
        <v/>
      </c>
      <c r="F278" s="18" t="str">
        <f>_xlfn.LET(_xlpm.A,IF(ISNUMBER(SEARCH("晒单",K278)),"【晒单】"&amp;MID(K278,SEARCH("晒单",K278)+LEN("晒单"),LEN(K278))&amp;"（需晒单后联系客服登记）",IF(ISNUMBER(SEARCH("包修",K278)),"【购机】"&amp;MID(K278,SEARCH("购机",K278)+LEN("购机"),LEN(K278)),IF(ISNUMBER(SEARCH("叠放支架",K278)),"【赠品】"&amp;MID(K278,SEARCH("购机",K278)+LEN("购机"),LEN(K278)),IF(ISNUMBER(SEARCH("秀图",K278)),"【秀图】"&amp;MID(K278,SEARCH("秀图",K278)+LEN("秀图"),LEN(K278)),"")))),IFERROR(LEFT(_xlpm.A,FIND("【",_xlpm.A,FIND("】",_xlpm.A)+1)-1)&amp;MID(_xlpm.A,FIND("】",_xlpm.A,FIND("】",_xlpm.A)+1)+1,LEN(_xlpm.A)),_xlpm.A))</f>
        <v/>
      </c>
      <c r="G278" s="18" t="str">
        <f>_xlfn.LET(_xlpm.A,IF(ISNUMBER(SEARCH("晒单",L278)),"【晒单】"&amp;MID(L278,SEARCH("晒单",L278)+LEN("晒单"),LEN(L278))&amp;"（需晒单后联系客服登记）",IF(ISNUMBER(SEARCH("包修",L278)),"【购机】"&amp;MID(L278,SEARCH("购机",L278)+LEN("购机"),LEN(L278)),IF(ISNUMBER(SEARCH("叠放支架",L278)),"【赠品】"&amp;MID(L278,SEARCH("购机",L278)+LEN("购机"),LEN(L278)),IF(ISNUMBER(SEARCH("秀图",L278)),"【秀图】"&amp;MID(L278,SEARCH("秀图",L278)+LEN("秀图"),LEN(L278)),"")))),IFERROR(LEFT(_xlpm.A,FIND("【",_xlpm.A,FIND("】",_xlpm.A)+1)-1)&amp;MID(_xlpm.A,FIND("】",_xlpm.A,FIND("】",_xlpm.A)+1)+1,LEN(_xlpm.A)),_xlpm.A))</f>
        <v/>
      </c>
      <c r="H278" s="18" t="str">
        <f>_xlfn.LET(_xlpm.A,IF(ISNUMBER(SEARCH("晒单",M278)),"【晒单】"&amp;MID(M278,SEARCH("晒单",M278)+LEN("晒单"),LEN(M278))&amp;"（需晒单后联系客服登记）",IF(ISNUMBER(SEARCH("包修",M278)),"【购机】"&amp;MID(M278,SEARCH("购机",M278)+LEN("购机"),LEN(M278)),IF(ISNUMBER(SEARCH("叠放支架",M278)),"【赠品】"&amp;MID(M278,SEARCH("购机",M278)+LEN("购机"),LEN(M278)),IF(ISNUMBER(SEARCH("秀图",M278)),"【秀图】"&amp;MID(M278,SEARCH("秀图",M278)+LEN("秀图"),LEN(M278)),"")))),IFERROR(LEFT(_xlpm.A,FIND("【",_xlpm.A,FIND("】",_xlpm.A)+1)-1)&amp;MID(_xlpm.A,FIND("】",_xlpm.A,FIND("】",_xlpm.A)+1)+1,LEN(_xlpm.A)),_xlpm.A))</f>
        <v/>
      </c>
      <c r="I278" s="18" t="str">
        <f>_xlfn.LET(_xlpm.A,IF(ISNUMBER(SEARCH("晒单",N278)),"【晒单】"&amp;MID(N278,SEARCH("晒单",N278)+LEN("晒单"),LEN(N278))&amp;"（需晒单后联系客服登记）",IF(ISNUMBER(SEARCH("包修",N278)),"【购机】"&amp;MID(N278,SEARCH("购机",N278)+LEN("购机"),LEN(N278)),IF(ISNUMBER(SEARCH("叠放支架",N278)),"【赠品】"&amp;MID(N278,SEARCH("购机",N278)+LEN("购机"),LEN(N278)),IF(ISNUMBER(SEARCH("秀图",N278)),"【秀图】"&amp;MID(N278,SEARCH("秀图",N278)+LEN("秀图"),LEN(N278)),"")))),IFERROR(LEFT(_xlpm.A,FIND("【",_xlpm.A,FIND("】",_xlpm.A)+1)-1)&amp;MID(_xlpm.A,FIND("】",_xlpm.A,FIND("】",_xlpm.A)+1)+1,LEN(_xlpm.A)),_xlpm.A))</f>
        <v/>
      </c>
      <c r="J278" s="18" t="str" cm="1">
        <f t="array" ref="J278">IFERROR(INDEX(_xlfn.TEXTSPLIT(_xlfn.XLOOKUP($A278&amp;$B278&amp;$C278,盘货信息!$A:$A&amp;盘货信息!$B:$B&amp;盘货信息!$C:$C,盘货信息!$S:$S),CHAR(10),,TRUE),1,COLUMN(A277)),"")</f>
        <v/>
      </c>
      <c r="K278" s="18" t="str" cm="1">
        <f t="array" ref="K278">IFERROR(INDEX(_xlfn.TEXTSPLIT(_xlfn.XLOOKUP($A278&amp;$B278&amp;$C278,盘货信息!$A:$A&amp;盘货信息!$B:$B&amp;盘货信息!$C:$C,盘货信息!$S:$S),CHAR(10),,TRUE),1,COLUMN(B277)),"")</f>
        <v/>
      </c>
      <c r="L278" s="18" t="str" cm="1">
        <f t="array" ref="L278">IFERROR(INDEX(_xlfn.TEXTSPLIT(_xlfn.XLOOKUP($A278&amp;$B278&amp;$C278,盘货信息!$A:$A&amp;盘货信息!$B:$B&amp;盘货信息!$C:$C,盘货信息!$S:$S),CHAR(10),,TRUE),1,COLUMN(C277)),"")</f>
        <v/>
      </c>
      <c r="M278" s="18" t="str" cm="1">
        <f t="array" ref="M278">IFERROR(INDEX(_xlfn.TEXTSPLIT(_xlfn.XLOOKUP($A278&amp;$B278&amp;$C278,盘货信息!$A:$A&amp;盘货信息!$B:$B&amp;盘货信息!$C:$C,盘货信息!$S:$S),CHAR(10),,TRUE),1,COLUMN(D277)),"")</f>
        <v/>
      </c>
      <c r="N278" s="18" t="str" cm="1">
        <f t="array" ref="N278">IFERROR(INDEX(_xlfn.TEXTSPLIT(_xlfn.XLOOKUP($A278&amp;$B278&amp;$C278,盘货信息!$A:$A&amp;盘货信息!$B:$B&amp;盘货信息!$C:$C,盘货信息!$S:$S),CHAR(10),,TRUE),1,COLUMN(E277)),"")</f>
        <v/>
      </c>
    </row>
    <row r="279" customHeight="1" spans="1:14">
      <c r="A279" s="17" t="str">
        <f>IF(盘货信息!A279="","",盘货信息!A279)</f>
        <v/>
      </c>
      <c r="B279" s="17" t="str">
        <f>IF(盘货信息!B279="","",盘货信息!B279)</f>
        <v/>
      </c>
      <c r="C279" s="18" t="str">
        <f>IF(盘货信息!C279="","",盘货信息!C279)</f>
        <v/>
      </c>
      <c r="D279" s="18" t="str">
        <f t="shared" si="4"/>
        <v/>
      </c>
      <c r="E279" s="18" t="str">
        <f>_xlfn.LET(_xlpm.A,IF(ISNUMBER(SEARCH("晒单",J279)),"【晒单】"&amp;MID(J279,SEARCH("晒单",J279)+LEN("晒单"),LEN(J279))&amp;"（需晒单后联系客服登记）",IF(ISNUMBER(SEARCH("包修",J279)),"【购机】"&amp;MID(J279,SEARCH("购机",J279)+LEN("购机"),LEN(J279)),IF(ISNUMBER(SEARCH("叠放支架",J279)),"【赠品】"&amp;MID(J279,SEARCH("购机",J279)+LEN("购机"),LEN(J279)),IF(ISNUMBER(SEARCH("秀图",J279)),"【秀图】"&amp;MID(J279,SEARCH("秀图",J279)+LEN("秀图"),LEN(J279)),"")))),IFERROR(LEFT(_xlpm.A,FIND("【",_xlpm.A,FIND("】",_xlpm.A)+1)-1)&amp;MID(_xlpm.A,FIND("】",_xlpm.A,FIND("】",_xlpm.A)+1)+1,LEN(_xlpm.A)),_xlpm.A))</f>
        <v/>
      </c>
      <c r="F279" s="18" t="str">
        <f>_xlfn.LET(_xlpm.A,IF(ISNUMBER(SEARCH("晒单",K279)),"【晒单】"&amp;MID(K279,SEARCH("晒单",K279)+LEN("晒单"),LEN(K279))&amp;"（需晒单后联系客服登记）",IF(ISNUMBER(SEARCH("包修",K279)),"【购机】"&amp;MID(K279,SEARCH("购机",K279)+LEN("购机"),LEN(K279)),IF(ISNUMBER(SEARCH("叠放支架",K279)),"【赠品】"&amp;MID(K279,SEARCH("购机",K279)+LEN("购机"),LEN(K279)),IF(ISNUMBER(SEARCH("秀图",K279)),"【秀图】"&amp;MID(K279,SEARCH("秀图",K279)+LEN("秀图"),LEN(K279)),"")))),IFERROR(LEFT(_xlpm.A,FIND("【",_xlpm.A,FIND("】",_xlpm.A)+1)-1)&amp;MID(_xlpm.A,FIND("】",_xlpm.A,FIND("】",_xlpm.A)+1)+1,LEN(_xlpm.A)),_xlpm.A))</f>
        <v/>
      </c>
      <c r="G279" s="18" t="str">
        <f>_xlfn.LET(_xlpm.A,IF(ISNUMBER(SEARCH("晒单",L279)),"【晒单】"&amp;MID(L279,SEARCH("晒单",L279)+LEN("晒单"),LEN(L279))&amp;"（需晒单后联系客服登记）",IF(ISNUMBER(SEARCH("包修",L279)),"【购机】"&amp;MID(L279,SEARCH("购机",L279)+LEN("购机"),LEN(L279)),IF(ISNUMBER(SEARCH("叠放支架",L279)),"【赠品】"&amp;MID(L279,SEARCH("购机",L279)+LEN("购机"),LEN(L279)),IF(ISNUMBER(SEARCH("秀图",L279)),"【秀图】"&amp;MID(L279,SEARCH("秀图",L279)+LEN("秀图"),LEN(L279)),"")))),IFERROR(LEFT(_xlpm.A,FIND("【",_xlpm.A,FIND("】",_xlpm.A)+1)-1)&amp;MID(_xlpm.A,FIND("】",_xlpm.A,FIND("】",_xlpm.A)+1)+1,LEN(_xlpm.A)),_xlpm.A))</f>
        <v/>
      </c>
      <c r="H279" s="18" t="str">
        <f>_xlfn.LET(_xlpm.A,IF(ISNUMBER(SEARCH("晒单",M279)),"【晒单】"&amp;MID(M279,SEARCH("晒单",M279)+LEN("晒单"),LEN(M279))&amp;"（需晒单后联系客服登记）",IF(ISNUMBER(SEARCH("包修",M279)),"【购机】"&amp;MID(M279,SEARCH("购机",M279)+LEN("购机"),LEN(M279)),IF(ISNUMBER(SEARCH("叠放支架",M279)),"【赠品】"&amp;MID(M279,SEARCH("购机",M279)+LEN("购机"),LEN(M279)),IF(ISNUMBER(SEARCH("秀图",M279)),"【秀图】"&amp;MID(M279,SEARCH("秀图",M279)+LEN("秀图"),LEN(M279)),"")))),IFERROR(LEFT(_xlpm.A,FIND("【",_xlpm.A,FIND("】",_xlpm.A)+1)-1)&amp;MID(_xlpm.A,FIND("】",_xlpm.A,FIND("】",_xlpm.A)+1)+1,LEN(_xlpm.A)),_xlpm.A))</f>
        <v/>
      </c>
      <c r="I279" s="18" t="str">
        <f>_xlfn.LET(_xlpm.A,IF(ISNUMBER(SEARCH("晒单",N279)),"【晒单】"&amp;MID(N279,SEARCH("晒单",N279)+LEN("晒单"),LEN(N279))&amp;"（需晒单后联系客服登记）",IF(ISNUMBER(SEARCH("包修",N279)),"【购机】"&amp;MID(N279,SEARCH("购机",N279)+LEN("购机"),LEN(N279)),IF(ISNUMBER(SEARCH("叠放支架",N279)),"【赠品】"&amp;MID(N279,SEARCH("购机",N279)+LEN("购机"),LEN(N279)),IF(ISNUMBER(SEARCH("秀图",N279)),"【秀图】"&amp;MID(N279,SEARCH("秀图",N279)+LEN("秀图"),LEN(N279)),"")))),IFERROR(LEFT(_xlpm.A,FIND("【",_xlpm.A,FIND("】",_xlpm.A)+1)-1)&amp;MID(_xlpm.A,FIND("】",_xlpm.A,FIND("】",_xlpm.A)+1)+1,LEN(_xlpm.A)),_xlpm.A))</f>
        <v/>
      </c>
      <c r="J279" s="18" t="str" cm="1">
        <f t="array" ref="J279">IFERROR(INDEX(_xlfn.TEXTSPLIT(_xlfn.XLOOKUP($A279&amp;$B279&amp;$C279,盘货信息!$A:$A&amp;盘货信息!$B:$B&amp;盘货信息!$C:$C,盘货信息!$S:$S),CHAR(10),,TRUE),1,COLUMN(A278)),"")</f>
        <v/>
      </c>
      <c r="K279" s="18" t="str" cm="1">
        <f t="array" ref="K279">IFERROR(INDEX(_xlfn.TEXTSPLIT(_xlfn.XLOOKUP($A279&amp;$B279&amp;$C279,盘货信息!$A:$A&amp;盘货信息!$B:$B&amp;盘货信息!$C:$C,盘货信息!$S:$S),CHAR(10),,TRUE),1,COLUMN(B278)),"")</f>
        <v/>
      </c>
      <c r="L279" s="18" t="str" cm="1">
        <f t="array" ref="L279">IFERROR(INDEX(_xlfn.TEXTSPLIT(_xlfn.XLOOKUP($A279&amp;$B279&amp;$C279,盘货信息!$A:$A&amp;盘货信息!$B:$B&amp;盘货信息!$C:$C,盘货信息!$S:$S),CHAR(10),,TRUE),1,COLUMN(C278)),"")</f>
        <v/>
      </c>
      <c r="M279" s="18" t="str" cm="1">
        <f t="array" ref="M279">IFERROR(INDEX(_xlfn.TEXTSPLIT(_xlfn.XLOOKUP($A279&amp;$B279&amp;$C279,盘货信息!$A:$A&amp;盘货信息!$B:$B&amp;盘货信息!$C:$C,盘货信息!$S:$S),CHAR(10),,TRUE),1,COLUMN(D278)),"")</f>
        <v/>
      </c>
      <c r="N279" s="18" t="str" cm="1">
        <f t="array" ref="N279">IFERROR(INDEX(_xlfn.TEXTSPLIT(_xlfn.XLOOKUP($A279&amp;$B279&amp;$C279,盘货信息!$A:$A&amp;盘货信息!$B:$B&amp;盘货信息!$C:$C,盘货信息!$S:$S),CHAR(10),,TRUE),1,COLUMN(E278)),"")</f>
        <v/>
      </c>
    </row>
    <row r="280" customHeight="1" spans="1:14">
      <c r="A280" s="17" t="str">
        <f>IF(盘货信息!A280="","",盘货信息!A280)</f>
        <v/>
      </c>
      <c r="B280" s="17" t="str">
        <f>IF(盘货信息!B280="","",盘货信息!B280)</f>
        <v/>
      </c>
      <c r="C280" s="18" t="str">
        <f>IF(盘货信息!C280="","",盘货信息!C280)</f>
        <v/>
      </c>
      <c r="D280" s="18" t="str">
        <f t="shared" si="4"/>
        <v/>
      </c>
      <c r="E280" s="18" t="str">
        <f>_xlfn.LET(_xlpm.A,IF(ISNUMBER(SEARCH("晒单",J280)),"【晒单】"&amp;MID(J280,SEARCH("晒单",J280)+LEN("晒单"),LEN(J280))&amp;"（需晒单后联系客服登记）",IF(ISNUMBER(SEARCH("包修",J280)),"【购机】"&amp;MID(J280,SEARCH("购机",J280)+LEN("购机"),LEN(J280)),IF(ISNUMBER(SEARCH("叠放支架",J280)),"【赠品】"&amp;MID(J280,SEARCH("购机",J280)+LEN("购机"),LEN(J280)),IF(ISNUMBER(SEARCH("秀图",J280)),"【秀图】"&amp;MID(J280,SEARCH("秀图",J280)+LEN("秀图"),LEN(J280)),"")))),IFERROR(LEFT(_xlpm.A,FIND("【",_xlpm.A,FIND("】",_xlpm.A)+1)-1)&amp;MID(_xlpm.A,FIND("】",_xlpm.A,FIND("】",_xlpm.A)+1)+1,LEN(_xlpm.A)),_xlpm.A))</f>
        <v/>
      </c>
      <c r="F280" s="18" t="str">
        <f>_xlfn.LET(_xlpm.A,IF(ISNUMBER(SEARCH("晒单",K280)),"【晒单】"&amp;MID(K280,SEARCH("晒单",K280)+LEN("晒单"),LEN(K280))&amp;"（需晒单后联系客服登记）",IF(ISNUMBER(SEARCH("包修",K280)),"【购机】"&amp;MID(K280,SEARCH("购机",K280)+LEN("购机"),LEN(K280)),IF(ISNUMBER(SEARCH("叠放支架",K280)),"【赠品】"&amp;MID(K280,SEARCH("购机",K280)+LEN("购机"),LEN(K280)),IF(ISNUMBER(SEARCH("秀图",K280)),"【秀图】"&amp;MID(K280,SEARCH("秀图",K280)+LEN("秀图"),LEN(K280)),"")))),IFERROR(LEFT(_xlpm.A,FIND("【",_xlpm.A,FIND("】",_xlpm.A)+1)-1)&amp;MID(_xlpm.A,FIND("】",_xlpm.A,FIND("】",_xlpm.A)+1)+1,LEN(_xlpm.A)),_xlpm.A))</f>
        <v/>
      </c>
      <c r="G280" s="18" t="str">
        <f>_xlfn.LET(_xlpm.A,IF(ISNUMBER(SEARCH("晒单",L280)),"【晒单】"&amp;MID(L280,SEARCH("晒单",L280)+LEN("晒单"),LEN(L280))&amp;"（需晒单后联系客服登记）",IF(ISNUMBER(SEARCH("包修",L280)),"【购机】"&amp;MID(L280,SEARCH("购机",L280)+LEN("购机"),LEN(L280)),IF(ISNUMBER(SEARCH("叠放支架",L280)),"【赠品】"&amp;MID(L280,SEARCH("购机",L280)+LEN("购机"),LEN(L280)),IF(ISNUMBER(SEARCH("秀图",L280)),"【秀图】"&amp;MID(L280,SEARCH("秀图",L280)+LEN("秀图"),LEN(L280)),"")))),IFERROR(LEFT(_xlpm.A,FIND("【",_xlpm.A,FIND("】",_xlpm.A)+1)-1)&amp;MID(_xlpm.A,FIND("】",_xlpm.A,FIND("】",_xlpm.A)+1)+1,LEN(_xlpm.A)),_xlpm.A))</f>
        <v/>
      </c>
      <c r="H280" s="18" t="str">
        <f>_xlfn.LET(_xlpm.A,IF(ISNUMBER(SEARCH("晒单",M280)),"【晒单】"&amp;MID(M280,SEARCH("晒单",M280)+LEN("晒单"),LEN(M280))&amp;"（需晒单后联系客服登记）",IF(ISNUMBER(SEARCH("包修",M280)),"【购机】"&amp;MID(M280,SEARCH("购机",M280)+LEN("购机"),LEN(M280)),IF(ISNUMBER(SEARCH("叠放支架",M280)),"【赠品】"&amp;MID(M280,SEARCH("购机",M280)+LEN("购机"),LEN(M280)),IF(ISNUMBER(SEARCH("秀图",M280)),"【秀图】"&amp;MID(M280,SEARCH("秀图",M280)+LEN("秀图"),LEN(M280)),"")))),IFERROR(LEFT(_xlpm.A,FIND("【",_xlpm.A,FIND("】",_xlpm.A)+1)-1)&amp;MID(_xlpm.A,FIND("】",_xlpm.A,FIND("】",_xlpm.A)+1)+1,LEN(_xlpm.A)),_xlpm.A))</f>
        <v/>
      </c>
      <c r="I280" s="18" t="str">
        <f>_xlfn.LET(_xlpm.A,IF(ISNUMBER(SEARCH("晒单",N280)),"【晒单】"&amp;MID(N280,SEARCH("晒单",N280)+LEN("晒单"),LEN(N280))&amp;"（需晒单后联系客服登记）",IF(ISNUMBER(SEARCH("包修",N280)),"【购机】"&amp;MID(N280,SEARCH("购机",N280)+LEN("购机"),LEN(N280)),IF(ISNUMBER(SEARCH("叠放支架",N280)),"【赠品】"&amp;MID(N280,SEARCH("购机",N280)+LEN("购机"),LEN(N280)),IF(ISNUMBER(SEARCH("秀图",N280)),"【秀图】"&amp;MID(N280,SEARCH("秀图",N280)+LEN("秀图"),LEN(N280)),"")))),IFERROR(LEFT(_xlpm.A,FIND("【",_xlpm.A,FIND("】",_xlpm.A)+1)-1)&amp;MID(_xlpm.A,FIND("】",_xlpm.A,FIND("】",_xlpm.A)+1)+1,LEN(_xlpm.A)),_xlpm.A))</f>
        <v/>
      </c>
      <c r="J280" s="18" t="str" cm="1">
        <f t="array" ref="J280">IFERROR(INDEX(_xlfn.TEXTSPLIT(_xlfn.XLOOKUP($A280&amp;$B280&amp;$C280,盘货信息!$A:$A&amp;盘货信息!$B:$B&amp;盘货信息!$C:$C,盘货信息!$S:$S),CHAR(10),,TRUE),1,COLUMN(A279)),"")</f>
        <v/>
      </c>
      <c r="K280" s="18" t="str" cm="1">
        <f t="array" ref="K280">IFERROR(INDEX(_xlfn.TEXTSPLIT(_xlfn.XLOOKUP($A280&amp;$B280&amp;$C280,盘货信息!$A:$A&amp;盘货信息!$B:$B&amp;盘货信息!$C:$C,盘货信息!$S:$S),CHAR(10),,TRUE),1,COLUMN(B279)),"")</f>
        <v/>
      </c>
      <c r="L280" s="18" t="str" cm="1">
        <f t="array" ref="L280">IFERROR(INDEX(_xlfn.TEXTSPLIT(_xlfn.XLOOKUP($A280&amp;$B280&amp;$C280,盘货信息!$A:$A&amp;盘货信息!$B:$B&amp;盘货信息!$C:$C,盘货信息!$S:$S),CHAR(10),,TRUE),1,COLUMN(C279)),"")</f>
        <v/>
      </c>
      <c r="M280" s="18" t="str" cm="1">
        <f t="array" ref="M280">IFERROR(INDEX(_xlfn.TEXTSPLIT(_xlfn.XLOOKUP($A280&amp;$B280&amp;$C280,盘货信息!$A:$A&amp;盘货信息!$B:$B&amp;盘货信息!$C:$C,盘货信息!$S:$S),CHAR(10),,TRUE),1,COLUMN(D279)),"")</f>
        <v/>
      </c>
      <c r="N280" s="18" t="str" cm="1">
        <f t="array" ref="N280">IFERROR(INDEX(_xlfn.TEXTSPLIT(_xlfn.XLOOKUP($A280&amp;$B280&amp;$C280,盘货信息!$A:$A&amp;盘货信息!$B:$B&amp;盘货信息!$C:$C,盘货信息!$S:$S),CHAR(10),,TRUE),1,COLUMN(E279)),"")</f>
        <v/>
      </c>
    </row>
    <row r="281" customHeight="1" spans="1:14">
      <c r="A281" s="17" t="str">
        <f>IF(盘货信息!A281="","",盘货信息!A281)</f>
        <v/>
      </c>
      <c r="B281" s="17" t="str">
        <f>IF(盘货信息!B281="","",盘货信息!B281)</f>
        <v/>
      </c>
      <c r="C281" s="18" t="str">
        <f>IF(盘货信息!C281="","",盘货信息!C281)</f>
        <v/>
      </c>
      <c r="D281" s="18" t="str">
        <f t="shared" si="4"/>
        <v/>
      </c>
      <c r="E281" s="18" t="str">
        <f>_xlfn.LET(_xlpm.A,IF(ISNUMBER(SEARCH("晒单",J281)),"【晒单】"&amp;MID(J281,SEARCH("晒单",J281)+LEN("晒单"),LEN(J281))&amp;"（需晒单后联系客服登记）",IF(ISNUMBER(SEARCH("包修",J281)),"【购机】"&amp;MID(J281,SEARCH("购机",J281)+LEN("购机"),LEN(J281)),IF(ISNUMBER(SEARCH("叠放支架",J281)),"【赠品】"&amp;MID(J281,SEARCH("购机",J281)+LEN("购机"),LEN(J281)),IF(ISNUMBER(SEARCH("秀图",J281)),"【秀图】"&amp;MID(J281,SEARCH("秀图",J281)+LEN("秀图"),LEN(J281)),"")))),IFERROR(LEFT(_xlpm.A,FIND("【",_xlpm.A,FIND("】",_xlpm.A)+1)-1)&amp;MID(_xlpm.A,FIND("】",_xlpm.A,FIND("】",_xlpm.A)+1)+1,LEN(_xlpm.A)),_xlpm.A))</f>
        <v/>
      </c>
      <c r="F281" s="18" t="str">
        <f>_xlfn.LET(_xlpm.A,IF(ISNUMBER(SEARCH("晒单",K281)),"【晒单】"&amp;MID(K281,SEARCH("晒单",K281)+LEN("晒单"),LEN(K281))&amp;"（需晒单后联系客服登记）",IF(ISNUMBER(SEARCH("包修",K281)),"【购机】"&amp;MID(K281,SEARCH("购机",K281)+LEN("购机"),LEN(K281)),IF(ISNUMBER(SEARCH("叠放支架",K281)),"【赠品】"&amp;MID(K281,SEARCH("购机",K281)+LEN("购机"),LEN(K281)),IF(ISNUMBER(SEARCH("秀图",K281)),"【秀图】"&amp;MID(K281,SEARCH("秀图",K281)+LEN("秀图"),LEN(K281)),"")))),IFERROR(LEFT(_xlpm.A,FIND("【",_xlpm.A,FIND("】",_xlpm.A)+1)-1)&amp;MID(_xlpm.A,FIND("】",_xlpm.A,FIND("】",_xlpm.A)+1)+1,LEN(_xlpm.A)),_xlpm.A))</f>
        <v/>
      </c>
      <c r="G281" s="18" t="str">
        <f>_xlfn.LET(_xlpm.A,IF(ISNUMBER(SEARCH("晒单",L281)),"【晒单】"&amp;MID(L281,SEARCH("晒单",L281)+LEN("晒单"),LEN(L281))&amp;"（需晒单后联系客服登记）",IF(ISNUMBER(SEARCH("包修",L281)),"【购机】"&amp;MID(L281,SEARCH("购机",L281)+LEN("购机"),LEN(L281)),IF(ISNUMBER(SEARCH("叠放支架",L281)),"【赠品】"&amp;MID(L281,SEARCH("购机",L281)+LEN("购机"),LEN(L281)),IF(ISNUMBER(SEARCH("秀图",L281)),"【秀图】"&amp;MID(L281,SEARCH("秀图",L281)+LEN("秀图"),LEN(L281)),"")))),IFERROR(LEFT(_xlpm.A,FIND("【",_xlpm.A,FIND("】",_xlpm.A)+1)-1)&amp;MID(_xlpm.A,FIND("】",_xlpm.A,FIND("】",_xlpm.A)+1)+1,LEN(_xlpm.A)),_xlpm.A))</f>
        <v/>
      </c>
      <c r="H281" s="18" t="str">
        <f>_xlfn.LET(_xlpm.A,IF(ISNUMBER(SEARCH("晒单",M281)),"【晒单】"&amp;MID(M281,SEARCH("晒单",M281)+LEN("晒单"),LEN(M281))&amp;"（需晒单后联系客服登记）",IF(ISNUMBER(SEARCH("包修",M281)),"【购机】"&amp;MID(M281,SEARCH("购机",M281)+LEN("购机"),LEN(M281)),IF(ISNUMBER(SEARCH("叠放支架",M281)),"【赠品】"&amp;MID(M281,SEARCH("购机",M281)+LEN("购机"),LEN(M281)),IF(ISNUMBER(SEARCH("秀图",M281)),"【秀图】"&amp;MID(M281,SEARCH("秀图",M281)+LEN("秀图"),LEN(M281)),"")))),IFERROR(LEFT(_xlpm.A,FIND("【",_xlpm.A,FIND("】",_xlpm.A)+1)-1)&amp;MID(_xlpm.A,FIND("】",_xlpm.A,FIND("】",_xlpm.A)+1)+1,LEN(_xlpm.A)),_xlpm.A))</f>
        <v/>
      </c>
      <c r="I281" s="18" t="str">
        <f>_xlfn.LET(_xlpm.A,IF(ISNUMBER(SEARCH("晒单",N281)),"【晒单】"&amp;MID(N281,SEARCH("晒单",N281)+LEN("晒单"),LEN(N281))&amp;"（需晒单后联系客服登记）",IF(ISNUMBER(SEARCH("包修",N281)),"【购机】"&amp;MID(N281,SEARCH("购机",N281)+LEN("购机"),LEN(N281)),IF(ISNUMBER(SEARCH("叠放支架",N281)),"【赠品】"&amp;MID(N281,SEARCH("购机",N281)+LEN("购机"),LEN(N281)),IF(ISNUMBER(SEARCH("秀图",N281)),"【秀图】"&amp;MID(N281,SEARCH("秀图",N281)+LEN("秀图"),LEN(N281)),"")))),IFERROR(LEFT(_xlpm.A,FIND("【",_xlpm.A,FIND("】",_xlpm.A)+1)-1)&amp;MID(_xlpm.A,FIND("】",_xlpm.A,FIND("】",_xlpm.A)+1)+1,LEN(_xlpm.A)),_xlpm.A))</f>
        <v/>
      </c>
      <c r="J281" s="18" t="str" cm="1">
        <f t="array" ref="J281">IFERROR(INDEX(_xlfn.TEXTSPLIT(_xlfn.XLOOKUP($A281&amp;$B281&amp;$C281,盘货信息!$A:$A&amp;盘货信息!$B:$B&amp;盘货信息!$C:$C,盘货信息!$S:$S),CHAR(10),,TRUE),1,COLUMN(A280)),"")</f>
        <v/>
      </c>
      <c r="K281" s="18" t="str" cm="1">
        <f t="array" ref="K281">IFERROR(INDEX(_xlfn.TEXTSPLIT(_xlfn.XLOOKUP($A281&amp;$B281&amp;$C281,盘货信息!$A:$A&amp;盘货信息!$B:$B&amp;盘货信息!$C:$C,盘货信息!$S:$S),CHAR(10),,TRUE),1,COLUMN(B280)),"")</f>
        <v/>
      </c>
      <c r="L281" s="18" t="str" cm="1">
        <f t="array" ref="L281">IFERROR(INDEX(_xlfn.TEXTSPLIT(_xlfn.XLOOKUP($A281&amp;$B281&amp;$C281,盘货信息!$A:$A&amp;盘货信息!$B:$B&amp;盘货信息!$C:$C,盘货信息!$S:$S),CHAR(10),,TRUE),1,COLUMN(C280)),"")</f>
        <v/>
      </c>
      <c r="M281" s="18" t="str" cm="1">
        <f t="array" ref="M281">IFERROR(INDEX(_xlfn.TEXTSPLIT(_xlfn.XLOOKUP($A281&amp;$B281&amp;$C281,盘货信息!$A:$A&amp;盘货信息!$B:$B&amp;盘货信息!$C:$C,盘货信息!$S:$S),CHAR(10),,TRUE),1,COLUMN(D280)),"")</f>
        <v/>
      </c>
      <c r="N281" s="18" t="str" cm="1">
        <f t="array" ref="N281">IFERROR(INDEX(_xlfn.TEXTSPLIT(_xlfn.XLOOKUP($A281&amp;$B281&amp;$C281,盘货信息!$A:$A&amp;盘货信息!$B:$B&amp;盘货信息!$C:$C,盘货信息!$S:$S),CHAR(10),,TRUE),1,COLUMN(E280)),"")</f>
        <v/>
      </c>
    </row>
    <row r="282" customHeight="1" spans="1:14">
      <c r="A282" s="17" t="str">
        <f>IF(盘货信息!A282="","",盘货信息!A282)</f>
        <v/>
      </c>
      <c r="B282" s="17" t="str">
        <f>IF(盘货信息!B282="","",盘货信息!B282)</f>
        <v/>
      </c>
      <c r="C282" s="18" t="str">
        <f>IF(盘货信息!C282="","",盘货信息!C282)</f>
        <v/>
      </c>
      <c r="D282" s="18" t="str">
        <f t="shared" si="4"/>
        <v/>
      </c>
      <c r="E282" s="18" t="str">
        <f>_xlfn.LET(_xlpm.A,IF(ISNUMBER(SEARCH("晒单",J282)),"【晒单】"&amp;MID(J282,SEARCH("晒单",J282)+LEN("晒单"),LEN(J282))&amp;"（需晒单后联系客服登记）",IF(ISNUMBER(SEARCH("包修",J282)),"【购机】"&amp;MID(J282,SEARCH("购机",J282)+LEN("购机"),LEN(J282)),IF(ISNUMBER(SEARCH("叠放支架",J282)),"【赠品】"&amp;MID(J282,SEARCH("购机",J282)+LEN("购机"),LEN(J282)),IF(ISNUMBER(SEARCH("秀图",J282)),"【秀图】"&amp;MID(J282,SEARCH("秀图",J282)+LEN("秀图"),LEN(J282)),"")))),IFERROR(LEFT(_xlpm.A,FIND("【",_xlpm.A,FIND("】",_xlpm.A)+1)-1)&amp;MID(_xlpm.A,FIND("】",_xlpm.A,FIND("】",_xlpm.A)+1)+1,LEN(_xlpm.A)),_xlpm.A))</f>
        <v/>
      </c>
      <c r="F282" s="18" t="str">
        <f>_xlfn.LET(_xlpm.A,IF(ISNUMBER(SEARCH("晒单",K282)),"【晒单】"&amp;MID(K282,SEARCH("晒单",K282)+LEN("晒单"),LEN(K282))&amp;"（需晒单后联系客服登记）",IF(ISNUMBER(SEARCH("包修",K282)),"【购机】"&amp;MID(K282,SEARCH("购机",K282)+LEN("购机"),LEN(K282)),IF(ISNUMBER(SEARCH("叠放支架",K282)),"【赠品】"&amp;MID(K282,SEARCH("购机",K282)+LEN("购机"),LEN(K282)),IF(ISNUMBER(SEARCH("秀图",K282)),"【秀图】"&amp;MID(K282,SEARCH("秀图",K282)+LEN("秀图"),LEN(K282)),"")))),IFERROR(LEFT(_xlpm.A,FIND("【",_xlpm.A,FIND("】",_xlpm.A)+1)-1)&amp;MID(_xlpm.A,FIND("】",_xlpm.A,FIND("】",_xlpm.A)+1)+1,LEN(_xlpm.A)),_xlpm.A))</f>
        <v/>
      </c>
      <c r="G282" s="18" t="str">
        <f>_xlfn.LET(_xlpm.A,IF(ISNUMBER(SEARCH("晒单",L282)),"【晒单】"&amp;MID(L282,SEARCH("晒单",L282)+LEN("晒单"),LEN(L282))&amp;"（需晒单后联系客服登记）",IF(ISNUMBER(SEARCH("包修",L282)),"【购机】"&amp;MID(L282,SEARCH("购机",L282)+LEN("购机"),LEN(L282)),IF(ISNUMBER(SEARCH("叠放支架",L282)),"【赠品】"&amp;MID(L282,SEARCH("购机",L282)+LEN("购机"),LEN(L282)),IF(ISNUMBER(SEARCH("秀图",L282)),"【秀图】"&amp;MID(L282,SEARCH("秀图",L282)+LEN("秀图"),LEN(L282)),"")))),IFERROR(LEFT(_xlpm.A,FIND("【",_xlpm.A,FIND("】",_xlpm.A)+1)-1)&amp;MID(_xlpm.A,FIND("】",_xlpm.A,FIND("】",_xlpm.A)+1)+1,LEN(_xlpm.A)),_xlpm.A))</f>
        <v/>
      </c>
      <c r="H282" s="18" t="str">
        <f>_xlfn.LET(_xlpm.A,IF(ISNUMBER(SEARCH("晒单",M282)),"【晒单】"&amp;MID(M282,SEARCH("晒单",M282)+LEN("晒单"),LEN(M282))&amp;"（需晒单后联系客服登记）",IF(ISNUMBER(SEARCH("包修",M282)),"【购机】"&amp;MID(M282,SEARCH("购机",M282)+LEN("购机"),LEN(M282)),IF(ISNUMBER(SEARCH("叠放支架",M282)),"【赠品】"&amp;MID(M282,SEARCH("购机",M282)+LEN("购机"),LEN(M282)),IF(ISNUMBER(SEARCH("秀图",M282)),"【秀图】"&amp;MID(M282,SEARCH("秀图",M282)+LEN("秀图"),LEN(M282)),"")))),IFERROR(LEFT(_xlpm.A,FIND("【",_xlpm.A,FIND("】",_xlpm.A)+1)-1)&amp;MID(_xlpm.A,FIND("】",_xlpm.A,FIND("】",_xlpm.A)+1)+1,LEN(_xlpm.A)),_xlpm.A))</f>
        <v/>
      </c>
      <c r="I282" s="18" t="str">
        <f>_xlfn.LET(_xlpm.A,IF(ISNUMBER(SEARCH("晒单",N282)),"【晒单】"&amp;MID(N282,SEARCH("晒单",N282)+LEN("晒单"),LEN(N282))&amp;"（需晒单后联系客服登记）",IF(ISNUMBER(SEARCH("包修",N282)),"【购机】"&amp;MID(N282,SEARCH("购机",N282)+LEN("购机"),LEN(N282)),IF(ISNUMBER(SEARCH("叠放支架",N282)),"【赠品】"&amp;MID(N282,SEARCH("购机",N282)+LEN("购机"),LEN(N282)),IF(ISNUMBER(SEARCH("秀图",N282)),"【秀图】"&amp;MID(N282,SEARCH("秀图",N282)+LEN("秀图"),LEN(N282)),"")))),IFERROR(LEFT(_xlpm.A,FIND("【",_xlpm.A,FIND("】",_xlpm.A)+1)-1)&amp;MID(_xlpm.A,FIND("】",_xlpm.A,FIND("】",_xlpm.A)+1)+1,LEN(_xlpm.A)),_xlpm.A))</f>
        <v/>
      </c>
      <c r="J282" s="18" t="str" cm="1">
        <f t="array" ref="J282">IFERROR(INDEX(_xlfn.TEXTSPLIT(_xlfn.XLOOKUP($A282&amp;$B282&amp;$C282,盘货信息!$A:$A&amp;盘货信息!$B:$B&amp;盘货信息!$C:$C,盘货信息!$S:$S),CHAR(10),,TRUE),1,COLUMN(A281)),"")</f>
        <v/>
      </c>
      <c r="K282" s="18" t="str" cm="1">
        <f t="array" ref="K282">IFERROR(INDEX(_xlfn.TEXTSPLIT(_xlfn.XLOOKUP($A282&amp;$B282&amp;$C282,盘货信息!$A:$A&amp;盘货信息!$B:$B&amp;盘货信息!$C:$C,盘货信息!$S:$S),CHAR(10),,TRUE),1,COLUMN(B281)),"")</f>
        <v/>
      </c>
      <c r="L282" s="18" t="str" cm="1">
        <f t="array" ref="L282">IFERROR(INDEX(_xlfn.TEXTSPLIT(_xlfn.XLOOKUP($A282&amp;$B282&amp;$C282,盘货信息!$A:$A&amp;盘货信息!$B:$B&amp;盘货信息!$C:$C,盘货信息!$S:$S),CHAR(10),,TRUE),1,COLUMN(C281)),"")</f>
        <v/>
      </c>
      <c r="M282" s="18" t="str" cm="1">
        <f t="array" ref="M282">IFERROR(INDEX(_xlfn.TEXTSPLIT(_xlfn.XLOOKUP($A282&amp;$B282&amp;$C282,盘货信息!$A:$A&amp;盘货信息!$B:$B&amp;盘货信息!$C:$C,盘货信息!$S:$S),CHAR(10),,TRUE),1,COLUMN(D281)),"")</f>
        <v/>
      </c>
      <c r="N282" s="18" t="str" cm="1">
        <f t="array" ref="N282">IFERROR(INDEX(_xlfn.TEXTSPLIT(_xlfn.XLOOKUP($A282&amp;$B282&amp;$C282,盘货信息!$A:$A&amp;盘货信息!$B:$B&amp;盘货信息!$C:$C,盘货信息!$S:$S),CHAR(10),,TRUE),1,COLUMN(E281)),"")</f>
        <v/>
      </c>
    </row>
    <row r="283" customHeight="1" spans="1:14">
      <c r="A283" s="17" t="str">
        <f>IF(盘货信息!A283="","",盘货信息!A283)</f>
        <v/>
      </c>
      <c r="B283" s="17" t="str">
        <f>IF(盘货信息!B283="","",盘货信息!B283)</f>
        <v/>
      </c>
      <c r="C283" s="18" t="str">
        <f>IF(盘货信息!C283="","",盘货信息!C283)</f>
        <v/>
      </c>
      <c r="D283" s="18" t="str">
        <f t="shared" si="4"/>
        <v/>
      </c>
      <c r="E283" s="18" t="str">
        <f>_xlfn.LET(_xlpm.A,IF(ISNUMBER(SEARCH("晒单",J283)),"【晒单】"&amp;MID(J283,SEARCH("晒单",J283)+LEN("晒单"),LEN(J283))&amp;"（需晒单后联系客服登记）",IF(ISNUMBER(SEARCH("包修",J283)),"【购机】"&amp;MID(J283,SEARCH("购机",J283)+LEN("购机"),LEN(J283)),IF(ISNUMBER(SEARCH("叠放支架",J283)),"【赠品】"&amp;MID(J283,SEARCH("购机",J283)+LEN("购机"),LEN(J283)),IF(ISNUMBER(SEARCH("秀图",J283)),"【秀图】"&amp;MID(J283,SEARCH("秀图",J283)+LEN("秀图"),LEN(J283)),"")))),IFERROR(LEFT(_xlpm.A,FIND("【",_xlpm.A,FIND("】",_xlpm.A)+1)-1)&amp;MID(_xlpm.A,FIND("】",_xlpm.A,FIND("】",_xlpm.A)+1)+1,LEN(_xlpm.A)),_xlpm.A))</f>
        <v/>
      </c>
      <c r="F283" s="18" t="str">
        <f>_xlfn.LET(_xlpm.A,IF(ISNUMBER(SEARCH("晒单",K283)),"【晒单】"&amp;MID(K283,SEARCH("晒单",K283)+LEN("晒单"),LEN(K283))&amp;"（需晒单后联系客服登记）",IF(ISNUMBER(SEARCH("包修",K283)),"【购机】"&amp;MID(K283,SEARCH("购机",K283)+LEN("购机"),LEN(K283)),IF(ISNUMBER(SEARCH("叠放支架",K283)),"【赠品】"&amp;MID(K283,SEARCH("购机",K283)+LEN("购机"),LEN(K283)),IF(ISNUMBER(SEARCH("秀图",K283)),"【秀图】"&amp;MID(K283,SEARCH("秀图",K283)+LEN("秀图"),LEN(K283)),"")))),IFERROR(LEFT(_xlpm.A,FIND("【",_xlpm.A,FIND("】",_xlpm.A)+1)-1)&amp;MID(_xlpm.A,FIND("】",_xlpm.A,FIND("】",_xlpm.A)+1)+1,LEN(_xlpm.A)),_xlpm.A))</f>
        <v/>
      </c>
      <c r="G283" s="18" t="str">
        <f>_xlfn.LET(_xlpm.A,IF(ISNUMBER(SEARCH("晒单",L283)),"【晒单】"&amp;MID(L283,SEARCH("晒单",L283)+LEN("晒单"),LEN(L283))&amp;"（需晒单后联系客服登记）",IF(ISNUMBER(SEARCH("包修",L283)),"【购机】"&amp;MID(L283,SEARCH("购机",L283)+LEN("购机"),LEN(L283)),IF(ISNUMBER(SEARCH("叠放支架",L283)),"【赠品】"&amp;MID(L283,SEARCH("购机",L283)+LEN("购机"),LEN(L283)),IF(ISNUMBER(SEARCH("秀图",L283)),"【秀图】"&amp;MID(L283,SEARCH("秀图",L283)+LEN("秀图"),LEN(L283)),"")))),IFERROR(LEFT(_xlpm.A,FIND("【",_xlpm.A,FIND("】",_xlpm.A)+1)-1)&amp;MID(_xlpm.A,FIND("】",_xlpm.A,FIND("】",_xlpm.A)+1)+1,LEN(_xlpm.A)),_xlpm.A))</f>
        <v/>
      </c>
      <c r="H283" s="18" t="str">
        <f>_xlfn.LET(_xlpm.A,IF(ISNUMBER(SEARCH("晒单",M283)),"【晒单】"&amp;MID(M283,SEARCH("晒单",M283)+LEN("晒单"),LEN(M283))&amp;"（需晒单后联系客服登记）",IF(ISNUMBER(SEARCH("包修",M283)),"【购机】"&amp;MID(M283,SEARCH("购机",M283)+LEN("购机"),LEN(M283)),IF(ISNUMBER(SEARCH("叠放支架",M283)),"【赠品】"&amp;MID(M283,SEARCH("购机",M283)+LEN("购机"),LEN(M283)),IF(ISNUMBER(SEARCH("秀图",M283)),"【秀图】"&amp;MID(M283,SEARCH("秀图",M283)+LEN("秀图"),LEN(M283)),"")))),IFERROR(LEFT(_xlpm.A,FIND("【",_xlpm.A,FIND("】",_xlpm.A)+1)-1)&amp;MID(_xlpm.A,FIND("】",_xlpm.A,FIND("】",_xlpm.A)+1)+1,LEN(_xlpm.A)),_xlpm.A))</f>
        <v/>
      </c>
      <c r="I283" s="18" t="str">
        <f>_xlfn.LET(_xlpm.A,IF(ISNUMBER(SEARCH("晒单",N283)),"【晒单】"&amp;MID(N283,SEARCH("晒单",N283)+LEN("晒单"),LEN(N283))&amp;"（需晒单后联系客服登记）",IF(ISNUMBER(SEARCH("包修",N283)),"【购机】"&amp;MID(N283,SEARCH("购机",N283)+LEN("购机"),LEN(N283)),IF(ISNUMBER(SEARCH("叠放支架",N283)),"【赠品】"&amp;MID(N283,SEARCH("购机",N283)+LEN("购机"),LEN(N283)),IF(ISNUMBER(SEARCH("秀图",N283)),"【秀图】"&amp;MID(N283,SEARCH("秀图",N283)+LEN("秀图"),LEN(N283)),"")))),IFERROR(LEFT(_xlpm.A,FIND("【",_xlpm.A,FIND("】",_xlpm.A)+1)-1)&amp;MID(_xlpm.A,FIND("】",_xlpm.A,FIND("】",_xlpm.A)+1)+1,LEN(_xlpm.A)),_xlpm.A))</f>
        <v/>
      </c>
      <c r="J283" s="18" t="str" cm="1">
        <f t="array" ref="J283">IFERROR(INDEX(_xlfn.TEXTSPLIT(_xlfn.XLOOKUP($A283&amp;$B283&amp;$C283,盘货信息!$A:$A&amp;盘货信息!$B:$B&amp;盘货信息!$C:$C,盘货信息!$S:$S),CHAR(10),,TRUE),1,COLUMN(A282)),"")</f>
        <v/>
      </c>
      <c r="K283" s="18" t="str" cm="1">
        <f t="array" ref="K283">IFERROR(INDEX(_xlfn.TEXTSPLIT(_xlfn.XLOOKUP($A283&amp;$B283&amp;$C283,盘货信息!$A:$A&amp;盘货信息!$B:$B&amp;盘货信息!$C:$C,盘货信息!$S:$S),CHAR(10),,TRUE),1,COLUMN(B282)),"")</f>
        <v/>
      </c>
      <c r="L283" s="18" t="str" cm="1">
        <f t="array" ref="L283">IFERROR(INDEX(_xlfn.TEXTSPLIT(_xlfn.XLOOKUP($A283&amp;$B283&amp;$C283,盘货信息!$A:$A&amp;盘货信息!$B:$B&amp;盘货信息!$C:$C,盘货信息!$S:$S),CHAR(10),,TRUE),1,COLUMN(C282)),"")</f>
        <v/>
      </c>
      <c r="M283" s="18" t="str" cm="1">
        <f t="array" ref="M283">IFERROR(INDEX(_xlfn.TEXTSPLIT(_xlfn.XLOOKUP($A283&amp;$B283&amp;$C283,盘货信息!$A:$A&amp;盘货信息!$B:$B&amp;盘货信息!$C:$C,盘货信息!$S:$S),CHAR(10),,TRUE),1,COLUMN(D282)),"")</f>
        <v/>
      </c>
      <c r="N283" s="18" t="str" cm="1">
        <f t="array" ref="N283">IFERROR(INDEX(_xlfn.TEXTSPLIT(_xlfn.XLOOKUP($A283&amp;$B283&amp;$C283,盘货信息!$A:$A&amp;盘货信息!$B:$B&amp;盘货信息!$C:$C,盘货信息!$S:$S),CHAR(10),,TRUE),1,COLUMN(E282)),"")</f>
        <v/>
      </c>
    </row>
    <row r="284" customHeight="1" spans="1:14">
      <c r="A284" s="17" t="str">
        <f>IF(盘货信息!A284="","",盘货信息!A284)</f>
        <v/>
      </c>
      <c r="B284" s="17" t="str">
        <f>IF(盘货信息!B284="","",盘货信息!B284)</f>
        <v/>
      </c>
      <c r="C284" s="18" t="str">
        <f>IF(盘货信息!C284="","",盘货信息!C284)</f>
        <v/>
      </c>
      <c r="D284" s="18" t="str">
        <f t="shared" si="4"/>
        <v/>
      </c>
      <c r="E284" s="18" t="str">
        <f>_xlfn.LET(_xlpm.A,IF(ISNUMBER(SEARCH("晒单",J284)),"【晒单】"&amp;MID(J284,SEARCH("晒单",J284)+LEN("晒单"),LEN(J284))&amp;"（需晒单后联系客服登记）",IF(ISNUMBER(SEARCH("包修",J284)),"【购机】"&amp;MID(J284,SEARCH("购机",J284)+LEN("购机"),LEN(J284)),IF(ISNUMBER(SEARCH("叠放支架",J284)),"【赠品】"&amp;MID(J284,SEARCH("购机",J284)+LEN("购机"),LEN(J284)),IF(ISNUMBER(SEARCH("秀图",J284)),"【秀图】"&amp;MID(J284,SEARCH("秀图",J284)+LEN("秀图"),LEN(J284)),"")))),IFERROR(LEFT(_xlpm.A,FIND("【",_xlpm.A,FIND("】",_xlpm.A)+1)-1)&amp;MID(_xlpm.A,FIND("】",_xlpm.A,FIND("】",_xlpm.A)+1)+1,LEN(_xlpm.A)),_xlpm.A))</f>
        <v/>
      </c>
      <c r="F284" s="18" t="str">
        <f>_xlfn.LET(_xlpm.A,IF(ISNUMBER(SEARCH("晒单",K284)),"【晒单】"&amp;MID(K284,SEARCH("晒单",K284)+LEN("晒单"),LEN(K284))&amp;"（需晒单后联系客服登记）",IF(ISNUMBER(SEARCH("包修",K284)),"【购机】"&amp;MID(K284,SEARCH("购机",K284)+LEN("购机"),LEN(K284)),IF(ISNUMBER(SEARCH("叠放支架",K284)),"【赠品】"&amp;MID(K284,SEARCH("购机",K284)+LEN("购机"),LEN(K284)),IF(ISNUMBER(SEARCH("秀图",K284)),"【秀图】"&amp;MID(K284,SEARCH("秀图",K284)+LEN("秀图"),LEN(K284)),"")))),IFERROR(LEFT(_xlpm.A,FIND("【",_xlpm.A,FIND("】",_xlpm.A)+1)-1)&amp;MID(_xlpm.A,FIND("】",_xlpm.A,FIND("】",_xlpm.A)+1)+1,LEN(_xlpm.A)),_xlpm.A))</f>
        <v/>
      </c>
      <c r="G284" s="18" t="str">
        <f>_xlfn.LET(_xlpm.A,IF(ISNUMBER(SEARCH("晒单",L284)),"【晒单】"&amp;MID(L284,SEARCH("晒单",L284)+LEN("晒单"),LEN(L284))&amp;"（需晒单后联系客服登记）",IF(ISNUMBER(SEARCH("包修",L284)),"【购机】"&amp;MID(L284,SEARCH("购机",L284)+LEN("购机"),LEN(L284)),IF(ISNUMBER(SEARCH("叠放支架",L284)),"【赠品】"&amp;MID(L284,SEARCH("购机",L284)+LEN("购机"),LEN(L284)),IF(ISNUMBER(SEARCH("秀图",L284)),"【秀图】"&amp;MID(L284,SEARCH("秀图",L284)+LEN("秀图"),LEN(L284)),"")))),IFERROR(LEFT(_xlpm.A,FIND("【",_xlpm.A,FIND("】",_xlpm.A)+1)-1)&amp;MID(_xlpm.A,FIND("】",_xlpm.A,FIND("】",_xlpm.A)+1)+1,LEN(_xlpm.A)),_xlpm.A))</f>
        <v/>
      </c>
      <c r="H284" s="18" t="str">
        <f>_xlfn.LET(_xlpm.A,IF(ISNUMBER(SEARCH("晒单",M284)),"【晒单】"&amp;MID(M284,SEARCH("晒单",M284)+LEN("晒单"),LEN(M284))&amp;"（需晒单后联系客服登记）",IF(ISNUMBER(SEARCH("包修",M284)),"【购机】"&amp;MID(M284,SEARCH("购机",M284)+LEN("购机"),LEN(M284)),IF(ISNUMBER(SEARCH("叠放支架",M284)),"【赠品】"&amp;MID(M284,SEARCH("购机",M284)+LEN("购机"),LEN(M284)),IF(ISNUMBER(SEARCH("秀图",M284)),"【秀图】"&amp;MID(M284,SEARCH("秀图",M284)+LEN("秀图"),LEN(M284)),"")))),IFERROR(LEFT(_xlpm.A,FIND("【",_xlpm.A,FIND("】",_xlpm.A)+1)-1)&amp;MID(_xlpm.A,FIND("】",_xlpm.A,FIND("】",_xlpm.A)+1)+1,LEN(_xlpm.A)),_xlpm.A))</f>
        <v/>
      </c>
      <c r="I284" s="18" t="str">
        <f>_xlfn.LET(_xlpm.A,IF(ISNUMBER(SEARCH("晒单",N284)),"【晒单】"&amp;MID(N284,SEARCH("晒单",N284)+LEN("晒单"),LEN(N284))&amp;"（需晒单后联系客服登记）",IF(ISNUMBER(SEARCH("包修",N284)),"【购机】"&amp;MID(N284,SEARCH("购机",N284)+LEN("购机"),LEN(N284)),IF(ISNUMBER(SEARCH("叠放支架",N284)),"【赠品】"&amp;MID(N284,SEARCH("购机",N284)+LEN("购机"),LEN(N284)),IF(ISNUMBER(SEARCH("秀图",N284)),"【秀图】"&amp;MID(N284,SEARCH("秀图",N284)+LEN("秀图"),LEN(N284)),"")))),IFERROR(LEFT(_xlpm.A,FIND("【",_xlpm.A,FIND("】",_xlpm.A)+1)-1)&amp;MID(_xlpm.A,FIND("】",_xlpm.A,FIND("】",_xlpm.A)+1)+1,LEN(_xlpm.A)),_xlpm.A))</f>
        <v/>
      </c>
      <c r="J284" s="18" t="str" cm="1">
        <f t="array" ref="J284">IFERROR(INDEX(_xlfn.TEXTSPLIT(_xlfn.XLOOKUP($A284&amp;$B284&amp;$C284,盘货信息!$A:$A&amp;盘货信息!$B:$B&amp;盘货信息!$C:$C,盘货信息!$S:$S),CHAR(10),,TRUE),1,COLUMN(A283)),"")</f>
        <v/>
      </c>
      <c r="K284" s="18" t="str" cm="1">
        <f t="array" ref="K284">IFERROR(INDEX(_xlfn.TEXTSPLIT(_xlfn.XLOOKUP($A284&amp;$B284&amp;$C284,盘货信息!$A:$A&amp;盘货信息!$B:$B&amp;盘货信息!$C:$C,盘货信息!$S:$S),CHAR(10),,TRUE),1,COLUMN(B283)),"")</f>
        <v/>
      </c>
      <c r="L284" s="18" t="str" cm="1">
        <f t="array" ref="L284">IFERROR(INDEX(_xlfn.TEXTSPLIT(_xlfn.XLOOKUP($A284&amp;$B284&amp;$C284,盘货信息!$A:$A&amp;盘货信息!$B:$B&amp;盘货信息!$C:$C,盘货信息!$S:$S),CHAR(10),,TRUE),1,COLUMN(C283)),"")</f>
        <v/>
      </c>
      <c r="M284" s="18" t="str" cm="1">
        <f t="array" ref="M284">IFERROR(INDEX(_xlfn.TEXTSPLIT(_xlfn.XLOOKUP($A284&amp;$B284&amp;$C284,盘货信息!$A:$A&amp;盘货信息!$B:$B&amp;盘货信息!$C:$C,盘货信息!$S:$S),CHAR(10),,TRUE),1,COLUMN(D283)),"")</f>
        <v/>
      </c>
      <c r="N284" s="18" t="str" cm="1">
        <f t="array" ref="N284">IFERROR(INDEX(_xlfn.TEXTSPLIT(_xlfn.XLOOKUP($A284&amp;$B284&amp;$C284,盘货信息!$A:$A&amp;盘货信息!$B:$B&amp;盘货信息!$C:$C,盘货信息!$S:$S),CHAR(10),,TRUE),1,COLUMN(E283)),"")</f>
        <v/>
      </c>
    </row>
    <row r="285" customHeight="1" spans="1:14">
      <c r="A285" s="17" t="str">
        <f>IF(盘货信息!A285="","",盘货信息!A285)</f>
        <v/>
      </c>
      <c r="B285" s="17" t="str">
        <f>IF(盘货信息!B285="","",盘货信息!B285)</f>
        <v/>
      </c>
      <c r="C285" s="18" t="str">
        <f>IF(盘货信息!C285="","",盘货信息!C285)</f>
        <v/>
      </c>
      <c r="D285" s="18" t="str">
        <f t="shared" si="4"/>
        <v/>
      </c>
      <c r="E285" s="18" t="str">
        <f>_xlfn.LET(_xlpm.A,IF(ISNUMBER(SEARCH("晒单",J285)),"【晒单】"&amp;MID(J285,SEARCH("晒单",J285)+LEN("晒单"),LEN(J285))&amp;"（需晒单后联系客服登记）",IF(ISNUMBER(SEARCH("包修",J285)),"【购机】"&amp;MID(J285,SEARCH("购机",J285)+LEN("购机"),LEN(J285)),IF(ISNUMBER(SEARCH("叠放支架",J285)),"【赠品】"&amp;MID(J285,SEARCH("购机",J285)+LEN("购机"),LEN(J285)),IF(ISNUMBER(SEARCH("秀图",J285)),"【秀图】"&amp;MID(J285,SEARCH("秀图",J285)+LEN("秀图"),LEN(J285)),"")))),IFERROR(LEFT(_xlpm.A,FIND("【",_xlpm.A,FIND("】",_xlpm.A)+1)-1)&amp;MID(_xlpm.A,FIND("】",_xlpm.A,FIND("】",_xlpm.A)+1)+1,LEN(_xlpm.A)),_xlpm.A))</f>
        <v/>
      </c>
      <c r="F285" s="18" t="str">
        <f>_xlfn.LET(_xlpm.A,IF(ISNUMBER(SEARCH("晒单",K285)),"【晒单】"&amp;MID(K285,SEARCH("晒单",K285)+LEN("晒单"),LEN(K285))&amp;"（需晒单后联系客服登记）",IF(ISNUMBER(SEARCH("包修",K285)),"【购机】"&amp;MID(K285,SEARCH("购机",K285)+LEN("购机"),LEN(K285)),IF(ISNUMBER(SEARCH("叠放支架",K285)),"【赠品】"&amp;MID(K285,SEARCH("购机",K285)+LEN("购机"),LEN(K285)),IF(ISNUMBER(SEARCH("秀图",K285)),"【秀图】"&amp;MID(K285,SEARCH("秀图",K285)+LEN("秀图"),LEN(K285)),"")))),IFERROR(LEFT(_xlpm.A,FIND("【",_xlpm.A,FIND("】",_xlpm.A)+1)-1)&amp;MID(_xlpm.A,FIND("】",_xlpm.A,FIND("】",_xlpm.A)+1)+1,LEN(_xlpm.A)),_xlpm.A))</f>
        <v/>
      </c>
      <c r="G285" s="18" t="str">
        <f>_xlfn.LET(_xlpm.A,IF(ISNUMBER(SEARCH("晒单",L285)),"【晒单】"&amp;MID(L285,SEARCH("晒单",L285)+LEN("晒单"),LEN(L285))&amp;"（需晒单后联系客服登记）",IF(ISNUMBER(SEARCH("包修",L285)),"【购机】"&amp;MID(L285,SEARCH("购机",L285)+LEN("购机"),LEN(L285)),IF(ISNUMBER(SEARCH("叠放支架",L285)),"【赠品】"&amp;MID(L285,SEARCH("购机",L285)+LEN("购机"),LEN(L285)),IF(ISNUMBER(SEARCH("秀图",L285)),"【秀图】"&amp;MID(L285,SEARCH("秀图",L285)+LEN("秀图"),LEN(L285)),"")))),IFERROR(LEFT(_xlpm.A,FIND("【",_xlpm.A,FIND("】",_xlpm.A)+1)-1)&amp;MID(_xlpm.A,FIND("】",_xlpm.A,FIND("】",_xlpm.A)+1)+1,LEN(_xlpm.A)),_xlpm.A))</f>
        <v/>
      </c>
      <c r="H285" s="18" t="str">
        <f>_xlfn.LET(_xlpm.A,IF(ISNUMBER(SEARCH("晒单",M285)),"【晒单】"&amp;MID(M285,SEARCH("晒单",M285)+LEN("晒单"),LEN(M285))&amp;"（需晒单后联系客服登记）",IF(ISNUMBER(SEARCH("包修",M285)),"【购机】"&amp;MID(M285,SEARCH("购机",M285)+LEN("购机"),LEN(M285)),IF(ISNUMBER(SEARCH("叠放支架",M285)),"【赠品】"&amp;MID(M285,SEARCH("购机",M285)+LEN("购机"),LEN(M285)),IF(ISNUMBER(SEARCH("秀图",M285)),"【秀图】"&amp;MID(M285,SEARCH("秀图",M285)+LEN("秀图"),LEN(M285)),"")))),IFERROR(LEFT(_xlpm.A,FIND("【",_xlpm.A,FIND("】",_xlpm.A)+1)-1)&amp;MID(_xlpm.A,FIND("】",_xlpm.A,FIND("】",_xlpm.A)+1)+1,LEN(_xlpm.A)),_xlpm.A))</f>
        <v/>
      </c>
      <c r="I285" s="18" t="str">
        <f>_xlfn.LET(_xlpm.A,IF(ISNUMBER(SEARCH("晒单",N285)),"【晒单】"&amp;MID(N285,SEARCH("晒单",N285)+LEN("晒单"),LEN(N285))&amp;"（需晒单后联系客服登记）",IF(ISNUMBER(SEARCH("包修",N285)),"【购机】"&amp;MID(N285,SEARCH("购机",N285)+LEN("购机"),LEN(N285)),IF(ISNUMBER(SEARCH("叠放支架",N285)),"【赠品】"&amp;MID(N285,SEARCH("购机",N285)+LEN("购机"),LEN(N285)),IF(ISNUMBER(SEARCH("秀图",N285)),"【秀图】"&amp;MID(N285,SEARCH("秀图",N285)+LEN("秀图"),LEN(N285)),"")))),IFERROR(LEFT(_xlpm.A,FIND("【",_xlpm.A,FIND("】",_xlpm.A)+1)-1)&amp;MID(_xlpm.A,FIND("】",_xlpm.A,FIND("】",_xlpm.A)+1)+1,LEN(_xlpm.A)),_xlpm.A))</f>
        <v/>
      </c>
      <c r="J285" s="18" t="str" cm="1">
        <f t="array" ref="J285">IFERROR(INDEX(_xlfn.TEXTSPLIT(_xlfn.XLOOKUP($A285&amp;$B285&amp;$C285,盘货信息!$A:$A&amp;盘货信息!$B:$B&amp;盘货信息!$C:$C,盘货信息!$S:$S),CHAR(10),,TRUE),1,COLUMN(A284)),"")</f>
        <v/>
      </c>
      <c r="K285" s="18" t="str" cm="1">
        <f t="array" ref="K285">IFERROR(INDEX(_xlfn.TEXTSPLIT(_xlfn.XLOOKUP($A285&amp;$B285&amp;$C285,盘货信息!$A:$A&amp;盘货信息!$B:$B&amp;盘货信息!$C:$C,盘货信息!$S:$S),CHAR(10),,TRUE),1,COLUMN(B284)),"")</f>
        <v/>
      </c>
      <c r="L285" s="18" t="str" cm="1">
        <f t="array" ref="L285">IFERROR(INDEX(_xlfn.TEXTSPLIT(_xlfn.XLOOKUP($A285&amp;$B285&amp;$C285,盘货信息!$A:$A&amp;盘货信息!$B:$B&amp;盘货信息!$C:$C,盘货信息!$S:$S),CHAR(10),,TRUE),1,COLUMN(C284)),"")</f>
        <v/>
      </c>
      <c r="M285" s="18" t="str" cm="1">
        <f t="array" ref="M285">IFERROR(INDEX(_xlfn.TEXTSPLIT(_xlfn.XLOOKUP($A285&amp;$B285&amp;$C285,盘货信息!$A:$A&amp;盘货信息!$B:$B&amp;盘货信息!$C:$C,盘货信息!$S:$S),CHAR(10),,TRUE),1,COLUMN(D284)),"")</f>
        <v/>
      </c>
      <c r="N285" s="18" t="str" cm="1">
        <f t="array" ref="N285">IFERROR(INDEX(_xlfn.TEXTSPLIT(_xlfn.XLOOKUP($A285&amp;$B285&amp;$C285,盘货信息!$A:$A&amp;盘货信息!$B:$B&amp;盘货信息!$C:$C,盘货信息!$S:$S),CHAR(10),,TRUE),1,COLUMN(E284)),"")</f>
        <v/>
      </c>
    </row>
    <row r="286" customHeight="1" spans="1:14">
      <c r="A286" s="17" t="str">
        <f>IF(盘货信息!A286="","",盘货信息!A286)</f>
        <v/>
      </c>
      <c r="B286" s="17" t="str">
        <f>IF(盘货信息!B286="","",盘货信息!B286)</f>
        <v/>
      </c>
      <c r="C286" s="18" t="str">
        <f>IF(盘货信息!C286="","",盘货信息!C286)</f>
        <v/>
      </c>
      <c r="D286" s="18" t="str">
        <f t="shared" si="4"/>
        <v/>
      </c>
      <c r="E286" s="18" t="str">
        <f>_xlfn.LET(_xlpm.A,IF(ISNUMBER(SEARCH("晒单",J286)),"【晒单】"&amp;MID(J286,SEARCH("晒单",J286)+LEN("晒单"),LEN(J286))&amp;"（需晒单后联系客服登记）",IF(ISNUMBER(SEARCH("包修",J286)),"【购机】"&amp;MID(J286,SEARCH("购机",J286)+LEN("购机"),LEN(J286)),IF(ISNUMBER(SEARCH("叠放支架",J286)),"【赠品】"&amp;MID(J286,SEARCH("购机",J286)+LEN("购机"),LEN(J286)),IF(ISNUMBER(SEARCH("秀图",J286)),"【秀图】"&amp;MID(J286,SEARCH("秀图",J286)+LEN("秀图"),LEN(J286)),"")))),IFERROR(LEFT(_xlpm.A,FIND("【",_xlpm.A,FIND("】",_xlpm.A)+1)-1)&amp;MID(_xlpm.A,FIND("】",_xlpm.A,FIND("】",_xlpm.A)+1)+1,LEN(_xlpm.A)),_xlpm.A))</f>
        <v/>
      </c>
      <c r="F286" s="18" t="str">
        <f>_xlfn.LET(_xlpm.A,IF(ISNUMBER(SEARCH("晒单",K286)),"【晒单】"&amp;MID(K286,SEARCH("晒单",K286)+LEN("晒单"),LEN(K286))&amp;"（需晒单后联系客服登记）",IF(ISNUMBER(SEARCH("包修",K286)),"【购机】"&amp;MID(K286,SEARCH("购机",K286)+LEN("购机"),LEN(K286)),IF(ISNUMBER(SEARCH("叠放支架",K286)),"【赠品】"&amp;MID(K286,SEARCH("购机",K286)+LEN("购机"),LEN(K286)),IF(ISNUMBER(SEARCH("秀图",K286)),"【秀图】"&amp;MID(K286,SEARCH("秀图",K286)+LEN("秀图"),LEN(K286)),"")))),IFERROR(LEFT(_xlpm.A,FIND("【",_xlpm.A,FIND("】",_xlpm.A)+1)-1)&amp;MID(_xlpm.A,FIND("】",_xlpm.A,FIND("】",_xlpm.A)+1)+1,LEN(_xlpm.A)),_xlpm.A))</f>
        <v/>
      </c>
      <c r="G286" s="18" t="str">
        <f>_xlfn.LET(_xlpm.A,IF(ISNUMBER(SEARCH("晒单",L286)),"【晒单】"&amp;MID(L286,SEARCH("晒单",L286)+LEN("晒单"),LEN(L286))&amp;"（需晒单后联系客服登记）",IF(ISNUMBER(SEARCH("包修",L286)),"【购机】"&amp;MID(L286,SEARCH("购机",L286)+LEN("购机"),LEN(L286)),IF(ISNUMBER(SEARCH("叠放支架",L286)),"【赠品】"&amp;MID(L286,SEARCH("购机",L286)+LEN("购机"),LEN(L286)),IF(ISNUMBER(SEARCH("秀图",L286)),"【秀图】"&amp;MID(L286,SEARCH("秀图",L286)+LEN("秀图"),LEN(L286)),"")))),IFERROR(LEFT(_xlpm.A,FIND("【",_xlpm.A,FIND("】",_xlpm.A)+1)-1)&amp;MID(_xlpm.A,FIND("】",_xlpm.A,FIND("】",_xlpm.A)+1)+1,LEN(_xlpm.A)),_xlpm.A))</f>
        <v/>
      </c>
      <c r="H286" s="18" t="str">
        <f>_xlfn.LET(_xlpm.A,IF(ISNUMBER(SEARCH("晒单",M286)),"【晒单】"&amp;MID(M286,SEARCH("晒单",M286)+LEN("晒单"),LEN(M286))&amp;"（需晒单后联系客服登记）",IF(ISNUMBER(SEARCH("包修",M286)),"【购机】"&amp;MID(M286,SEARCH("购机",M286)+LEN("购机"),LEN(M286)),IF(ISNUMBER(SEARCH("叠放支架",M286)),"【赠品】"&amp;MID(M286,SEARCH("购机",M286)+LEN("购机"),LEN(M286)),IF(ISNUMBER(SEARCH("秀图",M286)),"【秀图】"&amp;MID(M286,SEARCH("秀图",M286)+LEN("秀图"),LEN(M286)),"")))),IFERROR(LEFT(_xlpm.A,FIND("【",_xlpm.A,FIND("】",_xlpm.A)+1)-1)&amp;MID(_xlpm.A,FIND("】",_xlpm.A,FIND("】",_xlpm.A)+1)+1,LEN(_xlpm.A)),_xlpm.A))</f>
        <v/>
      </c>
      <c r="I286" s="18" t="str">
        <f>_xlfn.LET(_xlpm.A,IF(ISNUMBER(SEARCH("晒单",N286)),"【晒单】"&amp;MID(N286,SEARCH("晒单",N286)+LEN("晒单"),LEN(N286))&amp;"（需晒单后联系客服登记）",IF(ISNUMBER(SEARCH("包修",N286)),"【购机】"&amp;MID(N286,SEARCH("购机",N286)+LEN("购机"),LEN(N286)),IF(ISNUMBER(SEARCH("叠放支架",N286)),"【赠品】"&amp;MID(N286,SEARCH("购机",N286)+LEN("购机"),LEN(N286)),IF(ISNUMBER(SEARCH("秀图",N286)),"【秀图】"&amp;MID(N286,SEARCH("秀图",N286)+LEN("秀图"),LEN(N286)),"")))),IFERROR(LEFT(_xlpm.A,FIND("【",_xlpm.A,FIND("】",_xlpm.A)+1)-1)&amp;MID(_xlpm.A,FIND("】",_xlpm.A,FIND("】",_xlpm.A)+1)+1,LEN(_xlpm.A)),_xlpm.A))</f>
        <v/>
      </c>
      <c r="J286" s="18" t="str" cm="1">
        <f t="array" ref="J286">IFERROR(INDEX(_xlfn.TEXTSPLIT(_xlfn.XLOOKUP($A286&amp;$B286&amp;$C286,盘货信息!$A:$A&amp;盘货信息!$B:$B&amp;盘货信息!$C:$C,盘货信息!$S:$S),CHAR(10),,TRUE),1,COLUMN(A285)),"")</f>
        <v/>
      </c>
      <c r="K286" s="18" t="str" cm="1">
        <f t="array" ref="K286">IFERROR(INDEX(_xlfn.TEXTSPLIT(_xlfn.XLOOKUP($A286&amp;$B286&amp;$C286,盘货信息!$A:$A&amp;盘货信息!$B:$B&amp;盘货信息!$C:$C,盘货信息!$S:$S),CHAR(10),,TRUE),1,COLUMN(B285)),"")</f>
        <v/>
      </c>
      <c r="L286" s="18" t="str" cm="1">
        <f t="array" ref="L286">IFERROR(INDEX(_xlfn.TEXTSPLIT(_xlfn.XLOOKUP($A286&amp;$B286&amp;$C286,盘货信息!$A:$A&amp;盘货信息!$B:$B&amp;盘货信息!$C:$C,盘货信息!$S:$S),CHAR(10),,TRUE),1,COLUMN(C285)),"")</f>
        <v/>
      </c>
      <c r="M286" s="18" t="str" cm="1">
        <f t="array" ref="M286">IFERROR(INDEX(_xlfn.TEXTSPLIT(_xlfn.XLOOKUP($A286&amp;$B286&amp;$C286,盘货信息!$A:$A&amp;盘货信息!$B:$B&amp;盘货信息!$C:$C,盘货信息!$S:$S),CHAR(10),,TRUE),1,COLUMN(D285)),"")</f>
        <v/>
      </c>
      <c r="N286" s="18" t="str" cm="1">
        <f t="array" ref="N286">IFERROR(INDEX(_xlfn.TEXTSPLIT(_xlfn.XLOOKUP($A286&amp;$B286&amp;$C286,盘货信息!$A:$A&amp;盘货信息!$B:$B&amp;盘货信息!$C:$C,盘货信息!$S:$S),CHAR(10),,TRUE),1,COLUMN(E285)),"")</f>
        <v/>
      </c>
    </row>
    <row r="287" customHeight="1" spans="1:14">
      <c r="A287" s="17" t="str">
        <f>IF(盘货信息!A287="","",盘货信息!A287)</f>
        <v/>
      </c>
      <c r="B287" s="17" t="str">
        <f>IF(盘货信息!B287="","",盘货信息!B287)</f>
        <v/>
      </c>
      <c r="C287" s="18" t="str">
        <f>IF(盘货信息!C287="","",盘货信息!C287)</f>
        <v/>
      </c>
      <c r="D287" s="18" t="str">
        <f t="shared" si="4"/>
        <v/>
      </c>
      <c r="E287" s="18" t="str">
        <f>_xlfn.LET(_xlpm.A,IF(ISNUMBER(SEARCH("晒单",J287)),"【晒单】"&amp;MID(J287,SEARCH("晒单",J287)+LEN("晒单"),LEN(J287))&amp;"（需晒单后联系客服登记）",IF(ISNUMBER(SEARCH("包修",J287)),"【购机】"&amp;MID(J287,SEARCH("购机",J287)+LEN("购机"),LEN(J287)),IF(ISNUMBER(SEARCH("叠放支架",J287)),"【赠品】"&amp;MID(J287,SEARCH("购机",J287)+LEN("购机"),LEN(J287)),IF(ISNUMBER(SEARCH("秀图",J287)),"【秀图】"&amp;MID(J287,SEARCH("秀图",J287)+LEN("秀图"),LEN(J287)),"")))),IFERROR(LEFT(_xlpm.A,FIND("【",_xlpm.A,FIND("】",_xlpm.A)+1)-1)&amp;MID(_xlpm.A,FIND("】",_xlpm.A,FIND("】",_xlpm.A)+1)+1,LEN(_xlpm.A)),_xlpm.A))</f>
        <v/>
      </c>
      <c r="F287" s="18" t="str">
        <f>_xlfn.LET(_xlpm.A,IF(ISNUMBER(SEARCH("晒单",K287)),"【晒单】"&amp;MID(K287,SEARCH("晒单",K287)+LEN("晒单"),LEN(K287))&amp;"（需晒单后联系客服登记）",IF(ISNUMBER(SEARCH("包修",K287)),"【购机】"&amp;MID(K287,SEARCH("购机",K287)+LEN("购机"),LEN(K287)),IF(ISNUMBER(SEARCH("叠放支架",K287)),"【赠品】"&amp;MID(K287,SEARCH("购机",K287)+LEN("购机"),LEN(K287)),IF(ISNUMBER(SEARCH("秀图",K287)),"【秀图】"&amp;MID(K287,SEARCH("秀图",K287)+LEN("秀图"),LEN(K287)),"")))),IFERROR(LEFT(_xlpm.A,FIND("【",_xlpm.A,FIND("】",_xlpm.A)+1)-1)&amp;MID(_xlpm.A,FIND("】",_xlpm.A,FIND("】",_xlpm.A)+1)+1,LEN(_xlpm.A)),_xlpm.A))</f>
        <v/>
      </c>
      <c r="G287" s="18" t="str">
        <f>_xlfn.LET(_xlpm.A,IF(ISNUMBER(SEARCH("晒单",L287)),"【晒单】"&amp;MID(L287,SEARCH("晒单",L287)+LEN("晒单"),LEN(L287))&amp;"（需晒单后联系客服登记）",IF(ISNUMBER(SEARCH("包修",L287)),"【购机】"&amp;MID(L287,SEARCH("购机",L287)+LEN("购机"),LEN(L287)),IF(ISNUMBER(SEARCH("叠放支架",L287)),"【赠品】"&amp;MID(L287,SEARCH("购机",L287)+LEN("购机"),LEN(L287)),IF(ISNUMBER(SEARCH("秀图",L287)),"【秀图】"&amp;MID(L287,SEARCH("秀图",L287)+LEN("秀图"),LEN(L287)),"")))),IFERROR(LEFT(_xlpm.A,FIND("【",_xlpm.A,FIND("】",_xlpm.A)+1)-1)&amp;MID(_xlpm.A,FIND("】",_xlpm.A,FIND("】",_xlpm.A)+1)+1,LEN(_xlpm.A)),_xlpm.A))</f>
        <v/>
      </c>
      <c r="H287" s="18" t="str">
        <f>_xlfn.LET(_xlpm.A,IF(ISNUMBER(SEARCH("晒单",M287)),"【晒单】"&amp;MID(M287,SEARCH("晒单",M287)+LEN("晒单"),LEN(M287))&amp;"（需晒单后联系客服登记）",IF(ISNUMBER(SEARCH("包修",M287)),"【购机】"&amp;MID(M287,SEARCH("购机",M287)+LEN("购机"),LEN(M287)),IF(ISNUMBER(SEARCH("叠放支架",M287)),"【赠品】"&amp;MID(M287,SEARCH("购机",M287)+LEN("购机"),LEN(M287)),IF(ISNUMBER(SEARCH("秀图",M287)),"【秀图】"&amp;MID(M287,SEARCH("秀图",M287)+LEN("秀图"),LEN(M287)),"")))),IFERROR(LEFT(_xlpm.A,FIND("【",_xlpm.A,FIND("】",_xlpm.A)+1)-1)&amp;MID(_xlpm.A,FIND("】",_xlpm.A,FIND("】",_xlpm.A)+1)+1,LEN(_xlpm.A)),_xlpm.A))</f>
        <v/>
      </c>
      <c r="I287" s="18" t="str">
        <f>_xlfn.LET(_xlpm.A,IF(ISNUMBER(SEARCH("晒单",N287)),"【晒单】"&amp;MID(N287,SEARCH("晒单",N287)+LEN("晒单"),LEN(N287))&amp;"（需晒单后联系客服登记）",IF(ISNUMBER(SEARCH("包修",N287)),"【购机】"&amp;MID(N287,SEARCH("购机",N287)+LEN("购机"),LEN(N287)),IF(ISNUMBER(SEARCH("叠放支架",N287)),"【赠品】"&amp;MID(N287,SEARCH("购机",N287)+LEN("购机"),LEN(N287)),IF(ISNUMBER(SEARCH("秀图",N287)),"【秀图】"&amp;MID(N287,SEARCH("秀图",N287)+LEN("秀图"),LEN(N287)),"")))),IFERROR(LEFT(_xlpm.A,FIND("【",_xlpm.A,FIND("】",_xlpm.A)+1)-1)&amp;MID(_xlpm.A,FIND("】",_xlpm.A,FIND("】",_xlpm.A)+1)+1,LEN(_xlpm.A)),_xlpm.A))</f>
        <v/>
      </c>
      <c r="J287" s="18" t="str" cm="1">
        <f t="array" ref="J287">IFERROR(INDEX(_xlfn.TEXTSPLIT(_xlfn.XLOOKUP($A287&amp;$B287&amp;$C287,盘货信息!$A:$A&amp;盘货信息!$B:$B&amp;盘货信息!$C:$C,盘货信息!$S:$S),CHAR(10),,TRUE),1,COLUMN(A286)),"")</f>
        <v/>
      </c>
      <c r="K287" s="18" t="str" cm="1">
        <f t="array" ref="K287">IFERROR(INDEX(_xlfn.TEXTSPLIT(_xlfn.XLOOKUP($A287&amp;$B287&amp;$C287,盘货信息!$A:$A&amp;盘货信息!$B:$B&amp;盘货信息!$C:$C,盘货信息!$S:$S),CHAR(10),,TRUE),1,COLUMN(B286)),"")</f>
        <v/>
      </c>
      <c r="L287" s="18" t="str" cm="1">
        <f t="array" ref="L287">IFERROR(INDEX(_xlfn.TEXTSPLIT(_xlfn.XLOOKUP($A287&amp;$B287&amp;$C287,盘货信息!$A:$A&amp;盘货信息!$B:$B&amp;盘货信息!$C:$C,盘货信息!$S:$S),CHAR(10),,TRUE),1,COLUMN(C286)),"")</f>
        <v/>
      </c>
      <c r="M287" s="18" t="str" cm="1">
        <f t="array" ref="M287">IFERROR(INDEX(_xlfn.TEXTSPLIT(_xlfn.XLOOKUP($A287&amp;$B287&amp;$C287,盘货信息!$A:$A&amp;盘货信息!$B:$B&amp;盘货信息!$C:$C,盘货信息!$S:$S),CHAR(10),,TRUE),1,COLUMN(D286)),"")</f>
        <v/>
      </c>
      <c r="N287" s="18" t="str" cm="1">
        <f t="array" ref="N287">IFERROR(INDEX(_xlfn.TEXTSPLIT(_xlfn.XLOOKUP($A287&amp;$B287&amp;$C287,盘货信息!$A:$A&amp;盘货信息!$B:$B&amp;盘货信息!$C:$C,盘货信息!$S:$S),CHAR(10),,TRUE),1,COLUMN(E286)),"")</f>
        <v/>
      </c>
    </row>
    <row r="288" customHeight="1" spans="1:14">
      <c r="A288" s="17" t="str">
        <f>IF(盘货信息!A288="","",盘货信息!A288)</f>
        <v/>
      </c>
      <c r="B288" s="17" t="str">
        <f>IF(盘货信息!B288="","",盘货信息!B288)</f>
        <v/>
      </c>
      <c r="C288" s="18" t="str">
        <f>IF(盘货信息!C288="","",盘货信息!C288)</f>
        <v/>
      </c>
      <c r="D288" s="18" t="str">
        <f t="shared" si="4"/>
        <v/>
      </c>
      <c r="E288" s="18" t="str">
        <f>_xlfn.LET(_xlpm.A,IF(ISNUMBER(SEARCH("晒单",J288)),"【晒单】"&amp;MID(J288,SEARCH("晒单",J288)+LEN("晒单"),LEN(J288))&amp;"（需晒单后联系客服登记）",IF(ISNUMBER(SEARCH("包修",J288)),"【购机】"&amp;MID(J288,SEARCH("购机",J288)+LEN("购机"),LEN(J288)),IF(ISNUMBER(SEARCH("叠放支架",J288)),"【赠品】"&amp;MID(J288,SEARCH("购机",J288)+LEN("购机"),LEN(J288)),IF(ISNUMBER(SEARCH("秀图",J288)),"【秀图】"&amp;MID(J288,SEARCH("秀图",J288)+LEN("秀图"),LEN(J288)),"")))),IFERROR(LEFT(_xlpm.A,FIND("【",_xlpm.A,FIND("】",_xlpm.A)+1)-1)&amp;MID(_xlpm.A,FIND("】",_xlpm.A,FIND("】",_xlpm.A)+1)+1,LEN(_xlpm.A)),_xlpm.A))</f>
        <v/>
      </c>
      <c r="F288" s="18" t="str">
        <f>_xlfn.LET(_xlpm.A,IF(ISNUMBER(SEARCH("晒单",K288)),"【晒单】"&amp;MID(K288,SEARCH("晒单",K288)+LEN("晒单"),LEN(K288))&amp;"（需晒单后联系客服登记）",IF(ISNUMBER(SEARCH("包修",K288)),"【购机】"&amp;MID(K288,SEARCH("购机",K288)+LEN("购机"),LEN(K288)),IF(ISNUMBER(SEARCH("叠放支架",K288)),"【赠品】"&amp;MID(K288,SEARCH("购机",K288)+LEN("购机"),LEN(K288)),IF(ISNUMBER(SEARCH("秀图",K288)),"【秀图】"&amp;MID(K288,SEARCH("秀图",K288)+LEN("秀图"),LEN(K288)),"")))),IFERROR(LEFT(_xlpm.A,FIND("【",_xlpm.A,FIND("】",_xlpm.A)+1)-1)&amp;MID(_xlpm.A,FIND("】",_xlpm.A,FIND("】",_xlpm.A)+1)+1,LEN(_xlpm.A)),_xlpm.A))</f>
        <v/>
      </c>
      <c r="G288" s="18" t="str">
        <f>_xlfn.LET(_xlpm.A,IF(ISNUMBER(SEARCH("晒单",L288)),"【晒单】"&amp;MID(L288,SEARCH("晒单",L288)+LEN("晒单"),LEN(L288))&amp;"（需晒单后联系客服登记）",IF(ISNUMBER(SEARCH("包修",L288)),"【购机】"&amp;MID(L288,SEARCH("购机",L288)+LEN("购机"),LEN(L288)),IF(ISNUMBER(SEARCH("叠放支架",L288)),"【赠品】"&amp;MID(L288,SEARCH("购机",L288)+LEN("购机"),LEN(L288)),IF(ISNUMBER(SEARCH("秀图",L288)),"【秀图】"&amp;MID(L288,SEARCH("秀图",L288)+LEN("秀图"),LEN(L288)),"")))),IFERROR(LEFT(_xlpm.A,FIND("【",_xlpm.A,FIND("】",_xlpm.A)+1)-1)&amp;MID(_xlpm.A,FIND("】",_xlpm.A,FIND("】",_xlpm.A)+1)+1,LEN(_xlpm.A)),_xlpm.A))</f>
        <v/>
      </c>
      <c r="H288" s="18" t="str">
        <f>_xlfn.LET(_xlpm.A,IF(ISNUMBER(SEARCH("晒单",M288)),"【晒单】"&amp;MID(M288,SEARCH("晒单",M288)+LEN("晒单"),LEN(M288))&amp;"（需晒单后联系客服登记）",IF(ISNUMBER(SEARCH("包修",M288)),"【购机】"&amp;MID(M288,SEARCH("购机",M288)+LEN("购机"),LEN(M288)),IF(ISNUMBER(SEARCH("叠放支架",M288)),"【赠品】"&amp;MID(M288,SEARCH("购机",M288)+LEN("购机"),LEN(M288)),IF(ISNUMBER(SEARCH("秀图",M288)),"【秀图】"&amp;MID(M288,SEARCH("秀图",M288)+LEN("秀图"),LEN(M288)),"")))),IFERROR(LEFT(_xlpm.A,FIND("【",_xlpm.A,FIND("】",_xlpm.A)+1)-1)&amp;MID(_xlpm.A,FIND("】",_xlpm.A,FIND("】",_xlpm.A)+1)+1,LEN(_xlpm.A)),_xlpm.A))</f>
        <v/>
      </c>
      <c r="I288" s="18" t="str">
        <f>_xlfn.LET(_xlpm.A,IF(ISNUMBER(SEARCH("晒单",N288)),"【晒单】"&amp;MID(N288,SEARCH("晒单",N288)+LEN("晒单"),LEN(N288))&amp;"（需晒单后联系客服登记）",IF(ISNUMBER(SEARCH("包修",N288)),"【购机】"&amp;MID(N288,SEARCH("购机",N288)+LEN("购机"),LEN(N288)),IF(ISNUMBER(SEARCH("叠放支架",N288)),"【赠品】"&amp;MID(N288,SEARCH("购机",N288)+LEN("购机"),LEN(N288)),IF(ISNUMBER(SEARCH("秀图",N288)),"【秀图】"&amp;MID(N288,SEARCH("秀图",N288)+LEN("秀图"),LEN(N288)),"")))),IFERROR(LEFT(_xlpm.A,FIND("【",_xlpm.A,FIND("】",_xlpm.A)+1)-1)&amp;MID(_xlpm.A,FIND("】",_xlpm.A,FIND("】",_xlpm.A)+1)+1,LEN(_xlpm.A)),_xlpm.A))</f>
        <v/>
      </c>
      <c r="J288" s="18" t="str" cm="1">
        <f t="array" ref="J288">IFERROR(INDEX(_xlfn.TEXTSPLIT(_xlfn.XLOOKUP($A288&amp;$B288&amp;$C288,盘货信息!$A:$A&amp;盘货信息!$B:$B&amp;盘货信息!$C:$C,盘货信息!$S:$S),CHAR(10),,TRUE),1,COLUMN(A287)),"")</f>
        <v/>
      </c>
      <c r="K288" s="18" t="str" cm="1">
        <f t="array" ref="K288">IFERROR(INDEX(_xlfn.TEXTSPLIT(_xlfn.XLOOKUP($A288&amp;$B288&amp;$C288,盘货信息!$A:$A&amp;盘货信息!$B:$B&amp;盘货信息!$C:$C,盘货信息!$S:$S),CHAR(10),,TRUE),1,COLUMN(B287)),"")</f>
        <v/>
      </c>
      <c r="L288" s="18" t="str" cm="1">
        <f t="array" ref="L288">IFERROR(INDEX(_xlfn.TEXTSPLIT(_xlfn.XLOOKUP($A288&amp;$B288&amp;$C288,盘货信息!$A:$A&amp;盘货信息!$B:$B&amp;盘货信息!$C:$C,盘货信息!$S:$S),CHAR(10),,TRUE),1,COLUMN(C287)),"")</f>
        <v/>
      </c>
      <c r="M288" s="18" t="str" cm="1">
        <f t="array" ref="M288">IFERROR(INDEX(_xlfn.TEXTSPLIT(_xlfn.XLOOKUP($A288&amp;$B288&amp;$C288,盘货信息!$A:$A&amp;盘货信息!$B:$B&amp;盘货信息!$C:$C,盘货信息!$S:$S),CHAR(10),,TRUE),1,COLUMN(D287)),"")</f>
        <v/>
      </c>
      <c r="N288" s="18" t="str" cm="1">
        <f t="array" ref="N288">IFERROR(INDEX(_xlfn.TEXTSPLIT(_xlfn.XLOOKUP($A288&amp;$B288&amp;$C288,盘货信息!$A:$A&amp;盘货信息!$B:$B&amp;盘货信息!$C:$C,盘货信息!$S:$S),CHAR(10),,TRUE),1,COLUMN(E287)),"")</f>
        <v/>
      </c>
    </row>
    <row r="289" customHeight="1" spans="1:14">
      <c r="A289" s="17" t="str">
        <f>IF(盘货信息!A289="","",盘货信息!A289)</f>
        <v/>
      </c>
      <c r="B289" s="17" t="str">
        <f>IF(盘货信息!B289="","",盘货信息!B289)</f>
        <v/>
      </c>
      <c r="C289" s="18" t="str">
        <f>IF(盘货信息!C289="","",盘货信息!C289)</f>
        <v/>
      </c>
      <c r="D289" s="18" t="str">
        <f t="shared" si="4"/>
        <v/>
      </c>
      <c r="E289" s="18" t="str">
        <f>_xlfn.LET(_xlpm.A,IF(ISNUMBER(SEARCH("晒单",J289)),"【晒单】"&amp;MID(J289,SEARCH("晒单",J289)+LEN("晒单"),LEN(J289))&amp;"（需晒单后联系客服登记）",IF(ISNUMBER(SEARCH("包修",J289)),"【购机】"&amp;MID(J289,SEARCH("购机",J289)+LEN("购机"),LEN(J289)),IF(ISNUMBER(SEARCH("叠放支架",J289)),"【赠品】"&amp;MID(J289,SEARCH("购机",J289)+LEN("购机"),LEN(J289)),IF(ISNUMBER(SEARCH("秀图",J289)),"【秀图】"&amp;MID(J289,SEARCH("秀图",J289)+LEN("秀图"),LEN(J289)),"")))),IFERROR(LEFT(_xlpm.A,FIND("【",_xlpm.A,FIND("】",_xlpm.A)+1)-1)&amp;MID(_xlpm.A,FIND("】",_xlpm.A,FIND("】",_xlpm.A)+1)+1,LEN(_xlpm.A)),_xlpm.A))</f>
        <v/>
      </c>
      <c r="F289" s="18" t="str">
        <f>_xlfn.LET(_xlpm.A,IF(ISNUMBER(SEARCH("晒单",K289)),"【晒单】"&amp;MID(K289,SEARCH("晒单",K289)+LEN("晒单"),LEN(K289))&amp;"（需晒单后联系客服登记）",IF(ISNUMBER(SEARCH("包修",K289)),"【购机】"&amp;MID(K289,SEARCH("购机",K289)+LEN("购机"),LEN(K289)),IF(ISNUMBER(SEARCH("叠放支架",K289)),"【赠品】"&amp;MID(K289,SEARCH("购机",K289)+LEN("购机"),LEN(K289)),IF(ISNUMBER(SEARCH("秀图",K289)),"【秀图】"&amp;MID(K289,SEARCH("秀图",K289)+LEN("秀图"),LEN(K289)),"")))),IFERROR(LEFT(_xlpm.A,FIND("【",_xlpm.A,FIND("】",_xlpm.A)+1)-1)&amp;MID(_xlpm.A,FIND("】",_xlpm.A,FIND("】",_xlpm.A)+1)+1,LEN(_xlpm.A)),_xlpm.A))</f>
        <v/>
      </c>
      <c r="G289" s="18" t="str">
        <f>_xlfn.LET(_xlpm.A,IF(ISNUMBER(SEARCH("晒单",L289)),"【晒单】"&amp;MID(L289,SEARCH("晒单",L289)+LEN("晒单"),LEN(L289))&amp;"（需晒单后联系客服登记）",IF(ISNUMBER(SEARCH("包修",L289)),"【购机】"&amp;MID(L289,SEARCH("购机",L289)+LEN("购机"),LEN(L289)),IF(ISNUMBER(SEARCH("叠放支架",L289)),"【赠品】"&amp;MID(L289,SEARCH("购机",L289)+LEN("购机"),LEN(L289)),IF(ISNUMBER(SEARCH("秀图",L289)),"【秀图】"&amp;MID(L289,SEARCH("秀图",L289)+LEN("秀图"),LEN(L289)),"")))),IFERROR(LEFT(_xlpm.A,FIND("【",_xlpm.A,FIND("】",_xlpm.A)+1)-1)&amp;MID(_xlpm.A,FIND("】",_xlpm.A,FIND("】",_xlpm.A)+1)+1,LEN(_xlpm.A)),_xlpm.A))</f>
        <v/>
      </c>
      <c r="H289" s="18" t="str">
        <f>_xlfn.LET(_xlpm.A,IF(ISNUMBER(SEARCH("晒单",M289)),"【晒单】"&amp;MID(M289,SEARCH("晒单",M289)+LEN("晒单"),LEN(M289))&amp;"（需晒单后联系客服登记）",IF(ISNUMBER(SEARCH("包修",M289)),"【购机】"&amp;MID(M289,SEARCH("购机",M289)+LEN("购机"),LEN(M289)),IF(ISNUMBER(SEARCH("叠放支架",M289)),"【赠品】"&amp;MID(M289,SEARCH("购机",M289)+LEN("购机"),LEN(M289)),IF(ISNUMBER(SEARCH("秀图",M289)),"【秀图】"&amp;MID(M289,SEARCH("秀图",M289)+LEN("秀图"),LEN(M289)),"")))),IFERROR(LEFT(_xlpm.A,FIND("【",_xlpm.A,FIND("】",_xlpm.A)+1)-1)&amp;MID(_xlpm.A,FIND("】",_xlpm.A,FIND("】",_xlpm.A)+1)+1,LEN(_xlpm.A)),_xlpm.A))</f>
        <v/>
      </c>
      <c r="I289" s="18" t="str">
        <f>_xlfn.LET(_xlpm.A,IF(ISNUMBER(SEARCH("晒单",N289)),"【晒单】"&amp;MID(N289,SEARCH("晒单",N289)+LEN("晒单"),LEN(N289))&amp;"（需晒单后联系客服登记）",IF(ISNUMBER(SEARCH("包修",N289)),"【购机】"&amp;MID(N289,SEARCH("购机",N289)+LEN("购机"),LEN(N289)),IF(ISNUMBER(SEARCH("叠放支架",N289)),"【赠品】"&amp;MID(N289,SEARCH("购机",N289)+LEN("购机"),LEN(N289)),IF(ISNUMBER(SEARCH("秀图",N289)),"【秀图】"&amp;MID(N289,SEARCH("秀图",N289)+LEN("秀图"),LEN(N289)),"")))),IFERROR(LEFT(_xlpm.A,FIND("【",_xlpm.A,FIND("】",_xlpm.A)+1)-1)&amp;MID(_xlpm.A,FIND("】",_xlpm.A,FIND("】",_xlpm.A)+1)+1,LEN(_xlpm.A)),_xlpm.A))</f>
        <v/>
      </c>
      <c r="J289" s="18" t="str" cm="1">
        <f t="array" ref="J289">IFERROR(INDEX(_xlfn.TEXTSPLIT(_xlfn.XLOOKUP($A289&amp;$B289&amp;$C289,盘货信息!$A:$A&amp;盘货信息!$B:$B&amp;盘货信息!$C:$C,盘货信息!$S:$S),CHAR(10),,TRUE),1,COLUMN(A288)),"")</f>
        <v/>
      </c>
      <c r="K289" s="18" t="str" cm="1">
        <f t="array" ref="K289">IFERROR(INDEX(_xlfn.TEXTSPLIT(_xlfn.XLOOKUP($A289&amp;$B289&amp;$C289,盘货信息!$A:$A&amp;盘货信息!$B:$B&amp;盘货信息!$C:$C,盘货信息!$S:$S),CHAR(10),,TRUE),1,COLUMN(B288)),"")</f>
        <v/>
      </c>
      <c r="L289" s="18" t="str" cm="1">
        <f t="array" ref="L289">IFERROR(INDEX(_xlfn.TEXTSPLIT(_xlfn.XLOOKUP($A289&amp;$B289&amp;$C289,盘货信息!$A:$A&amp;盘货信息!$B:$B&amp;盘货信息!$C:$C,盘货信息!$S:$S),CHAR(10),,TRUE),1,COLUMN(C288)),"")</f>
        <v/>
      </c>
      <c r="M289" s="18" t="str" cm="1">
        <f t="array" ref="M289">IFERROR(INDEX(_xlfn.TEXTSPLIT(_xlfn.XLOOKUP($A289&amp;$B289&amp;$C289,盘货信息!$A:$A&amp;盘货信息!$B:$B&amp;盘货信息!$C:$C,盘货信息!$S:$S),CHAR(10),,TRUE),1,COLUMN(D288)),"")</f>
        <v/>
      </c>
      <c r="N289" s="18" t="str" cm="1">
        <f t="array" ref="N289">IFERROR(INDEX(_xlfn.TEXTSPLIT(_xlfn.XLOOKUP($A289&amp;$B289&amp;$C289,盘货信息!$A:$A&amp;盘货信息!$B:$B&amp;盘货信息!$C:$C,盘货信息!$S:$S),CHAR(10),,TRUE),1,COLUMN(E288)),"")</f>
        <v/>
      </c>
    </row>
    <row r="290" customHeight="1" spans="1:14">
      <c r="A290" s="17" t="str">
        <f>IF(盘货信息!A290="","",盘货信息!A290)</f>
        <v/>
      </c>
      <c r="B290" s="17" t="str">
        <f>IF(盘货信息!B290="","",盘货信息!B290)</f>
        <v/>
      </c>
      <c r="C290" s="18" t="str">
        <f>IF(盘货信息!C290="","",盘货信息!C290)</f>
        <v/>
      </c>
      <c r="D290" s="18" t="str">
        <f t="shared" si="4"/>
        <v/>
      </c>
      <c r="E290" s="18" t="str">
        <f>_xlfn.LET(_xlpm.A,IF(ISNUMBER(SEARCH("晒单",J290)),"【晒单】"&amp;MID(J290,SEARCH("晒单",J290)+LEN("晒单"),LEN(J290))&amp;"（需晒单后联系客服登记）",IF(ISNUMBER(SEARCH("包修",J290)),"【购机】"&amp;MID(J290,SEARCH("购机",J290)+LEN("购机"),LEN(J290)),IF(ISNUMBER(SEARCH("叠放支架",J290)),"【赠品】"&amp;MID(J290,SEARCH("购机",J290)+LEN("购机"),LEN(J290)),IF(ISNUMBER(SEARCH("秀图",J290)),"【秀图】"&amp;MID(J290,SEARCH("秀图",J290)+LEN("秀图"),LEN(J290)),"")))),IFERROR(LEFT(_xlpm.A,FIND("【",_xlpm.A,FIND("】",_xlpm.A)+1)-1)&amp;MID(_xlpm.A,FIND("】",_xlpm.A,FIND("】",_xlpm.A)+1)+1,LEN(_xlpm.A)),_xlpm.A))</f>
        <v/>
      </c>
      <c r="F290" s="18" t="str">
        <f>_xlfn.LET(_xlpm.A,IF(ISNUMBER(SEARCH("晒单",K290)),"【晒单】"&amp;MID(K290,SEARCH("晒单",K290)+LEN("晒单"),LEN(K290))&amp;"（需晒单后联系客服登记）",IF(ISNUMBER(SEARCH("包修",K290)),"【购机】"&amp;MID(K290,SEARCH("购机",K290)+LEN("购机"),LEN(K290)),IF(ISNUMBER(SEARCH("叠放支架",K290)),"【赠品】"&amp;MID(K290,SEARCH("购机",K290)+LEN("购机"),LEN(K290)),IF(ISNUMBER(SEARCH("秀图",K290)),"【秀图】"&amp;MID(K290,SEARCH("秀图",K290)+LEN("秀图"),LEN(K290)),"")))),IFERROR(LEFT(_xlpm.A,FIND("【",_xlpm.A,FIND("】",_xlpm.A)+1)-1)&amp;MID(_xlpm.A,FIND("】",_xlpm.A,FIND("】",_xlpm.A)+1)+1,LEN(_xlpm.A)),_xlpm.A))</f>
        <v/>
      </c>
      <c r="G290" s="18" t="str">
        <f>_xlfn.LET(_xlpm.A,IF(ISNUMBER(SEARCH("晒单",L290)),"【晒单】"&amp;MID(L290,SEARCH("晒单",L290)+LEN("晒单"),LEN(L290))&amp;"（需晒单后联系客服登记）",IF(ISNUMBER(SEARCH("包修",L290)),"【购机】"&amp;MID(L290,SEARCH("购机",L290)+LEN("购机"),LEN(L290)),IF(ISNUMBER(SEARCH("叠放支架",L290)),"【赠品】"&amp;MID(L290,SEARCH("购机",L290)+LEN("购机"),LEN(L290)),IF(ISNUMBER(SEARCH("秀图",L290)),"【秀图】"&amp;MID(L290,SEARCH("秀图",L290)+LEN("秀图"),LEN(L290)),"")))),IFERROR(LEFT(_xlpm.A,FIND("【",_xlpm.A,FIND("】",_xlpm.A)+1)-1)&amp;MID(_xlpm.A,FIND("】",_xlpm.A,FIND("】",_xlpm.A)+1)+1,LEN(_xlpm.A)),_xlpm.A))</f>
        <v/>
      </c>
      <c r="H290" s="18" t="str">
        <f>_xlfn.LET(_xlpm.A,IF(ISNUMBER(SEARCH("晒单",M290)),"【晒单】"&amp;MID(M290,SEARCH("晒单",M290)+LEN("晒单"),LEN(M290))&amp;"（需晒单后联系客服登记）",IF(ISNUMBER(SEARCH("包修",M290)),"【购机】"&amp;MID(M290,SEARCH("购机",M290)+LEN("购机"),LEN(M290)),IF(ISNUMBER(SEARCH("叠放支架",M290)),"【赠品】"&amp;MID(M290,SEARCH("购机",M290)+LEN("购机"),LEN(M290)),IF(ISNUMBER(SEARCH("秀图",M290)),"【秀图】"&amp;MID(M290,SEARCH("秀图",M290)+LEN("秀图"),LEN(M290)),"")))),IFERROR(LEFT(_xlpm.A,FIND("【",_xlpm.A,FIND("】",_xlpm.A)+1)-1)&amp;MID(_xlpm.A,FIND("】",_xlpm.A,FIND("】",_xlpm.A)+1)+1,LEN(_xlpm.A)),_xlpm.A))</f>
        <v/>
      </c>
      <c r="I290" s="18" t="str">
        <f>_xlfn.LET(_xlpm.A,IF(ISNUMBER(SEARCH("晒单",N290)),"【晒单】"&amp;MID(N290,SEARCH("晒单",N290)+LEN("晒单"),LEN(N290))&amp;"（需晒单后联系客服登记）",IF(ISNUMBER(SEARCH("包修",N290)),"【购机】"&amp;MID(N290,SEARCH("购机",N290)+LEN("购机"),LEN(N290)),IF(ISNUMBER(SEARCH("叠放支架",N290)),"【赠品】"&amp;MID(N290,SEARCH("购机",N290)+LEN("购机"),LEN(N290)),IF(ISNUMBER(SEARCH("秀图",N290)),"【秀图】"&amp;MID(N290,SEARCH("秀图",N290)+LEN("秀图"),LEN(N290)),"")))),IFERROR(LEFT(_xlpm.A,FIND("【",_xlpm.A,FIND("】",_xlpm.A)+1)-1)&amp;MID(_xlpm.A,FIND("】",_xlpm.A,FIND("】",_xlpm.A)+1)+1,LEN(_xlpm.A)),_xlpm.A))</f>
        <v/>
      </c>
      <c r="J290" s="18" t="str" cm="1">
        <f t="array" ref="J290">IFERROR(INDEX(_xlfn.TEXTSPLIT(_xlfn.XLOOKUP($A290&amp;$B290&amp;$C290,盘货信息!$A:$A&amp;盘货信息!$B:$B&amp;盘货信息!$C:$C,盘货信息!$S:$S),CHAR(10),,TRUE),1,COLUMN(A289)),"")</f>
        <v/>
      </c>
      <c r="K290" s="18" t="str" cm="1">
        <f t="array" ref="K290">IFERROR(INDEX(_xlfn.TEXTSPLIT(_xlfn.XLOOKUP($A290&amp;$B290&amp;$C290,盘货信息!$A:$A&amp;盘货信息!$B:$B&amp;盘货信息!$C:$C,盘货信息!$S:$S),CHAR(10),,TRUE),1,COLUMN(B289)),"")</f>
        <v/>
      </c>
      <c r="L290" s="18" t="str" cm="1">
        <f t="array" ref="L290">IFERROR(INDEX(_xlfn.TEXTSPLIT(_xlfn.XLOOKUP($A290&amp;$B290&amp;$C290,盘货信息!$A:$A&amp;盘货信息!$B:$B&amp;盘货信息!$C:$C,盘货信息!$S:$S),CHAR(10),,TRUE),1,COLUMN(C289)),"")</f>
        <v/>
      </c>
      <c r="M290" s="18" t="str" cm="1">
        <f t="array" ref="M290">IFERROR(INDEX(_xlfn.TEXTSPLIT(_xlfn.XLOOKUP($A290&amp;$B290&amp;$C290,盘货信息!$A:$A&amp;盘货信息!$B:$B&amp;盘货信息!$C:$C,盘货信息!$S:$S),CHAR(10),,TRUE),1,COLUMN(D289)),"")</f>
        <v/>
      </c>
      <c r="N290" s="18" t="str" cm="1">
        <f t="array" ref="N290">IFERROR(INDEX(_xlfn.TEXTSPLIT(_xlfn.XLOOKUP($A290&amp;$B290&amp;$C290,盘货信息!$A:$A&amp;盘货信息!$B:$B&amp;盘货信息!$C:$C,盘货信息!$S:$S),CHAR(10),,TRUE),1,COLUMN(E289)),"")</f>
        <v/>
      </c>
    </row>
    <row r="291" customHeight="1" spans="1:14">
      <c r="A291" s="17" t="str">
        <f>IF(盘货信息!A291="","",盘货信息!A291)</f>
        <v/>
      </c>
      <c r="B291" s="17" t="str">
        <f>IF(盘货信息!B291="","",盘货信息!B291)</f>
        <v/>
      </c>
      <c r="C291" s="18" t="str">
        <f>IF(盘货信息!C291="","",盘货信息!C291)</f>
        <v/>
      </c>
      <c r="D291" s="18" t="str">
        <f t="shared" si="4"/>
        <v/>
      </c>
      <c r="E291" s="18" t="str">
        <f>_xlfn.LET(_xlpm.A,IF(ISNUMBER(SEARCH("晒单",J291)),"【晒单】"&amp;MID(J291,SEARCH("晒单",J291)+LEN("晒单"),LEN(J291))&amp;"（需晒单后联系客服登记）",IF(ISNUMBER(SEARCH("包修",J291)),"【购机】"&amp;MID(J291,SEARCH("购机",J291)+LEN("购机"),LEN(J291)),IF(ISNUMBER(SEARCH("叠放支架",J291)),"【赠品】"&amp;MID(J291,SEARCH("购机",J291)+LEN("购机"),LEN(J291)),IF(ISNUMBER(SEARCH("秀图",J291)),"【秀图】"&amp;MID(J291,SEARCH("秀图",J291)+LEN("秀图"),LEN(J291)),"")))),IFERROR(LEFT(_xlpm.A,FIND("【",_xlpm.A,FIND("】",_xlpm.A)+1)-1)&amp;MID(_xlpm.A,FIND("】",_xlpm.A,FIND("】",_xlpm.A)+1)+1,LEN(_xlpm.A)),_xlpm.A))</f>
        <v/>
      </c>
      <c r="F291" s="18" t="str">
        <f>_xlfn.LET(_xlpm.A,IF(ISNUMBER(SEARCH("晒单",K291)),"【晒单】"&amp;MID(K291,SEARCH("晒单",K291)+LEN("晒单"),LEN(K291))&amp;"（需晒单后联系客服登记）",IF(ISNUMBER(SEARCH("包修",K291)),"【购机】"&amp;MID(K291,SEARCH("购机",K291)+LEN("购机"),LEN(K291)),IF(ISNUMBER(SEARCH("叠放支架",K291)),"【赠品】"&amp;MID(K291,SEARCH("购机",K291)+LEN("购机"),LEN(K291)),IF(ISNUMBER(SEARCH("秀图",K291)),"【秀图】"&amp;MID(K291,SEARCH("秀图",K291)+LEN("秀图"),LEN(K291)),"")))),IFERROR(LEFT(_xlpm.A,FIND("【",_xlpm.A,FIND("】",_xlpm.A)+1)-1)&amp;MID(_xlpm.A,FIND("】",_xlpm.A,FIND("】",_xlpm.A)+1)+1,LEN(_xlpm.A)),_xlpm.A))</f>
        <v/>
      </c>
      <c r="G291" s="18" t="str">
        <f>_xlfn.LET(_xlpm.A,IF(ISNUMBER(SEARCH("晒单",L291)),"【晒单】"&amp;MID(L291,SEARCH("晒单",L291)+LEN("晒单"),LEN(L291))&amp;"（需晒单后联系客服登记）",IF(ISNUMBER(SEARCH("包修",L291)),"【购机】"&amp;MID(L291,SEARCH("购机",L291)+LEN("购机"),LEN(L291)),IF(ISNUMBER(SEARCH("叠放支架",L291)),"【赠品】"&amp;MID(L291,SEARCH("购机",L291)+LEN("购机"),LEN(L291)),IF(ISNUMBER(SEARCH("秀图",L291)),"【秀图】"&amp;MID(L291,SEARCH("秀图",L291)+LEN("秀图"),LEN(L291)),"")))),IFERROR(LEFT(_xlpm.A,FIND("【",_xlpm.A,FIND("】",_xlpm.A)+1)-1)&amp;MID(_xlpm.A,FIND("】",_xlpm.A,FIND("】",_xlpm.A)+1)+1,LEN(_xlpm.A)),_xlpm.A))</f>
        <v/>
      </c>
      <c r="H291" s="18" t="str">
        <f>_xlfn.LET(_xlpm.A,IF(ISNUMBER(SEARCH("晒单",M291)),"【晒单】"&amp;MID(M291,SEARCH("晒单",M291)+LEN("晒单"),LEN(M291))&amp;"（需晒单后联系客服登记）",IF(ISNUMBER(SEARCH("包修",M291)),"【购机】"&amp;MID(M291,SEARCH("购机",M291)+LEN("购机"),LEN(M291)),IF(ISNUMBER(SEARCH("叠放支架",M291)),"【赠品】"&amp;MID(M291,SEARCH("购机",M291)+LEN("购机"),LEN(M291)),IF(ISNUMBER(SEARCH("秀图",M291)),"【秀图】"&amp;MID(M291,SEARCH("秀图",M291)+LEN("秀图"),LEN(M291)),"")))),IFERROR(LEFT(_xlpm.A,FIND("【",_xlpm.A,FIND("】",_xlpm.A)+1)-1)&amp;MID(_xlpm.A,FIND("】",_xlpm.A,FIND("】",_xlpm.A)+1)+1,LEN(_xlpm.A)),_xlpm.A))</f>
        <v/>
      </c>
      <c r="I291" s="18" t="str">
        <f>_xlfn.LET(_xlpm.A,IF(ISNUMBER(SEARCH("晒单",N291)),"【晒单】"&amp;MID(N291,SEARCH("晒单",N291)+LEN("晒单"),LEN(N291))&amp;"（需晒单后联系客服登记）",IF(ISNUMBER(SEARCH("包修",N291)),"【购机】"&amp;MID(N291,SEARCH("购机",N291)+LEN("购机"),LEN(N291)),IF(ISNUMBER(SEARCH("叠放支架",N291)),"【赠品】"&amp;MID(N291,SEARCH("购机",N291)+LEN("购机"),LEN(N291)),IF(ISNUMBER(SEARCH("秀图",N291)),"【秀图】"&amp;MID(N291,SEARCH("秀图",N291)+LEN("秀图"),LEN(N291)),"")))),IFERROR(LEFT(_xlpm.A,FIND("【",_xlpm.A,FIND("】",_xlpm.A)+1)-1)&amp;MID(_xlpm.A,FIND("】",_xlpm.A,FIND("】",_xlpm.A)+1)+1,LEN(_xlpm.A)),_xlpm.A))</f>
        <v/>
      </c>
      <c r="J291" s="18" t="str" cm="1">
        <f t="array" ref="J291">IFERROR(INDEX(_xlfn.TEXTSPLIT(_xlfn.XLOOKUP($A291&amp;$B291&amp;$C291,盘货信息!$A:$A&amp;盘货信息!$B:$B&amp;盘货信息!$C:$C,盘货信息!$S:$S),CHAR(10),,TRUE),1,COLUMN(A290)),"")</f>
        <v/>
      </c>
      <c r="K291" s="18" t="str" cm="1">
        <f t="array" ref="K291">IFERROR(INDEX(_xlfn.TEXTSPLIT(_xlfn.XLOOKUP($A291&amp;$B291&amp;$C291,盘货信息!$A:$A&amp;盘货信息!$B:$B&amp;盘货信息!$C:$C,盘货信息!$S:$S),CHAR(10),,TRUE),1,COLUMN(B290)),"")</f>
        <v/>
      </c>
      <c r="L291" s="18" t="str" cm="1">
        <f t="array" ref="L291">IFERROR(INDEX(_xlfn.TEXTSPLIT(_xlfn.XLOOKUP($A291&amp;$B291&amp;$C291,盘货信息!$A:$A&amp;盘货信息!$B:$B&amp;盘货信息!$C:$C,盘货信息!$S:$S),CHAR(10),,TRUE),1,COLUMN(C290)),"")</f>
        <v/>
      </c>
      <c r="M291" s="18" t="str" cm="1">
        <f t="array" ref="M291">IFERROR(INDEX(_xlfn.TEXTSPLIT(_xlfn.XLOOKUP($A291&amp;$B291&amp;$C291,盘货信息!$A:$A&amp;盘货信息!$B:$B&amp;盘货信息!$C:$C,盘货信息!$S:$S),CHAR(10),,TRUE),1,COLUMN(D290)),"")</f>
        <v/>
      </c>
      <c r="N291" s="18" t="str" cm="1">
        <f t="array" ref="N291">IFERROR(INDEX(_xlfn.TEXTSPLIT(_xlfn.XLOOKUP($A291&amp;$B291&amp;$C291,盘货信息!$A:$A&amp;盘货信息!$B:$B&amp;盘货信息!$C:$C,盘货信息!$S:$S),CHAR(10),,TRUE),1,COLUMN(E290)),"")</f>
        <v/>
      </c>
    </row>
    <row r="292" customHeight="1" spans="1:14">
      <c r="A292" s="17" t="str">
        <f>IF(盘货信息!A292="","",盘货信息!A292)</f>
        <v/>
      </c>
      <c r="B292" s="17" t="str">
        <f>IF(盘货信息!B292="","",盘货信息!B292)</f>
        <v/>
      </c>
      <c r="C292" s="18" t="str">
        <f>IF(盘货信息!C292="","",盘货信息!C292)</f>
        <v/>
      </c>
      <c r="D292" s="18" t="str">
        <f t="shared" si="4"/>
        <v/>
      </c>
      <c r="E292" s="18" t="str">
        <f>_xlfn.LET(_xlpm.A,IF(ISNUMBER(SEARCH("晒单",J292)),"【晒单】"&amp;MID(J292,SEARCH("晒单",J292)+LEN("晒单"),LEN(J292))&amp;"（需晒单后联系客服登记）",IF(ISNUMBER(SEARCH("包修",J292)),"【购机】"&amp;MID(J292,SEARCH("购机",J292)+LEN("购机"),LEN(J292)),IF(ISNUMBER(SEARCH("叠放支架",J292)),"【赠品】"&amp;MID(J292,SEARCH("购机",J292)+LEN("购机"),LEN(J292)),IF(ISNUMBER(SEARCH("秀图",J292)),"【秀图】"&amp;MID(J292,SEARCH("秀图",J292)+LEN("秀图"),LEN(J292)),"")))),IFERROR(LEFT(_xlpm.A,FIND("【",_xlpm.A,FIND("】",_xlpm.A)+1)-1)&amp;MID(_xlpm.A,FIND("】",_xlpm.A,FIND("】",_xlpm.A)+1)+1,LEN(_xlpm.A)),_xlpm.A))</f>
        <v/>
      </c>
      <c r="F292" s="18" t="str">
        <f>_xlfn.LET(_xlpm.A,IF(ISNUMBER(SEARCH("晒单",K292)),"【晒单】"&amp;MID(K292,SEARCH("晒单",K292)+LEN("晒单"),LEN(K292))&amp;"（需晒单后联系客服登记）",IF(ISNUMBER(SEARCH("包修",K292)),"【购机】"&amp;MID(K292,SEARCH("购机",K292)+LEN("购机"),LEN(K292)),IF(ISNUMBER(SEARCH("叠放支架",K292)),"【赠品】"&amp;MID(K292,SEARCH("购机",K292)+LEN("购机"),LEN(K292)),IF(ISNUMBER(SEARCH("秀图",K292)),"【秀图】"&amp;MID(K292,SEARCH("秀图",K292)+LEN("秀图"),LEN(K292)),"")))),IFERROR(LEFT(_xlpm.A,FIND("【",_xlpm.A,FIND("】",_xlpm.A)+1)-1)&amp;MID(_xlpm.A,FIND("】",_xlpm.A,FIND("】",_xlpm.A)+1)+1,LEN(_xlpm.A)),_xlpm.A))</f>
        <v/>
      </c>
      <c r="G292" s="18" t="str">
        <f>_xlfn.LET(_xlpm.A,IF(ISNUMBER(SEARCH("晒单",L292)),"【晒单】"&amp;MID(L292,SEARCH("晒单",L292)+LEN("晒单"),LEN(L292))&amp;"（需晒单后联系客服登记）",IF(ISNUMBER(SEARCH("包修",L292)),"【购机】"&amp;MID(L292,SEARCH("购机",L292)+LEN("购机"),LEN(L292)),IF(ISNUMBER(SEARCH("叠放支架",L292)),"【赠品】"&amp;MID(L292,SEARCH("购机",L292)+LEN("购机"),LEN(L292)),IF(ISNUMBER(SEARCH("秀图",L292)),"【秀图】"&amp;MID(L292,SEARCH("秀图",L292)+LEN("秀图"),LEN(L292)),"")))),IFERROR(LEFT(_xlpm.A,FIND("【",_xlpm.A,FIND("】",_xlpm.A)+1)-1)&amp;MID(_xlpm.A,FIND("】",_xlpm.A,FIND("】",_xlpm.A)+1)+1,LEN(_xlpm.A)),_xlpm.A))</f>
        <v/>
      </c>
      <c r="H292" s="18" t="str">
        <f>_xlfn.LET(_xlpm.A,IF(ISNUMBER(SEARCH("晒单",M292)),"【晒单】"&amp;MID(M292,SEARCH("晒单",M292)+LEN("晒单"),LEN(M292))&amp;"（需晒单后联系客服登记）",IF(ISNUMBER(SEARCH("包修",M292)),"【购机】"&amp;MID(M292,SEARCH("购机",M292)+LEN("购机"),LEN(M292)),IF(ISNUMBER(SEARCH("叠放支架",M292)),"【赠品】"&amp;MID(M292,SEARCH("购机",M292)+LEN("购机"),LEN(M292)),IF(ISNUMBER(SEARCH("秀图",M292)),"【秀图】"&amp;MID(M292,SEARCH("秀图",M292)+LEN("秀图"),LEN(M292)),"")))),IFERROR(LEFT(_xlpm.A,FIND("【",_xlpm.A,FIND("】",_xlpm.A)+1)-1)&amp;MID(_xlpm.A,FIND("】",_xlpm.A,FIND("】",_xlpm.A)+1)+1,LEN(_xlpm.A)),_xlpm.A))</f>
        <v/>
      </c>
      <c r="I292" s="18" t="str">
        <f>_xlfn.LET(_xlpm.A,IF(ISNUMBER(SEARCH("晒单",N292)),"【晒单】"&amp;MID(N292,SEARCH("晒单",N292)+LEN("晒单"),LEN(N292))&amp;"（需晒单后联系客服登记）",IF(ISNUMBER(SEARCH("包修",N292)),"【购机】"&amp;MID(N292,SEARCH("购机",N292)+LEN("购机"),LEN(N292)),IF(ISNUMBER(SEARCH("叠放支架",N292)),"【赠品】"&amp;MID(N292,SEARCH("购机",N292)+LEN("购机"),LEN(N292)),IF(ISNUMBER(SEARCH("秀图",N292)),"【秀图】"&amp;MID(N292,SEARCH("秀图",N292)+LEN("秀图"),LEN(N292)),"")))),IFERROR(LEFT(_xlpm.A,FIND("【",_xlpm.A,FIND("】",_xlpm.A)+1)-1)&amp;MID(_xlpm.A,FIND("】",_xlpm.A,FIND("】",_xlpm.A)+1)+1,LEN(_xlpm.A)),_xlpm.A))</f>
        <v/>
      </c>
      <c r="J292" s="18" t="str" cm="1">
        <f t="array" ref="J292">IFERROR(INDEX(_xlfn.TEXTSPLIT(_xlfn.XLOOKUP($A292&amp;$B292&amp;$C292,盘货信息!$A:$A&amp;盘货信息!$B:$B&amp;盘货信息!$C:$C,盘货信息!$S:$S),CHAR(10),,TRUE),1,COLUMN(A291)),"")</f>
        <v/>
      </c>
      <c r="K292" s="18" t="str" cm="1">
        <f t="array" ref="K292">IFERROR(INDEX(_xlfn.TEXTSPLIT(_xlfn.XLOOKUP($A292&amp;$B292&amp;$C292,盘货信息!$A:$A&amp;盘货信息!$B:$B&amp;盘货信息!$C:$C,盘货信息!$S:$S),CHAR(10),,TRUE),1,COLUMN(B291)),"")</f>
        <v/>
      </c>
      <c r="L292" s="18" t="str" cm="1">
        <f t="array" ref="L292">IFERROR(INDEX(_xlfn.TEXTSPLIT(_xlfn.XLOOKUP($A292&amp;$B292&amp;$C292,盘货信息!$A:$A&amp;盘货信息!$B:$B&amp;盘货信息!$C:$C,盘货信息!$S:$S),CHAR(10),,TRUE),1,COLUMN(C291)),"")</f>
        <v/>
      </c>
      <c r="M292" s="18" t="str" cm="1">
        <f t="array" ref="M292">IFERROR(INDEX(_xlfn.TEXTSPLIT(_xlfn.XLOOKUP($A292&amp;$B292&amp;$C292,盘货信息!$A:$A&amp;盘货信息!$B:$B&amp;盘货信息!$C:$C,盘货信息!$S:$S),CHAR(10),,TRUE),1,COLUMN(D291)),"")</f>
        <v/>
      </c>
      <c r="N292" s="18" t="str" cm="1">
        <f t="array" ref="N292">IFERROR(INDEX(_xlfn.TEXTSPLIT(_xlfn.XLOOKUP($A292&amp;$B292&amp;$C292,盘货信息!$A:$A&amp;盘货信息!$B:$B&amp;盘货信息!$C:$C,盘货信息!$S:$S),CHAR(10),,TRUE),1,COLUMN(E291)),"")</f>
        <v/>
      </c>
    </row>
    <row r="293" customHeight="1" spans="1:14">
      <c r="A293" s="17" t="str">
        <f>IF(盘货信息!A293="","",盘货信息!A293)</f>
        <v/>
      </c>
      <c r="B293" s="17" t="str">
        <f>IF(盘货信息!B293="","",盘货信息!B293)</f>
        <v/>
      </c>
      <c r="C293" s="18" t="str">
        <f>IF(盘货信息!C293="","",盘货信息!C293)</f>
        <v/>
      </c>
      <c r="D293" s="18" t="str">
        <f t="shared" si="4"/>
        <v/>
      </c>
      <c r="E293" s="18" t="str">
        <f>_xlfn.LET(_xlpm.A,IF(ISNUMBER(SEARCH("晒单",J293)),"【晒单】"&amp;MID(J293,SEARCH("晒单",J293)+LEN("晒单"),LEN(J293))&amp;"（需晒单后联系客服登记）",IF(ISNUMBER(SEARCH("包修",J293)),"【购机】"&amp;MID(J293,SEARCH("购机",J293)+LEN("购机"),LEN(J293)),IF(ISNUMBER(SEARCH("叠放支架",J293)),"【赠品】"&amp;MID(J293,SEARCH("购机",J293)+LEN("购机"),LEN(J293)),IF(ISNUMBER(SEARCH("秀图",J293)),"【秀图】"&amp;MID(J293,SEARCH("秀图",J293)+LEN("秀图"),LEN(J293)),"")))),IFERROR(LEFT(_xlpm.A,FIND("【",_xlpm.A,FIND("】",_xlpm.A)+1)-1)&amp;MID(_xlpm.A,FIND("】",_xlpm.A,FIND("】",_xlpm.A)+1)+1,LEN(_xlpm.A)),_xlpm.A))</f>
        <v/>
      </c>
      <c r="F293" s="18" t="str">
        <f>_xlfn.LET(_xlpm.A,IF(ISNUMBER(SEARCH("晒单",K293)),"【晒单】"&amp;MID(K293,SEARCH("晒单",K293)+LEN("晒单"),LEN(K293))&amp;"（需晒单后联系客服登记）",IF(ISNUMBER(SEARCH("包修",K293)),"【购机】"&amp;MID(K293,SEARCH("购机",K293)+LEN("购机"),LEN(K293)),IF(ISNUMBER(SEARCH("叠放支架",K293)),"【赠品】"&amp;MID(K293,SEARCH("购机",K293)+LEN("购机"),LEN(K293)),IF(ISNUMBER(SEARCH("秀图",K293)),"【秀图】"&amp;MID(K293,SEARCH("秀图",K293)+LEN("秀图"),LEN(K293)),"")))),IFERROR(LEFT(_xlpm.A,FIND("【",_xlpm.A,FIND("】",_xlpm.A)+1)-1)&amp;MID(_xlpm.A,FIND("】",_xlpm.A,FIND("】",_xlpm.A)+1)+1,LEN(_xlpm.A)),_xlpm.A))</f>
        <v/>
      </c>
      <c r="G293" s="18" t="str">
        <f>_xlfn.LET(_xlpm.A,IF(ISNUMBER(SEARCH("晒单",L293)),"【晒单】"&amp;MID(L293,SEARCH("晒单",L293)+LEN("晒单"),LEN(L293))&amp;"（需晒单后联系客服登记）",IF(ISNUMBER(SEARCH("包修",L293)),"【购机】"&amp;MID(L293,SEARCH("购机",L293)+LEN("购机"),LEN(L293)),IF(ISNUMBER(SEARCH("叠放支架",L293)),"【赠品】"&amp;MID(L293,SEARCH("购机",L293)+LEN("购机"),LEN(L293)),IF(ISNUMBER(SEARCH("秀图",L293)),"【秀图】"&amp;MID(L293,SEARCH("秀图",L293)+LEN("秀图"),LEN(L293)),"")))),IFERROR(LEFT(_xlpm.A,FIND("【",_xlpm.A,FIND("】",_xlpm.A)+1)-1)&amp;MID(_xlpm.A,FIND("】",_xlpm.A,FIND("】",_xlpm.A)+1)+1,LEN(_xlpm.A)),_xlpm.A))</f>
        <v/>
      </c>
      <c r="H293" s="18" t="str">
        <f>_xlfn.LET(_xlpm.A,IF(ISNUMBER(SEARCH("晒单",M293)),"【晒单】"&amp;MID(M293,SEARCH("晒单",M293)+LEN("晒单"),LEN(M293))&amp;"（需晒单后联系客服登记）",IF(ISNUMBER(SEARCH("包修",M293)),"【购机】"&amp;MID(M293,SEARCH("购机",M293)+LEN("购机"),LEN(M293)),IF(ISNUMBER(SEARCH("叠放支架",M293)),"【赠品】"&amp;MID(M293,SEARCH("购机",M293)+LEN("购机"),LEN(M293)),IF(ISNUMBER(SEARCH("秀图",M293)),"【秀图】"&amp;MID(M293,SEARCH("秀图",M293)+LEN("秀图"),LEN(M293)),"")))),IFERROR(LEFT(_xlpm.A,FIND("【",_xlpm.A,FIND("】",_xlpm.A)+1)-1)&amp;MID(_xlpm.A,FIND("】",_xlpm.A,FIND("】",_xlpm.A)+1)+1,LEN(_xlpm.A)),_xlpm.A))</f>
        <v/>
      </c>
      <c r="I293" s="18" t="str">
        <f>_xlfn.LET(_xlpm.A,IF(ISNUMBER(SEARCH("晒单",N293)),"【晒单】"&amp;MID(N293,SEARCH("晒单",N293)+LEN("晒单"),LEN(N293))&amp;"（需晒单后联系客服登记）",IF(ISNUMBER(SEARCH("包修",N293)),"【购机】"&amp;MID(N293,SEARCH("购机",N293)+LEN("购机"),LEN(N293)),IF(ISNUMBER(SEARCH("叠放支架",N293)),"【赠品】"&amp;MID(N293,SEARCH("购机",N293)+LEN("购机"),LEN(N293)),IF(ISNUMBER(SEARCH("秀图",N293)),"【秀图】"&amp;MID(N293,SEARCH("秀图",N293)+LEN("秀图"),LEN(N293)),"")))),IFERROR(LEFT(_xlpm.A,FIND("【",_xlpm.A,FIND("】",_xlpm.A)+1)-1)&amp;MID(_xlpm.A,FIND("】",_xlpm.A,FIND("】",_xlpm.A)+1)+1,LEN(_xlpm.A)),_xlpm.A))</f>
        <v/>
      </c>
      <c r="J293" s="18" t="str" cm="1">
        <f t="array" ref="J293">IFERROR(INDEX(_xlfn.TEXTSPLIT(_xlfn.XLOOKUP($A293&amp;$B293&amp;$C293,盘货信息!$A:$A&amp;盘货信息!$B:$B&amp;盘货信息!$C:$C,盘货信息!$S:$S),CHAR(10),,TRUE),1,COLUMN(A292)),"")</f>
        <v/>
      </c>
      <c r="K293" s="18" t="str" cm="1">
        <f t="array" ref="K293">IFERROR(INDEX(_xlfn.TEXTSPLIT(_xlfn.XLOOKUP($A293&amp;$B293&amp;$C293,盘货信息!$A:$A&amp;盘货信息!$B:$B&amp;盘货信息!$C:$C,盘货信息!$S:$S),CHAR(10),,TRUE),1,COLUMN(B292)),"")</f>
        <v/>
      </c>
      <c r="L293" s="18" t="str" cm="1">
        <f t="array" ref="L293">IFERROR(INDEX(_xlfn.TEXTSPLIT(_xlfn.XLOOKUP($A293&amp;$B293&amp;$C293,盘货信息!$A:$A&amp;盘货信息!$B:$B&amp;盘货信息!$C:$C,盘货信息!$S:$S),CHAR(10),,TRUE),1,COLUMN(C292)),"")</f>
        <v/>
      </c>
      <c r="M293" s="18" t="str" cm="1">
        <f t="array" ref="M293">IFERROR(INDEX(_xlfn.TEXTSPLIT(_xlfn.XLOOKUP($A293&amp;$B293&amp;$C293,盘货信息!$A:$A&amp;盘货信息!$B:$B&amp;盘货信息!$C:$C,盘货信息!$S:$S),CHAR(10),,TRUE),1,COLUMN(D292)),"")</f>
        <v/>
      </c>
      <c r="N293" s="18" t="str" cm="1">
        <f t="array" ref="N293">IFERROR(INDEX(_xlfn.TEXTSPLIT(_xlfn.XLOOKUP($A293&amp;$B293&amp;$C293,盘货信息!$A:$A&amp;盘货信息!$B:$B&amp;盘货信息!$C:$C,盘货信息!$S:$S),CHAR(10),,TRUE),1,COLUMN(E292)),"")</f>
        <v/>
      </c>
    </row>
    <row r="294" customHeight="1" spans="1:14">
      <c r="A294" s="17" t="str">
        <f>IF(盘货信息!A294="","",盘货信息!A294)</f>
        <v/>
      </c>
      <c r="B294" s="17" t="str">
        <f>IF(盘货信息!B294="","",盘货信息!B294)</f>
        <v/>
      </c>
      <c r="C294" s="18" t="str">
        <f>IF(盘货信息!C294="","",盘货信息!C294)</f>
        <v/>
      </c>
      <c r="D294" s="18" t="str">
        <f t="shared" si="4"/>
        <v/>
      </c>
      <c r="E294" s="18" t="str">
        <f>_xlfn.LET(_xlpm.A,IF(ISNUMBER(SEARCH("晒单",J294)),"【晒单】"&amp;MID(J294,SEARCH("晒单",J294)+LEN("晒单"),LEN(J294))&amp;"（需晒单后联系客服登记）",IF(ISNUMBER(SEARCH("包修",J294)),"【购机】"&amp;MID(J294,SEARCH("购机",J294)+LEN("购机"),LEN(J294)),IF(ISNUMBER(SEARCH("叠放支架",J294)),"【赠品】"&amp;MID(J294,SEARCH("购机",J294)+LEN("购机"),LEN(J294)),IF(ISNUMBER(SEARCH("秀图",J294)),"【秀图】"&amp;MID(J294,SEARCH("秀图",J294)+LEN("秀图"),LEN(J294)),"")))),IFERROR(LEFT(_xlpm.A,FIND("【",_xlpm.A,FIND("】",_xlpm.A)+1)-1)&amp;MID(_xlpm.A,FIND("】",_xlpm.A,FIND("】",_xlpm.A)+1)+1,LEN(_xlpm.A)),_xlpm.A))</f>
        <v/>
      </c>
      <c r="F294" s="18" t="str">
        <f>_xlfn.LET(_xlpm.A,IF(ISNUMBER(SEARCH("晒单",K294)),"【晒单】"&amp;MID(K294,SEARCH("晒单",K294)+LEN("晒单"),LEN(K294))&amp;"（需晒单后联系客服登记）",IF(ISNUMBER(SEARCH("包修",K294)),"【购机】"&amp;MID(K294,SEARCH("购机",K294)+LEN("购机"),LEN(K294)),IF(ISNUMBER(SEARCH("叠放支架",K294)),"【赠品】"&amp;MID(K294,SEARCH("购机",K294)+LEN("购机"),LEN(K294)),IF(ISNUMBER(SEARCH("秀图",K294)),"【秀图】"&amp;MID(K294,SEARCH("秀图",K294)+LEN("秀图"),LEN(K294)),"")))),IFERROR(LEFT(_xlpm.A,FIND("【",_xlpm.A,FIND("】",_xlpm.A)+1)-1)&amp;MID(_xlpm.A,FIND("】",_xlpm.A,FIND("】",_xlpm.A)+1)+1,LEN(_xlpm.A)),_xlpm.A))</f>
        <v/>
      </c>
      <c r="G294" s="18" t="str">
        <f>_xlfn.LET(_xlpm.A,IF(ISNUMBER(SEARCH("晒单",L294)),"【晒单】"&amp;MID(L294,SEARCH("晒单",L294)+LEN("晒单"),LEN(L294))&amp;"（需晒单后联系客服登记）",IF(ISNUMBER(SEARCH("包修",L294)),"【购机】"&amp;MID(L294,SEARCH("购机",L294)+LEN("购机"),LEN(L294)),IF(ISNUMBER(SEARCH("叠放支架",L294)),"【赠品】"&amp;MID(L294,SEARCH("购机",L294)+LEN("购机"),LEN(L294)),IF(ISNUMBER(SEARCH("秀图",L294)),"【秀图】"&amp;MID(L294,SEARCH("秀图",L294)+LEN("秀图"),LEN(L294)),"")))),IFERROR(LEFT(_xlpm.A,FIND("【",_xlpm.A,FIND("】",_xlpm.A)+1)-1)&amp;MID(_xlpm.A,FIND("】",_xlpm.A,FIND("】",_xlpm.A)+1)+1,LEN(_xlpm.A)),_xlpm.A))</f>
        <v/>
      </c>
      <c r="H294" s="18" t="str">
        <f>_xlfn.LET(_xlpm.A,IF(ISNUMBER(SEARCH("晒单",M294)),"【晒单】"&amp;MID(M294,SEARCH("晒单",M294)+LEN("晒单"),LEN(M294))&amp;"（需晒单后联系客服登记）",IF(ISNUMBER(SEARCH("包修",M294)),"【购机】"&amp;MID(M294,SEARCH("购机",M294)+LEN("购机"),LEN(M294)),IF(ISNUMBER(SEARCH("叠放支架",M294)),"【赠品】"&amp;MID(M294,SEARCH("购机",M294)+LEN("购机"),LEN(M294)),IF(ISNUMBER(SEARCH("秀图",M294)),"【秀图】"&amp;MID(M294,SEARCH("秀图",M294)+LEN("秀图"),LEN(M294)),"")))),IFERROR(LEFT(_xlpm.A,FIND("【",_xlpm.A,FIND("】",_xlpm.A)+1)-1)&amp;MID(_xlpm.A,FIND("】",_xlpm.A,FIND("】",_xlpm.A)+1)+1,LEN(_xlpm.A)),_xlpm.A))</f>
        <v/>
      </c>
      <c r="I294" s="18" t="str">
        <f>_xlfn.LET(_xlpm.A,IF(ISNUMBER(SEARCH("晒单",N294)),"【晒单】"&amp;MID(N294,SEARCH("晒单",N294)+LEN("晒单"),LEN(N294))&amp;"（需晒单后联系客服登记）",IF(ISNUMBER(SEARCH("包修",N294)),"【购机】"&amp;MID(N294,SEARCH("购机",N294)+LEN("购机"),LEN(N294)),IF(ISNUMBER(SEARCH("叠放支架",N294)),"【赠品】"&amp;MID(N294,SEARCH("购机",N294)+LEN("购机"),LEN(N294)),IF(ISNUMBER(SEARCH("秀图",N294)),"【秀图】"&amp;MID(N294,SEARCH("秀图",N294)+LEN("秀图"),LEN(N294)),"")))),IFERROR(LEFT(_xlpm.A,FIND("【",_xlpm.A,FIND("】",_xlpm.A)+1)-1)&amp;MID(_xlpm.A,FIND("】",_xlpm.A,FIND("】",_xlpm.A)+1)+1,LEN(_xlpm.A)),_xlpm.A))</f>
        <v/>
      </c>
      <c r="J294" s="18" t="str" cm="1">
        <f t="array" ref="J294">IFERROR(INDEX(_xlfn.TEXTSPLIT(_xlfn.XLOOKUP($A294&amp;$B294&amp;$C294,盘货信息!$A:$A&amp;盘货信息!$B:$B&amp;盘货信息!$C:$C,盘货信息!$S:$S),CHAR(10),,TRUE),1,COLUMN(A293)),"")</f>
        <v/>
      </c>
      <c r="K294" s="18" t="str" cm="1">
        <f t="array" ref="K294">IFERROR(INDEX(_xlfn.TEXTSPLIT(_xlfn.XLOOKUP($A294&amp;$B294&amp;$C294,盘货信息!$A:$A&amp;盘货信息!$B:$B&amp;盘货信息!$C:$C,盘货信息!$S:$S),CHAR(10),,TRUE),1,COLUMN(B293)),"")</f>
        <v/>
      </c>
      <c r="L294" s="18" t="str" cm="1">
        <f t="array" ref="L294">IFERROR(INDEX(_xlfn.TEXTSPLIT(_xlfn.XLOOKUP($A294&amp;$B294&amp;$C294,盘货信息!$A:$A&amp;盘货信息!$B:$B&amp;盘货信息!$C:$C,盘货信息!$S:$S),CHAR(10),,TRUE),1,COLUMN(C293)),"")</f>
        <v/>
      </c>
      <c r="M294" s="18" t="str" cm="1">
        <f t="array" ref="M294">IFERROR(INDEX(_xlfn.TEXTSPLIT(_xlfn.XLOOKUP($A294&amp;$B294&amp;$C294,盘货信息!$A:$A&amp;盘货信息!$B:$B&amp;盘货信息!$C:$C,盘货信息!$S:$S),CHAR(10),,TRUE),1,COLUMN(D293)),"")</f>
        <v/>
      </c>
      <c r="N294" s="18" t="str" cm="1">
        <f t="array" ref="N294">IFERROR(INDEX(_xlfn.TEXTSPLIT(_xlfn.XLOOKUP($A294&amp;$B294&amp;$C294,盘货信息!$A:$A&amp;盘货信息!$B:$B&amp;盘货信息!$C:$C,盘货信息!$S:$S),CHAR(10),,TRUE),1,COLUMN(E293)),"")</f>
        <v/>
      </c>
    </row>
    <row r="295" customHeight="1" spans="1:14">
      <c r="A295" s="17" t="str">
        <f>IF(盘货信息!A295="","",盘货信息!A295)</f>
        <v/>
      </c>
      <c r="B295" s="17" t="str">
        <f>IF(盘货信息!B295="","",盘货信息!B295)</f>
        <v/>
      </c>
      <c r="C295" s="18" t="str">
        <f>IF(盘货信息!C295="","",盘货信息!C295)</f>
        <v/>
      </c>
      <c r="D295" s="18" t="str">
        <f t="shared" si="4"/>
        <v/>
      </c>
      <c r="E295" s="18" t="str">
        <f>_xlfn.LET(_xlpm.A,IF(ISNUMBER(SEARCH("晒单",J295)),"【晒单】"&amp;MID(J295,SEARCH("晒单",J295)+LEN("晒单"),LEN(J295))&amp;"（需晒单后联系客服登记）",IF(ISNUMBER(SEARCH("包修",J295)),"【购机】"&amp;MID(J295,SEARCH("购机",J295)+LEN("购机"),LEN(J295)),IF(ISNUMBER(SEARCH("叠放支架",J295)),"【赠品】"&amp;MID(J295,SEARCH("购机",J295)+LEN("购机"),LEN(J295)),IF(ISNUMBER(SEARCH("秀图",J295)),"【秀图】"&amp;MID(J295,SEARCH("秀图",J295)+LEN("秀图"),LEN(J295)),"")))),IFERROR(LEFT(_xlpm.A,FIND("【",_xlpm.A,FIND("】",_xlpm.A)+1)-1)&amp;MID(_xlpm.A,FIND("】",_xlpm.A,FIND("】",_xlpm.A)+1)+1,LEN(_xlpm.A)),_xlpm.A))</f>
        <v/>
      </c>
      <c r="F295" s="18" t="str">
        <f>_xlfn.LET(_xlpm.A,IF(ISNUMBER(SEARCH("晒单",K295)),"【晒单】"&amp;MID(K295,SEARCH("晒单",K295)+LEN("晒单"),LEN(K295))&amp;"（需晒单后联系客服登记）",IF(ISNUMBER(SEARCH("包修",K295)),"【购机】"&amp;MID(K295,SEARCH("购机",K295)+LEN("购机"),LEN(K295)),IF(ISNUMBER(SEARCH("叠放支架",K295)),"【赠品】"&amp;MID(K295,SEARCH("购机",K295)+LEN("购机"),LEN(K295)),IF(ISNUMBER(SEARCH("秀图",K295)),"【秀图】"&amp;MID(K295,SEARCH("秀图",K295)+LEN("秀图"),LEN(K295)),"")))),IFERROR(LEFT(_xlpm.A,FIND("【",_xlpm.A,FIND("】",_xlpm.A)+1)-1)&amp;MID(_xlpm.A,FIND("】",_xlpm.A,FIND("】",_xlpm.A)+1)+1,LEN(_xlpm.A)),_xlpm.A))</f>
        <v/>
      </c>
      <c r="G295" s="18" t="str">
        <f>_xlfn.LET(_xlpm.A,IF(ISNUMBER(SEARCH("晒单",L295)),"【晒单】"&amp;MID(L295,SEARCH("晒单",L295)+LEN("晒单"),LEN(L295))&amp;"（需晒单后联系客服登记）",IF(ISNUMBER(SEARCH("包修",L295)),"【购机】"&amp;MID(L295,SEARCH("购机",L295)+LEN("购机"),LEN(L295)),IF(ISNUMBER(SEARCH("叠放支架",L295)),"【赠品】"&amp;MID(L295,SEARCH("购机",L295)+LEN("购机"),LEN(L295)),IF(ISNUMBER(SEARCH("秀图",L295)),"【秀图】"&amp;MID(L295,SEARCH("秀图",L295)+LEN("秀图"),LEN(L295)),"")))),IFERROR(LEFT(_xlpm.A,FIND("【",_xlpm.A,FIND("】",_xlpm.A)+1)-1)&amp;MID(_xlpm.A,FIND("】",_xlpm.A,FIND("】",_xlpm.A)+1)+1,LEN(_xlpm.A)),_xlpm.A))</f>
        <v/>
      </c>
      <c r="H295" s="18" t="str">
        <f>_xlfn.LET(_xlpm.A,IF(ISNUMBER(SEARCH("晒单",M295)),"【晒单】"&amp;MID(M295,SEARCH("晒单",M295)+LEN("晒单"),LEN(M295))&amp;"（需晒单后联系客服登记）",IF(ISNUMBER(SEARCH("包修",M295)),"【购机】"&amp;MID(M295,SEARCH("购机",M295)+LEN("购机"),LEN(M295)),IF(ISNUMBER(SEARCH("叠放支架",M295)),"【赠品】"&amp;MID(M295,SEARCH("购机",M295)+LEN("购机"),LEN(M295)),IF(ISNUMBER(SEARCH("秀图",M295)),"【秀图】"&amp;MID(M295,SEARCH("秀图",M295)+LEN("秀图"),LEN(M295)),"")))),IFERROR(LEFT(_xlpm.A,FIND("【",_xlpm.A,FIND("】",_xlpm.A)+1)-1)&amp;MID(_xlpm.A,FIND("】",_xlpm.A,FIND("】",_xlpm.A)+1)+1,LEN(_xlpm.A)),_xlpm.A))</f>
        <v/>
      </c>
      <c r="I295" s="18" t="str">
        <f>_xlfn.LET(_xlpm.A,IF(ISNUMBER(SEARCH("晒单",N295)),"【晒单】"&amp;MID(N295,SEARCH("晒单",N295)+LEN("晒单"),LEN(N295))&amp;"（需晒单后联系客服登记）",IF(ISNUMBER(SEARCH("包修",N295)),"【购机】"&amp;MID(N295,SEARCH("购机",N295)+LEN("购机"),LEN(N295)),IF(ISNUMBER(SEARCH("叠放支架",N295)),"【赠品】"&amp;MID(N295,SEARCH("购机",N295)+LEN("购机"),LEN(N295)),IF(ISNUMBER(SEARCH("秀图",N295)),"【秀图】"&amp;MID(N295,SEARCH("秀图",N295)+LEN("秀图"),LEN(N295)),"")))),IFERROR(LEFT(_xlpm.A,FIND("【",_xlpm.A,FIND("】",_xlpm.A)+1)-1)&amp;MID(_xlpm.A,FIND("】",_xlpm.A,FIND("】",_xlpm.A)+1)+1,LEN(_xlpm.A)),_xlpm.A))</f>
        <v/>
      </c>
      <c r="J295" s="18" t="str" cm="1">
        <f t="array" ref="J295">IFERROR(INDEX(_xlfn.TEXTSPLIT(_xlfn.XLOOKUP($A295&amp;$B295&amp;$C295,盘货信息!$A:$A&amp;盘货信息!$B:$B&amp;盘货信息!$C:$C,盘货信息!$S:$S),CHAR(10),,TRUE),1,COLUMN(A294)),"")</f>
        <v/>
      </c>
      <c r="K295" s="18" t="str" cm="1">
        <f t="array" ref="K295">IFERROR(INDEX(_xlfn.TEXTSPLIT(_xlfn.XLOOKUP($A295&amp;$B295&amp;$C295,盘货信息!$A:$A&amp;盘货信息!$B:$B&amp;盘货信息!$C:$C,盘货信息!$S:$S),CHAR(10),,TRUE),1,COLUMN(B294)),"")</f>
        <v/>
      </c>
      <c r="L295" s="18" t="str" cm="1">
        <f t="array" ref="L295">IFERROR(INDEX(_xlfn.TEXTSPLIT(_xlfn.XLOOKUP($A295&amp;$B295&amp;$C295,盘货信息!$A:$A&amp;盘货信息!$B:$B&amp;盘货信息!$C:$C,盘货信息!$S:$S),CHAR(10),,TRUE),1,COLUMN(C294)),"")</f>
        <v/>
      </c>
      <c r="M295" s="18" t="str" cm="1">
        <f t="array" ref="M295">IFERROR(INDEX(_xlfn.TEXTSPLIT(_xlfn.XLOOKUP($A295&amp;$B295&amp;$C295,盘货信息!$A:$A&amp;盘货信息!$B:$B&amp;盘货信息!$C:$C,盘货信息!$S:$S),CHAR(10),,TRUE),1,COLUMN(D294)),"")</f>
        <v/>
      </c>
      <c r="N295" s="18" t="str" cm="1">
        <f t="array" ref="N295">IFERROR(INDEX(_xlfn.TEXTSPLIT(_xlfn.XLOOKUP($A295&amp;$B295&amp;$C295,盘货信息!$A:$A&amp;盘货信息!$B:$B&amp;盘货信息!$C:$C,盘货信息!$S:$S),CHAR(10),,TRUE),1,COLUMN(E294)),"")</f>
        <v/>
      </c>
    </row>
    <row r="296" customHeight="1" spans="1:14">
      <c r="A296" s="17" t="str">
        <f>IF(盘货信息!A296="","",盘货信息!A296)</f>
        <v/>
      </c>
      <c r="B296" s="17" t="str">
        <f>IF(盘货信息!B296="","",盘货信息!B296)</f>
        <v/>
      </c>
      <c r="C296" s="18" t="str">
        <f>IF(盘货信息!C296="","",盘货信息!C296)</f>
        <v/>
      </c>
      <c r="D296" s="18" t="str">
        <f t="shared" si="4"/>
        <v/>
      </c>
      <c r="E296" s="18" t="str">
        <f>_xlfn.LET(_xlpm.A,IF(ISNUMBER(SEARCH("晒单",J296)),"【晒单】"&amp;MID(J296,SEARCH("晒单",J296)+LEN("晒单"),LEN(J296))&amp;"（需晒单后联系客服登记）",IF(ISNUMBER(SEARCH("包修",J296)),"【购机】"&amp;MID(J296,SEARCH("购机",J296)+LEN("购机"),LEN(J296)),IF(ISNUMBER(SEARCH("叠放支架",J296)),"【赠品】"&amp;MID(J296,SEARCH("购机",J296)+LEN("购机"),LEN(J296)),IF(ISNUMBER(SEARCH("秀图",J296)),"【秀图】"&amp;MID(J296,SEARCH("秀图",J296)+LEN("秀图"),LEN(J296)),"")))),IFERROR(LEFT(_xlpm.A,FIND("【",_xlpm.A,FIND("】",_xlpm.A)+1)-1)&amp;MID(_xlpm.A,FIND("】",_xlpm.A,FIND("】",_xlpm.A)+1)+1,LEN(_xlpm.A)),_xlpm.A))</f>
        <v/>
      </c>
      <c r="F296" s="18" t="str">
        <f>_xlfn.LET(_xlpm.A,IF(ISNUMBER(SEARCH("晒单",K296)),"【晒单】"&amp;MID(K296,SEARCH("晒单",K296)+LEN("晒单"),LEN(K296))&amp;"（需晒单后联系客服登记）",IF(ISNUMBER(SEARCH("包修",K296)),"【购机】"&amp;MID(K296,SEARCH("购机",K296)+LEN("购机"),LEN(K296)),IF(ISNUMBER(SEARCH("叠放支架",K296)),"【赠品】"&amp;MID(K296,SEARCH("购机",K296)+LEN("购机"),LEN(K296)),IF(ISNUMBER(SEARCH("秀图",K296)),"【秀图】"&amp;MID(K296,SEARCH("秀图",K296)+LEN("秀图"),LEN(K296)),"")))),IFERROR(LEFT(_xlpm.A,FIND("【",_xlpm.A,FIND("】",_xlpm.A)+1)-1)&amp;MID(_xlpm.A,FIND("】",_xlpm.A,FIND("】",_xlpm.A)+1)+1,LEN(_xlpm.A)),_xlpm.A))</f>
        <v/>
      </c>
      <c r="G296" s="18" t="str">
        <f>_xlfn.LET(_xlpm.A,IF(ISNUMBER(SEARCH("晒单",L296)),"【晒单】"&amp;MID(L296,SEARCH("晒单",L296)+LEN("晒单"),LEN(L296))&amp;"（需晒单后联系客服登记）",IF(ISNUMBER(SEARCH("包修",L296)),"【购机】"&amp;MID(L296,SEARCH("购机",L296)+LEN("购机"),LEN(L296)),IF(ISNUMBER(SEARCH("叠放支架",L296)),"【赠品】"&amp;MID(L296,SEARCH("购机",L296)+LEN("购机"),LEN(L296)),IF(ISNUMBER(SEARCH("秀图",L296)),"【秀图】"&amp;MID(L296,SEARCH("秀图",L296)+LEN("秀图"),LEN(L296)),"")))),IFERROR(LEFT(_xlpm.A,FIND("【",_xlpm.A,FIND("】",_xlpm.A)+1)-1)&amp;MID(_xlpm.A,FIND("】",_xlpm.A,FIND("】",_xlpm.A)+1)+1,LEN(_xlpm.A)),_xlpm.A))</f>
        <v/>
      </c>
      <c r="H296" s="18" t="str">
        <f>_xlfn.LET(_xlpm.A,IF(ISNUMBER(SEARCH("晒单",M296)),"【晒单】"&amp;MID(M296,SEARCH("晒单",M296)+LEN("晒单"),LEN(M296))&amp;"（需晒单后联系客服登记）",IF(ISNUMBER(SEARCH("包修",M296)),"【购机】"&amp;MID(M296,SEARCH("购机",M296)+LEN("购机"),LEN(M296)),IF(ISNUMBER(SEARCH("叠放支架",M296)),"【赠品】"&amp;MID(M296,SEARCH("购机",M296)+LEN("购机"),LEN(M296)),IF(ISNUMBER(SEARCH("秀图",M296)),"【秀图】"&amp;MID(M296,SEARCH("秀图",M296)+LEN("秀图"),LEN(M296)),"")))),IFERROR(LEFT(_xlpm.A,FIND("【",_xlpm.A,FIND("】",_xlpm.A)+1)-1)&amp;MID(_xlpm.A,FIND("】",_xlpm.A,FIND("】",_xlpm.A)+1)+1,LEN(_xlpm.A)),_xlpm.A))</f>
        <v/>
      </c>
      <c r="I296" s="18" t="str">
        <f>_xlfn.LET(_xlpm.A,IF(ISNUMBER(SEARCH("晒单",N296)),"【晒单】"&amp;MID(N296,SEARCH("晒单",N296)+LEN("晒单"),LEN(N296))&amp;"（需晒单后联系客服登记）",IF(ISNUMBER(SEARCH("包修",N296)),"【购机】"&amp;MID(N296,SEARCH("购机",N296)+LEN("购机"),LEN(N296)),IF(ISNUMBER(SEARCH("叠放支架",N296)),"【赠品】"&amp;MID(N296,SEARCH("购机",N296)+LEN("购机"),LEN(N296)),IF(ISNUMBER(SEARCH("秀图",N296)),"【秀图】"&amp;MID(N296,SEARCH("秀图",N296)+LEN("秀图"),LEN(N296)),"")))),IFERROR(LEFT(_xlpm.A,FIND("【",_xlpm.A,FIND("】",_xlpm.A)+1)-1)&amp;MID(_xlpm.A,FIND("】",_xlpm.A,FIND("】",_xlpm.A)+1)+1,LEN(_xlpm.A)),_xlpm.A))</f>
        <v/>
      </c>
      <c r="J296" s="18" t="str" cm="1">
        <f t="array" ref="J296">IFERROR(INDEX(_xlfn.TEXTSPLIT(_xlfn.XLOOKUP($A296&amp;$B296&amp;$C296,盘货信息!$A:$A&amp;盘货信息!$B:$B&amp;盘货信息!$C:$C,盘货信息!$S:$S),CHAR(10),,TRUE),1,COLUMN(A295)),"")</f>
        <v/>
      </c>
      <c r="K296" s="18" t="str" cm="1">
        <f t="array" ref="K296">IFERROR(INDEX(_xlfn.TEXTSPLIT(_xlfn.XLOOKUP($A296&amp;$B296&amp;$C296,盘货信息!$A:$A&amp;盘货信息!$B:$B&amp;盘货信息!$C:$C,盘货信息!$S:$S),CHAR(10),,TRUE),1,COLUMN(B295)),"")</f>
        <v/>
      </c>
      <c r="L296" s="18" t="str" cm="1">
        <f t="array" ref="L296">IFERROR(INDEX(_xlfn.TEXTSPLIT(_xlfn.XLOOKUP($A296&amp;$B296&amp;$C296,盘货信息!$A:$A&amp;盘货信息!$B:$B&amp;盘货信息!$C:$C,盘货信息!$S:$S),CHAR(10),,TRUE),1,COLUMN(C295)),"")</f>
        <v/>
      </c>
      <c r="M296" s="18" t="str" cm="1">
        <f t="array" ref="M296">IFERROR(INDEX(_xlfn.TEXTSPLIT(_xlfn.XLOOKUP($A296&amp;$B296&amp;$C296,盘货信息!$A:$A&amp;盘货信息!$B:$B&amp;盘货信息!$C:$C,盘货信息!$S:$S),CHAR(10),,TRUE),1,COLUMN(D295)),"")</f>
        <v/>
      </c>
      <c r="N296" s="18" t="str" cm="1">
        <f t="array" ref="N296">IFERROR(INDEX(_xlfn.TEXTSPLIT(_xlfn.XLOOKUP($A296&amp;$B296&amp;$C296,盘货信息!$A:$A&amp;盘货信息!$B:$B&amp;盘货信息!$C:$C,盘货信息!$S:$S),CHAR(10),,TRUE),1,COLUMN(E295)),"")</f>
        <v/>
      </c>
    </row>
    <row r="297" customHeight="1" spans="1:14">
      <c r="A297" s="17" t="str">
        <f>IF(盘货信息!A297="","",盘货信息!A297)</f>
        <v/>
      </c>
      <c r="B297" s="17" t="str">
        <f>IF(盘货信息!B297="","",盘货信息!B297)</f>
        <v/>
      </c>
      <c r="C297" s="18" t="str">
        <f>IF(盘货信息!C297="","",盘货信息!C297)</f>
        <v/>
      </c>
      <c r="D297" s="18" t="str">
        <f t="shared" si="4"/>
        <v/>
      </c>
      <c r="E297" s="18" t="str">
        <f>_xlfn.LET(_xlpm.A,IF(ISNUMBER(SEARCH("晒单",J297)),"【晒单】"&amp;MID(J297,SEARCH("晒单",J297)+LEN("晒单"),LEN(J297))&amp;"（需晒单后联系客服登记）",IF(ISNUMBER(SEARCH("包修",J297)),"【购机】"&amp;MID(J297,SEARCH("购机",J297)+LEN("购机"),LEN(J297)),IF(ISNUMBER(SEARCH("叠放支架",J297)),"【赠品】"&amp;MID(J297,SEARCH("购机",J297)+LEN("购机"),LEN(J297)),IF(ISNUMBER(SEARCH("秀图",J297)),"【秀图】"&amp;MID(J297,SEARCH("秀图",J297)+LEN("秀图"),LEN(J297)),"")))),IFERROR(LEFT(_xlpm.A,FIND("【",_xlpm.A,FIND("】",_xlpm.A)+1)-1)&amp;MID(_xlpm.A,FIND("】",_xlpm.A,FIND("】",_xlpm.A)+1)+1,LEN(_xlpm.A)),_xlpm.A))</f>
        <v/>
      </c>
      <c r="F297" s="18" t="str">
        <f>_xlfn.LET(_xlpm.A,IF(ISNUMBER(SEARCH("晒单",K297)),"【晒单】"&amp;MID(K297,SEARCH("晒单",K297)+LEN("晒单"),LEN(K297))&amp;"（需晒单后联系客服登记）",IF(ISNUMBER(SEARCH("包修",K297)),"【购机】"&amp;MID(K297,SEARCH("购机",K297)+LEN("购机"),LEN(K297)),IF(ISNUMBER(SEARCH("叠放支架",K297)),"【赠品】"&amp;MID(K297,SEARCH("购机",K297)+LEN("购机"),LEN(K297)),IF(ISNUMBER(SEARCH("秀图",K297)),"【秀图】"&amp;MID(K297,SEARCH("秀图",K297)+LEN("秀图"),LEN(K297)),"")))),IFERROR(LEFT(_xlpm.A,FIND("【",_xlpm.A,FIND("】",_xlpm.A)+1)-1)&amp;MID(_xlpm.A,FIND("】",_xlpm.A,FIND("】",_xlpm.A)+1)+1,LEN(_xlpm.A)),_xlpm.A))</f>
        <v/>
      </c>
      <c r="G297" s="18" t="str">
        <f>_xlfn.LET(_xlpm.A,IF(ISNUMBER(SEARCH("晒单",L297)),"【晒单】"&amp;MID(L297,SEARCH("晒单",L297)+LEN("晒单"),LEN(L297))&amp;"（需晒单后联系客服登记）",IF(ISNUMBER(SEARCH("包修",L297)),"【购机】"&amp;MID(L297,SEARCH("购机",L297)+LEN("购机"),LEN(L297)),IF(ISNUMBER(SEARCH("叠放支架",L297)),"【赠品】"&amp;MID(L297,SEARCH("购机",L297)+LEN("购机"),LEN(L297)),IF(ISNUMBER(SEARCH("秀图",L297)),"【秀图】"&amp;MID(L297,SEARCH("秀图",L297)+LEN("秀图"),LEN(L297)),"")))),IFERROR(LEFT(_xlpm.A,FIND("【",_xlpm.A,FIND("】",_xlpm.A)+1)-1)&amp;MID(_xlpm.A,FIND("】",_xlpm.A,FIND("】",_xlpm.A)+1)+1,LEN(_xlpm.A)),_xlpm.A))</f>
        <v/>
      </c>
      <c r="H297" s="18" t="str">
        <f>_xlfn.LET(_xlpm.A,IF(ISNUMBER(SEARCH("晒单",M297)),"【晒单】"&amp;MID(M297,SEARCH("晒单",M297)+LEN("晒单"),LEN(M297))&amp;"（需晒单后联系客服登记）",IF(ISNUMBER(SEARCH("包修",M297)),"【购机】"&amp;MID(M297,SEARCH("购机",M297)+LEN("购机"),LEN(M297)),IF(ISNUMBER(SEARCH("叠放支架",M297)),"【赠品】"&amp;MID(M297,SEARCH("购机",M297)+LEN("购机"),LEN(M297)),IF(ISNUMBER(SEARCH("秀图",M297)),"【秀图】"&amp;MID(M297,SEARCH("秀图",M297)+LEN("秀图"),LEN(M297)),"")))),IFERROR(LEFT(_xlpm.A,FIND("【",_xlpm.A,FIND("】",_xlpm.A)+1)-1)&amp;MID(_xlpm.A,FIND("】",_xlpm.A,FIND("】",_xlpm.A)+1)+1,LEN(_xlpm.A)),_xlpm.A))</f>
        <v/>
      </c>
      <c r="I297" s="18" t="str">
        <f>_xlfn.LET(_xlpm.A,IF(ISNUMBER(SEARCH("晒单",N297)),"【晒单】"&amp;MID(N297,SEARCH("晒单",N297)+LEN("晒单"),LEN(N297))&amp;"（需晒单后联系客服登记）",IF(ISNUMBER(SEARCH("包修",N297)),"【购机】"&amp;MID(N297,SEARCH("购机",N297)+LEN("购机"),LEN(N297)),IF(ISNUMBER(SEARCH("叠放支架",N297)),"【赠品】"&amp;MID(N297,SEARCH("购机",N297)+LEN("购机"),LEN(N297)),IF(ISNUMBER(SEARCH("秀图",N297)),"【秀图】"&amp;MID(N297,SEARCH("秀图",N297)+LEN("秀图"),LEN(N297)),"")))),IFERROR(LEFT(_xlpm.A,FIND("【",_xlpm.A,FIND("】",_xlpm.A)+1)-1)&amp;MID(_xlpm.A,FIND("】",_xlpm.A,FIND("】",_xlpm.A)+1)+1,LEN(_xlpm.A)),_xlpm.A))</f>
        <v/>
      </c>
      <c r="J297" s="18" t="str" cm="1">
        <f t="array" ref="J297">IFERROR(INDEX(_xlfn.TEXTSPLIT(_xlfn.XLOOKUP($A297&amp;$B297&amp;$C297,盘货信息!$A:$A&amp;盘货信息!$B:$B&amp;盘货信息!$C:$C,盘货信息!$S:$S),CHAR(10),,TRUE),1,COLUMN(A296)),"")</f>
        <v/>
      </c>
      <c r="K297" s="18" t="str" cm="1">
        <f t="array" ref="K297">IFERROR(INDEX(_xlfn.TEXTSPLIT(_xlfn.XLOOKUP($A297&amp;$B297&amp;$C297,盘货信息!$A:$A&amp;盘货信息!$B:$B&amp;盘货信息!$C:$C,盘货信息!$S:$S),CHAR(10),,TRUE),1,COLUMN(B296)),"")</f>
        <v/>
      </c>
      <c r="L297" s="18" t="str" cm="1">
        <f t="array" ref="L297">IFERROR(INDEX(_xlfn.TEXTSPLIT(_xlfn.XLOOKUP($A297&amp;$B297&amp;$C297,盘货信息!$A:$A&amp;盘货信息!$B:$B&amp;盘货信息!$C:$C,盘货信息!$S:$S),CHAR(10),,TRUE),1,COLUMN(C296)),"")</f>
        <v/>
      </c>
      <c r="M297" s="18" t="str" cm="1">
        <f t="array" ref="M297">IFERROR(INDEX(_xlfn.TEXTSPLIT(_xlfn.XLOOKUP($A297&amp;$B297&amp;$C297,盘货信息!$A:$A&amp;盘货信息!$B:$B&amp;盘货信息!$C:$C,盘货信息!$S:$S),CHAR(10),,TRUE),1,COLUMN(D296)),"")</f>
        <v/>
      </c>
      <c r="N297" s="18" t="str" cm="1">
        <f t="array" ref="N297">IFERROR(INDEX(_xlfn.TEXTSPLIT(_xlfn.XLOOKUP($A297&amp;$B297&amp;$C297,盘货信息!$A:$A&amp;盘货信息!$B:$B&amp;盘货信息!$C:$C,盘货信息!$S:$S),CHAR(10),,TRUE),1,COLUMN(E296)),"")</f>
        <v/>
      </c>
    </row>
    <row r="298" customHeight="1" spans="1:14">
      <c r="A298" s="17" t="str">
        <f>IF(盘货信息!A298="","",盘货信息!A298)</f>
        <v/>
      </c>
      <c r="B298" s="17" t="str">
        <f>IF(盘货信息!B298="","",盘货信息!B298)</f>
        <v/>
      </c>
      <c r="C298" s="18" t="str">
        <f>IF(盘货信息!C298="","",盘货信息!C298)</f>
        <v/>
      </c>
      <c r="D298" s="18" t="str">
        <f t="shared" si="4"/>
        <v/>
      </c>
      <c r="E298" s="18" t="str">
        <f>_xlfn.LET(_xlpm.A,IF(ISNUMBER(SEARCH("晒单",J298)),"【晒单】"&amp;MID(J298,SEARCH("晒单",J298)+LEN("晒单"),LEN(J298))&amp;"（需晒单后联系客服登记）",IF(ISNUMBER(SEARCH("包修",J298)),"【购机】"&amp;MID(J298,SEARCH("购机",J298)+LEN("购机"),LEN(J298)),IF(ISNUMBER(SEARCH("叠放支架",J298)),"【赠品】"&amp;MID(J298,SEARCH("购机",J298)+LEN("购机"),LEN(J298)),IF(ISNUMBER(SEARCH("秀图",J298)),"【秀图】"&amp;MID(J298,SEARCH("秀图",J298)+LEN("秀图"),LEN(J298)),"")))),IFERROR(LEFT(_xlpm.A,FIND("【",_xlpm.A,FIND("】",_xlpm.A)+1)-1)&amp;MID(_xlpm.A,FIND("】",_xlpm.A,FIND("】",_xlpm.A)+1)+1,LEN(_xlpm.A)),_xlpm.A))</f>
        <v/>
      </c>
      <c r="F298" s="18" t="str">
        <f>_xlfn.LET(_xlpm.A,IF(ISNUMBER(SEARCH("晒单",K298)),"【晒单】"&amp;MID(K298,SEARCH("晒单",K298)+LEN("晒单"),LEN(K298))&amp;"（需晒单后联系客服登记）",IF(ISNUMBER(SEARCH("包修",K298)),"【购机】"&amp;MID(K298,SEARCH("购机",K298)+LEN("购机"),LEN(K298)),IF(ISNUMBER(SEARCH("叠放支架",K298)),"【赠品】"&amp;MID(K298,SEARCH("购机",K298)+LEN("购机"),LEN(K298)),IF(ISNUMBER(SEARCH("秀图",K298)),"【秀图】"&amp;MID(K298,SEARCH("秀图",K298)+LEN("秀图"),LEN(K298)),"")))),IFERROR(LEFT(_xlpm.A,FIND("【",_xlpm.A,FIND("】",_xlpm.A)+1)-1)&amp;MID(_xlpm.A,FIND("】",_xlpm.A,FIND("】",_xlpm.A)+1)+1,LEN(_xlpm.A)),_xlpm.A))</f>
        <v/>
      </c>
      <c r="G298" s="18" t="str">
        <f>_xlfn.LET(_xlpm.A,IF(ISNUMBER(SEARCH("晒单",L298)),"【晒单】"&amp;MID(L298,SEARCH("晒单",L298)+LEN("晒单"),LEN(L298))&amp;"（需晒单后联系客服登记）",IF(ISNUMBER(SEARCH("包修",L298)),"【购机】"&amp;MID(L298,SEARCH("购机",L298)+LEN("购机"),LEN(L298)),IF(ISNUMBER(SEARCH("叠放支架",L298)),"【赠品】"&amp;MID(L298,SEARCH("购机",L298)+LEN("购机"),LEN(L298)),IF(ISNUMBER(SEARCH("秀图",L298)),"【秀图】"&amp;MID(L298,SEARCH("秀图",L298)+LEN("秀图"),LEN(L298)),"")))),IFERROR(LEFT(_xlpm.A,FIND("【",_xlpm.A,FIND("】",_xlpm.A)+1)-1)&amp;MID(_xlpm.A,FIND("】",_xlpm.A,FIND("】",_xlpm.A)+1)+1,LEN(_xlpm.A)),_xlpm.A))</f>
        <v/>
      </c>
      <c r="H298" s="18" t="str">
        <f>_xlfn.LET(_xlpm.A,IF(ISNUMBER(SEARCH("晒单",M298)),"【晒单】"&amp;MID(M298,SEARCH("晒单",M298)+LEN("晒单"),LEN(M298))&amp;"（需晒单后联系客服登记）",IF(ISNUMBER(SEARCH("包修",M298)),"【购机】"&amp;MID(M298,SEARCH("购机",M298)+LEN("购机"),LEN(M298)),IF(ISNUMBER(SEARCH("叠放支架",M298)),"【赠品】"&amp;MID(M298,SEARCH("购机",M298)+LEN("购机"),LEN(M298)),IF(ISNUMBER(SEARCH("秀图",M298)),"【秀图】"&amp;MID(M298,SEARCH("秀图",M298)+LEN("秀图"),LEN(M298)),"")))),IFERROR(LEFT(_xlpm.A,FIND("【",_xlpm.A,FIND("】",_xlpm.A)+1)-1)&amp;MID(_xlpm.A,FIND("】",_xlpm.A,FIND("】",_xlpm.A)+1)+1,LEN(_xlpm.A)),_xlpm.A))</f>
        <v/>
      </c>
      <c r="I298" s="18" t="str">
        <f>_xlfn.LET(_xlpm.A,IF(ISNUMBER(SEARCH("晒单",N298)),"【晒单】"&amp;MID(N298,SEARCH("晒单",N298)+LEN("晒单"),LEN(N298))&amp;"（需晒单后联系客服登记）",IF(ISNUMBER(SEARCH("包修",N298)),"【购机】"&amp;MID(N298,SEARCH("购机",N298)+LEN("购机"),LEN(N298)),IF(ISNUMBER(SEARCH("叠放支架",N298)),"【赠品】"&amp;MID(N298,SEARCH("购机",N298)+LEN("购机"),LEN(N298)),IF(ISNUMBER(SEARCH("秀图",N298)),"【秀图】"&amp;MID(N298,SEARCH("秀图",N298)+LEN("秀图"),LEN(N298)),"")))),IFERROR(LEFT(_xlpm.A,FIND("【",_xlpm.A,FIND("】",_xlpm.A)+1)-1)&amp;MID(_xlpm.A,FIND("】",_xlpm.A,FIND("】",_xlpm.A)+1)+1,LEN(_xlpm.A)),_xlpm.A))</f>
        <v/>
      </c>
      <c r="J298" s="18" t="str" cm="1">
        <f t="array" ref="J298">IFERROR(INDEX(_xlfn.TEXTSPLIT(_xlfn.XLOOKUP($A298&amp;$B298&amp;$C298,盘货信息!$A:$A&amp;盘货信息!$B:$B&amp;盘货信息!$C:$C,盘货信息!$S:$S),CHAR(10),,TRUE),1,COLUMN(A297)),"")</f>
        <v/>
      </c>
      <c r="K298" s="18" t="str" cm="1">
        <f t="array" ref="K298">IFERROR(INDEX(_xlfn.TEXTSPLIT(_xlfn.XLOOKUP($A298&amp;$B298&amp;$C298,盘货信息!$A:$A&amp;盘货信息!$B:$B&amp;盘货信息!$C:$C,盘货信息!$S:$S),CHAR(10),,TRUE),1,COLUMN(B297)),"")</f>
        <v/>
      </c>
      <c r="L298" s="18" t="str" cm="1">
        <f t="array" ref="L298">IFERROR(INDEX(_xlfn.TEXTSPLIT(_xlfn.XLOOKUP($A298&amp;$B298&amp;$C298,盘货信息!$A:$A&amp;盘货信息!$B:$B&amp;盘货信息!$C:$C,盘货信息!$S:$S),CHAR(10),,TRUE),1,COLUMN(C297)),"")</f>
        <v/>
      </c>
      <c r="M298" s="18" t="str" cm="1">
        <f t="array" ref="M298">IFERROR(INDEX(_xlfn.TEXTSPLIT(_xlfn.XLOOKUP($A298&amp;$B298&amp;$C298,盘货信息!$A:$A&amp;盘货信息!$B:$B&amp;盘货信息!$C:$C,盘货信息!$S:$S),CHAR(10),,TRUE),1,COLUMN(D297)),"")</f>
        <v/>
      </c>
      <c r="N298" s="18" t="str" cm="1">
        <f t="array" ref="N298">IFERROR(INDEX(_xlfn.TEXTSPLIT(_xlfn.XLOOKUP($A298&amp;$B298&amp;$C298,盘货信息!$A:$A&amp;盘货信息!$B:$B&amp;盘货信息!$C:$C,盘货信息!$S:$S),CHAR(10),,TRUE),1,COLUMN(E297)),"")</f>
        <v/>
      </c>
    </row>
    <row r="299" customHeight="1" spans="1:14">
      <c r="A299" s="17" t="str">
        <f>IF(盘货信息!A299="","",盘货信息!A299)</f>
        <v/>
      </c>
      <c r="B299" s="17" t="str">
        <f>IF(盘货信息!B299="","",盘货信息!B299)</f>
        <v/>
      </c>
      <c r="C299" s="18" t="str">
        <f>IF(盘货信息!C299="","",盘货信息!C299)</f>
        <v/>
      </c>
      <c r="D299" s="18" t="str">
        <f t="shared" si="4"/>
        <v/>
      </c>
      <c r="E299" s="18" t="str">
        <f>_xlfn.LET(_xlpm.A,IF(ISNUMBER(SEARCH("晒单",J299)),"【晒单】"&amp;MID(J299,SEARCH("晒单",J299)+LEN("晒单"),LEN(J299))&amp;"（需晒单后联系客服登记）",IF(ISNUMBER(SEARCH("包修",J299)),"【购机】"&amp;MID(J299,SEARCH("购机",J299)+LEN("购机"),LEN(J299)),IF(ISNUMBER(SEARCH("叠放支架",J299)),"【赠品】"&amp;MID(J299,SEARCH("购机",J299)+LEN("购机"),LEN(J299)),IF(ISNUMBER(SEARCH("秀图",J299)),"【秀图】"&amp;MID(J299,SEARCH("秀图",J299)+LEN("秀图"),LEN(J299)),"")))),IFERROR(LEFT(_xlpm.A,FIND("【",_xlpm.A,FIND("】",_xlpm.A)+1)-1)&amp;MID(_xlpm.A,FIND("】",_xlpm.A,FIND("】",_xlpm.A)+1)+1,LEN(_xlpm.A)),_xlpm.A))</f>
        <v/>
      </c>
      <c r="F299" s="18" t="str">
        <f>_xlfn.LET(_xlpm.A,IF(ISNUMBER(SEARCH("晒单",K299)),"【晒单】"&amp;MID(K299,SEARCH("晒单",K299)+LEN("晒单"),LEN(K299))&amp;"（需晒单后联系客服登记）",IF(ISNUMBER(SEARCH("包修",K299)),"【购机】"&amp;MID(K299,SEARCH("购机",K299)+LEN("购机"),LEN(K299)),IF(ISNUMBER(SEARCH("叠放支架",K299)),"【赠品】"&amp;MID(K299,SEARCH("购机",K299)+LEN("购机"),LEN(K299)),IF(ISNUMBER(SEARCH("秀图",K299)),"【秀图】"&amp;MID(K299,SEARCH("秀图",K299)+LEN("秀图"),LEN(K299)),"")))),IFERROR(LEFT(_xlpm.A,FIND("【",_xlpm.A,FIND("】",_xlpm.A)+1)-1)&amp;MID(_xlpm.A,FIND("】",_xlpm.A,FIND("】",_xlpm.A)+1)+1,LEN(_xlpm.A)),_xlpm.A))</f>
        <v/>
      </c>
      <c r="G299" s="18" t="str">
        <f>_xlfn.LET(_xlpm.A,IF(ISNUMBER(SEARCH("晒单",L299)),"【晒单】"&amp;MID(L299,SEARCH("晒单",L299)+LEN("晒单"),LEN(L299))&amp;"（需晒单后联系客服登记）",IF(ISNUMBER(SEARCH("包修",L299)),"【购机】"&amp;MID(L299,SEARCH("购机",L299)+LEN("购机"),LEN(L299)),IF(ISNUMBER(SEARCH("叠放支架",L299)),"【赠品】"&amp;MID(L299,SEARCH("购机",L299)+LEN("购机"),LEN(L299)),IF(ISNUMBER(SEARCH("秀图",L299)),"【秀图】"&amp;MID(L299,SEARCH("秀图",L299)+LEN("秀图"),LEN(L299)),"")))),IFERROR(LEFT(_xlpm.A,FIND("【",_xlpm.A,FIND("】",_xlpm.A)+1)-1)&amp;MID(_xlpm.A,FIND("】",_xlpm.A,FIND("】",_xlpm.A)+1)+1,LEN(_xlpm.A)),_xlpm.A))</f>
        <v/>
      </c>
      <c r="H299" s="18" t="str">
        <f>_xlfn.LET(_xlpm.A,IF(ISNUMBER(SEARCH("晒单",M299)),"【晒单】"&amp;MID(M299,SEARCH("晒单",M299)+LEN("晒单"),LEN(M299))&amp;"（需晒单后联系客服登记）",IF(ISNUMBER(SEARCH("包修",M299)),"【购机】"&amp;MID(M299,SEARCH("购机",M299)+LEN("购机"),LEN(M299)),IF(ISNUMBER(SEARCH("叠放支架",M299)),"【赠品】"&amp;MID(M299,SEARCH("购机",M299)+LEN("购机"),LEN(M299)),IF(ISNUMBER(SEARCH("秀图",M299)),"【秀图】"&amp;MID(M299,SEARCH("秀图",M299)+LEN("秀图"),LEN(M299)),"")))),IFERROR(LEFT(_xlpm.A,FIND("【",_xlpm.A,FIND("】",_xlpm.A)+1)-1)&amp;MID(_xlpm.A,FIND("】",_xlpm.A,FIND("】",_xlpm.A)+1)+1,LEN(_xlpm.A)),_xlpm.A))</f>
        <v/>
      </c>
      <c r="I299" s="18" t="str">
        <f>_xlfn.LET(_xlpm.A,IF(ISNUMBER(SEARCH("晒单",N299)),"【晒单】"&amp;MID(N299,SEARCH("晒单",N299)+LEN("晒单"),LEN(N299))&amp;"（需晒单后联系客服登记）",IF(ISNUMBER(SEARCH("包修",N299)),"【购机】"&amp;MID(N299,SEARCH("购机",N299)+LEN("购机"),LEN(N299)),IF(ISNUMBER(SEARCH("叠放支架",N299)),"【赠品】"&amp;MID(N299,SEARCH("购机",N299)+LEN("购机"),LEN(N299)),IF(ISNUMBER(SEARCH("秀图",N299)),"【秀图】"&amp;MID(N299,SEARCH("秀图",N299)+LEN("秀图"),LEN(N299)),"")))),IFERROR(LEFT(_xlpm.A,FIND("【",_xlpm.A,FIND("】",_xlpm.A)+1)-1)&amp;MID(_xlpm.A,FIND("】",_xlpm.A,FIND("】",_xlpm.A)+1)+1,LEN(_xlpm.A)),_xlpm.A))</f>
        <v/>
      </c>
      <c r="J299" s="18" t="str" cm="1">
        <f t="array" ref="J299">IFERROR(INDEX(_xlfn.TEXTSPLIT(_xlfn.XLOOKUP($A299&amp;$B299&amp;$C299,盘货信息!$A:$A&amp;盘货信息!$B:$B&amp;盘货信息!$C:$C,盘货信息!$S:$S),CHAR(10),,TRUE),1,COLUMN(A298)),"")</f>
        <v/>
      </c>
      <c r="K299" s="18" t="str" cm="1">
        <f t="array" ref="K299">IFERROR(INDEX(_xlfn.TEXTSPLIT(_xlfn.XLOOKUP($A299&amp;$B299&amp;$C299,盘货信息!$A:$A&amp;盘货信息!$B:$B&amp;盘货信息!$C:$C,盘货信息!$S:$S),CHAR(10),,TRUE),1,COLUMN(B298)),"")</f>
        <v/>
      </c>
      <c r="L299" s="18" t="str" cm="1">
        <f t="array" ref="L299">IFERROR(INDEX(_xlfn.TEXTSPLIT(_xlfn.XLOOKUP($A299&amp;$B299&amp;$C299,盘货信息!$A:$A&amp;盘货信息!$B:$B&amp;盘货信息!$C:$C,盘货信息!$S:$S),CHAR(10),,TRUE),1,COLUMN(C298)),"")</f>
        <v/>
      </c>
      <c r="M299" s="18" t="str" cm="1">
        <f t="array" ref="M299">IFERROR(INDEX(_xlfn.TEXTSPLIT(_xlfn.XLOOKUP($A299&amp;$B299&amp;$C299,盘货信息!$A:$A&amp;盘货信息!$B:$B&amp;盘货信息!$C:$C,盘货信息!$S:$S),CHAR(10),,TRUE),1,COLUMN(D298)),"")</f>
        <v/>
      </c>
      <c r="N299" s="18" t="str" cm="1">
        <f t="array" ref="N299">IFERROR(INDEX(_xlfn.TEXTSPLIT(_xlfn.XLOOKUP($A299&amp;$B299&amp;$C299,盘货信息!$A:$A&amp;盘货信息!$B:$B&amp;盘货信息!$C:$C,盘货信息!$S:$S),CHAR(10),,TRUE),1,COLUMN(E298)),"")</f>
        <v/>
      </c>
    </row>
    <row r="300" customHeight="1" spans="1:14">
      <c r="A300" s="17" t="str">
        <f>IF(盘货信息!A300="","",盘货信息!A300)</f>
        <v/>
      </c>
      <c r="B300" s="17" t="str">
        <f>IF(盘货信息!B300="","",盘货信息!B300)</f>
        <v/>
      </c>
      <c r="C300" s="18" t="str">
        <f>IF(盘货信息!C300="","",盘货信息!C300)</f>
        <v/>
      </c>
      <c r="D300" s="18" t="str">
        <f t="shared" si="4"/>
        <v/>
      </c>
      <c r="E300" s="18" t="str">
        <f>_xlfn.LET(_xlpm.A,IF(ISNUMBER(SEARCH("晒单",J300)),"【晒单】"&amp;MID(J300,SEARCH("晒单",J300)+LEN("晒单"),LEN(J300))&amp;"（需晒单后联系客服登记）",IF(ISNUMBER(SEARCH("包修",J300)),"【购机】"&amp;MID(J300,SEARCH("购机",J300)+LEN("购机"),LEN(J300)),IF(ISNUMBER(SEARCH("叠放支架",J300)),"【赠品】"&amp;MID(J300,SEARCH("购机",J300)+LEN("购机"),LEN(J300)),IF(ISNUMBER(SEARCH("秀图",J300)),"【秀图】"&amp;MID(J300,SEARCH("秀图",J300)+LEN("秀图"),LEN(J300)),"")))),IFERROR(LEFT(_xlpm.A,FIND("【",_xlpm.A,FIND("】",_xlpm.A)+1)-1)&amp;MID(_xlpm.A,FIND("】",_xlpm.A,FIND("】",_xlpm.A)+1)+1,LEN(_xlpm.A)),_xlpm.A))</f>
        <v/>
      </c>
      <c r="F300" s="18" t="str">
        <f>_xlfn.LET(_xlpm.A,IF(ISNUMBER(SEARCH("晒单",K300)),"【晒单】"&amp;MID(K300,SEARCH("晒单",K300)+LEN("晒单"),LEN(K300))&amp;"（需晒单后联系客服登记）",IF(ISNUMBER(SEARCH("包修",K300)),"【购机】"&amp;MID(K300,SEARCH("购机",K300)+LEN("购机"),LEN(K300)),IF(ISNUMBER(SEARCH("叠放支架",K300)),"【赠品】"&amp;MID(K300,SEARCH("购机",K300)+LEN("购机"),LEN(K300)),IF(ISNUMBER(SEARCH("秀图",K300)),"【秀图】"&amp;MID(K300,SEARCH("秀图",K300)+LEN("秀图"),LEN(K300)),"")))),IFERROR(LEFT(_xlpm.A,FIND("【",_xlpm.A,FIND("】",_xlpm.A)+1)-1)&amp;MID(_xlpm.A,FIND("】",_xlpm.A,FIND("】",_xlpm.A)+1)+1,LEN(_xlpm.A)),_xlpm.A))</f>
        <v/>
      </c>
      <c r="G300" s="18" t="str">
        <f>_xlfn.LET(_xlpm.A,IF(ISNUMBER(SEARCH("晒单",L300)),"【晒单】"&amp;MID(L300,SEARCH("晒单",L300)+LEN("晒单"),LEN(L300))&amp;"（需晒单后联系客服登记）",IF(ISNUMBER(SEARCH("包修",L300)),"【购机】"&amp;MID(L300,SEARCH("购机",L300)+LEN("购机"),LEN(L300)),IF(ISNUMBER(SEARCH("叠放支架",L300)),"【赠品】"&amp;MID(L300,SEARCH("购机",L300)+LEN("购机"),LEN(L300)),IF(ISNUMBER(SEARCH("秀图",L300)),"【秀图】"&amp;MID(L300,SEARCH("秀图",L300)+LEN("秀图"),LEN(L300)),"")))),IFERROR(LEFT(_xlpm.A,FIND("【",_xlpm.A,FIND("】",_xlpm.A)+1)-1)&amp;MID(_xlpm.A,FIND("】",_xlpm.A,FIND("】",_xlpm.A)+1)+1,LEN(_xlpm.A)),_xlpm.A))</f>
        <v/>
      </c>
      <c r="H300" s="18" t="str">
        <f>_xlfn.LET(_xlpm.A,IF(ISNUMBER(SEARCH("晒单",M300)),"【晒单】"&amp;MID(M300,SEARCH("晒单",M300)+LEN("晒单"),LEN(M300))&amp;"（需晒单后联系客服登记）",IF(ISNUMBER(SEARCH("包修",M300)),"【购机】"&amp;MID(M300,SEARCH("购机",M300)+LEN("购机"),LEN(M300)),IF(ISNUMBER(SEARCH("叠放支架",M300)),"【赠品】"&amp;MID(M300,SEARCH("购机",M300)+LEN("购机"),LEN(M300)),IF(ISNUMBER(SEARCH("秀图",M300)),"【秀图】"&amp;MID(M300,SEARCH("秀图",M300)+LEN("秀图"),LEN(M300)),"")))),IFERROR(LEFT(_xlpm.A,FIND("【",_xlpm.A,FIND("】",_xlpm.A)+1)-1)&amp;MID(_xlpm.A,FIND("】",_xlpm.A,FIND("】",_xlpm.A)+1)+1,LEN(_xlpm.A)),_xlpm.A))</f>
        <v/>
      </c>
      <c r="I300" s="18" t="str">
        <f>_xlfn.LET(_xlpm.A,IF(ISNUMBER(SEARCH("晒单",N300)),"【晒单】"&amp;MID(N300,SEARCH("晒单",N300)+LEN("晒单"),LEN(N300))&amp;"（需晒单后联系客服登记）",IF(ISNUMBER(SEARCH("包修",N300)),"【购机】"&amp;MID(N300,SEARCH("购机",N300)+LEN("购机"),LEN(N300)),IF(ISNUMBER(SEARCH("叠放支架",N300)),"【赠品】"&amp;MID(N300,SEARCH("购机",N300)+LEN("购机"),LEN(N300)),IF(ISNUMBER(SEARCH("秀图",N300)),"【秀图】"&amp;MID(N300,SEARCH("秀图",N300)+LEN("秀图"),LEN(N300)),"")))),IFERROR(LEFT(_xlpm.A,FIND("【",_xlpm.A,FIND("】",_xlpm.A)+1)-1)&amp;MID(_xlpm.A,FIND("】",_xlpm.A,FIND("】",_xlpm.A)+1)+1,LEN(_xlpm.A)),_xlpm.A))</f>
        <v/>
      </c>
      <c r="J300" s="18" t="str" cm="1">
        <f t="array" ref="J300">IFERROR(INDEX(_xlfn.TEXTSPLIT(_xlfn.XLOOKUP($A300&amp;$B300&amp;$C300,盘货信息!$A:$A&amp;盘货信息!$B:$B&amp;盘货信息!$C:$C,盘货信息!$S:$S),CHAR(10),,TRUE),1,COLUMN(A299)),"")</f>
        <v/>
      </c>
      <c r="K300" s="18" t="str" cm="1">
        <f t="array" ref="K300">IFERROR(INDEX(_xlfn.TEXTSPLIT(_xlfn.XLOOKUP($A300&amp;$B300&amp;$C300,盘货信息!$A:$A&amp;盘货信息!$B:$B&amp;盘货信息!$C:$C,盘货信息!$S:$S),CHAR(10),,TRUE),1,COLUMN(B299)),"")</f>
        <v/>
      </c>
      <c r="L300" s="18" t="str" cm="1">
        <f t="array" ref="L300">IFERROR(INDEX(_xlfn.TEXTSPLIT(_xlfn.XLOOKUP($A300&amp;$B300&amp;$C300,盘货信息!$A:$A&amp;盘货信息!$B:$B&amp;盘货信息!$C:$C,盘货信息!$S:$S),CHAR(10),,TRUE),1,COLUMN(C299)),"")</f>
        <v/>
      </c>
      <c r="M300" s="18" t="str" cm="1">
        <f t="array" ref="M300">IFERROR(INDEX(_xlfn.TEXTSPLIT(_xlfn.XLOOKUP($A300&amp;$B300&amp;$C300,盘货信息!$A:$A&amp;盘货信息!$B:$B&amp;盘货信息!$C:$C,盘货信息!$S:$S),CHAR(10),,TRUE),1,COLUMN(D299)),"")</f>
        <v/>
      </c>
      <c r="N300" s="18" t="str" cm="1">
        <f t="array" ref="N300">IFERROR(INDEX(_xlfn.TEXTSPLIT(_xlfn.XLOOKUP($A300&amp;$B300&amp;$C300,盘货信息!$A:$A&amp;盘货信息!$B:$B&amp;盘货信息!$C:$C,盘货信息!$S:$S),CHAR(10),,TRUE),1,COLUMN(E299)),"")</f>
        <v/>
      </c>
    </row>
    <row r="301" customHeight="1" spans="1:14">
      <c r="A301" s="17" t="str">
        <f>IF(盘货信息!A301="","",盘货信息!A301)</f>
        <v/>
      </c>
      <c r="B301" s="17" t="str">
        <f>IF(盘货信息!B301="","",盘货信息!B301)</f>
        <v/>
      </c>
      <c r="C301" s="18" t="str">
        <f>IF(盘货信息!C301="","",盘货信息!C301)</f>
        <v/>
      </c>
      <c r="D301" s="18" t="str">
        <f t="shared" si="4"/>
        <v/>
      </c>
      <c r="E301" s="18" t="str">
        <f>_xlfn.LET(_xlpm.A,IF(ISNUMBER(SEARCH("晒单",J301)),"【晒单】"&amp;MID(J301,SEARCH("晒单",J301)+LEN("晒单"),LEN(J301))&amp;"（需晒单后联系客服登记）",IF(ISNUMBER(SEARCH("包修",J301)),"【购机】"&amp;MID(J301,SEARCH("购机",J301)+LEN("购机"),LEN(J301)),IF(ISNUMBER(SEARCH("叠放支架",J301)),"【赠品】"&amp;MID(J301,SEARCH("购机",J301)+LEN("购机"),LEN(J301)),IF(ISNUMBER(SEARCH("秀图",J301)),"【秀图】"&amp;MID(J301,SEARCH("秀图",J301)+LEN("秀图"),LEN(J301)),"")))),IFERROR(LEFT(_xlpm.A,FIND("【",_xlpm.A,FIND("】",_xlpm.A)+1)-1)&amp;MID(_xlpm.A,FIND("】",_xlpm.A,FIND("】",_xlpm.A)+1)+1,LEN(_xlpm.A)),_xlpm.A))</f>
        <v/>
      </c>
      <c r="F301" s="18" t="str">
        <f>_xlfn.LET(_xlpm.A,IF(ISNUMBER(SEARCH("晒单",K301)),"【晒单】"&amp;MID(K301,SEARCH("晒单",K301)+LEN("晒单"),LEN(K301))&amp;"（需晒单后联系客服登记）",IF(ISNUMBER(SEARCH("包修",K301)),"【购机】"&amp;MID(K301,SEARCH("购机",K301)+LEN("购机"),LEN(K301)),IF(ISNUMBER(SEARCH("叠放支架",K301)),"【赠品】"&amp;MID(K301,SEARCH("购机",K301)+LEN("购机"),LEN(K301)),IF(ISNUMBER(SEARCH("秀图",K301)),"【秀图】"&amp;MID(K301,SEARCH("秀图",K301)+LEN("秀图"),LEN(K301)),"")))),IFERROR(LEFT(_xlpm.A,FIND("【",_xlpm.A,FIND("】",_xlpm.A)+1)-1)&amp;MID(_xlpm.A,FIND("】",_xlpm.A,FIND("】",_xlpm.A)+1)+1,LEN(_xlpm.A)),_xlpm.A))</f>
        <v/>
      </c>
      <c r="G301" s="18" t="str">
        <f>_xlfn.LET(_xlpm.A,IF(ISNUMBER(SEARCH("晒单",L301)),"【晒单】"&amp;MID(L301,SEARCH("晒单",L301)+LEN("晒单"),LEN(L301))&amp;"（需晒单后联系客服登记）",IF(ISNUMBER(SEARCH("包修",L301)),"【购机】"&amp;MID(L301,SEARCH("购机",L301)+LEN("购机"),LEN(L301)),IF(ISNUMBER(SEARCH("叠放支架",L301)),"【赠品】"&amp;MID(L301,SEARCH("购机",L301)+LEN("购机"),LEN(L301)),IF(ISNUMBER(SEARCH("秀图",L301)),"【秀图】"&amp;MID(L301,SEARCH("秀图",L301)+LEN("秀图"),LEN(L301)),"")))),IFERROR(LEFT(_xlpm.A,FIND("【",_xlpm.A,FIND("】",_xlpm.A)+1)-1)&amp;MID(_xlpm.A,FIND("】",_xlpm.A,FIND("】",_xlpm.A)+1)+1,LEN(_xlpm.A)),_xlpm.A))</f>
        <v/>
      </c>
      <c r="H301" s="18" t="str">
        <f>_xlfn.LET(_xlpm.A,IF(ISNUMBER(SEARCH("晒单",M301)),"【晒单】"&amp;MID(M301,SEARCH("晒单",M301)+LEN("晒单"),LEN(M301))&amp;"（需晒单后联系客服登记）",IF(ISNUMBER(SEARCH("包修",M301)),"【购机】"&amp;MID(M301,SEARCH("购机",M301)+LEN("购机"),LEN(M301)),IF(ISNUMBER(SEARCH("叠放支架",M301)),"【赠品】"&amp;MID(M301,SEARCH("购机",M301)+LEN("购机"),LEN(M301)),IF(ISNUMBER(SEARCH("秀图",M301)),"【秀图】"&amp;MID(M301,SEARCH("秀图",M301)+LEN("秀图"),LEN(M301)),"")))),IFERROR(LEFT(_xlpm.A,FIND("【",_xlpm.A,FIND("】",_xlpm.A)+1)-1)&amp;MID(_xlpm.A,FIND("】",_xlpm.A,FIND("】",_xlpm.A)+1)+1,LEN(_xlpm.A)),_xlpm.A))</f>
        <v/>
      </c>
      <c r="I301" s="18" t="str">
        <f>_xlfn.LET(_xlpm.A,IF(ISNUMBER(SEARCH("晒单",N301)),"【晒单】"&amp;MID(N301,SEARCH("晒单",N301)+LEN("晒单"),LEN(N301))&amp;"（需晒单后联系客服登记）",IF(ISNUMBER(SEARCH("包修",N301)),"【购机】"&amp;MID(N301,SEARCH("购机",N301)+LEN("购机"),LEN(N301)),IF(ISNUMBER(SEARCH("叠放支架",N301)),"【赠品】"&amp;MID(N301,SEARCH("购机",N301)+LEN("购机"),LEN(N301)),IF(ISNUMBER(SEARCH("秀图",N301)),"【秀图】"&amp;MID(N301,SEARCH("秀图",N301)+LEN("秀图"),LEN(N301)),"")))),IFERROR(LEFT(_xlpm.A,FIND("【",_xlpm.A,FIND("】",_xlpm.A)+1)-1)&amp;MID(_xlpm.A,FIND("】",_xlpm.A,FIND("】",_xlpm.A)+1)+1,LEN(_xlpm.A)),_xlpm.A))</f>
        <v/>
      </c>
      <c r="J301" s="18" t="str" cm="1">
        <f t="array" ref="J301">IFERROR(INDEX(_xlfn.TEXTSPLIT(_xlfn.XLOOKUP($A301&amp;$B301&amp;$C301,盘货信息!$A:$A&amp;盘货信息!$B:$B&amp;盘货信息!$C:$C,盘货信息!$S:$S),CHAR(10),,TRUE),1,COLUMN(A300)),"")</f>
        <v/>
      </c>
      <c r="K301" s="18" t="str" cm="1">
        <f t="array" ref="K301">IFERROR(INDEX(_xlfn.TEXTSPLIT(_xlfn.XLOOKUP($A301&amp;$B301&amp;$C301,盘货信息!$A:$A&amp;盘货信息!$B:$B&amp;盘货信息!$C:$C,盘货信息!$S:$S),CHAR(10),,TRUE),1,COLUMN(B300)),"")</f>
        <v/>
      </c>
      <c r="L301" s="18" t="str" cm="1">
        <f t="array" ref="L301">IFERROR(INDEX(_xlfn.TEXTSPLIT(_xlfn.XLOOKUP($A301&amp;$B301&amp;$C301,盘货信息!$A:$A&amp;盘货信息!$B:$B&amp;盘货信息!$C:$C,盘货信息!$S:$S),CHAR(10),,TRUE),1,COLUMN(C300)),"")</f>
        <v/>
      </c>
      <c r="M301" s="18" t="str" cm="1">
        <f t="array" ref="M301">IFERROR(INDEX(_xlfn.TEXTSPLIT(_xlfn.XLOOKUP($A301&amp;$B301&amp;$C301,盘货信息!$A:$A&amp;盘货信息!$B:$B&amp;盘货信息!$C:$C,盘货信息!$S:$S),CHAR(10),,TRUE),1,COLUMN(D300)),"")</f>
        <v/>
      </c>
      <c r="N301" s="18" t="str" cm="1">
        <f t="array" ref="N301">IFERROR(INDEX(_xlfn.TEXTSPLIT(_xlfn.XLOOKUP($A301&amp;$B301&amp;$C301,盘货信息!$A:$A&amp;盘货信息!$B:$B&amp;盘货信息!$C:$C,盘货信息!$S:$S),CHAR(10),,TRUE),1,COLUMN(E300)),"")</f>
        <v/>
      </c>
    </row>
    <row r="302" customHeight="1" spans="1:14">
      <c r="A302" s="17" t="str">
        <f>IF(盘货信息!A302="","",盘货信息!A302)</f>
        <v/>
      </c>
      <c r="B302" s="17" t="str">
        <f>IF(盘货信息!B302="","",盘货信息!B302)</f>
        <v/>
      </c>
      <c r="C302" s="18" t="str">
        <f>IF(盘货信息!C302="","",盘货信息!C302)</f>
        <v/>
      </c>
      <c r="D302" s="18" t="str">
        <f t="shared" si="4"/>
        <v/>
      </c>
      <c r="E302" s="18" t="str">
        <f>_xlfn.LET(_xlpm.A,IF(ISNUMBER(SEARCH("晒单",J302)),"【晒单】"&amp;MID(J302,SEARCH("晒单",J302)+LEN("晒单"),LEN(J302))&amp;"（需晒单后联系客服登记）",IF(ISNUMBER(SEARCH("包修",J302)),"【购机】"&amp;MID(J302,SEARCH("购机",J302)+LEN("购机"),LEN(J302)),IF(ISNUMBER(SEARCH("叠放支架",J302)),"【赠品】"&amp;MID(J302,SEARCH("购机",J302)+LEN("购机"),LEN(J302)),IF(ISNUMBER(SEARCH("秀图",J302)),"【秀图】"&amp;MID(J302,SEARCH("秀图",J302)+LEN("秀图"),LEN(J302)),"")))),IFERROR(LEFT(_xlpm.A,FIND("【",_xlpm.A,FIND("】",_xlpm.A)+1)-1)&amp;MID(_xlpm.A,FIND("】",_xlpm.A,FIND("】",_xlpm.A)+1)+1,LEN(_xlpm.A)),_xlpm.A))</f>
        <v/>
      </c>
      <c r="F302" s="18" t="str">
        <f>_xlfn.LET(_xlpm.A,IF(ISNUMBER(SEARCH("晒单",K302)),"【晒单】"&amp;MID(K302,SEARCH("晒单",K302)+LEN("晒单"),LEN(K302))&amp;"（需晒单后联系客服登记）",IF(ISNUMBER(SEARCH("包修",K302)),"【购机】"&amp;MID(K302,SEARCH("购机",K302)+LEN("购机"),LEN(K302)),IF(ISNUMBER(SEARCH("叠放支架",K302)),"【赠品】"&amp;MID(K302,SEARCH("购机",K302)+LEN("购机"),LEN(K302)),IF(ISNUMBER(SEARCH("秀图",K302)),"【秀图】"&amp;MID(K302,SEARCH("秀图",K302)+LEN("秀图"),LEN(K302)),"")))),IFERROR(LEFT(_xlpm.A,FIND("【",_xlpm.A,FIND("】",_xlpm.A)+1)-1)&amp;MID(_xlpm.A,FIND("】",_xlpm.A,FIND("】",_xlpm.A)+1)+1,LEN(_xlpm.A)),_xlpm.A))</f>
        <v/>
      </c>
      <c r="G302" s="18" t="str">
        <f>_xlfn.LET(_xlpm.A,IF(ISNUMBER(SEARCH("晒单",L302)),"【晒单】"&amp;MID(L302,SEARCH("晒单",L302)+LEN("晒单"),LEN(L302))&amp;"（需晒单后联系客服登记）",IF(ISNUMBER(SEARCH("包修",L302)),"【购机】"&amp;MID(L302,SEARCH("购机",L302)+LEN("购机"),LEN(L302)),IF(ISNUMBER(SEARCH("叠放支架",L302)),"【赠品】"&amp;MID(L302,SEARCH("购机",L302)+LEN("购机"),LEN(L302)),IF(ISNUMBER(SEARCH("秀图",L302)),"【秀图】"&amp;MID(L302,SEARCH("秀图",L302)+LEN("秀图"),LEN(L302)),"")))),IFERROR(LEFT(_xlpm.A,FIND("【",_xlpm.A,FIND("】",_xlpm.A)+1)-1)&amp;MID(_xlpm.A,FIND("】",_xlpm.A,FIND("】",_xlpm.A)+1)+1,LEN(_xlpm.A)),_xlpm.A))</f>
        <v/>
      </c>
      <c r="H302" s="18" t="str">
        <f>_xlfn.LET(_xlpm.A,IF(ISNUMBER(SEARCH("晒单",M302)),"【晒单】"&amp;MID(M302,SEARCH("晒单",M302)+LEN("晒单"),LEN(M302))&amp;"（需晒单后联系客服登记）",IF(ISNUMBER(SEARCH("包修",M302)),"【购机】"&amp;MID(M302,SEARCH("购机",M302)+LEN("购机"),LEN(M302)),IF(ISNUMBER(SEARCH("叠放支架",M302)),"【赠品】"&amp;MID(M302,SEARCH("购机",M302)+LEN("购机"),LEN(M302)),IF(ISNUMBER(SEARCH("秀图",M302)),"【秀图】"&amp;MID(M302,SEARCH("秀图",M302)+LEN("秀图"),LEN(M302)),"")))),IFERROR(LEFT(_xlpm.A,FIND("【",_xlpm.A,FIND("】",_xlpm.A)+1)-1)&amp;MID(_xlpm.A,FIND("】",_xlpm.A,FIND("】",_xlpm.A)+1)+1,LEN(_xlpm.A)),_xlpm.A))</f>
        <v/>
      </c>
      <c r="I302" s="18" t="str">
        <f>_xlfn.LET(_xlpm.A,IF(ISNUMBER(SEARCH("晒单",N302)),"【晒单】"&amp;MID(N302,SEARCH("晒单",N302)+LEN("晒单"),LEN(N302))&amp;"（需晒单后联系客服登记）",IF(ISNUMBER(SEARCH("包修",N302)),"【购机】"&amp;MID(N302,SEARCH("购机",N302)+LEN("购机"),LEN(N302)),IF(ISNUMBER(SEARCH("叠放支架",N302)),"【赠品】"&amp;MID(N302,SEARCH("购机",N302)+LEN("购机"),LEN(N302)),IF(ISNUMBER(SEARCH("秀图",N302)),"【秀图】"&amp;MID(N302,SEARCH("秀图",N302)+LEN("秀图"),LEN(N302)),"")))),IFERROR(LEFT(_xlpm.A,FIND("【",_xlpm.A,FIND("】",_xlpm.A)+1)-1)&amp;MID(_xlpm.A,FIND("】",_xlpm.A,FIND("】",_xlpm.A)+1)+1,LEN(_xlpm.A)),_xlpm.A))</f>
        <v/>
      </c>
      <c r="J302" s="18" t="str" cm="1">
        <f t="array" ref="J302">IFERROR(INDEX(_xlfn.TEXTSPLIT(_xlfn.XLOOKUP($A302&amp;$B302&amp;$C302,盘货信息!$A:$A&amp;盘货信息!$B:$B&amp;盘货信息!$C:$C,盘货信息!$S:$S),CHAR(10),,TRUE),1,COLUMN(A301)),"")</f>
        <v/>
      </c>
      <c r="K302" s="18" t="str" cm="1">
        <f t="array" ref="K302">IFERROR(INDEX(_xlfn.TEXTSPLIT(_xlfn.XLOOKUP($A302&amp;$B302&amp;$C302,盘货信息!$A:$A&amp;盘货信息!$B:$B&amp;盘货信息!$C:$C,盘货信息!$S:$S),CHAR(10),,TRUE),1,COLUMN(B301)),"")</f>
        <v/>
      </c>
      <c r="L302" s="18" t="str" cm="1">
        <f t="array" ref="L302">IFERROR(INDEX(_xlfn.TEXTSPLIT(_xlfn.XLOOKUP($A302&amp;$B302&amp;$C302,盘货信息!$A:$A&amp;盘货信息!$B:$B&amp;盘货信息!$C:$C,盘货信息!$S:$S),CHAR(10),,TRUE),1,COLUMN(C301)),"")</f>
        <v/>
      </c>
      <c r="M302" s="18" t="str" cm="1">
        <f t="array" ref="M302">IFERROR(INDEX(_xlfn.TEXTSPLIT(_xlfn.XLOOKUP($A302&amp;$B302&amp;$C302,盘货信息!$A:$A&amp;盘货信息!$B:$B&amp;盘货信息!$C:$C,盘货信息!$S:$S),CHAR(10),,TRUE),1,COLUMN(D301)),"")</f>
        <v/>
      </c>
      <c r="N302" s="18" t="str" cm="1">
        <f t="array" ref="N302">IFERROR(INDEX(_xlfn.TEXTSPLIT(_xlfn.XLOOKUP($A302&amp;$B302&amp;$C302,盘货信息!$A:$A&amp;盘货信息!$B:$B&amp;盘货信息!$C:$C,盘货信息!$S:$S),CHAR(10),,TRUE),1,COLUMN(E301)),"")</f>
        <v/>
      </c>
    </row>
    <row r="303" customHeight="1" spans="1:14">
      <c r="A303" s="17" t="str">
        <f>IF(盘货信息!A303="","",盘货信息!A303)</f>
        <v/>
      </c>
      <c r="B303" s="17" t="str">
        <f>IF(盘货信息!B303="","",盘货信息!B303)</f>
        <v/>
      </c>
      <c r="C303" s="18" t="str">
        <f>IF(盘货信息!C303="","",盘货信息!C303)</f>
        <v/>
      </c>
      <c r="D303" s="18" t="str">
        <f t="shared" si="4"/>
        <v/>
      </c>
      <c r="E303" s="18" t="str">
        <f>_xlfn.LET(_xlpm.A,IF(ISNUMBER(SEARCH("晒单",J303)),"【晒单】"&amp;MID(J303,SEARCH("晒单",J303)+LEN("晒单"),LEN(J303))&amp;"（需晒单后联系客服登记）",IF(ISNUMBER(SEARCH("包修",J303)),"【购机】"&amp;MID(J303,SEARCH("购机",J303)+LEN("购机"),LEN(J303)),IF(ISNUMBER(SEARCH("叠放支架",J303)),"【赠品】"&amp;MID(J303,SEARCH("购机",J303)+LEN("购机"),LEN(J303)),IF(ISNUMBER(SEARCH("秀图",J303)),"【秀图】"&amp;MID(J303,SEARCH("秀图",J303)+LEN("秀图"),LEN(J303)),"")))),IFERROR(LEFT(_xlpm.A,FIND("【",_xlpm.A,FIND("】",_xlpm.A)+1)-1)&amp;MID(_xlpm.A,FIND("】",_xlpm.A,FIND("】",_xlpm.A)+1)+1,LEN(_xlpm.A)),_xlpm.A))</f>
        <v/>
      </c>
      <c r="F303" s="18" t="str">
        <f>_xlfn.LET(_xlpm.A,IF(ISNUMBER(SEARCH("晒单",K303)),"【晒单】"&amp;MID(K303,SEARCH("晒单",K303)+LEN("晒单"),LEN(K303))&amp;"（需晒单后联系客服登记）",IF(ISNUMBER(SEARCH("包修",K303)),"【购机】"&amp;MID(K303,SEARCH("购机",K303)+LEN("购机"),LEN(K303)),IF(ISNUMBER(SEARCH("叠放支架",K303)),"【赠品】"&amp;MID(K303,SEARCH("购机",K303)+LEN("购机"),LEN(K303)),IF(ISNUMBER(SEARCH("秀图",K303)),"【秀图】"&amp;MID(K303,SEARCH("秀图",K303)+LEN("秀图"),LEN(K303)),"")))),IFERROR(LEFT(_xlpm.A,FIND("【",_xlpm.A,FIND("】",_xlpm.A)+1)-1)&amp;MID(_xlpm.A,FIND("】",_xlpm.A,FIND("】",_xlpm.A)+1)+1,LEN(_xlpm.A)),_xlpm.A))</f>
        <v/>
      </c>
      <c r="G303" s="18" t="str">
        <f>_xlfn.LET(_xlpm.A,IF(ISNUMBER(SEARCH("晒单",L303)),"【晒单】"&amp;MID(L303,SEARCH("晒单",L303)+LEN("晒单"),LEN(L303))&amp;"（需晒单后联系客服登记）",IF(ISNUMBER(SEARCH("包修",L303)),"【购机】"&amp;MID(L303,SEARCH("购机",L303)+LEN("购机"),LEN(L303)),IF(ISNUMBER(SEARCH("叠放支架",L303)),"【赠品】"&amp;MID(L303,SEARCH("购机",L303)+LEN("购机"),LEN(L303)),IF(ISNUMBER(SEARCH("秀图",L303)),"【秀图】"&amp;MID(L303,SEARCH("秀图",L303)+LEN("秀图"),LEN(L303)),"")))),IFERROR(LEFT(_xlpm.A,FIND("【",_xlpm.A,FIND("】",_xlpm.A)+1)-1)&amp;MID(_xlpm.A,FIND("】",_xlpm.A,FIND("】",_xlpm.A)+1)+1,LEN(_xlpm.A)),_xlpm.A))</f>
        <v/>
      </c>
      <c r="H303" s="18" t="str">
        <f>_xlfn.LET(_xlpm.A,IF(ISNUMBER(SEARCH("晒单",M303)),"【晒单】"&amp;MID(M303,SEARCH("晒单",M303)+LEN("晒单"),LEN(M303))&amp;"（需晒单后联系客服登记）",IF(ISNUMBER(SEARCH("包修",M303)),"【购机】"&amp;MID(M303,SEARCH("购机",M303)+LEN("购机"),LEN(M303)),IF(ISNUMBER(SEARCH("叠放支架",M303)),"【赠品】"&amp;MID(M303,SEARCH("购机",M303)+LEN("购机"),LEN(M303)),IF(ISNUMBER(SEARCH("秀图",M303)),"【秀图】"&amp;MID(M303,SEARCH("秀图",M303)+LEN("秀图"),LEN(M303)),"")))),IFERROR(LEFT(_xlpm.A,FIND("【",_xlpm.A,FIND("】",_xlpm.A)+1)-1)&amp;MID(_xlpm.A,FIND("】",_xlpm.A,FIND("】",_xlpm.A)+1)+1,LEN(_xlpm.A)),_xlpm.A))</f>
        <v/>
      </c>
      <c r="I303" s="18" t="str">
        <f>_xlfn.LET(_xlpm.A,IF(ISNUMBER(SEARCH("晒单",N303)),"【晒单】"&amp;MID(N303,SEARCH("晒单",N303)+LEN("晒单"),LEN(N303))&amp;"（需晒单后联系客服登记）",IF(ISNUMBER(SEARCH("包修",N303)),"【购机】"&amp;MID(N303,SEARCH("购机",N303)+LEN("购机"),LEN(N303)),IF(ISNUMBER(SEARCH("叠放支架",N303)),"【赠品】"&amp;MID(N303,SEARCH("购机",N303)+LEN("购机"),LEN(N303)),IF(ISNUMBER(SEARCH("秀图",N303)),"【秀图】"&amp;MID(N303,SEARCH("秀图",N303)+LEN("秀图"),LEN(N303)),"")))),IFERROR(LEFT(_xlpm.A,FIND("【",_xlpm.A,FIND("】",_xlpm.A)+1)-1)&amp;MID(_xlpm.A,FIND("】",_xlpm.A,FIND("】",_xlpm.A)+1)+1,LEN(_xlpm.A)),_xlpm.A))</f>
        <v/>
      </c>
      <c r="J303" s="18" t="str" cm="1">
        <f t="array" ref="J303">IFERROR(INDEX(_xlfn.TEXTSPLIT(_xlfn.XLOOKUP($A303&amp;$B303&amp;$C303,盘货信息!$A:$A&amp;盘货信息!$B:$B&amp;盘货信息!$C:$C,盘货信息!$S:$S),CHAR(10),,TRUE),1,COLUMN(A302)),"")</f>
        <v/>
      </c>
      <c r="K303" s="18" t="str" cm="1">
        <f t="array" ref="K303">IFERROR(INDEX(_xlfn.TEXTSPLIT(_xlfn.XLOOKUP($A303&amp;$B303&amp;$C303,盘货信息!$A:$A&amp;盘货信息!$B:$B&amp;盘货信息!$C:$C,盘货信息!$S:$S),CHAR(10),,TRUE),1,COLUMN(B302)),"")</f>
        <v/>
      </c>
      <c r="L303" s="18" t="str" cm="1">
        <f t="array" ref="L303">IFERROR(INDEX(_xlfn.TEXTSPLIT(_xlfn.XLOOKUP($A303&amp;$B303&amp;$C303,盘货信息!$A:$A&amp;盘货信息!$B:$B&amp;盘货信息!$C:$C,盘货信息!$S:$S),CHAR(10),,TRUE),1,COLUMN(C302)),"")</f>
        <v/>
      </c>
      <c r="M303" s="18" t="str" cm="1">
        <f t="array" ref="M303">IFERROR(INDEX(_xlfn.TEXTSPLIT(_xlfn.XLOOKUP($A303&amp;$B303&amp;$C303,盘货信息!$A:$A&amp;盘货信息!$B:$B&amp;盘货信息!$C:$C,盘货信息!$S:$S),CHAR(10),,TRUE),1,COLUMN(D302)),"")</f>
        <v/>
      </c>
      <c r="N303" s="18" t="str" cm="1">
        <f t="array" ref="N303">IFERROR(INDEX(_xlfn.TEXTSPLIT(_xlfn.XLOOKUP($A303&amp;$B303&amp;$C303,盘货信息!$A:$A&amp;盘货信息!$B:$B&amp;盘货信息!$C:$C,盘货信息!$S:$S),CHAR(10),,TRUE),1,COLUMN(E302)),"")</f>
        <v/>
      </c>
    </row>
    <row r="304" customHeight="1" spans="1:14">
      <c r="A304" s="17" t="str">
        <f>IF(盘货信息!A304="","",盘货信息!A304)</f>
        <v/>
      </c>
      <c r="B304" s="17" t="str">
        <f>IF(盘货信息!B304="","",盘货信息!B304)</f>
        <v/>
      </c>
      <c r="C304" s="18" t="str">
        <f>IF(盘货信息!C304="","",盘货信息!C304)</f>
        <v/>
      </c>
      <c r="D304" s="18" t="str">
        <f t="shared" si="4"/>
        <v/>
      </c>
      <c r="E304" s="18" t="str">
        <f>_xlfn.LET(_xlpm.A,IF(ISNUMBER(SEARCH("晒单",J304)),"【晒单】"&amp;MID(J304,SEARCH("晒单",J304)+LEN("晒单"),LEN(J304))&amp;"（需晒单后联系客服登记）",IF(ISNUMBER(SEARCH("包修",J304)),"【购机】"&amp;MID(J304,SEARCH("购机",J304)+LEN("购机"),LEN(J304)),IF(ISNUMBER(SEARCH("叠放支架",J304)),"【赠品】"&amp;MID(J304,SEARCH("购机",J304)+LEN("购机"),LEN(J304)),IF(ISNUMBER(SEARCH("秀图",J304)),"【秀图】"&amp;MID(J304,SEARCH("秀图",J304)+LEN("秀图"),LEN(J304)),"")))),IFERROR(LEFT(_xlpm.A,FIND("【",_xlpm.A,FIND("】",_xlpm.A)+1)-1)&amp;MID(_xlpm.A,FIND("】",_xlpm.A,FIND("】",_xlpm.A)+1)+1,LEN(_xlpm.A)),_xlpm.A))</f>
        <v/>
      </c>
      <c r="F304" s="18" t="str">
        <f>_xlfn.LET(_xlpm.A,IF(ISNUMBER(SEARCH("晒单",K304)),"【晒单】"&amp;MID(K304,SEARCH("晒单",K304)+LEN("晒单"),LEN(K304))&amp;"（需晒单后联系客服登记）",IF(ISNUMBER(SEARCH("包修",K304)),"【购机】"&amp;MID(K304,SEARCH("购机",K304)+LEN("购机"),LEN(K304)),IF(ISNUMBER(SEARCH("叠放支架",K304)),"【赠品】"&amp;MID(K304,SEARCH("购机",K304)+LEN("购机"),LEN(K304)),IF(ISNUMBER(SEARCH("秀图",K304)),"【秀图】"&amp;MID(K304,SEARCH("秀图",K304)+LEN("秀图"),LEN(K304)),"")))),IFERROR(LEFT(_xlpm.A,FIND("【",_xlpm.A,FIND("】",_xlpm.A)+1)-1)&amp;MID(_xlpm.A,FIND("】",_xlpm.A,FIND("】",_xlpm.A)+1)+1,LEN(_xlpm.A)),_xlpm.A))</f>
        <v/>
      </c>
      <c r="G304" s="18" t="str">
        <f>_xlfn.LET(_xlpm.A,IF(ISNUMBER(SEARCH("晒单",L304)),"【晒单】"&amp;MID(L304,SEARCH("晒单",L304)+LEN("晒单"),LEN(L304))&amp;"（需晒单后联系客服登记）",IF(ISNUMBER(SEARCH("包修",L304)),"【购机】"&amp;MID(L304,SEARCH("购机",L304)+LEN("购机"),LEN(L304)),IF(ISNUMBER(SEARCH("叠放支架",L304)),"【赠品】"&amp;MID(L304,SEARCH("购机",L304)+LEN("购机"),LEN(L304)),IF(ISNUMBER(SEARCH("秀图",L304)),"【秀图】"&amp;MID(L304,SEARCH("秀图",L304)+LEN("秀图"),LEN(L304)),"")))),IFERROR(LEFT(_xlpm.A,FIND("【",_xlpm.A,FIND("】",_xlpm.A)+1)-1)&amp;MID(_xlpm.A,FIND("】",_xlpm.A,FIND("】",_xlpm.A)+1)+1,LEN(_xlpm.A)),_xlpm.A))</f>
        <v/>
      </c>
      <c r="H304" s="18" t="str">
        <f>_xlfn.LET(_xlpm.A,IF(ISNUMBER(SEARCH("晒单",M304)),"【晒单】"&amp;MID(M304,SEARCH("晒单",M304)+LEN("晒单"),LEN(M304))&amp;"（需晒单后联系客服登记）",IF(ISNUMBER(SEARCH("包修",M304)),"【购机】"&amp;MID(M304,SEARCH("购机",M304)+LEN("购机"),LEN(M304)),IF(ISNUMBER(SEARCH("叠放支架",M304)),"【赠品】"&amp;MID(M304,SEARCH("购机",M304)+LEN("购机"),LEN(M304)),IF(ISNUMBER(SEARCH("秀图",M304)),"【秀图】"&amp;MID(M304,SEARCH("秀图",M304)+LEN("秀图"),LEN(M304)),"")))),IFERROR(LEFT(_xlpm.A,FIND("【",_xlpm.A,FIND("】",_xlpm.A)+1)-1)&amp;MID(_xlpm.A,FIND("】",_xlpm.A,FIND("】",_xlpm.A)+1)+1,LEN(_xlpm.A)),_xlpm.A))</f>
        <v/>
      </c>
      <c r="I304" s="18" t="str">
        <f>_xlfn.LET(_xlpm.A,IF(ISNUMBER(SEARCH("晒单",N304)),"【晒单】"&amp;MID(N304,SEARCH("晒单",N304)+LEN("晒单"),LEN(N304))&amp;"（需晒单后联系客服登记）",IF(ISNUMBER(SEARCH("包修",N304)),"【购机】"&amp;MID(N304,SEARCH("购机",N304)+LEN("购机"),LEN(N304)),IF(ISNUMBER(SEARCH("叠放支架",N304)),"【赠品】"&amp;MID(N304,SEARCH("购机",N304)+LEN("购机"),LEN(N304)),IF(ISNUMBER(SEARCH("秀图",N304)),"【秀图】"&amp;MID(N304,SEARCH("秀图",N304)+LEN("秀图"),LEN(N304)),"")))),IFERROR(LEFT(_xlpm.A,FIND("【",_xlpm.A,FIND("】",_xlpm.A)+1)-1)&amp;MID(_xlpm.A,FIND("】",_xlpm.A,FIND("】",_xlpm.A)+1)+1,LEN(_xlpm.A)),_xlpm.A))</f>
        <v/>
      </c>
      <c r="J304" s="18" t="str" cm="1">
        <f t="array" ref="J304">IFERROR(INDEX(_xlfn.TEXTSPLIT(_xlfn.XLOOKUP($A304&amp;$B304&amp;$C304,盘货信息!$A:$A&amp;盘货信息!$B:$B&amp;盘货信息!$C:$C,盘货信息!$S:$S),CHAR(10),,TRUE),1,COLUMN(A303)),"")</f>
        <v/>
      </c>
      <c r="K304" s="18" t="str" cm="1">
        <f t="array" ref="K304">IFERROR(INDEX(_xlfn.TEXTSPLIT(_xlfn.XLOOKUP($A304&amp;$B304&amp;$C304,盘货信息!$A:$A&amp;盘货信息!$B:$B&amp;盘货信息!$C:$C,盘货信息!$S:$S),CHAR(10),,TRUE),1,COLUMN(B303)),"")</f>
        <v/>
      </c>
      <c r="L304" s="18" t="str" cm="1">
        <f t="array" ref="L304">IFERROR(INDEX(_xlfn.TEXTSPLIT(_xlfn.XLOOKUP($A304&amp;$B304&amp;$C304,盘货信息!$A:$A&amp;盘货信息!$B:$B&amp;盘货信息!$C:$C,盘货信息!$S:$S),CHAR(10),,TRUE),1,COLUMN(C303)),"")</f>
        <v/>
      </c>
      <c r="M304" s="18" t="str" cm="1">
        <f t="array" ref="M304">IFERROR(INDEX(_xlfn.TEXTSPLIT(_xlfn.XLOOKUP($A304&amp;$B304&amp;$C304,盘货信息!$A:$A&amp;盘货信息!$B:$B&amp;盘货信息!$C:$C,盘货信息!$S:$S),CHAR(10),,TRUE),1,COLUMN(D303)),"")</f>
        <v/>
      </c>
      <c r="N304" s="18" t="str" cm="1">
        <f t="array" ref="N304">IFERROR(INDEX(_xlfn.TEXTSPLIT(_xlfn.XLOOKUP($A304&amp;$B304&amp;$C304,盘货信息!$A:$A&amp;盘货信息!$B:$B&amp;盘货信息!$C:$C,盘货信息!$S:$S),CHAR(10),,TRUE),1,COLUMN(E303)),"")</f>
        <v/>
      </c>
    </row>
    <row r="305" customHeight="1" spans="1:14">
      <c r="A305" s="17" t="str">
        <f>IF(盘货信息!A305="","",盘货信息!A305)</f>
        <v/>
      </c>
      <c r="B305" s="17" t="str">
        <f>IF(盘货信息!B305="","",盘货信息!B305)</f>
        <v/>
      </c>
      <c r="C305" s="18" t="str">
        <f>IF(盘货信息!C305="","",盘货信息!C305)</f>
        <v/>
      </c>
      <c r="D305" s="18" t="str">
        <f t="shared" si="4"/>
        <v/>
      </c>
      <c r="E305" s="18" t="str">
        <f>_xlfn.LET(_xlpm.A,IF(ISNUMBER(SEARCH("晒单",J305)),"【晒单】"&amp;MID(J305,SEARCH("晒单",J305)+LEN("晒单"),LEN(J305))&amp;"（需晒单后联系客服登记）",IF(ISNUMBER(SEARCH("包修",J305)),"【购机】"&amp;MID(J305,SEARCH("购机",J305)+LEN("购机"),LEN(J305)),IF(ISNUMBER(SEARCH("叠放支架",J305)),"【赠品】"&amp;MID(J305,SEARCH("购机",J305)+LEN("购机"),LEN(J305)),IF(ISNUMBER(SEARCH("秀图",J305)),"【秀图】"&amp;MID(J305,SEARCH("秀图",J305)+LEN("秀图"),LEN(J305)),"")))),IFERROR(LEFT(_xlpm.A,FIND("【",_xlpm.A,FIND("】",_xlpm.A)+1)-1)&amp;MID(_xlpm.A,FIND("】",_xlpm.A,FIND("】",_xlpm.A)+1)+1,LEN(_xlpm.A)),_xlpm.A))</f>
        <v/>
      </c>
      <c r="F305" s="18" t="str">
        <f>_xlfn.LET(_xlpm.A,IF(ISNUMBER(SEARCH("晒单",K305)),"【晒单】"&amp;MID(K305,SEARCH("晒单",K305)+LEN("晒单"),LEN(K305))&amp;"（需晒单后联系客服登记）",IF(ISNUMBER(SEARCH("包修",K305)),"【购机】"&amp;MID(K305,SEARCH("购机",K305)+LEN("购机"),LEN(K305)),IF(ISNUMBER(SEARCH("叠放支架",K305)),"【赠品】"&amp;MID(K305,SEARCH("购机",K305)+LEN("购机"),LEN(K305)),IF(ISNUMBER(SEARCH("秀图",K305)),"【秀图】"&amp;MID(K305,SEARCH("秀图",K305)+LEN("秀图"),LEN(K305)),"")))),IFERROR(LEFT(_xlpm.A,FIND("【",_xlpm.A,FIND("】",_xlpm.A)+1)-1)&amp;MID(_xlpm.A,FIND("】",_xlpm.A,FIND("】",_xlpm.A)+1)+1,LEN(_xlpm.A)),_xlpm.A))</f>
        <v/>
      </c>
      <c r="G305" s="18" t="str">
        <f>_xlfn.LET(_xlpm.A,IF(ISNUMBER(SEARCH("晒单",L305)),"【晒单】"&amp;MID(L305,SEARCH("晒单",L305)+LEN("晒单"),LEN(L305))&amp;"（需晒单后联系客服登记）",IF(ISNUMBER(SEARCH("包修",L305)),"【购机】"&amp;MID(L305,SEARCH("购机",L305)+LEN("购机"),LEN(L305)),IF(ISNUMBER(SEARCH("叠放支架",L305)),"【赠品】"&amp;MID(L305,SEARCH("购机",L305)+LEN("购机"),LEN(L305)),IF(ISNUMBER(SEARCH("秀图",L305)),"【秀图】"&amp;MID(L305,SEARCH("秀图",L305)+LEN("秀图"),LEN(L305)),"")))),IFERROR(LEFT(_xlpm.A,FIND("【",_xlpm.A,FIND("】",_xlpm.A)+1)-1)&amp;MID(_xlpm.A,FIND("】",_xlpm.A,FIND("】",_xlpm.A)+1)+1,LEN(_xlpm.A)),_xlpm.A))</f>
        <v/>
      </c>
      <c r="H305" s="18" t="str">
        <f>_xlfn.LET(_xlpm.A,IF(ISNUMBER(SEARCH("晒单",M305)),"【晒单】"&amp;MID(M305,SEARCH("晒单",M305)+LEN("晒单"),LEN(M305))&amp;"（需晒单后联系客服登记）",IF(ISNUMBER(SEARCH("包修",M305)),"【购机】"&amp;MID(M305,SEARCH("购机",M305)+LEN("购机"),LEN(M305)),IF(ISNUMBER(SEARCH("叠放支架",M305)),"【赠品】"&amp;MID(M305,SEARCH("购机",M305)+LEN("购机"),LEN(M305)),IF(ISNUMBER(SEARCH("秀图",M305)),"【秀图】"&amp;MID(M305,SEARCH("秀图",M305)+LEN("秀图"),LEN(M305)),"")))),IFERROR(LEFT(_xlpm.A,FIND("【",_xlpm.A,FIND("】",_xlpm.A)+1)-1)&amp;MID(_xlpm.A,FIND("】",_xlpm.A,FIND("】",_xlpm.A)+1)+1,LEN(_xlpm.A)),_xlpm.A))</f>
        <v/>
      </c>
      <c r="I305" s="18" t="str">
        <f>_xlfn.LET(_xlpm.A,IF(ISNUMBER(SEARCH("晒单",N305)),"【晒单】"&amp;MID(N305,SEARCH("晒单",N305)+LEN("晒单"),LEN(N305))&amp;"（需晒单后联系客服登记）",IF(ISNUMBER(SEARCH("包修",N305)),"【购机】"&amp;MID(N305,SEARCH("购机",N305)+LEN("购机"),LEN(N305)),IF(ISNUMBER(SEARCH("叠放支架",N305)),"【赠品】"&amp;MID(N305,SEARCH("购机",N305)+LEN("购机"),LEN(N305)),IF(ISNUMBER(SEARCH("秀图",N305)),"【秀图】"&amp;MID(N305,SEARCH("秀图",N305)+LEN("秀图"),LEN(N305)),"")))),IFERROR(LEFT(_xlpm.A,FIND("【",_xlpm.A,FIND("】",_xlpm.A)+1)-1)&amp;MID(_xlpm.A,FIND("】",_xlpm.A,FIND("】",_xlpm.A)+1)+1,LEN(_xlpm.A)),_xlpm.A))</f>
        <v/>
      </c>
      <c r="J305" s="18" t="str" cm="1">
        <f t="array" ref="J305">IFERROR(INDEX(_xlfn.TEXTSPLIT(_xlfn.XLOOKUP($A305&amp;$B305&amp;$C305,盘货信息!$A:$A&amp;盘货信息!$B:$B&amp;盘货信息!$C:$C,盘货信息!$S:$S),CHAR(10),,TRUE),1,COLUMN(A304)),"")</f>
        <v/>
      </c>
      <c r="K305" s="18" t="str" cm="1">
        <f t="array" ref="K305">IFERROR(INDEX(_xlfn.TEXTSPLIT(_xlfn.XLOOKUP($A305&amp;$B305&amp;$C305,盘货信息!$A:$A&amp;盘货信息!$B:$B&amp;盘货信息!$C:$C,盘货信息!$S:$S),CHAR(10),,TRUE),1,COLUMN(B304)),"")</f>
        <v/>
      </c>
      <c r="L305" s="18" t="str" cm="1">
        <f t="array" ref="L305">IFERROR(INDEX(_xlfn.TEXTSPLIT(_xlfn.XLOOKUP($A305&amp;$B305&amp;$C305,盘货信息!$A:$A&amp;盘货信息!$B:$B&amp;盘货信息!$C:$C,盘货信息!$S:$S),CHAR(10),,TRUE),1,COLUMN(C304)),"")</f>
        <v/>
      </c>
      <c r="M305" s="18" t="str" cm="1">
        <f t="array" ref="M305">IFERROR(INDEX(_xlfn.TEXTSPLIT(_xlfn.XLOOKUP($A305&amp;$B305&amp;$C305,盘货信息!$A:$A&amp;盘货信息!$B:$B&amp;盘货信息!$C:$C,盘货信息!$S:$S),CHAR(10),,TRUE),1,COLUMN(D304)),"")</f>
        <v/>
      </c>
      <c r="N305" s="18" t="str" cm="1">
        <f t="array" ref="N305">IFERROR(INDEX(_xlfn.TEXTSPLIT(_xlfn.XLOOKUP($A305&amp;$B305&amp;$C305,盘货信息!$A:$A&amp;盘货信息!$B:$B&amp;盘货信息!$C:$C,盘货信息!$S:$S),CHAR(10),,TRUE),1,COLUMN(E304)),"")</f>
        <v/>
      </c>
    </row>
    <row r="306" customHeight="1" spans="1:14">
      <c r="A306" s="17" t="str">
        <f>IF(盘货信息!A306="","",盘货信息!A306)</f>
        <v/>
      </c>
      <c r="B306" s="17" t="str">
        <f>IF(盘货信息!B306="","",盘货信息!B306)</f>
        <v/>
      </c>
      <c r="C306" s="18" t="str">
        <f>IF(盘货信息!C306="","",盘货信息!C306)</f>
        <v/>
      </c>
      <c r="D306" s="18" t="str">
        <f t="shared" si="4"/>
        <v/>
      </c>
      <c r="E306" s="18" t="str">
        <f>_xlfn.LET(_xlpm.A,IF(ISNUMBER(SEARCH("晒单",J306)),"【晒单】"&amp;MID(J306,SEARCH("晒单",J306)+LEN("晒单"),LEN(J306))&amp;"（需晒单后联系客服登记）",IF(ISNUMBER(SEARCH("包修",J306)),"【购机】"&amp;MID(J306,SEARCH("购机",J306)+LEN("购机"),LEN(J306)),IF(ISNUMBER(SEARCH("叠放支架",J306)),"【赠品】"&amp;MID(J306,SEARCH("购机",J306)+LEN("购机"),LEN(J306)),IF(ISNUMBER(SEARCH("秀图",J306)),"【秀图】"&amp;MID(J306,SEARCH("秀图",J306)+LEN("秀图"),LEN(J306)),"")))),IFERROR(LEFT(_xlpm.A,FIND("【",_xlpm.A,FIND("】",_xlpm.A)+1)-1)&amp;MID(_xlpm.A,FIND("】",_xlpm.A,FIND("】",_xlpm.A)+1)+1,LEN(_xlpm.A)),_xlpm.A))</f>
        <v/>
      </c>
      <c r="F306" s="18" t="str">
        <f>_xlfn.LET(_xlpm.A,IF(ISNUMBER(SEARCH("晒单",K306)),"【晒单】"&amp;MID(K306,SEARCH("晒单",K306)+LEN("晒单"),LEN(K306))&amp;"（需晒单后联系客服登记）",IF(ISNUMBER(SEARCH("包修",K306)),"【购机】"&amp;MID(K306,SEARCH("购机",K306)+LEN("购机"),LEN(K306)),IF(ISNUMBER(SEARCH("叠放支架",K306)),"【赠品】"&amp;MID(K306,SEARCH("购机",K306)+LEN("购机"),LEN(K306)),IF(ISNUMBER(SEARCH("秀图",K306)),"【秀图】"&amp;MID(K306,SEARCH("秀图",K306)+LEN("秀图"),LEN(K306)),"")))),IFERROR(LEFT(_xlpm.A,FIND("【",_xlpm.A,FIND("】",_xlpm.A)+1)-1)&amp;MID(_xlpm.A,FIND("】",_xlpm.A,FIND("】",_xlpm.A)+1)+1,LEN(_xlpm.A)),_xlpm.A))</f>
        <v/>
      </c>
      <c r="G306" s="18" t="str">
        <f>_xlfn.LET(_xlpm.A,IF(ISNUMBER(SEARCH("晒单",L306)),"【晒单】"&amp;MID(L306,SEARCH("晒单",L306)+LEN("晒单"),LEN(L306))&amp;"（需晒单后联系客服登记）",IF(ISNUMBER(SEARCH("包修",L306)),"【购机】"&amp;MID(L306,SEARCH("购机",L306)+LEN("购机"),LEN(L306)),IF(ISNUMBER(SEARCH("叠放支架",L306)),"【赠品】"&amp;MID(L306,SEARCH("购机",L306)+LEN("购机"),LEN(L306)),IF(ISNUMBER(SEARCH("秀图",L306)),"【秀图】"&amp;MID(L306,SEARCH("秀图",L306)+LEN("秀图"),LEN(L306)),"")))),IFERROR(LEFT(_xlpm.A,FIND("【",_xlpm.A,FIND("】",_xlpm.A)+1)-1)&amp;MID(_xlpm.A,FIND("】",_xlpm.A,FIND("】",_xlpm.A)+1)+1,LEN(_xlpm.A)),_xlpm.A))</f>
        <v/>
      </c>
      <c r="H306" s="18" t="str">
        <f>_xlfn.LET(_xlpm.A,IF(ISNUMBER(SEARCH("晒单",M306)),"【晒单】"&amp;MID(M306,SEARCH("晒单",M306)+LEN("晒单"),LEN(M306))&amp;"（需晒单后联系客服登记）",IF(ISNUMBER(SEARCH("包修",M306)),"【购机】"&amp;MID(M306,SEARCH("购机",M306)+LEN("购机"),LEN(M306)),IF(ISNUMBER(SEARCH("叠放支架",M306)),"【赠品】"&amp;MID(M306,SEARCH("购机",M306)+LEN("购机"),LEN(M306)),IF(ISNUMBER(SEARCH("秀图",M306)),"【秀图】"&amp;MID(M306,SEARCH("秀图",M306)+LEN("秀图"),LEN(M306)),"")))),IFERROR(LEFT(_xlpm.A,FIND("【",_xlpm.A,FIND("】",_xlpm.A)+1)-1)&amp;MID(_xlpm.A,FIND("】",_xlpm.A,FIND("】",_xlpm.A)+1)+1,LEN(_xlpm.A)),_xlpm.A))</f>
        <v/>
      </c>
      <c r="I306" s="18" t="str">
        <f>_xlfn.LET(_xlpm.A,IF(ISNUMBER(SEARCH("晒单",N306)),"【晒单】"&amp;MID(N306,SEARCH("晒单",N306)+LEN("晒单"),LEN(N306))&amp;"（需晒单后联系客服登记）",IF(ISNUMBER(SEARCH("包修",N306)),"【购机】"&amp;MID(N306,SEARCH("购机",N306)+LEN("购机"),LEN(N306)),IF(ISNUMBER(SEARCH("叠放支架",N306)),"【赠品】"&amp;MID(N306,SEARCH("购机",N306)+LEN("购机"),LEN(N306)),IF(ISNUMBER(SEARCH("秀图",N306)),"【秀图】"&amp;MID(N306,SEARCH("秀图",N306)+LEN("秀图"),LEN(N306)),"")))),IFERROR(LEFT(_xlpm.A,FIND("【",_xlpm.A,FIND("】",_xlpm.A)+1)-1)&amp;MID(_xlpm.A,FIND("】",_xlpm.A,FIND("】",_xlpm.A)+1)+1,LEN(_xlpm.A)),_xlpm.A))</f>
        <v/>
      </c>
      <c r="J306" s="18" t="str" cm="1">
        <f t="array" ref="J306">IFERROR(INDEX(_xlfn.TEXTSPLIT(_xlfn.XLOOKUP($A306&amp;$B306&amp;$C306,盘货信息!$A:$A&amp;盘货信息!$B:$B&amp;盘货信息!$C:$C,盘货信息!$S:$S),CHAR(10),,TRUE),1,COLUMN(A305)),"")</f>
        <v/>
      </c>
      <c r="K306" s="18" t="str" cm="1">
        <f t="array" ref="K306">IFERROR(INDEX(_xlfn.TEXTSPLIT(_xlfn.XLOOKUP($A306&amp;$B306&amp;$C306,盘货信息!$A:$A&amp;盘货信息!$B:$B&amp;盘货信息!$C:$C,盘货信息!$S:$S),CHAR(10),,TRUE),1,COLUMN(B305)),"")</f>
        <v/>
      </c>
      <c r="L306" s="18" t="str" cm="1">
        <f t="array" ref="L306">IFERROR(INDEX(_xlfn.TEXTSPLIT(_xlfn.XLOOKUP($A306&amp;$B306&amp;$C306,盘货信息!$A:$A&amp;盘货信息!$B:$B&amp;盘货信息!$C:$C,盘货信息!$S:$S),CHAR(10),,TRUE),1,COLUMN(C305)),"")</f>
        <v/>
      </c>
      <c r="M306" s="18" t="str" cm="1">
        <f t="array" ref="M306">IFERROR(INDEX(_xlfn.TEXTSPLIT(_xlfn.XLOOKUP($A306&amp;$B306&amp;$C306,盘货信息!$A:$A&amp;盘货信息!$B:$B&amp;盘货信息!$C:$C,盘货信息!$S:$S),CHAR(10),,TRUE),1,COLUMN(D305)),"")</f>
        <v/>
      </c>
      <c r="N306" s="18" t="str" cm="1">
        <f t="array" ref="N306">IFERROR(INDEX(_xlfn.TEXTSPLIT(_xlfn.XLOOKUP($A306&amp;$B306&amp;$C306,盘货信息!$A:$A&amp;盘货信息!$B:$B&amp;盘货信息!$C:$C,盘货信息!$S:$S),CHAR(10),,TRUE),1,COLUMN(E305)),"")</f>
        <v/>
      </c>
    </row>
    <row r="307" customHeight="1" spans="1:14">
      <c r="A307" s="17" t="str">
        <f>IF(盘货信息!A307="","",盘货信息!A307)</f>
        <v/>
      </c>
      <c r="B307" s="17" t="str">
        <f>IF(盘货信息!B307="","",盘货信息!B307)</f>
        <v/>
      </c>
      <c r="C307" s="18" t="str">
        <f>IF(盘货信息!C307="","",盘货信息!C307)</f>
        <v/>
      </c>
      <c r="D307" s="18" t="str">
        <f t="shared" si="4"/>
        <v/>
      </c>
      <c r="E307" s="18" t="str">
        <f>_xlfn.LET(_xlpm.A,IF(ISNUMBER(SEARCH("晒单",J307)),"【晒单】"&amp;MID(J307,SEARCH("晒单",J307)+LEN("晒单"),LEN(J307))&amp;"（需晒单后联系客服登记）",IF(ISNUMBER(SEARCH("包修",J307)),"【购机】"&amp;MID(J307,SEARCH("购机",J307)+LEN("购机"),LEN(J307)),IF(ISNUMBER(SEARCH("叠放支架",J307)),"【赠品】"&amp;MID(J307,SEARCH("购机",J307)+LEN("购机"),LEN(J307)),IF(ISNUMBER(SEARCH("秀图",J307)),"【秀图】"&amp;MID(J307,SEARCH("秀图",J307)+LEN("秀图"),LEN(J307)),"")))),IFERROR(LEFT(_xlpm.A,FIND("【",_xlpm.A,FIND("】",_xlpm.A)+1)-1)&amp;MID(_xlpm.A,FIND("】",_xlpm.A,FIND("】",_xlpm.A)+1)+1,LEN(_xlpm.A)),_xlpm.A))</f>
        <v/>
      </c>
      <c r="F307" s="18" t="str">
        <f>_xlfn.LET(_xlpm.A,IF(ISNUMBER(SEARCH("晒单",K307)),"【晒单】"&amp;MID(K307,SEARCH("晒单",K307)+LEN("晒单"),LEN(K307))&amp;"（需晒单后联系客服登记）",IF(ISNUMBER(SEARCH("包修",K307)),"【购机】"&amp;MID(K307,SEARCH("购机",K307)+LEN("购机"),LEN(K307)),IF(ISNUMBER(SEARCH("叠放支架",K307)),"【赠品】"&amp;MID(K307,SEARCH("购机",K307)+LEN("购机"),LEN(K307)),IF(ISNUMBER(SEARCH("秀图",K307)),"【秀图】"&amp;MID(K307,SEARCH("秀图",K307)+LEN("秀图"),LEN(K307)),"")))),IFERROR(LEFT(_xlpm.A,FIND("【",_xlpm.A,FIND("】",_xlpm.A)+1)-1)&amp;MID(_xlpm.A,FIND("】",_xlpm.A,FIND("】",_xlpm.A)+1)+1,LEN(_xlpm.A)),_xlpm.A))</f>
        <v/>
      </c>
      <c r="G307" s="18" t="str">
        <f>_xlfn.LET(_xlpm.A,IF(ISNUMBER(SEARCH("晒单",L307)),"【晒单】"&amp;MID(L307,SEARCH("晒单",L307)+LEN("晒单"),LEN(L307))&amp;"（需晒单后联系客服登记）",IF(ISNUMBER(SEARCH("包修",L307)),"【购机】"&amp;MID(L307,SEARCH("购机",L307)+LEN("购机"),LEN(L307)),IF(ISNUMBER(SEARCH("叠放支架",L307)),"【赠品】"&amp;MID(L307,SEARCH("购机",L307)+LEN("购机"),LEN(L307)),IF(ISNUMBER(SEARCH("秀图",L307)),"【秀图】"&amp;MID(L307,SEARCH("秀图",L307)+LEN("秀图"),LEN(L307)),"")))),IFERROR(LEFT(_xlpm.A,FIND("【",_xlpm.A,FIND("】",_xlpm.A)+1)-1)&amp;MID(_xlpm.A,FIND("】",_xlpm.A,FIND("】",_xlpm.A)+1)+1,LEN(_xlpm.A)),_xlpm.A))</f>
        <v/>
      </c>
      <c r="H307" s="18" t="str">
        <f>_xlfn.LET(_xlpm.A,IF(ISNUMBER(SEARCH("晒单",M307)),"【晒单】"&amp;MID(M307,SEARCH("晒单",M307)+LEN("晒单"),LEN(M307))&amp;"（需晒单后联系客服登记）",IF(ISNUMBER(SEARCH("包修",M307)),"【购机】"&amp;MID(M307,SEARCH("购机",M307)+LEN("购机"),LEN(M307)),IF(ISNUMBER(SEARCH("叠放支架",M307)),"【赠品】"&amp;MID(M307,SEARCH("购机",M307)+LEN("购机"),LEN(M307)),IF(ISNUMBER(SEARCH("秀图",M307)),"【秀图】"&amp;MID(M307,SEARCH("秀图",M307)+LEN("秀图"),LEN(M307)),"")))),IFERROR(LEFT(_xlpm.A,FIND("【",_xlpm.A,FIND("】",_xlpm.A)+1)-1)&amp;MID(_xlpm.A,FIND("】",_xlpm.A,FIND("】",_xlpm.A)+1)+1,LEN(_xlpm.A)),_xlpm.A))</f>
        <v/>
      </c>
      <c r="I307" s="18" t="str">
        <f>_xlfn.LET(_xlpm.A,IF(ISNUMBER(SEARCH("晒单",N307)),"【晒单】"&amp;MID(N307,SEARCH("晒单",N307)+LEN("晒单"),LEN(N307))&amp;"（需晒单后联系客服登记）",IF(ISNUMBER(SEARCH("包修",N307)),"【购机】"&amp;MID(N307,SEARCH("购机",N307)+LEN("购机"),LEN(N307)),IF(ISNUMBER(SEARCH("叠放支架",N307)),"【赠品】"&amp;MID(N307,SEARCH("购机",N307)+LEN("购机"),LEN(N307)),IF(ISNUMBER(SEARCH("秀图",N307)),"【秀图】"&amp;MID(N307,SEARCH("秀图",N307)+LEN("秀图"),LEN(N307)),"")))),IFERROR(LEFT(_xlpm.A,FIND("【",_xlpm.A,FIND("】",_xlpm.A)+1)-1)&amp;MID(_xlpm.A,FIND("】",_xlpm.A,FIND("】",_xlpm.A)+1)+1,LEN(_xlpm.A)),_xlpm.A))</f>
        <v/>
      </c>
      <c r="J307" s="18" t="str" cm="1">
        <f t="array" ref="J307">IFERROR(INDEX(_xlfn.TEXTSPLIT(_xlfn.XLOOKUP($A307&amp;$B307&amp;$C307,盘货信息!$A:$A&amp;盘货信息!$B:$B&amp;盘货信息!$C:$C,盘货信息!$S:$S),CHAR(10),,TRUE),1,COLUMN(A306)),"")</f>
        <v/>
      </c>
      <c r="K307" s="18" t="str" cm="1">
        <f t="array" ref="K307">IFERROR(INDEX(_xlfn.TEXTSPLIT(_xlfn.XLOOKUP($A307&amp;$B307&amp;$C307,盘货信息!$A:$A&amp;盘货信息!$B:$B&amp;盘货信息!$C:$C,盘货信息!$S:$S),CHAR(10),,TRUE),1,COLUMN(B306)),"")</f>
        <v/>
      </c>
      <c r="L307" s="18" t="str" cm="1">
        <f t="array" ref="L307">IFERROR(INDEX(_xlfn.TEXTSPLIT(_xlfn.XLOOKUP($A307&amp;$B307&amp;$C307,盘货信息!$A:$A&amp;盘货信息!$B:$B&amp;盘货信息!$C:$C,盘货信息!$S:$S),CHAR(10),,TRUE),1,COLUMN(C306)),"")</f>
        <v/>
      </c>
      <c r="M307" s="18" t="str" cm="1">
        <f t="array" ref="M307">IFERROR(INDEX(_xlfn.TEXTSPLIT(_xlfn.XLOOKUP($A307&amp;$B307&amp;$C307,盘货信息!$A:$A&amp;盘货信息!$B:$B&amp;盘货信息!$C:$C,盘货信息!$S:$S),CHAR(10),,TRUE),1,COLUMN(D306)),"")</f>
        <v/>
      </c>
      <c r="N307" s="18" t="str" cm="1">
        <f t="array" ref="N307">IFERROR(INDEX(_xlfn.TEXTSPLIT(_xlfn.XLOOKUP($A307&amp;$B307&amp;$C307,盘货信息!$A:$A&amp;盘货信息!$B:$B&amp;盘货信息!$C:$C,盘货信息!$S:$S),CHAR(10),,TRUE),1,COLUMN(E306)),"")</f>
        <v/>
      </c>
    </row>
    <row r="308" customHeight="1" spans="1:14">
      <c r="A308" s="17" t="str">
        <f>IF(盘货信息!A308="","",盘货信息!A308)</f>
        <v/>
      </c>
      <c r="B308" s="17" t="str">
        <f>IF(盘货信息!B308="","",盘货信息!B308)</f>
        <v/>
      </c>
      <c r="C308" s="18" t="str">
        <f>IF(盘货信息!C308="","",盘货信息!C308)</f>
        <v/>
      </c>
      <c r="D308" s="18" t="str">
        <f t="shared" si="4"/>
        <v/>
      </c>
      <c r="E308" s="18" t="str">
        <f>_xlfn.LET(_xlpm.A,IF(ISNUMBER(SEARCH("晒单",J308)),"【晒单】"&amp;MID(J308,SEARCH("晒单",J308)+LEN("晒单"),LEN(J308))&amp;"（需晒单后联系客服登记）",IF(ISNUMBER(SEARCH("包修",J308)),"【购机】"&amp;MID(J308,SEARCH("购机",J308)+LEN("购机"),LEN(J308)),IF(ISNUMBER(SEARCH("叠放支架",J308)),"【赠品】"&amp;MID(J308,SEARCH("购机",J308)+LEN("购机"),LEN(J308)),IF(ISNUMBER(SEARCH("秀图",J308)),"【秀图】"&amp;MID(J308,SEARCH("秀图",J308)+LEN("秀图"),LEN(J308)),"")))),IFERROR(LEFT(_xlpm.A,FIND("【",_xlpm.A,FIND("】",_xlpm.A)+1)-1)&amp;MID(_xlpm.A,FIND("】",_xlpm.A,FIND("】",_xlpm.A)+1)+1,LEN(_xlpm.A)),_xlpm.A))</f>
        <v/>
      </c>
      <c r="F308" s="18" t="str">
        <f>_xlfn.LET(_xlpm.A,IF(ISNUMBER(SEARCH("晒单",K308)),"【晒单】"&amp;MID(K308,SEARCH("晒单",K308)+LEN("晒单"),LEN(K308))&amp;"（需晒单后联系客服登记）",IF(ISNUMBER(SEARCH("包修",K308)),"【购机】"&amp;MID(K308,SEARCH("购机",K308)+LEN("购机"),LEN(K308)),IF(ISNUMBER(SEARCH("叠放支架",K308)),"【赠品】"&amp;MID(K308,SEARCH("购机",K308)+LEN("购机"),LEN(K308)),IF(ISNUMBER(SEARCH("秀图",K308)),"【秀图】"&amp;MID(K308,SEARCH("秀图",K308)+LEN("秀图"),LEN(K308)),"")))),IFERROR(LEFT(_xlpm.A,FIND("【",_xlpm.A,FIND("】",_xlpm.A)+1)-1)&amp;MID(_xlpm.A,FIND("】",_xlpm.A,FIND("】",_xlpm.A)+1)+1,LEN(_xlpm.A)),_xlpm.A))</f>
        <v/>
      </c>
      <c r="G308" s="18" t="str">
        <f>_xlfn.LET(_xlpm.A,IF(ISNUMBER(SEARCH("晒单",L308)),"【晒单】"&amp;MID(L308,SEARCH("晒单",L308)+LEN("晒单"),LEN(L308))&amp;"（需晒单后联系客服登记）",IF(ISNUMBER(SEARCH("包修",L308)),"【购机】"&amp;MID(L308,SEARCH("购机",L308)+LEN("购机"),LEN(L308)),IF(ISNUMBER(SEARCH("叠放支架",L308)),"【赠品】"&amp;MID(L308,SEARCH("购机",L308)+LEN("购机"),LEN(L308)),IF(ISNUMBER(SEARCH("秀图",L308)),"【秀图】"&amp;MID(L308,SEARCH("秀图",L308)+LEN("秀图"),LEN(L308)),"")))),IFERROR(LEFT(_xlpm.A,FIND("【",_xlpm.A,FIND("】",_xlpm.A)+1)-1)&amp;MID(_xlpm.A,FIND("】",_xlpm.A,FIND("】",_xlpm.A)+1)+1,LEN(_xlpm.A)),_xlpm.A))</f>
        <v/>
      </c>
      <c r="H308" s="18" t="str">
        <f>_xlfn.LET(_xlpm.A,IF(ISNUMBER(SEARCH("晒单",M308)),"【晒单】"&amp;MID(M308,SEARCH("晒单",M308)+LEN("晒单"),LEN(M308))&amp;"（需晒单后联系客服登记）",IF(ISNUMBER(SEARCH("包修",M308)),"【购机】"&amp;MID(M308,SEARCH("购机",M308)+LEN("购机"),LEN(M308)),IF(ISNUMBER(SEARCH("叠放支架",M308)),"【赠品】"&amp;MID(M308,SEARCH("购机",M308)+LEN("购机"),LEN(M308)),IF(ISNUMBER(SEARCH("秀图",M308)),"【秀图】"&amp;MID(M308,SEARCH("秀图",M308)+LEN("秀图"),LEN(M308)),"")))),IFERROR(LEFT(_xlpm.A,FIND("【",_xlpm.A,FIND("】",_xlpm.A)+1)-1)&amp;MID(_xlpm.A,FIND("】",_xlpm.A,FIND("】",_xlpm.A)+1)+1,LEN(_xlpm.A)),_xlpm.A))</f>
        <v/>
      </c>
      <c r="I308" s="18" t="str">
        <f>_xlfn.LET(_xlpm.A,IF(ISNUMBER(SEARCH("晒单",N308)),"【晒单】"&amp;MID(N308,SEARCH("晒单",N308)+LEN("晒单"),LEN(N308))&amp;"（需晒单后联系客服登记）",IF(ISNUMBER(SEARCH("包修",N308)),"【购机】"&amp;MID(N308,SEARCH("购机",N308)+LEN("购机"),LEN(N308)),IF(ISNUMBER(SEARCH("叠放支架",N308)),"【赠品】"&amp;MID(N308,SEARCH("购机",N308)+LEN("购机"),LEN(N308)),IF(ISNUMBER(SEARCH("秀图",N308)),"【秀图】"&amp;MID(N308,SEARCH("秀图",N308)+LEN("秀图"),LEN(N308)),"")))),IFERROR(LEFT(_xlpm.A,FIND("【",_xlpm.A,FIND("】",_xlpm.A)+1)-1)&amp;MID(_xlpm.A,FIND("】",_xlpm.A,FIND("】",_xlpm.A)+1)+1,LEN(_xlpm.A)),_xlpm.A))</f>
        <v/>
      </c>
      <c r="J308" s="18" t="str" cm="1">
        <f t="array" ref="J308">IFERROR(INDEX(_xlfn.TEXTSPLIT(_xlfn.XLOOKUP($A308&amp;$B308&amp;$C308,盘货信息!$A:$A&amp;盘货信息!$B:$B&amp;盘货信息!$C:$C,盘货信息!$S:$S),CHAR(10),,TRUE),1,COLUMN(A307)),"")</f>
        <v/>
      </c>
      <c r="K308" s="18" t="str" cm="1">
        <f t="array" ref="K308">IFERROR(INDEX(_xlfn.TEXTSPLIT(_xlfn.XLOOKUP($A308&amp;$B308&amp;$C308,盘货信息!$A:$A&amp;盘货信息!$B:$B&amp;盘货信息!$C:$C,盘货信息!$S:$S),CHAR(10),,TRUE),1,COLUMN(B307)),"")</f>
        <v/>
      </c>
      <c r="L308" s="18" t="str" cm="1">
        <f t="array" ref="L308">IFERROR(INDEX(_xlfn.TEXTSPLIT(_xlfn.XLOOKUP($A308&amp;$B308&amp;$C308,盘货信息!$A:$A&amp;盘货信息!$B:$B&amp;盘货信息!$C:$C,盘货信息!$S:$S),CHAR(10),,TRUE),1,COLUMN(C307)),"")</f>
        <v/>
      </c>
      <c r="M308" s="18" t="str" cm="1">
        <f t="array" ref="M308">IFERROR(INDEX(_xlfn.TEXTSPLIT(_xlfn.XLOOKUP($A308&amp;$B308&amp;$C308,盘货信息!$A:$A&amp;盘货信息!$B:$B&amp;盘货信息!$C:$C,盘货信息!$S:$S),CHAR(10),,TRUE),1,COLUMN(D307)),"")</f>
        <v/>
      </c>
      <c r="N308" s="18" t="str" cm="1">
        <f t="array" ref="N308">IFERROR(INDEX(_xlfn.TEXTSPLIT(_xlfn.XLOOKUP($A308&amp;$B308&amp;$C308,盘货信息!$A:$A&amp;盘货信息!$B:$B&amp;盘货信息!$C:$C,盘货信息!$S:$S),CHAR(10),,TRUE),1,COLUMN(E307)),"")</f>
        <v/>
      </c>
    </row>
    <row r="309" customHeight="1" spans="1:14">
      <c r="A309" s="17" t="str">
        <f>IF(盘货信息!A309="","",盘货信息!A309)</f>
        <v/>
      </c>
      <c r="B309" s="17" t="str">
        <f>IF(盘货信息!B309="","",盘货信息!B309)</f>
        <v/>
      </c>
      <c r="C309" s="18" t="str">
        <f>IF(盘货信息!C309="","",盘货信息!C309)</f>
        <v/>
      </c>
      <c r="D309" s="18" t="str">
        <f t="shared" si="4"/>
        <v/>
      </c>
      <c r="E309" s="18" t="str">
        <f>_xlfn.LET(_xlpm.A,IF(ISNUMBER(SEARCH("晒单",J309)),"【晒单】"&amp;MID(J309,SEARCH("晒单",J309)+LEN("晒单"),LEN(J309))&amp;"（需晒单后联系客服登记）",IF(ISNUMBER(SEARCH("包修",J309)),"【购机】"&amp;MID(J309,SEARCH("购机",J309)+LEN("购机"),LEN(J309)),IF(ISNUMBER(SEARCH("叠放支架",J309)),"【赠品】"&amp;MID(J309,SEARCH("购机",J309)+LEN("购机"),LEN(J309)),IF(ISNUMBER(SEARCH("秀图",J309)),"【秀图】"&amp;MID(J309,SEARCH("秀图",J309)+LEN("秀图"),LEN(J309)),"")))),IFERROR(LEFT(_xlpm.A,FIND("【",_xlpm.A,FIND("】",_xlpm.A)+1)-1)&amp;MID(_xlpm.A,FIND("】",_xlpm.A,FIND("】",_xlpm.A)+1)+1,LEN(_xlpm.A)),_xlpm.A))</f>
        <v/>
      </c>
      <c r="F309" s="18" t="str">
        <f>_xlfn.LET(_xlpm.A,IF(ISNUMBER(SEARCH("晒单",K309)),"【晒单】"&amp;MID(K309,SEARCH("晒单",K309)+LEN("晒单"),LEN(K309))&amp;"（需晒单后联系客服登记）",IF(ISNUMBER(SEARCH("包修",K309)),"【购机】"&amp;MID(K309,SEARCH("购机",K309)+LEN("购机"),LEN(K309)),IF(ISNUMBER(SEARCH("叠放支架",K309)),"【赠品】"&amp;MID(K309,SEARCH("购机",K309)+LEN("购机"),LEN(K309)),IF(ISNUMBER(SEARCH("秀图",K309)),"【秀图】"&amp;MID(K309,SEARCH("秀图",K309)+LEN("秀图"),LEN(K309)),"")))),IFERROR(LEFT(_xlpm.A,FIND("【",_xlpm.A,FIND("】",_xlpm.A)+1)-1)&amp;MID(_xlpm.A,FIND("】",_xlpm.A,FIND("】",_xlpm.A)+1)+1,LEN(_xlpm.A)),_xlpm.A))</f>
        <v/>
      </c>
      <c r="G309" s="18" t="str">
        <f>_xlfn.LET(_xlpm.A,IF(ISNUMBER(SEARCH("晒单",L309)),"【晒单】"&amp;MID(L309,SEARCH("晒单",L309)+LEN("晒单"),LEN(L309))&amp;"（需晒单后联系客服登记）",IF(ISNUMBER(SEARCH("包修",L309)),"【购机】"&amp;MID(L309,SEARCH("购机",L309)+LEN("购机"),LEN(L309)),IF(ISNUMBER(SEARCH("叠放支架",L309)),"【赠品】"&amp;MID(L309,SEARCH("购机",L309)+LEN("购机"),LEN(L309)),IF(ISNUMBER(SEARCH("秀图",L309)),"【秀图】"&amp;MID(L309,SEARCH("秀图",L309)+LEN("秀图"),LEN(L309)),"")))),IFERROR(LEFT(_xlpm.A,FIND("【",_xlpm.A,FIND("】",_xlpm.A)+1)-1)&amp;MID(_xlpm.A,FIND("】",_xlpm.A,FIND("】",_xlpm.A)+1)+1,LEN(_xlpm.A)),_xlpm.A))</f>
        <v/>
      </c>
      <c r="H309" s="18" t="str">
        <f>_xlfn.LET(_xlpm.A,IF(ISNUMBER(SEARCH("晒单",M309)),"【晒单】"&amp;MID(M309,SEARCH("晒单",M309)+LEN("晒单"),LEN(M309))&amp;"（需晒单后联系客服登记）",IF(ISNUMBER(SEARCH("包修",M309)),"【购机】"&amp;MID(M309,SEARCH("购机",M309)+LEN("购机"),LEN(M309)),IF(ISNUMBER(SEARCH("叠放支架",M309)),"【赠品】"&amp;MID(M309,SEARCH("购机",M309)+LEN("购机"),LEN(M309)),IF(ISNUMBER(SEARCH("秀图",M309)),"【秀图】"&amp;MID(M309,SEARCH("秀图",M309)+LEN("秀图"),LEN(M309)),"")))),IFERROR(LEFT(_xlpm.A,FIND("【",_xlpm.A,FIND("】",_xlpm.A)+1)-1)&amp;MID(_xlpm.A,FIND("】",_xlpm.A,FIND("】",_xlpm.A)+1)+1,LEN(_xlpm.A)),_xlpm.A))</f>
        <v/>
      </c>
      <c r="I309" s="18" t="str">
        <f>_xlfn.LET(_xlpm.A,IF(ISNUMBER(SEARCH("晒单",N309)),"【晒单】"&amp;MID(N309,SEARCH("晒单",N309)+LEN("晒单"),LEN(N309))&amp;"（需晒单后联系客服登记）",IF(ISNUMBER(SEARCH("包修",N309)),"【购机】"&amp;MID(N309,SEARCH("购机",N309)+LEN("购机"),LEN(N309)),IF(ISNUMBER(SEARCH("叠放支架",N309)),"【赠品】"&amp;MID(N309,SEARCH("购机",N309)+LEN("购机"),LEN(N309)),IF(ISNUMBER(SEARCH("秀图",N309)),"【秀图】"&amp;MID(N309,SEARCH("秀图",N309)+LEN("秀图"),LEN(N309)),"")))),IFERROR(LEFT(_xlpm.A,FIND("【",_xlpm.A,FIND("】",_xlpm.A)+1)-1)&amp;MID(_xlpm.A,FIND("】",_xlpm.A,FIND("】",_xlpm.A)+1)+1,LEN(_xlpm.A)),_xlpm.A))</f>
        <v/>
      </c>
      <c r="J309" s="18" t="str" cm="1">
        <f t="array" ref="J309">IFERROR(INDEX(_xlfn.TEXTSPLIT(_xlfn.XLOOKUP($A309&amp;$B309&amp;$C309,盘货信息!$A:$A&amp;盘货信息!$B:$B&amp;盘货信息!$C:$C,盘货信息!$S:$S),CHAR(10),,TRUE),1,COLUMN(A308)),"")</f>
        <v/>
      </c>
      <c r="K309" s="18" t="str" cm="1">
        <f t="array" ref="K309">IFERROR(INDEX(_xlfn.TEXTSPLIT(_xlfn.XLOOKUP($A309&amp;$B309&amp;$C309,盘货信息!$A:$A&amp;盘货信息!$B:$B&amp;盘货信息!$C:$C,盘货信息!$S:$S),CHAR(10),,TRUE),1,COLUMN(B308)),"")</f>
        <v/>
      </c>
      <c r="L309" s="18" t="str" cm="1">
        <f t="array" ref="L309">IFERROR(INDEX(_xlfn.TEXTSPLIT(_xlfn.XLOOKUP($A309&amp;$B309&amp;$C309,盘货信息!$A:$A&amp;盘货信息!$B:$B&amp;盘货信息!$C:$C,盘货信息!$S:$S),CHAR(10),,TRUE),1,COLUMN(C308)),"")</f>
        <v/>
      </c>
      <c r="M309" s="18" t="str" cm="1">
        <f t="array" ref="M309">IFERROR(INDEX(_xlfn.TEXTSPLIT(_xlfn.XLOOKUP($A309&amp;$B309&amp;$C309,盘货信息!$A:$A&amp;盘货信息!$B:$B&amp;盘货信息!$C:$C,盘货信息!$S:$S),CHAR(10),,TRUE),1,COLUMN(D308)),"")</f>
        <v/>
      </c>
      <c r="N309" s="18" t="str" cm="1">
        <f t="array" ref="N309">IFERROR(INDEX(_xlfn.TEXTSPLIT(_xlfn.XLOOKUP($A309&amp;$B309&amp;$C309,盘货信息!$A:$A&amp;盘货信息!$B:$B&amp;盘货信息!$C:$C,盘货信息!$S:$S),CHAR(10),,TRUE),1,COLUMN(E308)),"")</f>
        <v/>
      </c>
    </row>
    <row r="310" customHeight="1" spans="1:14">
      <c r="A310" s="17" t="str">
        <f>IF(盘货信息!A310="","",盘货信息!A310)</f>
        <v/>
      </c>
      <c r="B310" s="17" t="str">
        <f>IF(盘货信息!B310="","",盘货信息!B310)</f>
        <v/>
      </c>
      <c r="C310" s="18" t="str">
        <f>IF(盘货信息!C310="","",盘货信息!C310)</f>
        <v/>
      </c>
      <c r="D310" s="18" t="str">
        <f t="shared" si="4"/>
        <v/>
      </c>
      <c r="E310" s="18" t="str">
        <f>_xlfn.LET(_xlpm.A,IF(ISNUMBER(SEARCH("晒单",J310)),"【晒单】"&amp;MID(J310,SEARCH("晒单",J310)+LEN("晒单"),LEN(J310))&amp;"（需晒单后联系客服登记）",IF(ISNUMBER(SEARCH("包修",J310)),"【购机】"&amp;MID(J310,SEARCH("购机",J310)+LEN("购机"),LEN(J310)),IF(ISNUMBER(SEARCH("叠放支架",J310)),"【赠品】"&amp;MID(J310,SEARCH("购机",J310)+LEN("购机"),LEN(J310)),IF(ISNUMBER(SEARCH("秀图",J310)),"【秀图】"&amp;MID(J310,SEARCH("秀图",J310)+LEN("秀图"),LEN(J310)),"")))),IFERROR(LEFT(_xlpm.A,FIND("【",_xlpm.A,FIND("】",_xlpm.A)+1)-1)&amp;MID(_xlpm.A,FIND("】",_xlpm.A,FIND("】",_xlpm.A)+1)+1,LEN(_xlpm.A)),_xlpm.A))</f>
        <v/>
      </c>
      <c r="F310" s="18" t="str">
        <f>_xlfn.LET(_xlpm.A,IF(ISNUMBER(SEARCH("晒单",K310)),"【晒单】"&amp;MID(K310,SEARCH("晒单",K310)+LEN("晒单"),LEN(K310))&amp;"（需晒单后联系客服登记）",IF(ISNUMBER(SEARCH("包修",K310)),"【购机】"&amp;MID(K310,SEARCH("购机",K310)+LEN("购机"),LEN(K310)),IF(ISNUMBER(SEARCH("叠放支架",K310)),"【赠品】"&amp;MID(K310,SEARCH("购机",K310)+LEN("购机"),LEN(K310)),IF(ISNUMBER(SEARCH("秀图",K310)),"【秀图】"&amp;MID(K310,SEARCH("秀图",K310)+LEN("秀图"),LEN(K310)),"")))),IFERROR(LEFT(_xlpm.A,FIND("【",_xlpm.A,FIND("】",_xlpm.A)+1)-1)&amp;MID(_xlpm.A,FIND("】",_xlpm.A,FIND("】",_xlpm.A)+1)+1,LEN(_xlpm.A)),_xlpm.A))</f>
        <v/>
      </c>
      <c r="G310" s="18" t="str">
        <f>_xlfn.LET(_xlpm.A,IF(ISNUMBER(SEARCH("晒单",L310)),"【晒单】"&amp;MID(L310,SEARCH("晒单",L310)+LEN("晒单"),LEN(L310))&amp;"（需晒单后联系客服登记）",IF(ISNUMBER(SEARCH("包修",L310)),"【购机】"&amp;MID(L310,SEARCH("购机",L310)+LEN("购机"),LEN(L310)),IF(ISNUMBER(SEARCH("叠放支架",L310)),"【赠品】"&amp;MID(L310,SEARCH("购机",L310)+LEN("购机"),LEN(L310)),IF(ISNUMBER(SEARCH("秀图",L310)),"【秀图】"&amp;MID(L310,SEARCH("秀图",L310)+LEN("秀图"),LEN(L310)),"")))),IFERROR(LEFT(_xlpm.A,FIND("【",_xlpm.A,FIND("】",_xlpm.A)+1)-1)&amp;MID(_xlpm.A,FIND("】",_xlpm.A,FIND("】",_xlpm.A)+1)+1,LEN(_xlpm.A)),_xlpm.A))</f>
        <v/>
      </c>
      <c r="H310" s="18" t="str">
        <f>_xlfn.LET(_xlpm.A,IF(ISNUMBER(SEARCH("晒单",M310)),"【晒单】"&amp;MID(M310,SEARCH("晒单",M310)+LEN("晒单"),LEN(M310))&amp;"（需晒单后联系客服登记）",IF(ISNUMBER(SEARCH("包修",M310)),"【购机】"&amp;MID(M310,SEARCH("购机",M310)+LEN("购机"),LEN(M310)),IF(ISNUMBER(SEARCH("叠放支架",M310)),"【赠品】"&amp;MID(M310,SEARCH("购机",M310)+LEN("购机"),LEN(M310)),IF(ISNUMBER(SEARCH("秀图",M310)),"【秀图】"&amp;MID(M310,SEARCH("秀图",M310)+LEN("秀图"),LEN(M310)),"")))),IFERROR(LEFT(_xlpm.A,FIND("【",_xlpm.A,FIND("】",_xlpm.A)+1)-1)&amp;MID(_xlpm.A,FIND("】",_xlpm.A,FIND("】",_xlpm.A)+1)+1,LEN(_xlpm.A)),_xlpm.A))</f>
        <v/>
      </c>
      <c r="I310" s="18" t="str">
        <f>_xlfn.LET(_xlpm.A,IF(ISNUMBER(SEARCH("晒单",N310)),"【晒单】"&amp;MID(N310,SEARCH("晒单",N310)+LEN("晒单"),LEN(N310))&amp;"（需晒单后联系客服登记）",IF(ISNUMBER(SEARCH("包修",N310)),"【购机】"&amp;MID(N310,SEARCH("购机",N310)+LEN("购机"),LEN(N310)),IF(ISNUMBER(SEARCH("叠放支架",N310)),"【赠品】"&amp;MID(N310,SEARCH("购机",N310)+LEN("购机"),LEN(N310)),IF(ISNUMBER(SEARCH("秀图",N310)),"【秀图】"&amp;MID(N310,SEARCH("秀图",N310)+LEN("秀图"),LEN(N310)),"")))),IFERROR(LEFT(_xlpm.A,FIND("【",_xlpm.A,FIND("】",_xlpm.A)+1)-1)&amp;MID(_xlpm.A,FIND("】",_xlpm.A,FIND("】",_xlpm.A)+1)+1,LEN(_xlpm.A)),_xlpm.A))</f>
        <v/>
      </c>
      <c r="J310" s="18" t="str" cm="1">
        <f t="array" ref="J310">IFERROR(INDEX(_xlfn.TEXTSPLIT(_xlfn.XLOOKUP($A310&amp;$B310&amp;$C310,盘货信息!$A:$A&amp;盘货信息!$B:$B&amp;盘货信息!$C:$C,盘货信息!$S:$S),CHAR(10),,TRUE),1,COLUMN(A309)),"")</f>
        <v/>
      </c>
      <c r="K310" s="18" t="str" cm="1">
        <f t="array" ref="K310">IFERROR(INDEX(_xlfn.TEXTSPLIT(_xlfn.XLOOKUP($A310&amp;$B310&amp;$C310,盘货信息!$A:$A&amp;盘货信息!$B:$B&amp;盘货信息!$C:$C,盘货信息!$S:$S),CHAR(10),,TRUE),1,COLUMN(B309)),"")</f>
        <v/>
      </c>
      <c r="L310" s="18" t="str" cm="1">
        <f t="array" ref="L310">IFERROR(INDEX(_xlfn.TEXTSPLIT(_xlfn.XLOOKUP($A310&amp;$B310&amp;$C310,盘货信息!$A:$A&amp;盘货信息!$B:$B&amp;盘货信息!$C:$C,盘货信息!$S:$S),CHAR(10),,TRUE),1,COLUMN(C309)),"")</f>
        <v/>
      </c>
      <c r="M310" s="18" t="str" cm="1">
        <f t="array" ref="M310">IFERROR(INDEX(_xlfn.TEXTSPLIT(_xlfn.XLOOKUP($A310&amp;$B310&amp;$C310,盘货信息!$A:$A&amp;盘货信息!$B:$B&amp;盘货信息!$C:$C,盘货信息!$S:$S),CHAR(10),,TRUE),1,COLUMN(D309)),"")</f>
        <v/>
      </c>
      <c r="N310" s="18" t="str" cm="1">
        <f t="array" ref="N310">IFERROR(INDEX(_xlfn.TEXTSPLIT(_xlfn.XLOOKUP($A310&amp;$B310&amp;$C310,盘货信息!$A:$A&amp;盘货信息!$B:$B&amp;盘货信息!$C:$C,盘货信息!$S:$S),CHAR(10),,TRUE),1,COLUMN(E309)),"")</f>
        <v/>
      </c>
    </row>
    <row r="311" customHeight="1" spans="1:14">
      <c r="A311" s="17" t="str">
        <f>IF(盘货信息!A311="","",盘货信息!A311)</f>
        <v/>
      </c>
      <c r="B311" s="17" t="str">
        <f>IF(盘货信息!B311="","",盘货信息!B311)</f>
        <v/>
      </c>
      <c r="C311" s="18" t="str">
        <f>IF(盘货信息!C311="","",盘货信息!C311)</f>
        <v/>
      </c>
      <c r="D311" s="18" t="str">
        <f t="shared" si="4"/>
        <v/>
      </c>
      <c r="E311" s="18" t="str">
        <f>_xlfn.LET(_xlpm.A,IF(ISNUMBER(SEARCH("晒单",J311)),"【晒单】"&amp;MID(J311,SEARCH("晒单",J311)+LEN("晒单"),LEN(J311))&amp;"（需晒单后联系客服登记）",IF(ISNUMBER(SEARCH("包修",J311)),"【购机】"&amp;MID(J311,SEARCH("购机",J311)+LEN("购机"),LEN(J311)),IF(ISNUMBER(SEARCH("叠放支架",J311)),"【赠品】"&amp;MID(J311,SEARCH("购机",J311)+LEN("购机"),LEN(J311)),IF(ISNUMBER(SEARCH("秀图",J311)),"【秀图】"&amp;MID(J311,SEARCH("秀图",J311)+LEN("秀图"),LEN(J311)),"")))),IFERROR(LEFT(_xlpm.A,FIND("【",_xlpm.A,FIND("】",_xlpm.A)+1)-1)&amp;MID(_xlpm.A,FIND("】",_xlpm.A,FIND("】",_xlpm.A)+1)+1,LEN(_xlpm.A)),_xlpm.A))</f>
        <v/>
      </c>
      <c r="F311" s="18" t="str">
        <f>_xlfn.LET(_xlpm.A,IF(ISNUMBER(SEARCH("晒单",K311)),"【晒单】"&amp;MID(K311,SEARCH("晒单",K311)+LEN("晒单"),LEN(K311))&amp;"（需晒单后联系客服登记）",IF(ISNUMBER(SEARCH("包修",K311)),"【购机】"&amp;MID(K311,SEARCH("购机",K311)+LEN("购机"),LEN(K311)),IF(ISNUMBER(SEARCH("叠放支架",K311)),"【赠品】"&amp;MID(K311,SEARCH("购机",K311)+LEN("购机"),LEN(K311)),IF(ISNUMBER(SEARCH("秀图",K311)),"【秀图】"&amp;MID(K311,SEARCH("秀图",K311)+LEN("秀图"),LEN(K311)),"")))),IFERROR(LEFT(_xlpm.A,FIND("【",_xlpm.A,FIND("】",_xlpm.A)+1)-1)&amp;MID(_xlpm.A,FIND("】",_xlpm.A,FIND("】",_xlpm.A)+1)+1,LEN(_xlpm.A)),_xlpm.A))</f>
        <v/>
      </c>
      <c r="G311" s="18" t="str">
        <f>_xlfn.LET(_xlpm.A,IF(ISNUMBER(SEARCH("晒单",L311)),"【晒单】"&amp;MID(L311,SEARCH("晒单",L311)+LEN("晒单"),LEN(L311))&amp;"（需晒单后联系客服登记）",IF(ISNUMBER(SEARCH("包修",L311)),"【购机】"&amp;MID(L311,SEARCH("购机",L311)+LEN("购机"),LEN(L311)),IF(ISNUMBER(SEARCH("叠放支架",L311)),"【赠品】"&amp;MID(L311,SEARCH("购机",L311)+LEN("购机"),LEN(L311)),IF(ISNUMBER(SEARCH("秀图",L311)),"【秀图】"&amp;MID(L311,SEARCH("秀图",L311)+LEN("秀图"),LEN(L311)),"")))),IFERROR(LEFT(_xlpm.A,FIND("【",_xlpm.A,FIND("】",_xlpm.A)+1)-1)&amp;MID(_xlpm.A,FIND("】",_xlpm.A,FIND("】",_xlpm.A)+1)+1,LEN(_xlpm.A)),_xlpm.A))</f>
        <v/>
      </c>
      <c r="H311" s="18" t="str">
        <f>_xlfn.LET(_xlpm.A,IF(ISNUMBER(SEARCH("晒单",M311)),"【晒单】"&amp;MID(M311,SEARCH("晒单",M311)+LEN("晒单"),LEN(M311))&amp;"（需晒单后联系客服登记）",IF(ISNUMBER(SEARCH("包修",M311)),"【购机】"&amp;MID(M311,SEARCH("购机",M311)+LEN("购机"),LEN(M311)),IF(ISNUMBER(SEARCH("叠放支架",M311)),"【赠品】"&amp;MID(M311,SEARCH("购机",M311)+LEN("购机"),LEN(M311)),IF(ISNUMBER(SEARCH("秀图",M311)),"【秀图】"&amp;MID(M311,SEARCH("秀图",M311)+LEN("秀图"),LEN(M311)),"")))),IFERROR(LEFT(_xlpm.A,FIND("【",_xlpm.A,FIND("】",_xlpm.A)+1)-1)&amp;MID(_xlpm.A,FIND("】",_xlpm.A,FIND("】",_xlpm.A)+1)+1,LEN(_xlpm.A)),_xlpm.A))</f>
        <v/>
      </c>
      <c r="I311" s="18" t="str">
        <f>_xlfn.LET(_xlpm.A,IF(ISNUMBER(SEARCH("晒单",N311)),"【晒单】"&amp;MID(N311,SEARCH("晒单",N311)+LEN("晒单"),LEN(N311))&amp;"（需晒单后联系客服登记）",IF(ISNUMBER(SEARCH("包修",N311)),"【购机】"&amp;MID(N311,SEARCH("购机",N311)+LEN("购机"),LEN(N311)),IF(ISNUMBER(SEARCH("叠放支架",N311)),"【赠品】"&amp;MID(N311,SEARCH("购机",N311)+LEN("购机"),LEN(N311)),IF(ISNUMBER(SEARCH("秀图",N311)),"【秀图】"&amp;MID(N311,SEARCH("秀图",N311)+LEN("秀图"),LEN(N311)),"")))),IFERROR(LEFT(_xlpm.A,FIND("【",_xlpm.A,FIND("】",_xlpm.A)+1)-1)&amp;MID(_xlpm.A,FIND("】",_xlpm.A,FIND("】",_xlpm.A)+1)+1,LEN(_xlpm.A)),_xlpm.A))</f>
        <v/>
      </c>
      <c r="J311" s="18" t="str" cm="1">
        <f t="array" ref="J311">IFERROR(INDEX(_xlfn.TEXTSPLIT(_xlfn.XLOOKUP($A311&amp;$B311&amp;$C311,盘货信息!$A:$A&amp;盘货信息!$B:$B&amp;盘货信息!$C:$C,盘货信息!$S:$S),CHAR(10),,TRUE),1,COLUMN(A310)),"")</f>
        <v/>
      </c>
      <c r="K311" s="18" t="str" cm="1">
        <f t="array" ref="K311">IFERROR(INDEX(_xlfn.TEXTSPLIT(_xlfn.XLOOKUP($A311&amp;$B311&amp;$C311,盘货信息!$A:$A&amp;盘货信息!$B:$B&amp;盘货信息!$C:$C,盘货信息!$S:$S),CHAR(10),,TRUE),1,COLUMN(B310)),"")</f>
        <v/>
      </c>
      <c r="L311" s="18" t="str" cm="1">
        <f t="array" ref="L311">IFERROR(INDEX(_xlfn.TEXTSPLIT(_xlfn.XLOOKUP($A311&amp;$B311&amp;$C311,盘货信息!$A:$A&amp;盘货信息!$B:$B&amp;盘货信息!$C:$C,盘货信息!$S:$S),CHAR(10),,TRUE),1,COLUMN(C310)),"")</f>
        <v/>
      </c>
      <c r="M311" s="18" t="str" cm="1">
        <f t="array" ref="M311">IFERROR(INDEX(_xlfn.TEXTSPLIT(_xlfn.XLOOKUP($A311&amp;$B311&amp;$C311,盘货信息!$A:$A&amp;盘货信息!$B:$B&amp;盘货信息!$C:$C,盘货信息!$S:$S),CHAR(10),,TRUE),1,COLUMN(D310)),"")</f>
        <v/>
      </c>
      <c r="N311" s="18" t="str" cm="1">
        <f t="array" ref="N311">IFERROR(INDEX(_xlfn.TEXTSPLIT(_xlfn.XLOOKUP($A311&amp;$B311&amp;$C311,盘货信息!$A:$A&amp;盘货信息!$B:$B&amp;盘货信息!$C:$C,盘货信息!$S:$S),CHAR(10),,TRUE),1,COLUMN(E310)),"")</f>
        <v/>
      </c>
    </row>
    <row r="312" customHeight="1" spans="1:14">
      <c r="A312" s="17" t="str">
        <f>IF(盘货信息!A312="","",盘货信息!A312)</f>
        <v/>
      </c>
      <c r="B312" s="17" t="str">
        <f>IF(盘货信息!B312="","",盘货信息!B312)</f>
        <v/>
      </c>
      <c r="C312" s="18" t="str">
        <f>IF(盘货信息!C312="","",盘货信息!C312)</f>
        <v/>
      </c>
      <c r="D312" s="18" t="str">
        <f t="shared" si="4"/>
        <v/>
      </c>
      <c r="E312" s="18" t="str">
        <f>_xlfn.LET(_xlpm.A,IF(ISNUMBER(SEARCH("晒单",J312)),"【晒单】"&amp;MID(J312,SEARCH("晒单",J312)+LEN("晒单"),LEN(J312))&amp;"（需晒单后联系客服登记）",IF(ISNUMBER(SEARCH("包修",J312)),"【购机】"&amp;MID(J312,SEARCH("购机",J312)+LEN("购机"),LEN(J312)),IF(ISNUMBER(SEARCH("叠放支架",J312)),"【赠品】"&amp;MID(J312,SEARCH("购机",J312)+LEN("购机"),LEN(J312)),IF(ISNUMBER(SEARCH("秀图",J312)),"【秀图】"&amp;MID(J312,SEARCH("秀图",J312)+LEN("秀图"),LEN(J312)),"")))),IFERROR(LEFT(_xlpm.A,FIND("【",_xlpm.A,FIND("】",_xlpm.A)+1)-1)&amp;MID(_xlpm.A,FIND("】",_xlpm.A,FIND("】",_xlpm.A)+1)+1,LEN(_xlpm.A)),_xlpm.A))</f>
        <v/>
      </c>
      <c r="F312" s="18" t="str">
        <f>_xlfn.LET(_xlpm.A,IF(ISNUMBER(SEARCH("晒单",K312)),"【晒单】"&amp;MID(K312,SEARCH("晒单",K312)+LEN("晒单"),LEN(K312))&amp;"（需晒单后联系客服登记）",IF(ISNUMBER(SEARCH("包修",K312)),"【购机】"&amp;MID(K312,SEARCH("购机",K312)+LEN("购机"),LEN(K312)),IF(ISNUMBER(SEARCH("叠放支架",K312)),"【赠品】"&amp;MID(K312,SEARCH("购机",K312)+LEN("购机"),LEN(K312)),IF(ISNUMBER(SEARCH("秀图",K312)),"【秀图】"&amp;MID(K312,SEARCH("秀图",K312)+LEN("秀图"),LEN(K312)),"")))),IFERROR(LEFT(_xlpm.A,FIND("【",_xlpm.A,FIND("】",_xlpm.A)+1)-1)&amp;MID(_xlpm.A,FIND("】",_xlpm.A,FIND("】",_xlpm.A)+1)+1,LEN(_xlpm.A)),_xlpm.A))</f>
        <v/>
      </c>
      <c r="G312" s="18" t="str">
        <f>_xlfn.LET(_xlpm.A,IF(ISNUMBER(SEARCH("晒单",L312)),"【晒单】"&amp;MID(L312,SEARCH("晒单",L312)+LEN("晒单"),LEN(L312))&amp;"（需晒单后联系客服登记）",IF(ISNUMBER(SEARCH("包修",L312)),"【购机】"&amp;MID(L312,SEARCH("购机",L312)+LEN("购机"),LEN(L312)),IF(ISNUMBER(SEARCH("叠放支架",L312)),"【赠品】"&amp;MID(L312,SEARCH("购机",L312)+LEN("购机"),LEN(L312)),IF(ISNUMBER(SEARCH("秀图",L312)),"【秀图】"&amp;MID(L312,SEARCH("秀图",L312)+LEN("秀图"),LEN(L312)),"")))),IFERROR(LEFT(_xlpm.A,FIND("【",_xlpm.A,FIND("】",_xlpm.A)+1)-1)&amp;MID(_xlpm.A,FIND("】",_xlpm.A,FIND("】",_xlpm.A)+1)+1,LEN(_xlpm.A)),_xlpm.A))</f>
        <v/>
      </c>
      <c r="H312" s="18" t="str">
        <f>_xlfn.LET(_xlpm.A,IF(ISNUMBER(SEARCH("晒单",M312)),"【晒单】"&amp;MID(M312,SEARCH("晒单",M312)+LEN("晒单"),LEN(M312))&amp;"（需晒单后联系客服登记）",IF(ISNUMBER(SEARCH("包修",M312)),"【购机】"&amp;MID(M312,SEARCH("购机",M312)+LEN("购机"),LEN(M312)),IF(ISNUMBER(SEARCH("叠放支架",M312)),"【赠品】"&amp;MID(M312,SEARCH("购机",M312)+LEN("购机"),LEN(M312)),IF(ISNUMBER(SEARCH("秀图",M312)),"【秀图】"&amp;MID(M312,SEARCH("秀图",M312)+LEN("秀图"),LEN(M312)),"")))),IFERROR(LEFT(_xlpm.A,FIND("【",_xlpm.A,FIND("】",_xlpm.A)+1)-1)&amp;MID(_xlpm.A,FIND("】",_xlpm.A,FIND("】",_xlpm.A)+1)+1,LEN(_xlpm.A)),_xlpm.A))</f>
        <v/>
      </c>
      <c r="I312" s="18" t="str">
        <f>_xlfn.LET(_xlpm.A,IF(ISNUMBER(SEARCH("晒单",N312)),"【晒单】"&amp;MID(N312,SEARCH("晒单",N312)+LEN("晒单"),LEN(N312))&amp;"（需晒单后联系客服登记）",IF(ISNUMBER(SEARCH("包修",N312)),"【购机】"&amp;MID(N312,SEARCH("购机",N312)+LEN("购机"),LEN(N312)),IF(ISNUMBER(SEARCH("叠放支架",N312)),"【赠品】"&amp;MID(N312,SEARCH("购机",N312)+LEN("购机"),LEN(N312)),IF(ISNUMBER(SEARCH("秀图",N312)),"【秀图】"&amp;MID(N312,SEARCH("秀图",N312)+LEN("秀图"),LEN(N312)),"")))),IFERROR(LEFT(_xlpm.A,FIND("【",_xlpm.A,FIND("】",_xlpm.A)+1)-1)&amp;MID(_xlpm.A,FIND("】",_xlpm.A,FIND("】",_xlpm.A)+1)+1,LEN(_xlpm.A)),_xlpm.A))</f>
        <v/>
      </c>
      <c r="J312" s="18" t="str" cm="1">
        <f t="array" ref="J312">IFERROR(INDEX(_xlfn.TEXTSPLIT(_xlfn.XLOOKUP($A312&amp;$B312&amp;$C312,盘货信息!$A:$A&amp;盘货信息!$B:$B&amp;盘货信息!$C:$C,盘货信息!$S:$S),CHAR(10),,TRUE),1,COLUMN(A311)),"")</f>
        <v/>
      </c>
      <c r="K312" s="18" t="str" cm="1">
        <f t="array" ref="K312">IFERROR(INDEX(_xlfn.TEXTSPLIT(_xlfn.XLOOKUP($A312&amp;$B312&amp;$C312,盘货信息!$A:$A&amp;盘货信息!$B:$B&amp;盘货信息!$C:$C,盘货信息!$S:$S),CHAR(10),,TRUE),1,COLUMN(B311)),"")</f>
        <v/>
      </c>
      <c r="L312" s="18" t="str" cm="1">
        <f t="array" ref="L312">IFERROR(INDEX(_xlfn.TEXTSPLIT(_xlfn.XLOOKUP($A312&amp;$B312&amp;$C312,盘货信息!$A:$A&amp;盘货信息!$B:$B&amp;盘货信息!$C:$C,盘货信息!$S:$S),CHAR(10),,TRUE),1,COLUMN(C311)),"")</f>
        <v/>
      </c>
      <c r="M312" s="18" t="str" cm="1">
        <f t="array" ref="M312">IFERROR(INDEX(_xlfn.TEXTSPLIT(_xlfn.XLOOKUP($A312&amp;$B312&amp;$C312,盘货信息!$A:$A&amp;盘货信息!$B:$B&amp;盘货信息!$C:$C,盘货信息!$S:$S),CHAR(10),,TRUE),1,COLUMN(D311)),"")</f>
        <v/>
      </c>
      <c r="N312" s="18" t="str" cm="1">
        <f t="array" ref="N312">IFERROR(INDEX(_xlfn.TEXTSPLIT(_xlfn.XLOOKUP($A312&amp;$B312&amp;$C312,盘货信息!$A:$A&amp;盘货信息!$B:$B&amp;盘货信息!$C:$C,盘货信息!$S:$S),CHAR(10),,TRUE),1,COLUMN(E311)),"")</f>
        <v/>
      </c>
    </row>
    <row r="313" customHeight="1" spans="1:14">
      <c r="A313" s="17" t="str">
        <f>IF(盘货信息!A313="","",盘货信息!A313)</f>
        <v/>
      </c>
      <c r="B313" s="17" t="str">
        <f>IF(盘货信息!B313="","",盘货信息!B313)</f>
        <v/>
      </c>
      <c r="C313" s="18" t="str">
        <f>IF(盘货信息!C313="","",盘货信息!C313)</f>
        <v/>
      </c>
      <c r="D313" s="18" t="str">
        <f t="shared" si="4"/>
        <v/>
      </c>
      <c r="E313" s="18" t="str">
        <f>_xlfn.LET(_xlpm.A,IF(ISNUMBER(SEARCH("晒单",J313)),"【晒单】"&amp;MID(J313,SEARCH("晒单",J313)+LEN("晒单"),LEN(J313))&amp;"（需晒单后联系客服登记）",IF(ISNUMBER(SEARCH("包修",J313)),"【购机】"&amp;MID(J313,SEARCH("购机",J313)+LEN("购机"),LEN(J313)),IF(ISNUMBER(SEARCH("叠放支架",J313)),"【赠品】"&amp;MID(J313,SEARCH("购机",J313)+LEN("购机"),LEN(J313)),IF(ISNUMBER(SEARCH("秀图",J313)),"【秀图】"&amp;MID(J313,SEARCH("秀图",J313)+LEN("秀图"),LEN(J313)),"")))),IFERROR(LEFT(_xlpm.A,FIND("【",_xlpm.A,FIND("】",_xlpm.A)+1)-1)&amp;MID(_xlpm.A,FIND("】",_xlpm.A,FIND("】",_xlpm.A)+1)+1,LEN(_xlpm.A)),_xlpm.A))</f>
        <v/>
      </c>
      <c r="F313" s="18" t="str">
        <f>_xlfn.LET(_xlpm.A,IF(ISNUMBER(SEARCH("晒单",K313)),"【晒单】"&amp;MID(K313,SEARCH("晒单",K313)+LEN("晒单"),LEN(K313))&amp;"（需晒单后联系客服登记）",IF(ISNUMBER(SEARCH("包修",K313)),"【购机】"&amp;MID(K313,SEARCH("购机",K313)+LEN("购机"),LEN(K313)),IF(ISNUMBER(SEARCH("叠放支架",K313)),"【赠品】"&amp;MID(K313,SEARCH("购机",K313)+LEN("购机"),LEN(K313)),IF(ISNUMBER(SEARCH("秀图",K313)),"【秀图】"&amp;MID(K313,SEARCH("秀图",K313)+LEN("秀图"),LEN(K313)),"")))),IFERROR(LEFT(_xlpm.A,FIND("【",_xlpm.A,FIND("】",_xlpm.A)+1)-1)&amp;MID(_xlpm.A,FIND("】",_xlpm.A,FIND("】",_xlpm.A)+1)+1,LEN(_xlpm.A)),_xlpm.A))</f>
        <v/>
      </c>
      <c r="G313" s="18" t="str">
        <f>_xlfn.LET(_xlpm.A,IF(ISNUMBER(SEARCH("晒单",L313)),"【晒单】"&amp;MID(L313,SEARCH("晒单",L313)+LEN("晒单"),LEN(L313))&amp;"（需晒单后联系客服登记）",IF(ISNUMBER(SEARCH("包修",L313)),"【购机】"&amp;MID(L313,SEARCH("购机",L313)+LEN("购机"),LEN(L313)),IF(ISNUMBER(SEARCH("叠放支架",L313)),"【赠品】"&amp;MID(L313,SEARCH("购机",L313)+LEN("购机"),LEN(L313)),IF(ISNUMBER(SEARCH("秀图",L313)),"【秀图】"&amp;MID(L313,SEARCH("秀图",L313)+LEN("秀图"),LEN(L313)),"")))),IFERROR(LEFT(_xlpm.A,FIND("【",_xlpm.A,FIND("】",_xlpm.A)+1)-1)&amp;MID(_xlpm.A,FIND("】",_xlpm.A,FIND("】",_xlpm.A)+1)+1,LEN(_xlpm.A)),_xlpm.A))</f>
        <v/>
      </c>
      <c r="H313" s="18" t="str">
        <f>_xlfn.LET(_xlpm.A,IF(ISNUMBER(SEARCH("晒单",M313)),"【晒单】"&amp;MID(M313,SEARCH("晒单",M313)+LEN("晒单"),LEN(M313))&amp;"（需晒单后联系客服登记）",IF(ISNUMBER(SEARCH("包修",M313)),"【购机】"&amp;MID(M313,SEARCH("购机",M313)+LEN("购机"),LEN(M313)),IF(ISNUMBER(SEARCH("叠放支架",M313)),"【赠品】"&amp;MID(M313,SEARCH("购机",M313)+LEN("购机"),LEN(M313)),IF(ISNUMBER(SEARCH("秀图",M313)),"【秀图】"&amp;MID(M313,SEARCH("秀图",M313)+LEN("秀图"),LEN(M313)),"")))),IFERROR(LEFT(_xlpm.A,FIND("【",_xlpm.A,FIND("】",_xlpm.A)+1)-1)&amp;MID(_xlpm.A,FIND("】",_xlpm.A,FIND("】",_xlpm.A)+1)+1,LEN(_xlpm.A)),_xlpm.A))</f>
        <v/>
      </c>
      <c r="I313" s="18" t="str">
        <f>_xlfn.LET(_xlpm.A,IF(ISNUMBER(SEARCH("晒单",N313)),"【晒单】"&amp;MID(N313,SEARCH("晒单",N313)+LEN("晒单"),LEN(N313))&amp;"（需晒单后联系客服登记）",IF(ISNUMBER(SEARCH("包修",N313)),"【购机】"&amp;MID(N313,SEARCH("购机",N313)+LEN("购机"),LEN(N313)),IF(ISNUMBER(SEARCH("叠放支架",N313)),"【赠品】"&amp;MID(N313,SEARCH("购机",N313)+LEN("购机"),LEN(N313)),IF(ISNUMBER(SEARCH("秀图",N313)),"【秀图】"&amp;MID(N313,SEARCH("秀图",N313)+LEN("秀图"),LEN(N313)),"")))),IFERROR(LEFT(_xlpm.A,FIND("【",_xlpm.A,FIND("】",_xlpm.A)+1)-1)&amp;MID(_xlpm.A,FIND("】",_xlpm.A,FIND("】",_xlpm.A)+1)+1,LEN(_xlpm.A)),_xlpm.A))</f>
        <v/>
      </c>
      <c r="J313" s="18" t="str" cm="1">
        <f t="array" ref="J313">IFERROR(INDEX(_xlfn.TEXTSPLIT(_xlfn.XLOOKUP($A313&amp;$B313&amp;$C313,盘货信息!$A:$A&amp;盘货信息!$B:$B&amp;盘货信息!$C:$C,盘货信息!$S:$S),CHAR(10),,TRUE),1,COLUMN(A312)),"")</f>
        <v/>
      </c>
      <c r="K313" s="18" t="str" cm="1">
        <f t="array" ref="K313">IFERROR(INDEX(_xlfn.TEXTSPLIT(_xlfn.XLOOKUP($A313&amp;$B313&amp;$C313,盘货信息!$A:$A&amp;盘货信息!$B:$B&amp;盘货信息!$C:$C,盘货信息!$S:$S),CHAR(10),,TRUE),1,COLUMN(B312)),"")</f>
        <v/>
      </c>
      <c r="L313" s="18" t="str" cm="1">
        <f t="array" ref="L313">IFERROR(INDEX(_xlfn.TEXTSPLIT(_xlfn.XLOOKUP($A313&amp;$B313&amp;$C313,盘货信息!$A:$A&amp;盘货信息!$B:$B&amp;盘货信息!$C:$C,盘货信息!$S:$S),CHAR(10),,TRUE),1,COLUMN(C312)),"")</f>
        <v/>
      </c>
      <c r="M313" s="18" t="str" cm="1">
        <f t="array" ref="M313">IFERROR(INDEX(_xlfn.TEXTSPLIT(_xlfn.XLOOKUP($A313&amp;$B313&amp;$C313,盘货信息!$A:$A&amp;盘货信息!$B:$B&amp;盘货信息!$C:$C,盘货信息!$S:$S),CHAR(10),,TRUE),1,COLUMN(D312)),"")</f>
        <v/>
      </c>
      <c r="N313" s="18" t="str" cm="1">
        <f t="array" ref="N313">IFERROR(INDEX(_xlfn.TEXTSPLIT(_xlfn.XLOOKUP($A313&amp;$B313&amp;$C313,盘货信息!$A:$A&amp;盘货信息!$B:$B&amp;盘货信息!$C:$C,盘货信息!$S:$S),CHAR(10),,TRUE),1,COLUMN(E312)),"")</f>
        <v/>
      </c>
    </row>
    <row r="314" customHeight="1" spans="1:14">
      <c r="A314" s="17" t="str">
        <f>IF(盘货信息!A314="","",盘货信息!A314)</f>
        <v/>
      </c>
      <c r="B314" s="17" t="str">
        <f>IF(盘货信息!B314="","",盘货信息!B314)</f>
        <v/>
      </c>
      <c r="C314" s="18" t="str">
        <f>IF(盘货信息!C314="","",盘货信息!C314)</f>
        <v/>
      </c>
      <c r="D314" s="18" t="str">
        <f t="shared" si="4"/>
        <v/>
      </c>
      <c r="E314" s="18" t="str">
        <f>_xlfn.LET(_xlpm.A,IF(ISNUMBER(SEARCH("晒单",J314)),"【晒单】"&amp;MID(J314,SEARCH("晒单",J314)+LEN("晒单"),LEN(J314))&amp;"（需晒单后联系客服登记）",IF(ISNUMBER(SEARCH("包修",J314)),"【购机】"&amp;MID(J314,SEARCH("购机",J314)+LEN("购机"),LEN(J314)),IF(ISNUMBER(SEARCH("叠放支架",J314)),"【赠品】"&amp;MID(J314,SEARCH("购机",J314)+LEN("购机"),LEN(J314)),IF(ISNUMBER(SEARCH("秀图",J314)),"【秀图】"&amp;MID(J314,SEARCH("秀图",J314)+LEN("秀图"),LEN(J314)),"")))),IFERROR(LEFT(_xlpm.A,FIND("【",_xlpm.A,FIND("】",_xlpm.A)+1)-1)&amp;MID(_xlpm.A,FIND("】",_xlpm.A,FIND("】",_xlpm.A)+1)+1,LEN(_xlpm.A)),_xlpm.A))</f>
        <v/>
      </c>
      <c r="F314" s="18" t="str">
        <f>_xlfn.LET(_xlpm.A,IF(ISNUMBER(SEARCH("晒单",K314)),"【晒单】"&amp;MID(K314,SEARCH("晒单",K314)+LEN("晒单"),LEN(K314))&amp;"（需晒单后联系客服登记）",IF(ISNUMBER(SEARCH("包修",K314)),"【购机】"&amp;MID(K314,SEARCH("购机",K314)+LEN("购机"),LEN(K314)),IF(ISNUMBER(SEARCH("叠放支架",K314)),"【赠品】"&amp;MID(K314,SEARCH("购机",K314)+LEN("购机"),LEN(K314)),IF(ISNUMBER(SEARCH("秀图",K314)),"【秀图】"&amp;MID(K314,SEARCH("秀图",K314)+LEN("秀图"),LEN(K314)),"")))),IFERROR(LEFT(_xlpm.A,FIND("【",_xlpm.A,FIND("】",_xlpm.A)+1)-1)&amp;MID(_xlpm.A,FIND("】",_xlpm.A,FIND("】",_xlpm.A)+1)+1,LEN(_xlpm.A)),_xlpm.A))</f>
        <v/>
      </c>
      <c r="G314" s="18" t="str">
        <f>_xlfn.LET(_xlpm.A,IF(ISNUMBER(SEARCH("晒单",L314)),"【晒单】"&amp;MID(L314,SEARCH("晒单",L314)+LEN("晒单"),LEN(L314))&amp;"（需晒单后联系客服登记）",IF(ISNUMBER(SEARCH("包修",L314)),"【购机】"&amp;MID(L314,SEARCH("购机",L314)+LEN("购机"),LEN(L314)),IF(ISNUMBER(SEARCH("叠放支架",L314)),"【赠品】"&amp;MID(L314,SEARCH("购机",L314)+LEN("购机"),LEN(L314)),IF(ISNUMBER(SEARCH("秀图",L314)),"【秀图】"&amp;MID(L314,SEARCH("秀图",L314)+LEN("秀图"),LEN(L314)),"")))),IFERROR(LEFT(_xlpm.A,FIND("【",_xlpm.A,FIND("】",_xlpm.A)+1)-1)&amp;MID(_xlpm.A,FIND("】",_xlpm.A,FIND("】",_xlpm.A)+1)+1,LEN(_xlpm.A)),_xlpm.A))</f>
        <v/>
      </c>
      <c r="H314" s="18" t="str">
        <f>_xlfn.LET(_xlpm.A,IF(ISNUMBER(SEARCH("晒单",M314)),"【晒单】"&amp;MID(M314,SEARCH("晒单",M314)+LEN("晒单"),LEN(M314))&amp;"（需晒单后联系客服登记）",IF(ISNUMBER(SEARCH("包修",M314)),"【购机】"&amp;MID(M314,SEARCH("购机",M314)+LEN("购机"),LEN(M314)),IF(ISNUMBER(SEARCH("叠放支架",M314)),"【赠品】"&amp;MID(M314,SEARCH("购机",M314)+LEN("购机"),LEN(M314)),IF(ISNUMBER(SEARCH("秀图",M314)),"【秀图】"&amp;MID(M314,SEARCH("秀图",M314)+LEN("秀图"),LEN(M314)),"")))),IFERROR(LEFT(_xlpm.A,FIND("【",_xlpm.A,FIND("】",_xlpm.A)+1)-1)&amp;MID(_xlpm.A,FIND("】",_xlpm.A,FIND("】",_xlpm.A)+1)+1,LEN(_xlpm.A)),_xlpm.A))</f>
        <v/>
      </c>
      <c r="I314" s="18" t="str">
        <f>_xlfn.LET(_xlpm.A,IF(ISNUMBER(SEARCH("晒单",N314)),"【晒单】"&amp;MID(N314,SEARCH("晒单",N314)+LEN("晒单"),LEN(N314))&amp;"（需晒单后联系客服登记）",IF(ISNUMBER(SEARCH("包修",N314)),"【购机】"&amp;MID(N314,SEARCH("购机",N314)+LEN("购机"),LEN(N314)),IF(ISNUMBER(SEARCH("叠放支架",N314)),"【赠品】"&amp;MID(N314,SEARCH("购机",N314)+LEN("购机"),LEN(N314)),IF(ISNUMBER(SEARCH("秀图",N314)),"【秀图】"&amp;MID(N314,SEARCH("秀图",N314)+LEN("秀图"),LEN(N314)),"")))),IFERROR(LEFT(_xlpm.A,FIND("【",_xlpm.A,FIND("】",_xlpm.A)+1)-1)&amp;MID(_xlpm.A,FIND("】",_xlpm.A,FIND("】",_xlpm.A)+1)+1,LEN(_xlpm.A)),_xlpm.A))</f>
        <v/>
      </c>
      <c r="J314" s="18" t="str" cm="1">
        <f t="array" ref="J314">IFERROR(INDEX(_xlfn.TEXTSPLIT(_xlfn.XLOOKUP($A314&amp;$B314&amp;$C314,盘货信息!$A:$A&amp;盘货信息!$B:$B&amp;盘货信息!$C:$C,盘货信息!$S:$S),CHAR(10),,TRUE),1,COLUMN(A313)),"")</f>
        <v/>
      </c>
      <c r="K314" s="18" t="str" cm="1">
        <f t="array" ref="K314">IFERROR(INDEX(_xlfn.TEXTSPLIT(_xlfn.XLOOKUP($A314&amp;$B314&amp;$C314,盘货信息!$A:$A&amp;盘货信息!$B:$B&amp;盘货信息!$C:$C,盘货信息!$S:$S),CHAR(10),,TRUE),1,COLUMN(B313)),"")</f>
        <v/>
      </c>
      <c r="L314" s="18" t="str" cm="1">
        <f t="array" ref="L314">IFERROR(INDEX(_xlfn.TEXTSPLIT(_xlfn.XLOOKUP($A314&amp;$B314&amp;$C314,盘货信息!$A:$A&amp;盘货信息!$B:$B&amp;盘货信息!$C:$C,盘货信息!$S:$S),CHAR(10),,TRUE),1,COLUMN(C313)),"")</f>
        <v/>
      </c>
      <c r="M314" s="18" t="str" cm="1">
        <f t="array" ref="M314">IFERROR(INDEX(_xlfn.TEXTSPLIT(_xlfn.XLOOKUP($A314&amp;$B314&amp;$C314,盘货信息!$A:$A&amp;盘货信息!$B:$B&amp;盘货信息!$C:$C,盘货信息!$S:$S),CHAR(10),,TRUE),1,COLUMN(D313)),"")</f>
        <v/>
      </c>
      <c r="N314" s="18" t="str" cm="1">
        <f t="array" ref="N314">IFERROR(INDEX(_xlfn.TEXTSPLIT(_xlfn.XLOOKUP($A314&amp;$B314&amp;$C314,盘货信息!$A:$A&amp;盘货信息!$B:$B&amp;盘货信息!$C:$C,盘货信息!$S:$S),CHAR(10),,TRUE),1,COLUMN(E313)),"")</f>
        <v/>
      </c>
    </row>
    <row r="315" customHeight="1" spans="1:14">
      <c r="A315" s="17" t="str">
        <f>IF(盘货信息!A315="","",盘货信息!A315)</f>
        <v/>
      </c>
      <c r="B315" s="17" t="str">
        <f>IF(盘货信息!B315="","",盘货信息!B315)</f>
        <v/>
      </c>
      <c r="C315" s="18" t="str">
        <f>IF(盘货信息!C315="","",盘货信息!C315)</f>
        <v/>
      </c>
      <c r="D315" s="18" t="str">
        <f t="shared" si="4"/>
        <v/>
      </c>
      <c r="E315" s="18" t="str">
        <f>_xlfn.LET(_xlpm.A,IF(ISNUMBER(SEARCH("晒单",J315)),"【晒单】"&amp;MID(J315,SEARCH("晒单",J315)+LEN("晒单"),LEN(J315))&amp;"（需晒单后联系客服登记）",IF(ISNUMBER(SEARCH("包修",J315)),"【购机】"&amp;MID(J315,SEARCH("购机",J315)+LEN("购机"),LEN(J315)),IF(ISNUMBER(SEARCH("叠放支架",J315)),"【赠品】"&amp;MID(J315,SEARCH("购机",J315)+LEN("购机"),LEN(J315)),IF(ISNUMBER(SEARCH("秀图",J315)),"【秀图】"&amp;MID(J315,SEARCH("秀图",J315)+LEN("秀图"),LEN(J315)),"")))),IFERROR(LEFT(_xlpm.A,FIND("【",_xlpm.A,FIND("】",_xlpm.A)+1)-1)&amp;MID(_xlpm.A,FIND("】",_xlpm.A,FIND("】",_xlpm.A)+1)+1,LEN(_xlpm.A)),_xlpm.A))</f>
        <v/>
      </c>
      <c r="F315" s="18" t="str">
        <f>_xlfn.LET(_xlpm.A,IF(ISNUMBER(SEARCH("晒单",K315)),"【晒单】"&amp;MID(K315,SEARCH("晒单",K315)+LEN("晒单"),LEN(K315))&amp;"（需晒单后联系客服登记）",IF(ISNUMBER(SEARCH("包修",K315)),"【购机】"&amp;MID(K315,SEARCH("购机",K315)+LEN("购机"),LEN(K315)),IF(ISNUMBER(SEARCH("叠放支架",K315)),"【赠品】"&amp;MID(K315,SEARCH("购机",K315)+LEN("购机"),LEN(K315)),IF(ISNUMBER(SEARCH("秀图",K315)),"【秀图】"&amp;MID(K315,SEARCH("秀图",K315)+LEN("秀图"),LEN(K315)),"")))),IFERROR(LEFT(_xlpm.A,FIND("【",_xlpm.A,FIND("】",_xlpm.A)+1)-1)&amp;MID(_xlpm.A,FIND("】",_xlpm.A,FIND("】",_xlpm.A)+1)+1,LEN(_xlpm.A)),_xlpm.A))</f>
        <v/>
      </c>
      <c r="G315" s="18" t="str">
        <f>_xlfn.LET(_xlpm.A,IF(ISNUMBER(SEARCH("晒单",L315)),"【晒单】"&amp;MID(L315,SEARCH("晒单",L315)+LEN("晒单"),LEN(L315))&amp;"（需晒单后联系客服登记）",IF(ISNUMBER(SEARCH("包修",L315)),"【购机】"&amp;MID(L315,SEARCH("购机",L315)+LEN("购机"),LEN(L315)),IF(ISNUMBER(SEARCH("叠放支架",L315)),"【赠品】"&amp;MID(L315,SEARCH("购机",L315)+LEN("购机"),LEN(L315)),IF(ISNUMBER(SEARCH("秀图",L315)),"【秀图】"&amp;MID(L315,SEARCH("秀图",L315)+LEN("秀图"),LEN(L315)),"")))),IFERROR(LEFT(_xlpm.A,FIND("【",_xlpm.A,FIND("】",_xlpm.A)+1)-1)&amp;MID(_xlpm.A,FIND("】",_xlpm.A,FIND("】",_xlpm.A)+1)+1,LEN(_xlpm.A)),_xlpm.A))</f>
        <v/>
      </c>
      <c r="H315" s="18" t="str">
        <f>_xlfn.LET(_xlpm.A,IF(ISNUMBER(SEARCH("晒单",M315)),"【晒单】"&amp;MID(M315,SEARCH("晒单",M315)+LEN("晒单"),LEN(M315))&amp;"（需晒单后联系客服登记）",IF(ISNUMBER(SEARCH("包修",M315)),"【购机】"&amp;MID(M315,SEARCH("购机",M315)+LEN("购机"),LEN(M315)),IF(ISNUMBER(SEARCH("叠放支架",M315)),"【赠品】"&amp;MID(M315,SEARCH("购机",M315)+LEN("购机"),LEN(M315)),IF(ISNUMBER(SEARCH("秀图",M315)),"【秀图】"&amp;MID(M315,SEARCH("秀图",M315)+LEN("秀图"),LEN(M315)),"")))),IFERROR(LEFT(_xlpm.A,FIND("【",_xlpm.A,FIND("】",_xlpm.A)+1)-1)&amp;MID(_xlpm.A,FIND("】",_xlpm.A,FIND("】",_xlpm.A)+1)+1,LEN(_xlpm.A)),_xlpm.A))</f>
        <v/>
      </c>
      <c r="I315" s="18" t="str">
        <f>_xlfn.LET(_xlpm.A,IF(ISNUMBER(SEARCH("晒单",N315)),"【晒单】"&amp;MID(N315,SEARCH("晒单",N315)+LEN("晒单"),LEN(N315))&amp;"（需晒单后联系客服登记）",IF(ISNUMBER(SEARCH("包修",N315)),"【购机】"&amp;MID(N315,SEARCH("购机",N315)+LEN("购机"),LEN(N315)),IF(ISNUMBER(SEARCH("叠放支架",N315)),"【赠品】"&amp;MID(N315,SEARCH("购机",N315)+LEN("购机"),LEN(N315)),IF(ISNUMBER(SEARCH("秀图",N315)),"【秀图】"&amp;MID(N315,SEARCH("秀图",N315)+LEN("秀图"),LEN(N315)),"")))),IFERROR(LEFT(_xlpm.A,FIND("【",_xlpm.A,FIND("】",_xlpm.A)+1)-1)&amp;MID(_xlpm.A,FIND("】",_xlpm.A,FIND("】",_xlpm.A)+1)+1,LEN(_xlpm.A)),_xlpm.A))</f>
        <v/>
      </c>
      <c r="J315" s="18" t="str" cm="1">
        <f t="array" ref="J315">IFERROR(INDEX(_xlfn.TEXTSPLIT(_xlfn.XLOOKUP($A315&amp;$B315&amp;$C315,盘货信息!$A:$A&amp;盘货信息!$B:$B&amp;盘货信息!$C:$C,盘货信息!$S:$S),CHAR(10),,TRUE),1,COLUMN(A314)),"")</f>
        <v/>
      </c>
      <c r="K315" s="18" t="str" cm="1">
        <f t="array" ref="K315">IFERROR(INDEX(_xlfn.TEXTSPLIT(_xlfn.XLOOKUP($A315&amp;$B315&amp;$C315,盘货信息!$A:$A&amp;盘货信息!$B:$B&amp;盘货信息!$C:$C,盘货信息!$S:$S),CHAR(10),,TRUE),1,COLUMN(B314)),"")</f>
        <v/>
      </c>
      <c r="L315" s="18" t="str" cm="1">
        <f t="array" ref="L315">IFERROR(INDEX(_xlfn.TEXTSPLIT(_xlfn.XLOOKUP($A315&amp;$B315&amp;$C315,盘货信息!$A:$A&amp;盘货信息!$B:$B&amp;盘货信息!$C:$C,盘货信息!$S:$S),CHAR(10),,TRUE),1,COLUMN(C314)),"")</f>
        <v/>
      </c>
      <c r="M315" s="18" t="str" cm="1">
        <f t="array" ref="M315">IFERROR(INDEX(_xlfn.TEXTSPLIT(_xlfn.XLOOKUP($A315&amp;$B315&amp;$C315,盘货信息!$A:$A&amp;盘货信息!$B:$B&amp;盘货信息!$C:$C,盘货信息!$S:$S),CHAR(10),,TRUE),1,COLUMN(D314)),"")</f>
        <v/>
      </c>
      <c r="N315" s="18" t="str" cm="1">
        <f t="array" ref="N315">IFERROR(INDEX(_xlfn.TEXTSPLIT(_xlfn.XLOOKUP($A315&amp;$B315&amp;$C315,盘货信息!$A:$A&amp;盘货信息!$B:$B&amp;盘货信息!$C:$C,盘货信息!$S:$S),CHAR(10),,TRUE),1,COLUMN(E314)),"")</f>
        <v/>
      </c>
    </row>
    <row r="316" customHeight="1" spans="1:14">
      <c r="A316" s="17" t="str">
        <f>IF(盘货信息!A316="","",盘货信息!A316)</f>
        <v/>
      </c>
      <c r="B316" s="17" t="str">
        <f>IF(盘货信息!B316="","",盘货信息!B316)</f>
        <v/>
      </c>
      <c r="C316" s="18" t="str">
        <f>IF(盘货信息!C316="","",盘货信息!C316)</f>
        <v/>
      </c>
      <c r="D316" s="18" t="str">
        <f t="shared" si="4"/>
        <v/>
      </c>
      <c r="E316" s="18" t="str">
        <f>_xlfn.LET(_xlpm.A,IF(ISNUMBER(SEARCH("晒单",J316)),"【晒单】"&amp;MID(J316,SEARCH("晒单",J316)+LEN("晒单"),LEN(J316))&amp;"（需晒单后联系客服登记）",IF(ISNUMBER(SEARCH("包修",J316)),"【购机】"&amp;MID(J316,SEARCH("购机",J316)+LEN("购机"),LEN(J316)),IF(ISNUMBER(SEARCH("叠放支架",J316)),"【赠品】"&amp;MID(J316,SEARCH("购机",J316)+LEN("购机"),LEN(J316)),IF(ISNUMBER(SEARCH("秀图",J316)),"【秀图】"&amp;MID(J316,SEARCH("秀图",J316)+LEN("秀图"),LEN(J316)),"")))),IFERROR(LEFT(_xlpm.A,FIND("【",_xlpm.A,FIND("】",_xlpm.A)+1)-1)&amp;MID(_xlpm.A,FIND("】",_xlpm.A,FIND("】",_xlpm.A)+1)+1,LEN(_xlpm.A)),_xlpm.A))</f>
        <v/>
      </c>
      <c r="F316" s="18" t="str">
        <f>_xlfn.LET(_xlpm.A,IF(ISNUMBER(SEARCH("晒单",K316)),"【晒单】"&amp;MID(K316,SEARCH("晒单",K316)+LEN("晒单"),LEN(K316))&amp;"（需晒单后联系客服登记）",IF(ISNUMBER(SEARCH("包修",K316)),"【购机】"&amp;MID(K316,SEARCH("购机",K316)+LEN("购机"),LEN(K316)),IF(ISNUMBER(SEARCH("叠放支架",K316)),"【赠品】"&amp;MID(K316,SEARCH("购机",K316)+LEN("购机"),LEN(K316)),IF(ISNUMBER(SEARCH("秀图",K316)),"【秀图】"&amp;MID(K316,SEARCH("秀图",K316)+LEN("秀图"),LEN(K316)),"")))),IFERROR(LEFT(_xlpm.A,FIND("【",_xlpm.A,FIND("】",_xlpm.A)+1)-1)&amp;MID(_xlpm.A,FIND("】",_xlpm.A,FIND("】",_xlpm.A)+1)+1,LEN(_xlpm.A)),_xlpm.A))</f>
        <v/>
      </c>
      <c r="G316" s="18" t="str">
        <f>_xlfn.LET(_xlpm.A,IF(ISNUMBER(SEARCH("晒单",L316)),"【晒单】"&amp;MID(L316,SEARCH("晒单",L316)+LEN("晒单"),LEN(L316))&amp;"（需晒单后联系客服登记）",IF(ISNUMBER(SEARCH("包修",L316)),"【购机】"&amp;MID(L316,SEARCH("购机",L316)+LEN("购机"),LEN(L316)),IF(ISNUMBER(SEARCH("叠放支架",L316)),"【赠品】"&amp;MID(L316,SEARCH("购机",L316)+LEN("购机"),LEN(L316)),IF(ISNUMBER(SEARCH("秀图",L316)),"【秀图】"&amp;MID(L316,SEARCH("秀图",L316)+LEN("秀图"),LEN(L316)),"")))),IFERROR(LEFT(_xlpm.A,FIND("【",_xlpm.A,FIND("】",_xlpm.A)+1)-1)&amp;MID(_xlpm.A,FIND("】",_xlpm.A,FIND("】",_xlpm.A)+1)+1,LEN(_xlpm.A)),_xlpm.A))</f>
        <v/>
      </c>
      <c r="H316" s="18" t="str">
        <f>_xlfn.LET(_xlpm.A,IF(ISNUMBER(SEARCH("晒单",M316)),"【晒单】"&amp;MID(M316,SEARCH("晒单",M316)+LEN("晒单"),LEN(M316))&amp;"（需晒单后联系客服登记）",IF(ISNUMBER(SEARCH("包修",M316)),"【购机】"&amp;MID(M316,SEARCH("购机",M316)+LEN("购机"),LEN(M316)),IF(ISNUMBER(SEARCH("叠放支架",M316)),"【赠品】"&amp;MID(M316,SEARCH("购机",M316)+LEN("购机"),LEN(M316)),IF(ISNUMBER(SEARCH("秀图",M316)),"【秀图】"&amp;MID(M316,SEARCH("秀图",M316)+LEN("秀图"),LEN(M316)),"")))),IFERROR(LEFT(_xlpm.A,FIND("【",_xlpm.A,FIND("】",_xlpm.A)+1)-1)&amp;MID(_xlpm.A,FIND("】",_xlpm.A,FIND("】",_xlpm.A)+1)+1,LEN(_xlpm.A)),_xlpm.A))</f>
        <v/>
      </c>
      <c r="I316" s="18" t="str">
        <f>_xlfn.LET(_xlpm.A,IF(ISNUMBER(SEARCH("晒单",N316)),"【晒单】"&amp;MID(N316,SEARCH("晒单",N316)+LEN("晒单"),LEN(N316))&amp;"（需晒单后联系客服登记）",IF(ISNUMBER(SEARCH("包修",N316)),"【购机】"&amp;MID(N316,SEARCH("购机",N316)+LEN("购机"),LEN(N316)),IF(ISNUMBER(SEARCH("叠放支架",N316)),"【赠品】"&amp;MID(N316,SEARCH("购机",N316)+LEN("购机"),LEN(N316)),IF(ISNUMBER(SEARCH("秀图",N316)),"【秀图】"&amp;MID(N316,SEARCH("秀图",N316)+LEN("秀图"),LEN(N316)),"")))),IFERROR(LEFT(_xlpm.A,FIND("【",_xlpm.A,FIND("】",_xlpm.A)+1)-1)&amp;MID(_xlpm.A,FIND("】",_xlpm.A,FIND("】",_xlpm.A)+1)+1,LEN(_xlpm.A)),_xlpm.A))</f>
        <v/>
      </c>
      <c r="J316" s="18" t="str" cm="1">
        <f t="array" ref="J316">IFERROR(INDEX(_xlfn.TEXTSPLIT(_xlfn.XLOOKUP($A316&amp;$B316&amp;$C316,盘货信息!$A:$A&amp;盘货信息!$B:$B&amp;盘货信息!$C:$C,盘货信息!$S:$S),CHAR(10),,TRUE),1,COLUMN(A315)),"")</f>
        <v/>
      </c>
      <c r="K316" s="18" t="str" cm="1">
        <f t="array" ref="K316">IFERROR(INDEX(_xlfn.TEXTSPLIT(_xlfn.XLOOKUP($A316&amp;$B316&amp;$C316,盘货信息!$A:$A&amp;盘货信息!$B:$B&amp;盘货信息!$C:$C,盘货信息!$S:$S),CHAR(10),,TRUE),1,COLUMN(B315)),"")</f>
        <v/>
      </c>
      <c r="L316" s="18" t="str" cm="1">
        <f t="array" ref="L316">IFERROR(INDEX(_xlfn.TEXTSPLIT(_xlfn.XLOOKUP($A316&amp;$B316&amp;$C316,盘货信息!$A:$A&amp;盘货信息!$B:$B&amp;盘货信息!$C:$C,盘货信息!$S:$S),CHAR(10),,TRUE),1,COLUMN(C315)),"")</f>
        <v/>
      </c>
      <c r="M316" s="18" t="str" cm="1">
        <f t="array" ref="M316">IFERROR(INDEX(_xlfn.TEXTSPLIT(_xlfn.XLOOKUP($A316&amp;$B316&amp;$C316,盘货信息!$A:$A&amp;盘货信息!$B:$B&amp;盘货信息!$C:$C,盘货信息!$S:$S),CHAR(10),,TRUE),1,COLUMN(D315)),"")</f>
        <v/>
      </c>
      <c r="N316" s="18" t="str" cm="1">
        <f t="array" ref="N316">IFERROR(INDEX(_xlfn.TEXTSPLIT(_xlfn.XLOOKUP($A316&amp;$B316&amp;$C316,盘货信息!$A:$A&amp;盘货信息!$B:$B&amp;盘货信息!$C:$C,盘货信息!$S:$S),CHAR(10),,TRUE),1,COLUMN(E315)),"")</f>
        <v/>
      </c>
    </row>
    <row r="317" customHeight="1" spans="1:14">
      <c r="A317" s="17" t="str">
        <f>IF(盘货信息!A317="","",盘货信息!A317)</f>
        <v/>
      </c>
      <c r="B317" s="17" t="str">
        <f>IF(盘货信息!B317="","",盘货信息!B317)</f>
        <v/>
      </c>
      <c r="C317" s="18" t="str">
        <f>IF(盘货信息!C317="","",盘货信息!C317)</f>
        <v/>
      </c>
      <c r="D317" s="18" t="str">
        <f t="shared" si="4"/>
        <v/>
      </c>
      <c r="E317" s="18" t="str">
        <f>_xlfn.LET(_xlpm.A,IF(ISNUMBER(SEARCH("晒单",J317)),"【晒单】"&amp;MID(J317,SEARCH("晒单",J317)+LEN("晒单"),LEN(J317))&amp;"（需晒单后联系客服登记）",IF(ISNUMBER(SEARCH("包修",J317)),"【购机】"&amp;MID(J317,SEARCH("购机",J317)+LEN("购机"),LEN(J317)),IF(ISNUMBER(SEARCH("叠放支架",J317)),"【赠品】"&amp;MID(J317,SEARCH("购机",J317)+LEN("购机"),LEN(J317)),IF(ISNUMBER(SEARCH("秀图",J317)),"【秀图】"&amp;MID(J317,SEARCH("秀图",J317)+LEN("秀图"),LEN(J317)),"")))),IFERROR(LEFT(_xlpm.A,FIND("【",_xlpm.A,FIND("】",_xlpm.A)+1)-1)&amp;MID(_xlpm.A,FIND("】",_xlpm.A,FIND("】",_xlpm.A)+1)+1,LEN(_xlpm.A)),_xlpm.A))</f>
        <v/>
      </c>
      <c r="F317" s="18" t="str">
        <f>_xlfn.LET(_xlpm.A,IF(ISNUMBER(SEARCH("晒单",K317)),"【晒单】"&amp;MID(K317,SEARCH("晒单",K317)+LEN("晒单"),LEN(K317))&amp;"（需晒单后联系客服登记）",IF(ISNUMBER(SEARCH("包修",K317)),"【购机】"&amp;MID(K317,SEARCH("购机",K317)+LEN("购机"),LEN(K317)),IF(ISNUMBER(SEARCH("叠放支架",K317)),"【赠品】"&amp;MID(K317,SEARCH("购机",K317)+LEN("购机"),LEN(K317)),IF(ISNUMBER(SEARCH("秀图",K317)),"【秀图】"&amp;MID(K317,SEARCH("秀图",K317)+LEN("秀图"),LEN(K317)),"")))),IFERROR(LEFT(_xlpm.A,FIND("【",_xlpm.A,FIND("】",_xlpm.A)+1)-1)&amp;MID(_xlpm.A,FIND("】",_xlpm.A,FIND("】",_xlpm.A)+1)+1,LEN(_xlpm.A)),_xlpm.A))</f>
        <v/>
      </c>
      <c r="G317" s="18" t="str">
        <f>_xlfn.LET(_xlpm.A,IF(ISNUMBER(SEARCH("晒单",L317)),"【晒单】"&amp;MID(L317,SEARCH("晒单",L317)+LEN("晒单"),LEN(L317))&amp;"（需晒单后联系客服登记）",IF(ISNUMBER(SEARCH("包修",L317)),"【购机】"&amp;MID(L317,SEARCH("购机",L317)+LEN("购机"),LEN(L317)),IF(ISNUMBER(SEARCH("叠放支架",L317)),"【赠品】"&amp;MID(L317,SEARCH("购机",L317)+LEN("购机"),LEN(L317)),IF(ISNUMBER(SEARCH("秀图",L317)),"【秀图】"&amp;MID(L317,SEARCH("秀图",L317)+LEN("秀图"),LEN(L317)),"")))),IFERROR(LEFT(_xlpm.A,FIND("【",_xlpm.A,FIND("】",_xlpm.A)+1)-1)&amp;MID(_xlpm.A,FIND("】",_xlpm.A,FIND("】",_xlpm.A)+1)+1,LEN(_xlpm.A)),_xlpm.A))</f>
        <v/>
      </c>
      <c r="H317" s="18" t="str">
        <f>_xlfn.LET(_xlpm.A,IF(ISNUMBER(SEARCH("晒单",M317)),"【晒单】"&amp;MID(M317,SEARCH("晒单",M317)+LEN("晒单"),LEN(M317))&amp;"（需晒单后联系客服登记）",IF(ISNUMBER(SEARCH("包修",M317)),"【购机】"&amp;MID(M317,SEARCH("购机",M317)+LEN("购机"),LEN(M317)),IF(ISNUMBER(SEARCH("叠放支架",M317)),"【赠品】"&amp;MID(M317,SEARCH("购机",M317)+LEN("购机"),LEN(M317)),IF(ISNUMBER(SEARCH("秀图",M317)),"【秀图】"&amp;MID(M317,SEARCH("秀图",M317)+LEN("秀图"),LEN(M317)),"")))),IFERROR(LEFT(_xlpm.A,FIND("【",_xlpm.A,FIND("】",_xlpm.A)+1)-1)&amp;MID(_xlpm.A,FIND("】",_xlpm.A,FIND("】",_xlpm.A)+1)+1,LEN(_xlpm.A)),_xlpm.A))</f>
        <v/>
      </c>
      <c r="I317" s="18" t="str">
        <f>_xlfn.LET(_xlpm.A,IF(ISNUMBER(SEARCH("晒单",N317)),"【晒单】"&amp;MID(N317,SEARCH("晒单",N317)+LEN("晒单"),LEN(N317))&amp;"（需晒单后联系客服登记）",IF(ISNUMBER(SEARCH("包修",N317)),"【购机】"&amp;MID(N317,SEARCH("购机",N317)+LEN("购机"),LEN(N317)),IF(ISNUMBER(SEARCH("叠放支架",N317)),"【赠品】"&amp;MID(N317,SEARCH("购机",N317)+LEN("购机"),LEN(N317)),IF(ISNUMBER(SEARCH("秀图",N317)),"【秀图】"&amp;MID(N317,SEARCH("秀图",N317)+LEN("秀图"),LEN(N317)),"")))),IFERROR(LEFT(_xlpm.A,FIND("【",_xlpm.A,FIND("】",_xlpm.A)+1)-1)&amp;MID(_xlpm.A,FIND("】",_xlpm.A,FIND("】",_xlpm.A)+1)+1,LEN(_xlpm.A)),_xlpm.A))</f>
        <v/>
      </c>
      <c r="J317" s="18" t="str" cm="1">
        <f t="array" ref="J317">IFERROR(INDEX(_xlfn.TEXTSPLIT(_xlfn.XLOOKUP($A317&amp;$B317&amp;$C317,盘货信息!$A:$A&amp;盘货信息!$B:$B&amp;盘货信息!$C:$C,盘货信息!$S:$S),CHAR(10),,TRUE),1,COLUMN(A316)),"")</f>
        <v/>
      </c>
      <c r="K317" s="18" t="str" cm="1">
        <f t="array" ref="K317">IFERROR(INDEX(_xlfn.TEXTSPLIT(_xlfn.XLOOKUP($A317&amp;$B317&amp;$C317,盘货信息!$A:$A&amp;盘货信息!$B:$B&amp;盘货信息!$C:$C,盘货信息!$S:$S),CHAR(10),,TRUE),1,COLUMN(B316)),"")</f>
        <v/>
      </c>
      <c r="L317" s="18" t="str" cm="1">
        <f t="array" ref="L317">IFERROR(INDEX(_xlfn.TEXTSPLIT(_xlfn.XLOOKUP($A317&amp;$B317&amp;$C317,盘货信息!$A:$A&amp;盘货信息!$B:$B&amp;盘货信息!$C:$C,盘货信息!$S:$S),CHAR(10),,TRUE),1,COLUMN(C316)),"")</f>
        <v/>
      </c>
      <c r="M317" s="18" t="str" cm="1">
        <f t="array" ref="M317">IFERROR(INDEX(_xlfn.TEXTSPLIT(_xlfn.XLOOKUP($A317&amp;$B317&amp;$C317,盘货信息!$A:$A&amp;盘货信息!$B:$B&amp;盘货信息!$C:$C,盘货信息!$S:$S),CHAR(10),,TRUE),1,COLUMN(D316)),"")</f>
        <v/>
      </c>
      <c r="N317" s="18" t="str" cm="1">
        <f t="array" ref="N317">IFERROR(INDEX(_xlfn.TEXTSPLIT(_xlfn.XLOOKUP($A317&amp;$B317&amp;$C317,盘货信息!$A:$A&amp;盘货信息!$B:$B&amp;盘货信息!$C:$C,盘货信息!$S:$S),CHAR(10),,TRUE),1,COLUMN(E316)),"")</f>
        <v/>
      </c>
    </row>
    <row r="318" customHeight="1" spans="1:14">
      <c r="A318" s="17" t="str">
        <f>IF(盘货信息!A318="","",盘货信息!A318)</f>
        <v/>
      </c>
      <c r="B318" s="17" t="str">
        <f>IF(盘货信息!B318="","",盘货信息!B318)</f>
        <v/>
      </c>
      <c r="C318" s="18" t="str">
        <f>IF(盘货信息!C318="","",盘货信息!C318)</f>
        <v/>
      </c>
      <c r="D318" s="18" t="str">
        <f t="shared" si="4"/>
        <v/>
      </c>
      <c r="E318" s="18" t="str">
        <f>_xlfn.LET(_xlpm.A,IF(ISNUMBER(SEARCH("晒单",J318)),"【晒单】"&amp;MID(J318,SEARCH("晒单",J318)+LEN("晒单"),LEN(J318))&amp;"（需晒单后联系客服登记）",IF(ISNUMBER(SEARCH("包修",J318)),"【购机】"&amp;MID(J318,SEARCH("购机",J318)+LEN("购机"),LEN(J318)),IF(ISNUMBER(SEARCH("叠放支架",J318)),"【赠品】"&amp;MID(J318,SEARCH("购机",J318)+LEN("购机"),LEN(J318)),IF(ISNUMBER(SEARCH("秀图",J318)),"【秀图】"&amp;MID(J318,SEARCH("秀图",J318)+LEN("秀图"),LEN(J318)),"")))),IFERROR(LEFT(_xlpm.A,FIND("【",_xlpm.A,FIND("】",_xlpm.A)+1)-1)&amp;MID(_xlpm.A,FIND("】",_xlpm.A,FIND("】",_xlpm.A)+1)+1,LEN(_xlpm.A)),_xlpm.A))</f>
        <v/>
      </c>
      <c r="F318" s="18" t="str">
        <f>_xlfn.LET(_xlpm.A,IF(ISNUMBER(SEARCH("晒单",K318)),"【晒单】"&amp;MID(K318,SEARCH("晒单",K318)+LEN("晒单"),LEN(K318))&amp;"（需晒单后联系客服登记）",IF(ISNUMBER(SEARCH("包修",K318)),"【购机】"&amp;MID(K318,SEARCH("购机",K318)+LEN("购机"),LEN(K318)),IF(ISNUMBER(SEARCH("叠放支架",K318)),"【赠品】"&amp;MID(K318,SEARCH("购机",K318)+LEN("购机"),LEN(K318)),IF(ISNUMBER(SEARCH("秀图",K318)),"【秀图】"&amp;MID(K318,SEARCH("秀图",K318)+LEN("秀图"),LEN(K318)),"")))),IFERROR(LEFT(_xlpm.A,FIND("【",_xlpm.A,FIND("】",_xlpm.A)+1)-1)&amp;MID(_xlpm.A,FIND("】",_xlpm.A,FIND("】",_xlpm.A)+1)+1,LEN(_xlpm.A)),_xlpm.A))</f>
        <v/>
      </c>
      <c r="G318" s="18" t="str">
        <f>_xlfn.LET(_xlpm.A,IF(ISNUMBER(SEARCH("晒单",L318)),"【晒单】"&amp;MID(L318,SEARCH("晒单",L318)+LEN("晒单"),LEN(L318))&amp;"（需晒单后联系客服登记）",IF(ISNUMBER(SEARCH("包修",L318)),"【购机】"&amp;MID(L318,SEARCH("购机",L318)+LEN("购机"),LEN(L318)),IF(ISNUMBER(SEARCH("叠放支架",L318)),"【赠品】"&amp;MID(L318,SEARCH("购机",L318)+LEN("购机"),LEN(L318)),IF(ISNUMBER(SEARCH("秀图",L318)),"【秀图】"&amp;MID(L318,SEARCH("秀图",L318)+LEN("秀图"),LEN(L318)),"")))),IFERROR(LEFT(_xlpm.A,FIND("【",_xlpm.A,FIND("】",_xlpm.A)+1)-1)&amp;MID(_xlpm.A,FIND("】",_xlpm.A,FIND("】",_xlpm.A)+1)+1,LEN(_xlpm.A)),_xlpm.A))</f>
        <v/>
      </c>
      <c r="H318" s="18" t="str">
        <f>_xlfn.LET(_xlpm.A,IF(ISNUMBER(SEARCH("晒单",M318)),"【晒单】"&amp;MID(M318,SEARCH("晒单",M318)+LEN("晒单"),LEN(M318))&amp;"（需晒单后联系客服登记）",IF(ISNUMBER(SEARCH("包修",M318)),"【购机】"&amp;MID(M318,SEARCH("购机",M318)+LEN("购机"),LEN(M318)),IF(ISNUMBER(SEARCH("叠放支架",M318)),"【赠品】"&amp;MID(M318,SEARCH("购机",M318)+LEN("购机"),LEN(M318)),IF(ISNUMBER(SEARCH("秀图",M318)),"【秀图】"&amp;MID(M318,SEARCH("秀图",M318)+LEN("秀图"),LEN(M318)),"")))),IFERROR(LEFT(_xlpm.A,FIND("【",_xlpm.A,FIND("】",_xlpm.A)+1)-1)&amp;MID(_xlpm.A,FIND("】",_xlpm.A,FIND("】",_xlpm.A)+1)+1,LEN(_xlpm.A)),_xlpm.A))</f>
        <v/>
      </c>
      <c r="I318" s="18" t="str">
        <f>_xlfn.LET(_xlpm.A,IF(ISNUMBER(SEARCH("晒单",N318)),"【晒单】"&amp;MID(N318,SEARCH("晒单",N318)+LEN("晒单"),LEN(N318))&amp;"（需晒单后联系客服登记）",IF(ISNUMBER(SEARCH("包修",N318)),"【购机】"&amp;MID(N318,SEARCH("购机",N318)+LEN("购机"),LEN(N318)),IF(ISNUMBER(SEARCH("叠放支架",N318)),"【赠品】"&amp;MID(N318,SEARCH("购机",N318)+LEN("购机"),LEN(N318)),IF(ISNUMBER(SEARCH("秀图",N318)),"【秀图】"&amp;MID(N318,SEARCH("秀图",N318)+LEN("秀图"),LEN(N318)),"")))),IFERROR(LEFT(_xlpm.A,FIND("【",_xlpm.A,FIND("】",_xlpm.A)+1)-1)&amp;MID(_xlpm.A,FIND("】",_xlpm.A,FIND("】",_xlpm.A)+1)+1,LEN(_xlpm.A)),_xlpm.A))</f>
        <v/>
      </c>
      <c r="J318" s="18" t="str" cm="1">
        <f t="array" ref="J318">IFERROR(INDEX(_xlfn.TEXTSPLIT(_xlfn.XLOOKUP($A318&amp;$B318&amp;$C318,盘货信息!$A:$A&amp;盘货信息!$B:$B&amp;盘货信息!$C:$C,盘货信息!$S:$S),CHAR(10),,TRUE),1,COLUMN(A317)),"")</f>
        <v/>
      </c>
      <c r="K318" s="18" t="str" cm="1">
        <f t="array" ref="K318">IFERROR(INDEX(_xlfn.TEXTSPLIT(_xlfn.XLOOKUP($A318&amp;$B318&amp;$C318,盘货信息!$A:$A&amp;盘货信息!$B:$B&amp;盘货信息!$C:$C,盘货信息!$S:$S),CHAR(10),,TRUE),1,COLUMN(B317)),"")</f>
        <v/>
      </c>
      <c r="L318" s="18" t="str" cm="1">
        <f t="array" ref="L318">IFERROR(INDEX(_xlfn.TEXTSPLIT(_xlfn.XLOOKUP($A318&amp;$B318&amp;$C318,盘货信息!$A:$A&amp;盘货信息!$B:$B&amp;盘货信息!$C:$C,盘货信息!$S:$S),CHAR(10),,TRUE),1,COLUMN(C317)),"")</f>
        <v/>
      </c>
      <c r="M318" s="18" t="str" cm="1">
        <f t="array" ref="M318">IFERROR(INDEX(_xlfn.TEXTSPLIT(_xlfn.XLOOKUP($A318&amp;$B318&amp;$C318,盘货信息!$A:$A&amp;盘货信息!$B:$B&amp;盘货信息!$C:$C,盘货信息!$S:$S),CHAR(10),,TRUE),1,COLUMN(D317)),"")</f>
        <v/>
      </c>
      <c r="N318" s="18" t="str" cm="1">
        <f t="array" ref="N318">IFERROR(INDEX(_xlfn.TEXTSPLIT(_xlfn.XLOOKUP($A318&amp;$B318&amp;$C318,盘货信息!$A:$A&amp;盘货信息!$B:$B&amp;盘货信息!$C:$C,盘货信息!$S:$S),CHAR(10),,TRUE),1,COLUMN(E317)),"")</f>
        <v/>
      </c>
    </row>
    <row r="319" customHeight="1" spans="1:14">
      <c r="A319" s="17" t="str">
        <f>IF(盘货信息!A319="","",盘货信息!A319)</f>
        <v/>
      </c>
      <c r="B319" s="17" t="str">
        <f>IF(盘货信息!B319="","",盘货信息!B319)</f>
        <v/>
      </c>
      <c r="C319" s="18" t="str">
        <f>IF(盘货信息!C319="","",盘货信息!C319)</f>
        <v/>
      </c>
      <c r="D319" s="18" t="str">
        <f t="shared" si="4"/>
        <v/>
      </c>
      <c r="E319" s="18" t="str">
        <f>_xlfn.LET(_xlpm.A,IF(ISNUMBER(SEARCH("晒单",J319)),"【晒单】"&amp;MID(J319,SEARCH("晒单",J319)+LEN("晒单"),LEN(J319))&amp;"（需晒单后联系客服登记）",IF(ISNUMBER(SEARCH("包修",J319)),"【购机】"&amp;MID(J319,SEARCH("购机",J319)+LEN("购机"),LEN(J319)),IF(ISNUMBER(SEARCH("叠放支架",J319)),"【赠品】"&amp;MID(J319,SEARCH("购机",J319)+LEN("购机"),LEN(J319)),IF(ISNUMBER(SEARCH("秀图",J319)),"【秀图】"&amp;MID(J319,SEARCH("秀图",J319)+LEN("秀图"),LEN(J319)),"")))),IFERROR(LEFT(_xlpm.A,FIND("【",_xlpm.A,FIND("】",_xlpm.A)+1)-1)&amp;MID(_xlpm.A,FIND("】",_xlpm.A,FIND("】",_xlpm.A)+1)+1,LEN(_xlpm.A)),_xlpm.A))</f>
        <v/>
      </c>
      <c r="F319" s="18" t="str">
        <f>_xlfn.LET(_xlpm.A,IF(ISNUMBER(SEARCH("晒单",K319)),"【晒单】"&amp;MID(K319,SEARCH("晒单",K319)+LEN("晒单"),LEN(K319))&amp;"（需晒单后联系客服登记）",IF(ISNUMBER(SEARCH("包修",K319)),"【购机】"&amp;MID(K319,SEARCH("购机",K319)+LEN("购机"),LEN(K319)),IF(ISNUMBER(SEARCH("叠放支架",K319)),"【赠品】"&amp;MID(K319,SEARCH("购机",K319)+LEN("购机"),LEN(K319)),IF(ISNUMBER(SEARCH("秀图",K319)),"【秀图】"&amp;MID(K319,SEARCH("秀图",K319)+LEN("秀图"),LEN(K319)),"")))),IFERROR(LEFT(_xlpm.A,FIND("【",_xlpm.A,FIND("】",_xlpm.A)+1)-1)&amp;MID(_xlpm.A,FIND("】",_xlpm.A,FIND("】",_xlpm.A)+1)+1,LEN(_xlpm.A)),_xlpm.A))</f>
        <v/>
      </c>
      <c r="G319" s="18" t="str">
        <f>_xlfn.LET(_xlpm.A,IF(ISNUMBER(SEARCH("晒单",L319)),"【晒单】"&amp;MID(L319,SEARCH("晒单",L319)+LEN("晒单"),LEN(L319))&amp;"（需晒单后联系客服登记）",IF(ISNUMBER(SEARCH("包修",L319)),"【购机】"&amp;MID(L319,SEARCH("购机",L319)+LEN("购机"),LEN(L319)),IF(ISNUMBER(SEARCH("叠放支架",L319)),"【赠品】"&amp;MID(L319,SEARCH("购机",L319)+LEN("购机"),LEN(L319)),IF(ISNUMBER(SEARCH("秀图",L319)),"【秀图】"&amp;MID(L319,SEARCH("秀图",L319)+LEN("秀图"),LEN(L319)),"")))),IFERROR(LEFT(_xlpm.A,FIND("【",_xlpm.A,FIND("】",_xlpm.A)+1)-1)&amp;MID(_xlpm.A,FIND("】",_xlpm.A,FIND("】",_xlpm.A)+1)+1,LEN(_xlpm.A)),_xlpm.A))</f>
        <v/>
      </c>
      <c r="H319" s="18" t="str">
        <f>_xlfn.LET(_xlpm.A,IF(ISNUMBER(SEARCH("晒单",M319)),"【晒单】"&amp;MID(M319,SEARCH("晒单",M319)+LEN("晒单"),LEN(M319))&amp;"（需晒单后联系客服登记）",IF(ISNUMBER(SEARCH("包修",M319)),"【购机】"&amp;MID(M319,SEARCH("购机",M319)+LEN("购机"),LEN(M319)),IF(ISNUMBER(SEARCH("叠放支架",M319)),"【赠品】"&amp;MID(M319,SEARCH("购机",M319)+LEN("购机"),LEN(M319)),IF(ISNUMBER(SEARCH("秀图",M319)),"【秀图】"&amp;MID(M319,SEARCH("秀图",M319)+LEN("秀图"),LEN(M319)),"")))),IFERROR(LEFT(_xlpm.A,FIND("【",_xlpm.A,FIND("】",_xlpm.A)+1)-1)&amp;MID(_xlpm.A,FIND("】",_xlpm.A,FIND("】",_xlpm.A)+1)+1,LEN(_xlpm.A)),_xlpm.A))</f>
        <v/>
      </c>
      <c r="I319" s="18" t="str">
        <f>_xlfn.LET(_xlpm.A,IF(ISNUMBER(SEARCH("晒单",N319)),"【晒单】"&amp;MID(N319,SEARCH("晒单",N319)+LEN("晒单"),LEN(N319))&amp;"（需晒单后联系客服登记）",IF(ISNUMBER(SEARCH("包修",N319)),"【购机】"&amp;MID(N319,SEARCH("购机",N319)+LEN("购机"),LEN(N319)),IF(ISNUMBER(SEARCH("叠放支架",N319)),"【赠品】"&amp;MID(N319,SEARCH("购机",N319)+LEN("购机"),LEN(N319)),IF(ISNUMBER(SEARCH("秀图",N319)),"【秀图】"&amp;MID(N319,SEARCH("秀图",N319)+LEN("秀图"),LEN(N319)),"")))),IFERROR(LEFT(_xlpm.A,FIND("【",_xlpm.A,FIND("】",_xlpm.A)+1)-1)&amp;MID(_xlpm.A,FIND("】",_xlpm.A,FIND("】",_xlpm.A)+1)+1,LEN(_xlpm.A)),_xlpm.A))</f>
        <v/>
      </c>
      <c r="J319" s="18" t="str" cm="1">
        <f t="array" ref="J319">IFERROR(INDEX(_xlfn.TEXTSPLIT(_xlfn.XLOOKUP($A319&amp;$B319&amp;$C319,盘货信息!$A:$A&amp;盘货信息!$B:$B&amp;盘货信息!$C:$C,盘货信息!$S:$S),CHAR(10),,TRUE),1,COLUMN(A318)),"")</f>
        <v/>
      </c>
      <c r="K319" s="18" t="str" cm="1">
        <f t="array" ref="K319">IFERROR(INDEX(_xlfn.TEXTSPLIT(_xlfn.XLOOKUP($A319&amp;$B319&amp;$C319,盘货信息!$A:$A&amp;盘货信息!$B:$B&amp;盘货信息!$C:$C,盘货信息!$S:$S),CHAR(10),,TRUE),1,COLUMN(B318)),"")</f>
        <v/>
      </c>
      <c r="L319" s="18" t="str" cm="1">
        <f t="array" ref="L319">IFERROR(INDEX(_xlfn.TEXTSPLIT(_xlfn.XLOOKUP($A319&amp;$B319&amp;$C319,盘货信息!$A:$A&amp;盘货信息!$B:$B&amp;盘货信息!$C:$C,盘货信息!$S:$S),CHAR(10),,TRUE),1,COLUMN(C318)),"")</f>
        <v/>
      </c>
      <c r="M319" s="18" t="str" cm="1">
        <f t="array" ref="M319">IFERROR(INDEX(_xlfn.TEXTSPLIT(_xlfn.XLOOKUP($A319&amp;$B319&amp;$C319,盘货信息!$A:$A&amp;盘货信息!$B:$B&amp;盘货信息!$C:$C,盘货信息!$S:$S),CHAR(10),,TRUE),1,COLUMN(D318)),"")</f>
        <v/>
      </c>
      <c r="N319" s="18" t="str" cm="1">
        <f t="array" ref="N319">IFERROR(INDEX(_xlfn.TEXTSPLIT(_xlfn.XLOOKUP($A319&amp;$B319&amp;$C319,盘货信息!$A:$A&amp;盘货信息!$B:$B&amp;盘货信息!$C:$C,盘货信息!$S:$S),CHAR(10),,TRUE),1,COLUMN(E318)),"")</f>
        <v/>
      </c>
    </row>
    <row r="320" customHeight="1" spans="1:14">
      <c r="A320" s="17" t="str">
        <f>IF(盘货信息!A320="","",盘货信息!A320)</f>
        <v/>
      </c>
      <c r="B320" s="17" t="str">
        <f>IF(盘货信息!B320="","",盘货信息!B320)</f>
        <v/>
      </c>
      <c r="C320" s="18" t="str">
        <f>IF(盘货信息!C320="","",盘货信息!C320)</f>
        <v/>
      </c>
      <c r="D320" s="18" t="str">
        <f t="shared" si="4"/>
        <v/>
      </c>
      <c r="E320" s="18" t="str">
        <f>_xlfn.LET(_xlpm.A,IF(ISNUMBER(SEARCH("晒单",J320)),"【晒单】"&amp;MID(J320,SEARCH("晒单",J320)+LEN("晒单"),LEN(J320))&amp;"（需晒单后联系客服登记）",IF(ISNUMBER(SEARCH("包修",J320)),"【购机】"&amp;MID(J320,SEARCH("购机",J320)+LEN("购机"),LEN(J320)),IF(ISNUMBER(SEARCH("叠放支架",J320)),"【赠品】"&amp;MID(J320,SEARCH("购机",J320)+LEN("购机"),LEN(J320)),IF(ISNUMBER(SEARCH("秀图",J320)),"【秀图】"&amp;MID(J320,SEARCH("秀图",J320)+LEN("秀图"),LEN(J320)),"")))),IFERROR(LEFT(_xlpm.A,FIND("【",_xlpm.A,FIND("】",_xlpm.A)+1)-1)&amp;MID(_xlpm.A,FIND("】",_xlpm.A,FIND("】",_xlpm.A)+1)+1,LEN(_xlpm.A)),_xlpm.A))</f>
        <v/>
      </c>
      <c r="F320" s="18" t="str">
        <f>_xlfn.LET(_xlpm.A,IF(ISNUMBER(SEARCH("晒单",K320)),"【晒单】"&amp;MID(K320,SEARCH("晒单",K320)+LEN("晒单"),LEN(K320))&amp;"（需晒单后联系客服登记）",IF(ISNUMBER(SEARCH("包修",K320)),"【购机】"&amp;MID(K320,SEARCH("购机",K320)+LEN("购机"),LEN(K320)),IF(ISNUMBER(SEARCH("叠放支架",K320)),"【赠品】"&amp;MID(K320,SEARCH("购机",K320)+LEN("购机"),LEN(K320)),IF(ISNUMBER(SEARCH("秀图",K320)),"【秀图】"&amp;MID(K320,SEARCH("秀图",K320)+LEN("秀图"),LEN(K320)),"")))),IFERROR(LEFT(_xlpm.A,FIND("【",_xlpm.A,FIND("】",_xlpm.A)+1)-1)&amp;MID(_xlpm.A,FIND("】",_xlpm.A,FIND("】",_xlpm.A)+1)+1,LEN(_xlpm.A)),_xlpm.A))</f>
        <v/>
      </c>
      <c r="G320" s="18" t="str">
        <f>_xlfn.LET(_xlpm.A,IF(ISNUMBER(SEARCH("晒单",L320)),"【晒单】"&amp;MID(L320,SEARCH("晒单",L320)+LEN("晒单"),LEN(L320))&amp;"（需晒单后联系客服登记）",IF(ISNUMBER(SEARCH("包修",L320)),"【购机】"&amp;MID(L320,SEARCH("购机",L320)+LEN("购机"),LEN(L320)),IF(ISNUMBER(SEARCH("叠放支架",L320)),"【赠品】"&amp;MID(L320,SEARCH("购机",L320)+LEN("购机"),LEN(L320)),IF(ISNUMBER(SEARCH("秀图",L320)),"【秀图】"&amp;MID(L320,SEARCH("秀图",L320)+LEN("秀图"),LEN(L320)),"")))),IFERROR(LEFT(_xlpm.A,FIND("【",_xlpm.A,FIND("】",_xlpm.A)+1)-1)&amp;MID(_xlpm.A,FIND("】",_xlpm.A,FIND("】",_xlpm.A)+1)+1,LEN(_xlpm.A)),_xlpm.A))</f>
        <v/>
      </c>
      <c r="H320" s="18" t="str">
        <f>_xlfn.LET(_xlpm.A,IF(ISNUMBER(SEARCH("晒单",M320)),"【晒单】"&amp;MID(M320,SEARCH("晒单",M320)+LEN("晒单"),LEN(M320))&amp;"（需晒单后联系客服登记）",IF(ISNUMBER(SEARCH("包修",M320)),"【购机】"&amp;MID(M320,SEARCH("购机",M320)+LEN("购机"),LEN(M320)),IF(ISNUMBER(SEARCH("叠放支架",M320)),"【赠品】"&amp;MID(M320,SEARCH("购机",M320)+LEN("购机"),LEN(M320)),IF(ISNUMBER(SEARCH("秀图",M320)),"【秀图】"&amp;MID(M320,SEARCH("秀图",M320)+LEN("秀图"),LEN(M320)),"")))),IFERROR(LEFT(_xlpm.A,FIND("【",_xlpm.A,FIND("】",_xlpm.A)+1)-1)&amp;MID(_xlpm.A,FIND("】",_xlpm.A,FIND("】",_xlpm.A)+1)+1,LEN(_xlpm.A)),_xlpm.A))</f>
        <v/>
      </c>
      <c r="I320" s="18" t="str">
        <f>_xlfn.LET(_xlpm.A,IF(ISNUMBER(SEARCH("晒单",N320)),"【晒单】"&amp;MID(N320,SEARCH("晒单",N320)+LEN("晒单"),LEN(N320))&amp;"（需晒单后联系客服登记）",IF(ISNUMBER(SEARCH("包修",N320)),"【购机】"&amp;MID(N320,SEARCH("购机",N320)+LEN("购机"),LEN(N320)),IF(ISNUMBER(SEARCH("叠放支架",N320)),"【赠品】"&amp;MID(N320,SEARCH("购机",N320)+LEN("购机"),LEN(N320)),IF(ISNUMBER(SEARCH("秀图",N320)),"【秀图】"&amp;MID(N320,SEARCH("秀图",N320)+LEN("秀图"),LEN(N320)),"")))),IFERROR(LEFT(_xlpm.A,FIND("【",_xlpm.A,FIND("】",_xlpm.A)+1)-1)&amp;MID(_xlpm.A,FIND("】",_xlpm.A,FIND("】",_xlpm.A)+1)+1,LEN(_xlpm.A)),_xlpm.A))</f>
        <v/>
      </c>
      <c r="J320" s="18" t="str" cm="1">
        <f t="array" ref="J320">IFERROR(INDEX(_xlfn.TEXTSPLIT(_xlfn.XLOOKUP($A320&amp;$B320&amp;$C320,盘货信息!$A:$A&amp;盘货信息!$B:$B&amp;盘货信息!$C:$C,盘货信息!$S:$S),CHAR(10),,TRUE),1,COLUMN(A319)),"")</f>
        <v/>
      </c>
      <c r="K320" s="18" t="str" cm="1">
        <f t="array" ref="K320">IFERROR(INDEX(_xlfn.TEXTSPLIT(_xlfn.XLOOKUP($A320&amp;$B320&amp;$C320,盘货信息!$A:$A&amp;盘货信息!$B:$B&amp;盘货信息!$C:$C,盘货信息!$S:$S),CHAR(10),,TRUE),1,COLUMN(B319)),"")</f>
        <v/>
      </c>
      <c r="L320" s="18" t="str" cm="1">
        <f t="array" ref="L320">IFERROR(INDEX(_xlfn.TEXTSPLIT(_xlfn.XLOOKUP($A320&amp;$B320&amp;$C320,盘货信息!$A:$A&amp;盘货信息!$B:$B&amp;盘货信息!$C:$C,盘货信息!$S:$S),CHAR(10),,TRUE),1,COLUMN(C319)),"")</f>
        <v/>
      </c>
      <c r="M320" s="18" t="str" cm="1">
        <f t="array" ref="M320">IFERROR(INDEX(_xlfn.TEXTSPLIT(_xlfn.XLOOKUP($A320&amp;$B320&amp;$C320,盘货信息!$A:$A&amp;盘货信息!$B:$B&amp;盘货信息!$C:$C,盘货信息!$S:$S),CHAR(10),,TRUE),1,COLUMN(D319)),"")</f>
        <v/>
      </c>
      <c r="N320" s="18" t="str" cm="1">
        <f t="array" ref="N320">IFERROR(INDEX(_xlfn.TEXTSPLIT(_xlfn.XLOOKUP($A320&amp;$B320&amp;$C320,盘货信息!$A:$A&amp;盘货信息!$B:$B&amp;盘货信息!$C:$C,盘货信息!$S:$S),CHAR(10),,TRUE),1,COLUMN(E319)),"")</f>
        <v/>
      </c>
    </row>
    <row r="321" customHeight="1" spans="1:14">
      <c r="A321" s="17" t="str">
        <f>IF(盘货信息!A321="","",盘货信息!A321)</f>
        <v/>
      </c>
      <c r="B321" s="17" t="str">
        <f>IF(盘货信息!B321="","",盘货信息!B321)</f>
        <v/>
      </c>
      <c r="C321" s="18" t="str">
        <f>IF(盘货信息!C321="","",盘货信息!C321)</f>
        <v/>
      </c>
      <c r="D321" s="18" t="str">
        <f t="shared" si="4"/>
        <v/>
      </c>
      <c r="E321" s="18" t="str">
        <f>_xlfn.LET(_xlpm.A,IF(ISNUMBER(SEARCH("晒单",J321)),"【晒单】"&amp;MID(J321,SEARCH("晒单",J321)+LEN("晒单"),LEN(J321))&amp;"（需晒单后联系客服登记）",IF(ISNUMBER(SEARCH("包修",J321)),"【购机】"&amp;MID(J321,SEARCH("购机",J321)+LEN("购机"),LEN(J321)),IF(ISNUMBER(SEARCH("叠放支架",J321)),"【赠品】"&amp;MID(J321,SEARCH("购机",J321)+LEN("购机"),LEN(J321)),IF(ISNUMBER(SEARCH("秀图",J321)),"【秀图】"&amp;MID(J321,SEARCH("秀图",J321)+LEN("秀图"),LEN(J321)),"")))),IFERROR(LEFT(_xlpm.A,FIND("【",_xlpm.A,FIND("】",_xlpm.A)+1)-1)&amp;MID(_xlpm.A,FIND("】",_xlpm.A,FIND("】",_xlpm.A)+1)+1,LEN(_xlpm.A)),_xlpm.A))</f>
        <v/>
      </c>
      <c r="F321" s="18" t="str">
        <f>_xlfn.LET(_xlpm.A,IF(ISNUMBER(SEARCH("晒单",K321)),"【晒单】"&amp;MID(K321,SEARCH("晒单",K321)+LEN("晒单"),LEN(K321))&amp;"（需晒单后联系客服登记）",IF(ISNUMBER(SEARCH("包修",K321)),"【购机】"&amp;MID(K321,SEARCH("购机",K321)+LEN("购机"),LEN(K321)),IF(ISNUMBER(SEARCH("叠放支架",K321)),"【赠品】"&amp;MID(K321,SEARCH("购机",K321)+LEN("购机"),LEN(K321)),IF(ISNUMBER(SEARCH("秀图",K321)),"【秀图】"&amp;MID(K321,SEARCH("秀图",K321)+LEN("秀图"),LEN(K321)),"")))),IFERROR(LEFT(_xlpm.A,FIND("【",_xlpm.A,FIND("】",_xlpm.A)+1)-1)&amp;MID(_xlpm.A,FIND("】",_xlpm.A,FIND("】",_xlpm.A)+1)+1,LEN(_xlpm.A)),_xlpm.A))</f>
        <v/>
      </c>
      <c r="G321" s="18" t="str">
        <f>_xlfn.LET(_xlpm.A,IF(ISNUMBER(SEARCH("晒单",L321)),"【晒单】"&amp;MID(L321,SEARCH("晒单",L321)+LEN("晒单"),LEN(L321))&amp;"（需晒单后联系客服登记）",IF(ISNUMBER(SEARCH("包修",L321)),"【购机】"&amp;MID(L321,SEARCH("购机",L321)+LEN("购机"),LEN(L321)),IF(ISNUMBER(SEARCH("叠放支架",L321)),"【赠品】"&amp;MID(L321,SEARCH("购机",L321)+LEN("购机"),LEN(L321)),IF(ISNUMBER(SEARCH("秀图",L321)),"【秀图】"&amp;MID(L321,SEARCH("秀图",L321)+LEN("秀图"),LEN(L321)),"")))),IFERROR(LEFT(_xlpm.A,FIND("【",_xlpm.A,FIND("】",_xlpm.A)+1)-1)&amp;MID(_xlpm.A,FIND("】",_xlpm.A,FIND("】",_xlpm.A)+1)+1,LEN(_xlpm.A)),_xlpm.A))</f>
        <v/>
      </c>
      <c r="H321" s="18" t="str">
        <f>_xlfn.LET(_xlpm.A,IF(ISNUMBER(SEARCH("晒单",M321)),"【晒单】"&amp;MID(M321,SEARCH("晒单",M321)+LEN("晒单"),LEN(M321))&amp;"（需晒单后联系客服登记）",IF(ISNUMBER(SEARCH("包修",M321)),"【购机】"&amp;MID(M321,SEARCH("购机",M321)+LEN("购机"),LEN(M321)),IF(ISNUMBER(SEARCH("叠放支架",M321)),"【赠品】"&amp;MID(M321,SEARCH("购机",M321)+LEN("购机"),LEN(M321)),IF(ISNUMBER(SEARCH("秀图",M321)),"【秀图】"&amp;MID(M321,SEARCH("秀图",M321)+LEN("秀图"),LEN(M321)),"")))),IFERROR(LEFT(_xlpm.A,FIND("【",_xlpm.A,FIND("】",_xlpm.A)+1)-1)&amp;MID(_xlpm.A,FIND("】",_xlpm.A,FIND("】",_xlpm.A)+1)+1,LEN(_xlpm.A)),_xlpm.A))</f>
        <v/>
      </c>
      <c r="I321" s="18" t="str">
        <f>_xlfn.LET(_xlpm.A,IF(ISNUMBER(SEARCH("晒单",N321)),"【晒单】"&amp;MID(N321,SEARCH("晒单",N321)+LEN("晒单"),LEN(N321))&amp;"（需晒单后联系客服登记）",IF(ISNUMBER(SEARCH("包修",N321)),"【购机】"&amp;MID(N321,SEARCH("购机",N321)+LEN("购机"),LEN(N321)),IF(ISNUMBER(SEARCH("叠放支架",N321)),"【赠品】"&amp;MID(N321,SEARCH("购机",N321)+LEN("购机"),LEN(N321)),IF(ISNUMBER(SEARCH("秀图",N321)),"【秀图】"&amp;MID(N321,SEARCH("秀图",N321)+LEN("秀图"),LEN(N321)),"")))),IFERROR(LEFT(_xlpm.A,FIND("【",_xlpm.A,FIND("】",_xlpm.A)+1)-1)&amp;MID(_xlpm.A,FIND("】",_xlpm.A,FIND("】",_xlpm.A)+1)+1,LEN(_xlpm.A)),_xlpm.A))</f>
        <v/>
      </c>
      <c r="J321" s="18" t="str" cm="1">
        <f t="array" ref="J321">IFERROR(INDEX(_xlfn.TEXTSPLIT(_xlfn.XLOOKUP($A321&amp;$B321&amp;$C321,盘货信息!$A:$A&amp;盘货信息!$B:$B&amp;盘货信息!$C:$C,盘货信息!$S:$S),CHAR(10),,TRUE),1,COLUMN(A320)),"")</f>
        <v/>
      </c>
      <c r="K321" s="18" t="str" cm="1">
        <f t="array" ref="K321">IFERROR(INDEX(_xlfn.TEXTSPLIT(_xlfn.XLOOKUP($A321&amp;$B321&amp;$C321,盘货信息!$A:$A&amp;盘货信息!$B:$B&amp;盘货信息!$C:$C,盘货信息!$S:$S),CHAR(10),,TRUE),1,COLUMN(B320)),"")</f>
        <v/>
      </c>
      <c r="L321" s="18" t="str" cm="1">
        <f t="array" ref="L321">IFERROR(INDEX(_xlfn.TEXTSPLIT(_xlfn.XLOOKUP($A321&amp;$B321&amp;$C321,盘货信息!$A:$A&amp;盘货信息!$B:$B&amp;盘货信息!$C:$C,盘货信息!$S:$S),CHAR(10),,TRUE),1,COLUMN(C320)),"")</f>
        <v/>
      </c>
      <c r="M321" s="18" t="str" cm="1">
        <f t="array" ref="M321">IFERROR(INDEX(_xlfn.TEXTSPLIT(_xlfn.XLOOKUP($A321&amp;$B321&amp;$C321,盘货信息!$A:$A&amp;盘货信息!$B:$B&amp;盘货信息!$C:$C,盘货信息!$S:$S),CHAR(10),,TRUE),1,COLUMN(D320)),"")</f>
        <v/>
      </c>
      <c r="N321" s="18" t="str" cm="1">
        <f t="array" ref="N321">IFERROR(INDEX(_xlfn.TEXTSPLIT(_xlfn.XLOOKUP($A321&amp;$B321&amp;$C321,盘货信息!$A:$A&amp;盘货信息!$B:$B&amp;盘货信息!$C:$C,盘货信息!$S:$S),CHAR(10),,TRUE),1,COLUMN(E320)),"")</f>
        <v/>
      </c>
    </row>
    <row r="322" customHeight="1" spans="1:14">
      <c r="A322" s="17" t="str">
        <f>IF(盘货信息!A322="","",盘货信息!A322)</f>
        <v/>
      </c>
      <c r="B322" s="17" t="str">
        <f>IF(盘货信息!B322="","",盘货信息!B322)</f>
        <v/>
      </c>
      <c r="C322" s="18" t="str">
        <f>IF(盘货信息!C322="","",盘货信息!C322)</f>
        <v/>
      </c>
      <c r="D322" s="18" t="str">
        <f t="shared" ref="D322:D385" si="5">_xlfn.TEXTJOIN(CHAR(10),TRUE,E322:I322)</f>
        <v/>
      </c>
      <c r="E322" s="18" t="str">
        <f>_xlfn.LET(_xlpm.A,IF(ISNUMBER(SEARCH("晒单",J322)),"【晒单】"&amp;MID(J322,SEARCH("晒单",J322)+LEN("晒单"),LEN(J322))&amp;"（需晒单后联系客服登记）",IF(ISNUMBER(SEARCH("包修",J322)),"【购机】"&amp;MID(J322,SEARCH("购机",J322)+LEN("购机"),LEN(J322)),IF(ISNUMBER(SEARCH("叠放支架",J322)),"【赠品】"&amp;MID(J322,SEARCH("购机",J322)+LEN("购机"),LEN(J322)),IF(ISNUMBER(SEARCH("秀图",J322)),"【秀图】"&amp;MID(J322,SEARCH("秀图",J322)+LEN("秀图"),LEN(J322)),"")))),IFERROR(LEFT(_xlpm.A,FIND("【",_xlpm.A,FIND("】",_xlpm.A)+1)-1)&amp;MID(_xlpm.A,FIND("】",_xlpm.A,FIND("】",_xlpm.A)+1)+1,LEN(_xlpm.A)),_xlpm.A))</f>
        <v/>
      </c>
      <c r="F322" s="18" t="str">
        <f>_xlfn.LET(_xlpm.A,IF(ISNUMBER(SEARCH("晒单",K322)),"【晒单】"&amp;MID(K322,SEARCH("晒单",K322)+LEN("晒单"),LEN(K322))&amp;"（需晒单后联系客服登记）",IF(ISNUMBER(SEARCH("包修",K322)),"【购机】"&amp;MID(K322,SEARCH("购机",K322)+LEN("购机"),LEN(K322)),IF(ISNUMBER(SEARCH("叠放支架",K322)),"【赠品】"&amp;MID(K322,SEARCH("购机",K322)+LEN("购机"),LEN(K322)),IF(ISNUMBER(SEARCH("秀图",K322)),"【秀图】"&amp;MID(K322,SEARCH("秀图",K322)+LEN("秀图"),LEN(K322)),"")))),IFERROR(LEFT(_xlpm.A,FIND("【",_xlpm.A,FIND("】",_xlpm.A)+1)-1)&amp;MID(_xlpm.A,FIND("】",_xlpm.A,FIND("】",_xlpm.A)+1)+1,LEN(_xlpm.A)),_xlpm.A))</f>
        <v/>
      </c>
      <c r="G322" s="18" t="str">
        <f>_xlfn.LET(_xlpm.A,IF(ISNUMBER(SEARCH("晒单",L322)),"【晒单】"&amp;MID(L322,SEARCH("晒单",L322)+LEN("晒单"),LEN(L322))&amp;"（需晒单后联系客服登记）",IF(ISNUMBER(SEARCH("包修",L322)),"【购机】"&amp;MID(L322,SEARCH("购机",L322)+LEN("购机"),LEN(L322)),IF(ISNUMBER(SEARCH("叠放支架",L322)),"【赠品】"&amp;MID(L322,SEARCH("购机",L322)+LEN("购机"),LEN(L322)),IF(ISNUMBER(SEARCH("秀图",L322)),"【秀图】"&amp;MID(L322,SEARCH("秀图",L322)+LEN("秀图"),LEN(L322)),"")))),IFERROR(LEFT(_xlpm.A,FIND("【",_xlpm.A,FIND("】",_xlpm.A)+1)-1)&amp;MID(_xlpm.A,FIND("】",_xlpm.A,FIND("】",_xlpm.A)+1)+1,LEN(_xlpm.A)),_xlpm.A))</f>
        <v/>
      </c>
      <c r="H322" s="18" t="str">
        <f>_xlfn.LET(_xlpm.A,IF(ISNUMBER(SEARCH("晒单",M322)),"【晒单】"&amp;MID(M322,SEARCH("晒单",M322)+LEN("晒单"),LEN(M322))&amp;"（需晒单后联系客服登记）",IF(ISNUMBER(SEARCH("包修",M322)),"【购机】"&amp;MID(M322,SEARCH("购机",M322)+LEN("购机"),LEN(M322)),IF(ISNUMBER(SEARCH("叠放支架",M322)),"【赠品】"&amp;MID(M322,SEARCH("购机",M322)+LEN("购机"),LEN(M322)),IF(ISNUMBER(SEARCH("秀图",M322)),"【秀图】"&amp;MID(M322,SEARCH("秀图",M322)+LEN("秀图"),LEN(M322)),"")))),IFERROR(LEFT(_xlpm.A,FIND("【",_xlpm.A,FIND("】",_xlpm.A)+1)-1)&amp;MID(_xlpm.A,FIND("】",_xlpm.A,FIND("】",_xlpm.A)+1)+1,LEN(_xlpm.A)),_xlpm.A))</f>
        <v/>
      </c>
      <c r="I322" s="18" t="str">
        <f>_xlfn.LET(_xlpm.A,IF(ISNUMBER(SEARCH("晒单",N322)),"【晒单】"&amp;MID(N322,SEARCH("晒单",N322)+LEN("晒单"),LEN(N322))&amp;"（需晒单后联系客服登记）",IF(ISNUMBER(SEARCH("包修",N322)),"【购机】"&amp;MID(N322,SEARCH("购机",N322)+LEN("购机"),LEN(N322)),IF(ISNUMBER(SEARCH("叠放支架",N322)),"【赠品】"&amp;MID(N322,SEARCH("购机",N322)+LEN("购机"),LEN(N322)),IF(ISNUMBER(SEARCH("秀图",N322)),"【秀图】"&amp;MID(N322,SEARCH("秀图",N322)+LEN("秀图"),LEN(N322)),"")))),IFERROR(LEFT(_xlpm.A,FIND("【",_xlpm.A,FIND("】",_xlpm.A)+1)-1)&amp;MID(_xlpm.A,FIND("】",_xlpm.A,FIND("】",_xlpm.A)+1)+1,LEN(_xlpm.A)),_xlpm.A))</f>
        <v/>
      </c>
      <c r="J322" s="18" t="str" cm="1">
        <f t="array" ref="J322">IFERROR(INDEX(_xlfn.TEXTSPLIT(_xlfn.XLOOKUP($A322&amp;$B322&amp;$C322,盘货信息!$A:$A&amp;盘货信息!$B:$B&amp;盘货信息!$C:$C,盘货信息!$S:$S),CHAR(10),,TRUE),1,COLUMN(A321)),"")</f>
        <v/>
      </c>
      <c r="K322" s="18" t="str" cm="1">
        <f t="array" ref="K322">IFERROR(INDEX(_xlfn.TEXTSPLIT(_xlfn.XLOOKUP($A322&amp;$B322&amp;$C322,盘货信息!$A:$A&amp;盘货信息!$B:$B&amp;盘货信息!$C:$C,盘货信息!$S:$S),CHAR(10),,TRUE),1,COLUMN(B321)),"")</f>
        <v/>
      </c>
      <c r="L322" s="18" t="str" cm="1">
        <f t="array" ref="L322">IFERROR(INDEX(_xlfn.TEXTSPLIT(_xlfn.XLOOKUP($A322&amp;$B322&amp;$C322,盘货信息!$A:$A&amp;盘货信息!$B:$B&amp;盘货信息!$C:$C,盘货信息!$S:$S),CHAR(10),,TRUE),1,COLUMN(C321)),"")</f>
        <v/>
      </c>
      <c r="M322" s="18" t="str" cm="1">
        <f t="array" ref="M322">IFERROR(INDEX(_xlfn.TEXTSPLIT(_xlfn.XLOOKUP($A322&amp;$B322&amp;$C322,盘货信息!$A:$A&amp;盘货信息!$B:$B&amp;盘货信息!$C:$C,盘货信息!$S:$S),CHAR(10),,TRUE),1,COLUMN(D321)),"")</f>
        <v/>
      </c>
      <c r="N322" s="18" t="str" cm="1">
        <f t="array" ref="N322">IFERROR(INDEX(_xlfn.TEXTSPLIT(_xlfn.XLOOKUP($A322&amp;$B322&amp;$C322,盘货信息!$A:$A&amp;盘货信息!$B:$B&amp;盘货信息!$C:$C,盘货信息!$S:$S),CHAR(10),,TRUE),1,COLUMN(E321)),"")</f>
        <v/>
      </c>
    </row>
    <row r="323" customHeight="1" spans="1:14">
      <c r="A323" s="17" t="str">
        <f>IF(盘货信息!A323="","",盘货信息!A323)</f>
        <v/>
      </c>
      <c r="B323" s="17" t="str">
        <f>IF(盘货信息!B323="","",盘货信息!B323)</f>
        <v/>
      </c>
      <c r="C323" s="18" t="str">
        <f>IF(盘货信息!C323="","",盘货信息!C323)</f>
        <v/>
      </c>
      <c r="D323" s="18" t="str">
        <f t="shared" si="5"/>
        <v/>
      </c>
      <c r="E323" s="18" t="str">
        <f>_xlfn.LET(_xlpm.A,IF(ISNUMBER(SEARCH("晒单",J323)),"【晒单】"&amp;MID(J323,SEARCH("晒单",J323)+LEN("晒单"),LEN(J323))&amp;"（需晒单后联系客服登记）",IF(ISNUMBER(SEARCH("包修",J323)),"【购机】"&amp;MID(J323,SEARCH("购机",J323)+LEN("购机"),LEN(J323)),IF(ISNUMBER(SEARCH("叠放支架",J323)),"【赠品】"&amp;MID(J323,SEARCH("购机",J323)+LEN("购机"),LEN(J323)),IF(ISNUMBER(SEARCH("秀图",J323)),"【秀图】"&amp;MID(J323,SEARCH("秀图",J323)+LEN("秀图"),LEN(J323)),"")))),IFERROR(LEFT(_xlpm.A,FIND("【",_xlpm.A,FIND("】",_xlpm.A)+1)-1)&amp;MID(_xlpm.A,FIND("】",_xlpm.A,FIND("】",_xlpm.A)+1)+1,LEN(_xlpm.A)),_xlpm.A))</f>
        <v/>
      </c>
      <c r="F323" s="18" t="str">
        <f>_xlfn.LET(_xlpm.A,IF(ISNUMBER(SEARCH("晒单",K323)),"【晒单】"&amp;MID(K323,SEARCH("晒单",K323)+LEN("晒单"),LEN(K323))&amp;"（需晒单后联系客服登记）",IF(ISNUMBER(SEARCH("包修",K323)),"【购机】"&amp;MID(K323,SEARCH("购机",K323)+LEN("购机"),LEN(K323)),IF(ISNUMBER(SEARCH("叠放支架",K323)),"【赠品】"&amp;MID(K323,SEARCH("购机",K323)+LEN("购机"),LEN(K323)),IF(ISNUMBER(SEARCH("秀图",K323)),"【秀图】"&amp;MID(K323,SEARCH("秀图",K323)+LEN("秀图"),LEN(K323)),"")))),IFERROR(LEFT(_xlpm.A,FIND("【",_xlpm.A,FIND("】",_xlpm.A)+1)-1)&amp;MID(_xlpm.A,FIND("】",_xlpm.A,FIND("】",_xlpm.A)+1)+1,LEN(_xlpm.A)),_xlpm.A))</f>
        <v/>
      </c>
      <c r="G323" s="18" t="str">
        <f>_xlfn.LET(_xlpm.A,IF(ISNUMBER(SEARCH("晒单",L323)),"【晒单】"&amp;MID(L323,SEARCH("晒单",L323)+LEN("晒单"),LEN(L323))&amp;"（需晒单后联系客服登记）",IF(ISNUMBER(SEARCH("包修",L323)),"【购机】"&amp;MID(L323,SEARCH("购机",L323)+LEN("购机"),LEN(L323)),IF(ISNUMBER(SEARCH("叠放支架",L323)),"【赠品】"&amp;MID(L323,SEARCH("购机",L323)+LEN("购机"),LEN(L323)),IF(ISNUMBER(SEARCH("秀图",L323)),"【秀图】"&amp;MID(L323,SEARCH("秀图",L323)+LEN("秀图"),LEN(L323)),"")))),IFERROR(LEFT(_xlpm.A,FIND("【",_xlpm.A,FIND("】",_xlpm.A)+1)-1)&amp;MID(_xlpm.A,FIND("】",_xlpm.A,FIND("】",_xlpm.A)+1)+1,LEN(_xlpm.A)),_xlpm.A))</f>
        <v/>
      </c>
      <c r="H323" s="18" t="str">
        <f>_xlfn.LET(_xlpm.A,IF(ISNUMBER(SEARCH("晒单",M323)),"【晒单】"&amp;MID(M323,SEARCH("晒单",M323)+LEN("晒单"),LEN(M323))&amp;"（需晒单后联系客服登记）",IF(ISNUMBER(SEARCH("包修",M323)),"【购机】"&amp;MID(M323,SEARCH("购机",M323)+LEN("购机"),LEN(M323)),IF(ISNUMBER(SEARCH("叠放支架",M323)),"【赠品】"&amp;MID(M323,SEARCH("购机",M323)+LEN("购机"),LEN(M323)),IF(ISNUMBER(SEARCH("秀图",M323)),"【秀图】"&amp;MID(M323,SEARCH("秀图",M323)+LEN("秀图"),LEN(M323)),"")))),IFERROR(LEFT(_xlpm.A,FIND("【",_xlpm.A,FIND("】",_xlpm.A)+1)-1)&amp;MID(_xlpm.A,FIND("】",_xlpm.A,FIND("】",_xlpm.A)+1)+1,LEN(_xlpm.A)),_xlpm.A))</f>
        <v/>
      </c>
      <c r="I323" s="18" t="str">
        <f>_xlfn.LET(_xlpm.A,IF(ISNUMBER(SEARCH("晒单",N323)),"【晒单】"&amp;MID(N323,SEARCH("晒单",N323)+LEN("晒单"),LEN(N323))&amp;"（需晒单后联系客服登记）",IF(ISNUMBER(SEARCH("包修",N323)),"【购机】"&amp;MID(N323,SEARCH("购机",N323)+LEN("购机"),LEN(N323)),IF(ISNUMBER(SEARCH("叠放支架",N323)),"【赠品】"&amp;MID(N323,SEARCH("购机",N323)+LEN("购机"),LEN(N323)),IF(ISNUMBER(SEARCH("秀图",N323)),"【秀图】"&amp;MID(N323,SEARCH("秀图",N323)+LEN("秀图"),LEN(N323)),"")))),IFERROR(LEFT(_xlpm.A,FIND("【",_xlpm.A,FIND("】",_xlpm.A)+1)-1)&amp;MID(_xlpm.A,FIND("】",_xlpm.A,FIND("】",_xlpm.A)+1)+1,LEN(_xlpm.A)),_xlpm.A))</f>
        <v/>
      </c>
      <c r="J323" s="18" t="str" cm="1">
        <f t="array" ref="J323">IFERROR(INDEX(_xlfn.TEXTSPLIT(_xlfn.XLOOKUP($A323&amp;$B323&amp;$C323,盘货信息!$A:$A&amp;盘货信息!$B:$B&amp;盘货信息!$C:$C,盘货信息!$S:$S),CHAR(10),,TRUE),1,COLUMN(A322)),"")</f>
        <v/>
      </c>
      <c r="K323" s="18" t="str" cm="1">
        <f t="array" ref="K323">IFERROR(INDEX(_xlfn.TEXTSPLIT(_xlfn.XLOOKUP($A323&amp;$B323&amp;$C323,盘货信息!$A:$A&amp;盘货信息!$B:$B&amp;盘货信息!$C:$C,盘货信息!$S:$S),CHAR(10),,TRUE),1,COLUMN(B322)),"")</f>
        <v/>
      </c>
      <c r="L323" s="18" t="str" cm="1">
        <f t="array" ref="L323">IFERROR(INDEX(_xlfn.TEXTSPLIT(_xlfn.XLOOKUP($A323&amp;$B323&amp;$C323,盘货信息!$A:$A&amp;盘货信息!$B:$B&amp;盘货信息!$C:$C,盘货信息!$S:$S),CHAR(10),,TRUE),1,COLUMN(C322)),"")</f>
        <v/>
      </c>
      <c r="M323" s="18" t="str" cm="1">
        <f t="array" ref="M323">IFERROR(INDEX(_xlfn.TEXTSPLIT(_xlfn.XLOOKUP($A323&amp;$B323&amp;$C323,盘货信息!$A:$A&amp;盘货信息!$B:$B&amp;盘货信息!$C:$C,盘货信息!$S:$S),CHAR(10),,TRUE),1,COLUMN(D322)),"")</f>
        <v/>
      </c>
      <c r="N323" s="18" t="str" cm="1">
        <f t="array" ref="N323">IFERROR(INDEX(_xlfn.TEXTSPLIT(_xlfn.XLOOKUP($A323&amp;$B323&amp;$C323,盘货信息!$A:$A&amp;盘货信息!$B:$B&amp;盘货信息!$C:$C,盘货信息!$S:$S),CHAR(10),,TRUE),1,COLUMN(E322)),"")</f>
        <v/>
      </c>
    </row>
    <row r="324" customHeight="1" spans="1:14">
      <c r="A324" s="17" t="str">
        <f>IF(盘货信息!A324="","",盘货信息!A324)</f>
        <v/>
      </c>
      <c r="B324" s="17" t="str">
        <f>IF(盘货信息!B324="","",盘货信息!B324)</f>
        <v/>
      </c>
      <c r="C324" s="18" t="str">
        <f>IF(盘货信息!C324="","",盘货信息!C324)</f>
        <v/>
      </c>
      <c r="D324" s="18" t="str">
        <f t="shared" si="5"/>
        <v/>
      </c>
      <c r="E324" s="18" t="str">
        <f>_xlfn.LET(_xlpm.A,IF(ISNUMBER(SEARCH("晒单",J324)),"【晒单】"&amp;MID(J324,SEARCH("晒单",J324)+LEN("晒单"),LEN(J324))&amp;"（需晒单后联系客服登记）",IF(ISNUMBER(SEARCH("包修",J324)),"【购机】"&amp;MID(J324,SEARCH("购机",J324)+LEN("购机"),LEN(J324)),IF(ISNUMBER(SEARCH("叠放支架",J324)),"【赠品】"&amp;MID(J324,SEARCH("购机",J324)+LEN("购机"),LEN(J324)),IF(ISNUMBER(SEARCH("秀图",J324)),"【秀图】"&amp;MID(J324,SEARCH("秀图",J324)+LEN("秀图"),LEN(J324)),"")))),IFERROR(LEFT(_xlpm.A,FIND("【",_xlpm.A,FIND("】",_xlpm.A)+1)-1)&amp;MID(_xlpm.A,FIND("】",_xlpm.A,FIND("】",_xlpm.A)+1)+1,LEN(_xlpm.A)),_xlpm.A))</f>
        <v/>
      </c>
      <c r="F324" s="18" t="str">
        <f>_xlfn.LET(_xlpm.A,IF(ISNUMBER(SEARCH("晒单",K324)),"【晒单】"&amp;MID(K324,SEARCH("晒单",K324)+LEN("晒单"),LEN(K324))&amp;"（需晒单后联系客服登记）",IF(ISNUMBER(SEARCH("包修",K324)),"【购机】"&amp;MID(K324,SEARCH("购机",K324)+LEN("购机"),LEN(K324)),IF(ISNUMBER(SEARCH("叠放支架",K324)),"【赠品】"&amp;MID(K324,SEARCH("购机",K324)+LEN("购机"),LEN(K324)),IF(ISNUMBER(SEARCH("秀图",K324)),"【秀图】"&amp;MID(K324,SEARCH("秀图",K324)+LEN("秀图"),LEN(K324)),"")))),IFERROR(LEFT(_xlpm.A,FIND("【",_xlpm.A,FIND("】",_xlpm.A)+1)-1)&amp;MID(_xlpm.A,FIND("】",_xlpm.A,FIND("】",_xlpm.A)+1)+1,LEN(_xlpm.A)),_xlpm.A))</f>
        <v/>
      </c>
      <c r="G324" s="18" t="str">
        <f>_xlfn.LET(_xlpm.A,IF(ISNUMBER(SEARCH("晒单",L324)),"【晒单】"&amp;MID(L324,SEARCH("晒单",L324)+LEN("晒单"),LEN(L324))&amp;"（需晒单后联系客服登记）",IF(ISNUMBER(SEARCH("包修",L324)),"【购机】"&amp;MID(L324,SEARCH("购机",L324)+LEN("购机"),LEN(L324)),IF(ISNUMBER(SEARCH("叠放支架",L324)),"【赠品】"&amp;MID(L324,SEARCH("购机",L324)+LEN("购机"),LEN(L324)),IF(ISNUMBER(SEARCH("秀图",L324)),"【秀图】"&amp;MID(L324,SEARCH("秀图",L324)+LEN("秀图"),LEN(L324)),"")))),IFERROR(LEFT(_xlpm.A,FIND("【",_xlpm.A,FIND("】",_xlpm.A)+1)-1)&amp;MID(_xlpm.A,FIND("】",_xlpm.A,FIND("】",_xlpm.A)+1)+1,LEN(_xlpm.A)),_xlpm.A))</f>
        <v/>
      </c>
      <c r="H324" s="18" t="str">
        <f>_xlfn.LET(_xlpm.A,IF(ISNUMBER(SEARCH("晒单",M324)),"【晒单】"&amp;MID(M324,SEARCH("晒单",M324)+LEN("晒单"),LEN(M324))&amp;"（需晒单后联系客服登记）",IF(ISNUMBER(SEARCH("包修",M324)),"【购机】"&amp;MID(M324,SEARCH("购机",M324)+LEN("购机"),LEN(M324)),IF(ISNUMBER(SEARCH("叠放支架",M324)),"【赠品】"&amp;MID(M324,SEARCH("购机",M324)+LEN("购机"),LEN(M324)),IF(ISNUMBER(SEARCH("秀图",M324)),"【秀图】"&amp;MID(M324,SEARCH("秀图",M324)+LEN("秀图"),LEN(M324)),"")))),IFERROR(LEFT(_xlpm.A,FIND("【",_xlpm.A,FIND("】",_xlpm.A)+1)-1)&amp;MID(_xlpm.A,FIND("】",_xlpm.A,FIND("】",_xlpm.A)+1)+1,LEN(_xlpm.A)),_xlpm.A))</f>
        <v/>
      </c>
      <c r="I324" s="18" t="str">
        <f>_xlfn.LET(_xlpm.A,IF(ISNUMBER(SEARCH("晒单",N324)),"【晒单】"&amp;MID(N324,SEARCH("晒单",N324)+LEN("晒单"),LEN(N324))&amp;"（需晒单后联系客服登记）",IF(ISNUMBER(SEARCH("包修",N324)),"【购机】"&amp;MID(N324,SEARCH("购机",N324)+LEN("购机"),LEN(N324)),IF(ISNUMBER(SEARCH("叠放支架",N324)),"【赠品】"&amp;MID(N324,SEARCH("购机",N324)+LEN("购机"),LEN(N324)),IF(ISNUMBER(SEARCH("秀图",N324)),"【秀图】"&amp;MID(N324,SEARCH("秀图",N324)+LEN("秀图"),LEN(N324)),"")))),IFERROR(LEFT(_xlpm.A,FIND("【",_xlpm.A,FIND("】",_xlpm.A)+1)-1)&amp;MID(_xlpm.A,FIND("】",_xlpm.A,FIND("】",_xlpm.A)+1)+1,LEN(_xlpm.A)),_xlpm.A))</f>
        <v/>
      </c>
      <c r="J324" s="18" t="str" cm="1">
        <f t="array" ref="J324">IFERROR(INDEX(_xlfn.TEXTSPLIT(_xlfn.XLOOKUP($A324&amp;$B324&amp;$C324,盘货信息!$A:$A&amp;盘货信息!$B:$B&amp;盘货信息!$C:$C,盘货信息!$S:$S),CHAR(10),,TRUE),1,COLUMN(A323)),"")</f>
        <v/>
      </c>
      <c r="K324" s="18" t="str" cm="1">
        <f t="array" ref="K324">IFERROR(INDEX(_xlfn.TEXTSPLIT(_xlfn.XLOOKUP($A324&amp;$B324&amp;$C324,盘货信息!$A:$A&amp;盘货信息!$B:$B&amp;盘货信息!$C:$C,盘货信息!$S:$S),CHAR(10),,TRUE),1,COLUMN(B323)),"")</f>
        <v/>
      </c>
      <c r="L324" s="18" t="str" cm="1">
        <f t="array" ref="L324">IFERROR(INDEX(_xlfn.TEXTSPLIT(_xlfn.XLOOKUP($A324&amp;$B324&amp;$C324,盘货信息!$A:$A&amp;盘货信息!$B:$B&amp;盘货信息!$C:$C,盘货信息!$S:$S),CHAR(10),,TRUE),1,COLUMN(C323)),"")</f>
        <v/>
      </c>
      <c r="M324" s="18" t="str" cm="1">
        <f t="array" ref="M324">IFERROR(INDEX(_xlfn.TEXTSPLIT(_xlfn.XLOOKUP($A324&amp;$B324&amp;$C324,盘货信息!$A:$A&amp;盘货信息!$B:$B&amp;盘货信息!$C:$C,盘货信息!$S:$S),CHAR(10),,TRUE),1,COLUMN(D323)),"")</f>
        <v/>
      </c>
      <c r="N324" s="18" t="str" cm="1">
        <f t="array" ref="N324">IFERROR(INDEX(_xlfn.TEXTSPLIT(_xlfn.XLOOKUP($A324&amp;$B324&amp;$C324,盘货信息!$A:$A&amp;盘货信息!$B:$B&amp;盘货信息!$C:$C,盘货信息!$S:$S),CHAR(10),,TRUE),1,COLUMN(E323)),"")</f>
        <v/>
      </c>
    </row>
    <row r="325" customHeight="1" spans="1:14">
      <c r="A325" s="17" t="str">
        <f>IF(盘货信息!A325="","",盘货信息!A325)</f>
        <v/>
      </c>
      <c r="B325" s="17" t="str">
        <f>IF(盘货信息!B325="","",盘货信息!B325)</f>
        <v/>
      </c>
      <c r="C325" s="18" t="str">
        <f>IF(盘货信息!C325="","",盘货信息!C325)</f>
        <v/>
      </c>
      <c r="D325" s="18" t="str">
        <f t="shared" si="5"/>
        <v/>
      </c>
      <c r="E325" s="18" t="str">
        <f>_xlfn.LET(_xlpm.A,IF(ISNUMBER(SEARCH("晒单",J325)),"【晒单】"&amp;MID(J325,SEARCH("晒单",J325)+LEN("晒单"),LEN(J325))&amp;"（需晒单后联系客服登记）",IF(ISNUMBER(SEARCH("包修",J325)),"【购机】"&amp;MID(J325,SEARCH("购机",J325)+LEN("购机"),LEN(J325)),IF(ISNUMBER(SEARCH("叠放支架",J325)),"【赠品】"&amp;MID(J325,SEARCH("购机",J325)+LEN("购机"),LEN(J325)),IF(ISNUMBER(SEARCH("秀图",J325)),"【秀图】"&amp;MID(J325,SEARCH("秀图",J325)+LEN("秀图"),LEN(J325)),"")))),IFERROR(LEFT(_xlpm.A,FIND("【",_xlpm.A,FIND("】",_xlpm.A)+1)-1)&amp;MID(_xlpm.A,FIND("】",_xlpm.A,FIND("】",_xlpm.A)+1)+1,LEN(_xlpm.A)),_xlpm.A))</f>
        <v/>
      </c>
      <c r="F325" s="18" t="str">
        <f>_xlfn.LET(_xlpm.A,IF(ISNUMBER(SEARCH("晒单",K325)),"【晒单】"&amp;MID(K325,SEARCH("晒单",K325)+LEN("晒单"),LEN(K325))&amp;"（需晒单后联系客服登记）",IF(ISNUMBER(SEARCH("包修",K325)),"【购机】"&amp;MID(K325,SEARCH("购机",K325)+LEN("购机"),LEN(K325)),IF(ISNUMBER(SEARCH("叠放支架",K325)),"【赠品】"&amp;MID(K325,SEARCH("购机",K325)+LEN("购机"),LEN(K325)),IF(ISNUMBER(SEARCH("秀图",K325)),"【秀图】"&amp;MID(K325,SEARCH("秀图",K325)+LEN("秀图"),LEN(K325)),"")))),IFERROR(LEFT(_xlpm.A,FIND("【",_xlpm.A,FIND("】",_xlpm.A)+1)-1)&amp;MID(_xlpm.A,FIND("】",_xlpm.A,FIND("】",_xlpm.A)+1)+1,LEN(_xlpm.A)),_xlpm.A))</f>
        <v/>
      </c>
      <c r="G325" s="18" t="str">
        <f>_xlfn.LET(_xlpm.A,IF(ISNUMBER(SEARCH("晒单",L325)),"【晒单】"&amp;MID(L325,SEARCH("晒单",L325)+LEN("晒单"),LEN(L325))&amp;"（需晒单后联系客服登记）",IF(ISNUMBER(SEARCH("包修",L325)),"【购机】"&amp;MID(L325,SEARCH("购机",L325)+LEN("购机"),LEN(L325)),IF(ISNUMBER(SEARCH("叠放支架",L325)),"【赠品】"&amp;MID(L325,SEARCH("购机",L325)+LEN("购机"),LEN(L325)),IF(ISNUMBER(SEARCH("秀图",L325)),"【秀图】"&amp;MID(L325,SEARCH("秀图",L325)+LEN("秀图"),LEN(L325)),"")))),IFERROR(LEFT(_xlpm.A,FIND("【",_xlpm.A,FIND("】",_xlpm.A)+1)-1)&amp;MID(_xlpm.A,FIND("】",_xlpm.A,FIND("】",_xlpm.A)+1)+1,LEN(_xlpm.A)),_xlpm.A))</f>
        <v/>
      </c>
      <c r="H325" s="18" t="str">
        <f>_xlfn.LET(_xlpm.A,IF(ISNUMBER(SEARCH("晒单",M325)),"【晒单】"&amp;MID(M325,SEARCH("晒单",M325)+LEN("晒单"),LEN(M325))&amp;"（需晒单后联系客服登记）",IF(ISNUMBER(SEARCH("包修",M325)),"【购机】"&amp;MID(M325,SEARCH("购机",M325)+LEN("购机"),LEN(M325)),IF(ISNUMBER(SEARCH("叠放支架",M325)),"【赠品】"&amp;MID(M325,SEARCH("购机",M325)+LEN("购机"),LEN(M325)),IF(ISNUMBER(SEARCH("秀图",M325)),"【秀图】"&amp;MID(M325,SEARCH("秀图",M325)+LEN("秀图"),LEN(M325)),"")))),IFERROR(LEFT(_xlpm.A,FIND("【",_xlpm.A,FIND("】",_xlpm.A)+1)-1)&amp;MID(_xlpm.A,FIND("】",_xlpm.A,FIND("】",_xlpm.A)+1)+1,LEN(_xlpm.A)),_xlpm.A))</f>
        <v/>
      </c>
      <c r="I325" s="18" t="str">
        <f>_xlfn.LET(_xlpm.A,IF(ISNUMBER(SEARCH("晒单",N325)),"【晒单】"&amp;MID(N325,SEARCH("晒单",N325)+LEN("晒单"),LEN(N325))&amp;"（需晒单后联系客服登记）",IF(ISNUMBER(SEARCH("包修",N325)),"【购机】"&amp;MID(N325,SEARCH("购机",N325)+LEN("购机"),LEN(N325)),IF(ISNUMBER(SEARCH("叠放支架",N325)),"【赠品】"&amp;MID(N325,SEARCH("购机",N325)+LEN("购机"),LEN(N325)),IF(ISNUMBER(SEARCH("秀图",N325)),"【秀图】"&amp;MID(N325,SEARCH("秀图",N325)+LEN("秀图"),LEN(N325)),"")))),IFERROR(LEFT(_xlpm.A,FIND("【",_xlpm.A,FIND("】",_xlpm.A)+1)-1)&amp;MID(_xlpm.A,FIND("】",_xlpm.A,FIND("】",_xlpm.A)+1)+1,LEN(_xlpm.A)),_xlpm.A))</f>
        <v/>
      </c>
      <c r="J325" s="18" t="str" cm="1">
        <f t="array" ref="J325">IFERROR(INDEX(_xlfn.TEXTSPLIT(_xlfn.XLOOKUP($A325&amp;$B325&amp;$C325,盘货信息!$A:$A&amp;盘货信息!$B:$B&amp;盘货信息!$C:$C,盘货信息!$S:$S),CHAR(10),,TRUE),1,COLUMN(A324)),"")</f>
        <v/>
      </c>
      <c r="K325" s="18" t="str" cm="1">
        <f t="array" ref="K325">IFERROR(INDEX(_xlfn.TEXTSPLIT(_xlfn.XLOOKUP($A325&amp;$B325&amp;$C325,盘货信息!$A:$A&amp;盘货信息!$B:$B&amp;盘货信息!$C:$C,盘货信息!$S:$S),CHAR(10),,TRUE),1,COLUMN(B324)),"")</f>
        <v/>
      </c>
      <c r="L325" s="18" t="str" cm="1">
        <f t="array" ref="L325">IFERROR(INDEX(_xlfn.TEXTSPLIT(_xlfn.XLOOKUP($A325&amp;$B325&amp;$C325,盘货信息!$A:$A&amp;盘货信息!$B:$B&amp;盘货信息!$C:$C,盘货信息!$S:$S),CHAR(10),,TRUE),1,COLUMN(C324)),"")</f>
        <v/>
      </c>
      <c r="M325" s="18" t="str" cm="1">
        <f t="array" ref="M325">IFERROR(INDEX(_xlfn.TEXTSPLIT(_xlfn.XLOOKUP($A325&amp;$B325&amp;$C325,盘货信息!$A:$A&amp;盘货信息!$B:$B&amp;盘货信息!$C:$C,盘货信息!$S:$S),CHAR(10),,TRUE),1,COLUMN(D324)),"")</f>
        <v/>
      </c>
      <c r="N325" s="18" t="str" cm="1">
        <f t="array" ref="N325">IFERROR(INDEX(_xlfn.TEXTSPLIT(_xlfn.XLOOKUP($A325&amp;$B325&amp;$C325,盘货信息!$A:$A&amp;盘货信息!$B:$B&amp;盘货信息!$C:$C,盘货信息!$S:$S),CHAR(10),,TRUE),1,COLUMN(E324)),"")</f>
        <v/>
      </c>
    </row>
    <row r="326" customHeight="1" spans="1:14">
      <c r="A326" s="17" t="str">
        <f>IF(盘货信息!A326="","",盘货信息!A326)</f>
        <v/>
      </c>
      <c r="B326" s="17" t="str">
        <f>IF(盘货信息!B326="","",盘货信息!B326)</f>
        <v/>
      </c>
      <c r="C326" s="18" t="str">
        <f>IF(盘货信息!C326="","",盘货信息!C326)</f>
        <v/>
      </c>
      <c r="D326" s="18" t="str">
        <f t="shared" si="5"/>
        <v/>
      </c>
      <c r="E326" s="18" t="str">
        <f>_xlfn.LET(_xlpm.A,IF(ISNUMBER(SEARCH("晒单",J326)),"【晒单】"&amp;MID(J326,SEARCH("晒单",J326)+LEN("晒单"),LEN(J326))&amp;"（需晒单后联系客服登记）",IF(ISNUMBER(SEARCH("包修",J326)),"【购机】"&amp;MID(J326,SEARCH("购机",J326)+LEN("购机"),LEN(J326)),IF(ISNUMBER(SEARCH("叠放支架",J326)),"【赠品】"&amp;MID(J326,SEARCH("购机",J326)+LEN("购机"),LEN(J326)),IF(ISNUMBER(SEARCH("秀图",J326)),"【秀图】"&amp;MID(J326,SEARCH("秀图",J326)+LEN("秀图"),LEN(J326)),"")))),IFERROR(LEFT(_xlpm.A,FIND("【",_xlpm.A,FIND("】",_xlpm.A)+1)-1)&amp;MID(_xlpm.A,FIND("】",_xlpm.A,FIND("】",_xlpm.A)+1)+1,LEN(_xlpm.A)),_xlpm.A))</f>
        <v/>
      </c>
      <c r="F326" s="18" t="str">
        <f>_xlfn.LET(_xlpm.A,IF(ISNUMBER(SEARCH("晒单",K326)),"【晒单】"&amp;MID(K326,SEARCH("晒单",K326)+LEN("晒单"),LEN(K326))&amp;"（需晒单后联系客服登记）",IF(ISNUMBER(SEARCH("包修",K326)),"【购机】"&amp;MID(K326,SEARCH("购机",K326)+LEN("购机"),LEN(K326)),IF(ISNUMBER(SEARCH("叠放支架",K326)),"【赠品】"&amp;MID(K326,SEARCH("购机",K326)+LEN("购机"),LEN(K326)),IF(ISNUMBER(SEARCH("秀图",K326)),"【秀图】"&amp;MID(K326,SEARCH("秀图",K326)+LEN("秀图"),LEN(K326)),"")))),IFERROR(LEFT(_xlpm.A,FIND("【",_xlpm.A,FIND("】",_xlpm.A)+1)-1)&amp;MID(_xlpm.A,FIND("】",_xlpm.A,FIND("】",_xlpm.A)+1)+1,LEN(_xlpm.A)),_xlpm.A))</f>
        <v/>
      </c>
      <c r="G326" s="18" t="str">
        <f>_xlfn.LET(_xlpm.A,IF(ISNUMBER(SEARCH("晒单",L326)),"【晒单】"&amp;MID(L326,SEARCH("晒单",L326)+LEN("晒单"),LEN(L326))&amp;"（需晒单后联系客服登记）",IF(ISNUMBER(SEARCH("包修",L326)),"【购机】"&amp;MID(L326,SEARCH("购机",L326)+LEN("购机"),LEN(L326)),IF(ISNUMBER(SEARCH("叠放支架",L326)),"【赠品】"&amp;MID(L326,SEARCH("购机",L326)+LEN("购机"),LEN(L326)),IF(ISNUMBER(SEARCH("秀图",L326)),"【秀图】"&amp;MID(L326,SEARCH("秀图",L326)+LEN("秀图"),LEN(L326)),"")))),IFERROR(LEFT(_xlpm.A,FIND("【",_xlpm.A,FIND("】",_xlpm.A)+1)-1)&amp;MID(_xlpm.A,FIND("】",_xlpm.A,FIND("】",_xlpm.A)+1)+1,LEN(_xlpm.A)),_xlpm.A))</f>
        <v/>
      </c>
      <c r="H326" s="18" t="str">
        <f>_xlfn.LET(_xlpm.A,IF(ISNUMBER(SEARCH("晒单",M326)),"【晒单】"&amp;MID(M326,SEARCH("晒单",M326)+LEN("晒单"),LEN(M326))&amp;"（需晒单后联系客服登记）",IF(ISNUMBER(SEARCH("包修",M326)),"【购机】"&amp;MID(M326,SEARCH("购机",M326)+LEN("购机"),LEN(M326)),IF(ISNUMBER(SEARCH("叠放支架",M326)),"【赠品】"&amp;MID(M326,SEARCH("购机",M326)+LEN("购机"),LEN(M326)),IF(ISNUMBER(SEARCH("秀图",M326)),"【秀图】"&amp;MID(M326,SEARCH("秀图",M326)+LEN("秀图"),LEN(M326)),"")))),IFERROR(LEFT(_xlpm.A,FIND("【",_xlpm.A,FIND("】",_xlpm.A)+1)-1)&amp;MID(_xlpm.A,FIND("】",_xlpm.A,FIND("】",_xlpm.A)+1)+1,LEN(_xlpm.A)),_xlpm.A))</f>
        <v/>
      </c>
      <c r="I326" s="18" t="str">
        <f>_xlfn.LET(_xlpm.A,IF(ISNUMBER(SEARCH("晒单",N326)),"【晒单】"&amp;MID(N326,SEARCH("晒单",N326)+LEN("晒单"),LEN(N326))&amp;"（需晒单后联系客服登记）",IF(ISNUMBER(SEARCH("包修",N326)),"【购机】"&amp;MID(N326,SEARCH("购机",N326)+LEN("购机"),LEN(N326)),IF(ISNUMBER(SEARCH("叠放支架",N326)),"【赠品】"&amp;MID(N326,SEARCH("购机",N326)+LEN("购机"),LEN(N326)),IF(ISNUMBER(SEARCH("秀图",N326)),"【秀图】"&amp;MID(N326,SEARCH("秀图",N326)+LEN("秀图"),LEN(N326)),"")))),IFERROR(LEFT(_xlpm.A,FIND("【",_xlpm.A,FIND("】",_xlpm.A)+1)-1)&amp;MID(_xlpm.A,FIND("】",_xlpm.A,FIND("】",_xlpm.A)+1)+1,LEN(_xlpm.A)),_xlpm.A))</f>
        <v/>
      </c>
      <c r="J326" s="18" t="str" cm="1">
        <f t="array" ref="J326">IFERROR(INDEX(_xlfn.TEXTSPLIT(_xlfn.XLOOKUP($A326&amp;$B326&amp;$C326,盘货信息!$A:$A&amp;盘货信息!$B:$B&amp;盘货信息!$C:$C,盘货信息!$S:$S),CHAR(10),,TRUE),1,COLUMN(A325)),"")</f>
        <v/>
      </c>
      <c r="K326" s="18" t="str" cm="1">
        <f t="array" ref="K326">IFERROR(INDEX(_xlfn.TEXTSPLIT(_xlfn.XLOOKUP($A326&amp;$B326&amp;$C326,盘货信息!$A:$A&amp;盘货信息!$B:$B&amp;盘货信息!$C:$C,盘货信息!$S:$S),CHAR(10),,TRUE),1,COLUMN(B325)),"")</f>
        <v/>
      </c>
      <c r="L326" s="18" t="str" cm="1">
        <f t="array" ref="L326">IFERROR(INDEX(_xlfn.TEXTSPLIT(_xlfn.XLOOKUP($A326&amp;$B326&amp;$C326,盘货信息!$A:$A&amp;盘货信息!$B:$B&amp;盘货信息!$C:$C,盘货信息!$S:$S),CHAR(10),,TRUE),1,COLUMN(C325)),"")</f>
        <v/>
      </c>
      <c r="M326" s="18" t="str" cm="1">
        <f t="array" ref="M326">IFERROR(INDEX(_xlfn.TEXTSPLIT(_xlfn.XLOOKUP($A326&amp;$B326&amp;$C326,盘货信息!$A:$A&amp;盘货信息!$B:$B&amp;盘货信息!$C:$C,盘货信息!$S:$S),CHAR(10),,TRUE),1,COLUMN(D325)),"")</f>
        <v/>
      </c>
      <c r="N326" s="18" t="str" cm="1">
        <f t="array" ref="N326">IFERROR(INDEX(_xlfn.TEXTSPLIT(_xlfn.XLOOKUP($A326&amp;$B326&amp;$C326,盘货信息!$A:$A&amp;盘货信息!$B:$B&amp;盘货信息!$C:$C,盘货信息!$S:$S),CHAR(10),,TRUE),1,COLUMN(E325)),"")</f>
        <v/>
      </c>
    </row>
    <row r="327" customHeight="1" spans="1:14">
      <c r="A327" s="17" t="str">
        <f>IF(盘货信息!A327="","",盘货信息!A327)</f>
        <v/>
      </c>
      <c r="B327" s="17" t="str">
        <f>IF(盘货信息!B327="","",盘货信息!B327)</f>
        <v/>
      </c>
      <c r="C327" s="18" t="str">
        <f>IF(盘货信息!C327="","",盘货信息!C327)</f>
        <v/>
      </c>
      <c r="D327" s="18" t="str">
        <f t="shared" si="5"/>
        <v/>
      </c>
      <c r="E327" s="18" t="str">
        <f>_xlfn.LET(_xlpm.A,IF(ISNUMBER(SEARCH("晒单",J327)),"【晒单】"&amp;MID(J327,SEARCH("晒单",J327)+LEN("晒单"),LEN(J327))&amp;"（需晒单后联系客服登记）",IF(ISNUMBER(SEARCH("包修",J327)),"【购机】"&amp;MID(J327,SEARCH("购机",J327)+LEN("购机"),LEN(J327)),IF(ISNUMBER(SEARCH("叠放支架",J327)),"【赠品】"&amp;MID(J327,SEARCH("购机",J327)+LEN("购机"),LEN(J327)),IF(ISNUMBER(SEARCH("秀图",J327)),"【秀图】"&amp;MID(J327,SEARCH("秀图",J327)+LEN("秀图"),LEN(J327)),"")))),IFERROR(LEFT(_xlpm.A,FIND("【",_xlpm.A,FIND("】",_xlpm.A)+1)-1)&amp;MID(_xlpm.A,FIND("】",_xlpm.A,FIND("】",_xlpm.A)+1)+1,LEN(_xlpm.A)),_xlpm.A))</f>
        <v/>
      </c>
      <c r="F327" s="18" t="str">
        <f>_xlfn.LET(_xlpm.A,IF(ISNUMBER(SEARCH("晒单",K327)),"【晒单】"&amp;MID(K327,SEARCH("晒单",K327)+LEN("晒单"),LEN(K327))&amp;"（需晒单后联系客服登记）",IF(ISNUMBER(SEARCH("包修",K327)),"【购机】"&amp;MID(K327,SEARCH("购机",K327)+LEN("购机"),LEN(K327)),IF(ISNUMBER(SEARCH("叠放支架",K327)),"【赠品】"&amp;MID(K327,SEARCH("购机",K327)+LEN("购机"),LEN(K327)),IF(ISNUMBER(SEARCH("秀图",K327)),"【秀图】"&amp;MID(K327,SEARCH("秀图",K327)+LEN("秀图"),LEN(K327)),"")))),IFERROR(LEFT(_xlpm.A,FIND("【",_xlpm.A,FIND("】",_xlpm.A)+1)-1)&amp;MID(_xlpm.A,FIND("】",_xlpm.A,FIND("】",_xlpm.A)+1)+1,LEN(_xlpm.A)),_xlpm.A))</f>
        <v/>
      </c>
      <c r="G327" s="18" t="str">
        <f>_xlfn.LET(_xlpm.A,IF(ISNUMBER(SEARCH("晒单",L327)),"【晒单】"&amp;MID(L327,SEARCH("晒单",L327)+LEN("晒单"),LEN(L327))&amp;"（需晒单后联系客服登记）",IF(ISNUMBER(SEARCH("包修",L327)),"【购机】"&amp;MID(L327,SEARCH("购机",L327)+LEN("购机"),LEN(L327)),IF(ISNUMBER(SEARCH("叠放支架",L327)),"【赠品】"&amp;MID(L327,SEARCH("购机",L327)+LEN("购机"),LEN(L327)),IF(ISNUMBER(SEARCH("秀图",L327)),"【秀图】"&amp;MID(L327,SEARCH("秀图",L327)+LEN("秀图"),LEN(L327)),"")))),IFERROR(LEFT(_xlpm.A,FIND("【",_xlpm.A,FIND("】",_xlpm.A)+1)-1)&amp;MID(_xlpm.A,FIND("】",_xlpm.A,FIND("】",_xlpm.A)+1)+1,LEN(_xlpm.A)),_xlpm.A))</f>
        <v/>
      </c>
      <c r="H327" s="18" t="str">
        <f>_xlfn.LET(_xlpm.A,IF(ISNUMBER(SEARCH("晒单",M327)),"【晒单】"&amp;MID(M327,SEARCH("晒单",M327)+LEN("晒单"),LEN(M327))&amp;"（需晒单后联系客服登记）",IF(ISNUMBER(SEARCH("包修",M327)),"【购机】"&amp;MID(M327,SEARCH("购机",M327)+LEN("购机"),LEN(M327)),IF(ISNUMBER(SEARCH("叠放支架",M327)),"【赠品】"&amp;MID(M327,SEARCH("购机",M327)+LEN("购机"),LEN(M327)),IF(ISNUMBER(SEARCH("秀图",M327)),"【秀图】"&amp;MID(M327,SEARCH("秀图",M327)+LEN("秀图"),LEN(M327)),"")))),IFERROR(LEFT(_xlpm.A,FIND("【",_xlpm.A,FIND("】",_xlpm.A)+1)-1)&amp;MID(_xlpm.A,FIND("】",_xlpm.A,FIND("】",_xlpm.A)+1)+1,LEN(_xlpm.A)),_xlpm.A))</f>
        <v/>
      </c>
      <c r="I327" s="18" t="str">
        <f>_xlfn.LET(_xlpm.A,IF(ISNUMBER(SEARCH("晒单",N327)),"【晒单】"&amp;MID(N327,SEARCH("晒单",N327)+LEN("晒单"),LEN(N327))&amp;"（需晒单后联系客服登记）",IF(ISNUMBER(SEARCH("包修",N327)),"【购机】"&amp;MID(N327,SEARCH("购机",N327)+LEN("购机"),LEN(N327)),IF(ISNUMBER(SEARCH("叠放支架",N327)),"【赠品】"&amp;MID(N327,SEARCH("购机",N327)+LEN("购机"),LEN(N327)),IF(ISNUMBER(SEARCH("秀图",N327)),"【秀图】"&amp;MID(N327,SEARCH("秀图",N327)+LEN("秀图"),LEN(N327)),"")))),IFERROR(LEFT(_xlpm.A,FIND("【",_xlpm.A,FIND("】",_xlpm.A)+1)-1)&amp;MID(_xlpm.A,FIND("】",_xlpm.A,FIND("】",_xlpm.A)+1)+1,LEN(_xlpm.A)),_xlpm.A))</f>
        <v/>
      </c>
      <c r="J327" s="18" t="str" cm="1">
        <f t="array" ref="J327">IFERROR(INDEX(_xlfn.TEXTSPLIT(_xlfn.XLOOKUP($A327&amp;$B327&amp;$C327,盘货信息!$A:$A&amp;盘货信息!$B:$B&amp;盘货信息!$C:$C,盘货信息!$S:$S),CHAR(10),,TRUE),1,COLUMN(A326)),"")</f>
        <v/>
      </c>
      <c r="K327" s="18" t="str" cm="1">
        <f t="array" ref="K327">IFERROR(INDEX(_xlfn.TEXTSPLIT(_xlfn.XLOOKUP($A327&amp;$B327&amp;$C327,盘货信息!$A:$A&amp;盘货信息!$B:$B&amp;盘货信息!$C:$C,盘货信息!$S:$S),CHAR(10),,TRUE),1,COLUMN(B326)),"")</f>
        <v/>
      </c>
      <c r="L327" s="18" t="str" cm="1">
        <f t="array" ref="L327">IFERROR(INDEX(_xlfn.TEXTSPLIT(_xlfn.XLOOKUP($A327&amp;$B327&amp;$C327,盘货信息!$A:$A&amp;盘货信息!$B:$B&amp;盘货信息!$C:$C,盘货信息!$S:$S),CHAR(10),,TRUE),1,COLUMN(C326)),"")</f>
        <v/>
      </c>
      <c r="M327" s="18" t="str" cm="1">
        <f t="array" ref="M327">IFERROR(INDEX(_xlfn.TEXTSPLIT(_xlfn.XLOOKUP($A327&amp;$B327&amp;$C327,盘货信息!$A:$A&amp;盘货信息!$B:$B&amp;盘货信息!$C:$C,盘货信息!$S:$S),CHAR(10),,TRUE),1,COLUMN(D326)),"")</f>
        <v/>
      </c>
      <c r="N327" s="18" t="str" cm="1">
        <f t="array" ref="N327">IFERROR(INDEX(_xlfn.TEXTSPLIT(_xlfn.XLOOKUP($A327&amp;$B327&amp;$C327,盘货信息!$A:$A&amp;盘货信息!$B:$B&amp;盘货信息!$C:$C,盘货信息!$S:$S),CHAR(10),,TRUE),1,COLUMN(E326)),"")</f>
        <v/>
      </c>
    </row>
    <row r="328" customHeight="1" spans="1:14">
      <c r="A328" s="17" t="str">
        <f>IF(盘货信息!A328="","",盘货信息!A328)</f>
        <v/>
      </c>
      <c r="B328" s="17" t="str">
        <f>IF(盘货信息!B328="","",盘货信息!B328)</f>
        <v/>
      </c>
      <c r="C328" s="18" t="str">
        <f>IF(盘货信息!C328="","",盘货信息!C328)</f>
        <v/>
      </c>
      <c r="D328" s="18" t="str">
        <f t="shared" si="5"/>
        <v/>
      </c>
      <c r="E328" s="18" t="str">
        <f>_xlfn.LET(_xlpm.A,IF(ISNUMBER(SEARCH("晒单",J328)),"【晒单】"&amp;MID(J328,SEARCH("晒单",J328)+LEN("晒单"),LEN(J328))&amp;"（需晒单后联系客服登记）",IF(ISNUMBER(SEARCH("包修",J328)),"【购机】"&amp;MID(J328,SEARCH("购机",J328)+LEN("购机"),LEN(J328)),IF(ISNUMBER(SEARCH("叠放支架",J328)),"【赠品】"&amp;MID(J328,SEARCH("购机",J328)+LEN("购机"),LEN(J328)),IF(ISNUMBER(SEARCH("秀图",J328)),"【秀图】"&amp;MID(J328,SEARCH("秀图",J328)+LEN("秀图"),LEN(J328)),"")))),IFERROR(LEFT(_xlpm.A,FIND("【",_xlpm.A,FIND("】",_xlpm.A)+1)-1)&amp;MID(_xlpm.A,FIND("】",_xlpm.A,FIND("】",_xlpm.A)+1)+1,LEN(_xlpm.A)),_xlpm.A))</f>
        <v/>
      </c>
      <c r="F328" s="18" t="str">
        <f>_xlfn.LET(_xlpm.A,IF(ISNUMBER(SEARCH("晒单",K328)),"【晒单】"&amp;MID(K328,SEARCH("晒单",K328)+LEN("晒单"),LEN(K328))&amp;"（需晒单后联系客服登记）",IF(ISNUMBER(SEARCH("包修",K328)),"【购机】"&amp;MID(K328,SEARCH("购机",K328)+LEN("购机"),LEN(K328)),IF(ISNUMBER(SEARCH("叠放支架",K328)),"【赠品】"&amp;MID(K328,SEARCH("购机",K328)+LEN("购机"),LEN(K328)),IF(ISNUMBER(SEARCH("秀图",K328)),"【秀图】"&amp;MID(K328,SEARCH("秀图",K328)+LEN("秀图"),LEN(K328)),"")))),IFERROR(LEFT(_xlpm.A,FIND("【",_xlpm.A,FIND("】",_xlpm.A)+1)-1)&amp;MID(_xlpm.A,FIND("】",_xlpm.A,FIND("】",_xlpm.A)+1)+1,LEN(_xlpm.A)),_xlpm.A))</f>
        <v/>
      </c>
      <c r="G328" s="18" t="str">
        <f>_xlfn.LET(_xlpm.A,IF(ISNUMBER(SEARCH("晒单",L328)),"【晒单】"&amp;MID(L328,SEARCH("晒单",L328)+LEN("晒单"),LEN(L328))&amp;"（需晒单后联系客服登记）",IF(ISNUMBER(SEARCH("包修",L328)),"【购机】"&amp;MID(L328,SEARCH("购机",L328)+LEN("购机"),LEN(L328)),IF(ISNUMBER(SEARCH("叠放支架",L328)),"【赠品】"&amp;MID(L328,SEARCH("购机",L328)+LEN("购机"),LEN(L328)),IF(ISNUMBER(SEARCH("秀图",L328)),"【秀图】"&amp;MID(L328,SEARCH("秀图",L328)+LEN("秀图"),LEN(L328)),"")))),IFERROR(LEFT(_xlpm.A,FIND("【",_xlpm.A,FIND("】",_xlpm.A)+1)-1)&amp;MID(_xlpm.A,FIND("】",_xlpm.A,FIND("】",_xlpm.A)+1)+1,LEN(_xlpm.A)),_xlpm.A))</f>
        <v/>
      </c>
      <c r="H328" s="18" t="str">
        <f>_xlfn.LET(_xlpm.A,IF(ISNUMBER(SEARCH("晒单",M328)),"【晒单】"&amp;MID(M328,SEARCH("晒单",M328)+LEN("晒单"),LEN(M328))&amp;"（需晒单后联系客服登记）",IF(ISNUMBER(SEARCH("包修",M328)),"【购机】"&amp;MID(M328,SEARCH("购机",M328)+LEN("购机"),LEN(M328)),IF(ISNUMBER(SEARCH("叠放支架",M328)),"【赠品】"&amp;MID(M328,SEARCH("购机",M328)+LEN("购机"),LEN(M328)),IF(ISNUMBER(SEARCH("秀图",M328)),"【秀图】"&amp;MID(M328,SEARCH("秀图",M328)+LEN("秀图"),LEN(M328)),"")))),IFERROR(LEFT(_xlpm.A,FIND("【",_xlpm.A,FIND("】",_xlpm.A)+1)-1)&amp;MID(_xlpm.A,FIND("】",_xlpm.A,FIND("】",_xlpm.A)+1)+1,LEN(_xlpm.A)),_xlpm.A))</f>
        <v/>
      </c>
      <c r="I328" s="18" t="str">
        <f>_xlfn.LET(_xlpm.A,IF(ISNUMBER(SEARCH("晒单",N328)),"【晒单】"&amp;MID(N328,SEARCH("晒单",N328)+LEN("晒单"),LEN(N328))&amp;"（需晒单后联系客服登记）",IF(ISNUMBER(SEARCH("包修",N328)),"【购机】"&amp;MID(N328,SEARCH("购机",N328)+LEN("购机"),LEN(N328)),IF(ISNUMBER(SEARCH("叠放支架",N328)),"【赠品】"&amp;MID(N328,SEARCH("购机",N328)+LEN("购机"),LEN(N328)),IF(ISNUMBER(SEARCH("秀图",N328)),"【秀图】"&amp;MID(N328,SEARCH("秀图",N328)+LEN("秀图"),LEN(N328)),"")))),IFERROR(LEFT(_xlpm.A,FIND("【",_xlpm.A,FIND("】",_xlpm.A)+1)-1)&amp;MID(_xlpm.A,FIND("】",_xlpm.A,FIND("】",_xlpm.A)+1)+1,LEN(_xlpm.A)),_xlpm.A))</f>
        <v/>
      </c>
      <c r="J328" s="18" t="str" cm="1">
        <f t="array" ref="J328">IFERROR(INDEX(_xlfn.TEXTSPLIT(_xlfn.XLOOKUP($A328&amp;$B328&amp;$C328,盘货信息!$A:$A&amp;盘货信息!$B:$B&amp;盘货信息!$C:$C,盘货信息!$S:$S),CHAR(10),,TRUE),1,COLUMN(A327)),"")</f>
        <v/>
      </c>
      <c r="K328" s="18" t="str" cm="1">
        <f t="array" ref="K328">IFERROR(INDEX(_xlfn.TEXTSPLIT(_xlfn.XLOOKUP($A328&amp;$B328&amp;$C328,盘货信息!$A:$A&amp;盘货信息!$B:$B&amp;盘货信息!$C:$C,盘货信息!$S:$S),CHAR(10),,TRUE),1,COLUMN(B327)),"")</f>
        <v/>
      </c>
      <c r="L328" s="18" t="str" cm="1">
        <f t="array" ref="L328">IFERROR(INDEX(_xlfn.TEXTSPLIT(_xlfn.XLOOKUP($A328&amp;$B328&amp;$C328,盘货信息!$A:$A&amp;盘货信息!$B:$B&amp;盘货信息!$C:$C,盘货信息!$S:$S),CHAR(10),,TRUE),1,COLUMN(C327)),"")</f>
        <v/>
      </c>
      <c r="M328" s="18" t="str" cm="1">
        <f t="array" ref="M328">IFERROR(INDEX(_xlfn.TEXTSPLIT(_xlfn.XLOOKUP($A328&amp;$B328&amp;$C328,盘货信息!$A:$A&amp;盘货信息!$B:$B&amp;盘货信息!$C:$C,盘货信息!$S:$S),CHAR(10),,TRUE),1,COLUMN(D327)),"")</f>
        <v/>
      </c>
      <c r="N328" s="18" t="str" cm="1">
        <f t="array" ref="N328">IFERROR(INDEX(_xlfn.TEXTSPLIT(_xlfn.XLOOKUP($A328&amp;$B328&amp;$C328,盘货信息!$A:$A&amp;盘货信息!$B:$B&amp;盘货信息!$C:$C,盘货信息!$S:$S),CHAR(10),,TRUE),1,COLUMN(E327)),"")</f>
        <v/>
      </c>
    </row>
    <row r="329" customHeight="1" spans="1:14">
      <c r="A329" s="17" t="str">
        <f>IF(盘货信息!A329="","",盘货信息!A329)</f>
        <v/>
      </c>
      <c r="B329" s="17" t="str">
        <f>IF(盘货信息!B329="","",盘货信息!B329)</f>
        <v/>
      </c>
      <c r="C329" s="18" t="str">
        <f>IF(盘货信息!C329="","",盘货信息!C329)</f>
        <v/>
      </c>
      <c r="D329" s="18" t="str">
        <f t="shared" si="5"/>
        <v/>
      </c>
      <c r="E329" s="18" t="str">
        <f>_xlfn.LET(_xlpm.A,IF(ISNUMBER(SEARCH("晒单",J329)),"【晒单】"&amp;MID(J329,SEARCH("晒单",J329)+LEN("晒单"),LEN(J329))&amp;"（需晒单后联系客服登记）",IF(ISNUMBER(SEARCH("包修",J329)),"【购机】"&amp;MID(J329,SEARCH("购机",J329)+LEN("购机"),LEN(J329)),IF(ISNUMBER(SEARCH("叠放支架",J329)),"【赠品】"&amp;MID(J329,SEARCH("购机",J329)+LEN("购机"),LEN(J329)),IF(ISNUMBER(SEARCH("秀图",J329)),"【秀图】"&amp;MID(J329,SEARCH("秀图",J329)+LEN("秀图"),LEN(J329)),"")))),IFERROR(LEFT(_xlpm.A,FIND("【",_xlpm.A,FIND("】",_xlpm.A)+1)-1)&amp;MID(_xlpm.A,FIND("】",_xlpm.A,FIND("】",_xlpm.A)+1)+1,LEN(_xlpm.A)),_xlpm.A))</f>
        <v/>
      </c>
      <c r="F329" s="18" t="str">
        <f>_xlfn.LET(_xlpm.A,IF(ISNUMBER(SEARCH("晒单",K329)),"【晒单】"&amp;MID(K329,SEARCH("晒单",K329)+LEN("晒单"),LEN(K329))&amp;"（需晒单后联系客服登记）",IF(ISNUMBER(SEARCH("包修",K329)),"【购机】"&amp;MID(K329,SEARCH("购机",K329)+LEN("购机"),LEN(K329)),IF(ISNUMBER(SEARCH("叠放支架",K329)),"【赠品】"&amp;MID(K329,SEARCH("购机",K329)+LEN("购机"),LEN(K329)),IF(ISNUMBER(SEARCH("秀图",K329)),"【秀图】"&amp;MID(K329,SEARCH("秀图",K329)+LEN("秀图"),LEN(K329)),"")))),IFERROR(LEFT(_xlpm.A,FIND("【",_xlpm.A,FIND("】",_xlpm.A)+1)-1)&amp;MID(_xlpm.A,FIND("】",_xlpm.A,FIND("】",_xlpm.A)+1)+1,LEN(_xlpm.A)),_xlpm.A))</f>
        <v/>
      </c>
      <c r="G329" s="18" t="str">
        <f>_xlfn.LET(_xlpm.A,IF(ISNUMBER(SEARCH("晒单",L329)),"【晒单】"&amp;MID(L329,SEARCH("晒单",L329)+LEN("晒单"),LEN(L329))&amp;"（需晒单后联系客服登记）",IF(ISNUMBER(SEARCH("包修",L329)),"【购机】"&amp;MID(L329,SEARCH("购机",L329)+LEN("购机"),LEN(L329)),IF(ISNUMBER(SEARCH("叠放支架",L329)),"【赠品】"&amp;MID(L329,SEARCH("购机",L329)+LEN("购机"),LEN(L329)),IF(ISNUMBER(SEARCH("秀图",L329)),"【秀图】"&amp;MID(L329,SEARCH("秀图",L329)+LEN("秀图"),LEN(L329)),"")))),IFERROR(LEFT(_xlpm.A,FIND("【",_xlpm.A,FIND("】",_xlpm.A)+1)-1)&amp;MID(_xlpm.A,FIND("】",_xlpm.A,FIND("】",_xlpm.A)+1)+1,LEN(_xlpm.A)),_xlpm.A))</f>
        <v/>
      </c>
      <c r="H329" s="18" t="str">
        <f>_xlfn.LET(_xlpm.A,IF(ISNUMBER(SEARCH("晒单",M329)),"【晒单】"&amp;MID(M329,SEARCH("晒单",M329)+LEN("晒单"),LEN(M329))&amp;"（需晒单后联系客服登记）",IF(ISNUMBER(SEARCH("包修",M329)),"【购机】"&amp;MID(M329,SEARCH("购机",M329)+LEN("购机"),LEN(M329)),IF(ISNUMBER(SEARCH("叠放支架",M329)),"【赠品】"&amp;MID(M329,SEARCH("购机",M329)+LEN("购机"),LEN(M329)),IF(ISNUMBER(SEARCH("秀图",M329)),"【秀图】"&amp;MID(M329,SEARCH("秀图",M329)+LEN("秀图"),LEN(M329)),"")))),IFERROR(LEFT(_xlpm.A,FIND("【",_xlpm.A,FIND("】",_xlpm.A)+1)-1)&amp;MID(_xlpm.A,FIND("】",_xlpm.A,FIND("】",_xlpm.A)+1)+1,LEN(_xlpm.A)),_xlpm.A))</f>
        <v/>
      </c>
      <c r="I329" s="18" t="str">
        <f>_xlfn.LET(_xlpm.A,IF(ISNUMBER(SEARCH("晒单",N329)),"【晒单】"&amp;MID(N329,SEARCH("晒单",N329)+LEN("晒单"),LEN(N329))&amp;"（需晒单后联系客服登记）",IF(ISNUMBER(SEARCH("包修",N329)),"【购机】"&amp;MID(N329,SEARCH("购机",N329)+LEN("购机"),LEN(N329)),IF(ISNUMBER(SEARCH("叠放支架",N329)),"【赠品】"&amp;MID(N329,SEARCH("购机",N329)+LEN("购机"),LEN(N329)),IF(ISNUMBER(SEARCH("秀图",N329)),"【秀图】"&amp;MID(N329,SEARCH("秀图",N329)+LEN("秀图"),LEN(N329)),"")))),IFERROR(LEFT(_xlpm.A,FIND("【",_xlpm.A,FIND("】",_xlpm.A)+1)-1)&amp;MID(_xlpm.A,FIND("】",_xlpm.A,FIND("】",_xlpm.A)+1)+1,LEN(_xlpm.A)),_xlpm.A))</f>
        <v/>
      </c>
      <c r="J329" s="18" t="str" cm="1">
        <f t="array" ref="J329">IFERROR(INDEX(_xlfn.TEXTSPLIT(_xlfn.XLOOKUP($A329&amp;$B329&amp;$C329,盘货信息!$A:$A&amp;盘货信息!$B:$B&amp;盘货信息!$C:$C,盘货信息!$S:$S),CHAR(10),,TRUE),1,COLUMN(A328)),"")</f>
        <v/>
      </c>
      <c r="K329" s="18" t="str" cm="1">
        <f t="array" ref="K329">IFERROR(INDEX(_xlfn.TEXTSPLIT(_xlfn.XLOOKUP($A329&amp;$B329&amp;$C329,盘货信息!$A:$A&amp;盘货信息!$B:$B&amp;盘货信息!$C:$C,盘货信息!$S:$S),CHAR(10),,TRUE),1,COLUMN(B328)),"")</f>
        <v/>
      </c>
      <c r="L329" s="18" t="str" cm="1">
        <f t="array" ref="L329">IFERROR(INDEX(_xlfn.TEXTSPLIT(_xlfn.XLOOKUP($A329&amp;$B329&amp;$C329,盘货信息!$A:$A&amp;盘货信息!$B:$B&amp;盘货信息!$C:$C,盘货信息!$S:$S),CHAR(10),,TRUE),1,COLUMN(C328)),"")</f>
        <v/>
      </c>
      <c r="M329" s="18" t="str" cm="1">
        <f t="array" ref="M329">IFERROR(INDEX(_xlfn.TEXTSPLIT(_xlfn.XLOOKUP($A329&amp;$B329&amp;$C329,盘货信息!$A:$A&amp;盘货信息!$B:$B&amp;盘货信息!$C:$C,盘货信息!$S:$S),CHAR(10),,TRUE),1,COLUMN(D328)),"")</f>
        <v/>
      </c>
      <c r="N329" s="18" t="str" cm="1">
        <f t="array" ref="N329">IFERROR(INDEX(_xlfn.TEXTSPLIT(_xlfn.XLOOKUP($A329&amp;$B329&amp;$C329,盘货信息!$A:$A&amp;盘货信息!$B:$B&amp;盘货信息!$C:$C,盘货信息!$S:$S),CHAR(10),,TRUE),1,COLUMN(E328)),"")</f>
        <v/>
      </c>
    </row>
    <row r="330" customHeight="1" spans="1:14">
      <c r="A330" s="17" t="str">
        <f>IF(盘货信息!A330="","",盘货信息!A330)</f>
        <v/>
      </c>
      <c r="B330" s="17" t="str">
        <f>IF(盘货信息!B330="","",盘货信息!B330)</f>
        <v/>
      </c>
      <c r="C330" s="18" t="str">
        <f>IF(盘货信息!C330="","",盘货信息!C330)</f>
        <v/>
      </c>
      <c r="D330" s="18" t="str">
        <f t="shared" si="5"/>
        <v/>
      </c>
      <c r="E330" s="18" t="str">
        <f>_xlfn.LET(_xlpm.A,IF(ISNUMBER(SEARCH("晒单",J330)),"【晒单】"&amp;MID(J330,SEARCH("晒单",J330)+LEN("晒单"),LEN(J330))&amp;"（需晒单后联系客服登记）",IF(ISNUMBER(SEARCH("包修",J330)),"【购机】"&amp;MID(J330,SEARCH("购机",J330)+LEN("购机"),LEN(J330)),IF(ISNUMBER(SEARCH("叠放支架",J330)),"【赠品】"&amp;MID(J330,SEARCH("购机",J330)+LEN("购机"),LEN(J330)),IF(ISNUMBER(SEARCH("秀图",J330)),"【秀图】"&amp;MID(J330,SEARCH("秀图",J330)+LEN("秀图"),LEN(J330)),"")))),IFERROR(LEFT(_xlpm.A,FIND("【",_xlpm.A,FIND("】",_xlpm.A)+1)-1)&amp;MID(_xlpm.A,FIND("】",_xlpm.A,FIND("】",_xlpm.A)+1)+1,LEN(_xlpm.A)),_xlpm.A))</f>
        <v/>
      </c>
      <c r="F330" s="18" t="str">
        <f>_xlfn.LET(_xlpm.A,IF(ISNUMBER(SEARCH("晒单",K330)),"【晒单】"&amp;MID(K330,SEARCH("晒单",K330)+LEN("晒单"),LEN(K330))&amp;"（需晒单后联系客服登记）",IF(ISNUMBER(SEARCH("包修",K330)),"【购机】"&amp;MID(K330,SEARCH("购机",K330)+LEN("购机"),LEN(K330)),IF(ISNUMBER(SEARCH("叠放支架",K330)),"【赠品】"&amp;MID(K330,SEARCH("购机",K330)+LEN("购机"),LEN(K330)),IF(ISNUMBER(SEARCH("秀图",K330)),"【秀图】"&amp;MID(K330,SEARCH("秀图",K330)+LEN("秀图"),LEN(K330)),"")))),IFERROR(LEFT(_xlpm.A,FIND("【",_xlpm.A,FIND("】",_xlpm.A)+1)-1)&amp;MID(_xlpm.A,FIND("】",_xlpm.A,FIND("】",_xlpm.A)+1)+1,LEN(_xlpm.A)),_xlpm.A))</f>
        <v/>
      </c>
      <c r="G330" s="18" t="str">
        <f>_xlfn.LET(_xlpm.A,IF(ISNUMBER(SEARCH("晒单",L330)),"【晒单】"&amp;MID(L330,SEARCH("晒单",L330)+LEN("晒单"),LEN(L330))&amp;"（需晒单后联系客服登记）",IF(ISNUMBER(SEARCH("包修",L330)),"【购机】"&amp;MID(L330,SEARCH("购机",L330)+LEN("购机"),LEN(L330)),IF(ISNUMBER(SEARCH("叠放支架",L330)),"【赠品】"&amp;MID(L330,SEARCH("购机",L330)+LEN("购机"),LEN(L330)),IF(ISNUMBER(SEARCH("秀图",L330)),"【秀图】"&amp;MID(L330,SEARCH("秀图",L330)+LEN("秀图"),LEN(L330)),"")))),IFERROR(LEFT(_xlpm.A,FIND("【",_xlpm.A,FIND("】",_xlpm.A)+1)-1)&amp;MID(_xlpm.A,FIND("】",_xlpm.A,FIND("】",_xlpm.A)+1)+1,LEN(_xlpm.A)),_xlpm.A))</f>
        <v/>
      </c>
      <c r="H330" s="18" t="str">
        <f>_xlfn.LET(_xlpm.A,IF(ISNUMBER(SEARCH("晒单",M330)),"【晒单】"&amp;MID(M330,SEARCH("晒单",M330)+LEN("晒单"),LEN(M330))&amp;"（需晒单后联系客服登记）",IF(ISNUMBER(SEARCH("包修",M330)),"【购机】"&amp;MID(M330,SEARCH("购机",M330)+LEN("购机"),LEN(M330)),IF(ISNUMBER(SEARCH("叠放支架",M330)),"【赠品】"&amp;MID(M330,SEARCH("购机",M330)+LEN("购机"),LEN(M330)),IF(ISNUMBER(SEARCH("秀图",M330)),"【秀图】"&amp;MID(M330,SEARCH("秀图",M330)+LEN("秀图"),LEN(M330)),"")))),IFERROR(LEFT(_xlpm.A,FIND("【",_xlpm.A,FIND("】",_xlpm.A)+1)-1)&amp;MID(_xlpm.A,FIND("】",_xlpm.A,FIND("】",_xlpm.A)+1)+1,LEN(_xlpm.A)),_xlpm.A))</f>
        <v/>
      </c>
      <c r="I330" s="18" t="str">
        <f>_xlfn.LET(_xlpm.A,IF(ISNUMBER(SEARCH("晒单",N330)),"【晒单】"&amp;MID(N330,SEARCH("晒单",N330)+LEN("晒单"),LEN(N330))&amp;"（需晒单后联系客服登记）",IF(ISNUMBER(SEARCH("包修",N330)),"【购机】"&amp;MID(N330,SEARCH("购机",N330)+LEN("购机"),LEN(N330)),IF(ISNUMBER(SEARCH("叠放支架",N330)),"【赠品】"&amp;MID(N330,SEARCH("购机",N330)+LEN("购机"),LEN(N330)),IF(ISNUMBER(SEARCH("秀图",N330)),"【秀图】"&amp;MID(N330,SEARCH("秀图",N330)+LEN("秀图"),LEN(N330)),"")))),IFERROR(LEFT(_xlpm.A,FIND("【",_xlpm.A,FIND("】",_xlpm.A)+1)-1)&amp;MID(_xlpm.A,FIND("】",_xlpm.A,FIND("】",_xlpm.A)+1)+1,LEN(_xlpm.A)),_xlpm.A))</f>
        <v/>
      </c>
      <c r="J330" s="18" t="str" cm="1">
        <f t="array" ref="J330">IFERROR(INDEX(_xlfn.TEXTSPLIT(_xlfn.XLOOKUP($A330&amp;$B330&amp;$C330,盘货信息!$A:$A&amp;盘货信息!$B:$B&amp;盘货信息!$C:$C,盘货信息!$S:$S),CHAR(10),,TRUE),1,COLUMN(A329)),"")</f>
        <v/>
      </c>
      <c r="K330" s="18" t="str" cm="1">
        <f t="array" ref="K330">IFERROR(INDEX(_xlfn.TEXTSPLIT(_xlfn.XLOOKUP($A330&amp;$B330&amp;$C330,盘货信息!$A:$A&amp;盘货信息!$B:$B&amp;盘货信息!$C:$C,盘货信息!$S:$S),CHAR(10),,TRUE),1,COLUMN(B329)),"")</f>
        <v/>
      </c>
      <c r="L330" s="18" t="str" cm="1">
        <f t="array" ref="L330">IFERROR(INDEX(_xlfn.TEXTSPLIT(_xlfn.XLOOKUP($A330&amp;$B330&amp;$C330,盘货信息!$A:$A&amp;盘货信息!$B:$B&amp;盘货信息!$C:$C,盘货信息!$S:$S),CHAR(10),,TRUE),1,COLUMN(C329)),"")</f>
        <v/>
      </c>
      <c r="M330" s="18" t="str" cm="1">
        <f t="array" ref="M330">IFERROR(INDEX(_xlfn.TEXTSPLIT(_xlfn.XLOOKUP($A330&amp;$B330&amp;$C330,盘货信息!$A:$A&amp;盘货信息!$B:$B&amp;盘货信息!$C:$C,盘货信息!$S:$S),CHAR(10),,TRUE),1,COLUMN(D329)),"")</f>
        <v/>
      </c>
      <c r="N330" s="18" t="str" cm="1">
        <f t="array" ref="N330">IFERROR(INDEX(_xlfn.TEXTSPLIT(_xlfn.XLOOKUP($A330&amp;$B330&amp;$C330,盘货信息!$A:$A&amp;盘货信息!$B:$B&amp;盘货信息!$C:$C,盘货信息!$S:$S),CHAR(10),,TRUE),1,COLUMN(E329)),"")</f>
        <v/>
      </c>
    </row>
    <row r="331" customHeight="1" spans="1:14">
      <c r="A331" s="17" t="str">
        <f>IF(盘货信息!A331="","",盘货信息!A331)</f>
        <v/>
      </c>
      <c r="B331" s="17" t="str">
        <f>IF(盘货信息!B331="","",盘货信息!B331)</f>
        <v/>
      </c>
      <c r="C331" s="18" t="str">
        <f>IF(盘货信息!C331="","",盘货信息!C331)</f>
        <v/>
      </c>
      <c r="D331" s="18" t="str">
        <f t="shared" si="5"/>
        <v/>
      </c>
      <c r="E331" s="18" t="str">
        <f>_xlfn.LET(_xlpm.A,IF(ISNUMBER(SEARCH("晒单",J331)),"【晒单】"&amp;MID(J331,SEARCH("晒单",J331)+LEN("晒单"),LEN(J331))&amp;"（需晒单后联系客服登记）",IF(ISNUMBER(SEARCH("包修",J331)),"【购机】"&amp;MID(J331,SEARCH("购机",J331)+LEN("购机"),LEN(J331)),IF(ISNUMBER(SEARCH("叠放支架",J331)),"【赠品】"&amp;MID(J331,SEARCH("购机",J331)+LEN("购机"),LEN(J331)),IF(ISNUMBER(SEARCH("秀图",J331)),"【秀图】"&amp;MID(J331,SEARCH("秀图",J331)+LEN("秀图"),LEN(J331)),"")))),IFERROR(LEFT(_xlpm.A,FIND("【",_xlpm.A,FIND("】",_xlpm.A)+1)-1)&amp;MID(_xlpm.A,FIND("】",_xlpm.A,FIND("】",_xlpm.A)+1)+1,LEN(_xlpm.A)),_xlpm.A))</f>
        <v/>
      </c>
      <c r="F331" s="18" t="str">
        <f>_xlfn.LET(_xlpm.A,IF(ISNUMBER(SEARCH("晒单",K331)),"【晒单】"&amp;MID(K331,SEARCH("晒单",K331)+LEN("晒单"),LEN(K331))&amp;"（需晒单后联系客服登记）",IF(ISNUMBER(SEARCH("包修",K331)),"【购机】"&amp;MID(K331,SEARCH("购机",K331)+LEN("购机"),LEN(K331)),IF(ISNUMBER(SEARCH("叠放支架",K331)),"【赠品】"&amp;MID(K331,SEARCH("购机",K331)+LEN("购机"),LEN(K331)),IF(ISNUMBER(SEARCH("秀图",K331)),"【秀图】"&amp;MID(K331,SEARCH("秀图",K331)+LEN("秀图"),LEN(K331)),"")))),IFERROR(LEFT(_xlpm.A,FIND("【",_xlpm.A,FIND("】",_xlpm.A)+1)-1)&amp;MID(_xlpm.A,FIND("】",_xlpm.A,FIND("】",_xlpm.A)+1)+1,LEN(_xlpm.A)),_xlpm.A))</f>
        <v/>
      </c>
      <c r="G331" s="18" t="str">
        <f>_xlfn.LET(_xlpm.A,IF(ISNUMBER(SEARCH("晒单",L331)),"【晒单】"&amp;MID(L331,SEARCH("晒单",L331)+LEN("晒单"),LEN(L331))&amp;"（需晒单后联系客服登记）",IF(ISNUMBER(SEARCH("包修",L331)),"【购机】"&amp;MID(L331,SEARCH("购机",L331)+LEN("购机"),LEN(L331)),IF(ISNUMBER(SEARCH("叠放支架",L331)),"【赠品】"&amp;MID(L331,SEARCH("购机",L331)+LEN("购机"),LEN(L331)),IF(ISNUMBER(SEARCH("秀图",L331)),"【秀图】"&amp;MID(L331,SEARCH("秀图",L331)+LEN("秀图"),LEN(L331)),"")))),IFERROR(LEFT(_xlpm.A,FIND("【",_xlpm.A,FIND("】",_xlpm.A)+1)-1)&amp;MID(_xlpm.A,FIND("】",_xlpm.A,FIND("】",_xlpm.A)+1)+1,LEN(_xlpm.A)),_xlpm.A))</f>
        <v/>
      </c>
      <c r="H331" s="18" t="str">
        <f>_xlfn.LET(_xlpm.A,IF(ISNUMBER(SEARCH("晒单",M331)),"【晒单】"&amp;MID(M331,SEARCH("晒单",M331)+LEN("晒单"),LEN(M331))&amp;"（需晒单后联系客服登记）",IF(ISNUMBER(SEARCH("包修",M331)),"【购机】"&amp;MID(M331,SEARCH("购机",M331)+LEN("购机"),LEN(M331)),IF(ISNUMBER(SEARCH("叠放支架",M331)),"【赠品】"&amp;MID(M331,SEARCH("购机",M331)+LEN("购机"),LEN(M331)),IF(ISNUMBER(SEARCH("秀图",M331)),"【秀图】"&amp;MID(M331,SEARCH("秀图",M331)+LEN("秀图"),LEN(M331)),"")))),IFERROR(LEFT(_xlpm.A,FIND("【",_xlpm.A,FIND("】",_xlpm.A)+1)-1)&amp;MID(_xlpm.A,FIND("】",_xlpm.A,FIND("】",_xlpm.A)+1)+1,LEN(_xlpm.A)),_xlpm.A))</f>
        <v/>
      </c>
      <c r="I331" s="18" t="str">
        <f>_xlfn.LET(_xlpm.A,IF(ISNUMBER(SEARCH("晒单",N331)),"【晒单】"&amp;MID(N331,SEARCH("晒单",N331)+LEN("晒单"),LEN(N331))&amp;"（需晒单后联系客服登记）",IF(ISNUMBER(SEARCH("包修",N331)),"【购机】"&amp;MID(N331,SEARCH("购机",N331)+LEN("购机"),LEN(N331)),IF(ISNUMBER(SEARCH("叠放支架",N331)),"【赠品】"&amp;MID(N331,SEARCH("购机",N331)+LEN("购机"),LEN(N331)),IF(ISNUMBER(SEARCH("秀图",N331)),"【秀图】"&amp;MID(N331,SEARCH("秀图",N331)+LEN("秀图"),LEN(N331)),"")))),IFERROR(LEFT(_xlpm.A,FIND("【",_xlpm.A,FIND("】",_xlpm.A)+1)-1)&amp;MID(_xlpm.A,FIND("】",_xlpm.A,FIND("】",_xlpm.A)+1)+1,LEN(_xlpm.A)),_xlpm.A))</f>
        <v/>
      </c>
      <c r="J331" s="18" t="str" cm="1">
        <f t="array" ref="J331">IFERROR(INDEX(_xlfn.TEXTSPLIT(_xlfn.XLOOKUP($A331&amp;$B331&amp;$C331,盘货信息!$A:$A&amp;盘货信息!$B:$B&amp;盘货信息!$C:$C,盘货信息!$S:$S),CHAR(10),,TRUE),1,COLUMN(A330)),"")</f>
        <v/>
      </c>
      <c r="K331" s="18" t="str" cm="1">
        <f t="array" ref="K331">IFERROR(INDEX(_xlfn.TEXTSPLIT(_xlfn.XLOOKUP($A331&amp;$B331&amp;$C331,盘货信息!$A:$A&amp;盘货信息!$B:$B&amp;盘货信息!$C:$C,盘货信息!$S:$S),CHAR(10),,TRUE),1,COLUMN(B330)),"")</f>
        <v/>
      </c>
      <c r="L331" s="18" t="str" cm="1">
        <f t="array" ref="L331">IFERROR(INDEX(_xlfn.TEXTSPLIT(_xlfn.XLOOKUP($A331&amp;$B331&amp;$C331,盘货信息!$A:$A&amp;盘货信息!$B:$B&amp;盘货信息!$C:$C,盘货信息!$S:$S),CHAR(10),,TRUE),1,COLUMN(C330)),"")</f>
        <v/>
      </c>
      <c r="M331" s="18" t="str" cm="1">
        <f t="array" ref="M331">IFERROR(INDEX(_xlfn.TEXTSPLIT(_xlfn.XLOOKUP($A331&amp;$B331&amp;$C331,盘货信息!$A:$A&amp;盘货信息!$B:$B&amp;盘货信息!$C:$C,盘货信息!$S:$S),CHAR(10),,TRUE),1,COLUMN(D330)),"")</f>
        <v/>
      </c>
      <c r="N331" s="18" t="str" cm="1">
        <f t="array" ref="N331">IFERROR(INDEX(_xlfn.TEXTSPLIT(_xlfn.XLOOKUP($A331&amp;$B331&amp;$C331,盘货信息!$A:$A&amp;盘货信息!$B:$B&amp;盘货信息!$C:$C,盘货信息!$S:$S),CHAR(10),,TRUE),1,COLUMN(E330)),"")</f>
        <v/>
      </c>
    </row>
    <row r="332" customHeight="1" spans="1:14">
      <c r="A332" s="17" t="str">
        <f>IF(盘货信息!A332="","",盘货信息!A332)</f>
        <v/>
      </c>
      <c r="B332" s="17" t="str">
        <f>IF(盘货信息!B332="","",盘货信息!B332)</f>
        <v/>
      </c>
      <c r="C332" s="18" t="str">
        <f>IF(盘货信息!C332="","",盘货信息!C332)</f>
        <v/>
      </c>
      <c r="D332" s="18" t="str">
        <f t="shared" si="5"/>
        <v/>
      </c>
      <c r="E332" s="18" t="str">
        <f>_xlfn.LET(_xlpm.A,IF(ISNUMBER(SEARCH("晒单",J332)),"【晒单】"&amp;MID(J332,SEARCH("晒单",J332)+LEN("晒单"),LEN(J332))&amp;"（需晒单后联系客服登记）",IF(ISNUMBER(SEARCH("包修",J332)),"【购机】"&amp;MID(J332,SEARCH("购机",J332)+LEN("购机"),LEN(J332)),IF(ISNUMBER(SEARCH("叠放支架",J332)),"【赠品】"&amp;MID(J332,SEARCH("购机",J332)+LEN("购机"),LEN(J332)),IF(ISNUMBER(SEARCH("秀图",J332)),"【秀图】"&amp;MID(J332,SEARCH("秀图",J332)+LEN("秀图"),LEN(J332)),"")))),IFERROR(LEFT(_xlpm.A,FIND("【",_xlpm.A,FIND("】",_xlpm.A)+1)-1)&amp;MID(_xlpm.A,FIND("】",_xlpm.A,FIND("】",_xlpm.A)+1)+1,LEN(_xlpm.A)),_xlpm.A))</f>
        <v/>
      </c>
      <c r="F332" s="18" t="str">
        <f>_xlfn.LET(_xlpm.A,IF(ISNUMBER(SEARCH("晒单",K332)),"【晒单】"&amp;MID(K332,SEARCH("晒单",K332)+LEN("晒单"),LEN(K332))&amp;"（需晒单后联系客服登记）",IF(ISNUMBER(SEARCH("包修",K332)),"【购机】"&amp;MID(K332,SEARCH("购机",K332)+LEN("购机"),LEN(K332)),IF(ISNUMBER(SEARCH("叠放支架",K332)),"【赠品】"&amp;MID(K332,SEARCH("购机",K332)+LEN("购机"),LEN(K332)),IF(ISNUMBER(SEARCH("秀图",K332)),"【秀图】"&amp;MID(K332,SEARCH("秀图",K332)+LEN("秀图"),LEN(K332)),"")))),IFERROR(LEFT(_xlpm.A,FIND("【",_xlpm.A,FIND("】",_xlpm.A)+1)-1)&amp;MID(_xlpm.A,FIND("】",_xlpm.A,FIND("】",_xlpm.A)+1)+1,LEN(_xlpm.A)),_xlpm.A))</f>
        <v/>
      </c>
      <c r="G332" s="18" t="str">
        <f>_xlfn.LET(_xlpm.A,IF(ISNUMBER(SEARCH("晒单",L332)),"【晒单】"&amp;MID(L332,SEARCH("晒单",L332)+LEN("晒单"),LEN(L332))&amp;"（需晒单后联系客服登记）",IF(ISNUMBER(SEARCH("包修",L332)),"【购机】"&amp;MID(L332,SEARCH("购机",L332)+LEN("购机"),LEN(L332)),IF(ISNUMBER(SEARCH("叠放支架",L332)),"【赠品】"&amp;MID(L332,SEARCH("购机",L332)+LEN("购机"),LEN(L332)),IF(ISNUMBER(SEARCH("秀图",L332)),"【秀图】"&amp;MID(L332,SEARCH("秀图",L332)+LEN("秀图"),LEN(L332)),"")))),IFERROR(LEFT(_xlpm.A,FIND("【",_xlpm.A,FIND("】",_xlpm.A)+1)-1)&amp;MID(_xlpm.A,FIND("】",_xlpm.A,FIND("】",_xlpm.A)+1)+1,LEN(_xlpm.A)),_xlpm.A))</f>
        <v/>
      </c>
      <c r="H332" s="18" t="str">
        <f>_xlfn.LET(_xlpm.A,IF(ISNUMBER(SEARCH("晒单",M332)),"【晒单】"&amp;MID(M332,SEARCH("晒单",M332)+LEN("晒单"),LEN(M332))&amp;"（需晒单后联系客服登记）",IF(ISNUMBER(SEARCH("包修",M332)),"【购机】"&amp;MID(M332,SEARCH("购机",M332)+LEN("购机"),LEN(M332)),IF(ISNUMBER(SEARCH("叠放支架",M332)),"【赠品】"&amp;MID(M332,SEARCH("购机",M332)+LEN("购机"),LEN(M332)),IF(ISNUMBER(SEARCH("秀图",M332)),"【秀图】"&amp;MID(M332,SEARCH("秀图",M332)+LEN("秀图"),LEN(M332)),"")))),IFERROR(LEFT(_xlpm.A,FIND("【",_xlpm.A,FIND("】",_xlpm.A)+1)-1)&amp;MID(_xlpm.A,FIND("】",_xlpm.A,FIND("】",_xlpm.A)+1)+1,LEN(_xlpm.A)),_xlpm.A))</f>
        <v/>
      </c>
      <c r="I332" s="18" t="str">
        <f>_xlfn.LET(_xlpm.A,IF(ISNUMBER(SEARCH("晒单",N332)),"【晒单】"&amp;MID(N332,SEARCH("晒单",N332)+LEN("晒单"),LEN(N332))&amp;"（需晒单后联系客服登记）",IF(ISNUMBER(SEARCH("包修",N332)),"【购机】"&amp;MID(N332,SEARCH("购机",N332)+LEN("购机"),LEN(N332)),IF(ISNUMBER(SEARCH("叠放支架",N332)),"【赠品】"&amp;MID(N332,SEARCH("购机",N332)+LEN("购机"),LEN(N332)),IF(ISNUMBER(SEARCH("秀图",N332)),"【秀图】"&amp;MID(N332,SEARCH("秀图",N332)+LEN("秀图"),LEN(N332)),"")))),IFERROR(LEFT(_xlpm.A,FIND("【",_xlpm.A,FIND("】",_xlpm.A)+1)-1)&amp;MID(_xlpm.A,FIND("】",_xlpm.A,FIND("】",_xlpm.A)+1)+1,LEN(_xlpm.A)),_xlpm.A))</f>
        <v/>
      </c>
      <c r="J332" s="18" t="str" cm="1">
        <f t="array" ref="J332">IFERROR(INDEX(_xlfn.TEXTSPLIT(_xlfn.XLOOKUP($A332&amp;$B332&amp;$C332,盘货信息!$A:$A&amp;盘货信息!$B:$B&amp;盘货信息!$C:$C,盘货信息!$S:$S),CHAR(10),,TRUE),1,COLUMN(A331)),"")</f>
        <v/>
      </c>
      <c r="K332" s="18" t="str" cm="1">
        <f t="array" ref="K332">IFERROR(INDEX(_xlfn.TEXTSPLIT(_xlfn.XLOOKUP($A332&amp;$B332&amp;$C332,盘货信息!$A:$A&amp;盘货信息!$B:$B&amp;盘货信息!$C:$C,盘货信息!$S:$S),CHAR(10),,TRUE),1,COLUMN(B331)),"")</f>
        <v/>
      </c>
      <c r="L332" s="18" t="str" cm="1">
        <f t="array" ref="L332">IFERROR(INDEX(_xlfn.TEXTSPLIT(_xlfn.XLOOKUP($A332&amp;$B332&amp;$C332,盘货信息!$A:$A&amp;盘货信息!$B:$B&amp;盘货信息!$C:$C,盘货信息!$S:$S),CHAR(10),,TRUE),1,COLUMN(C331)),"")</f>
        <v/>
      </c>
      <c r="M332" s="18" t="str" cm="1">
        <f t="array" ref="M332">IFERROR(INDEX(_xlfn.TEXTSPLIT(_xlfn.XLOOKUP($A332&amp;$B332&amp;$C332,盘货信息!$A:$A&amp;盘货信息!$B:$B&amp;盘货信息!$C:$C,盘货信息!$S:$S),CHAR(10),,TRUE),1,COLUMN(D331)),"")</f>
        <v/>
      </c>
      <c r="N332" s="18" t="str" cm="1">
        <f t="array" ref="N332">IFERROR(INDEX(_xlfn.TEXTSPLIT(_xlfn.XLOOKUP($A332&amp;$B332&amp;$C332,盘货信息!$A:$A&amp;盘货信息!$B:$B&amp;盘货信息!$C:$C,盘货信息!$S:$S),CHAR(10),,TRUE),1,COLUMN(E331)),"")</f>
        <v/>
      </c>
    </row>
    <row r="333" customHeight="1" spans="1:14">
      <c r="A333" s="17" t="str">
        <f>IF(盘货信息!A333="","",盘货信息!A333)</f>
        <v/>
      </c>
      <c r="B333" s="17" t="str">
        <f>IF(盘货信息!B333="","",盘货信息!B333)</f>
        <v/>
      </c>
      <c r="C333" s="18" t="str">
        <f>IF(盘货信息!C333="","",盘货信息!C333)</f>
        <v/>
      </c>
      <c r="D333" s="18" t="str">
        <f t="shared" si="5"/>
        <v/>
      </c>
      <c r="E333" s="18" t="str">
        <f>_xlfn.LET(_xlpm.A,IF(ISNUMBER(SEARCH("晒单",J333)),"【晒单】"&amp;MID(J333,SEARCH("晒单",J333)+LEN("晒单"),LEN(J333))&amp;"（需晒单后联系客服登记）",IF(ISNUMBER(SEARCH("包修",J333)),"【购机】"&amp;MID(J333,SEARCH("购机",J333)+LEN("购机"),LEN(J333)),IF(ISNUMBER(SEARCH("叠放支架",J333)),"【赠品】"&amp;MID(J333,SEARCH("购机",J333)+LEN("购机"),LEN(J333)),IF(ISNUMBER(SEARCH("秀图",J333)),"【秀图】"&amp;MID(J333,SEARCH("秀图",J333)+LEN("秀图"),LEN(J333)),"")))),IFERROR(LEFT(_xlpm.A,FIND("【",_xlpm.A,FIND("】",_xlpm.A)+1)-1)&amp;MID(_xlpm.A,FIND("】",_xlpm.A,FIND("】",_xlpm.A)+1)+1,LEN(_xlpm.A)),_xlpm.A))</f>
        <v/>
      </c>
      <c r="F333" s="18" t="str">
        <f>_xlfn.LET(_xlpm.A,IF(ISNUMBER(SEARCH("晒单",K333)),"【晒单】"&amp;MID(K333,SEARCH("晒单",K333)+LEN("晒单"),LEN(K333))&amp;"（需晒单后联系客服登记）",IF(ISNUMBER(SEARCH("包修",K333)),"【购机】"&amp;MID(K333,SEARCH("购机",K333)+LEN("购机"),LEN(K333)),IF(ISNUMBER(SEARCH("叠放支架",K333)),"【赠品】"&amp;MID(K333,SEARCH("购机",K333)+LEN("购机"),LEN(K333)),IF(ISNUMBER(SEARCH("秀图",K333)),"【秀图】"&amp;MID(K333,SEARCH("秀图",K333)+LEN("秀图"),LEN(K333)),"")))),IFERROR(LEFT(_xlpm.A,FIND("【",_xlpm.A,FIND("】",_xlpm.A)+1)-1)&amp;MID(_xlpm.A,FIND("】",_xlpm.A,FIND("】",_xlpm.A)+1)+1,LEN(_xlpm.A)),_xlpm.A))</f>
        <v/>
      </c>
      <c r="G333" s="18" t="str">
        <f>_xlfn.LET(_xlpm.A,IF(ISNUMBER(SEARCH("晒单",L333)),"【晒单】"&amp;MID(L333,SEARCH("晒单",L333)+LEN("晒单"),LEN(L333))&amp;"（需晒单后联系客服登记）",IF(ISNUMBER(SEARCH("包修",L333)),"【购机】"&amp;MID(L333,SEARCH("购机",L333)+LEN("购机"),LEN(L333)),IF(ISNUMBER(SEARCH("叠放支架",L333)),"【赠品】"&amp;MID(L333,SEARCH("购机",L333)+LEN("购机"),LEN(L333)),IF(ISNUMBER(SEARCH("秀图",L333)),"【秀图】"&amp;MID(L333,SEARCH("秀图",L333)+LEN("秀图"),LEN(L333)),"")))),IFERROR(LEFT(_xlpm.A,FIND("【",_xlpm.A,FIND("】",_xlpm.A)+1)-1)&amp;MID(_xlpm.A,FIND("】",_xlpm.A,FIND("】",_xlpm.A)+1)+1,LEN(_xlpm.A)),_xlpm.A))</f>
        <v/>
      </c>
      <c r="H333" s="18" t="str">
        <f>_xlfn.LET(_xlpm.A,IF(ISNUMBER(SEARCH("晒单",M333)),"【晒单】"&amp;MID(M333,SEARCH("晒单",M333)+LEN("晒单"),LEN(M333))&amp;"（需晒单后联系客服登记）",IF(ISNUMBER(SEARCH("包修",M333)),"【购机】"&amp;MID(M333,SEARCH("购机",M333)+LEN("购机"),LEN(M333)),IF(ISNUMBER(SEARCH("叠放支架",M333)),"【赠品】"&amp;MID(M333,SEARCH("购机",M333)+LEN("购机"),LEN(M333)),IF(ISNUMBER(SEARCH("秀图",M333)),"【秀图】"&amp;MID(M333,SEARCH("秀图",M333)+LEN("秀图"),LEN(M333)),"")))),IFERROR(LEFT(_xlpm.A,FIND("【",_xlpm.A,FIND("】",_xlpm.A)+1)-1)&amp;MID(_xlpm.A,FIND("】",_xlpm.A,FIND("】",_xlpm.A)+1)+1,LEN(_xlpm.A)),_xlpm.A))</f>
        <v/>
      </c>
      <c r="I333" s="18" t="str">
        <f>_xlfn.LET(_xlpm.A,IF(ISNUMBER(SEARCH("晒单",N333)),"【晒单】"&amp;MID(N333,SEARCH("晒单",N333)+LEN("晒单"),LEN(N333))&amp;"（需晒单后联系客服登记）",IF(ISNUMBER(SEARCH("包修",N333)),"【购机】"&amp;MID(N333,SEARCH("购机",N333)+LEN("购机"),LEN(N333)),IF(ISNUMBER(SEARCH("叠放支架",N333)),"【赠品】"&amp;MID(N333,SEARCH("购机",N333)+LEN("购机"),LEN(N333)),IF(ISNUMBER(SEARCH("秀图",N333)),"【秀图】"&amp;MID(N333,SEARCH("秀图",N333)+LEN("秀图"),LEN(N333)),"")))),IFERROR(LEFT(_xlpm.A,FIND("【",_xlpm.A,FIND("】",_xlpm.A)+1)-1)&amp;MID(_xlpm.A,FIND("】",_xlpm.A,FIND("】",_xlpm.A)+1)+1,LEN(_xlpm.A)),_xlpm.A))</f>
        <v/>
      </c>
      <c r="J333" s="18" t="str" cm="1">
        <f t="array" ref="J333">IFERROR(INDEX(_xlfn.TEXTSPLIT(_xlfn.XLOOKUP($A333&amp;$B333&amp;$C333,盘货信息!$A:$A&amp;盘货信息!$B:$B&amp;盘货信息!$C:$C,盘货信息!$S:$S),CHAR(10),,TRUE),1,COLUMN(A332)),"")</f>
        <v/>
      </c>
      <c r="K333" s="18" t="str" cm="1">
        <f t="array" ref="K333">IFERROR(INDEX(_xlfn.TEXTSPLIT(_xlfn.XLOOKUP($A333&amp;$B333&amp;$C333,盘货信息!$A:$A&amp;盘货信息!$B:$B&amp;盘货信息!$C:$C,盘货信息!$S:$S),CHAR(10),,TRUE),1,COLUMN(B332)),"")</f>
        <v/>
      </c>
      <c r="L333" s="18" t="str" cm="1">
        <f t="array" ref="L333">IFERROR(INDEX(_xlfn.TEXTSPLIT(_xlfn.XLOOKUP($A333&amp;$B333&amp;$C333,盘货信息!$A:$A&amp;盘货信息!$B:$B&amp;盘货信息!$C:$C,盘货信息!$S:$S),CHAR(10),,TRUE),1,COLUMN(C332)),"")</f>
        <v/>
      </c>
      <c r="M333" s="18" t="str" cm="1">
        <f t="array" ref="M333">IFERROR(INDEX(_xlfn.TEXTSPLIT(_xlfn.XLOOKUP($A333&amp;$B333&amp;$C333,盘货信息!$A:$A&amp;盘货信息!$B:$B&amp;盘货信息!$C:$C,盘货信息!$S:$S),CHAR(10),,TRUE),1,COLUMN(D332)),"")</f>
        <v/>
      </c>
      <c r="N333" s="18" t="str" cm="1">
        <f t="array" ref="N333">IFERROR(INDEX(_xlfn.TEXTSPLIT(_xlfn.XLOOKUP($A333&amp;$B333&amp;$C333,盘货信息!$A:$A&amp;盘货信息!$B:$B&amp;盘货信息!$C:$C,盘货信息!$S:$S),CHAR(10),,TRUE),1,COLUMN(E332)),"")</f>
        <v/>
      </c>
    </row>
    <row r="334" customHeight="1" spans="1:14">
      <c r="A334" s="17" t="str">
        <f>IF(盘货信息!A334="","",盘货信息!A334)</f>
        <v/>
      </c>
      <c r="B334" s="17" t="str">
        <f>IF(盘货信息!B334="","",盘货信息!B334)</f>
        <v/>
      </c>
      <c r="C334" s="18" t="str">
        <f>IF(盘货信息!C334="","",盘货信息!C334)</f>
        <v/>
      </c>
      <c r="D334" s="18" t="str">
        <f t="shared" si="5"/>
        <v/>
      </c>
      <c r="E334" s="18" t="str">
        <f>_xlfn.LET(_xlpm.A,IF(ISNUMBER(SEARCH("晒单",J334)),"【晒单】"&amp;MID(J334,SEARCH("晒单",J334)+LEN("晒单"),LEN(J334))&amp;"（需晒单后联系客服登记）",IF(ISNUMBER(SEARCH("包修",J334)),"【购机】"&amp;MID(J334,SEARCH("购机",J334)+LEN("购机"),LEN(J334)),IF(ISNUMBER(SEARCH("叠放支架",J334)),"【赠品】"&amp;MID(J334,SEARCH("购机",J334)+LEN("购机"),LEN(J334)),IF(ISNUMBER(SEARCH("秀图",J334)),"【秀图】"&amp;MID(J334,SEARCH("秀图",J334)+LEN("秀图"),LEN(J334)),"")))),IFERROR(LEFT(_xlpm.A,FIND("【",_xlpm.A,FIND("】",_xlpm.A)+1)-1)&amp;MID(_xlpm.A,FIND("】",_xlpm.A,FIND("】",_xlpm.A)+1)+1,LEN(_xlpm.A)),_xlpm.A))</f>
        <v/>
      </c>
      <c r="F334" s="18" t="str">
        <f>_xlfn.LET(_xlpm.A,IF(ISNUMBER(SEARCH("晒单",K334)),"【晒单】"&amp;MID(K334,SEARCH("晒单",K334)+LEN("晒单"),LEN(K334))&amp;"（需晒单后联系客服登记）",IF(ISNUMBER(SEARCH("包修",K334)),"【购机】"&amp;MID(K334,SEARCH("购机",K334)+LEN("购机"),LEN(K334)),IF(ISNUMBER(SEARCH("叠放支架",K334)),"【赠品】"&amp;MID(K334,SEARCH("购机",K334)+LEN("购机"),LEN(K334)),IF(ISNUMBER(SEARCH("秀图",K334)),"【秀图】"&amp;MID(K334,SEARCH("秀图",K334)+LEN("秀图"),LEN(K334)),"")))),IFERROR(LEFT(_xlpm.A,FIND("【",_xlpm.A,FIND("】",_xlpm.A)+1)-1)&amp;MID(_xlpm.A,FIND("】",_xlpm.A,FIND("】",_xlpm.A)+1)+1,LEN(_xlpm.A)),_xlpm.A))</f>
        <v/>
      </c>
      <c r="G334" s="18" t="str">
        <f>_xlfn.LET(_xlpm.A,IF(ISNUMBER(SEARCH("晒单",L334)),"【晒单】"&amp;MID(L334,SEARCH("晒单",L334)+LEN("晒单"),LEN(L334))&amp;"（需晒单后联系客服登记）",IF(ISNUMBER(SEARCH("包修",L334)),"【购机】"&amp;MID(L334,SEARCH("购机",L334)+LEN("购机"),LEN(L334)),IF(ISNUMBER(SEARCH("叠放支架",L334)),"【赠品】"&amp;MID(L334,SEARCH("购机",L334)+LEN("购机"),LEN(L334)),IF(ISNUMBER(SEARCH("秀图",L334)),"【秀图】"&amp;MID(L334,SEARCH("秀图",L334)+LEN("秀图"),LEN(L334)),"")))),IFERROR(LEFT(_xlpm.A,FIND("【",_xlpm.A,FIND("】",_xlpm.A)+1)-1)&amp;MID(_xlpm.A,FIND("】",_xlpm.A,FIND("】",_xlpm.A)+1)+1,LEN(_xlpm.A)),_xlpm.A))</f>
        <v/>
      </c>
      <c r="H334" s="18" t="str">
        <f>_xlfn.LET(_xlpm.A,IF(ISNUMBER(SEARCH("晒单",M334)),"【晒单】"&amp;MID(M334,SEARCH("晒单",M334)+LEN("晒单"),LEN(M334))&amp;"（需晒单后联系客服登记）",IF(ISNUMBER(SEARCH("包修",M334)),"【购机】"&amp;MID(M334,SEARCH("购机",M334)+LEN("购机"),LEN(M334)),IF(ISNUMBER(SEARCH("叠放支架",M334)),"【赠品】"&amp;MID(M334,SEARCH("购机",M334)+LEN("购机"),LEN(M334)),IF(ISNUMBER(SEARCH("秀图",M334)),"【秀图】"&amp;MID(M334,SEARCH("秀图",M334)+LEN("秀图"),LEN(M334)),"")))),IFERROR(LEFT(_xlpm.A,FIND("【",_xlpm.A,FIND("】",_xlpm.A)+1)-1)&amp;MID(_xlpm.A,FIND("】",_xlpm.A,FIND("】",_xlpm.A)+1)+1,LEN(_xlpm.A)),_xlpm.A))</f>
        <v/>
      </c>
      <c r="I334" s="18" t="str">
        <f>_xlfn.LET(_xlpm.A,IF(ISNUMBER(SEARCH("晒单",N334)),"【晒单】"&amp;MID(N334,SEARCH("晒单",N334)+LEN("晒单"),LEN(N334))&amp;"（需晒单后联系客服登记）",IF(ISNUMBER(SEARCH("包修",N334)),"【购机】"&amp;MID(N334,SEARCH("购机",N334)+LEN("购机"),LEN(N334)),IF(ISNUMBER(SEARCH("叠放支架",N334)),"【赠品】"&amp;MID(N334,SEARCH("购机",N334)+LEN("购机"),LEN(N334)),IF(ISNUMBER(SEARCH("秀图",N334)),"【秀图】"&amp;MID(N334,SEARCH("秀图",N334)+LEN("秀图"),LEN(N334)),"")))),IFERROR(LEFT(_xlpm.A,FIND("【",_xlpm.A,FIND("】",_xlpm.A)+1)-1)&amp;MID(_xlpm.A,FIND("】",_xlpm.A,FIND("】",_xlpm.A)+1)+1,LEN(_xlpm.A)),_xlpm.A))</f>
        <v/>
      </c>
      <c r="J334" s="18" t="str" cm="1">
        <f t="array" ref="J334">IFERROR(INDEX(_xlfn.TEXTSPLIT(_xlfn.XLOOKUP($A334&amp;$B334&amp;$C334,盘货信息!$A:$A&amp;盘货信息!$B:$B&amp;盘货信息!$C:$C,盘货信息!$S:$S),CHAR(10),,TRUE),1,COLUMN(A333)),"")</f>
        <v/>
      </c>
      <c r="K334" s="18" t="str" cm="1">
        <f t="array" ref="K334">IFERROR(INDEX(_xlfn.TEXTSPLIT(_xlfn.XLOOKUP($A334&amp;$B334&amp;$C334,盘货信息!$A:$A&amp;盘货信息!$B:$B&amp;盘货信息!$C:$C,盘货信息!$S:$S),CHAR(10),,TRUE),1,COLUMN(B333)),"")</f>
        <v/>
      </c>
      <c r="L334" s="18" t="str" cm="1">
        <f t="array" ref="L334">IFERROR(INDEX(_xlfn.TEXTSPLIT(_xlfn.XLOOKUP($A334&amp;$B334&amp;$C334,盘货信息!$A:$A&amp;盘货信息!$B:$B&amp;盘货信息!$C:$C,盘货信息!$S:$S),CHAR(10),,TRUE),1,COLUMN(C333)),"")</f>
        <v/>
      </c>
      <c r="M334" s="18" t="str" cm="1">
        <f t="array" ref="M334">IFERROR(INDEX(_xlfn.TEXTSPLIT(_xlfn.XLOOKUP($A334&amp;$B334&amp;$C334,盘货信息!$A:$A&amp;盘货信息!$B:$B&amp;盘货信息!$C:$C,盘货信息!$S:$S),CHAR(10),,TRUE),1,COLUMN(D333)),"")</f>
        <v/>
      </c>
      <c r="N334" s="18" t="str" cm="1">
        <f t="array" ref="N334">IFERROR(INDEX(_xlfn.TEXTSPLIT(_xlfn.XLOOKUP($A334&amp;$B334&amp;$C334,盘货信息!$A:$A&amp;盘货信息!$B:$B&amp;盘货信息!$C:$C,盘货信息!$S:$S),CHAR(10),,TRUE),1,COLUMN(E333)),"")</f>
        <v/>
      </c>
    </row>
    <row r="335" customHeight="1" spans="1:14">
      <c r="A335" s="17" t="str">
        <f>IF(盘货信息!A335="","",盘货信息!A335)</f>
        <v/>
      </c>
      <c r="B335" s="17" t="str">
        <f>IF(盘货信息!B335="","",盘货信息!B335)</f>
        <v/>
      </c>
      <c r="C335" s="18" t="str">
        <f>IF(盘货信息!C335="","",盘货信息!C335)</f>
        <v/>
      </c>
      <c r="D335" s="18" t="str">
        <f t="shared" si="5"/>
        <v/>
      </c>
      <c r="E335" s="18" t="str">
        <f>_xlfn.LET(_xlpm.A,IF(ISNUMBER(SEARCH("晒单",J335)),"【晒单】"&amp;MID(J335,SEARCH("晒单",J335)+LEN("晒单"),LEN(J335))&amp;"（需晒单后联系客服登记）",IF(ISNUMBER(SEARCH("包修",J335)),"【购机】"&amp;MID(J335,SEARCH("购机",J335)+LEN("购机"),LEN(J335)),IF(ISNUMBER(SEARCH("叠放支架",J335)),"【赠品】"&amp;MID(J335,SEARCH("购机",J335)+LEN("购机"),LEN(J335)),IF(ISNUMBER(SEARCH("秀图",J335)),"【秀图】"&amp;MID(J335,SEARCH("秀图",J335)+LEN("秀图"),LEN(J335)),"")))),IFERROR(LEFT(_xlpm.A,FIND("【",_xlpm.A,FIND("】",_xlpm.A)+1)-1)&amp;MID(_xlpm.A,FIND("】",_xlpm.A,FIND("】",_xlpm.A)+1)+1,LEN(_xlpm.A)),_xlpm.A))</f>
        <v/>
      </c>
      <c r="F335" s="18" t="str">
        <f>_xlfn.LET(_xlpm.A,IF(ISNUMBER(SEARCH("晒单",K335)),"【晒单】"&amp;MID(K335,SEARCH("晒单",K335)+LEN("晒单"),LEN(K335))&amp;"（需晒单后联系客服登记）",IF(ISNUMBER(SEARCH("包修",K335)),"【购机】"&amp;MID(K335,SEARCH("购机",K335)+LEN("购机"),LEN(K335)),IF(ISNUMBER(SEARCH("叠放支架",K335)),"【赠品】"&amp;MID(K335,SEARCH("购机",K335)+LEN("购机"),LEN(K335)),IF(ISNUMBER(SEARCH("秀图",K335)),"【秀图】"&amp;MID(K335,SEARCH("秀图",K335)+LEN("秀图"),LEN(K335)),"")))),IFERROR(LEFT(_xlpm.A,FIND("【",_xlpm.A,FIND("】",_xlpm.A)+1)-1)&amp;MID(_xlpm.A,FIND("】",_xlpm.A,FIND("】",_xlpm.A)+1)+1,LEN(_xlpm.A)),_xlpm.A))</f>
        <v/>
      </c>
      <c r="G335" s="18" t="str">
        <f>_xlfn.LET(_xlpm.A,IF(ISNUMBER(SEARCH("晒单",L335)),"【晒单】"&amp;MID(L335,SEARCH("晒单",L335)+LEN("晒单"),LEN(L335))&amp;"（需晒单后联系客服登记）",IF(ISNUMBER(SEARCH("包修",L335)),"【购机】"&amp;MID(L335,SEARCH("购机",L335)+LEN("购机"),LEN(L335)),IF(ISNUMBER(SEARCH("叠放支架",L335)),"【赠品】"&amp;MID(L335,SEARCH("购机",L335)+LEN("购机"),LEN(L335)),IF(ISNUMBER(SEARCH("秀图",L335)),"【秀图】"&amp;MID(L335,SEARCH("秀图",L335)+LEN("秀图"),LEN(L335)),"")))),IFERROR(LEFT(_xlpm.A,FIND("【",_xlpm.A,FIND("】",_xlpm.A)+1)-1)&amp;MID(_xlpm.A,FIND("】",_xlpm.A,FIND("】",_xlpm.A)+1)+1,LEN(_xlpm.A)),_xlpm.A))</f>
        <v/>
      </c>
      <c r="H335" s="18" t="str">
        <f>_xlfn.LET(_xlpm.A,IF(ISNUMBER(SEARCH("晒单",M335)),"【晒单】"&amp;MID(M335,SEARCH("晒单",M335)+LEN("晒单"),LEN(M335))&amp;"（需晒单后联系客服登记）",IF(ISNUMBER(SEARCH("包修",M335)),"【购机】"&amp;MID(M335,SEARCH("购机",M335)+LEN("购机"),LEN(M335)),IF(ISNUMBER(SEARCH("叠放支架",M335)),"【赠品】"&amp;MID(M335,SEARCH("购机",M335)+LEN("购机"),LEN(M335)),IF(ISNUMBER(SEARCH("秀图",M335)),"【秀图】"&amp;MID(M335,SEARCH("秀图",M335)+LEN("秀图"),LEN(M335)),"")))),IFERROR(LEFT(_xlpm.A,FIND("【",_xlpm.A,FIND("】",_xlpm.A)+1)-1)&amp;MID(_xlpm.A,FIND("】",_xlpm.A,FIND("】",_xlpm.A)+1)+1,LEN(_xlpm.A)),_xlpm.A))</f>
        <v/>
      </c>
      <c r="I335" s="18" t="str">
        <f>_xlfn.LET(_xlpm.A,IF(ISNUMBER(SEARCH("晒单",N335)),"【晒单】"&amp;MID(N335,SEARCH("晒单",N335)+LEN("晒单"),LEN(N335))&amp;"（需晒单后联系客服登记）",IF(ISNUMBER(SEARCH("包修",N335)),"【购机】"&amp;MID(N335,SEARCH("购机",N335)+LEN("购机"),LEN(N335)),IF(ISNUMBER(SEARCH("叠放支架",N335)),"【赠品】"&amp;MID(N335,SEARCH("购机",N335)+LEN("购机"),LEN(N335)),IF(ISNUMBER(SEARCH("秀图",N335)),"【秀图】"&amp;MID(N335,SEARCH("秀图",N335)+LEN("秀图"),LEN(N335)),"")))),IFERROR(LEFT(_xlpm.A,FIND("【",_xlpm.A,FIND("】",_xlpm.A)+1)-1)&amp;MID(_xlpm.A,FIND("】",_xlpm.A,FIND("】",_xlpm.A)+1)+1,LEN(_xlpm.A)),_xlpm.A))</f>
        <v/>
      </c>
      <c r="J335" s="18" t="str" cm="1">
        <f t="array" ref="J335">IFERROR(INDEX(_xlfn.TEXTSPLIT(_xlfn.XLOOKUP($A335&amp;$B335&amp;$C335,盘货信息!$A:$A&amp;盘货信息!$B:$B&amp;盘货信息!$C:$C,盘货信息!$S:$S),CHAR(10),,TRUE),1,COLUMN(A334)),"")</f>
        <v/>
      </c>
      <c r="K335" s="18" t="str" cm="1">
        <f t="array" ref="K335">IFERROR(INDEX(_xlfn.TEXTSPLIT(_xlfn.XLOOKUP($A335&amp;$B335&amp;$C335,盘货信息!$A:$A&amp;盘货信息!$B:$B&amp;盘货信息!$C:$C,盘货信息!$S:$S),CHAR(10),,TRUE),1,COLUMN(B334)),"")</f>
        <v/>
      </c>
      <c r="L335" s="18" t="str" cm="1">
        <f t="array" ref="L335">IFERROR(INDEX(_xlfn.TEXTSPLIT(_xlfn.XLOOKUP($A335&amp;$B335&amp;$C335,盘货信息!$A:$A&amp;盘货信息!$B:$B&amp;盘货信息!$C:$C,盘货信息!$S:$S),CHAR(10),,TRUE),1,COLUMN(C334)),"")</f>
        <v/>
      </c>
      <c r="M335" s="18" t="str" cm="1">
        <f t="array" ref="M335">IFERROR(INDEX(_xlfn.TEXTSPLIT(_xlfn.XLOOKUP($A335&amp;$B335&amp;$C335,盘货信息!$A:$A&amp;盘货信息!$B:$B&amp;盘货信息!$C:$C,盘货信息!$S:$S),CHAR(10),,TRUE),1,COLUMN(D334)),"")</f>
        <v/>
      </c>
      <c r="N335" s="18" t="str" cm="1">
        <f t="array" ref="N335">IFERROR(INDEX(_xlfn.TEXTSPLIT(_xlfn.XLOOKUP($A335&amp;$B335&amp;$C335,盘货信息!$A:$A&amp;盘货信息!$B:$B&amp;盘货信息!$C:$C,盘货信息!$S:$S),CHAR(10),,TRUE),1,COLUMN(E334)),"")</f>
        <v/>
      </c>
    </row>
    <row r="336" customHeight="1" spans="1:14">
      <c r="A336" s="17" t="str">
        <f>IF(盘货信息!A336="","",盘货信息!A336)</f>
        <v/>
      </c>
      <c r="B336" s="17" t="str">
        <f>IF(盘货信息!B336="","",盘货信息!B336)</f>
        <v/>
      </c>
      <c r="C336" s="18" t="str">
        <f>IF(盘货信息!C336="","",盘货信息!C336)</f>
        <v/>
      </c>
      <c r="D336" s="18" t="str">
        <f t="shared" si="5"/>
        <v/>
      </c>
      <c r="E336" s="18" t="str">
        <f>_xlfn.LET(_xlpm.A,IF(ISNUMBER(SEARCH("晒单",J336)),"【晒单】"&amp;MID(J336,SEARCH("晒单",J336)+LEN("晒单"),LEN(J336))&amp;"（需晒单后联系客服登记）",IF(ISNUMBER(SEARCH("包修",J336)),"【购机】"&amp;MID(J336,SEARCH("购机",J336)+LEN("购机"),LEN(J336)),IF(ISNUMBER(SEARCH("叠放支架",J336)),"【赠品】"&amp;MID(J336,SEARCH("购机",J336)+LEN("购机"),LEN(J336)),IF(ISNUMBER(SEARCH("秀图",J336)),"【秀图】"&amp;MID(J336,SEARCH("秀图",J336)+LEN("秀图"),LEN(J336)),"")))),IFERROR(LEFT(_xlpm.A,FIND("【",_xlpm.A,FIND("】",_xlpm.A)+1)-1)&amp;MID(_xlpm.A,FIND("】",_xlpm.A,FIND("】",_xlpm.A)+1)+1,LEN(_xlpm.A)),_xlpm.A))</f>
        <v/>
      </c>
      <c r="F336" s="18" t="str">
        <f>_xlfn.LET(_xlpm.A,IF(ISNUMBER(SEARCH("晒单",K336)),"【晒单】"&amp;MID(K336,SEARCH("晒单",K336)+LEN("晒单"),LEN(K336))&amp;"（需晒单后联系客服登记）",IF(ISNUMBER(SEARCH("包修",K336)),"【购机】"&amp;MID(K336,SEARCH("购机",K336)+LEN("购机"),LEN(K336)),IF(ISNUMBER(SEARCH("叠放支架",K336)),"【赠品】"&amp;MID(K336,SEARCH("购机",K336)+LEN("购机"),LEN(K336)),IF(ISNUMBER(SEARCH("秀图",K336)),"【秀图】"&amp;MID(K336,SEARCH("秀图",K336)+LEN("秀图"),LEN(K336)),"")))),IFERROR(LEFT(_xlpm.A,FIND("【",_xlpm.A,FIND("】",_xlpm.A)+1)-1)&amp;MID(_xlpm.A,FIND("】",_xlpm.A,FIND("】",_xlpm.A)+1)+1,LEN(_xlpm.A)),_xlpm.A))</f>
        <v/>
      </c>
      <c r="G336" s="18" t="str">
        <f>_xlfn.LET(_xlpm.A,IF(ISNUMBER(SEARCH("晒单",L336)),"【晒单】"&amp;MID(L336,SEARCH("晒单",L336)+LEN("晒单"),LEN(L336))&amp;"（需晒单后联系客服登记）",IF(ISNUMBER(SEARCH("包修",L336)),"【购机】"&amp;MID(L336,SEARCH("购机",L336)+LEN("购机"),LEN(L336)),IF(ISNUMBER(SEARCH("叠放支架",L336)),"【赠品】"&amp;MID(L336,SEARCH("购机",L336)+LEN("购机"),LEN(L336)),IF(ISNUMBER(SEARCH("秀图",L336)),"【秀图】"&amp;MID(L336,SEARCH("秀图",L336)+LEN("秀图"),LEN(L336)),"")))),IFERROR(LEFT(_xlpm.A,FIND("【",_xlpm.A,FIND("】",_xlpm.A)+1)-1)&amp;MID(_xlpm.A,FIND("】",_xlpm.A,FIND("】",_xlpm.A)+1)+1,LEN(_xlpm.A)),_xlpm.A))</f>
        <v/>
      </c>
      <c r="H336" s="18" t="str">
        <f>_xlfn.LET(_xlpm.A,IF(ISNUMBER(SEARCH("晒单",M336)),"【晒单】"&amp;MID(M336,SEARCH("晒单",M336)+LEN("晒单"),LEN(M336))&amp;"（需晒单后联系客服登记）",IF(ISNUMBER(SEARCH("包修",M336)),"【购机】"&amp;MID(M336,SEARCH("购机",M336)+LEN("购机"),LEN(M336)),IF(ISNUMBER(SEARCH("叠放支架",M336)),"【赠品】"&amp;MID(M336,SEARCH("购机",M336)+LEN("购机"),LEN(M336)),IF(ISNUMBER(SEARCH("秀图",M336)),"【秀图】"&amp;MID(M336,SEARCH("秀图",M336)+LEN("秀图"),LEN(M336)),"")))),IFERROR(LEFT(_xlpm.A,FIND("【",_xlpm.A,FIND("】",_xlpm.A)+1)-1)&amp;MID(_xlpm.A,FIND("】",_xlpm.A,FIND("】",_xlpm.A)+1)+1,LEN(_xlpm.A)),_xlpm.A))</f>
        <v/>
      </c>
      <c r="I336" s="18" t="str">
        <f>_xlfn.LET(_xlpm.A,IF(ISNUMBER(SEARCH("晒单",N336)),"【晒单】"&amp;MID(N336,SEARCH("晒单",N336)+LEN("晒单"),LEN(N336))&amp;"（需晒单后联系客服登记）",IF(ISNUMBER(SEARCH("包修",N336)),"【购机】"&amp;MID(N336,SEARCH("购机",N336)+LEN("购机"),LEN(N336)),IF(ISNUMBER(SEARCH("叠放支架",N336)),"【赠品】"&amp;MID(N336,SEARCH("购机",N336)+LEN("购机"),LEN(N336)),IF(ISNUMBER(SEARCH("秀图",N336)),"【秀图】"&amp;MID(N336,SEARCH("秀图",N336)+LEN("秀图"),LEN(N336)),"")))),IFERROR(LEFT(_xlpm.A,FIND("【",_xlpm.A,FIND("】",_xlpm.A)+1)-1)&amp;MID(_xlpm.A,FIND("】",_xlpm.A,FIND("】",_xlpm.A)+1)+1,LEN(_xlpm.A)),_xlpm.A))</f>
        <v/>
      </c>
      <c r="J336" s="18" t="str" cm="1">
        <f t="array" ref="J336">IFERROR(INDEX(_xlfn.TEXTSPLIT(_xlfn.XLOOKUP($A336&amp;$B336&amp;$C336,盘货信息!$A:$A&amp;盘货信息!$B:$B&amp;盘货信息!$C:$C,盘货信息!$S:$S),CHAR(10),,TRUE),1,COLUMN(A335)),"")</f>
        <v/>
      </c>
      <c r="K336" s="18" t="str" cm="1">
        <f t="array" ref="K336">IFERROR(INDEX(_xlfn.TEXTSPLIT(_xlfn.XLOOKUP($A336&amp;$B336&amp;$C336,盘货信息!$A:$A&amp;盘货信息!$B:$B&amp;盘货信息!$C:$C,盘货信息!$S:$S),CHAR(10),,TRUE),1,COLUMN(B335)),"")</f>
        <v/>
      </c>
      <c r="L336" s="18" t="str" cm="1">
        <f t="array" ref="L336">IFERROR(INDEX(_xlfn.TEXTSPLIT(_xlfn.XLOOKUP($A336&amp;$B336&amp;$C336,盘货信息!$A:$A&amp;盘货信息!$B:$B&amp;盘货信息!$C:$C,盘货信息!$S:$S),CHAR(10),,TRUE),1,COLUMN(C335)),"")</f>
        <v/>
      </c>
      <c r="M336" s="18" t="str" cm="1">
        <f t="array" ref="M336">IFERROR(INDEX(_xlfn.TEXTSPLIT(_xlfn.XLOOKUP($A336&amp;$B336&amp;$C336,盘货信息!$A:$A&amp;盘货信息!$B:$B&amp;盘货信息!$C:$C,盘货信息!$S:$S),CHAR(10),,TRUE),1,COLUMN(D335)),"")</f>
        <v/>
      </c>
      <c r="N336" s="18" t="str" cm="1">
        <f t="array" ref="N336">IFERROR(INDEX(_xlfn.TEXTSPLIT(_xlfn.XLOOKUP($A336&amp;$B336&amp;$C336,盘货信息!$A:$A&amp;盘货信息!$B:$B&amp;盘货信息!$C:$C,盘货信息!$S:$S),CHAR(10),,TRUE),1,COLUMN(E335)),"")</f>
        <v/>
      </c>
    </row>
    <row r="337" customHeight="1" spans="1:14">
      <c r="A337" s="17" t="str">
        <f>IF(盘货信息!A337="","",盘货信息!A337)</f>
        <v/>
      </c>
      <c r="B337" s="17" t="str">
        <f>IF(盘货信息!B337="","",盘货信息!B337)</f>
        <v/>
      </c>
      <c r="C337" s="18" t="str">
        <f>IF(盘货信息!C337="","",盘货信息!C337)</f>
        <v/>
      </c>
      <c r="D337" s="18" t="str">
        <f t="shared" si="5"/>
        <v/>
      </c>
      <c r="E337" s="18" t="str">
        <f>_xlfn.LET(_xlpm.A,IF(ISNUMBER(SEARCH("晒单",J337)),"【晒单】"&amp;MID(J337,SEARCH("晒单",J337)+LEN("晒单"),LEN(J337))&amp;"（需晒单后联系客服登记）",IF(ISNUMBER(SEARCH("包修",J337)),"【购机】"&amp;MID(J337,SEARCH("购机",J337)+LEN("购机"),LEN(J337)),IF(ISNUMBER(SEARCH("叠放支架",J337)),"【赠品】"&amp;MID(J337,SEARCH("购机",J337)+LEN("购机"),LEN(J337)),IF(ISNUMBER(SEARCH("秀图",J337)),"【秀图】"&amp;MID(J337,SEARCH("秀图",J337)+LEN("秀图"),LEN(J337)),"")))),IFERROR(LEFT(_xlpm.A,FIND("【",_xlpm.A,FIND("】",_xlpm.A)+1)-1)&amp;MID(_xlpm.A,FIND("】",_xlpm.A,FIND("】",_xlpm.A)+1)+1,LEN(_xlpm.A)),_xlpm.A))</f>
        <v/>
      </c>
      <c r="F337" s="18" t="str">
        <f>_xlfn.LET(_xlpm.A,IF(ISNUMBER(SEARCH("晒单",K337)),"【晒单】"&amp;MID(K337,SEARCH("晒单",K337)+LEN("晒单"),LEN(K337))&amp;"（需晒单后联系客服登记）",IF(ISNUMBER(SEARCH("包修",K337)),"【购机】"&amp;MID(K337,SEARCH("购机",K337)+LEN("购机"),LEN(K337)),IF(ISNUMBER(SEARCH("叠放支架",K337)),"【赠品】"&amp;MID(K337,SEARCH("购机",K337)+LEN("购机"),LEN(K337)),IF(ISNUMBER(SEARCH("秀图",K337)),"【秀图】"&amp;MID(K337,SEARCH("秀图",K337)+LEN("秀图"),LEN(K337)),"")))),IFERROR(LEFT(_xlpm.A,FIND("【",_xlpm.A,FIND("】",_xlpm.A)+1)-1)&amp;MID(_xlpm.A,FIND("】",_xlpm.A,FIND("】",_xlpm.A)+1)+1,LEN(_xlpm.A)),_xlpm.A))</f>
        <v/>
      </c>
      <c r="G337" s="18" t="str">
        <f>_xlfn.LET(_xlpm.A,IF(ISNUMBER(SEARCH("晒单",L337)),"【晒单】"&amp;MID(L337,SEARCH("晒单",L337)+LEN("晒单"),LEN(L337))&amp;"（需晒单后联系客服登记）",IF(ISNUMBER(SEARCH("包修",L337)),"【购机】"&amp;MID(L337,SEARCH("购机",L337)+LEN("购机"),LEN(L337)),IF(ISNUMBER(SEARCH("叠放支架",L337)),"【赠品】"&amp;MID(L337,SEARCH("购机",L337)+LEN("购机"),LEN(L337)),IF(ISNUMBER(SEARCH("秀图",L337)),"【秀图】"&amp;MID(L337,SEARCH("秀图",L337)+LEN("秀图"),LEN(L337)),"")))),IFERROR(LEFT(_xlpm.A,FIND("【",_xlpm.A,FIND("】",_xlpm.A)+1)-1)&amp;MID(_xlpm.A,FIND("】",_xlpm.A,FIND("】",_xlpm.A)+1)+1,LEN(_xlpm.A)),_xlpm.A))</f>
        <v/>
      </c>
      <c r="H337" s="18" t="str">
        <f>_xlfn.LET(_xlpm.A,IF(ISNUMBER(SEARCH("晒单",M337)),"【晒单】"&amp;MID(M337,SEARCH("晒单",M337)+LEN("晒单"),LEN(M337))&amp;"（需晒单后联系客服登记）",IF(ISNUMBER(SEARCH("包修",M337)),"【购机】"&amp;MID(M337,SEARCH("购机",M337)+LEN("购机"),LEN(M337)),IF(ISNUMBER(SEARCH("叠放支架",M337)),"【赠品】"&amp;MID(M337,SEARCH("购机",M337)+LEN("购机"),LEN(M337)),IF(ISNUMBER(SEARCH("秀图",M337)),"【秀图】"&amp;MID(M337,SEARCH("秀图",M337)+LEN("秀图"),LEN(M337)),"")))),IFERROR(LEFT(_xlpm.A,FIND("【",_xlpm.A,FIND("】",_xlpm.A)+1)-1)&amp;MID(_xlpm.A,FIND("】",_xlpm.A,FIND("】",_xlpm.A)+1)+1,LEN(_xlpm.A)),_xlpm.A))</f>
        <v/>
      </c>
      <c r="I337" s="18" t="str">
        <f>_xlfn.LET(_xlpm.A,IF(ISNUMBER(SEARCH("晒单",N337)),"【晒单】"&amp;MID(N337,SEARCH("晒单",N337)+LEN("晒单"),LEN(N337))&amp;"（需晒单后联系客服登记）",IF(ISNUMBER(SEARCH("包修",N337)),"【购机】"&amp;MID(N337,SEARCH("购机",N337)+LEN("购机"),LEN(N337)),IF(ISNUMBER(SEARCH("叠放支架",N337)),"【赠品】"&amp;MID(N337,SEARCH("购机",N337)+LEN("购机"),LEN(N337)),IF(ISNUMBER(SEARCH("秀图",N337)),"【秀图】"&amp;MID(N337,SEARCH("秀图",N337)+LEN("秀图"),LEN(N337)),"")))),IFERROR(LEFT(_xlpm.A,FIND("【",_xlpm.A,FIND("】",_xlpm.A)+1)-1)&amp;MID(_xlpm.A,FIND("】",_xlpm.A,FIND("】",_xlpm.A)+1)+1,LEN(_xlpm.A)),_xlpm.A))</f>
        <v/>
      </c>
      <c r="J337" s="18" t="str" cm="1">
        <f t="array" ref="J337">IFERROR(INDEX(_xlfn.TEXTSPLIT(_xlfn.XLOOKUP($A337&amp;$B337&amp;$C337,盘货信息!$A:$A&amp;盘货信息!$B:$B&amp;盘货信息!$C:$C,盘货信息!$S:$S),CHAR(10),,TRUE),1,COLUMN(A336)),"")</f>
        <v/>
      </c>
      <c r="K337" s="18" t="str" cm="1">
        <f t="array" ref="K337">IFERROR(INDEX(_xlfn.TEXTSPLIT(_xlfn.XLOOKUP($A337&amp;$B337&amp;$C337,盘货信息!$A:$A&amp;盘货信息!$B:$B&amp;盘货信息!$C:$C,盘货信息!$S:$S),CHAR(10),,TRUE),1,COLUMN(B336)),"")</f>
        <v/>
      </c>
      <c r="L337" s="18" t="str" cm="1">
        <f t="array" ref="L337">IFERROR(INDEX(_xlfn.TEXTSPLIT(_xlfn.XLOOKUP($A337&amp;$B337&amp;$C337,盘货信息!$A:$A&amp;盘货信息!$B:$B&amp;盘货信息!$C:$C,盘货信息!$S:$S),CHAR(10),,TRUE),1,COLUMN(C336)),"")</f>
        <v/>
      </c>
      <c r="M337" s="18" t="str" cm="1">
        <f t="array" ref="M337">IFERROR(INDEX(_xlfn.TEXTSPLIT(_xlfn.XLOOKUP($A337&amp;$B337&amp;$C337,盘货信息!$A:$A&amp;盘货信息!$B:$B&amp;盘货信息!$C:$C,盘货信息!$S:$S),CHAR(10),,TRUE),1,COLUMN(D336)),"")</f>
        <v/>
      </c>
      <c r="N337" s="18" t="str" cm="1">
        <f t="array" ref="N337">IFERROR(INDEX(_xlfn.TEXTSPLIT(_xlfn.XLOOKUP($A337&amp;$B337&amp;$C337,盘货信息!$A:$A&amp;盘货信息!$B:$B&amp;盘货信息!$C:$C,盘货信息!$S:$S),CHAR(10),,TRUE),1,COLUMN(E336)),"")</f>
        <v/>
      </c>
    </row>
    <row r="338" customHeight="1" spans="1:14">
      <c r="A338" s="17" t="str">
        <f>IF(盘货信息!A338="","",盘货信息!A338)</f>
        <v/>
      </c>
      <c r="B338" s="17" t="str">
        <f>IF(盘货信息!B338="","",盘货信息!B338)</f>
        <v/>
      </c>
      <c r="C338" s="18" t="str">
        <f>IF(盘货信息!C338="","",盘货信息!C338)</f>
        <v/>
      </c>
      <c r="D338" s="18" t="str">
        <f t="shared" si="5"/>
        <v/>
      </c>
      <c r="E338" s="18" t="str">
        <f>_xlfn.LET(_xlpm.A,IF(ISNUMBER(SEARCH("晒单",J338)),"【晒单】"&amp;MID(J338,SEARCH("晒单",J338)+LEN("晒单"),LEN(J338))&amp;"（需晒单后联系客服登记）",IF(ISNUMBER(SEARCH("包修",J338)),"【购机】"&amp;MID(J338,SEARCH("购机",J338)+LEN("购机"),LEN(J338)),IF(ISNUMBER(SEARCH("叠放支架",J338)),"【赠品】"&amp;MID(J338,SEARCH("购机",J338)+LEN("购机"),LEN(J338)),IF(ISNUMBER(SEARCH("秀图",J338)),"【秀图】"&amp;MID(J338,SEARCH("秀图",J338)+LEN("秀图"),LEN(J338)),"")))),IFERROR(LEFT(_xlpm.A,FIND("【",_xlpm.A,FIND("】",_xlpm.A)+1)-1)&amp;MID(_xlpm.A,FIND("】",_xlpm.A,FIND("】",_xlpm.A)+1)+1,LEN(_xlpm.A)),_xlpm.A))</f>
        <v/>
      </c>
      <c r="F338" s="18" t="str">
        <f>_xlfn.LET(_xlpm.A,IF(ISNUMBER(SEARCH("晒单",K338)),"【晒单】"&amp;MID(K338,SEARCH("晒单",K338)+LEN("晒单"),LEN(K338))&amp;"（需晒单后联系客服登记）",IF(ISNUMBER(SEARCH("包修",K338)),"【购机】"&amp;MID(K338,SEARCH("购机",K338)+LEN("购机"),LEN(K338)),IF(ISNUMBER(SEARCH("叠放支架",K338)),"【赠品】"&amp;MID(K338,SEARCH("购机",K338)+LEN("购机"),LEN(K338)),IF(ISNUMBER(SEARCH("秀图",K338)),"【秀图】"&amp;MID(K338,SEARCH("秀图",K338)+LEN("秀图"),LEN(K338)),"")))),IFERROR(LEFT(_xlpm.A,FIND("【",_xlpm.A,FIND("】",_xlpm.A)+1)-1)&amp;MID(_xlpm.A,FIND("】",_xlpm.A,FIND("】",_xlpm.A)+1)+1,LEN(_xlpm.A)),_xlpm.A))</f>
        <v/>
      </c>
      <c r="G338" s="18" t="str">
        <f>_xlfn.LET(_xlpm.A,IF(ISNUMBER(SEARCH("晒单",L338)),"【晒单】"&amp;MID(L338,SEARCH("晒单",L338)+LEN("晒单"),LEN(L338))&amp;"（需晒单后联系客服登记）",IF(ISNUMBER(SEARCH("包修",L338)),"【购机】"&amp;MID(L338,SEARCH("购机",L338)+LEN("购机"),LEN(L338)),IF(ISNUMBER(SEARCH("叠放支架",L338)),"【赠品】"&amp;MID(L338,SEARCH("购机",L338)+LEN("购机"),LEN(L338)),IF(ISNUMBER(SEARCH("秀图",L338)),"【秀图】"&amp;MID(L338,SEARCH("秀图",L338)+LEN("秀图"),LEN(L338)),"")))),IFERROR(LEFT(_xlpm.A,FIND("【",_xlpm.A,FIND("】",_xlpm.A)+1)-1)&amp;MID(_xlpm.A,FIND("】",_xlpm.A,FIND("】",_xlpm.A)+1)+1,LEN(_xlpm.A)),_xlpm.A))</f>
        <v/>
      </c>
      <c r="H338" s="18" t="str">
        <f>_xlfn.LET(_xlpm.A,IF(ISNUMBER(SEARCH("晒单",M338)),"【晒单】"&amp;MID(M338,SEARCH("晒单",M338)+LEN("晒单"),LEN(M338))&amp;"（需晒单后联系客服登记）",IF(ISNUMBER(SEARCH("包修",M338)),"【购机】"&amp;MID(M338,SEARCH("购机",M338)+LEN("购机"),LEN(M338)),IF(ISNUMBER(SEARCH("叠放支架",M338)),"【赠品】"&amp;MID(M338,SEARCH("购机",M338)+LEN("购机"),LEN(M338)),IF(ISNUMBER(SEARCH("秀图",M338)),"【秀图】"&amp;MID(M338,SEARCH("秀图",M338)+LEN("秀图"),LEN(M338)),"")))),IFERROR(LEFT(_xlpm.A,FIND("【",_xlpm.A,FIND("】",_xlpm.A)+1)-1)&amp;MID(_xlpm.A,FIND("】",_xlpm.A,FIND("】",_xlpm.A)+1)+1,LEN(_xlpm.A)),_xlpm.A))</f>
        <v/>
      </c>
      <c r="I338" s="18" t="str">
        <f>_xlfn.LET(_xlpm.A,IF(ISNUMBER(SEARCH("晒单",N338)),"【晒单】"&amp;MID(N338,SEARCH("晒单",N338)+LEN("晒单"),LEN(N338))&amp;"（需晒单后联系客服登记）",IF(ISNUMBER(SEARCH("包修",N338)),"【购机】"&amp;MID(N338,SEARCH("购机",N338)+LEN("购机"),LEN(N338)),IF(ISNUMBER(SEARCH("叠放支架",N338)),"【赠品】"&amp;MID(N338,SEARCH("购机",N338)+LEN("购机"),LEN(N338)),IF(ISNUMBER(SEARCH("秀图",N338)),"【秀图】"&amp;MID(N338,SEARCH("秀图",N338)+LEN("秀图"),LEN(N338)),"")))),IFERROR(LEFT(_xlpm.A,FIND("【",_xlpm.A,FIND("】",_xlpm.A)+1)-1)&amp;MID(_xlpm.A,FIND("】",_xlpm.A,FIND("】",_xlpm.A)+1)+1,LEN(_xlpm.A)),_xlpm.A))</f>
        <v/>
      </c>
      <c r="J338" s="18" t="str" cm="1">
        <f t="array" ref="J338">IFERROR(INDEX(_xlfn.TEXTSPLIT(_xlfn.XLOOKUP($A338&amp;$B338&amp;$C338,盘货信息!$A:$A&amp;盘货信息!$B:$B&amp;盘货信息!$C:$C,盘货信息!$S:$S),CHAR(10),,TRUE),1,COLUMN(A337)),"")</f>
        <v/>
      </c>
      <c r="K338" s="18" t="str" cm="1">
        <f t="array" ref="K338">IFERROR(INDEX(_xlfn.TEXTSPLIT(_xlfn.XLOOKUP($A338&amp;$B338&amp;$C338,盘货信息!$A:$A&amp;盘货信息!$B:$B&amp;盘货信息!$C:$C,盘货信息!$S:$S),CHAR(10),,TRUE),1,COLUMN(B337)),"")</f>
        <v/>
      </c>
      <c r="L338" s="18" t="str" cm="1">
        <f t="array" ref="L338">IFERROR(INDEX(_xlfn.TEXTSPLIT(_xlfn.XLOOKUP($A338&amp;$B338&amp;$C338,盘货信息!$A:$A&amp;盘货信息!$B:$B&amp;盘货信息!$C:$C,盘货信息!$S:$S),CHAR(10),,TRUE),1,COLUMN(C337)),"")</f>
        <v/>
      </c>
      <c r="M338" s="18" t="str" cm="1">
        <f t="array" ref="M338">IFERROR(INDEX(_xlfn.TEXTSPLIT(_xlfn.XLOOKUP($A338&amp;$B338&amp;$C338,盘货信息!$A:$A&amp;盘货信息!$B:$B&amp;盘货信息!$C:$C,盘货信息!$S:$S),CHAR(10),,TRUE),1,COLUMN(D337)),"")</f>
        <v/>
      </c>
      <c r="N338" s="18" t="str" cm="1">
        <f t="array" ref="N338">IFERROR(INDEX(_xlfn.TEXTSPLIT(_xlfn.XLOOKUP($A338&amp;$B338&amp;$C338,盘货信息!$A:$A&amp;盘货信息!$B:$B&amp;盘货信息!$C:$C,盘货信息!$S:$S),CHAR(10),,TRUE),1,COLUMN(E337)),"")</f>
        <v/>
      </c>
    </row>
    <row r="339" customHeight="1" spans="1:14">
      <c r="A339" s="17" t="str">
        <f>IF(盘货信息!A339="","",盘货信息!A339)</f>
        <v/>
      </c>
      <c r="B339" s="17" t="str">
        <f>IF(盘货信息!B339="","",盘货信息!B339)</f>
        <v/>
      </c>
      <c r="C339" s="18" t="str">
        <f>IF(盘货信息!C339="","",盘货信息!C339)</f>
        <v/>
      </c>
      <c r="D339" s="18" t="str">
        <f t="shared" si="5"/>
        <v/>
      </c>
      <c r="E339" s="18" t="str">
        <f>_xlfn.LET(_xlpm.A,IF(ISNUMBER(SEARCH("晒单",J339)),"【晒单】"&amp;MID(J339,SEARCH("晒单",J339)+LEN("晒单"),LEN(J339))&amp;"（需晒单后联系客服登记）",IF(ISNUMBER(SEARCH("包修",J339)),"【购机】"&amp;MID(J339,SEARCH("购机",J339)+LEN("购机"),LEN(J339)),IF(ISNUMBER(SEARCH("叠放支架",J339)),"【赠品】"&amp;MID(J339,SEARCH("购机",J339)+LEN("购机"),LEN(J339)),IF(ISNUMBER(SEARCH("秀图",J339)),"【秀图】"&amp;MID(J339,SEARCH("秀图",J339)+LEN("秀图"),LEN(J339)),"")))),IFERROR(LEFT(_xlpm.A,FIND("【",_xlpm.A,FIND("】",_xlpm.A)+1)-1)&amp;MID(_xlpm.A,FIND("】",_xlpm.A,FIND("】",_xlpm.A)+1)+1,LEN(_xlpm.A)),_xlpm.A))</f>
        <v/>
      </c>
      <c r="F339" s="18" t="str">
        <f>_xlfn.LET(_xlpm.A,IF(ISNUMBER(SEARCH("晒单",K339)),"【晒单】"&amp;MID(K339,SEARCH("晒单",K339)+LEN("晒单"),LEN(K339))&amp;"（需晒单后联系客服登记）",IF(ISNUMBER(SEARCH("包修",K339)),"【购机】"&amp;MID(K339,SEARCH("购机",K339)+LEN("购机"),LEN(K339)),IF(ISNUMBER(SEARCH("叠放支架",K339)),"【赠品】"&amp;MID(K339,SEARCH("购机",K339)+LEN("购机"),LEN(K339)),IF(ISNUMBER(SEARCH("秀图",K339)),"【秀图】"&amp;MID(K339,SEARCH("秀图",K339)+LEN("秀图"),LEN(K339)),"")))),IFERROR(LEFT(_xlpm.A,FIND("【",_xlpm.A,FIND("】",_xlpm.A)+1)-1)&amp;MID(_xlpm.A,FIND("】",_xlpm.A,FIND("】",_xlpm.A)+1)+1,LEN(_xlpm.A)),_xlpm.A))</f>
        <v/>
      </c>
      <c r="G339" s="18" t="str">
        <f>_xlfn.LET(_xlpm.A,IF(ISNUMBER(SEARCH("晒单",L339)),"【晒单】"&amp;MID(L339,SEARCH("晒单",L339)+LEN("晒单"),LEN(L339))&amp;"（需晒单后联系客服登记）",IF(ISNUMBER(SEARCH("包修",L339)),"【购机】"&amp;MID(L339,SEARCH("购机",L339)+LEN("购机"),LEN(L339)),IF(ISNUMBER(SEARCH("叠放支架",L339)),"【赠品】"&amp;MID(L339,SEARCH("购机",L339)+LEN("购机"),LEN(L339)),IF(ISNUMBER(SEARCH("秀图",L339)),"【秀图】"&amp;MID(L339,SEARCH("秀图",L339)+LEN("秀图"),LEN(L339)),"")))),IFERROR(LEFT(_xlpm.A,FIND("【",_xlpm.A,FIND("】",_xlpm.A)+1)-1)&amp;MID(_xlpm.A,FIND("】",_xlpm.A,FIND("】",_xlpm.A)+1)+1,LEN(_xlpm.A)),_xlpm.A))</f>
        <v/>
      </c>
      <c r="H339" s="18" t="str">
        <f>_xlfn.LET(_xlpm.A,IF(ISNUMBER(SEARCH("晒单",M339)),"【晒单】"&amp;MID(M339,SEARCH("晒单",M339)+LEN("晒单"),LEN(M339))&amp;"（需晒单后联系客服登记）",IF(ISNUMBER(SEARCH("包修",M339)),"【购机】"&amp;MID(M339,SEARCH("购机",M339)+LEN("购机"),LEN(M339)),IF(ISNUMBER(SEARCH("叠放支架",M339)),"【赠品】"&amp;MID(M339,SEARCH("购机",M339)+LEN("购机"),LEN(M339)),IF(ISNUMBER(SEARCH("秀图",M339)),"【秀图】"&amp;MID(M339,SEARCH("秀图",M339)+LEN("秀图"),LEN(M339)),"")))),IFERROR(LEFT(_xlpm.A,FIND("【",_xlpm.A,FIND("】",_xlpm.A)+1)-1)&amp;MID(_xlpm.A,FIND("】",_xlpm.A,FIND("】",_xlpm.A)+1)+1,LEN(_xlpm.A)),_xlpm.A))</f>
        <v/>
      </c>
      <c r="I339" s="18" t="str">
        <f>_xlfn.LET(_xlpm.A,IF(ISNUMBER(SEARCH("晒单",N339)),"【晒单】"&amp;MID(N339,SEARCH("晒单",N339)+LEN("晒单"),LEN(N339))&amp;"（需晒单后联系客服登记）",IF(ISNUMBER(SEARCH("包修",N339)),"【购机】"&amp;MID(N339,SEARCH("购机",N339)+LEN("购机"),LEN(N339)),IF(ISNUMBER(SEARCH("叠放支架",N339)),"【赠品】"&amp;MID(N339,SEARCH("购机",N339)+LEN("购机"),LEN(N339)),IF(ISNUMBER(SEARCH("秀图",N339)),"【秀图】"&amp;MID(N339,SEARCH("秀图",N339)+LEN("秀图"),LEN(N339)),"")))),IFERROR(LEFT(_xlpm.A,FIND("【",_xlpm.A,FIND("】",_xlpm.A)+1)-1)&amp;MID(_xlpm.A,FIND("】",_xlpm.A,FIND("】",_xlpm.A)+1)+1,LEN(_xlpm.A)),_xlpm.A))</f>
        <v/>
      </c>
      <c r="J339" s="18" t="str" cm="1">
        <f t="array" ref="J339">IFERROR(INDEX(_xlfn.TEXTSPLIT(_xlfn.XLOOKUP($A339&amp;$B339&amp;$C339,盘货信息!$A:$A&amp;盘货信息!$B:$B&amp;盘货信息!$C:$C,盘货信息!$S:$S),CHAR(10),,TRUE),1,COLUMN(A338)),"")</f>
        <v/>
      </c>
      <c r="K339" s="18" t="str" cm="1">
        <f t="array" ref="K339">IFERROR(INDEX(_xlfn.TEXTSPLIT(_xlfn.XLOOKUP($A339&amp;$B339&amp;$C339,盘货信息!$A:$A&amp;盘货信息!$B:$B&amp;盘货信息!$C:$C,盘货信息!$S:$S),CHAR(10),,TRUE),1,COLUMN(B338)),"")</f>
        <v/>
      </c>
      <c r="L339" s="18" t="str" cm="1">
        <f t="array" ref="L339">IFERROR(INDEX(_xlfn.TEXTSPLIT(_xlfn.XLOOKUP($A339&amp;$B339&amp;$C339,盘货信息!$A:$A&amp;盘货信息!$B:$B&amp;盘货信息!$C:$C,盘货信息!$S:$S),CHAR(10),,TRUE),1,COLUMN(C338)),"")</f>
        <v/>
      </c>
      <c r="M339" s="18" t="str" cm="1">
        <f t="array" ref="M339">IFERROR(INDEX(_xlfn.TEXTSPLIT(_xlfn.XLOOKUP($A339&amp;$B339&amp;$C339,盘货信息!$A:$A&amp;盘货信息!$B:$B&amp;盘货信息!$C:$C,盘货信息!$S:$S),CHAR(10),,TRUE),1,COLUMN(D338)),"")</f>
        <v/>
      </c>
      <c r="N339" s="18" t="str" cm="1">
        <f t="array" ref="N339">IFERROR(INDEX(_xlfn.TEXTSPLIT(_xlfn.XLOOKUP($A339&amp;$B339&amp;$C339,盘货信息!$A:$A&amp;盘货信息!$B:$B&amp;盘货信息!$C:$C,盘货信息!$S:$S),CHAR(10),,TRUE),1,COLUMN(E338)),"")</f>
        <v/>
      </c>
    </row>
    <row r="340" customHeight="1" spans="1:14">
      <c r="A340" s="17" t="str">
        <f>IF(盘货信息!A340="","",盘货信息!A340)</f>
        <v/>
      </c>
      <c r="B340" s="17" t="str">
        <f>IF(盘货信息!B340="","",盘货信息!B340)</f>
        <v/>
      </c>
      <c r="C340" s="18" t="str">
        <f>IF(盘货信息!C340="","",盘货信息!C340)</f>
        <v/>
      </c>
      <c r="D340" s="18" t="str">
        <f t="shared" si="5"/>
        <v/>
      </c>
      <c r="E340" s="18" t="str">
        <f>_xlfn.LET(_xlpm.A,IF(ISNUMBER(SEARCH("晒单",J340)),"【晒单】"&amp;MID(J340,SEARCH("晒单",J340)+LEN("晒单"),LEN(J340))&amp;"（需晒单后联系客服登记）",IF(ISNUMBER(SEARCH("包修",J340)),"【购机】"&amp;MID(J340,SEARCH("购机",J340)+LEN("购机"),LEN(J340)),IF(ISNUMBER(SEARCH("叠放支架",J340)),"【赠品】"&amp;MID(J340,SEARCH("购机",J340)+LEN("购机"),LEN(J340)),IF(ISNUMBER(SEARCH("秀图",J340)),"【秀图】"&amp;MID(J340,SEARCH("秀图",J340)+LEN("秀图"),LEN(J340)),"")))),IFERROR(LEFT(_xlpm.A,FIND("【",_xlpm.A,FIND("】",_xlpm.A)+1)-1)&amp;MID(_xlpm.A,FIND("】",_xlpm.A,FIND("】",_xlpm.A)+1)+1,LEN(_xlpm.A)),_xlpm.A))</f>
        <v/>
      </c>
      <c r="F340" s="18" t="str">
        <f>_xlfn.LET(_xlpm.A,IF(ISNUMBER(SEARCH("晒单",K340)),"【晒单】"&amp;MID(K340,SEARCH("晒单",K340)+LEN("晒单"),LEN(K340))&amp;"（需晒单后联系客服登记）",IF(ISNUMBER(SEARCH("包修",K340)),"【购机】"&amp;MID(K340,SEARCH("购机",K340)+LEN("购机"),LEN(K340)),IF(ISNUMBER(SEARCH("叠放支架",K340)),"【赠品】"&amp;MID(K340,SEARCH("购机",K340)+LEN("购机"),LEN(K340)),IF(ISNUMBER(SEARCH("秀图",K340)),"【秀图】"&amp;MID(K340,SEARCH("秀图",K340)+LEN("秀图"),LEN(K340)),"")))),IFERROR(LEFT(_xlpm.A,FIND("【",_xlpm.A,FIND("】",_xlpm.A)+1)-1)&amp;MID(_xlpm.A,FIND("】",_xlpm.A,FIND("】",_xlpm.A)+1)+1,LEN(_xlpm.A)),_xlpm.A))</f>
        <v/>
      </c>
      <c r="G340" s="18" t="str">
        <f>_xlfn.LET(_xlpm.A,IF(ISNUMBER(SEARCH("晒单",L340)),"【晒单】"&amp;MID(L340,SEARCH("晒单",L340)+LEN("晒单"),LEN(L340))&amp;"（需晒单后联系客服登记）",IF(ISNUMBER(SEARCH("包修",L340)),"【购机】"&amp;MID(L340,SEARCH("购机",L340)+LEN("购机"),LEN(L340)),IF(ISNUMBER(SEARCH("叠放支架",L340)),"【赠品】"&amp;MID(L340,SEARCH("购机",L340)+LEN("购机"),LEN(L340)),IF(ISNUMBER(SEARCH("秀图",L340)),"【秀图】"&amp;MID(L340,SEARCH("秀图",L340)+LEN("秀图"),LEN(L340)),"")))),IFERROR(LEFT(_xlpm.A,FIND("【",_xlpm.A,FIND("】",_xlpm.A)+1)-1)&amp;MID(_xlpm.A,FIND("】",_xlpm.A,FIND("】",_xlpm.A)+1)+1,LEN(_xlpm.A)),_xlpm.A))</f>
        <v/>
      </c>
      <c r="H340" s="18" t="str">
        <f>_xlfn.LET(_xlpm.A,IF(ISNUMBER(SEARCH("晒单",M340)),"【晒单】"&amp;MID(M340,SEARCH("晒单",M340)+LEN("晒单"),LEN(M340))&amp;"（需晒单后联系客服登记）",IF(ISNUMBER(SEARCH("包修",M340)),"【购机】"&amp;MID(M340,SEARCH("购机",M340)+LEN("购机"),LEN(M340)),IF(ISNUMBER(SEARCH("叠放支架",M340)),"【赠品】"&amp;MID(M340,SEARCH("购机",M340)+LEN("购机"),LEN(M340)),IF(ISNUMBER(SEARCH("秀图",M340)),"【秀图】"&amp;MID(M340,SEARCH("秀图",M340)+LEN("秀图"),LEN(M340)),"")))),IFERROR(LEFT(_xlpm.A,FIND("【",_xlpm.A,FIND("】",_xlpm.A)+1)-1)&amp;MID(_xlpm.A,FIND("】",_xlpm.A,FIND("】",_xlpm.A)+1)+1,LEN(_xlpm.A)),_xlpm.A))</f>
        <v/>
      </c>
      <c r="I340" s="18" t="str">
        <f>_xlfn.LET(_xlpm.A,IF(ISNUMBER(SEARCH("晒单",N340)),"【晒单】"&amp;MID(N340,SEARCH("晒单",N340)+LEN("晒单"),LEN(N340))&amp;"（需晒单后联系客服登记）",IF(ISNUMBER(SEARCH("包修",N340)),"【购机】"&amp;MID(N340,SEARCH("购机",N340)+LEN("购机"),LEN(N340)),IF(ISNUMBER(SEARCH("叠放支架",N340)),"【赠品】"&amp;MID(N340,SEARCH("购机",N340)+LEN("购机"),LEN(N340)),IF(ISNUMBER(SEARCH("秀图",N340)),"【秀图】"&amp;MID(N340,SEARCH("秀图",N340)+LEN("秀图"),LEN(N340)),"")))),IFERROR(LEFT(_xlpm.A,FIND("【",_xlpm.A,FIND("】",_xlpm.A)+1)-1)&amp;MID(_xlpm.A,FIND("】",_xlpm.A,FIND("】",_xlpm.A)+1)+1,LEN(_xlpm.A)),_xlpm.A))</f>
        <v/>
      </c>
      <c r="J340" s="18" t="str" cm="1">
        <f t="array" ref="J340">IFERROR(INDEX(_xlfn.TEXTSPLIT(_xlfn.XLOOKUP($A340&amp;$B340&amp;$C340,盘货信息!$A:$A&amp;盘货信息!$B:$B&amp;盘货信息!$C:$C,盘货信息!$S:$S),CHAR(10),,TRUE),1,COLUMN(A339)),"")</f>
        <v/>
      </c>
      <c r="K340" s="18" t="str" cm="1">
        <f t="array" ref="K340">IFERROR(INDEX(_xlfn.TEXTSPLIT(_xlfn.XLOOKUP($A340&amp;$B340&amp;$C340,盘货信息!$A:$A&amp;盘货信息!$B:$B&amp;盘货信息!$C:$C,盘货信息!$S:$S),CHAR(10),,TRUE),1,COLUMN(B339)),"")</f>
        <v/>
      </c>
      <c r="L340" s="18" t="str" cm="1">
        <f t="array" ref="L340">IFERROR(INDEX(_xlfn.TEXTSPLIT(_xlfn.XLOOKUP($A340&amp;$B340&amp;$C340,盘货信息!$A:$A&amp;盘货信息!$B:$B&amp;盘货信息!$C:$C,盘货信息!$S:$S),CHAR(10),,TRUE),1,COLUMN(C339)),"")</f>
        <v/>
      </c>
      <c r="M340" s="18" t="str" cm="1">
        <f t="array" ref="M340">IFERROR(INDEX(_xlfn.TEXTSPLIT(_xlfn.XLOOKUP($A340&amp;$B340&amp;$C340,盘货信息!$A:$A&amp;盘货信息!$B:$B&amp;盘货信息!$C:$C,盘货信息!$S:$S),CHAR(10),,TRUE),1,COLUMN(D339)),"")</f>
        <v/>
      </c>
      <c r="N340" s="18" t="str" cm="1">
        <f t="array" ref="N340">IFERROR(INDEX(_xlfn.TEXTSPLIT(_xlfn.XLOOKUP($A340&amp;$B340&amp;$C340,盘货信息!$A:$A&amp;盘货信息!$B:$B&amp;盘货信息!$C:$C,盘货信息!$S:$S),CHAR(10),,TRUE),1,COLUMN(E339)),"")</f>
        <v/>
      </c>
    </row>
    <row r="341" customHeight="1" spans="1:14">
      <c r="A341" s="17" t="str">
        <f>IF(盘货信息!A341="","",盘货信息!A341)</f>
        <v/>
      </c>
      <c r="B341" s="17" t="str">
        <f>IF(盘货信息!B341="","",盘货信息!B341)</f>
        <v/>
      </c>
      <c r="C341" s="18" t="str">
        <f>IF(盘货信息!C341="","",盘货信息!C341)</f>
        <v/>
      </c>
      <c r="D341" s="18" t="str">
        <f t="shared" si="5"/>
        <v/>
      </c>
      <c r="E341" s="18" t="str">
        <f>_xlfn.LET(_xlpm.A,IF(ISNUMBER(SEARCH("晒单",J341)),"【晒单】"&amp;MID(J341,SEARCH("晒单",J341)+LEN("晒单"),LEN(J341))&amp;"（需晒单后联系客服登记）",IF(ISNUMBER(SEARCH("包修",J341)),"【购机】"&amp;MID(J341,SEARCH("购机",J341)+LEN("购机"),LEN(J341)),IF(ISNUMBER(SEARCH("叠放支架",J341)),"【赠品】"&amp;MID(J341,SEARCH("购机",J341)+LEN("购机"),LEN(J341)),IF(ISNUMBER(SEARCH("秀图",J341)),"【秀图】"&amp;MID(J341,SEARCH("秀图",J341)+LEN("秀图"),LEN(J341)),"")))),IFERROR(LEFT(_xlpm.A,FIND("【",_xlpm.A,FIND("】",_xlpm.A)+1)-1)&amp;MID(_xlpm.A,FIND("】",_xlpm.A,FIND("】",_xlpm.A)+1)+1,LEN(_xlpm.A)),_xlpm.A))</f>
        <v/>
      </c>
      <c r="F341" s="18" t="str">
        <f>_xlfn.LET(_xlpm.A,IF(ISNUMBER(SEARCH("晒单",K341)),"【晒单】"&amp;MID(K341,SEARCH("晒单",K341)+LEN("晒单"),LEN(K341))&amp;"（需晒单后联系客服登记）",IF(ISNUMBER(SEARCH("包修",K341)),"【购机】"&amp;MID(K341,SEARCH("购机",K341)+LEN("购机"),LEN(K341)),IF(ISNUMBER(SEARCH("叠放支架",K341)),"【赠品】"&amp;MID(K341,SEARCH("购机",K341)+LEN("购机"),LEN(K341)),IF(ISNUMBER(SEARCH("秀图",K341)),"【秀图】"&amp;MID(K341,SEARCH("秀图",K341)+LEN("秀图"),LEN(K341)),"")))),IFERROR(LEFT(_xlpm.A,FIND("【",_xlpm.A,FIND("】",_xlpm.A)+1)-1)&amp;MID(_xlpm.A,FIND("】",_xlpm.A,FIND("】",_xlpm.A)+1)+1,LEN(_xlpm.A)),_xlpm.A))</f>
        <v/>
      </c>
      <c r="G341" s="18" t="str">
        <f>_xlfn.LET(_xlpm.A,IF(ISNUMBER(SEARCH("晒单",L341)),"【晒单】"&amp;MID(L341,SEARCH("晒单",L341)+LEN("晒单"),LEN(L341))&amp;"（需晒单后联系客服登记）",IF(ISNUMBER(SEARCH("包修",L341)),"【购机】"&amp;MID(L341,SEARCH("购机",L341)+LEN("购机"),LEN(L341)),IF(ISNUMBER(SEARCH("叠放支架",L341)),"【赠品】"&amp;MID(L341,SEARCH("购机",L341)+LEN("购机"),LEN(L341)),IF(ISNUMBER(SEARCH("秀图",L341)),"【秀图】"&amp;MID(L341,SEARCH("秀图",L341)+LEN("秀图"),LEN(L341)),"")))),IFERROR(LEFT(_xlpm.A,FIND("【",_xlpm.A,FIND("】",_xlpm.A)+1)-1)&amp;MID(_xlpm.A,FIND("】",_xlpm.A,FIND("】",_xlpm.A)+1)+1,LEN(_xlpm.A)),_xlpm.A))</f>
        <v/>
      </c>
      <c r="H341" s="18" t="str">
        <f>_xlfn.LET(_xlpm.A,IF(ISNUMBER(SEARCH("晒单",M341)),"【晒单】"&amp;MID(M341,SEARCH("晒单",M341)+LEN("晒单"),LEN(M341))&amp;"（需晒单后联系客服登记）",IF(ISNUMBER(SEARCH("包修",M341)),"【购机】"&amp;MID(M341,SEARCH("购机",M341)+LEN("购机"),LEN(M341)),IF(ISNUMBER(SEARCH("叠放支架",M341)),"【赠品】"&amp;MID(M341,SEARCH("购机",M341)+LEN("购机"),LEN(M341)),IF(ISNUMBER(SEARCH("秀图",M341)),"【秀图】"&amp;MID(M341,SEARCH("秀图",M341)+LEN("秀图"),LEN(M341)),"")))),IFERROR(LEFT(_xlpm.A,FIND("【",_xlpm.A,FIND("】",_xlpm.A)+1)-1)&amp;MID(_xlpm.A,FIND("】",_xlpm.A,FIND("】",_xlpm.A)+1)+1,LEN(_xlpm.A)),_xlpm.A))</f>
        <v/>
      </c>
      <c r="I341" s="18" t="str">
        <f>_xlfn.LET(_xlpm.A,IF(ISNUMBER(SEARCH("晒单",N341)),"【晒单】"&amp;MID(N341,SEARCH("晒单",N341)+LEN("晒单"),LEN(N341))&amp;"（需晒单后联系客服登记）",IF(ISNUMBER(SEARCH("包修",N341)),"【购机】"&amp;MID(N341,SEARCH("购机",N341)+LEN("购机"),LEN(N341)),IF(ISNUMBER(SEARCH("叠放支架",N341)),"【赠品】"&amp;MID(N341,SEARCH("购机",N341)+LEN("购机"),LEN(N341)),IF(ISNUMBER(SEARCH("秀图",N341)),"【秀图】"&amp;MID(N341,SEARCH("秀图",N341)+LEN("秀图"),LEN(N341)),"")))),IFERROR(LEFT(_xlpm.A,FIND("【",_xlpm.A,FIND("】",_xlpm.A)+1)-1)&amp;MID(_xlpm.A,FIND("】",_xlpm.A,FIND("】",_xlpm.A)+1)+1,LEN(_xlpm.A)),_xlpm.A))</f>
        <v/>
      </c>
      <c r="J341" s="18" t="str" cm="1">
        <f t="array" ref="J341">IFERROR(INDEX(_xlfn.TEXTSPLIT(_xlfn.XLOOKUP($A341&amp;$B341&amp;$C341,盘货信息!$A:$A&amp;盘货信息!$B:$B&amp;盘货信息!$C:$C,盘货信息!$S:$S),CHAR(10),,TRUE),1,COLUMN(A340)),"")</f>
        <v/>
      </c>
      <c r="K341" s="18" t="str" cm="1">
        <f t="array" ref="K341">IFERROR(INDEX(_xlfn.TEXTSPLIT(_xlfn.XLOOKUP($A341&amp;$B341&amp;$C341,盘货信息!$A:$A&amp;盘货信息!$B:$B&amp;盘货信息!$C:$C,盘货信息!$S:$S),CHAR(10),,TRUE),1,COLUMN(B340)),"")</f>
        <v/>
      </c>
      <c r="L341" s="18" t="str" cm="1">
        <f t="array" ref="L341">IFERROR(INDEX(_xlfn.TEXTSPLIT(_xlfn.XLOOKUP($A341&amp;$B341&amp;$C341,盘货信息!$A:$A&amp;盘货信息!$B:$B&amp;盘货信息!$C:$C,盘货信息!$S:$S),CHAR(10),,TRUE),1,COLUMN(C340)),"")</f>
        <v/>
      </c>
      <c r="M341" s="18" t="str" cm="1">
        <f t="array" ref="M341">IFERROR(INDEX(_xlfn.TEXTSPLIT(_xlfn.XLOOKUP($A341&amp;$B341&amp;$C341,盘货信息!$A:$A&amp;盘货信息!$B:$B&amp;盘货信息!$C:$C,盘货信息!$S:$S),CHAR(10),,TRUE),1,COLUMN(D340)),"")</f>
        <v/>
      </c>
      <c r="N341" s="18" t="str" cm="1">
        <f t="array" ref="N341">IFERROR(INDEX(_xlfn.TEXTSPLIT(_xlfn.XLOOKUP($A341&amp;$B341&amp;$C341,盘货信息!$A:$A&amp;盘货信息!$B:$B&amp;盘货信息!$C:$C,盘货信息!$S:$S),CHAR(10),,TRUE),1,COLUMN(E340)),"")</f>
        <v/>
      </c>
    </row>
    <row r="342" customHeight="1" spans="1:14">
      <c r="A342" s="17" t="str">
        <f>IF(盘货信息!A342="","",盘货信息!A342)</f>
        <v/>
      </c>
      <c r="B342" s="17" t="str">
        <f>IF(盘货信息!B342="","",盘货信息!B342)</f>
        <v/>
      </c>
      <c r="C342" s="18" t="str">
        <f>IF(盘货信息!C342="","",盘货信息!C342)</f>
        <v/>
      </c>
      <c r="D342" s="18" t="str">
        <f t="shared" si="5"/>
        <v/>
      </c>
      <c r="E342" s="18" t="str">
        <f>_xlfn.LET(_xlpm.A,IF(ISNUMBER(SEARCH("晒单",J342)),"【晒单】"&amp;MID(J342,SEARCH("晒单",J342)+LEN("晒单"),LEN(J342))&amp;"（需晒单后联系客服登记）",IF(ISNUMBER(SEARCH("包修",J342)),"【购机】"&amp;MID(J342,SEARCH("购机",J342)+LEN("购机"),LEN(J342)),IF(ISNUMBER(SEARCH("叠放支架",J342)),"【赠品】"&amp;MID(J342,SEARCH("购机",J342)+LEN("购机"),LEN(J342)),IF(ISNUMBER(SEARCH("秀图",J342)),"【秀图】"&amp;MID(J342,SEARCH("秀图",J342)+LEN("秀图"),LEN(J342)),"")))),IFERROR(LEFT(_xlpm.A,FIND("【",_xlpm.A,FIND("】",_xlpm.A)+1)-1)&amp;MID(_xlpm.A,FIND("】",_xlpm.A,FIND("】",_xlpm.A)+1)+1,LEN(_xlpm.A)),_xlpm.A))</f>
        <v/>
      </c>
      <c r="F342" s="18" t="str">
        <f>_xlfn.LET(_xlpm.A,IF(ISNUMBER(SEARCH("晒单",K342)),"【晒单】"&amp;MID(K342,SEARCH("晒单",K342)+LEN("晒单"),LEN(K342))&amp;"（需晒单后联系客服登记）",IF(ISNUMBER(SEARCH("包修",K342)),"【购机】"&amp;MID(K342,SEARCH("购机",K342)+LEN("购机"),LEN(K342)),IF(ISNUMBER(SEARCH("叠放支架",K342)),"【赠品】"&amp;MID(K342,SEARCH("购机",K342)+LEN("购机"),LEN(K342)),IF(ISNUMBER(SEARCH("秀图",K342)),"【秀图】"&amp;MID(K342,SEARCH("秀图",K342)+LEN("秀图"),LEN(K342)),"")))),IFERROR(LEFT(_xlpm.A,FIND("【",_xlpm.A,FIND("】",_xlpm.A)+1)-1)&amp;MID(_xlpm.A,FIND("】",_xlpm.A,FIND("】",_xlpm.A)+1)+1,LEN(_xlpm.A)),_xlpm.A))</f>
        <v/>
      </c>
      <c r="G342" s="18" t="str">
        <f>_xlfn.LET(_xlpm.A,IF(ISNUMBER(SEARCH("晒单",L342)),"【晒单】"&amp;MID(L342,SEARCH("晒单",L342)+LEN("晒单"),LEN(L342))&amp;"（需晒单后联系客服登记）",IF(ISNUMBER(SEARCH("包修",L342)),"【购机】"&amp;MID(L342,SEARCH("购机",L342)+LEN("购机"),LEN(L342)),IF(ISNUMBER(SEARCH("叠放支架",L342)),"【赠品】"&amp;MID(L342,SEARCH("购机",L342)+LEN("购机"),LEN(L342)),IF(ISNUMBER(SEARCH("秀图",L342)),"【秀图】"&amp;MID(L342,SEARCH("秀图",L342)+LEN("秀图"),LEN(L342)),"")))),IFERROR(LEFT(_xlpm.A,FIND("【",_xlpm.A,FIND("】",_xlpm.A)+1)-1)&amp;MID(_xlpm.A,FIND("】",_xlpm.A,FIND("】",_xlpm.A)+1)+1,LEN(_xlpm.A)),_xlpm.A))</f>
        <v/>
      </c>
      <c r="H342" s="18" t="str">
        <f>_xlfn.LET(_xlpm.A,IF(ISNUMBER(SEARCH("晒单",M342)),"【晒单】"&amp;MID(M342,SEARCH("晒单",M342)+LEN("晒单"),LEN(M342))&amp;"（需晒单后联系客服登记）",IF(ISNUMBER(SEARCH("包修",M342)),"【购机】"&amp;MID(M342,SEARCH("购机",M342)+LEN("购机"),LEN(M342)),IF(ISNUMBER(SEARCH("叠放支架",M342)),"【赠品】"&amp;MID(M342,SEARCH("购机",M342)+LEN("购机"),LEN(M342)),IF(ISNUMBER(SEARCH("秀图",M342)),"【秀图】"&amp;MID(M342,SEARCH("秀图",M342)+LEN("秀图"),LEN(M342)),"")))),IFERROR(LEFT(_xlpm.A,FIND("【",_xlpm.A,FIND("】",_xlpm.A)+1)-1)&amp;MID(_xlpm.A,FIND("】",_xlpm.A,FIND("】",_xlpm.A)+1)+1,LEN(_xlpm.A)),_xlpm.A))</f>
        <v/>
      </c>
      <c r="I342" s="18" t="str">
        <f>_xlfn.LET(_xlpm.A,IF(ISNUMBER(SEARCH("晒单",N342)),"【晒单】"&amp;MID(N342,SEARCH("晒单",N342)+LEN("晒单"),LEN(N342))&amp;"（需晒单后联系客服登记）",IF(ISNUMBER(SEARCH("包修",N342)),"【购机】"&amp;MID(N342,SEARCH("购机",N342)+LEN("购机"),LEN(N342)),IF(ISNUMBER(SEARCH("叠放支架",N342)),"【赠品】"&amp;MID(N342,SEARCH("购机",N342)+LEN("购机"),LEN(N342)),IF(ISNUMBER(SEARCH("秀图",N342)),"【秀图】"&amp;MID(N342,SEARCH("秀图",N342)+LEN("秀图"),LEN(N342)),"")))),IFERROR(LEFT(_xlpm.A,FIND("【",_xlpm.A,FIND("】",_xlpm.A)+1)-1)&amp;MID(_xlpm.A,FIND("】",_xlpm.A,FIND("】",_xlpm.A)+1)+1,LEN(_xlpm.A)),_xlpm.A))</f>
        <v/>
      </c>
      <c r="J342" s="18" t="str" cm="1">
        <f t="array" ref="J342">IFERROR(INDEX(_xlfn.TEXTSPLIT(_xlfn.XLOOKUP($A342&amp;$B342&amp;$C342,盘货信息!$A:$A&amp;盘货信息!$B:$B&amp;盘货信息!$C:$C,盘货信息!$S:$S),CHAR(10),,TRUE),1,COLUMN(A341)),"")</f>
        <v/>
      </c>
      <c r="K342" s="18" t="str" cm="1">
        <f t="array" ref="K342">IFERROR(INDEX(_xlfn.TEXTSPLIT(_xlfn.XLOOKUP($A342&amp;$B342&amp;$C342,盘货信息!$A:$A&amp;盘货信息!$B:$B&amp;盘货信息!$C:$C,盘货信息!$S:$S),CHAR(10),,TRUE),1,COLUMN(B341)),"")</f>
        <v/>
      </c>
      <c r="L342" s="18" t="str" cm="1">
        <f t="array" ref="L342">IFERROR(INDEX(_xlfn.TEXTSPLIT(_xlfn.XLOOKUP($A342&amp;$B342&amp;$C342,盘货信息!$A:$A&amp;盘货信息!$B:$B&amp;盘货信息!$C:$C,盘货信息!$S:$S),CHAR(10),,TRUE),1,COLUMN(C341)),"")</f>
        <v/>
      </c>
      <c r="M342" s="18" t="str" cm="1">
        <f t="array" ref="M342">IFERROR(INDEX(_xlfn.TEXTSPLIT(_xlfn.XLOOKUP($A342&amp;$B342&amp;$C342,盘货信息!$A:$A&amp;盘货信息!$B:$B&amp;盘货信息!$C:$C,盘货信息!$S:$S),CHAR(10),,TRUE),1,COLUMN(D341)),"")</f>
        <v/>
      </c>
      <c r="N342" s="18" t="str" cm="1">
        <f t="array" ref="N342">IFERROR(INDEX(_xlfn.TEXTSPLIT(_xlfn.XLOOKUP($A342&amp;$B342&amp;$C342,盘货信息!$A:$A&amp;盘货信息!$B:$B&amp;盘货信息!$C:$C,盘货信息!$S:$S),CHAR(10),,TRUE),1,COLUMN(E341)),"")</f>
        <v/>
      </c>
    </row>
    <row r="343" customHeight="1" spans="1:14">
      <c r="A343" s="17" t="str">
        <f>IF(盘货信息!A343="","",盘货信息!A343)</f>
        <v/>
      </c>
      <c r="B343" s="17" t="str">
        <f>IF(盘货信息!B343="","",盘货信息!B343)</f>
        <v/>
      </c>
      <c r="C343" s="18" t="str">
        <f>IF(盘货信息!C343="","",盘货信息!C343)</f>
        <v/>
      </c>
      <c r="D343" s="18" t="str">
        <f t="shared" si="5"/>
        <v/>
      </c>
      <c r="E343" s="18" t="str">
        <f>_xlfn.LET(_xlpm.A,IF(ISNUMBER(SEARCH("晒单",J343)),"【晒单】"&amp;MID(J343,SEARCH("晒单",J343)+LEN("晒单"),LEN(J343))&amp;"（需晒单后联系客服登记）",IF(ISNUMBER(SEARCH("包修",J343)),"【购机】"&amp;MID(J343,SEARCH("购机",J343)+LEN("购机"),LEN(J343)),IF(ISNUMBER(SEARCH("叠放支架",J343)),"【赠品】"&amp;MID(J343,SEARCH("购机",J343)+LEN("购机"),LEN(J343)),IF(ISNUMBER(SEARCH("秀图",J343)),"【秀图】"&amp;MID(J343,SEARCH("秀图",J343)+LEN("秀图"),LEN(J343)),"")))),IFERROR(LEFT(_xlpm.A,FIND("【",_xlpm.A,FIND("】",_xlpm.A)+1)-1)&amp;MID(_xlpm.A,FIND("】",_xlpm.A,FIND("】",_xlpm.A)+1)+1,LEN(_xlpm.A)),_xlpm.A))</f>
        <v/>
      </c>
      <c r="F343" s="18" t="str">
        <f>_xlfn.LET(_xlpm.A,IF(ISNUMBER(SEARCH("晒单",K343)),"【晒单】"&amp;MID(K343,SEARCH("晒单",K343)+LEN("晒单"),LEN(K343))&amp;"（需晒单后联系客服登记）",IF(ISNUMBER(SEARCH("包修",K343)),"【购机】"&amp;MID(K343,SEARCH("购机",K343)+LEN("购机"),LEN(K343)),IF(ISNUMBER(SEARCH("叠放支架",K343)),"【赠品】"&amp;MID(K343,SEARCH("购机",K343)+LEN("购机"),LEN(K343)),IF(ISNUMBER(SEARCH("秀图",K343)),"【秀图】"&amp;MID(K343,SEARCH("秀图",K343)+LEN("秀图"),LEN(K343)),"")))),IFERROR(LEFT(_xlpm.A,FIND("【",_xlpm.A,FIND("】",_xlpm.A)+1)-1)&amp;MID(_xlpm.A,FIND("】",_xlpm.A,FIND("】",_xlpm.A)+1)+1,LEN(_xlpm.A)),_xlpm.A))</f>
        <v/>
      </c>
      <c r="G343" s="18" t="str">
        <f>_xlfn.LET(_xlpm.A,IF(ISNUMBER(SEARCH("晒单",L343)),"【晒单】"&amp;MID(L343,SEARCH("晒单",L343)+LEN("晒单"),LEN(L343))&amp;"（需晒单后联系客服登记）",IF(ISNUMBER(SEARCH("包修",L343)),"【购机】"&amp;MID(L343,SEARCH("购机",L343)+LEN("购机"),LEN(L343)),IF(ISNUMBER(SEARCH("叠放支架",L343)),"【赠品】"&amp;MID(L343,SEARCH("购机",L343)+LEN("购机"),LEN(L343)),IF(ISNUMBER(SEARCH("秀图",L343)),"【秀图】"&amp;MID(L343,SEARCH("秀图",L343)+LEN("秀图"),LEN(L343)),"")))),IFERROR(LEFT(_xlpm.A,FIND("【",_xlpm.A,FIND("】",_xlpm.A)+1)-1)&amp;MID(_xlpm.A,FIND("】",_xlpm.A,FIND("】",_xlpm.A)+1)+1,LEN(_xlpm.A)),_xlpm.A))</f>
        <v/>
      </c>
      <c r="H343" s="18" t="str">
        <f>_xlfn.LET(_xlpm.A,IF(ISNUMBER(SEARCH("晒单",M343)),"【晒单】"&amp;MID(M343,SEARCH("晒单",M343)+LEN("晒单"),LEN(M343))&amp;"（需晒单后联系客服登记）",IF(ISNUMBER(SEARCH("包修",M343)),"【购机】"&amp;MID(M343,SEARCH("购机",M343)+LEN("购机"),LEN(M343)),IF(ISNUMBER(SEARCH("叠放支架",M343)),"【赠品】"&amp;MID(M343,SEARCH("购机",M343)+LEN("购机"),LEN(M343)),IF(ISNUMBER(SEARCH("秀图",M343)),"【秀图】"&amp;MID(M343,SEARCH("秀图",M343)+LEN("秀图"),LEN(M343)),"")))),IFERROR(LEFT(_xlpm.A,FIND("【",_xlpm.A,FIND("】",_xlpm.A)+1)-1)&amp;MID(_xlpm.A,FIND("】",_xlpm.A,FIND("】",_xlpm.A)+1)+1,LEN(_xlpm.A)),_xlpm.A))</f>
        <v/>
      </c>
      <c r="I343" s="18" t="str">
        <f>_xlfn.LET(_xlpm.A,IF(ISNUMBER(SEARCH("晒单",N343)),"【晒单】"&amp;MID(N343,SEARCH("晒单",N343)+LEN("晒单"),LEN(N343))&amp;"（需晒单后联系客服登记）",IF(ISNUMBER(SEARCH("包修",N343)),"【购机】"&amp;MID(N343,SEARCH("购机",N343)+LEN("购机"),LEN(N343)),IF(ISNUMBER(SEARCH("叠放支架",N343)),"【赠品】"&amp;MID(N343,SEARCH("购机",N343)+LEN("购机"),LEN(N343)),IF(ISNUMBER(SEARCH("秀图",N343)),"【秀图】"&amp;MID(N343,SEARCH("秀图",N343)+LEN("秀图"),LEN(N343)),"")))),IFERROR(LEFT(_xlpm.A,FIND("【",_xlpm.A,FIND("】",_xlpm.A)+1)-1)&amp;MID(_xlpm.A,FIND("】",_xlpm.A,FIND("】",_xlpm.A)+1)+1,LEN(_xlpm.A)),_xlpm.A))</f>
        <v/>
      </c>
      <c r="J343" s="18" t="str" cm="1">
        <f t="array" ref="J343">IFERROR(INDEX(_xlfn.TEXTSPLIT(_xlfn.XLOOKUP($A343&amp;$B343&amp;$C343,盘货信息!$A:$A&amp;盘货信息!$B:$B&amp;盘货信息!$C:$C,盘货信息!$S:$S),CHAR(10),,TRUE),1,COLUMN(A342)),"")</f>
        <v/>
      </c>
      <c r="K343" s="18" t="str" cm="1">
        <f t="array" ref="K343">IFERROR(INDEX(_xlfn.TEXTSPLIT(_xlfn.XLOOKUP($A343&amp;$B343&amp;$C343,盘货信息!$A:$A&amp;盘货信息!$B:$B&amp;盘货信息!$C:$C,盘货信息!$S:$S),CHAR(10),,TRUE),1,COLUMN(B342)),"")</f>
        <v/>
      </c>
      <c r="L343" s="18" t="str" cm="1">
        <f t="array" ref="L343">IFERROR(INDEX(_xlfn.TEXTSPLIT(_xlfn.XLOOKUP($A343&amp;$B343&amp;$C343,盘货信息!$A:$A&amp;盘货信息!$B:$B&amp;盘货信息!$C:$C,盘货信息!$S:$S),CHAR(10),,TRUE),1,COLUMN(C342)),"")</f>
        <v/>
      </c>
      <c r="M343" s="18" t="str" cm="1">
        <f t="array" ref="M343">IFERROR(INDEX(_xlfn.TEXTSPLIT(_xlfn.XLOOKUP($A343&amp;$B343&amp;$C343,盘货信息!$A:$A&amp;盘货信息!$B:$B&amp;盘货信息!$C:$C,盘货信息!$S:$S),CHAR(10),,TRUE),1,COLUMN(D342)),"")</f>
        <v/>
      </c>
      <c r="N343" s="18" t="str" cm="1">
        <f t="array" ref="N343">IFERROR(INDEX(_xlfn.TEXTSPLIT(_xlfn.XLOOKUP($A343&amp;$B343&amp;$C343,盘货信息!$A:$A&amp;盘货信息!$B:$B&amp;盘货信息!$C:$C,盘货信息!$S:$S),CHAR(10),,TRUE),1,COLUMN(E342)),"")</f>
        <v/>
      </c>
    </row>
    <row r="344" customHeight="1" spans="1:14">
      <c r="A344" s="17" t="str">
        <f>IF(盘货信息!A344="","",盘货信息!A344)</f>
        <v/>
      </c>
      <c r="B344" s="17" t="str">
        <f>IF(盘货信息!B344="","",盘货信息!B344)</f>
        <v/>
      </c>
      <c r="C344" s="18" t="str">
        <f>IF(盘货信息!C344="","",盘货信息!C344)</f>
        <v/>
      </c>
      <c r="D344" s="18" t="str">
        <f t="shared" si="5"/>
        <v/>
      </c>
      <c r="E344" s="18" t="str">
        <f>_xlfn.LET(_xlpm.A,IF(ISNUMBER(SEARCH("晒单",J344)),"【晒单】"&amp;MID(J344,SEARCH("晒单",J344)+LEN("晒单"),LEN(J344))&amp;"（需晒单后联系客服登记）",IF(ISNUMBER(SEARCH("包修",J344)),"【购机】"&amp;MID(J344,SEARCH("购机",J344)+LEN("购机"),LEN(J344)),IF(ISNUMBER(SEARCH("叠放支架",J344)),"【赠品】"&amp;MID(J344,SEARCH("购机",J344)+LEN("购机"),LEN(J344)),IF(ISNUMBER(SEARCH("秀图",J344)),"【秀图】"&amp;MID(J344,SEARCH("秀图",J344)+LEN("秀图"),LEN(J344)),"")))),IFERROR(LEFT(_xlpm.A,FIND("【",_xlpm.A,FIND("】",_xlpm.A)+1)-1)&amp;MID(_xlpm.A,FIND("】",_xlpm.A,FIND("】",_xlpm.A)+1)+1,LEN(_xlpm.A)),_xlpm.A))</f>
        <v/>
      </c>
      <c r="F344" s="18" t="str">
        <f>_xlfn.LET(_xlpm.A,IF(ISNUMBER(SEARCH("晒单",K344)),"【晒单】"&amp;MID(K344,SEARCH("晒单",K344)+LEN("晒单"),LEN(K344))&amp;"（需晒单后联系客服登记）",IF(ISNUMBER(SEARCH("包修",K344)),"【购机】"&amp;MID(K344,SEARCH("购机",K344)+LEN("购机"),LEN(K344)),IF(ISNUMBER(SEARCH("叠放支架",K344)),"【赠品】"&amp;MID(K344,SEARCH("购机",K344)+LEN("购机"),LEN(K344)),IF(ISNUMBER(SEARCH("秀图",K344)),"【秀图】"&amp;MID(K344,SEARCH("秀图",K344)+LEN("秀图"),LEN(K344)),"")))),IFERROR(LEFT(_xlpm.A,FIND("【",_xlpm.A,FIND("】",_xlpm.A)+1)-1)&amp;MID(_xlpm.A,FIND("】",_xlpm.A,FIND("】",_xlpm.A)+1)+1,LEN(_xlpm.A)),_xlpm.A))</f>
        <v/>
      </c>
      <c r="G344" s="18" t="str">
        <f>_xlfn.LET(_xlpm.A,IF(ISNUMBER(SEARCH("晒单",L344)),"【晒单】"&amp;MID(L344,SEARCH("晒单",L344)+LEN("晒单"),LEN(L344))&amp;"（需晒单后联系客服登记）",IF(ISNUMBER(SEARCH("包修",L344)),"【购机】"&amp;MID(L344,SEARCH("购机",L344)+LEN("购机"),LEN(L344)),IF(ISNUMBER(SEARCH("叠放支架",L344)),"【赠品】"&amp;MID(L344,SEARCH("购机",L344)+LEN("购机"),LEN(L344)),IF(ISNUMBER(SEARCH("秀图",L344)),"【秀图】"&amp;MID(L344,SEARCH("秀图",L344)+LEN("秀图"),LEN(L344)),"")))),IFERROR(LEFT(_xlpm.A,FIND("【",_xlpm.A,FIND("】",_xlpm.A)+1)-1)&amp;MID(_xlpm.A,FIND("】",_xlpm.A,FIND("】",_xlpm.A)+1)+1,LEN(_xlpm.A)),_xlpm.A))</f>
        <v/>
      </c>
      <c r="H344" s="18" t="str">
        <f>_xlfn.LET(_xlpm.A,IF(ISNUMBER(SEARCH("晒单",M344)),"【晒单】"&amp;MID(M344,SEARCH("晒单",M344)+LEN("晒单"),LEN(M344))&amp;"（需晒单后联系客服登记）",IF(ISNUMBER(SEARCH("包修",M344)),"【购机】"&amp;MID(M344,SEARCH("购机",M344)+LEN("购机"),LEN(M344)),IF(ISNUMBER(SEARCH("叠放支架",M344)),"【赠品】"&amp;MID(M344,SEARCH("购机",M344)+LEN("购机"),LEN(M344)),IF(ISNUMBER(SEARCH("秀图",M344)),"【秀图】"&amp;MID(M344,SEARCH("秀图",M344)+LEN("秀图"),LEN(M344)),"")))),IFERROR(LEFT(_xlpm.A,FIND("【",_xlpm.A,FIND("】",_xlpm.A)+1)-1)&amp;MID(_xlpm.A,FIND("】",_xlpm.A,FIND("】",_xlpm.A)+1)+1,LEN(_xlpm.A)),_xlpm.A))</f>
        <v/>
      </c>
      <c r="I344" s="18" t="str">
        <f>_xlfn.LET(_xlpm.A,IF(ISNUMBER(SEARCH("晒单",N344)),"【晒单】"&amp;MID(N344,SEARCH("晒单",N344)+LEN("晒单"),LEN(N344))&amp;"（需晒单后联系客服登记）",IF(ISNUMBER(SEARCH("包修",N344)),"【购机】"&amp;MID(N344,SEARCH("购机",N344)+LEN("购机"),LEN(N344)),IF(ISNUMBER(SEARCH("叠放支架",N344)),"【赠品】"&amp;MID(N344,SEARCH("购机",N344)+LEN("购机"),LEN(N344)),IF(ISNUMBER(SEARCH("秀图",N344)),"【秀图】"&amp;MID(N344,SEARCH("秀图",N344)+LEN("秀图"),LEN(N344)),"")))),IFERROR(LEFT(_xlpm.A,FIND("【",_xlpm.A,FIND("】",_xlpm.A)+1)-1)&amp;MID(_xlpm.A,FIND("】",_xlpm.A,FIND("】",_xlpm.A)+1)+1,LEN(_xlpm.A)),_xlpm.A))</f>
        <v/>
      </c>
      <c r="J344" s="18" t="str" cm="1">
        <f t="array" ref="J344">IFERROR(INDEX(_xlfn.TEXTSPLIT(_xlfn.XLOOKUP($A344&amp;$B344&amp;$C344,盘货信息!$A:$A&amp;盘货信息!$B:$B&amp;盘货信息!$C:$C,盘货信息!$S:$S),CHAR(10),,TRUE),1,COLUMN(A343)),"")</f>
        <v/>
      </c>
      <c r="K344" s="18" t="str" cm="1">
        <f t="array" ref="K344">IFERROR(INDEX(_xlfn.TEXTSPLIT(_xlfn.XLOOKUP($A344&amp;$B344&amp;$C344,盘货信息!$A:$A&amp;盘货信息!$B:$B&amp;盘货信息!$C:$C,盘货信息!$S:$S),CHAR(10),,TRUE),1,COLUMN(B343)),"")</f>
        <v/>
      </c>
      <c r="L344" s="18" t="str" cm="1">
        <f t="array" ref="L344">IFERROR(INDEX(_xlfn.TEXTSPLIT(_xlfn.XLOOKUP($A344&amp;$B344&amp;$C344,盘货信息!$A:$A&amp;盘货信息!$B:$B&amp;盘货信息!$C:$C,盘货信息!$S:$S),CHAR(10),,TRUE),1,COLUMN(C343)),"")</f>
        <v/>
      </c>
      <c r="M344" s="18" t="str" cm="1">
        <f t="array" ref="M344">IFERROR(INDEX(_xlfn.TEXTSPLIT(_xlfn.XLOOKUP($A344&amp;$B344&amp;$C344,盘货信息!$A:$A&amp;盘货信息!$B:$B&amp;盘货信息!$C:$C,盘货信息!$S:$S),CHAR(10),,TRUE),1,COLUMN(D343)),"")</f>
        <v/>
      </c>
      <c r="N344" s="18" t="str" cm="1">
        <f t="array" ref="N344">IFERROR(INDEX(_xlfn.TEXTSPLIT(_xlfn.XLOOKUP($A344&amp;$B344&amp;$C344,盘货信息!$A:$A&amp;盘货信息!$B:$B&amp;盘货信息!$C:$C,盘货信息!$S:$S),CHAR(10),,TRUE),1,COLUMN(E343)),"")</f>
        <v/>
      </c>
    </row>
    <row r="345" customHeight="1" spans="1:14">
      <c r="A345" s="17" t="str">
        <f>IF(盘货信息!A345="","",盘货信息!A345)</f>
        <v/>
      </c>
      <c r="B345" s="17" t="str">
        <f>IF(盘货信息!B345="","",盘货信息!B345)</f>
        <v/>
      </c>
      <c r="C345" s="18" t="str">
        <f>IF(盘货信息!C345="","",盘货信息!C345)</f>
        <v/>
      </c>
      <c r="D345" s="18" t="str">
        <f t="shared" si="5"/>
        <v/>
      </c>
      <c r="E345" s="18" t="str">
        <f>_xlfn.LET(_xlpm.A,IF(ISNUMBER(SEARCH("晒单",J345)),"【晒单】"&amp;MID(J345,SEARCH("晒单",J345)+LEN("晒单"),LEN(J345))&amp;"（需晒单后联系客服登记）",IF(ISNUMBER(SEARCH("包修",J345)),"【购机】"&amp;MID(J345,SEARCH("购机",J345)+LEN("购机"),LEN(J345)),IF(ISNUMBER(SEARCH("叠放支架",J345)),"【赠品】"&amp;MID(J345,SEARCH("购机",J345)+LEN("购机"),LEN(J345)),IF(ISNUMBER(SEARCH("秀图",J345)),"【秀图】"&amp;MID(J345,SEARCH("秀图",J345)+LEN("秀图"),LEN(J345)),"")))),IFERROR(LEFT(_xlpm.A,FIND("【",_xlpm.A,FIND("】",_xlpm.A)+1)-1)&amp;MID(_xlpm.A,FIND("】",_xlpm.A,FIND("】",_xlpm.A)+1)+1,LEN(_xlpm.A)),_xlpm.A))</f>
        <v/>
      </c>
      <c r="F345" s="18" t="str">
        <f>_xlfn.LET(_xlpm.A,IF(ISNUMBER(SEARCH("晒单",K345)),"【晒单】"&amp;MID(K345,SEARCH("晒单",K345)+LEN("晒单"),LEN(K345))&amp;"（需晒单后联系客服登记）",IF(ISNUMBER(SEARCH("包修",K345)),"【购机】"&amp;MID(K345,SEARCH("购机",K345)+LEN("购机"),LEN(K345)),IF(ISNUMBER(SEARCH("叠放支架",K345)),"【赠品】"&amp;MID(K345,SEARCH("购机",K345)+LEN("购机"),LEN(K345)),IF(ISNUMBER(SEARCH("秀图",K345)),"【秀图】"&amp;MID(K345,SEARCH("秀图",K345)+LEN("秀图"),LEN(K345)),"")))),IFERROR(LEFT(_xlpm.A,FIND("【",_xlpm.A,FIND("】",_xlpm.A)+1)-1)&amp;MID(_xlpm.A,FIND("】",_xlpm.A,FIND("】",_xlpm.A)+1)+1,LEN(_xlpm.A)),_xlpm.A))</f>
        <v/>
      </c>
      <c r="G345" s="18" t="str">
        <f>_xlfn.LET(_xlpm.A,IF(ISNUMBER(SEARCH("晒单",L345)),"【晒单】"&amp;MID(L345,SEARCH("晒单",L345)+LEN("晒单"),LEN(L345))&amp;"（需晒单后联系客服登记）",IF(ISNUMBER(SEARCH("包修",L345)),"【购机】"&amp;MID(L345,SEARCH("购机",L345)+LEN("购机"),LEN(L345)),IF(ISNUMBER(SEARCH("叠放支架",L345)),"【赠品】"&amp;MID(L345,SEARCH("购机",L345)+LEN("购机"),LEN(L345)),IF(ISNUMBER(SEARCH("秀图",L345)),"【秀图】"&amp;MID(L345,SEARCH("秀图",L345)+LEN("秀图"),LEN(L345)),"")))),IFERROR(LEFT(_xlpm.A,FIND("【",_xlpm.A,FIND("】",_xlpm.A)+1)-1)&amp;MID(_xlpm.A,FIND("】",_xlpm.A,FIND("】",_xlpm.A)+1)+1,LEN(_xlpm.A)),_xlpm.A))</f>
        <v/>
      </c>
      <c r="H345" s="18" t="str">
        <f>_xlfn.LET(_xlpm.A,IF(ISNUMBER(SEARCH("晒单",M345)),"【晒单】"&amp;MID(M345,SEARCH("晒单",M345)+LEN("晒单"),LEN(M345))&amp;"（需晒单后联系客服登记）",IF(ISNUMBER(SEARCH("包修",M345)),"【购机】"&amp;MID(M345,SEARCH("购机",M345)+LEN("购机"),LEN(M345)),IF(ISNUMBER(SEARCH("叠放支架",M345)),"【赠品】"&amp;MID(M345,SEARCH("购机",M345)+LEN("购机"),LEN(M345)),IF(ISNUMBER(SEARCH("秀图",M345)),"【秀图】"&amp;MID(M345,SEARCH("秀图",M345)+LEN("秀图"),LEN(M345)),"")))),IFERROR(LEFT(_xlpm.A,FIND("【",_xlpm.A,FIND("】",_xlpm.A)+1)-1)&amp;MID(_xlpm.A,FIND("】",_xlpm.A,FIND("】",_xlpm.A)+1)+1,LEN(_xlpm.A)),_xlpm.A))</f>
        <v/>
      </c>
      <c r="I345" s="18" t="str">
        <f>_xlfn.LET(_xlpm.A,IF(ISNUMBER(SEARCH("晒单",N345)),"【晒单】"&amp;MID(N345,SEARCH("晒单",N345)+LEN("晒单"),LEN(N345))&amp;"（需晒单后联系客服登记）",IF(ISNUMBER(SEARCH("包修",N345)),"【购机】"&amp;MID(N345,SEARCH("购机",N345)+LEN("购机"),LEN(N345)),IF(ISNUMBER(SEARCH("叠放支架",N345)),"【赠品】"&amp;MID(N345,SEARCH("购机",N345)+LEN("购机"),LEN(N345)),IF(ISNUMBER(SEARCH("秀图",N345)),"【秀图】"&amp;MID(N345,SEARCH("秀图",N345)+LEN("秀图"),LEN(N345)),"")))),IFERROR(LEFT(_xlpm.A,FIND("【",_xlpm.A,FIND("】",_xlpm.A)+1)-1)&amp;MID(_xlpm.A,FIND("】",_xlpm.A,FIND("】",_xlpm.A)+1)+1,LEN(_xlpm.A)),_xlpm.A))</f>
        <v/>
      </c>
      <c r="J345" s="18" t="str" cm="1">
        <f t="array" ref="J345">IFERROR(INDEX(_xlfn.TEXTSPLIT(_xlfn.XLOOKUP($A345&amp;$B345&amp;$C345,盘货信息!$A:$A&amp;盘货信息!$B:$B&amp;盘货信息!$C:$C,盘货信息!$S:$S),CHAR(10),,TRUE),1,COLUMN(A344)),"")</f>
        <v/>
      </c>
      <c r="K345" s="18" t="str" cm="1">
        <f t="array" ref="K345">IFERROR(INDEX(_xlfn.TEXTSPLIT(_xlfn.XLOOKUP($A345&amp;$B345&amp;$C345,盘货信息!$A:$A&amp;盘货信息!$B:$B&amp;盘货信息!$C:$C,盘货信息!$S:$S),CHAR(10),,TRUE),1,COLUMN(B344)),"")</f>
        <v/>
      </c>
      <c r="L345" s="18" t="str" cm="1">
        <f t="array" ref="L345">IFERROR(INDEX(_xlfn.TEXTSPLIT(_xlfn.XLOOKUP($A345&amp;$B345&amp;$C345,盘货信息!$A:$A&amp;盘货信息!$B:$B&amp;盘货信息!$C:$C,盘货信息!$S:$S),CHAR(10),,TRUE),1,COLUMN(C344)),"")</f>
        <v/>
      </c>
      <c r="M345" s="18" t="str" cm="1">
        <f t="array" ref="M345">IFERROR(INDEX(_xlfn.TEXTSPLIT(_xlfn.XLOOKUP($A345&amp;$B345&amp;$C345,盘货信息!$A:$A&amp;盘货信息!$B:$B&amp;盘货信息!$C:$C,盘货信息!$S:$S),CHAR(10),,TRUE),1,COLUMN(D344)),"")</f>
        <v/>
      </c>
      <c r="N345" s="18" t="str" cm="1">
        <f t="array" ref="N345">IFERROR(INDEX(_xlfn.TEXTSPLIT(_xlfn.XLOOKUP($A345&amp;$B345&amp;$C345,盘货信息!$A:$A&amp;盘货信息!$B:$B&amp;盘货信息!$C:$C,盘货信息!$S:$S),CHAR(10),,TRUE),1,COLUMN(E344)),"")</f>
        <v/>
      </c>
    </row>
    <row r="346" customHeight="1" spans="1:14">
      <c r="A346" s="17" t="str">
        <f>IF(盘货信息!A346="","",盘货信息!A346)</f>
        <v/>
      </c>
      <c r="B346" s="17" t="str">
        <f>IF(盘货信息!B346="","",盘货信息!B346)</f>
        <v/>
      </c>
      <c r="C346" s="18" t="str">
        <f>IF(盘货信息!C346="","",盘货信息!C346)</f>
        <v/>
      </c>
      <c r="D346" s="18" t="str">
        <f t="shared" si="5"/>
        <v/>
      </c>
      <c r="E346" s="18" t="str">
        <f>_xlfn.LET(_xlpm.A,IF(ISNUMBER(SEARCH("晒单",J346)),"【晒单】"&amp;MID(J346,SEARCH("晒单",J346)+LEN("晒单"),LEN(J346))&amp;"（需晒单后联系客服登记）",IF(ISNUMBER(SEARCH("包修",J346)),"【购机】"&amp;MID(J346,SEARCH("购机",J346)+LEN("购机"),LEN(J346)),IF(ISNUMBER(SEARCH("叠放支架",J346)),"【赠品】"&amp;MID(J346,SEARCH("购机",J346)+LEN("购机"),LEN(J346)),IF(ISNUMBER(SEARCH("秀图",J346)),"【秀图】"&amp;MID(J346,SEARCH("秀图",J346)+LEN("秀图"),LEN(J346)),"")))),IFERROR(LEFT(_xlpm.A,FIND("【",_xlpm.A,FIND("】",_xlpm.A)+1)-1)&amp;MID(_xlpm.A,FIND("】",_xlpm.A,FIND("】",_xlpm.A)+1)+1,LEN(_xlpm.A)),_xlpm.A))</f>
        <v/>
      </c>
      <c r="F346" s="18" t="str">
        <f>_xlfn.LET(_xlpm.A,IF(ISNUMBER(SEARCH("晒单",K346)),"【晒单】"&amp;MID(K346,SEARCH("晒单",K346)+LEN("晒单"),LEN(K346))&amp;"（需晒单后联系客服登记）",IF(ISNUMBER(SEARCH("包修",K346)),"【购机】"&amp;MID(K346,SEARCH("购机",K346)+LEN("购机"),LEN(K346)),IF(ISNUMBER(SEARCH("叠放支架",K346)),"【赠品】"&amp;MID(K346,SEARCH("购机",K346)+LEN("购机"),LEN(K346)),IF(ISNUMBER(SEARCH("秀图",K346)),"【秀图】"&amp;MID(K346,SEARCH("秀图",K346)+LEN("秀图"),LEN(K346)),"")))),IFERROR(LEFT(_xlpm.A,FIND("【",_xlpm.A,FIND("】",_xlpm.A)+1)-1)&amp;MID(_xlpm.A,FIND("】",_xlpm.A,FIND("】",_xlpm.A)+1)+1,LEN(_xlpm.A)),_xlpm.A))</f>
        <v/>
      </c>
      <c r="G346" s="18" t="str">
        <f>_xlfn.LET(_xlpm.A,IF(ISNUMBER(SEARCH("晒单",L346)),"【晒单】"&amp;MID(L346,SEARCH("晒单",L346)+LEN("晒单"),LEN(L346))&amp;"（需晒单后联系客服登记）",IF(ISNUMBER(SEARCH("包修",L346)),"【购机】"&amp;MID(L346,SEARCH("购机",L346)+LEN("购机"),LEN(L346)),IF(ISNUMBER(SEARCH("叠放支架",L346)),"【赠品】"&amp;MID(L346,SEARCH("购机",L346)+LEN("购机"),LEN(L346)),IF(ISNUMBER(SEARCH("秀图",L346)),"【秀图】"&amp;MID(L346,SEARCH("秀图",L346)+LEN("秀图"),LEN(L346)),"")))),IFERROR(LEFT(_xlpm.A,FIND("【",_xlpm.A,FIND("】",_xlpm.A)+1)-1)&amp;MID(_xlpm.A,FIND("】",_xlpm.A,FIND("】",_xlpm.A)+1)+1,LEN(_xlpm.A)),_xlpm.A))</f>
        <v/>
      </c>
      <c r="H346" s="18" t="str">
        <f>_xlfn.LET(_xlpm.A,IF(ISNUMBER(SEARCH("晒单",M346)),"【晒单】"&amp;MID(M346,SEARCH("晒单",M346)+LEN("晒单"),LEN(M346))&amp;"（需晒单后联系客服登记）",IF(ISNUMBER(SEARCH("包修",M346)),"【购机】"&amp;MID(M346,SEARCH("购机",M346)+LEN("购机"),LEN(M346)),IF(ISNUMBER(SEARCH("叠放支架",M346)),"【赠品】"&amp;MID(M346,SEARCH("购机",M346)+LEN("购机"),LEN(M346)),IF(ISNUMBER(SEARCH("秀图",M346)),"【秀图】"&amp;MID(M346,SEARCH("秀图",M346)+LEN("秀图"),LEN(M346)),"")))),IFERROR(LEFT(_xlpm.A,FIND("【",_xlpm.A,FIND("】",_xlpm.A)+1)-1)&amp;MID(_xlpm.A,FIND("】",_xlpm.A,FIND("】",_xlpm.A)+1)+1,LEN(_xlpm.A)),_xlpm.A))</f>
        <v/>
      </c>
      <c r="I346" s="18" t="str">
        <f>_xlfn.LET(_xlpm.A,IF(ISNUMBER(SEARCH("晒单",N346)),"【晒单】"&amp;MID(N346,SEARCH("晒单",N346)+LEN("晒单"),LEN(N346))&amp;"（需晒单后联系客服登记）",IF(ISNUMBER(SEARCH("包修",N346)),"【购机】"&amp;MID(N346,SEARCH("购机",N346)+LEN("购机"),LEN(N346)),IF(ISNUMBER(SEARCH("叠放支架",N346)),"【赠品】"&amp;MID(N346,SEARCH("购机",N346)+LEN("购机"),LEN(N346)),IF(ISNUMBER(SEARCH("秀图",N346)),"【秀图】"&amp;MID(N346,SEARCH("秀图",N346)+LEN("秀图"),LEN(N346)),"")))),IFERROR(LEFT(_xlpm.A,FIND("【",_xlpm.A,FIND("】",_xlpm.A)+1)-1)&amp;MID(_xlpm.A,FIND("】",_xlpm.A,FIND("】",_xlpm.A)+1)+1,LEN(_xlpm.A)),_xlpm.A))</f>
        <v/>
      </c>
      <c r="J346" s="18" t="str" cm="1">
        <f t="array" ref="J346">IFERROR(INDEX(_xlfn.TEXTSPLIT(_xlfn.XLOOKUP($A346&amp;$B346&amp;$C346,盘货信息!$A:$A&amp;盘货信息!$B:$B&amp;盘货信息!$C:$C,盘货信息!$S:$S),CHAR(10),,TRUE),1,COLUMN(A345)),"")</f>
        <v/>
      </c>
      <c r="K346" s="18" t="str" cm="1">
        <f t="array" ref="K346">IFERROR(INDEX(_xlfn.TEXTSPLIT(_xlfn.XLOOKUP($A346&amp;$B346&amp;$C346,盘货信息!$A:$A&amp;盘货信息!$B:$B&amp;盘货信息!$C:$C,盘货信息!$S:$S),CHAR(10),,TRUE),1,COLUMN(B345)),"")</f>
        <v/>
      </c>
      <c r="L346" s="18" t="str" cm="1">
        <f t="array" ref="L346">IFERROR(INDEX(_xlfn.TEXTSPLIT(_xlfn.XLOOKUP($A346&amp;$B346&amp;$C346,盘货信息!$A:$A&amp;盘货信息!$B:$B&amp;盘货信息!$C:$C,盘货信息!$S:$S),CHAR(10),,TRUE),1,COLUMN(C345)),"")</f>
        <v/>
      </c>
      <c r="M346" s="18" t="str" cm="1">
        <f t="array" ref="M346">IFERROR(INDEX(_xlfn.TEXTSPLIT(_xlfn.XLOOKUP($A346&amp;$B346&amp;$C346,盘货信息!$A:$A&amp;盘货信息!$B:$B&amp;盘货信息!$C:$C,盘货信息!$S:$S),CHAR(10),,TRUE),1,COLUMN(D345)),"")</f>
        <v/>
      </c>
      <c r="N346" s="18" t="str" cm="1">
        <f t="array" ref="N346">IFERROR(INDEX(_xlfn.TEXTSPLIT(_xlfn.XLOOKUP($A346&amp;$B346&amp;$C346,盘货信息!$A:$A&amp;盘货信息!$B:$B&amp;盘货信息!$C:$C,盘货信息!$S:$S),CHAR(10),,TRUE),1,COLUMN(E345)),"")</f>
        <v/>
      </c>
    </row>
    <row r="347" customHeight="1" spans="1:14">
      <c r="A347" s="17" t="str">
        <f>IF(盘货信息!A347="","",盘货信息!A347)</f>
        <v/>
      </c>
      <c r="B347" s="17" t="str">
        <f>IF(盘货信息!B347="","",盘货信息!B347)</f>
        <v/>
      </c>
      <c r="C347" s="18" t="str">
        <f>IF(盘货信息!C347="","",盘货信息!C347)</f>
        <v/>
      </c>
      <c r="D347" s="18" t="str">
        <f t="shared" si="5"/>
        <v/>
      </c>
      <c r="E347" s="18" t="str">
        <f>_xlfn.LET(_xlpm.A,IF(ISNUMBER(SEARCH("晒单",J347)),"【晒单】"&amp;MID(J347,SEARCH("晒单",J347)+LEN("晒单"),LEN(J347))&amp;"（需晒单后联系客服登记）",IF(ISNUMBER(SEARCH("包修",J347)),"【购机】"&amp;MID(J347,SEARCH("购机",J347)+LEN("购机"),LEN(J347)),IF(ISNUMBER(SEARCH("叠放支架",J347)),"【赠品】"&amp;MID(J347,SEARCH("购机",J347)+LEN("购机"),LEN(J347)),IF(ISNUMBER(SEARCH("秀图",J347)),"【秀图】"&amp;MID(J347,SEARCH("秀图",J347)+LEN("秀图"),LEN(J347)),"")))),IFERROR(LEFT(_xlpm.A,FIND("【",_xlpm.A,FIND("】",_xlpm.A)+1)-1)&amp;MID(_xlpm.A,FIND("】",_xlpm.A,FIND("】",_xlpm.A)+1)+1,LEN(_xlpm.A)),_xlpm.A))</f>
        <v/>
      </c>
      <c r="F347" s="18" t="str">
        <f>_xlfn.LET(_xlpm.A,IF(ISNUMBER(SEARCH("晒单",K347)),"【晒单】"&amp;MID(K347,SEARCH("晒单",K347)+LEN("晒单"),LEN(K347))&amp;"（需晒单后联系客服登记）",IF(ISNUMBER(SEARCH("包修",K347)),"【购机】"&amp;MID(K347,SEARCH("购机",K347)+LEN("购机"),LEN(K347)),IF(ISNUMBER(SEARCH("叠放支架",K347)),"【赠品】"&amp;MID(K347,SEARCH("购机",K347)+LEN("购机"),LEN(K347)),IF(ISNUMBER(SEARCH("秀图",K347)),"【秀图】"&amp;MID(K347,SEARCH("秀图",K347)+LEN("秀图"),LEN(K347)),"")))),IFERROR(LEFT(_xlpm.A,FIND("【",_xlpm.A,FIND("】",_xlpm.A)+1)-1)&amp;MID(_xlpm.A,FIND("】",_xlpm.A,FIND("】",_xlpm.A)+1)+1,LEN(_xlpm.A)),_xlpm.A))</f>
        <v/>
      </c>
      <c r="G347" s="18" t="str">
        <f>_xlfn.LET(_xlpm.A,IF(ISNUMBER(SEARCH("晒单",L347)),"【晒单】"&amp;MID(L347,SEARCH("晒单",L347)+LEN("晒单"),LEN(L347))&amp;"（需晒单后联系客服登记）",IF(ISNUMBER(SEARCH("包修",L347)),"【购机】"&amp;MID(L347,SEARCH("购机",L347)+LEN("购机"),LEN(L347)),IF(ISNUMBER(SEARCH("叠放支架",L347)),"【赠品】"&amp;MID(L347,SEARCH("购机",L347)+LEN("购机"),LEN(L347)),IF(ISNUMBER(SEARCH("秀图",L347)),"【秀图】"&amp;MID(L347,SEARCH("秀图",L347)+LEN("秀图"),LEN(L347)),"")))),IFERROR(LEFT(_xlpm.A,FIND("【",_xlpm.A,FIND("】",_xlpm.A)+1)-1)&amp;MID(_xlpm.A,FIND("】",_xlpm.A,FIND("】",_xlpm.A)+1)+1,LEN(_xlpm.A)),_xlpm.A))</f>
        <v/>
      </c>
      <c r="H347" s="18" t="str">
        <f>_xlfn.LET(_xlpm.A,IF(ISNUMBER(SEARCH("晒单",M347)),"【晒单】"&amp;MID(M347,SEARCH("晒单",M347)+LEN("晒单"),LEN(M347))&amp;"（需晒单后联系客服登记）",IF(ISNUMBER(SEARCH("包修",M347)),"【购机】"&amp;MID(M347,SEARCH("购机",M347)+LEN("购机"),LEN(M347)),IF(ISNUMBER(SEARCH("叠放支架",M347)),"【赠品】"&amp;MID(M347,SEARCH("购机",M347)+LEN("购机"),LEN(M347)),IF(ISNUMBER(SEARCH("秀图",M347)),"【秀图】"&amp;MID(M347,SEARCH("秀图",M347)+LEN("秀图"),LEN(M347)),"")))),IFERROR(LEFT(_xlpm.A,FIND("【",_xlpm.A,FIND("】",_xlpm.A)+1)-1)&amp;MID(_xlpm.A,FIND("】",_xlpm.A,FIND("】",_xlpm.A)+1)+1,LEN(_xlpm.A)),_xlpm.A))</f>
        <v/>
      </c>
      <c r="I347" s="18" t="str">
        <f>_xlfn.LET(_xlpm.A,IF(ISNUMBER(SEARCH("晒单",N347)),"【晒单】"&amp;MID(N347,SEARCH("晒单",N347)+LEN("晒单"),LEN(N347))&amp;"（需晒单后联系客服登记）",IF(ISNUMBER(SEARCH("包修",N347)),"【购机】"&amp;MID(N347,SEARCH("购机",N347)+LEN("购机"),LEN(N347)),IF(ISNUMBER(SEARCH("叠放支架",N347)),"【赠品】"&amp;MID(N347,SEARCH("购机",N347)+LEN("购机"),LEN(N347)),IF(ISNUMBER(SEARCH("秀图",N347)),"【秀图】"&amp;MID(N347,SEARCH("秀图",N347)+LEN("秀图"),LEN(N347)),"")))),IFERROR(LEFT(_xlpm.A,FIND("【",_xlpm.A,FIND("】",_xlpm.A)+1)-1)&amp;MID(_xlpm.A,FIND("】",_xlpm.A,FIND("】",_xlpm.A)+1)+1,LEN(_xlpm.A)),_xlpm.A))</f>
        <v/>
      </c>
      <c r="J347" s="18" t="str" cm="1">
        <f t="array" ref="J347">IFERROR(INDEX(_xlfn.TEXTSPLIT(_xlfn.XLOOKUP($A347&amp;$B347&amp;$C347,盘货信息!$A:$A&amp;盘货信息!$B:$B&amp;盘货信息!$C:$C,盘货信息!$S:$S),CHAR(10),,TRUE),1,COLUMN(A346)),"")</f>
        <v/>
      </c>
      <c r="K347" s="18" t="str" cm="1">
        <f t="array" ref="K347">IFERROR(INDEX(_xlfn.TEXTSPLIT(_xlfn.XLOOKUP($A347&amp;$B347&amp;$C347,盘货信息!$A:$A&amp;盘货信息!$B:$B&amp;盘货信息!$C:$C,盘货信息!$S:$S),CHAR(10),,TRUE),1,COLUMN(B346)),"")</f>
        <v/>
      </c>
      <c r="L347" s="18" t="str" cm="1">
        <f t="array" ref="L347">IFERROR(INDEX(_xlfn.TEXTSPLIT(_xlfn.XLOOKUP($A347&amp;$B347&amp;$C347,盘货信息!$A:$A&amp;盘货信息!$B:$B&amp;盘货信息!$C:$C,盘货信息!$S:$S),CHAR(10),,TRUE),1,COLUMN(C346)),"")</f>
        <v/>
      </c>
      <c r="M347" s="18" t="str" cm="1">
        <f t="array" ref="M347">IFERROR(INDEX(_xlfn.TEXTSPLIT(_xlfn.XLOOKUP($A347&amp;$B347&amp;$C347,盘货信息!$A:$A&amp;盘货信息!$B:$B&amp;盘货信息!$C:$C,盘货信息!$S:$S),CHAR(10),,TRUE),1,COLUMN(D346)),"")</f>
        <v/>
      </c>
      <c r="N347" s="18" t="str" cm="1">
        <f t="array" ref="N347">IFERROR(INDEX(_xlfn.TEXTSPLIT(_xlfn.XLOOKUP($A347&amp;$B347&amp;$C347,盘货信息!$A:$A&amp;盘货信息!$B:$B&amp;盘货信息!$C:$C,盘货信息!$S:$S),CHAR(10),,TRUE),1,COLUMN(E346)),"")</f>
        <v/>
      </c>
    </row>
    <row r="348" customHeight="1" spans="1:14">
      <c r="A348" s="17" t="str">
        <f>IF(盘货信息!A348="","",盘货信息!A348)</f>
        <v/>
      </c>
      <c r="B348" s="17" t="str">
        <f>IF(盘货信息!B348="","",盘货信息!B348)</f>
        <v/>
      </c>
      <c r="C348" s="18" t="str">
        <f>IF(盘货信息!C348="","",盘货信息!C348)</f>
        <v/>
      </c>
      <c r="D348" s="18" t="str">
        <f t="shared" si="5"/>
        <v/>
      </c>
      <c r="E348" s="18" t="str">
        <f>_xlfn.LET(_xlpm.A,IF(ISNUMBER(SEARCH("晒单",J348)),"【晒单】"&amp;MID(J348,SEARCH("晒单",J348)+LEN("晒单"),LEN(J348))&amp;"（需晒单后联系客服登记）",IF(ISNUMBER(SEARCH("包修",J348)),"【购机】"&amp;MID(J348,SEARCH("购机",J348)+LEN("购机"),LEN(J348)),IF(ISNUMBER(SEARCH("叠放支架",J348)),"【赠品】"&amp;MID(J348,SEARCH("购机",J348)+LEN("购机"),LEN(J348)),IF(ISNUMBER(SEARCH("秀图",J348)),"【秀图】"&amp;MID(J348,SEARCH("秀图",J348)+LEN("秀图"),LEN(J348)),"")))),IFERROR(LEFT(_xlpm.A,FIND("【",_xlpm.A,FIND("】",_xlpm.A)+1)-1)&amp;MID(_xlpm.A,FIND("】",_xlpm.A,FIND("】",_xlpm.A)+1)+1,LEN(_xlpm.A)),_xlpm.A))</f>
        <v/>
      </c>
      <c r="F348" s="18" t="str">
        <f>_xlfn.LET(_xlpm.A,IF(ISNUMBER(SEARCH("晒单",K348)),"【晒单】"&amp;MID(K348,SEARCH("晒单",K348)+LEN("晒单"),LEN(K348))&amp;"（需晒单后联系客服登记）",IF(ISNUMBER(SEARCH("包修",K348)),"【购机】"&amp;MID(K348,SEARCH("购机",K348)+LEN("购机"),LEN(K348)),IF(ISNUMBER(SEARCH("叠放支架",K348)),"【赠品】"&amp;MID(K348,SEARCH("购机",K348)+LEN("购机"),LEN(K348)),IF(ISNUMBER(SEARCH("秀图",K348)),"【秀图】"&amp;MID(K348,SEARCH("秀图",K348)+LEN("秀图"),LEN(K348)),"")))),IFERROR(LEFT(_xlpm.A,FIND("【",_xlpm.A,FIND("】",_xlpm.A)+1)-1)&amp;MID(_xlpm.A,FIND("】",_xlpm.A,FIND("】",_xlpm.A)+1)+1,LEN(_xlpm.A)),_xlpm.A))</f>
        <v/>
      </c>
      <c r="G348" s="18" t="str">
        <f>_xlfn.LET(_xlpm.A,IF(ISNUMBER(SEARCH("晒单",L348)),"【晒单】"&amp;MID(L348,SEARCH("晒单",L348)+LEN("晒单"),LEN(L348))&amp;"（需晒单后联系客服登记）",IF(ISNUMBER(SEARCH("包修",L348)),"【购机】"&amp;MID(L348,SEARCH("购机",L348)+LEN("购机"),LEN(L348)),IF(ISNUMBER(SEARCH("叠放支架",L348)),"【赠品】"&amp;MID(L348,SEARCH("购机",L348)+LEN("购机"),LEN(L348)),IF(ISNUMBER(SEARCH("秀图",L348)),"【秀图】"&amp;MID(L348,SEARCH("秀图",L348)+LEN("秀图"),LEN(L348)),"")))),IFERROR(LEFT(_xlpm.A,FIND("【",_xlpm.A,FIND("】",_xlpm.A)+1)-1)&amp;MID(_xlpm.A,FIND("】",_xlpm.A,FIND("】",_xlpm.A)+1)+1,LEN(_xlpm.A)),_xlpm.A))</f>
        <v/>
      </c>
      <c r="H348" s="18" t="str">
        <f>_xlfn.LET(_xlpm.A,IF(ISNUMBER(SEARCH("晒单",M348)),"【晒单】"&amp;MID(M348,SEARCH("晒单",M348)+LEN("晒单"),LEN(M348))&amp;"（需晒单后联系客服登记）",IF(ISNUMBER(SEARCH("包修",M348)),"【购机】"&amp;MID(M348,SEARCH("购机",M348)+LEN("购机"),LEN(M348)),IF(ISNUMBER(SEARCH("叠放支架",M348)),"【赠品】"&amp;MID(M348,SEARCH("购机",M348)+LEN("购机"),LEN(M348)),IF(ISNUMBER(SEARCH("秀图",M348)),"【秀图】"&amp;MID(M348,SEARCH("秀图",M348)+LEN("秀图"),LEN(M348)),"")))),IFERROR(LEFT(_xlpm.A,FIND("【",_xlpm.A,FIND("】",_xlpm.A)+1)-1)&amp;MID(_xlpm.A,FIND("】",_xlpm.A,FIND("】",_xlpm.A)+1)+1,LEN(_xlpm.A)),_xlpm.A))</f>
        <v/>
      </c>
      <c r="I348" s="18" t="str">
        <f>_xlfn.LET(_xlpm.A,IF(ISNUMBER(SEARCH("晒单",N348)),"【晒单】"&amp;MID(N348,SEARCH("晒单",N348)+LEN("晒单"),LEN(N348))&amp;"（需晒单后联系客服登记）",IF(ISNUMBER(SEARCH("包修",N348)),"【购机】"&amp;MID(N348,SEARCH("购机",N348)+LEN("购机"),LEN(N348)),IF(ISNUMBER(SEARCH("叠放支架",N348)),"【赠品】"&amp;MID(N348,SEARCH("购机",N348)+LEN("购机"),LEN(N348)),IF(ISNUMBER(SEARCH("秀图",N348)),"【秀图】"&amp;MID(N348,SEARCH("秀图",N348)+LEN("秀图"),LEN(N348)),"")))),IFERROR(LEFT(_xlpm.A,FIND("【",_xlpm.A,FIND("】",_xlpm.A)+1)-1)&amp;MID(_xlpm.A,FIND("】",_xlpm.A,FIND("】",_xlpm.A)+1)+1,LEN(_xlpm.A)),_xlpm.A))</f>
        <v/>
      </c>
      <c r="J348" s="18" t="str" cm="1">
        <f t="array" ref="J348">IFERROR(INDEX(_xlfn.TEXTSPLIT(_xlfn.XLOOKUP($A348&amp;$B348&amp;$C348,盘货信息!$A:$A&amp;盘货信息!$B:$B&amp;盘货信息!$C:$C,盘货信息!$S:$S),CHAR(10),,TRUE),1,COLUMN(A347)),"")</f>
        <v/>
      </c>
      <c r="K348" s="18" t="str" cm="1">
        <f t="array" ref="K348">IFERROR(INDEX(_xlfn.TEXTSPLIT(_xlfn.XLOOKUP($A348&amp;$B348&amp;$C348,盘货信息!$A:$A&amp;盘货信息!$B:$B&amp;盘货信息!$C:$C,盘货信息!$S:$S),CHAR(10),,TRUE),1,COLUMN(B347)),"")</f>
        <v/>
      </c>
      <c r="L348" s="18" t="str" cm="1">
        <f t="array" ref="L348">IFERROR(INDEX(_xlfn.TEXTSPLIT(_xlfn.XLOOKUP($A348&amp;$B348&amp;$C348,盘货信息!$A:$A&amp;盘货信息!$B:$B&amp;盘货信息!$C:$C,盘货信息!$S:$S),CHAR(10),,TRUE),1,COLUMN(C347)),"")</f>
        <v/>
      </c>
      <c r="M348" s="18" t="str" cm="1">
        <f t="array" ref="M348">IFERROR(INDEX(_xlfn.TEXTSPLIT(_xlfn.XLOOKUP($A348&amp;$B348&amp;$C348,盘货信息!$A:$A&amp;盘货信息!$B:$B&amp;盘货信息!$C:$C,盘货信息!$S:$S),CHAR(10),,TRUE),1,COLUMN(D347)),"")</f>
        <v/>
      </c>
      <c r="N348" s="18" t="str" cm="1">
        <f t="array" ref="N348">IFERROR(INDEX(_xlfn.TEXTSPLIT(_xlfn.XLOOKUP($A348&amp;$B348&amp;$C348,盘货信息!$A:$A&amp;盘货信息!$B:$B&amp;盘货信息!$C:$C,盘货信息!$S:$S),CHAR(10),,TRUE),1,COLUMN(E347)),"")</f>
        <v/>
      </c>
    </row>
    <row r="349" customHeight="1" spans="1:14">
      <c r="A349" s="17" t="str">
        <f>IF(盘货信息!A349="","",盘货信息!A349)</f>
        <v/>
      </c>
      <c r="B349" s="17" t="str">
        <f>IF(盘货信息!B349="","",盘货信息!B349)</f>
        <v/>
      </c>
      <c r="C349" s="18" t="str">
        <f>IF(盘货信息!C349="","",盘货信息!C349)</f>
        <v/>
      </c>
      <c r="D349" s="18" t="str">
        <f t="shared" si="5"/>
        <v/>
      </c>
      <c r="E349" s="18" t="str">
        <f>_xlfn.LET(_xlpm.A,IF(ISNUMBER(SEARCH("晒单",J349)),"【晒单】"&amp;MID(J349,SEARCH("晒单",J349)+LEN("晒单"),LEN(J349))&amp;"（需晒单后联系客服登记）",IF(ISNUMBER(SEARCH("包修",J349)),"【购机】"&amp;MID(J349,SEARCH("购机",J349)+LEN("购机"),LEN(J349)),IF(ISNUMBER(SEARCH("叠放支架",J349)),"【赠品】"&amp;MID(J349,SEARCH("购机",J349)+LEN("购机"),LEN(J349)),IF(ISNUMBER(SEARCH("秀图",J349)),"【秀图】"&amp;MID(J349,SEARCH("秀图",J349)+LEN("秀图"),LEN(J349)),"")))),IFERROR(LEFT(_xlpm.A,FIND("【",_xlpm.A,FIND("】",_xlpm.A)+1)-1)&amp;MID(_xlpm.A,FIND("】",_xlpm.A,FIND("】",_xlpm.A)+1)+1,LEN(_xlpm.A)),_xlpm.A))</f>
        <v/>
      </c>
      <c r="F349" s="18" t="str">
        <f>_xlfn.LET(_xlpm.A,IF(ISNUMBER(SEARCH("晒单",K349)),"【晒单】"&amp;MID(K349,SEARCH("晒单",K349)+LEN("晒单"),LEN(K349))&amp;"（需晒单后联系客服登记）",IF(ISNUMBER(SEARCH("包修",K349)),"【购机】"&amp;MID(K349,SEARCH("购机",K349)+LEN("购机"),LEN(K349)),IF(ISNUMBER(SEARCH("叠放支架",K349)),"【赠品】"&amp;MID(K349,SEARCH("购机",K349)+LEN("购机"),LEN(K349)),IF(ISNUMBER(SEARCH("秀图",K349)),"【秀图】"&amp;MID(K349,SEARCH("秀图",K349)+LEN("秀图"),LEN(K349)),"")))),IFERROR(LEFT(_xlpm.A,FIND("【",_xlpm.A,FIND("】",_xlpm.A)+1)-1)&amp;MID(_xlpm.A,FIND("】",_xlpm.A,FIND("】",_xlpm.A)+1)+1,LEN(_xlpm.A)),_xlpm.A))</f>
        <v/>
      </c>
      <c r="G349" s="18" t="str">
        <f>_xlfn.LET(_xlpm.A,IF(ISNUMBER(SEARCH("晒单",L349)),"【晒单】"&amp;MID(L349,SEARCH("晒单",L349)+LEN("晒单"),LEN(L349))&amp;"（需晒单后联系客服登记）",IF(ISNUMBER(SEARCH("包修",L349)),"【购机】"&amp;MID(L349,SEARCH("购机",L349)+LEN("购机"),LEN(L349)),IF(ISNUMBER(SEARCH("叠放支架",L349)),"【赠品】"&amp;MID(L349,SEARCH("购机",L349)+LEN("购机"),LEN(L349)),IF(ISNUMBER(SEARCH("秀图",L349)),"【秀图】"&amp;MID(L349,SEARCH("秀图",L349)+LEN("秀图"),LEN(L349)),"")))),IFERROR(LEFT(_xlpm.A,FIND("【",_xlpm.A,FIND("】",_xlpm.A)+1)-1)&amp;MID(_xlpm.A,FIND("】",_xlpm.A,FIND("】",_xlpm.A)+1)+1,LEN(_xlpm.A)),_xlpm.A))</f>
        <v/>
      </c>
      <c r="H349" s="18" t="str">
        <f>_xlfn.LET(_xlpm.A,IF(ISNUMBER(SEARCH("晒单",M349)),"【晒单】"&amp;MID(M349,SEARCH("晒单",M349)+LEN("晒单"),LEN(M349))&amp;"（需晒单后联系客服登记）",IF(ISNUMBER(SEARCH("包修",M349)),"【购机】"&amp;MID(M349,SEARCH("购机",M349)+LEN("购机"),LEN(M349)),IF(ISNUMBER(SEARCH("叠放支架",M349)),"【赠品】"&amp;MID(M349,SEARCH("购机",M349)+LEN("购机"),LEN(M349)),IF(ISNUMBER(SEARCH("秀图",M349)),"【秀图】"&amp;MID(M349,SEARCH("秀图",M349)+LEN("秀图"),LEN(M349)),"")))),IFERROR(LEFT(_xlpm.A,FIND("【",_xlpm.A,FIND("】",_xlpm.A)+1)-1)&amp;MID(_xlpm.A,FIND("】",_xlpm.A,FIND("】",_xlpm.A)+1)+1,LEN(_xlpm.A)),_xlpm.A))</f>
        <v/>
      </c>
      <c r="I349" s="18" t="str">
        <f>_xlfn.LET(_xlpm.A,IF(ISNUMBER(SEARCH("晒单",N349)),"【晒单】"&amp;MID(N349,SEARCH("晒单",N349)+LEN("晒单"),LEN(N349))&amp;"（需晒单后联系客服登记）",IF(ISNUMBER(SEARCH("包修",N349)),"【购机】"&amp;MID(N349,SEARCH("购机",N349)+LEN("购机"),LEN(N349)),IF(ISNUMBER(SEARCH("叠放支架",N349)),"【赠品】"&amp;MID(N349,SEARCH("购机",N349)+LEN("购机"),LEN(N349)),IF(ISNUMBER(SEARCH("秀图",N349)),"【秀图】"&amp;MID(N349,SEARCH("秀图",N349)+LEN("秀图"),LEN(N349)),"")))),IFERROR(LEFT(_xlpm.A,FIND("【",_xlpm.A,FIND("】",_xlpm.A)+1)-1)&amp;MID(_xlpm.A,FIND("】",_xlpm.A,FIND("】",_xlpm.A)+1)+1,LEN(_xlpm.A)),_xlpm.A))</f>
        <v/>
      </c>
      <c r="J349" s="18" t="str" cm="1">
        <f t="array" ref="J349">IFERROR(INDEX(_xlfn.TEXTSPLIT(_xlfn.XLOOKUP($A349&amp;$B349&amp;$C349,盘货信息!$A:$A&amp;盘货信息!$B:$B&amp;盘货信息!$C:$C,盘货信息!$S:$S),CHAR(10),,TRUE),1,COLUMN(A348)),"")</f>
        <v/>
      </c>
      <c r="K349" s="18" t="str" cm="1">
        <f t="array" ref="K349">IFERROR(INDEX(_xlfn.TEXTSPLIT(_xlfn.XLOOKUP($A349&amp;$B349&amp;$C349,盘货信息!$A:$A&amp;盘货信息!$B:$B&amp;盘货信息!$C:$C,盘货信息!$S:$S),CHAR(10),,TRUE),1,COLUMN(B348)),"")</f>
        <v/>
      </c>
      <c r="L349" s="18" t="str" cm="1">
        <f t="array" ref="L349">IFERROR(INDEX(_xlfn.TEXTSPLIT(_xlfn.XLOOKUP($A349&amp;$B349&amp;$C349,盘货信息!$A:$A&amp;盘货信息!$B:$B&amp;盘货信息!$C:$C,盘货信息!$S:$S),CHAR(10),,TRUE),1,COLUMN(C348)),"")</f>
        <v/>
      </c>
      <c r="M349" s="18" t="str" cm="1">
        <f t="array" ref="M349">IFERROR(INDEX(_xlfn.TEXTSPLIT(_xlfn.XLOOKUP($A349&amp;$B349&amp;$C349,盘货信息!$A:$A&amp;盘货信息!$B:$B&amp;盘货信息!$C:$C,盘货信息!$S:$S),CHAR(10),,TRUE),1,COLUMN(D348)),"")</f>
        <v/>
      </c>
      <c r="N349" s="18" t="str" cm="1">
        <f t="array" ref="N349">IFERROR(INDEX(_xlfn.TEXTSPLIT(_xlfn.XLOOKUP($A349&amp;$B349&amp;$C349,盘货信息!$A:$A&amp;盘货信息!$B:$B&amp;盘货信息!$C:$C,盘货信息!$S:$S),CHAR(10),,TRUE),1,COLUMN(E348)),"")</f>
        <v/>
      </c>
    </row>
    <row r="350" customHeight="1" spans="1:14">
      <c r="A350" s="17" t="str">
        <f>IF(盘货信息!A350="","",盘货信息!A350)</f>
        <v/>
      </c>
      <c r="B350" s="17" t="str">
        <f>IF(盘货信息!B350="","",盘货信息!B350)</f>
        <v/>
      </c>
      <c r="C350" s="18" t="str">
        <f>IF(盘货信息!C350="","",盘货信息!C350)</f>
        <v/>
      </c>
      <c r="D350" s="18" t="str">
        <f t="shared" si="5"/>
        <v/>
      </c>
      <c r="E350" s="18" t="str">
        <f>_xlfn.LET(_xlpm.A,IF(ISNUMBER(SEARCH("晒单",J350)),"【晒单】"&amp;MID(J350,SEARCH("晒单",J350)+LEN("晒单"),LEN(J350))&amp;"（需晒单后联系客服登记）",IF(ISNUMBER(SEARCH("包修",J350)),"【购机】"&amp;MID(J350,SEARCH("购机",J350)+LEN("购机"),LEN(J350)),IF(ISNUMBER(SEARCH("叠放支架",J350)),"【赠品】"&amp;MID(J350,SEARCH("购机",J350)+LEN("购机"),LEN(J350)),IF(ISNUMBER(SEARCH("秀图",J350)),"【秀图】"&amp;MID(J350,SEARCH("秀图",J350)+LEN("秀图"),LEN(J350)),"")))),IFERROR(LEFT(_xlpm.A,FIND("【",_xlpm.A,FIND("】",_xlpm.A)+1)-1)&amp;MID(_xlpm.A,FIND("】",_xlpm.A,FIND("】",_xlpm.A)+1)+1,LEN(_xlpm.A)),_xlpm.A))</f>
        <v/>
      </c>
      <c r="F350" s="18" t="str">
        <f>_xlfn.LET(_xlpm.A,IF(ISNUMBER(SEARCH("晒单",K350)),"【晒单】"&amp;MID(K350,SEARCH("晒单",K350)+LEN("晒单"),LEN(K350))&amp;"（需晒单后联系客服登记）",IF(ISNUMBER(SEARCH("包修",K350)),"【购机】"&amp;MID(K350,SEARCH("购机",K350)+LEN("购机"),LEN(K350)),IF(ISNUMBER(SEARCH("叠放支架",K350)),"【赠品】"&amp;MID(K350,SEARCH("购机",K350)+LEN("购机"),LEN(K350)),IF(ISNUMBER(SEARCH("秀图",K350)),"【秀图】"&amp;MID(K350,SEARCH("秀图",K350)+LEN("秀图"),LEN(K350)),"")))),IFERROR(LEFT(_xlpm.A,FIND("【",_xlpm.A,FIND("】",_xlpm.A)+1)-1)&amp;MID(_xlpm.A,FIND("】",_xlpm.A,FIND("】",_xlpm.A)+1)+1,LEN(_xlpm.A)),_xlpm.A))</f>
        <v/>
      </c>
      <c r="G350" s="18" t="str">
        <f>_xlfn.LET(_xlpm.A,IF(ISNUMBER(SEARCH("晒单",L350)),"【晒单】"&amp;MID(L350,SEARCH("晒单",L350)+LEN("晒单"),LEN(L350))&amp;"（需晒单后联系客服登记）",IF(ISNUMBER(SEARCH("包修",L350)),"【购机】"&amp;MID(L350,SEARCH("购机",L350)+LEN("购机"),LEN(L350)),IF(ISNUMBER(SEARCH("叠放支架",L350)),"【赠品】"&amp;MID(L350,SEARCH("购机",L350)+LEN("购机"),LEN(L350)),IF(ISNUMBER(SEARCH("秀图",L350)),"【秀图】"&amp;MID(L350,SEARCH("秀图",L350)+LEN("秀图"),LEN(L350)),"")))),IFERROR(LEFT(_xlpm.A,FIND("【",_xlpm.A,FIND("】",_xlpm.A)+1)-1)&amp;MID(_xlpm.A,FIND("】",_xlpm.A,FIND("】",_xlpm.A)+1)+1,LEN(_xlpm.A)),_xlpm.A))</f>
        <v/>
      </c>
      <c r="H350" s="18" t="str">
        <f>_xlfn.LET(_xlpm.A,IF(ISNUMBER(SEARCH("晒单",M350)),"【晒单】"&amp;MID(M350,SEARCH("晒单",M350)+LEN("晒单"),LEN(M350))&amp;"（需晒单后联系客服登记）",IF(ISNUMBER(SEARCH("包修",M350)),"【购机】"&amp;MID(M350,SEARCH("购机",M350)+LEN("购机"),LEN(M350)),IF(ISNUMBER(SEARCH("叠放支架",M350)),"【赠品】"&amp;MID(M350,SEARCH("购机",M350)+LEN("购机"),LEN(M350)),IF(ISNUMBER(SEARCH("秀图",M350)),"【秀图】"&amp;MID(M350,SEARCH("秀图",M350)+LEN("秀图"),LEN(M350)),"")))),IFERROR(LEFT(_xlpm.A,FIND("【",_xlpm.A,FIND("】",_xlpm.A)+1)-1)&amp;MID(_xlpm.A,FIND("】",_xlpm.A,FIND("】",_xlpm.A)+1)+1,LEN(_xlpm.A)),_xlpm.A))</f>
        <v/>
      </c>
      <c r="I350" s="18" t="str">
        <f>_xlfn.LET(_xlpm.A,IF(ISNUMBER(SEARCH("晒单",N350)),"【晒单】"&amp;MID(N350,SEARCH("晒单",N350)+LEN("晒单"),LEN(N350))&amp;"（需晒单后联系客服登记）",IF(ISNUMBER(SEARCH("包修",N350)),"【购机】"&amp;MID(N350,SEARCH("购机",N350)+LEN("购机"),LEN(N350)),IF(ISNUMBER(SEARCH("叠放支架",N350)),"【赠品】"&amp;MID(N350,SEARCH("购机",N350)+LEN("购机"),LEN(N350)),IF(ISNUMBER(SEARCH("秀图",N350)),"【秀图】"&amp;MID(N350,SEARCH("秀图",N350)+LEN("秀图"),LEN(N350)),"")))),IFERROR(LEFT(_xlpm.A,FIND("【",_xlpm.A,FIND("】",_xlpm.A)+1)-1)&amp;MID(_xlpm.A,FIND("】",_xlpm.A,FIND("】",_xlpm.A)+1)+1,LEN(_xlpm.A)),_xlpm.A))</f>
        <v/>
      </c>
      <c r="J350" s="18" t="str" cm="1">
        <f t="array" ref="J350">IFERROR(INDEX(_xlfn.TEXTSPLIT(_xlfn.XLOOKUP($A350&amp;$B350&amp;$C350,盘货信息!$A:$A&amp;盘货信息!$B:$B&amp;盘货信息!$C:$C,盘货信息!$S:$S),CHAR(10),,TRUE),1,COLUMN(A349)),"")</f>
        <v/>
      </c>
      <c r="K350" s="18" t="str" cm="1">
        <f t="array" ref="K350">IFERROR(INDEX(_xlfn.TEXTSPLIT(_xlfn.XLOOKUP($A350&amp;$B350&amp;$C350,盘货信息!$A:$A&amp;盘货信息!$B:$B&amp;盘货信息!$C:$C,盘货信息!$S:$S),CHAR(10),,TRUE),1,COLUMN(B349)),"")</f>
        <v/>
      </c>
      <c r="L350" s="18" t="str" cm="1">
        <f t="array" ref="L350">IFERROR(INDEX(_xlfn.TEXTSPLIT(_xlfn.XLOOKUP($A350&amp;$B350&amp;$C350,盘货信息!$A:$A&amp;盘货信息!$B:$B&amp;盘货信息!$C:$C,盘货信息!$S:$S),CHAR(10),,TRUE),1,COLUMN(C349)),"")</f>
        <v/>
      </c>
      <c r="M350" s="18" t="str" cm="1">
        <f t="array" ref="M350">IFERROR(INDEX(_xlfn.TEXTSPLIT(_xlfn.XLOOKUP($A350&amp;$B350&amp;$C350,盘货信息!$A:$A&amp;盘货信息!$B:$B&amp;盘货信息!$C:$C,盘货信息!$S:$S),CHAR(10),,TRUE),1,COLUMN(D349)),"")</f>
        <v/>
      </c>
      <c r="N350" s="18" t="str" cm="1">
        <f t="array" ref="N350">IFERROR(INDEX(_xlfn.TEXTSPLIT(_xlfn.XLOOKUP($A350&amp;$B350&amp;$C350,盘货信息!$A:$A&amp;盘货信息!$B:$B&amp;盘货信息!$C:$C,盘货信息!$S:$S),CHAR(10),,TRUE),1,COLUMN(E349)),"")</f>
        <v/>
      </c>
    </row>
    <row r="351" customHeight="1" spans="1:14">
      <c r="A351" s="17" t="str">
        <f>IF(盘货信息!A351="","",盘货信息!A351)</f>
        <v/>
      </c>
      <c r="B351" s="17" t="str">
        <f>IF(盘货信息!B351="","",盘货信息!B351)</f>
        <v/>
      </c>
      <c r="C351" s="18" t="str">
        <f>IF(盘货信息!C351="","",盘货信息!C351)</f>
        <v/>
      </c>
      <c r="D351" s="18" t="str">
        <f t="shared" si="5"/>
        <v/>
      </c>
      <c r="E351" s="18" t="str">
        <f>_xlfn.LET(_xlpm.A,IF(ISNUMBER(SEARCH("晒单",J351)),"【晒单】"&amp;MID(J351,SEARCH("晒单",J351)+LEN("晒单"),LEN(J351))&amp;"（需晒单后联系客服登记）",IF(ISNUMBER(SEARCH("包修",J351)),"【购机】"&amp;MID(J351,SEARCH("购机",J351)+LEN("购机"),LEN(J351)),IF(ISNUMBER(SEARCH("叠放支架",J351)),"【赠品】"&amp;MID(J351,SEARCH("购机",J351)+LEN("购机"),LEN(J351)),IF(ISNUMBER(SEARCH("秀图",J351)),"【秀图】"&amp;MID(J351,SEARCH("秀图",J351)+LEN("秀图"),LEN(J351)),"")))),IFERROR(LEFT(_xlpm.A,FIND("【",_xlpm.A,FIND("】",_xlpm.A)+1)-1)&amp;MID(_xlpm.A,FIND("】",_xlpm.A,FIND("】",_xlpm.A)+1)+1,LEN(_xlpm.A)),_xlpm.A))</f>
        <v/>
      </c>
      <c r="F351" s="18" t="str">
        <f>_xlfn.LET(_xlpm.A,IF(ISNUMBER(SEARCH("晒单",K351)),"【晒单】"&amp;MID(K351,SEARCH("晒单",K351)+LEN("晒单"),LEN(K351))&amp;"（需晒单后联系客服登记）",IF(ISNUMBER(SEARCH("包修",K351)),"【购机】"&amp;MID(K351,SEARCH("购机",K351)+LEN("购机"),LEN(K351)),IF(ISNUMBER(SEARCH("叠放支架",K351)),"【赠品】"&amp;MID(K351,SEARCH("购机",K351)+LEN("购机"),LEN(K351)),IF(ISNUMBER(SEARCH("秀图",K351)),"【秀图】"&amp;MID(K351,SEARCH("秀图",K351)+LEN("秀图"),LEN(K351)),"")))),IFERROR(LEFT(_xlpm.A,FIND("【",_xlpm.A,FIND("】",_xlpm.A)+1)-1)&amp;MID(_xlpm.A,FIND("】",_xlpm.A,FIND("】",_xlpm.A)+1)+1,LEN(_xlpm.A)),_xlpm.A))</f>
        <v/>
      </c>
      <c r="G351" s="18" t="str">
        <f>_xlfn.LET(_xlpm.A,IF(ISNUMBER(SEARCH("晒单",L351)),"【晒单】"&amp;MID(L351,SEARCH("晒单",L351)+LEN("晒单"),LEN(L351))&amp;"（需晒单后联系客服登记）",IF(ISNUMBER(SEARCH("包修",L351)),"【购机】"&amp;MID(L351,SEARCH("购机",L351)+LEN("购机"),LEN(L351)),IF(ISNUMBER(SEARCH("叠放支架",L351)),"【赠品】"&amp;MID(L351,SEARCH("购机",L351)+LEN("购机"),LEN(L351)),IF(ISNUMBER(SEARCH("秀图",L351)),"【秀图】"&amp;MID(L351,SEARCH("秀图",L351)+LEN("秀图"),LEN(L351)),"")))),IFERROR(LEFT(_xlpm.A,FIND("【",_xlpm.A,FIND("】",_xlpm.A)+1)-1)&amp;MID(_xlpm.A,FIND("】",_xlpm.A,FIND("】",_xlpm.A)+1)+1,LEN(_xlpm.A)),_xlpm.A))</f>
        <v/>
      </c>
      <c r="H351" s="18" t="str">
        <f>_xlfn.LET(_xlpm.A,IF(ISNUMBER(SEARCH("晒单",M351)),"【晒单】"&amp;MID(M351,SEARCH("晒单",M351)+LEN("晒单"),LEN(M351))&amp;"（需晒单后联系客服登记）",IF(ISNUMBER(SEARCH("包修",M351)),"【购机】"&amp;MID(M351,SEARCH("购机",M351)+LEN("购机"),LEN(M351)),IF(ISNUMBER(SEARCH("叠放支架",M351)),"【赠品】"&amp;MID(M351,SEARCH("购机",M351)+LEN("购机"),LEN(M351)),IF(ISNUMBER(SEARCH("秀图",M351)),"【秀图】"&amp;MID(M351,SEARCH("秀图",M351)+LEN("秀图"),LEN(M351)),"")))),IFERROR(LEFT(_xlpm.A,FIND("【",_xlpm.A,FIND("】",_xlpm.A)+1)-1)&amp;MID(_xlpm.A,FIND("】",_xlpm.A,FIND("】",_xlpm.A)+1)+1,LEN(_xlpm.A)),_xlpm.A))</f>
        <v/>
      </c>
      <c r="I351" s="18" t="str">
        <f>_xlfn.LET(_xlpm.A,IF(ISNUMBER(SEARCH("晒单",N351)),"【晒单】"&amp;MID(N351,SEARCH("晒单",N351)+LEN("晒单"),LEN(N351))&amp;"（需晒单后联系客服登记）",IF(ISNUMBER(SEARCH("包修",N351)),"【购机】"&amp;MID(N351,SEARCH("购机",N351)+LEN("购机"),LEN(N351)),IF(ISNUMBER(SEARCH("叠放支架",N351)),"【赠品】"&amp;MID(N351,SEARCH("购机",N351)+LEN("购机"),LEN(N351)),IF(ISNUMBER(SEARCH("秀图",N351)),"【秀图】"&amp;MID(N351,SEARCH("秀图",N351)+LEN("秀图"),LEN(N351)),"")))),IFERROR(LEFT(_xlpm.A,FIND("【",_xlpm.A,FIND("】",_xlpm.A)+1)-1)&amp;MID(_xlpm.A,FIND("】",_xlpm.A,FIND("】",_xlpm.A)+1)+1,LEN(_xlpm.A)),_xlpm.A))</f>
        <v/>
      </c>
      <c r="J351" s="18" t="str" cm="1">
        <f t="array" ref="J351">IFERROR(INDEX(_xlfn.TEXTSPLIT(_xlfn.XLOOKUP($A351&amp;$B351&amp;$C351,盘货信息!$A:$A&amp;盘货信息!$B:$B&amp;盘货信息!$C:$C,盘货信息!$S:$S),CHAR(10),,TRUE),1,COLUMN(A350)),"")</f>
        <v/>
      </c>
      <c r="K351" s="18" t="str" cm="1">
        <f t="array" ref="K351">IFERROR(INDEX(_xlfn.TEXTSPLIT(_xlfn.XLOOKUP($A351&amp;$B351&amp;$C351,盘货信息!$A:$A&amp;盘货信息!$B:$B&amp;盘货信息!$C:$C,盘货信息!$S:$S),CHAR(10),,TRUE),1,COLUMN(B350)),"")</f>
        <v/>
      </c>
      <c r="L351" s="18" t="str" cm="1">
        <f t="array" ref="L351">IFERROR(INDEX(_xlfn.TEXTSPLIT(_xlfn.XLOOKUP($A351&amp;$B351&amp;$C351,盘货信息!$A:$A&amp;盘货信息!$B:$B&amp;盘货信息!$C:$C,盘货信息!$S:$S),CHAR(10),,TRUE),1,COLUMN(C350)),"")</f>
        <v/>
      </c>
      <c r="M351" s="18" t="str" cm="1">
        <f t="array" ref="M351">IFERROR(INDEX(_xlfn.TEXTSPLIT(_xlfn.XLOOKUP($A351&amp;$B351&amp;$C351,盘货信息!$A:$A&amp;盘货信息!$B:$B&amp;盘货信息!$C:$C,盘货信息!$S:$S),CHAR(10),,TRUE),1,COLUMN(D350)),"")</f>
        <v/>
      </c>
      <c r="N351" s="18" t="str" cm="1">
        <f t="array" ref="N351">IFERROR(INDEX(_xlfn.TEXTSPLIT(_xlfn.XLOOKUP($A351&amp;$B351&amp;$C351,盘货信息!$A:$A&amp;盘货信息!$B:$B&amp;盘货信息!$C:$C,盘货信息!$S:$S),CHAR(10),,TRUE),1,COLUMN(E350)),"")</f>
        <v/>
      </c>
    </row>
    <row r="352" customHeight="1" spans="1:14">
      <c r="A352" s="17" t="str">
        <f>IF(盘货信息!A352="","",盘货信息!A352)</f>
        <v/>
      </c>
      <c r="B352" s="17" t="str">
        <f>IF(盘货信息!B352="","",盘货信息!B352)</f>
        <v/>
      </c>
      <c r="C352" s="18" t="str">
        <f>IF(盘货信息!C352="","",盘货信息!C352)</f>
        <v/>
      </c>
      <c r="D352" s="18" t="str">
        <f t="shared" si="5"/>
        <v/>
      </c>
      <c r="E352" s="18" t="str">
        <f>_xlfn.LET(_xlpm.A,IF(ISNUMBER(SEARCH("晒单",J352)),"【晒单】"&amp;MID(J352,SEARCH("晒单",J352)+LEN("晒单"),LEN(J352))&amp;"（需晒单后联系客服登记）",IF(ISNUMBER(SEARCH("包修",J352)),"【购机】"&amp;MID(J352,SEARCH("购机",J352)+LEN("购机"),LEN(J352)),IF(ISNUMBER(SEARCH("叠放支架",J352)),"【赠品】"&amp;MID(J352,SEARCH("购机",J352)+LEN("购机"),LEN(J352)),IF(ISNUMBER(SEARCH("秀图",J352)),"【秀图】"&amp;MID(J352,SEARCH("秀图",J352)+LEN("秀图"),LEN(J352)),"")))),IFERROR(LEFT(_xlpm.A,FIND("【",_xlpm.A,FIND("】",_xlpm.A)+1)-1)&amp;MID(_xlpm.A,FIND("】",_xlpm.A,FIND("】",_xlpm.A)+1)+1,LEN(_xlpm.A)),_xlpm.A))</f>
        <v/>
      </c>
      <c r="F352" s="18" t="str">
        <f>_xlfn.LET(_xlpm.A,IF(ISNUMBER(SEARCH("晒单",K352)),"【晒单】"&amp;MID(K352,SEARCH("晒单",K352)+LEN("晒单"),LEN(K352))&amp;"（需晒单后联系客服登记）",IF(ISNUMBER(SEARCH("包修",K352)),"【购机】"&amp;MID(K352,SEARCH("购机",K352)+LEN("购机"),LEN(K352)),IF(ISNUMBER(SEARCH("叠放支架",K352)),"【赠品】"&amp;MID(K352,SEARCH("购机",K352)+LEN("购机"),LEN(K352)),IF(ISNUMBER(SEARCH("秀图",K352)),"【秀图】"&amp;MID(K352,SEARCH("秀图",K352)+LEN("秀图"),LEN(K352)),"")))),IFERROR(LEFT(_xlpm.A,FIND("【",_xlpm.A,FIND("】",_xlpm.A)+1)-1)&amp;MID(_xlpm.A,FIND("】",_xlpm.A,FIND("】",_xlpm.A)+1)+1,LEN(_xlpm.A)),_xlpm.A))</f>
        <v/>
      </c>
      <c r="G352" s="18" t="str">
        <f>_xlfn.LET(_xlpm.A,IF(ISNUMBER(SEARCH("晒单",L352)),"【晒单】"&amp;MID(L352,SEARCH("晒单",L352)+LEN("晒单"),LEN(L352))&amp;"（需晒单后联系客服登记）",IF(ISNUMBER(SEARCH("包修",L352)),"【购机】"&amp;MID(L352,SEARCH("购机",L352)+LEN("购机"),LEN(L352)),IF(ISNUMBER(SEARCH("叠放支架",L352)),"【赠品】"&amp;MID(L352,SEARCH("购机",L352)+LEN("购机"),LEN(L352)),IF(ISNUMBER(SEARCH("秀图",L352)),"【秀图】"&amp;MID(L352,SEARCH("秀图",L352)+LEN("秀图"),LEN(L352)),"")))),IFERROR(LEFT(_xlpm.A,FIND("【",_xlpm.A,FIND("】",_xlpm.A)+1)-1)&amp;MID(_xlpm.A,FIND("】",_xlpm.A,FIND("】",_xlpm.A)+1)+1,LEN(_xlpm.A)),_xlpm.A))</f>
        <v/>
      </c>
      <c r="H352" s="18" t="str">
        <f>_xlfn.LET(_xlpm.A,IF(ISNUMBER(SEARCH("晒单",M352)),"【晒单】"&amp;MID(M352,SEARCH("晒单",M352)+LEN("晒单"),LEN(M352))&amp;"（需晒单后联系客服登记）",IF(ISNUMBER(SEARCH("包修",M352)),"【购机】"&amp;MID(M352,SEARCH("购机",M352)+LEN("购机"),LEN(M352)),IF(ISNUMBER(SEARCH("叠放支架",M352)),"【赠品】"&amp;MID(M352,SEARCH("购机",M352)+LEN("购机"),LEN(M352)),IF(ISNUMBER(SEARCH("秀图",M352)),"【秀图】"&amp;MID(M352,SEARCH("秀图",M352)+LEN("秀图"),LEN(M352)),"")))),IFERROR(LEFT(_xlpm.A,FIND("【",_xlpm.A,FIND("】",_xlpm.A)+1)-1)&amp;MID(_xlpm.A,FIND("】",_xlpm.A,FIND("】",_xlpm.A)+1)+1,LEN(_xlpm.A)),_xlpm.A))</f>
        <v/>
      </c>
      <c r="I352" s="18" t="str">
        <f>_xlfn.LET(_xlpm.A,IF(ISNUMBER(SEARCH("晒单",N352)),"【晒单】"&amp;MID(N352,SEARCH("晒单",N352)+LEN("晒单"),LEN(N352))&amp;"（需晒单后联系客服登记）",IF(ISNUMBER(SEARCH("包修",N352)),"【购机】"&amp;MID(N352,SEARCH("购机",N352)+LEN("购机"),LEN(N352)),IF(ISNUMBER(SEARCH("叠放支架",N352)),"【赠品】"&amp;MID(N352,SEARCH("购机",N352)+LEN("购机"),LEN(N352)),IF(ISNUMBER(SEARCH("秀图",N352)),"【秀图】"&amp;MID(N352,SEARCH("秀图",N352)+LEN("秀图"),LEN(N352)),"")))),IFERROR(LEFT(_xlpm.A,FIND("【",_xlpm.A,FIND("】",_xlpm.A)+1)-1)&amp;MID(_xlpm.A,FIND("】",_xlpm.A,FIND("】",_xlpm.A)+1)+1,LEN(_xlpm.A)),_xlpm.A))</f>
        <v/>
      </c>
      <c r="J352" s="18" t="str" cm="1">
        <f t="array" ref="J352">IFERROR(INDEX(_xlfn.TEXTSPLIT(_xlfn.XLOOKUP($A352&amp;$B352&amp;$C352,盘货信息!$A:$A&amp;盘货信息!$B:$B&amp;盘货信息!$C:$C,盘货信息!$S:$S),CHAR(10),,TRUE),1,COLUMN(A351)),"")</f>
        <v/>
      </c>
      <c r="K352" s="18" t="str" cm="1">
        <f t="array" ref="K352">IFERROR(INDEX(_xlfn.TEXTSPLIT(_xlfn.XLOOKUP($A352&amp;$B352&amp;$C352,盘货信息!$A:$A&amp;盘货信息!$B:$B&amp;盘货信息!$C:$C,盘货信息!$S:$S),CHAR(10),,TRUE),1,COLUMN(B351)),"")</f>
        <v/>
      </c>
      <c r="L352" s="18" t="str" cm="1">
        <f t="array" ref="L352">IFERROR(INDEX(_xlfn.TEXTSPLIT(_xlfn.XLOOKUP($A352&amp;$B352&amp;$C352,盘货信息!$A:$A&amp;盘货信息!$B:$B&amp;盘货信息!$C:$C,盘货信息!$S:$S),CHAR(10),,TRUE),1,COLUMN(C351)),"")</f>
        <v/>
      </c>
      <c r="M352" s="18" t="str" cm="1">
        <f t="array" ref="M352">IFERROR(INDEX(_xlfn.TEXTSPLIT(_xlfn.XLOOKUP($A352&amp;$B352&amp;$C352,盘货信息!$A:$A&amp;盘货信息!$B:$B&amp;盘货信息!$C:$C,盘货信息!$S:$S),CHAR(10),,TRUE),1,COLUMN(D351)),"")</f>
        <v/>
      </c>
      <c r="N352" s="18" t="str" cm="1">
        <f t="array" ref="N352">IFERROR(INDEX(_xlfn.TEXTSPLIT(_xlfn.XLOOKUP($A352&amp;$B352&amp;$C352,盘货信息!$A:$A&amp;盘货信息!$B:$B&amp;盘货信息!$C:$C,盘货信息!$S:$S),CHAR(10),,TRUE),1,COLUMN(E351)),"")</f>
        <v/>
      </c>
    </row>
    <row r="353" customHeight="1" spans="1:14">
      <c r="A353" s="17" t="str">
        <f>IF(盘货信息!A353="","",盘货信息!A353)</f>
        <v/>
      </c>
      <c r="B353" s="17" t="str">
        <f>IF(盘货信息!B353="","",盘货信息!B353)</f>
        <v/>
      </c>
      <c r="C353" s="18" t="str">
        <f>IF(盘货信息!C353="","",盘货信息!C353)</f>
        <v/>
      </c>
      <c r="D353" s="18" t="str">
        <f t="shared" si="5"/>
        <v/>
      </c>
      <c r="E353" s="18" t="str">
        <f>_xlfn.LET(_xlpm.A,IF(ISNUMBER(SEARCH("晒单",J353)),"【晒单】"&amp;MID(J353,SEARCH("晒单",J353)+LEN("晒单"),LEN(J353))&amp;"（需晒单后联系客服登记）",IF(ISNUMBER(SEARCH("包修",J353)),"【购机】"&amp;MID(J353,SEARCH("购机",J353)+LEN("购机"),LEN(J353)),IF(ISNUMBER(SEARCH("叠放支架",J353)),"【赠品】"&amp;MID(J353,SEARCH("购机",J353)+LEN("购机"),LEN(J353)),IF(ISNUMBER(SEARCH("秀图",J353)),"【秀图】"&amp;MID(J353,SEARCH("秀图",J353)+LEN("秀图"),LEN(J353)),"")))),IFERROR(LEFT(_xlpm.A,FIND("【",_xlpm.A,FIND("】",_xlpm.A)+1)-1)&amp;MID(_xlpm.A,FIND("】",_xlpm.A,FIND("】",_xlpm.A)+1)+1,LEN(_xlpm.A)),_xlpm.A))</f>
        <v/>
      </c>
      <c r="F353" s="18" t="str">
        <f>_xlfn.LET(_xlpm.A,IF(ISNUMBER(SEARCH("晒单",K353)),"【晒单】"&amp;MID(K353,SEARCH("晒单",K353)+LEN("晒单"),LEN(K353))&amp;"（需晒单后联系客服登记）",IF(ISNUMBER(SEARCH("包修",K353)),"【购机】"&amp;MID(K353,SEARCH("购机",K353)+LEN("购机"),LEN(K353)),IF(ISNUMBER(SEARCH("叠放支架",K353)),"【赠品】"&amp;MID(K353,SEARCH("购机",K353)+LEN("购机"),LEN(K353)),IF(ISNUMBER(SEARCH("秀图",K353)),"【秀图】"&amp;MID(K353,SEARCH("秀图",K353)+LEN("秀图"),LEN(K353)),"")))),IFERROR(LEFT(_xlpm.A,FIND("【",_xlpm.A,FIND("】",_xlpm.A)+1)-1)&amp;MID(_xlpm.A,FIND("】",_xlpm.A,FIND("】",_xlpm.A)+1)+1,LEN(_xlpm.A)),_xlpm.A))</f>
        <v/>
      </c>
      <c r="G353" s="18" t="str">
        <f>_xlfn.LET(_xlpm.A,IF(ISNUMBER(SEARCH("晒单",L353)),"【晒单】"&amp;MID(L353,SEARCH("晒单",L353)+LEN("晒单"),LEN(L353))&amp;"（需晒单后联系客服登记）",IF(ISNUMBER(SEARCH("包修",L353)),"【购机】"&amp;MID(L353,SEARCH("购机",L353)+LEN("购机"),LEN(L353)),IF(ISNUMBER(SEARCH("叠放支架",L353)),"【赠品】"&amp;MID(L353,SEARCH("购机",L353)+LEN("购机"),LEN(L353)),IF(ISNUMBER(SEARCH("秀图",L353)),"【秀图】"&amp;MID(L353,SEARCH("秀图",L353)+LEN("秀图"),LEN(L353)),"")))),IFERROR(LEFT(_xlpm.A,FIND("【",_xlpm.A,FIND("】",_xlpm.A)+1)-1)&amp;MID(_xlpm.A,FIND("】",_xlpm.A,FIND("】",_xlpm.A)+1)+1,LEN(_xlpm.A)),_xlpm.A))</f>
        <v/>
      </c>
      <c r="H353" s="18" t="str">
        <f>_xlfn.LET(_xlpm.A,IF(ISNUMBER(SEARCH("晒单",M353)),"【晒单】"&amp;MID(M353,SEARCH("晒单",M353)+LEN("晒单"),LEN(M353))&amp;"（需晒单后联系客服登记）",IF(ISNUMBER(SEARCH("包修",M353)),"【购机】"&amp;MID(M353,SEARCH("购机",M353)+LEN("购机"),LEN(M353)),IF(ISNUMBER(SEARCH("叠放支架",M353)),"【赠品】"&amp;MID(M353,SEARCH("购机",M353)+LEN("购机"),LEN(M353)),IF(ISNUMBER(SEARCH("秀图",M353)),"【秀图】"&amp;MID(M353,SEARCH("秀图",M353)+LEN("秀图"),LEN(M353)),"")))),IFERROR(LEFT(_xlpm.A,FIND("【",_xlpm.A,FIND("】",_xlpm.A)+1)-1)&amp;MID(_xlpm.A,FIND("】",_xlpm.A,FIND("】",_xlpm.A)+1)+1,LEN(_xlpm.A)),_xlpm.A))</f>
        <v/>
      </c>
      <c r="I353" s="18" t="str">
        <f>_xlfn.LET(_xlpm.A,IF(ISNUMBER(SEARCH("晒单",N353)),"【晒单】"&amp;MID(N353,SEARCH("晒单",N353)+LEN("晒单"),LEN(N353))&amp;"（需晒单后联系客服登记）",IF(ISNUMBER(SEARCH("包修",N353)),"【购机】"&amp;MID(N353,SEARCH("购机",N353)+LEN("购机"),LEN(N353)),IF(ISNUMBER(SEARCH("叠放支架",N353)),"【赠品】"&amp;MID(N353,SEARCH("购机",N353)+LEN("购机"),LEN(N353)),IF(ISNUMBER(SEARCH("秀图",N353)),"【秀图】"&amp;MID(N353,SEARCH("秀图",N353)+LEN("秀图"),LEN(N353)),"")))),IFERROR(LEFT(_xlpm.A,FIND("【",_xlpm.A,FIND("】",_xlpm.A)+1)-1)&amp;MID(_xlpm.A,FIND("】",_xlpm.A,FIND("】",_xlpm.A)+1)+1,LEN(_xlpm.A)),_xlpm.A))</f>
        <v/>
      </c>
      <c r="J353" s="18" t="str" cm="1">
        <f t="array" ref="J353">IFERROR(INDEX(_xlfn.TEXTSPLIT(_xlfn.XLOOKUP($A353&amp;$B353&amp;$C353,盘货信息!$A:$A&amp;盘货信息!$B:$B&amp;盘货信息!$C:$C,盘货信息!$S:$S),CHAR(10),,TRUE),1,COLUMN(A352)),"")</f>
        <v/>
      </c>
      <c r="K353" s="18" t="str" cm="1">
        <f t="array" ref="K353">IFERROR(INDEX(_xlfn.TEXTSPLIT(_xlfn.XLOOKUP($A353&amp;$B353&amp;$C353,盘货信息!$A:$A&amp;盘货信息!$B:$B&amp;盘货信息!$C:$C,盘货信息!$S:$S),CHAR(10),,TRUE),1,COLUMN(B352)),"")</f>
        <v/>
      </c>
      <c r="L353" s="18" t="str" cm="1">
        <f t="array" ref="L353">IFERROR(INDEX(_xlfn.TEXTSPLIT(_xlfn.XLOOKUP($A353&amp;$B353&amp;$C353,盘货信息!$A:$A&amp;盘货信息!$B:$B&amp;盘货信息!$C:$C,盘货信息!$S:$S),CHAR(10),,TRUE),1,COLUMN(C352)),"")</f>
        <v/>
      </c>
      <c r="M353" s="18" t="str" cm="1">
        <f t="array" ref="M353">IFERROR(INDEX(_xlfn.TEXTSPLIT(_xlfn.XLOOKUP($A353&amp;$B353&amp;$C353,盘货信息!$A:$A&amp;盘货信息!$B:$B&amp;盘货信息!$C:$C,盘货信息!$S:$S),CHAR(10),,TRUE),1,COLUMN(D352)),"")</f>
        <v/>
      </c>
      <c r="N353" s="18" t="str" cm="1">
        <f t="array" ref="N353">IFERROR(INDEX(_xlfn.TEXTSPLIT(_xlfn.XLOOKUP($A353&amp;$B353&amp;$C353,盘货信息!$A:$A&amp;盘货信息!$B:$B&amp;盘货信息!$C:$C,盘货信息!$S:$S),CHAR(10),,TRUE),1,COLUMN(E352)),"")</f>
        <v/>
      </c>
    </row>
    <row r="354" customHeight="1" spans="1:14">
      <c r="A354" s="17" t="str">
        <f>IF(盘货信息!A354="","",盘货信息!A354)</f>
        <v/>
      </c>
      <c r="B354" s="17" t="str">
        <f>IF(盘货信息!B354="","",盘货信息!B354)</f>
        <v/>
      </c>
      <c r="C354" s="18" t="str">
        <f>IF(盘货信息!C354="","",盘货信息!C354)</f>
        <v/>
      </c>
      <c r="D354" s="18" t="str">
        <f t="shared" si="5"/>
        <v/>
      </c>
      <c r="E354" s="18" t="str">
        <f>_xlfn.LET(_xlpm.A,IF(ISNUMBER(SEARCH("晒单",J354)),"【晒单】"&amp;MID(J354,SEARCH("晒单",J354)+LEN("晒单"),LEN(J354))&amp;"（需晒单后联系客服登记）",IF(ISNUMBER(SEARCH("包修",J354)),"【购机】"&amp;MID(J354,SEARCH("购机",J354)+LEN("购机"),LEN(J354)),IF(ISNUMBER(SEARCH("叠放支架",J354)),"【赠品】"&amp;MID(J354,SEARCH("购机",J354)+LEN("购机"),LEN(J354)),IF(ISNUMBER(SEARCH("秀图",J354)),"【秀图】"&amp;MID(J354,SEARCH("秀图",J354)+LEN("秀图"),LEN(J354)),"")))),IFERROR(LEFT(_xlpm.A,FIND("【",_xlpm.A,FIND("】",_xlpm.A)+1)-1)&amp;MID(_xlpm.A,FIND("】",_xlpm.A,FIND("】",_xlpm.A)+1)+1,LEN(_xlpm.A)),_xlpm.A))</f>
        <v/>
      </c>
      <c r="F354" s="18" t="str">
        <f>_xlfn.LET(_xlpm.A,IF(ISNUMBER(SEARCH("晒单",K354)),"【晒单】"&amp;MID(K354,SEARCH("晒单",K354)+LEN("晒单"),LEN(K354))&amp;"（需晒单后联系客服登记）",IF(ISNUMBER(SEARCH("包修",K354)),"【购机】"&amp;MID(K354,SEARCH("购机",K354)+LEN("购机"),LEN(K354)),IF(ISNUMBER(SEARCH("叠放支架",K354)),"【赠品】"&amp;MID(K354,SEARCH("购机",K354)+LEN("购机"),LEN(K354)),IF(ISNUMBER(SEARCH("秀图",K354)),"【秀图】"&amp;MID(K354,SEARCH("秀图",K354)+LEN("秀图"),LEN(K354)),"")))),IFERROR(LEFT(_xlpm.A,FIND("【",_xlpm.A,FIND("】",_xlpm.A)+1)-1)&amp;MID(_xlpm.A,FIND("】",_xlpm.A,FIND("】",_xlpm.A)+1)+1,LEN(_xlpm.A)),_xlpm.A))</f>
        <v/>
      </c>
      <c r="G354" s="18" t="str">
        <f>_xlfn.LET(_xlpm.A,IF(ISNUMBER(SEARCH("晒单",L354)),"【晒单】"&amp;MID(L354,SEARCH("晒单",L354)+LEN("晒单"),LEN(L354))&amp;"（需晒单后联系客服登记）",IF(ISNUMBER(SEARCH("包修",L354)),"【购机】"&amp;MID(L354,SEARCH("购机",L354)+LEN("购机"),LEN(L354)),IF(ISNUMBER(SEARCH("叠放支架",L354)),"【赠品】"&amp;MID(L354,SEARCH("购机",L354)+LEN("购机"),LEN(L354)),IF(ISNUMBER(SEARCH("秀图",L354)),"【秀图】"&amp;MID(L354,SEARCH("秀图",L354)+LEN("秀图"),LEN(L354)),"")))),IFERROR(LEFT(_xlpm.A,FIND("【",_xlpm.A,FIND("】",_xlpm.A)+1)-1)&amp;MID(_xlpm.A,FIND("】",_xlpm.A,FIND("】",_xlpm.A)+1)+1,LEN(_xlpm.A)),_xlpm.A))</f>
        <v/>
      </c>
      <c r="H354" s="18" t="str">
        <f>_xlfn.LET(_xlpm.A,IF(ISNUMBER(SEARCH("晒单",M354)),"【晒单】"&amp;MID(M354,SEARCH("晒单",M354)+LEN("晒单"),LEN(M354))&amp;"（需晒单后联系客服登记）",IF(ISNUMBER(SEARCH("包修",M354)),"【购机】"&amp;MID(M354,SEARCH("购机",M354)+LEN("购机"),LEN(M354)),IF(ISNUMBER(SEARCH("叠放支架",M354)),"【赠品】"&amp;MID(M354,SEARCH("购机",M354)+LEN("购机"),LEN(M354)),IF(ISNUMBER(SEARCH("秀图",M354)),"【秀图】"&amp;MID(M354,SEARCH("秀图",M354)+LEN("秀图"),LEN(M354)),"")))),IFERROR(LEFT(_xlpm.A,FIND("【",_xlpm.A,FIND("】",_xlpm.A)+1)-1)&amp;MID(_xlpm.A,FIND("】",_xlpm.A,FIND("】",_xlpm.A)+1)+1,LEN(_xlpm.A)),_xlpm.A))</f>
        <v/>
      </c>
      <c r="I354" s="18" t="str">
        <f>_xlfn.LET(_xlpm.A,IF(ISNUMBER(SEARCH("晒单",N354)),"【晒单】"&amp;MID(N354,SEARCH("晒单",N354)+LEN("晒单"),LEN(N354))&amp;"（需晒单后联系客服登记）",IF(ISNUMBER(SEARCH("包修",N354)),"【购机】"&amp;MID(N354,SEARCH("购机",N354)+LEN("购机"),LEN(N354)),IF(ISNUMBER(SEARCH("叠放支架",N354)),"【赠品】"&amp;MID(N354,SEARCH("购机",N354)+LEN("购机"),LEN(N354)),IF(ISNUMBER(SEARCH("秀图",N354)),"【秀图】"&amp;MID(N354,SEARCH("秀图",N354)+LEN("秀图"),LEN(N354)),"")))),IFERROR(LEFT(_xlpm.A,FIND("【",_xlpm.A,FIND("】",_xlpm.A)+1)-1)&amp;MID(_xlpm.A,FIND("】",_xlpm.A,FIND("】",_xlpm.A)+1)+1,LEN(_xlpm.A)),_xlpm.A))</f>
        <v/>
      </c>
      <c r="J354" s="18" t="str" cm="1">
        <f t="array" ref="J354">IFERROR(INDEX(_xlfn.TEXTSPLIT(_xlfn.XLOOKUP($A354&amp;$B354&amp;$C354,盘货信息!$A:$A&amp;盘货信息!$B:$B&amp;盘货信息!$C:$C,盘货信息!$S:$S),CHAR(10),,TRUE),1,COLUMN(A353)),"")</f>
        <v/>
      </c>
      <c r="K354" s="18" t="str" cm="1">
        <f t="array" ref="K354">IFERROR(INDEX(_xlfn.TEXTSPLIT(_xlfn.XLOOKUP($A354&amp;$B354&amp;$C354,盘货信息!$A:$A&amp;盘货信息!$B:$B&amp;盘货信息!$C:$C,盘货信息!$S:$S),CHAR(10),,TRUE),1,COLUMN(B353)),"")</f>
        <v/>
      </c>
      <c r="L354" s="18" t="str" cm="1">
        <f t="array" ref="L354">IFERROR(INDEX(_xlfn.TEXTSPLIT(_xlfn.XLOOKUP($A354&amp;$B354&amp;$C354,盘货信息!$A:$A&amp;盘货信息!$B:$B&amp;盘货信息!$C:$C,盘货信息!$S:$S),CHAR(10),,TRUE),1,COLUMN(C353)),"")</f>
        <v/>
      </c>
      <c r="M354" s="18" t="str" cm="1">
        <f t="array" ref="M354">IFERROR(INDEX(_xlfn.TEXTSPLIT(_xlfn.XLOOKUP($A354&amp;$B354&amp;$C354,盘货信息!$A:$A&amp;盘货信息!$B:$B&amp;盘货信息!$C:$C,盘货信息!$S:$S),CHAR(10),,TRUE),1,COLUMN(D353)),"")</f>
        <v/>
      </c>
      <c r="N354" s="18" t="str" cm="1">
        <f t="array" ref="N354">IFERROR(INDEX(_xlfn.TEXTSPLIT(_xlfn.XLOOKUP($A354&amp;$B354&amp;$C354,盘货信息!$A:$A&amp;盘货信息!$B:$B&amp;盘货信息!$C:$C,盘货信息!$S:$S),CHAR(10),,TRUE),1,COLUMN(E353)),"")</f>
        <v/>
      </c>
    </row>
    <row r="355" customHeight="1" spans="1:14">
      <c r="A355" s="17" t="str">
        <f>IF(盘货信息!A355="","",盘货信息!A355)</f>
        <v/>
      </c>
      <c r="B355" s="17" t="str">
        <f>IF(盘货信息!B355="","",盘货信息!B355)</f>
        <v/>
      </c>
      <c r="C355" s="18" t="str">
        <f>IF(盘货信息!C355="","",盘货信息!C355)</f>
        <v/>
      </c>
      <c r="D355" s="18" t="str">
        <f t="shared" si="5"/>
        <v/>
      </c>
      <c r="E355" s="18" t="str">
        <f>_xlfn.LET(_xlpm.A,IF(ISNUMBER(SEARCH("晒单",J355)),"【晒单】"&amp;MID(J355,SEARCH("晒单",J355)+LEN("晒单"),LEN(J355))&amp;"（需晒单后联系客服登记）",IF(ISNUMBER(SEARCH("包修",J355)),"【购机】"&amp;MID(J355,SEARCH("购机",J355)+LEN("购机"),LEN(J355)),IF(ISNUMBER(SEARCH("叠放支架",J355)),"【赠品】"&amp;MID(J355,SEARCH("购机",J355)+LEN("购机"),LEN(J355)),IF(ISNUMBER(SEARCH("秀图",J355)),"【秀图】"&amp;MID(J355,SEARCH("秀图",J355)+LEN("秀图"),LEN(J355)),"")))),IFERROR(LEFT(_xlpm.A,FIND("【",_xlpm.A,FIND("】",_xlpm.A)+1)-1)&amp;MID(_xlpm.A,FIND("】",_xlpm.A,FIND("】",_xlpm.A)+1)+1,LEN(_xlpm.A)),_xlpm.A))</f>
        <v/>
      </c>
      <c r="F355" s="18" t="str">
        <f>_xlfn.LET(_xlpm.A,IF(ISNUMBER(SEARCH("晒单",K355)),"【晒单】"&amp;MID(K355,SEARCH("晒单",K355)+LEN("晒单"),LEN(K355))&amp;"（需晒单后联系客服登记）",IF(ISNUMBER(SEARCH("包修",K355)),"【购机】"&amp;MID(K355,SEARCH("购机",K355)+LEN("购机"),LEN(K355)),IF(ISNUMBER(SEARCH("叠放支架",K355)),"【赠品】"&amp;MID(K355,SEARCH("购机",K355)+LEN("购机"),LEN(K355)),IF(ISNUMBER(SEARCH("秀图",K355)),"【秀图】"&amp;MID(K355,SEARCH("秀图",K355)+LEN("秀图"),LEN(K355)),"")))),IFERROR(LEFT(_xlpm.A,FIND("【",_xlpm.A,FIND("】",_xlpm.A)+1)-1)&amp;MID(_xlpm.A,FIND("】",_xlpm.A,FIND("】",_xlpm.A)+1)+1,LEN(_xlpm.A)),_xlpm.A))</f>
        <v/>
      </c>
      <c r="G355" s="18" t="str">
        <f>_xlfn.LET(_xlpm.A,IF(ISNUMBER(SEARCH("晒单",L355)),"【晒单】"&amp;MID(L355,SEARCH("晒单",L355)+LEN("晒单"),LEN(L355))&amp;"（需晒单后联系客服登记）",IF(ISNUMBER(SEARCH("包修",L355)),"【购机】"&amp;MID(L355,SEARCH("购机",L355)+LEN("购机"),LEN(L355)),IF(ISNUMBER(SEARCH("叠放支架",L355)),"【赠品】"&amp;MID(L355,SEARCH("购机",L355)+LEN("购机"),LEN(L355)),IF(ISNUMBER(SEARCH("秀图",L355)),"【秀图】"&amp;MID(L355,SEARCH("秀图",L355)+LEN("秀图"),LEN(L355)),"")))),IFERROR(LEFT(_xlpm.A,FIND("【",_xlpm.A,FIND("】",_xlpm.A)+1)-1)&amp;MID(_xlpm.A,FIND("】",_xlpm.A,FIND("】",_xlpm.A)+1)+1,LEN(_xlpm.A)),_xlpm.A))</f>
        <v/>
      </c>
      <c r="H355" s="18" t="str">
        <f>_xlfn.LET(_xlpm.A,IF(ISNUMBER(SEARCH("晒单",M355)),"【晒单】"&amp;MID(M355,SEARCH("晒单",M355)+LEN("晒单"),LEN(M355))&amp;"（需晒单后联系客服登记）",IF(ISNUMBER(SEARCH("包修",M355)),"【购机】"&amp;MID(M355,SEARCH("购机",M355)+LEN("购机"),LEN(M355)),IF(ISNUMBER(SEARCH("叠放支架",M355)),"【赠品】"&amp;MID(M355,SEARCH("购机",M355)+LEN("购机"),LEN(M355)),IF(ISNUMBER(SEARCH("秀图",M355)),"【秀图】"&amp;MID(M355,SEARCH("秀图",M355)+LEN("秀图"),LEN(M355)),"")))),IFERROR(LEFT(_xlpm.A,FIND("【",_xlpm.A,FIND("】",_xlpm.A)+1)-1)&amp;MID(_xlpm.A,FIND("】",_xlpm.A,FIND("】",_xlpm.A)+1)+1,LEN(_xlpm.A)),_xlpm.A))</f>
        <v/>
      </c>
      <c r="I355" s="18" t="str">
        <f>_xlfn.LET(_xlpm.A,IF(ISNUMBER(SEARCH("晒单",N355)),"【晒单】"&amp;MID(N355,SEARCH("晒单",N355)+LEN("晒单"),LEN(N355))&amp;"（需晒单后联系客服登记）",IF(ISNUMBER(SEARCH("包修",N355)),"【购机】"&amp;MID(N355,SEARCH("购机",N355)+LEN("购机"),LEN(N355)),IF(ISNUMBER(SEARCH("叠放支架",N355)),"【赠品】"&amp;MID(N355,SEARCH("购机",N355)+LEN("购机"),LEN(N355)),IF(ISNUMBER(SEARCH("秀图",N355)),"【秀图】"&amp;MID(N355,SEARCH("秀图",N355)+LEN("秀图"),LEN(N355)),"")))),IFERROR(LEFT(_xlpm.A,FIND("【",_xlpm.A,FIND("】",_xlpm.A)+1)-1)&amp;MID(_xlpm.A,FIND("】",_xlpm.A,FIND("】",_xlpm.A)+1)+1,LEN(_xlpm.A)),_xlpm.A))</f>
        <v/>
      </c>
      <c r="J355" s="18" t="str" cm="1">
        <f t="array" ref="J355">IFERROR(INDEX(_xlfn.TEXTSPLIT(_xlfn.XLOOKUP($A355&amp;$B355&amp;$C355,盘货信息!$A:$A&amp;盘货信息!$B:$B&amp;盘货信息!$C:$C,盘货信息!$S:$S),CHAR(10),,TRUE),1,COLUMN(A354)),"")</f>
        <v/>
      </c>
      <c r="K355" s="18" t="str" cm="1">
        <f t="array" ref="K355">IFERROR(INDEX(_xlfn.TEXTSPLIT(_xlfn.XLOOKUP($A355&amp;$B355&amp;$C355,盘货信息!$A:$A&amp;盘货信息!$B:$B&amp;盘货信息!$C:$C,盘货信息!$S:$S),CHAR(10),,TRUE),1,COLUMN(B354)),"")</f>
        <v/>
      </c>
      <c r="L355" s="18" t="str" cm="1">
        <f t="array" ref="L355">IFERROR(INDEX(_xlfn.TEXTSPLIT(_xlfn.XLOOKUP($A355&amp;$B355&amp;$C355,盘货信息!$A:$A&amp;盘货信息!$B:$B&amp;盘货信息!$C:$C,盘货信息!$S:$S),CHAR(10),,TRUE),1,COLUMN(C354)),"")</f>
        <v/>
      </c>
      <c r="M355" s="18" t="str" cm="1">
        <f t="array" ref="M355">IFERROR(INDEX(_xlfn.TEXTSPLIT(_xlfn.XLOOKUP($A355&amp;$B355&amp;$C355,盘货信息!$A:$A&amp;盘货信息!$B:$B&amp;盘货信息!$C:$C,盘货信息!$S:$S),CHAR(10),,TRUE),1,COLUMN(D354)),"")</f>
        <v/>
      </c>
      <c r="N355" s="18" t="str" cm="1">
        <f t="array" ref="N355">IFERROR(INDEX(_xlfn.TEXTSPLIT(_xlfn.XLOOKUP($A355&amp;$B355&amp;$C355,盘货信息!$A:$A&amp;盘货信息!$B:$B&amp;盘货信息!$C:$C,盘货信息!$S:$S),CHAR(10),,TRUE),1,COLUMN(E354)),"")</f>
        <v/>
      </c>
    </row>
    <row r="356" customHeight="1" spans="1:14">
      <c r="A356" s="17" t="str">
        <f>IF(盘货信息!A356="","",盘货信息!A356)</f>
        <v/>
      </c>
      <c r="B356" s="17" t="str">
        <f>IF(盘货信息!B356="","",盘货信息!B356)</f>
        <v/>
      </c>
      <c r="C356" s="18" t="str">
        <f>IF(盘货信息!C356="","",盘货信息!C356)</f>
        <v/>
      </c>
      <c r="D356" s="18" t="str">
        <f t="shared" si="5"/>
        <v/>
      </c>
      <c r="E356" s="18" t="str">
        <f>_xlfn.LET(_xlpm.A,IF(ISNUMBER(SEARCH("晒单",J356)),"【晒单】"&amp;MID(J356,SEARCH("晒单",J356)+LEN("晒单"),LEN(J356))&amp;"（需晒单后联系客服登记）",IF(ISNUMBER(SEARCH("包修",J356)),"【购机】"&amp;MID(J356,SEARCH("购机",J356)+LEN("购机"),LEN(J356)),IF(ISNUMBER(SEARCH("叠放支架",J356)),"【赠品】"&amp;MID(J356,SEARCH("购机",J356)+LEN("购机"),LEN(J356)),IF(ISNUMBER(SEARCH("秀图",J356)),"【秀图】"&amp;MID(J356,SEARCH("秀图",J356)+LEN("秀图"),LEN(J356)),"")))),IFERROR(LEFT(_xlpm.A,FIND("【",_xlpm.A,FIND("】",_xlpm.A)+1)-1)&amp;MID(_xlpm.A,FIND("】",_xlpm.A,FIND("】",_xlpm.A)+1)+1,LEN(_xlpm.A)),_xlpm.A))</f>
        <v/>
      </c>
      <c r="F356" s="18" t="str">
        <f>_xlfn.LET(_xlpm.A,IF(ISNUMBER(SEARCH("晒单",K356)),"【晒单】"&amp;MID(K356,SEARCH("晒单",K356)+LEN("晒单"),LEN(K356))&amp;"（需晒单后联系客服登记）",IF(ISNUMBER(SEARCH("包修",K356)),"【购机】"&amp;MID(K356,SEARCH("购机",K356)+LEN("购机"),LEN(K356)),IF(ISNUMBER(SEARCH("叠放支架",K356)),"【赠品】"&amp;MID(K356,SEARCH("购机",K356)+LEN("购机"),LEN(K356)),IF(ISNUMBER(SEARCH("秀图",K356)),"【秀图】"&amp;MID(K356,SEARCH("秀图",K356)+LEN("秀图"),LEN(K356)),"")))),IFERROR(LEFT(_xlpm.A,FIND("【",_xlpm.A,FIND("】",_xlpm.A)+1)-1)&amp;MID(_xlpm.A,FIND("】",_xlpm.A,FIND("】",_xlpm.A)+1)+1,LEN(_xlpm.A)),_xlpm.A))</f>
        <v/>
      </c>
      <c r="G356" s="18" t="str">
        <f>_xlfn.LET(_xlpm.A,IF(ISNUMBER(SEARCH("晒单",L356)),"【晒单】"&amp;MID(L356,SEARCH("晒单",L356)+LEN("晒单"),LEN(L356))&amp;"（需晒单后联系客服登记）",IF(ISNUMBER(SEARCH("包修",L356)),"【购机】"&amp;MID(L356,SEARCH("购机",L356)+LEN("购机"),LEN(L356)),IF(ISNUMBER(SEARCH("叠放支架",L356)),"【赠品】"&amp;MID(L356,SEARCH("购机",L356)+LEN("购机"),LEN(L356)),IF(ISNUMBER(SEARCH("秀图",L356)),"【秀图】"&amp;MID(L356,SEARCH("秀图",L356)+LEN("秀图"),LEN(L356)),"")))),IFERROR(LEFT(_xlpm.A,FIND("【",_xlpm.A,FIND("】",_xlpm.A)+1)-1)&amp;MID(_xlpm.A,FIND("】",_xlpm.A,FIND("】",_xlpm.A)+1)+1,LEN(_xlpm.A)),_xlpm.A))</f>
        <v/>
      </c>
      <c r="H356" s="18" t="str">
        <f>_xlfn.LET(_xlpm.A,IF(ISNUMBER(SEARCH("晒单",M356)),"【晒单】"&amp;MID(M356,SEARCH("晒单",M356)+LEN("晒单"),LEN(M356))&amp;"（需晒单后联系客服登记）",IF(ISNUMBER(SEARCH("包修",M356)),"【购机】"&amp;MID(M356,SEARCH("购机",M356)+LEN("购机"),LEN(M356)),IF(ISNUMBER(SEARCH("叠放支架",M356)),"【赠品】"&amp;MID(M356,SEARCH("购机",M356)+LEN("购机"),LEN(M356)),IF(ISNUMBER(SEARCH("秀图",M356)),"【秀图】"&amp;MID(M356,SEARCH("秀图",M356)+LEN("秀图"),LEN(M356)),"")))),IFERROR(LEFT(_xlpm.A,FIND("【",_xlpm.A,FIND("】",_xlpm.A)+1)-1)&amp;MID(_xlpm.A,FIND("】",_xlpm.A,FIND("】",_xlpm.A)+1)+1,LEN(_xlpm.A)),_xlpm.A))</f>
        <v/>
      </c>
      <c r="I356" s="18" t="str">
        <f>_xlfn.LET(_xlpm.A,IF(ISNUMBER(SEARCH("晒单",N356)),"【晒单】"&amp;MID(N356,SEARCH("晒单",N356)+LEN("晒单"),LEN(N356))&amp;"（需晒单后联系客服登记）",IF(ISNUMBER(SEARCH("包修",N356)),"【购机】"&amp;MID(N356,SEARCH("购机",N356)+LEN("购机"),LEN(N356)),IF(ISNUMBER(SEARCH("叠放支架",N356)),"【赠品】"&amp;MID(N356,SEARCH("购机",N356)+LEN("购机"),LEN(N356)),IF(ISNUMBER(SEARCH("秀图",N356)),"【秀图】"&amp;MID(N356,SEARCH("秀图",N356)+LEN("秀图"),LEN(N356)),"")))),IFERROR(LEFT(_xlpm.A,FIND("【",_xlpm.A,FIND("】",_xlpm.A)+1)-1)&amp;MID(_xlpm.A,FIND("】",_xlpm.A,FIND("】",_xlpm.A)+1)+1,LEN(_xlpm.A)),_xlpm.A))</f>
        <v/>
      </c>
      <c r="J356" s="18" t="str" cm="1">
        <f t="array" ref="J356">IFERROR(INDEX(_xlfn.TEXTSPLIT(_xlfn.XLOOKUP($A356&amp;$B356&amp;$C356,盘货信息!$A:$A&amp;盘货信息!$B:$B&amp;盘货信息!$C:$C,盘货信息!$S:$S),CHAR(10),,TRUE),1,COLUMN(A355)),"")</f>
        <v/>
      </c>
      <c r="K356" s="18" t="str" cm="1">
        <f t="array" ref="K356">IFERROR(INDEX(_xlfn.TEXTSPLIT(_xlfn.XLOOKUP($A356&amp;$B356&amp;$C356,盘货信息!$A:$A&amp;盘货信息!$B:$B&amp;盘货信息!$C:$C,盘货信息!$S:$S),CHAR(10),,TRUE),1,COLUMN(B355)),"")</f>
        <v/>
      </c>
      <c r="L356" s="18" t="str" cm="1">
        <f t="array" ref="L356">IFERROR(INDEX(_xlfn.TEXTSPLIT(_xlfn.XLOOKUP($A356&amp;$B356&amp;$C356,盘货信息!$A:$A&amp;盘货信息!$B:$B&amp;盘货信息!$C:$C,盘货信息!$S:$S),CHAR(10),,TRUE),1,COLUMN(C355)),"")</f>
        <v/>
      </c>
      <c r="M356" s="18" t="str" cm="1">
        <f t="array" ref="M356">IFERROR(INDEX(_xlfn.TEXTSPLIT(_xlfn.XLOOKUP($A356&amp;$B356&amp;$C356,盘货信息!$A:$A&amp;盘货信息!$B:$B&amp;盘货信息!$C:$C,盘货信息!$S:$S),CHAR(10),,TRUE),1,COLUMN(D355)),"")</f>
        <v/>
      </c>
      <c r="N356" s="18" t="str" cm="1">
        <f t="array" ref="N356">IFERROR(INDEX(_xlfn.TEXTSPLIT(_xlfn.XLOOKUP($A356&amp;$B356&amp;$C356,盘货信息!$A:$A&amp;盘货信息!$B:$B&amp;盘货信息!$C:$C,盘货信息!$S:$S),CHAR(10),,TRUE),1,COLUMN(E355)),"")</f>
        <v/>
      </c>
    </row>
    <row r="357" customHeight="1" spans="1:14">
      <c r="A357" s="17" t="str">
        <f>IF(盘货信息!A357="","",盘货信息!A357)</f>
        <v/>
      </c>
      <c r="B357" s="17" t="str">
        <f>IF(盘货信息!B357="","",盘货信息!B357)</f>
        <v/>
      </c>
      <c r="C357" s="18" t="str">
        <f>IF(盘货信息!C357="","",盘货信息!C357)</f>
        <v/>
      </c>
      <c r="D357" s="18" t="str">
        <f t="shared" si="5"/>
        <v/>
      </c>
      <c r="E357" s="18" t="str">
        <f>_xlfn.LET(_xlpm.A,IF(ISNUMBER(SEARCH("晒单",J357)),"【晒单】"&amp;MID(J357,SEARCH("晒单",J357)+LEN("晒单"),LEN(J357))&amp;"（需晒单后联系客服登记）",IF(ISNUMBER(SEARCH("包修",J357)),"【购机】"&amp;MID(J357,SEARCH("购机",J357)+LEN("购机"),LEN(J357)),IF(ISNUMBER(SEARCH("叠放支架",J357)),"【赠品】"&amp;MID(J357,SEARCH("购机",J357)+LEN("购机"),LEN(J357)),IF(ISNUMBER(SEARCH("秀图",J357)),"【秀图】"&amp;MID(J357,SEARCH("秀图",J357)+LEN("秀图"),LEN(J357)),"")))),IFERROR(LEFT(_xlpm.A,FIND("【",_xlpm.A,FIND("】",_xlpm.A)+1)-1)&amp;MID(_xlpm.A,FIND("】",_xlpm.A,FIND("】",_xlpm.A)+1)+1,LEN(_xlpm.A)),_xlpm.A))</f>
        <v/>
      </c>
      <c r="F357" s="18" t="str">
        <f>_xlfn.LET(_xlpm.A,IF(ISNUMBER(SEARCH("晒单",K357)),"【晒单】"&amp;MID(K357,SEARCH("晒单",K357)+LEN("晒单"),LEN(K357))&amp;"（需晒单后联系客服登记）",IF(ISNUMBER(SEARCH("包修",K357)),"【购机】"&amp;MID(K357,SEARCH("购机",K357)+LEN("购机"),LEN(K357)),IF(ISNUMBER(SEARCH("叠放支架",K357)),"【赠品】"&amp;MID(K357,SEARCH("购机",K357)+LEN("购机"),LEN(K357)),IF(ISNUMBER(SEARCH("秀图",K357)),"【秀图】"&amp;MID(K357,SEARCH("秀图",K357)+LEN("秀图"),LEN(K357)),"")))),IFERROR(LEFT(_xlpm.A,FIND("【",_xlpm.A,FIND("】",_xlpm.A)+1)-1)&amp;MID(_xlpm.A,FIND("】",_xlpm.A,FIND("】",_xlpm.A)+1)+1,LEN(_xlpm.A)),_xlpm.A))</f>
        <v/>
      </c>
      <c r="G357" s="18" t="str">
        <f>_xlfn.LET(_xlpm.A,IF(ISNUMBER(SEARCH("晒单",L357)),"【晒单】"&amp;MID(L357,SEARCH("晒单",L357)+LEN("晒单"),LEN(L357))&amp;"（需晒单后联系客服登记）",IF(ISNUMBER(SEARCH("包修",L357)),"【购机】"&amp;MID(L357,SEARCH("购机",L357)+LEN("购机"),LEN(L357)),IF(ISNUMBER(SEARCH("叠放支架",L357)),"【赠品】"&amp;MID(L357,SEARCH("购机",L357)+LEN("购机"),LEN(L357)),IF(ISNUMBER(SEARCH("秀图",L357)),"【秀图】"&amp;MID(L357,SEARCH("秀图",L357)+LEN("秀图"),LEN(L357)),"")))),IFERROR(LEFT(_xlpm.A,FIND("【",_xlpm.A,FIND("】",_xlpm.A)+1)-1)&amp;MID(_xlpm.A,FIND("】",_xlpm.A,FIND("】",_xlpm.A)+1)+1,LEN(_xlpm.A)),_xlpm.A))</f>
        <v/>
      </c>
      <c r="H357" s="18" t="str">
        <f>_xlfn.LET(_xlpm.A,IF(ISNUMBER(SEARCH("晒单",M357)),"【晒单】"&amp;MID(M357,SEARCH("晒单",M357)+LEN("晒单"),LEN(M357))&amp;"（需晒单后联系客服登记）",IF(ISNUMBER(SEARCH("包修",M357)),"【购机】"&amp;MID(M357,SEARCH("购机",M357)+LEN("购机"),LEN(M357)),IF(ISNUMBER(SEARCH("叠放支架",M357)),"【赠品】"&amp;MID(M357,SEARCH("购机",M357)+LEN("购机"),LEN(M357)),IF(ISNUMBER(SEARCH("秀图",M357)),"【秀图】"&amp;MID(M357,SEARCH("秀图",M357)+LEN("秀图"),LEN(M357)),"")))),IFERROR(LEFT(_xlpm.A,FIND("【",_xlpm.A,FIND("】",_xlpm.A)+1)-1)&amp;MID(_xlpm.A,FIND("】",_xlpm.A,FIND("】",_xlpm.A)+1)+1,LEN(_xlpm.A)),_xlpm.A))</f>
        <v/>
      </c>
      <c r="I357" s="18" t="str">
        <f>_xlfn.LET(_xlpm.A,IF(ISNUMBER(SEARCH("晒单",N357)),"【晒单】"&amp;MID(N357,SEARCH("晒单",N357)+LEN("晒单"),LEN(N357))&amp;"（需晒单后联系客服登记）",IF(ISNUMBER(SEARCH("包修",N357)),"【购机】"&amp;MID(N357,SEARCH("购机",N357)+LEN("购机"),LEN(N357)),IF(ISNUMBER(SEARCH("叠放支架",N357)),"【赠品】"&amp;MID(N357,SEARCH("购机",N357)+LEN("购机"),LEN(N357)),IF(ISNUMBER(SEARCH("秀图",N357)),"【秀图】"&amp;MID(N357,SEARCH("秀图",N357)+LEN("秀图"),LEN(N357)),"")))),IFERROR(LEFT(_xlpm.A,FIND("【",_xlpm.A,FIND("】",_xlpm.A)+1)-1)&amp;MID(_xlpm.A,FIND("】",_xlpm.A,FIND("】",_xlpm.A)+1)+1,LEN(_xlpm.A)),_xlpm.A))</f>
        <v/>
      </c>
      <c r="J357" s="18" t="str" cm="1">
        <f t="array" ref="J357">IFERROR(INDEX(_xlfn.TEXTSPLIT(_xlfn.XLOOKUP($A357&amp;$B357&amp;$C357,盘货信息!$A:$A&amp;盘货信息!$B:$B&amp;盘货信息!$C:$C,盘货信息!$S:$S),CHAR(10),,TRUE),1,COLUMN(A356)),"")</f>
        <v/>
      </c>
      <c r="K357" s="18" t="str" cm="1">
        <f t="array" ref="K357">IFERROR(INDEX(_xlfn.TEXTSPLIT(_xlfn.XLOOKUP($A357&amp;$B357&amp;$C357,盘货信息!$A:$A&amp;盘货信息!$B:$B&amp;盘货信息!$C:$C,盘货信息!$S:$S),CHAR(10),,TRUE),1,COLUMN(B356)),"")</f>
        <v/>
      </c>
      <c r="L357" s="18" t="str" cm="1">
        <f t="array" ref="L357">IFERROR(INDEX(_xlfn.TEXTSPLIT(_xlfn.XLOOKUP($A357&amp;$B357&amp;$C357,盘货信息!$A:$A&amp;盘货信息!$B:$B&amp;盘货信息!$C:$C,盘货信息!$S:$S),CHAR(10),,TRUE),1,COLUMN(C356)),"")</f>
        <v/>
      </c>
      <c r="M357" s="18" t="str" cm="1">
        <f t="array" ref="M357">IFERROR(INDEX(_xlfn.TEXTSPLIT(_xlfn.XLOOKUP($A357&amp;$B357&amp;$C357,盘货信息!$A:$A&amp;盘货信息!$B:$B&amp;盘货信息!$C:$C,盘货信息!$S:$S),CHAR(10),,TRUE),1,COLUMN(D356)),"")</f>
        <v/>
      </c>
      <c r="N357" s="18" t="str" cm="1">
        <f t="array" ref="N357">IFERROR(INDEX(_xlfn.TEXTSPLIT(_xlfn.XLOOKUP($A357&amp;$B357&amp;$C357,盘货信息!$A:$A&amp;盘货信息!$B:$B&amp;盘货信息!$C:$C,盘货信息!$S:$S),CHAR(10),,TRUE),1,COLUMN(E356)),"")</f>
        <v/>
      </c>
    </row>
    <row r="358" customHeight="1" spans="1:14">
      <c r="A358" s="17" t="str">
        <f>IF(盘货信息!A358="","",盘货信息!A358)</f>
        <v/>
      </c>
      <c r="B358" s="17" t="str">
        <f>IF(盘货信息!B358="","",盘货信息!B358)</f>
        <v/>
      </c>
      <c r="C358" s="18" t="str">
        <f>IF(盘货信息!C358="","",盘货信息!C358)</f>
        <v/>
      </c>
      <c r="D358" s="18" t="str">
        <f t="shared" si="5"/>
        <v/>
      </c>
      <c r="E358" s="18" t="str">
        <f>_xlfn.LET(_xlpm.A,IF(ISNUMBER(SEARCH("晒单",J358)),"【晒单】"&amp;MID(J358,SEARCH("晒单",J358)+LEN("晒单"),LEN(J358))&amp;"（需晒单后联系客服登记）",IF(ISNUMBER(SEARCH("包修",J358)),"【购机】"&amp;MID(J358,SEARCH("购机",J358)+LEN("购机"),LEN(J358)),IF(ISNUMBER(SEARCH("叠放支架",J358)),"【赠品】"&amp;MID(J358,SEARCH("购机",J358)+LEN("购机"),LEN(J358)),IF(ISNUMBER(SEARCH("秀图",J358)),"【秀图】"&amp;MID(J358,SEARCH("秀图",J358)+LEN("秀图"),LEN(J358)),"")))),IFERROR(LEFT(_xlpm.A,FIND("【",_xlpm.A,FIND("】",_xlpm.A)+1)-1)&amp;MID(_xlpm.A,FIND("】",_xlpm.A,FIND("】",_xlpm.A)+1)+1,LEN(_xlpm.A)),_xlpm.A))</f>
        <v/>
      </c>
      <c r="F358" s="18" t="str">
        <f>_xlfn.LET(_xlpm.A,IF(ISNUMBER(SEARCH("晒单",K358)),"【晒单】"&amp;MID(K358,SEARCH("晒单",K358)+LEN("晒单"),LEN(K358))&amp;"（需晒单后联系客服登记）",IF(ISNUMBER(SEARCH("包修",K358)),"【购机】"&amp;MID(K358,SEARCH("购机",K358)+LEN("购机"),LEN(K358)),IF(ISNUMBER(SEARCH("叠放支架",K358)),"【赠品】"&amp;MID(K358,SEARCH("购机",K358)+LEN("购机"),LEN(K358)),IF(ISNUMBER(SEARCH("秀图",K358)),"【秀图】"&amp;MID(K358,SEARCH("秀图",K358)+LEN("秀图"),LEN(K358)),"")))),IFERROR(LEFT(_xlpm.A,FIND("【",_xlpm.A,FIND("】",_xlpm.A)+1)-1)&amp;MID(_xlpm.A,FIND("】",_xlpm.A,FIND("】",_xlpm.A)+1)+1,LEN(_xlpm.A)),_xlpm.A))</f>
        <v/>
      </c>
      <c r="G358" s="18" t="str">
        <f>_xlfn.LET(_xlpm.A,IF(ISNUMBER(SEARCH("晒单",L358)),"【晒单】"&amp;MID(L358,SEARCH("晒单",L358)+LEN("晒单"),LEN(L358))&amp;"（需晒单后联系客服登记）",IF(ISNUMBER(SEARCH("包修",L358)),"【购机】"&amp;MID(L358,SEARCH("购机",L358)+LEN("购机"),LEN(L358)),IF(ISNUMBER(SEARCH("叠放支架",L358)),"【赠品】"&amp;MID(L358,SEARCH("购机",L358)+LEN("购机"),LEN(L358)),IF(ISNUMBER(SEARCH("秀图",L358)),"【秀图】"&amp;MID(L358,SEARCH("秀图",L358)+LEN("秀图"),LEN(L358)),"")))),IFERROR(LEFT(_xlpm.A,FIND("【",_xlpm.A,FIND("】",_xlpm.A)+1)-1)&amp;MID(_xlpm.A,FIND("】",_xlpm.A,FIND("】",_xlpm.A)+1)+1,LEN(_xlpm.A)),_xlpm.A))</f>
        <v/>
      </c>
      <c r="H358" s="18" t="str">
        <f>_xlfn.LET(_xlpm.A,IF(ISNUMBER(SEARCH("晒单",M358)),"【晒单】"&amp;MID(M358,SEARCH("晒单",M358)+LEN("晒单"),LEN(M358))&amp;"（需晒单后联系客服登记）",IF(ISNUMBER(SEARCH("包修",M358)),"【购机】"&amp;MID(M358,SEARCH("购机",M358)+LEN("购机"),LEN(M358)),IF(ISNUMBER(SEARCH("叠放支架",M358)),"【赠品】"&amp;MID(M358,SEARCH("购机",M358)+LEN("购机"),LEN(M358)),IF(ISNUMBER(SEARCH("秀图",M358)),"【秀图】"&amp;MID(M358,SEARCH("秀图",M358)+LEN("秀图"),LEN(M358)),"")))),IFERROR(LEFT(_xlpm.A,FIND("【",_xlpm.A,FIND("】",_xlpm.A)+1)-1)&amp;MID(_xlpm.A,FIND("】",_xlpm.A,FIND("】",_xlpm.A)+1)+1,LEN(_xlpm.A)),_xlpm.A))</f>
        <v/>
      </c>
      <c r="I358" s="18" t="str">
        <f>_xlfn.LET(_xlpm.A,IF(ISNUMBER(SEARCH("晒单",N358)),"【晒单】"&amp;MID(N358,SEARCH("晒单",N358)+LEN("晒单"),LEN(N358))&amp;"（需晒单后联系客服登记）",IF(ISNUMBER(SEARCH("包修",N358)),"【购机】"&amp;MID(N358,SEARCH("购机",N358)+LEN("购机"),LEN(N358)),IF(ISNUMBER(SEARCH("叠放支架",N358)),"【赠品】"&amp;MID(N358,SEARCH("购机",N358)+LEN("购机"),LEN(N358)),IF(ISNUMBER(SEARCH("秀图",N358)),"【秀图】"&amp;MID(N358,SEARCH("秀图",N358)+LEN("秀图"),LEN(N358)),"")))),IFERROR(LEFT(_xlpm.A,FIND("【",_xlpm.A,FIND("】",_xlpm.A)+1)-1)&amp;MID(_xlpm.A,FIND("】",_xlpm.A,FIND("】",_xlpm.A)+1)+1,LEN(_xlpm.A)),_xlpm.A))</f>
        <v/>
      </c>
      <c r="J358" s="18" t="str" cm="1">
        <f t="array" ref="J358">IFERROR(INDEX(_xlfn.TEXTSPLIT(_xlfn.XLOOKUP($A358&amp;$B358&amp;$C358,盘货信息!$A:$A&amp;盘货信息!$B:$B&amp;盘货信息!$C:$C,盘货信息!$S:$S),CHAR(10),,TRUE),1,COLUMN(A357)),"")</f>
        <v/>
      </c>
      <c r="K358" s="18" t="str" cm="1">
        <f t="array" ref="K358">IFERROR(INDEX(_xlfn.TEXTSPLIT(_xlfn.XLOOKUP($A358&amp;$B358&amp;$C358,盘货信息!$A:$A&amp;盘货信息!$B:$B&amp;盘货信息!$C:$C,盘货信息!$S:$S),CHAR(10),,TRUE),1,COLUMN(B357)),"")</f>
        <v/>
      </c>
      <c r="L358" s="18" t="str" cm="1">
        <f t="array" ref="L358">IFERROR(INDEX(_xlfn.TEXTSPLIT(_xlfn.XLOOKUP($A358&amp;$B358&amp;$C358,盘货信息!$A:$A&amp;盘货信息!$B:$B&amp;盘货信息!$C:$C,盘货信息!$S:$S),CHAR(10),,TRUE),1,COLUMN(C357)),"")</f>
        <v/>
      </c>
      <c r="M358" s="18" t="str" cm="1">
        <f t="array" ref="M358">IFERROR(INDEX(_xlfn.TEXTSPLIT(_xlfn.XLOOKUP($A358&amp;$B358&amp;$C358,盘货信息!$A:$A&amp;盘货信息!$B:$B&amp;盘货信息!$C:$C,盘货信息!$S:$S),CHAR(10),,TRUE),1,COLUMN(D357)),"")</f>
        <v/>
      </c>
      <c r="N358" s="18" t="str" cm="1">
        <f t="array" ref="N358">IFERROR(INDEX(_xlfn.TEXTSPLIT(_xlfn.XLOOKUP($A358&amp;$B358&amp;$C358,盘货信息!$A:$A&amp;盘货信息!$B:$B&amp;盘货信息!$C:$C,盘货信息!$S:$S),CHAR(10),,TRUE),1,COLUMN(E357)),"")</f>
        <v/>
      </c>
    </row>
    <row r="359" customHeight="1" spans="1:14">
      <c r="A359" s="17" t="str">
        <f>IF(盘货信息!A359="","",盘货信息!A359)</f>
        <v/>
      </c>
      <c r="B359" s="17" t="str">
        <f>IF(盘货信息!B359="","",盘货信息!B359)</f>
        <v/>
      </c>
      <c r="C359" s="18" t="str">
        <f>IF(盘货信息!C359="","",盘货信息!C359)</f>
        <v/>
      </c>
      <c r="D359" s="18" t="str">
        <f t="shared" si="5"/>
        <v/>
      </c>
      <c r="E359" s="18" t="str">
        <f>_xlfn.LET(_xlpm.A,IF(ISNUMBER(SEARCH("晒单",J359)),"【晒单】"&amp;MID(J359,SEARCH("晒单",J359)+LEN("晒单"),LEN(J359))&amp;"（需晒单后联系客服登记）",IF(ISNUMBER(SEARCH("包修",J359)),"【购机】"&amp;MID(J359,SEARCH("购机",J359)+LEN("购机"),LEN(J359)),IF(ISNUMBER(SEARCH("叠放支架",J359)),"【赠品】"&amp;MID(J359,SEARCH("购机",J359)+LEN("购机"),LEN(J359)),IF(ISNUMBER(SEARCH("秀图",J359)),"【秀图】"&amp;MID(J359,SEARCH("秀图",J359)+LEN("秀图"),LEN(J359)),"")))),IFERROR(LEFT(_xlpm.A,FIND("【",_xlpm.A,FIND("】",_xlpm.A)+1)-1)&amp;MID(_xlpm.A,FIND("】",_xlpm.A,FIND("】",_xlpm.A)+1)+1,LEN(_xlpm.A)),_xlpm.A))</f>
        <v/>
      </c>
      <c r="F359" s="18" t="str">
        <f>_xlfn.LET(_xlpm.A,IF(ISNUMBER(SEARCH("晒单",K359)),"【晒单】"&amp;MID(K359,SEARCH("晒单",K359)+LEN("晒单"),LEN(K359))&amp;"（需晒单后联系客服登记）",IF(ISNUMBER(SEARCH("包修",K359)),"【购机】"&amp;MID(K359,SEARCH("购机",K359)+LEN("购机"),LEN(K359)),IF(ISNUMBER(SEARCH("叠放支架",K359)),"【赠品】"&amp;MID(K359,SEARCH("购机",K359)+LEN("购机"),LEN(K359)),IF(ISNUMBER(SEARCH("秀图",K359)),"【秀图】"&amp;MID(K359,SEARCH("秀图",K359)+LEN("秀图"),LEN(K359)),"")))),IFERROR(LEFT(_xlpm.A,FIND("【",_xlpm.A,FIND("】",_xlpm.A)+1)-1)&amp;MID(_xlpm.A,FIND("】",_xlpm.A,FIND("】",_xlpm.A)+1)+1,LEN(_xlpm.A)),_xlpm.A))</f>
        <v/>
      </c>
      <c r="G359" s="18" t="str">
        <f>_xlfn.LET(_xlpm.A,IF(ISNUMBER(SEARCH("晒单",L359)),"【晒单】"&amp;MID(L359,SEARCH("晒单",L359)+LEN("晒单"),LEN(L359))&amp;"（需晒单后联系客服登记）",IF(ISNUMBER(SEARCH("包修",L359)),"【购机】"&amp;MID(L359,SEARCH("购机",L359)+LEN("购机"),LEN(L359)),IF(ISNUMBER(SEARCH("叠放支架",L359)),"【赠品】"&amp;MID(L359,SEARCH("购机",L359)+LEN("购机"),LEN(L359)),IF(ISNUMBER(SEARCH("秀图",L359)),"【秀图】"&amp;MID(L359,SEARCH("秀图",L359)+LEN("秀图"),LEN(L359)),"")))),IFERROR(LEFT(_xlpm.A,FIND("【",_xlpm.A,FIND("】",_xlpm.A)+1)-1)&amp;MID(_xlpm.A,FIND("】",_xlpm.A,FIND("】",_xlpm.A)+1)+1,LEN(_xlpm.A)),_xlpm.A))</f>
        <v/>
      </c>
      <c r="H359" s="18" t="str">
        <f>_xlfn.LET(_xlpm.A,IF(ISNUMBER(SEARCH("晒单",M359)),"【晒单】"&amp;MID(M359,SEARCH("晒单",M359)+LEN("晒单"),LEN(M359))&amp;"（需晒单后联系客服登记）",IF(ISNUMBER(SEARCH("包修",M359)),"【购机】"&amp;MID(M359,SEARCH("购机",M359)+LEN("购机"),LEN(M359)),IF(ISNUMBER(SEARCH("叠放支架",M359)),"【赠品】"&amp;MID(M359,SEARCH("购机",M359)+LEN("购机"),LEN(M359)),IF(ISNUMBER(SEARCH("秀图",M359)),"【秀图】"&amp;MID(M359,SEARCH("秀图",M359)+LEN("秀图"),LEN(M359)),"")))),IFERROR(LEFT(_xlpm.A,FIND("【",_xlpm.A,FIND("】",_xlpm.A)+1)-1)&amp;MID(_xlpm.A,FIND("】",_xlpm.A,FIND("】",_xlpm.A)+1)+1,LEN(_xlpm.A)),_xlpm.A))</f>
        <v/>
      </c>
      <c r="I359" s="18" t="str">
        <f>_xlfn.LET(_xlpm.A,IF(ISNUMBER(SEARCH("晒单",N359)),"【晒单】"&amp;MID(N359,SEARCH("晒单",N359)+LEN("晒单"),LEN(N359))&amp;"（需晒单后联系客服登记）",IF(ISNUMBER(SEARCH("包修",N359)),"【购机】"&amp;MID(N359,SEARCH("购机",N359)+LEN("购机"),LEN(N359)),IF(ISNUMBER(SEARCH("叠放支架",N359)),"【赠品】"&amp;MID(N359,SEARCH("购机",N359)+LEN("购机"),LEN(N359)),IF(ISNUMBER(SEARCH("秀图",N359)),"【秀图】"&amp;MID(N359,SEARCH("秀图",N359)+LEN("秀图"),LEN(N359)),"")))),IFERROR(LEFT(_xlpm.A,FIND("【",_xlpm.A,FIND("】",_xlpm.A)+1)-1)&amp;MID(_xlpm.A,FIND("】",_xlpm.A,FIND("】",_xlpm.A)+1)+1,LEN(_xlpm.A)),_xlpm.A))</f>
        <v/>
      </c>
      <c r="J359" s="18" t="str" cm="1">
        <f t="array" ref="J359">IFERROR(INDEX(_xlfn.TEXTSPLIT(_xlfn.XLOOKUP($A359&amp;$B359&amp;$C359,盘货信息!$A:$A&amp;盘货信息!$B:$B&amp;盘货信息!$C:$C,盘货信息!$S:$S),CHAR(10),,TRUE),1,COLUMN(A358)),"")</f>
        <v/>
      </c>
      <c r="K359" s="18" t="str" cm="1">
        <f t="array" ref="K359">IFERROR(INDEX(_xlfn.TEXTSPLIT(_xlfn.XLOOKUP($A359&amp;$B359&amp;$C359,盘货信息!$A:$A&amp;盘货信息!$B:$B&amp;盘货信息!$C:$C,盘货信息!$S:$S),CHAR(10),,TRUE),1,COLUMN(B358)),"")</f>
        <v/>
      </c>
      <c r="L359" s="18" t="str" cm="1">
        <f t="array" ref="L359">IFERROR(INDEX(_xlfn.TEXTSPLIT(_xlfn.XLOOKUP($A359&amp;$B359&amp;$C359,盘货信息!$A:$A&amp;盘货信息!$B:$B&amp;盘货信息!$C:$C,盘货信息!$S:$S),CHAR(10),,TRUE),1,COLUMN(C358)),"")</f>
        <v/>
      </c>
      <c r="M359" s="18" t="str" cm="1">
        <f t="array" ref="M359">IFERROR(INDEX(_xlfn.TEXTSPLIT(_xlfn.XLOOKUP($A359&amp;$B359&amp;$C359,盘货信息!$A:$A&amp;盘货信息!$B:$B&amp;盘货信息!$C:$C,盘货信息!$S:$S),CHAR(10),,TRUE),1,COLUMN(D358)),"")</f>
        <v/>
      </c>
      <c r="N359" s="18" t="str" cm="1">
        <f t="array" ref="N359">IFERROR(INDEX(_xlfn.TEXTSPLIT(_xlfn.XLOOKUP($A359&amp;$B359&amp;$C359,盘货信息!$A:$A&amp;盘货信息!$B:$B&amp;盘货信息!$C:$C,盘货信息!$S:$S),CHAR(10),,TRUE),1,COLUMN(E358)),"")</f>
        <v/>
      </c>
    </row>
    <row r="360" customHeight="1" spans="1:14">
      <c r="A360" s="17" t="str">
        <f>IF(盘货信息!A360="","",盘货信息!A360)</f>
        <v/>
      </c>
      <c r="B360" s="17" t="str">
        <f>IF(盘货信息!B360="","",盘货信息!B360)</f>
        <v/>
      </c>
      <c r="C360" s="18" t="str">
        <f>IF(盘货信息!C360="","",盘货信息!C360)</f>
        <v/>
      </c>
      <c r="D360" s="18" t="str">
        <f t="shared" si="5"/>
        <v/>
      </c>
      <c r="E360" s="18" t="str">
        <f>_xlfn.LET(_xlpm.A,IF(ISNUMBER(SEARCH("晒单",J360)),"【晒单】"&amp;MID(J360,SEARCH("晒单",J360)+LEN("晒单"),LEN(J360))&amp;"（需晒单后联系客服登记）",IF(ISNUMBER(SEARCH("包修",J360)),"【购机】"&amp;MID(J360,SEARCH("购机",J360)+LEN("购机"),LEN(J360)),IF(ISNUMBER(SEARCH("叠放支架",J360)),"【赠品】"&amp;MID(J360,SEARCH("购机",J360)+LEN("购机"),LEN(J360)),IF(ISNUMBER(SEARCH("秀图",J360)),"【秀图】"&amp;MID(J360,SEARCH("秀图",J360)+LEN("秀图"),LEN(J360)),"")))),IFERROR(LEFT(_xlpm.A,FIND("【",_xlpm.A,FIND("】",_xlpm.A)+1)-1)&amp;MID(_xlpm.A,FIND("】",_xlpm.A,FIND("】",_xlpm.A)+1)+1,LEN(_xlpm.A)),_xlpm.A))</f>
        <v/>
      </c>
      <c r="F360" s="18" t="str">
        <f>_xlfn.LET(_xlpm.A,IF(ISNUMBER(SEARCH("晒单",K360)),"【晒单】"&amp;MID(K360,SEARCH("晒单",K360)+LEN("晒单"),LEN(K360))&amp;"（需晒单后联系客服登记）",IF(ISNUMBER(SEARCH("包修",K360)),"【购机】"&amp;MID(K360,SEARCH("购机",K360)+LEN("购机"),LEN(K360)),IF(ISNUMBER(SEARCH("叠放支架",K360)),"【赠品】"&amp;MID(K360,SEARCH("购机",K360)+LEN("购机"),LEN(K360)),IF(ISNUMBER(SEARCH("秀图",K360)),"【秀图】"&amp;MID(K360,SEARCH("秀图",K360)+LEN("秀图"),LEN(K360)),"")))),IFERROR(LEFT(_xlpm.A,FIND("【",_xlpm.A,FIND("】",_xlpm.A)+1)-1)&amp;MID(_xlpm.A,FIND("】",_xlpm.A,FIND("】",_xlpm.A)+1)+1,LEN(_xlpm.A)),_xlpm.A))</f>
        <v/>
      </c>
      <c r="G360" s="18" t="str">
        <f>_xlfn.LET(_xlpm.A,IF(ISNUMBER(SEARCH("晒单",L360)),"【晒单】"&amp;MID(L360,SEARCH("晒单",L360)+LEN("晒单"),LEN(L360))&amp;"（需晒单后联系客服登记）",IF(ISNUMBER(SEARCH("包修",L360)),"【购机】"&amp;MID(L360,SEARCH("购机",L360)+LEN("购机"),LEN(L360)),IF(ISNUMBER(SEARCH("叠放支架",L360)),"【赠品】"&amp;MID(L360,SEARCH("购机",L360)+LEN("购机"),LEN(L360)),IF(ISNUMBER(SEARCH("秀图",L360)),"【秀图】"&amp;MID(L360,SEARCH("秀图",L360)+LEN("秀图"),LEN(L360)),"")))),IFERROR(LEFT(_xlpm.A,FIND("【",_xlpm.A,FIND("】",_xlpm.A)+1)-1)&amp;MID(_xlpm.A,FIND("】",_xlpm.A,FIND("】",_xlpm.A)+1)+1,LEN(_xlpm.A)),_xlpm.A))</f>
        <v/>
      </c>
      <c r="H360" s="18" t="str">
        <f>_xlfn.LET(_xlpm.A,IF(ISNUMBER(SEARCH("晒单",M360)),"【晒单】"&amp;MID(M360,SEARCH("晒单",M360)+LEN("晒单"),LEN(M360))&amp;"（需晒单后联系客服登记）",IF(ISNUMBER(SEARCH("包修",M360)),"【购机】"&amp;MID(M360,SEARCH("购机",M360)+LEN("购机"),LEN(M360)),IF(ISNUMBER(SEARCH("叠放支架",M360)),"【赠品】"&amp;MID(M360,SEARCH("购机",M360)+LEN("购机"),LEN(M360)),IF(ISNUMBER(SEARCH("秀图",M360)),"【秀图】"&amp;MID(M360,SEARCH("秀图",M360)+LEN("秀图"),LEN(M360)),"")))),IFERROR(LEFT(_xlpm.A,FIND("【",_xlpm.A,FIND("】",_xlpm.A)+1)-1)&amp;MID(_xlpm.A,FIND("】",_xlpm.A,FIND("】",_xlpm.A)+1)+1,LEN(_xlpm.A)),_xlpm.A))</f>
        <v/>
      </c>
      <c r="I360" s="18" t="str">
        <f>_xlfn.LET(_xlpm.A,IF(ISNUMBER(SEARCH("晒单",N360)),"【晒单】"&amp;MID(N360,SEARCH("晒单",N360)+LEN("晒单"),LEN(N360))&amp;"（需晒单后联系客服登记）",IF(ISNUMBER(SEARCH("包修",N360)),"【购机】"&amp;MID(N360,SEARCH("购机",N360)+LEN("购机"),LEN(N360)),IF(ISNUMBER(SEARCH("叠放支架",N360)),"【赠品】"&amp;MID(N360,SEARCH("购机",N360)+LEN("购机"),LEN(N360)),IF(ISNUMBER(SEARCH("秀图",N360)),"【秀图】"&amp;MID(N360,SEARCH("秀图",N360)+LEN("秀图"),LEN(N360)),"")))),IFERROR(LEFT(_xlpm.A,FIND("【",_xlpm.A,FIND("】",_xlpm.A)+1)-1)&amp;MID(_xlpm.A,FIND("】",_xlpm.A,FIND("】",_xlpm.A)+1)+1,LEN(_xlpm.A)),_xlpm.A))</f>
        <v/>
      </c>
      <c r="J360" s="18" t="str" cm="1">
        <f t="array" ref="J360">IFERROR(INDEX(_xlfn.TEXTSPLIT(_xlfn.XLOOKUP($A360&amp;$B360&amp;$C360,盘货信息!$A:$A&amp;盘货信息!$B:$B&amp;盘货信息!$C:$C,盘货信息!$S:$S),CHAR(10),,TRUE),1,COLUMN(A359)),"")</f>
        <v/>
      </c>
      <c r="K360" s="18" t="str" cm="1">
        <f t="array" ref="K360">IFERROR(INDEX(_xlfn.TEXTSPLIT(_xlfn.XLOOKUP($A360&amp;$B360&amp;$C360,盘货信息!$A:$A&amp;盘货信息!$B:$B&amp;盘货信息!$C:$C,盘货信息!$S:$S),CHAR(10),,TRUE),1,COLUMN(B359)),"")</f>
        <v/>
      </c>
      <c r="L360" s="18" t="str" cm="1">
        <f t="array" ref="L360">IFERROR(INDEX(_xlfn.TEXTSPLIT(_xlfn.XLOOKUP($A360&amp;$B360&amp;$C360,盘货信息!$A:$A&amp;盘货信息!$B:$B&amp;盘货信息!$C:$C,盘货信息!$S:$S),CHAR(10),,TRUE),1,COLUMN(C359)),"")</f>
        <v/>
      </c>
      <c r="M360" s="18" t="str" cm="1">
        <f t="array" ref="M360">IFERROR(INDEX(_xlfn.TEXTSPLIT(_xlfn.XLOOKUP($A360&amp;$B360&amp;$C360,盘货信息!$A:$A&amp;盘货信息!$B:$B&amp;盘货信息!$C:$C,盘货信息!$S:$S),CHAR(10),,TRUE),1,COLUMN(D359)),"")</f>
        <v/>
      </c>
      <c r="N360" s="18" t="str" cm="1">
        <f t="array" ref="N360">IFERROR(INDEX(_xlfn.TEXTSPLIT(_xlfn.XLOOKUP($A360&amp;$B360&amp;$C360,盘货信息!$A:$A&amp;盘货信息!$B:$B&amp;盘货信息!$C:$C,盘货信息!$S:$S),CHAR(10),,TRUE),1,COLUMN(E359)),"")</f>
        <v/>
      </c>
    </row>
    <row r="361" customHeight="1" spans="1:14">
      <c r="A361" s="17" t="str">
        <f>IF(盘货信息!A361="","",盘货信息!A361)</f>
        <v/>
      </c>
      <c r="B361" s="17" t="str">
        <f>IF(盘货信息!B361="","",盘货信息!B361)</f>
        <v/>
      </c>
      <c r="C361" s="18" t="str">
        <f>IF(盘货信息!C361="","",盘货信息!C361)</f>
        <v/>
      </c>
      <c r="D361" s="18" t="str">
        <f t="shared" si="5"/>
        <v/>
      </c>
      <c r="E361" s="18" t="str">
        <f>_xlfn.LET(_xlpm.A,IF(ISNUMBER(SEARCH("晒单",J361)),"【晒单】"&amp;MID(J361,SEARCH("晒单",J361)+LEN("晒单"),LEN(J361))&amp;"（需晒单后联系客服登记）",IF(ISNUMBER(SEARCH("包修",J361)),"【购机】"&amp;MID(J361,SEARCH("购机",J361)+LEN("购机"),LEN(J361)),IF(ISNUMBER(SEARCH("叠放支架",J361)),"【赠品】"&amp;MID(J361,SEARCH("购机",J361)+LEN("购机"),LEN(J361)),IF(ISNUMBER(SEARCH("秀图",J361)),"【秀图】"&amp;MID(J361,SEARCH("秀图",J361)+LEN("秀图"),LEN(J361)),"")))),IFERROR(LEFT(_xlpm.A,FIND("【",_xlpm.A,FIND("】",_xlpm.A)+1)-1)&amp;MID(_xlpm.A,FIND("】",_xlpm.A,FIND("】",_xlpm.A)+1)+1,LEN(_xlpm.A)),_xlpm.A))</f>
        <v/>
      </c>
      <c r="F361" s="18" t="str">
        <f>_xlfn.LET(_xlpm.A,IF(ISNUMBER(SEARCH("晒单",K361)),"【晒单】"&amp;MID(K361,SEARCH("晒单",K361)+LEN("晒单"),LEN(K361))&amp;"（需晒单后联系客服登记）",IF(ISNUMBER(SEARCH("包修",K361)),"【购机】"&amp;MID(K361,SEARCH("购机",K361)+LEN("购机"),LEN(K361)),IF(ISNUMBER(SEARCH("叠放支架",K361)),"【赠品】"&amp;MID(K361,SEARCH("购机",K361)+LEN("购机"),LEN(K361)),IF(ISNUMBER(SEARCH("秀图",K361)),"【秀图】"&amp;MID(K361,SEARCH("秀图",K361)+LEN("秀图"),LEN(K361)),"")))),IFERROR(LEFT(_xlpm.A,FIND("【",_xlpm.A,FIND("】",_xlpm.A)+1)-1)&amp;MID(_xlpm.A,FIND("】",_xlpm.A,FIND("】",_xlpm.A)+1)+1,LEN(_xlpm.A)),_xlpm.A))</f>
        <v/>
      </c>
      <c r="G361" s="18" t="str">
        <f>_xlfn.LET(_xlpm.A,IF(ISNUMBER(SEARCH("晒单",L361)),"【晒单】"&amp;MID(L361,SEARCH("晒单",L361)+LEN("晒单"),LEN(L361))&amp;"（需晒单后联系客服登记）",IF(ISNUMBER(SEARCH("包修",L361)),"【购机】"&amp;MID(L361,SEARCH("购机",L361)+LEN("购机"),LEN(L361)),IF(ISNUMBER(SEARCH("叠放支架",L361)),"【赠品】"&amp;MID(L361,SEARCH("购机",L361)+LEN("购机"),LEN(L361)),IF(ISNUMBER(SEARCH("秀图",L361)),"【秀图】"&amp;MID(L361,SEARCH("秀图",L361)+LEN("秀图"),LEN(L361)),"")))),IFERROR(LEFT(_xlpm.A,FIND("【",_xlpm.A,FIND("】",_xlpm.A)+1)-1)&amp;MID(_xlpm.A,FIND("】",_xlpm.A,FIND("】",_xlpm.A)+1)+1,LEN(_xlpm.A)),_xlpm.A))</f>
        <v/>
      </c>
      <c r="H361" s="18" t="str">
        <f>_xlfn.LET(_xlpm.A,IF(ISNUMBER(SEARCH("晒单",M361)),"【晒单】"&amp;MID(M361,SEARCH("晒单",M361)+LEN("晒单"),LEN(M361))&amp;"（需晒单后联系客服登记）",IF(ISNUMBER(SEARCH("包修",M361)),"【购机】"&amp;MID(M361,SEARCH("购机",M361)+LEN("购机"),LEN(M361)),IF(ISNUMBER(SEARCH("叠放支架",M361)),"【赠品】"&amp;MID(M361,SEARCH("购机",M361)+LEN("购机"),LEN(M361)),IF(ISNUMBER(SEARCH("秀图",M361)),"【秀图】"&amp;MID(M361,SEARCH("秀图",M361)+LEN("秀图"),LEN(M361)),"")))),IFERROR(LEFT(_xlpm.A,FIND("【",_xlpm.A,FIND("】",_xlpm.A)+1)-1)&amp;MID(_xlpm.A,FIND("】",_xlpm.A,FIND("】",_xlpm.A)+1)+1,LEN(_xlpm.A)),_xlpm.A))</f>
        <v/>
      </c>
      <c r="I361" s="18" t="str">
        <f>_xlfn.LET(_xlpm.A,IF(ISNUMBER(SEARCH("晒单",N361)),"【晒单】"&amp;MID(N361,SEARCH("晒单",N361)+LEN("晒单"),LEN(N361))&amp;"（需晒单后联系客服登记）",IF(ISNUMBER(SEARCH("包修",N361)),"【购机】"&amp;MID(N361,SEARCH("购机",N361)+LEN("购机"),LEN(N361)),IF(ISNUMBER(SEARCH("叠放支架",N361)),"【赠品】"&amp;MID(N361,SEARCH("购机",N361)+LEN("购机"),LEN(N361)),IF(ISNUMBER(SEARCH("秀图",N361)),"【秀图】"&amp;MID(N361,SEARCH("秀图",N361)+LEN("秀图"),LEN(N361)),"")))),IFERROR(LEFT(_xlpm.A,FIND("【",_xlpm.A,FIND("】",_xlpm.A)+1)-1)&amp;MID(_xlpm.A,FIND("】",_xlpm.A,FIND("】",_xlpm.A)+1)+1,LEN(_xlpm.A)),_xlpm.A))</f>
        <v/>
      </c>
      <c r="J361" s="18" t="str" cm="1">
        <f t="array" ref="J361">IFERROR(INDEX(_xlfn.TEXTSPLIT(_xlfn.XLOOKUP($A361&amp;$B361&amp;$C361,盘货信息!$A:$A&amp;盘货信息!$B:$B&amp;盘货信息!$C:$C,盘货信息!$S:$S),CHAR(10),,TRUE),1,COLUMN(A360)),"")</f>
        <v/>
      </c>
      <c r="K361" s="18" t="str" cm="1">
        <f t="array" ref="K361">IFERROR(INDEX(_xlfn.TEXTSPLIT(_xlfn.XLOOKUP($A361&amp;$B361&amp;$C361,盘货信息!$A:$A&amp;盘货信息!$B:$B&amp;盘货信息!$C:$C,盘货信息!$S:$S),CHAR(10),,TRUE),1,COLUMN(B360)),"")</f>
        <v/>
      </c>
      <c r="L361" s="18" t="str" cm="1">
        <f t="array" ref="L361">IFERROR(INDEX(_xlfn.TEXTSPLIT(_xlfn.XLOOKUP($A361&amp;$B361&amp;$C361,盘货信息!$A:$A&amp;盘货信息!$B:$B&amp;盘货信息!$C:$C,盘货信息!$S:$S),CHAR(10),,TRUE),1,COLUMN(C360)),"")</f>
        <v/>
      </c>
      <c r="M361" s="18" t="str" cm="1">
        <f t="array" ref="M361">IFERROR(INDEX(_xlfn.TEXTSPLIT(_xlfn.XLOOKUP($A361&amp;$B361&amp;$C361,盘货信息!$A:$A&amp;盘货信息!$B:$B&amp;盘货信息!$C:$C,盘货信息!$S:$S),CHAR(10),,TRUE),1,COLUMN(D360)),"")</f>
        <v/>
      </c>
      <c r="N361" s="18" t="str" cm="1">
        <f t="array" ref="N361">IFERROR(INDEX(_xlfn.TEXTSPLIT(_xlfn.XLOOKUP($A361&amp;$B361&amp;$C361,盘货信息!$A:$A&amp;盘货信息!$B:$B&amp;盘货信息!$C:$C,盘货信息!$S:$S),CHAR(10),,TRUE),1,COLUMN(E360)),"")</f>
        <v/>
      </c>
    </row>
    <row r="362" customHeight="1" spans="1:14">
      <c r="A362" s="17" t="str">
        <f>IF(盘货信息!A362="","",盘货信息!A362)</f>
        <v/>
      </c>
      <c r="B362" s="17" t="str">
        <f>IF(盘货信息!B362="","",盘货信息!B362)</f>
        <v/>
      </c>
      <c r="C362" s="18" t="str">
        <f>IF(盘货信息!C362="","",盘货信息!C362)</f>
        <v/>
      </c>
      <c r="D362" s="18" t="str">
        <f t="shared" si="5"/>
        <v/>
      </c>
      <c r="E362" s="18" t="str">
        <f>_xlfn.LET(_xlpm.A,IF(ISNUMBER(SEARCH("晒单",J362)),"【晒单】"&amp;MID(J362,SEARCH("晒单",J362)+LEN("晒单"),LEN(J362))&amp;"（需晒单后联系客服登记）",IF(ISNUMBER(SEARCH("包修",J362)),"【购机】"&amp;MID(J362,SEARCH("购机",J362)+LEN("购机"),LEN(J362)),IF(ISNUMBER(SEARCH("叠放支架",J362)),"【赠品】"&amp;MID(J362,SEARCH("购机",J362)+LEN("购机"),LEN(J362)),IF(ISNUMBER(SEARCH("秀图",J362)),"【秀图】"&amp;MID(J362,SEARCH("秀图",J362)+LEN("秀图"),LEN(J362)),"")))),IFERROR(LEFT(_xlpm.A,FIND("【",_xlpm.A,FIND("】",_xlpm.A)+1)-1)&amp;MID(_xlpm.A,FIND("】",_xlpm.A,FIND("】",_xlpm.A)+1)+1,LEN(_xlpm.A)),_xlpm.A))</f>
        <v/>
      </c>
      <c r="F362" s="18" t="str">
        <f>_xlfn.LET(_xlpm.A,IF(ISNUMBER(SEARCH("晒单",K362)),"【晒单】"&amp;MID(K362,SEARCH("晒单",K362)+LEN("晒单"),LEN(K362))&amp;"（需晒单后联系客服登记）",IF(ISNUMBER(SEARCH("包修",K362)),"【购机】"&amp;MID(K362,SEARCH("购机",K362)+LEN("购机"),LEN(K362)),IF(ISNUMBER(SEARCH("叠放支架",K362)),"【赠品】"&amp;MID(K362,SEARCH("购机",K362)+LEN("购机"),LEN(K362)),IF(ISNUMBER(SEARCH("秀图",K362)),"【秀图】"&amp;MID(K362,SEARCH("秀图",K362)+LEN("秀图"),LEN(K362)),"")))),IFERROR(LEFT(_xlpm.A,FIND("【",_xlpm.A,FIND("】",_xlpm.A)+1)-1)&amp;MID(_xlpm.A,FIND("】",_xlpm.A,FIND("】",_xlpm.A)+1)+1,LEN(_xlpm.A)),_xlpm.A))</f>
        <v/>
      </c>
      <c r="G362" s="18" t="str">
        <f>_xlfn.LET(_xlpm.A,IF(ISNUMBER(SEARCH("晒单",L362)),"【晒单】"&amp;MID(L362,SEARCH("晒单",L362)+LEN("晒单"),LEN(L362))&amp;"（需晒单后联系客服登记）",IF(ISNUMBER(SEARCH("包修",L362)),"【购机】"&amp;MID(L362,SEARCH("购机",L362)+LEN("购机"),LEN(L362)),IF(ISNUMBER(SEARCH("叠放支架",L362)),"【赠品】"&amp;MID(L362,SEARCH("购机",L362)+LEN("购机"),LEN(L362)),IF(ISNUMBER(SEARCH("秀图",L362)),"【秀图】"&amp;MID(L362,SEARCH("秀图",L362)+LEN("秀图"),LEN(L362)),"")))),IFERROR(LEFT(_xlpm.A,FIND("【",_xlpm.A,FIND("】",_xlpm.A)+1)-1)&amp;MID(_xlpm.A,FIND("】",_xlpm.A,FIND("】",_xlpm.A)+1)+1,LEN(_xlpm.A)),_xlpm.A))</f>
        <v/>
      </c>
      <c r="H362" s="18" t="str">
        <f>_xlfn.LET(_xlpm.A,IF(ISNUMBER(SEARCH("晒单",M362)),"【晒单】"&amp;MID(M362,SEARCH("晒单",M362)+LEN("晒单"),LEN(M362))&amp;"（需晒单后联系客服登记）",IF(ISNUMBER(SEARCH("包修",M362)),"【购机】"&amp;MID(M362,SEARCH("购机",M362)+LEN("购机"),LEN(M362)),IF(ISNUMBER(SEARCH("叠放支架",M362)),"【赠品】"&amp;MID(M362,SEARCH("购机",M362)+LEN("购机"),LEN(M362)),IF(ISNUMBER(SEARCH("秀图",M362)),"【秀图】"&amp;MID(M362,SEARCH("秀图",M362)+LEN("秀图"),LEN(M362)),"")))),IFERROR(LEFT(_xlpm.A,FIND("【",_xlpm.A,FIND("】",_xlpm.A)+1)-1)&amp;MID(_xlpm.A,FIND("】",_xlpm.A,FIND("】",_xlpm.A)+1)+1,LEN(_xlpm.A)),_xlpm.A))</f>
        <v/>
      </c>
      <c r="I362" s="18" t="str">
        <f>_xlfn.LET(_xlpm.A,IF(ISNUMBER(SEARCH("晒单",N362)),"【晒单】"&amp;MID(N362,SEARCH("晒单",N362)+LEN("晒单"),LEN(N362))&amp;"（需晒单后联系客服登记）",IF(ISNUMBER(SEARCH("包修",N362)),"【购机】"&amp;MID(N362,SEARCH("购机",N362)+LEN("购机"),LEN(N362)),IF(ISNUMBER(SEARCH("叠放支架",N362)),"【赠品】"&amp;MID(N362,SEARCH("购机",N362)+LEN("购机"),LEN(N362)),IF(ISNUMBER(SEARCH("秀图",N362)),"【秀图】"&amp;MID(N362,SEARCH("秀图",N362)+LEN("秀图"),LEN(N362)),"")))),IFERROR(LEFT(_xlpm.A,FIND("【",_xlpm.A,FIND("】",_xlpm.A)+1)-1)&amp;MID(_xlpm.A,FIND("】",_xlpm.A,FIND("】",_xlpm.A)+1)+1,LEN(_xlpm.A)),_xlpm.A))</f>
        <v/>
      </c>
      <c r="J362" s="18" t="str" cm="1">
        <f t="array" ref="J362">IFERROR(INDEX(_xlfn.TEXTSPLIT(_xlfn.XLOOKUP($A362&amp;$B362&amp;$C362,盘货信息!$A:$A&amp;盘货信息!$B:$B&amp;盘货信息!$C:$C,盘货信息!$S:$S),CHAR(10),,TRUE),1,COLUMN(A361)),"")</f>
        <v/>
      </c>
      <c r="K362" s="18" t="str" cm="1">
        <f t="array" ref="K362">IFERROR(INDEX(_xlfn.TEXTSPLIT(_xlfn.XLOOKUP($A362&amp;$B362&amp;$C362,盘货信息!$A:$A&amp;盘货信息!$B:$B&amp;盘货信息!$C:$C,盘货信息!$S:$S),CHAR(10),,TRUE),1,COLUMN(B361)),"")</f>
        <v/>
      </c>
      <c r="L362" s="18" t="str" cm="1">
        <f t="array" ref="L362">IFERROR(INDEX(_xlfn.TEXTSPLIT(_xlfn.XLOOKUP($A362&amp;$B362&amp;$C362,盘货信息!$A:$A&amp;盘货信息!$B:$B&amp;盘货信息!$C:$C,盘货信息!$S:$S),CHAR(10),,TRUE),1,COLUMN(C361)),"")</f>
        <v/>
      </c>
      <c r="M362" s="18" t="str" cm="1">
        <f t="array" ref="M362">IFERROR(INDEX(_xlfn.TEXTSPLIT(_xlfn.XLOOKUP($A362&amp;$B362&amp;$C362,盘货信息!$A:$A&amp;盘货信息!$B:$B&amp;盘货信息!$C:$C,盘货信息!$S:$S),CHAR(10),,TRUE),1,COLUMN(D361)),"")</f>
        <v/>
      </c>
      <c r="N362" s="18" t="str" cm="1">
        <f t="array" ref="N362">IFERROR(INDEX(_xlfn.TEXTSPLIT(_xlfn.XLOOKUP($A362&amp;$B362&amp;$C362,盘货信息!$A:$A&amp;盘货信息!$B:$B&amp;盘货信息!$C:$C,盘货信息!$S:$S),CHAR(10),,TRUE),1,COLUMN(E361)),"")</f>
        <v/>
      </c>
    </row>
    <row r="363" customHeight="1" spans="1:14">
      <c r="A363" s="17" t="str">
        <f>IF(盘货信息!A363="","",盘货信息!A363)</f>
        <v/>
      </c>
      <c r="B363" s="17" t="str">
        <f>IF(盘货信息!B363="","",盘货信息!B363)</f>
        <v/>
      </c>
      <c r="C363" s="18" t="str">
        <f>IF(盘货信息!C363="","",盘货信息!C363)</f>
        <v/>
      </c>
      <c r="D363" s="18" t="str">
        <f t="shared" si="5"/>
        <v/>
      </c>
      <c r="E363" s="18" t="str">
        <f>_xlfn.LET(_xlpm.A,IF(ISNUMBER(SEARCH("晒单",J363)),"【晒单】"&amp;MID(J363,SEARCH("晒单",J363)+LEN("晒单"),LEN(J363))&amp;"（需晒单后联系客服登记）",IF(ISNUMBER(SEARCH("包修",J363)),"【购机】"&amp;MID(J363,SEARCH("购机",J363)+LEN("购机"),LEN(J363)),IF(ISNUMBER(SEARCH("叠放支架",J363)),"【赠品】"&amp;MID(J363,SEARCH("购机",J363)+LEN("购机"),LEN(J363)),IF(ISNUMBER(SEARCH("秀图",J363)),"【秀图】"&amp;MID(J363,SEARCH("秀图",J363)+LEN("秀图"),LEN(J363)),"")))),IFERROR(LEFT(_xlpm.A,FIND("【",_xlpm.A,FIND("】",_xlpm.A)+1)-1)&amp;MID(_xlpm.A,FIND("】",_xlpm.A,FIND("】",_xlpm.A)+1)+1,LEN(_xlpm.A)),_xlpm.A))</f>
        <v/>
      </c>
      <c r="F363" s="18" t="str">
        <f>_xlfn.LET(_xlpm.A,IF(ISNUMBER(SEARCH("晒单",K363)),"【晒单】"&amp;MID(K363,SEARCH("晒单",K363)+LEN("晒单"),LEN(K363))&amp;"（需晒单后联系客服登记）",IF(ISNUMBER(SEARCH("包修",K363)),"【购机】"&amp;MID(K363,SEARCH("购机",K363)+LEN("购机"),LEN(K363)),IF(ISNUMBER(SEARCH("叠放支架",K363)),"【赠品】"&amp;MID(K363,SEARCH("购机",K363)+LEN("购机"),LEN(K363)),IF(ISNUMBER(SEARCH("秀图",K363)),"【秀图】"&amp;MID(K363,SEARCH("秀图",K363)+LEN("秀图"),LEN(K363)),"")))),IFERROR(LEFT(_xlpm.A,FIND("【",_xlpm.A,FIND("】",_xlpm.A)+1)-1)&amp;MID(_xlpm.A,FIND("】",_xlpm.A,FIND("】",_xlpm.A)+1)+1,LEN(_xlpm.A)),_xlpm.A))</f>
        <v/>
      </c>
      <c r="G363" s="18" t="str">
        <f>_xlfn.LET(_xlpm.A,IF(ISNUMBER(SEARCH("晒单",L363)),"【晒单】"&amp;MID(L363,SEARCH("晒单",L363)+LEN("晒单"),LEN(L363))&amp;"（需晒单后联系客服登记）",IF(ISNUMBER(SEARCH("包修",L363)),"【购机】"&amp;MID(L363,SEARCH("购机",L363)+LEN("购机"),LEN(L363)),IF(ISNUMBER(SEARCH("叠放支架",L363)),"【赠品】"&amp;MID(L363,SEARCH("购机",L363)+LEN("购机"),LEN(L363)),IF(ISNUMBER(SEARCH("秀图",L363)),"【秀图】"&amp;MID(L363,SEARCH("秀图",L363)+LEN("秀图"),LEN(L363)),"")))),IFERROR(LEFT(_xlpm.A,FIND("【",_xlpm.A,FIND("】",_xlpm.A)+1)-1)&amp;MID(_xlpm.A,FIND("】",_xlpm.A,FIND("】",_xlpm.A)+1)+1,LEN(_xlpm.A)),_xlpm.A))</f>
        <v/>
      </c>
      <c r="H363" s="18" t="str">
        <f>_xlfn.LET(_xlpm.A,IF(ISNUMBER(SEARCH("晒单",M363)),"【晒单】"&amp;MID(M363,SEARCH("晒单",M363)+LEN("晒单"),LEN(M363))&amp;"（需晒单后联系客服登记）",IF(ISNUMBER(SEARCH("包修",M363)),"【购机】"&amp;MID(M363,SEARCH("购机",M363)+LEN("购机"),LEN(M363)),IF(ISNUMBER(SEARCH("叠放支架",M363)),"【赠品】"&amp;MID(M363,SEARCH("购机",M363)+LEN("购机"),LEN(M363)),IF(ISNUMBER(SEARCH("秀图",M363)),"【秀图】"&amp;MID(M363,SEARCH("秀图",M363)+LEN("秀图"),LEN(M363)),"")))),IFERROR(LEFT(_xlpm.A,FIND("【",_xlpm.A,FIND("】",_xlpm.A)+1)-1)&amp;MID(_xlpm.A,FIND("】",_xlpm.A,FIND("】",_xlpm.A)+1)+1,LEN(_xlpm.A)),_xlpm.A))</f>
        <v/>
      </c>
      <c r="I363" s="18" t="str">
        <f>_xlfn.LET(_xlpm.A,IF(ISNUMBER(SEARCH("晒单",N363)),"【晒单】"&amp;MID(N363,SEARCH("晒单",N363)+LEN("晒单"),LEN(N363))&amp;"（需晒单后联系客服登记）",IF(ISNUMBER(SEARCH("包修",N363)),"【购机】"&amp;MID(N363,SEARCH("购机",N363)+LEN("购机"),LEN(N363)),IF(ISNUMBER(SEARCH("叠放支架",N363)),"【赠品】"&amp;MID(N363,SEARCH("购机",N363)+LEN("购机"),LEN(N363)),IF(ISNUMBER(SEARCH("秀图",N363)),"【秀图】"&amp;MID(N363,SEARCH("秀图",N363)+LEN("秀图"),LEN(N363)),"")))),IFERROR(LEFT(_xlpm.A,FIND("【",_xlpm.A,FIND("】",_xlpm.A)+1)-1)&amp;MID(_xlpm.A,FIND("】",_xlpm.A,FIND("】",_xlpm.A)+1)+1,LEN(_xlpm.A)),_xlpm.A))</f>
        <v/>
      </c>
      <c r="J363" s="18" t="str" cm="1">
        <f t="array" ref="J363">IFERROR(INDEX(_xlfn.TEXTSPLIT(_xlfn.XLOOKUP($A363&amp;$B363&amp;$C363,盘货信息!$A:$A&amp;盘货信息!$B:$B&amp;盘货信息!$C:$C,盘货信息!$S:$S),CHAR(10),,TRUE),1,COLUMN(A362)),"")</f>
        <v/>
      </c>
      <c r="K363" s="18" t="str" cm="1">
        <f t="array" ref="K363">IFERROR(INDEX(_xlfn.TEXTSPLIT(_xlfn.XLOOKUP($A363&amp;$B363&amp;$C363,盘货信息!$A:$A&amp;盘货信息!$B:$B&amp;盘货信息!$C:$C,盘货信息!$S:$S),CHAR(10),,TRUE),1,COLUMN(B362)),"")</f>
        <v/>
      </c>
      <c r="L363" s="18" t="str" cm="1">
        <f t="array" ref="L363">IFERROR(INDEX(_xlfn.TEXTSPLIT(_xlfn.XLOOKUP($A363&amp;$B363&amp;$C363,盘货信息!$A:$A&amp;盘货信息!$B:$B&amp;盘货信息!$C:$C,盘货信息!$S:$S),CHAR(10),,TRUE),1,COLUMN(C362)),"")</f>
        <v/>
      </c>
      <c r="M363" s="18" t="str" cm="1">
        <f t="array" ref="M363">IFERROR(INDEX(_xlfn.TEXTSPLIT(_xlfn.XLOOKUP($A363&amp;$B363&amp;$C363,盘货信息!$A:$A&amp;盘货信息!$B:$B&amp;盘货信息!$C:$C,盘货信息!$S:$S),CHAR(10),,TRUE),1,COLUMN(D362)),"")</f>
        <v/>
      </c>
      <c r="N363" s="18" t="str" cm="1">
        <f t="array" ref="N363">IFERROR(INDEX(_xlfn.TEXTSPLIT(_xlfn.XLOOKUP($A363&amp;$B363&amp;$C363,盘货信息!$A:$A&amp;盘货信息!$B:$B&amp;盘货信息!$C:$C,盘货信息!$S:$S),CHAR(10),,TRUE),1,COLUMN(E362)),"")</f>
        <v/>
      </c>
    </row>
    <row r="364" customHeight="1" spans="1:14">
      <c r="A364" s="17" t="str">
        <f>IF(盘货信息!A364="","",盘货信息!A364)</f>
        <v/>
      </c>
      <c r="B364" s="17" t="str">
        <f>IF(盘货信息!B364="","",盘货信息!B364)</f>
        <v/>
      </c>
      <c r="C364" s="18" t="str">
        <f>IF(盘货信息!C364="","",盘货信息!C364)</f>
        <v/>
      </c>
      <c r="D364" s="18" t="str">
        <f t="shared" si="5"/>
        <v/>
      </c>
      <c r="E364" s="18" t="str">
        <f>_xlfn.LET(_xlpm.A,IF(ISNUMBER(SEARCH("晒单",J364)),"【晒单】"&amp;MID(J364,SEARCH("晒单",J364)+LEN("晒单"),LEN(J364))&amp;"（需晒单后联系客服登记）",IF(ISNUMBER(SEARCH("包修",J364)),"【购机】"&amp;MID(J364,SEARCH("购机",J364)+LEN("购机"),LEN(J364)),IF(ISNUMBER(SEARCH("叠放支架",J364)),"【赠品】"&amp;MID(J364,SEARCH("购机",J364)+LEN("购机"),LEN(J364)),IF(ISNUMBER(SEARCH("秀图",J364)),"【秀图】"&amp;MID(J364,SEARCH("秀图",J364)+LEN("秀图"),LEN(J364)),"")))),IFERROR(LEFT(_xlpm.A,FIND("【",_xlpm.A,FIND("】",_xlpm.A)+1)-1)&amp;MID(_xlpm.A,FIND("】",_xlpm.A,FIND("】",_xlpm.A)+1)+1,LEN(_xlpm.A)),_xlpm.A))</f>
        <v/>
      </c>
      <c r="F364" s="18" t="str">
        <f>_xlfn.LET(_xlpm.A,IF(ISNUMBER(SEARCH("晒单",K364)),"【晒单】"&amp;MID(K364,SEARCH("晒单",K364)+LEN("晒单"),LEN(K364))&amp;"（需晒单后联系客服登记）",IF(ISNUMBER(SEARCH("包修",K364)),"【购机】"&amp;MID(K364,SEARCH("购机",K364)+LEN("购机"),LEN(K364)),IF(ISNUMBER(SEARCH("叠放支架",K364)),"【赠品】"&amp;MID(K364,SEARCH("购机",K364)+LEN("购机"),LEN(K364)),IF(ISNUMBER(SEARCH("秀图",K364)),"【秀图】"&amp;MID(K364,SEARCH("秀图",K364)+LEN("秀图"),LEN(K364)),"")))),IFERROR(LEFT(_xlpm.A,FIND("【",_xlpm.A,FIND("】",_xlpm.A)+1)-1)&amp;MID(_xlpm.A,FIND("】",_xlpm.A,FIND("】",_xlpm.A)+1)+1,LEN(_xlpm.A)),_xlpm.A))</f>
        <v/>
      </c>
      <c r="G364" s="18" t="str">
        <f>_xlfn.LET(_xlpm.A,IF(ISNUMBER(SEARCH("晒单",L364)),"【晒单】"&amp;MID(L364,SEARCH("晒单",L364)+LEN("晒单"),LEN(L364))&amp;"（需晒单后联系客服登记）",IF(ISNUMBER(SEARCH("包修",L364)),"【购机】"&amp;MID(L364,SEARCH("购机",L364)+LEN("购机"),LEN(L364)),IF(ISNUMBER(SEARCH("叠放支架",L364)),"【赠品】"&amp;MID(L364,SEARCH("购机",L364)+LEN("购机"),LEN(L364)),IF(ISNUMBER(SEARCH("秀图",L364)),"【秀图】"&amp;MID(L364,SEARCH("秀图",L364)+LEN("秀图"),LEN(L364)),"")))),IFERROR(LEFT(_xlpm.A,FIND("【",_xlpm.A,FIND("】",_xlpm.A)+1)-1)&amp;MID(_xlpm.A,FIND("】",_xlpm.A,FIND("】",_xlpm.A)+1)+1,LEN(_xlpm.A)),_xlpm.A))</f>
        <v/>
      </c>
      <c r="H364" s="18" t="str">
        <f>_xlfn.LET(_xlpm.A,IF(ISNUMBER(SEARCH("晒单",M364)),"【晒单】"&amp;MID(M364,SEARCH("晒单",M364)+LEN("晒单"),LEN(M364))&amp;"（需晒单后联系客服登记）",IF(ISNUMBER(SEARCH("包修",M364)),"【购机】"&amp;MID(M364,SEARCH("购机",M364)+LEN("购机"),LEN(M364)),IF(ISNUMBER(SEARCH("叠放支架",M364)),"【赠品】"&amp;MID(M364,SEARCH("购机",M364)+LEN("购机"),LEN(M364)),IF(ISNUMBER(SEARCH("秀图",M364)),"【秀图】"&amp;MID(M364,SEARCH("秀图",M364)+LEN("秀图"),LEN(M364)),"")))),IFERROR(LEFT(_xlpm.A,FIND("【",_xlpm.A,FIND("】",_xlpm.A)+1)-1)&amp;MID(_xlpm.A,FIND("】",_xlpm.A,FIND("】",_xlpm.A)+1)+1,LEN(_xlpm.A)),_xlpm.A))</f>
        <v/>
      </c>
      <c r="I364" s="18" t="str">
        <f>_xlfn.LET(_xlpm.A,IF(ISNUMBER(SEARCH("晒单",N364)),"【晒单】"&amp;MID(N364,SEARCH("晒单",N364)+LEN("晒单"),LEN(N364))&amp;"（需晒单后联系客服登记）",IF(ISNUMBER(SEARCH("包修",N364)),"【购机】"&amp;MID(N364,SEARCH("购机",N364)+LEN("购机"),LEN(N364)),IF(ISNUMBER(SEARCH("叠放支架",N364)),"【赠品】"&amp;MID(N364,SEARCH("购机",N364)+LEN("购机"),LEN(N364)),IF(ISNUMBER(SEARCH("秀图",N364)),"【秀图】"&amp;MID(N364,SEARCH("秀图",N364)+LEN("秀图"),LEN(N364)),"")))),IFERROR(LEFT(_xlpm.A,FIND("【",_xlpm.A,FIND("】",_xlpm.A)+1)-1)&amp;MID(_xlpm.A,FIND("】",_xlpm.A,FIND("】",_xlpm.A)+1)+1,LEN(_xlpm.A)),_xlpm.A))</f>
        <v/>
      </c>
      <c r="J364" s="18" t="str" cm="1">
        <f t="array" ref="J364">IFERROR(INDEX(_xlfn.TEXTSPLIT(_xlfn.XLOOKUP($A364&amp;$B364&amp;$C364,盘货信息!$A:$A&amp;盘货信息!$B:$B&amp;盘货信息!$C:$C,盘货信息!$S:$S),CHAR(10),,TRUE),1,COLUMN(A363)),"")</f>
        <v/>
      </c>
      <c r="K364" s="18" t="str" cm="1">
        <f t="array" ref="K364">IFERROR(INDEX(_xlfn.TEXTSPLIT(_xlfn.XLOOKUP($A364&amp;$B364&amp;$C364,盘货信息!$A:$A&amp;盘货信息!$B:$B&amp;盘货信息!$C:$C,盘货信息!$S:$S),CHAR(10),,TRUE),1,COLUMN(B363)),"")</f>
        <v/>
      </c>
      <c r="L364" s="18" t="str" cm="1">
        <f t="array" ref="L364">IFERROR(INDEX(_xlfn.TEXTSPLIT(_xlfn.XLOOKUP($A364&amp;$B364&amp;$C364,盘货信息!$A:$A&amp;盘货信息!$B:$B&amp;盘货信息!$C:$C,盘货信息!$S:$S),CHAR(10),,TRUE),1,COLUMN(C363)),"")</f>
        <v/>
      </c>
      <c r="M364" s="18" t="str" cm="1">
        <f t="array" ref="M364">IFERROR(INDEX(_xlfn.TEXTSPLIT(_xlfn.XLOOKUP($A364&amp;$B364&amp;$C364,盘货信息!$A:$A&amp;盘货信息!$B:$B&amp;盘货信息!$C:$C,盘货信息!$S:$S),CHAR(10),,TRUE),1,COLUMN(D363)),"")</f>
        <v/>
      </c>
      <c r="N364" s="18" t="str" cm="1">
        <f t="array" ref="N364">IFERROR(INDEX(_xlfn.TEXTSPLIT(_xlfn.XLOOKUP($A364&amp;$B364&amp;$C364,盘货信息!$A:$A&amp;盘货信息!$B:$B&amp;盘货信息!$C:$C,盘货信息!$S:$S),CHAR(10),,TRUE),1,COLUMN(E363)),"")</f>
        <v/>
      </c>
    </row>
    <row r="365" customHeight="1" spans="1:14">
      <c r="A365" s="17" t="str">
        <f>IF(盘货信息!A365="","",盘货信息!A365)</f>
        <v/>
      </c>
      <c r="B365" s="17" t="str">
        <f>IF(盘货信息!B365="","",盘货信息!B365)</f>
        <v/>
      </c>
      <c r="C365" s="18" t="str">
        <f>IF(盘货信息!C365="","",盘货信息!C365)</f>
        <v/>
      </c>
      <c r="D365" s="18" t="str">
        <f t="shared" si="5"/>
        <v/>
      </c>
      <c r="E365" s="18" t="str">
        <f>_xlfn.LET(_xlpm.A,IF(ISNUMBER(SEARCH("晒单",J365)),"【晒单】"&amp;MID(J365,SEARCH("晒单",J365)+LEN("晒单"),LEN(J365))&amp;"（需晒单后联系客服登记）",IF(ISNUMBER(SEARCH("包修",J365)),"【购机】"&amp;MID(J365,SEARCH("购机",J365)+LEN("购机"),LEN(J365)),IF(ISNUMBER(SEARCH("叠放支架",J365)),"【赠品】"&amp;MID(J365,SEARCH("购机",J365)+LEN("购机"),LEN(J365)),IF(ISNUMBER(SEARCH("秀图",J365)),"【秀图】"&amp;MID(J365,SEARCH("秀图",J365)+LEN("秀图"),LEN(J365)),"")))),IFERROR(LEFT(_xlpm.A,FIND("【",_xlpm.A,FIND("】",_xlpm.A)+1)-1)&amp;MID(_xlpm.A,FIND("】",_xlpm.A,FIND("】",_xlpm.A)+1)+1,LEN(_xlpm.A)),_xlpm.A))</f>
        <v/>
      </c>
      <c r="F365" s="18" t="str">
        <f>_xlfn.LET(_xlpm.A,IF(ISNUMBER(SEARCH("晒单",K365)),"【晒单】"&amp;MID(K365,SEARCH("晒单",K365)+LEN("晒单"),LEN(K365))&amp;"（需晒单后联系客服登记）",IF(ISNUMBER(SEARCH("包修",K365)),"【购机】"&amp;MID(K365,SEARCH("购机",K365)+LEN("购机"),LEN(K365)),IF(ISNUMBER(SEARCH("叠放支架",K365)),"【赠品】"&amp;MID(K365,SEARCH("购机",K365)+LEN("购机"),LEN(K365)),IF(ISNUMBER(SEARCH("秀图",K365)),"【秀图】"&amp;MID(K365,SEARCH("秀图",K365)+LEN("秀图"),LEN(K365)),"")))),IFERROR(LEFT(_xlpm.A,FIND("【",_xlpm.A,FIND("】",_xlpm.A)+1)-1)&amp;MID(_xlpm.A,FIND("】",_xlpm.A,FIND("】",_xlpm.A)+1)+1,LEN(_xlpm.A)),_xlpm.A))</f>
        <v/>
      </c>
      <c r="G365" s="18" t="str">
        <f>_xlfn.LET(_xlpm.A,IF(ISNUMBER(SEARCH("晒单",L365)),"【晒单】"&amp;MID(L365,SEARCH("晒单",L365)+LEN("晒单"),LEN(L365))&amp;"（需晒单后联系客服登记）",IF(ISNUMBER(SEARCH("包修",L365)),"【购机】"&amp;MID(L365,SEARCH("购机",L365)+LEN("购机"),LEN(L365)),IF(ISNUMBER(SEARCH("叠放支架",L365)),"【赠品】"&amp;MID(L365,SEARCH("购机",L365)+LEN("购机"),LEN(L365)),IF(ISNUMBER(SEARCH("秀图",L365)),"【秀图】"&amp;MID(L365,SEARCH("秀图",L365)+LEN("秀图"),LEN(L365)),"")))),IFERROR(LEFT(_xlpm.A,FIND("【",_xlpm.A,FIND("】",_xlpm.A)+1)-1)&amp;MID(_xlpm.A,FIND("】",_xlpm.A,FIND("】",_xlpm.A)+1)+1,LEN(_xlpm.A)),_xlpm.A))</f>
        <v/>
      </c>
      <c r="H365" s="18" t="str">
        <f>_xlfn.LET(_xlpm.A,IF(ISNUMBER(SEARCH("晒单",M365)),"【晒单】"&amp;MID(M365,SEARCH("晒单",M365)+LEN("晒单"),LEN(M365))&amp;"（需晒单后联系客服登记）",IF(ISNUMBER(SEARCH("包修",M365)),"【购机】"&amp;MID(M365,SEARCH("购机",M365)+LEN("购机"),LEN(M365)),IF(ISNUMBER(SEARCH("叠放支架",M365)),"【赠品】"&amp;MID(M365,SEARCH("购机",M365)+LEN("购机"),LEN(M365)),IF(ISNUMBER(SEARCH("秀图",M365)),"【秀图】"&amp;MID(M365,SEARCH("秀图",M365)+LEN("秀图"),LEN(M365)),"")))),IFERROR(LEFT(_xlpm.A,FIND("【",_xlpm.A,FIND("】",_xlpm.A)+1)-1)&amp;MID(_xlpm.A,FIND("】",_xlpm.A,FIND("】",_xlpm.A)+1)+1,LEN(_xlpm.A)),_xlpm.A))</f>
        <v/>
      </c>
      <c r="I365" s="18" t="str">
        <f>_xlfn.LET(_xlpm.A,IF(ISNUMBER(SEARCH("晒单",N365)),"【晒单】"&amp;MID(N365,SEARCH("晒单",N365)+LEN("晒单"),LEN(N365))&amp;"（需晒单后联系客服登记）",IF(ISNUMBER(SEARCH("包修",N365)),"【购机】"&amp;MID(N365,SEARCH("购机",N365)+LEN("购机"),LEN(N365)),IF(ISNUMBER(SEARCH("叠放支架",N365)),"【赠品】"&amp;MID(N365,SEARCH("购机",N365)+LEN("购机"),LEN(N365)),IF(ISNUMBER(SEARCH("秀图",N365)),"【秀图】"&amp;MID(N365,SEARCH("秀图",N365)+LEN("秀图"),LEN(N365)),"")))),IFERROR(LEFT(_xlpm.A,FIND("【",_xlpm.A,FIND("】",_xlpm.A)+1)-1)&amp;MID(_xlpm.A,FIND("】",_xlpm.A,FIND("】",_xlpm.A)+1)+1,LEN(_xlpm.A)),_xlpm.A))</f>
        <v/>
      </c>
      <c r="J365" s="18" t="str" cm="1">
        <f t="array" ref="J365">IFERROR(INDEX(_xlfn.TEXTSPLIT(_xlfn.XLOOKUP($A365&amp;$B365&amp;$C365,盘货信息!$A:$A&amp;盘货信息!$B:$B&amp;盘货信息!$C:$C,盘货信息!$S:$S),CHAR(10),,TRUE),1,COLUMN(A364)),"")</f>
        <v/>
      </c>
      <c r="K365" s="18" t="str" cm="1">
        <f t="array" ref="K365">IFERROR(INDEX(_xlfn.TEXTSPLIT(_xlfn.XLOOKUP($A365&amp;$B365&amp;$C365,盘货信息!$A:$A&amp;盘货信息!$B:$B&amp;盘货信息!$C:$C,盘货信息!$S:$S),CHAR(10),,TRUE),1,COLUMN(B364)),"")</f>
        <v/>
      </c>
      <c r="L365" s="18" t="str" cm="1">
        <f t="array" ref="L365">IFERROR(INDEX(_xlfn.TEXTSPLIT(_xlfn.XLOOKUP($A365&amp;$B365&amp;$C365,盘货信息!$A:$A&amp;盘货信息!$B:$B&amp;盘货信息!$C:$C,盘货信息!$S:$S),CHAR(10),,TRUE),1,COLUMN(C364)),"")</f>
        <v/>
      </c>
      <c r="M365" s="18" t="str" cm="1">
        <f t="array" ref="M365">IFERROR(INDEX(_xlfn.TEXTSPLIT(_xlfn.XLOOKUP($A365&amp;$B365&amp;$C365,盘货信息!$A:$A&amp;盘货信息!$B:$B&amp;盘货信息!$C:$C,盘货信息!$S:$S),CHAR(10),,TRUE),1,COLUMN(D364)),"")</f>
        <v/>
      </c>
      <c r="N365" s="18" t="str" cm="1">
        <f t="array" ref="N365">IFERROR(INDEX(_xlfn.TEXTSPLIT(_xlfn.XLOOKUP($A365&amp;$B365&amp;$C365,盘货信息!$A:$A&amp;盘货信息!$B:$B&amp;盘货信息!$C:$C,盘货信息!$S:$S),CHAR(10),,TRUE),1,COLUMN(E364)),"")</f>
        <v/>
      </c>
    </row>
    <row r="366" customHeight="1" spans="1:14">
      <c r="A366" s="17" t="str">
        <f>IF(盘货信息!A366="","",盘货信息!A366)</f>
        <v/>
      </c>
      <c r="B366" s="17" t="str">
        <f>IF(盘货信息!B366="","",盘货信息!B366)</f>
        <v/>
      </c>
      <c r="C366" s="18" t="str">
        <f>IF(盘货信息!C366="","",盘货信息!C366)</f>
        <v/>
      </c>
      <c r="D366" s="18" t="str">
        <f t="shared" si="5"/>
        <v/>
      </c>
      <c r="E366" s="18" t="str">
        <f>_xlfn.LET(_xlpm.A,IF(ISNUMBER(SEARCH("晒单",J366)),"【晒单】"&amp;MID(J366,SEARCH("晒单",J366)+LEN("晒单"),LEN(J366))&amp;"（需晒单后联系客服登记）",IF(ISNUMBER(SEARCH("包修",J366)),"【购机】"&amp;MID(J366,SEARCH("购机",J366)+LEN("购机"),LEN(J366)),IF(ISNUMBER(SEARCH("叠放支架",J366)),"【赠品】"&amp;MID(J366,SEARCH("购机",J366)+LEN("购机"),LEN(J366)),IF(ISNUMBER(SEARCH("秀图",J366)),"【秀图】"&amp;MID(J366,SEARCH("秀图",J366)+LEN("秀图"),LEN(J366)),"")))),IFERROR(LEFT(_xlpm.A,FIND("【",_xlpm.A,FIND("】",_xlpm.A)+1)-1)&amp;MID(_xlpm.A,FIND("】",_xlpm.A,FIND("】",_xlpm.A)+1)+1,LEN(_xlpm.A)),_xlpm.A))</f>
        <v/>
      </c>
      <c r="F366" s="18" t="str">
        <f>_xlfn.LET(_xlpm.A,IF(ISNUMBER(SEARCH("晒单",K366)),"【晒单】"&amp;MID(K366,SEARCH("晒单",K366)+LEN("晒单"),LEN(K366))&amp;"（需晒单后联系客服登记）",IF(ISNUMBER(SEARCH("包修",K366)),"【购机】"&amp;MID(K366,SEARCH("购机",K366)+LEN("购机"),LEN(K366)),IF(ISNUMBER(SEARCH("叠放支架",K366)),"【赠品】"&amp;MID(K366,SEARCH("购机",K366)+LEN("购机"),LEN(K366)),IF(ISNUMBER(SEARCH("秀图",K366)),"【秀图】"&amp;MID(K366,SEARCH("秀图",K366)+LEN("秀图"),LEN(K366)),"")))),IFERROR(LEFT(_xlpm.A,FIND("【",_xlpm.A,FIND("】",_xlpm.A)+1)-1)&amp;MID(_xlpm.A,FIND("】",_xlpm.A,FIND("】",_xlpm.A)+1)+1,LEN(_xlpm.A)),_xlpm.A))</f>
        <v/>
      </c>
      <c r="G366" s="18" t="str">
        <f>_xlfn.LET(_xlpm.A,IF(ISNUMBER(SEARCH("晒单",L366)),"【晒单】"&amp;MID(L366,SEARCH("晒单",L366)+LEN("晒单"),LEN(L366))&amp;"（需晒单后联系客服登记）",IF(ISNUMBER(SEARCH("包修",L366)),"【购机】"&amp;MID(L366,SEARCH("购机",L366)+LEN("购机"),LEN(L366)),IF(ISNUMBER(SEARCH("叠放支架",L366)),"【赠品】"&amp;MID(L366,SEARCH("购机",L366)+LEN("购机"),LEN(L366)),IF(ISNUMBER(SEARCH("秀图",L366)),"【秀图】"&amp;MID(L366,SEARCH("秀图",L366)+LEN("秀图"),LEN(L366)),"")))),IFERROR(LEFT(_xlpm.A,FIND("【",_xlpm.A,FIND("】",_xlpm.A)+1)-1)&amp;MID(_xlpm.A,FIND("】",_xlpm.A,FIND("】",_xlpm.A)+1)+1,LEN(_xlpm.A)),_xlpm.A))</f>
        <v/>
      </c>
      <c r="H366" s="18" t="str">
        <f>_xlfn.LET(_xlpm.A,IF(ISNUMBER(SEARCH("晒单",M366)),"【晒单】"&amp;MID(M366,SEARCH("晒单",M366)+LEN("晒单"),LEN(M366))&amp;"（需晒单后联系客服登记）",IF(ISNUMBER(SEARCH("包修",M366)),"【购机】"&amp;MID(M366,SEARCH("购机",M366)+LEN("购机"),LEN(M366)),IF(ISNUMBER(SEARCH("叠放支架",M366)),"【赠品】"&amp;MID(M366,SEARCH("购机",M366)+LEN("购机"),LEN(M366)),IF(ISNUMBER(SEARCH("秀图",M366)),"【秀图】"&amp;MID(M366,SEARCH("秀图",M366)+LEN("秀图"),LEN(M366)),"")))),IFERROR(LEFT(_xlpm.A,FIND("【",_xlpm.A,FIND("】",_xlpm.A)+1)-1)&amp;MID(_xlpm.A,FIND("】",_xlpm.A,FIND("】",_xlpm.A)+1)+1,LEN(_xlpm.A)),_xlpm.A))</f>
        <v/>
      </c>
      <c r="I366" s="18" t="str">
        <f>_xlfn.LET(_xlpm.A,IF(ISNUMBER(SEARCH("晒单",N366)),"【晒单】"&amp;MID(N366,SEARCH("晒单",N366)+LEN("晒单"),LEN(N366))&amp;"（需晒单后联系客服登记）",IF(ISNUMBER(SEARCH("包修",N366)),"【购机】"&amp;MID(N366,SEARCH("购机",N366)+LEN("购机"),LEN(N366)),IF(ISNUMBER(SEARCH("叠放支架",N366)),"【赠品】"&amp;MID(N366,SEARCH("购机",N366)+LEN("购机"),LEN(N366)),IF(ISNUMBER(SEARCH("秀图",N366)),"【秀图】"&amp;MID(N366,SEARCH("秀图",N366)+LEN("秀图"),LEN(N366)),"")))),IFERROR(LEFT(_xlpm.A,FIND("【",_xlpm.A,FIND("】",_xlpm.A)+1)-1)&amp;MID(_xlpm.A,FIND("】",_xlpm.A,FIND("】",_xlpm.A)+1)+1,LEN(_xlpm.A)),_xlpm.A))</f>
        <v/>
      </c>
      <c r="J366" s="18" t="str" cm="1">
        <f t="array" ref="J366">IFERROR(INDEX(_xlfn.TEXTSPLIT(_xlfn.XLOOKUP($A366&amp;$B366&amp;$C366,盘货信息!$A:$A&amp;盘货信息!$B:$B&amp;盘货信息!$C:$C,盘货信息!$S:$S),CHAR(10),,TRUE),1,COLUMN(A365)),"")</f>
        <v/>
      </c>
      <c r="K366" s="18" t="str" cm="1">
        <f t="array" ref="K366">IFERROR(INDEX(_xlfn.TEXTSPLIT(_xlfn.XLOOKUP($A366&amp;$B366&amp;$C366,盘货信息!$A:$A&amp;盘货信息!$B:$B&amp;盘货信息!$C:$C,盘货信息!$S:$S),CHAR(10),,TRUE),1,COLUMN(B365)),"")</f>
        <v/>
      </c>
      <c r="L366" s="18" t="str" cm="1">
        <f t="array" ref="L366">IFERROR(INDEX(_xlfn.TEXTSPLIT(_xlfn.XLOOKUP($A366&amp;$B366&amp;$C366,盘货信息!$A:$A&amp;盘货信息!$B:$B&amp;盘货信息!$C:$C,盘货信息!$S:$S),CHAR(10),,TRUE),1,COLUMN(C365)),"")</f>
        <v/>
      </c>
      <c r="M366" s="18" t="str" cm="1">
        <f t="array" ref="M366">IFERROR(INDEX(_xlfn.TEXTSPLIT(_xlfn.XLOOKUP($A366&amp;$B366&amp;$C366,盘货信息!$A:$A&amp;盘货信息!$B:$B&amp;盘货信息!$C:$C,盘货信息!$S:$S),CHAR(10),,TRUE),1,COLUMN(D365)),"")</f>
        <v/>
      </c>
      <c r="N366" s="18" t="str" cm="1">
        <f t="array" ref="N366">IFERROR(INDEX(_xlfn.TEXTSPLIT(_xlfn.XLOOKUP($A366&amp;$B366&amp;$C366,盘货信息!$A:$A&amp;盘货信息!$B:$B&amp;盘货信息!$C:$C,盘货信息!$S:$S),CHAR(10),,TRUE),1,COLUMN(E365)),"")</f>
        <v/>
      </c>
    </row>
    <row r="367" customHeight="1" spans="1:14">
      <c r="A367" s="17" t="str">
        <f>IF(盘货信息!A367="","",盘货信息!A367)</f>
        <v/>
      </c>
      <c r="B367" s="17" t="str">
        <f>IF(盘货信息!B367="","",盘货信息!B367)</f>
        <v/>
      </c>
      <c r="C367" s="18" t="str">
        <f>IF(盘货信息!C367="","",盘货信息!C367)</f>
        <v/>
      </c>
      <c r="D367" s="18" t="str">
        <f t="shared" si="5"/>
        <v/>
      </c>
      <c r="E367" s="18" t="str">
        <f>_xlfn.LET(_xlpm.A,IF(ISNUMBER(SEARCH("晒单",J367)),"【晒单】"&amp;MID(J367,SEARCH("晒单",J367)+LEN("晒单"),LEN(J367))&amp;"（需晒单后联系客服登记）",IF(ISNUMBER(SEARCH("包修",J367)),"【购机】"&amp;MID(J367,SEARCH("购机",J367)+LEN("购机"),LEN(J367)),IF(ISNUMBER(SEARCH("叠放支架",J367)),"【赠品】"&amp;MID(J367,SEARCH("购机",J367)+LEN("购机"),LEN(J367)),IF(ISNUMBER(SEARCH("秀图",J367)),"【秀图】"&amp;MID(J367,SEARCH("秀图",J367)+LEN("秀图"),LEN(J367)),"")))),IFERROR(LEFT(_xlpm.A,FIND("【",_xlpm.A,FIND("】",_xlpm.A)+1)-1)&amp;MID(_xlpm.A,FIND("】",_xlpm.A,FIND("】",_xlpm.A)+1)+1,LEN(_xlpm.A)),_xlpm.A))</f>
        <v/>
      </c>
      <c r="F367" s="18" t="str">
        <f>_xlfn.LET(_xlpm.A,IF(ISNUMBER(SEARCH("晒单",K367)),"【晒单】"&amp;MID(K367,SEARCH("晒单",K367)+LEN("晒单"),LEN(K367))&amp;"（需晒单后联系客服登记）",IF(ISNUMBER(SEARCH("包修",K367)),"【购机】"&amp;MID(K367,SEARCH("购机",K367)+LEN("购机"),LEN(K367)),IF(ISNUMBER(SEARCH("叠放支架",K367)),"【赠品】"&amp;MID(K367,SEARCH("购机",K367)+LEN("购机"),LEN(K367)),IF(ISNUMBER(SEARCH("秀图",K367)),"【秀图】"&amp;MID(K367,SEARCH("秀图",K367)+LEN("秀图"),LEN(K367)),"")))),IFERROR(LEFT(_xlpm.A,FIND("【",_xlpm.A,FIND("】",_xlpm.A)+1)-1)&amp;MID(_xlpm.A,FIND("】",_xlpm.A,FIND("】",_xlpm.A)+1)+1,LEN(_xlpm.A)),_xlpm.A))</f>
        <v/>
      </c>
      <c r="G367" s="18" t="str">
        <f>_xlfn.LET(_xlpm.A,IF(ISNUMBER(SEARCH("晒单",L367)),"【晒单】"&amp;MID(L367,SEARCH("晒单",L367)+LEN("晒单"),LEN(L367))&amp;"（需晒单后联系客服登记）",IF(ISNUMBER(SEARCH("包修",L367)),"【购机】"&amp;MID(L367,SEARCH("购机",L367)+LEN("购机"),LEN(L367)),IF(ISNUMBER(SEARCH("叠放支架",L367)),"【赠品】"&amp;MID(L367,SEARCH("购机",L367)+LEN("购机"),LEN(L367)),IF(ISNUMBER(SEARCH("秀图",L367)),"【秀图】"&amp;MID(L367,SEARCH("秀图",L367)+LEN("秀图"),LEN(L367)),"")))),IFERROR(LEFT(_xlpm.A,FIND("【",_xlpm.A,FIND("】",_xlpm.A)+1)-1)&amp;MID(_xlpm.A,FIND("】",_xlpm.A,FIND("】",_xlpm.A)+1)+1,LEN(_xlpm.A)),_xlpm.A))</f>
        <v/>
      </c>
      <c r="H367" s="18" t="str">
        <f>_xlfn.LET(_xlpm.A,IF(ISNUMBER(SEARCH("晒单",M367)),"【晒单】"&amp;MID(M367,SEARCH("晒单",M367)+LEN("晒单"),LEN(M367))&amp;"（需晒单后联系客服登记）",IF(ISNUMBER(SEARCH("包修",M367)),"【购机】"&amp;MID(M367,SEARCH("购机",M367)+LEN("购机"),LEN(M367)),IF(ISNUMBER(SEARCH("叠放支架",M367)),"【赠品】"&amp;MID(M367,SEARCH("购机",M367)+LEN("购机"),LEN(M367)),IF(ISNUMBER(SEARCH("秀图",M367)),"【秀图】"&amp;MID(M367,SEARCH("秀图",M367)+LEN("秀图"),LEN(M367)),"")))),IFERROR(LEFT(_xlpm.A,FIND("【",_xlpm.A,FIND("】",_xlpm.A)+1)-1)&amp;MID(_xlpm.A,FIND("】",_xlpm.A,FIND("】",_xlpm.A)+1)+1,LEN(_xlpm.A)),_xlpm.A))</f>
        <v/>
      </c>
      <c r="I367" s="18" t="str">
        <f>_xlfn.LET(_xlpm.A,IF(ISNUMBER(SEARCH("晒单",N367)),"【晒单】"&amp;MID(N367,SEARCH("晒单",N367)+LEN("晒单"),LEN(N367))&amp;"（需晒单后联系客服登记）",IF(ISNUMBER(SEARCH("包修",N367)),"【购机】"&amp;MID(N367,SEARCH("购机",N367)+LEN("购机"),LEN(N367)),IF(ISNUMBER(SEARCH("叠放支架",N367)),"【赠品】"&amp;MID(N367,SEARCH("购机",N367)+LEN("购机"),LEN(N367)),IF(ISNUMBER(SEARCH("秀图",N367)),"【秀图】"&amp;MID(N367,SEARCH("秀图",N367)+LEN("秀图"),LEN(N367)),"")))),IFERROR(LEFT(_xlpm.A,FIND("【",_xlpm.A,FIND("】",_xlpm.A)+1)-1)&amp;MID(_xlpm.A,FIND("】",_xlpm.A,FIND("】",_xlpm.A)+1)+1,LEN(_xlpm.A)),_xlpm.A))</f>
        <v/>
      </c>
      <c r="J367" s="18" t="str" cm="1">
        <f t="array" ref="J367">IFERROR(INDEX(_xlfn.TEXTSPLIT(_xlfn.XLOOKUP($A367&amp;$B367&amp;$C367,盘货信息!$A:$A&amp;盘货信息!$B:$B&amp;盘货信息!$C:$C,盘货信息!$S:$S),CHAR(10),,TRUE),1,COLUMN(A366)),"")</f>
        <v/>
      </c>
      <c r="K367" s="18" t="str" cm="1">
        <f t="array" ref="K367">IFERROR(INDEX(_xlfn.TEXTSPLIT(_xlfn.XLOOKUP($A367&amp;$B367&amp;$C367,盘货信息!$A:$A&amp;盘货信息!$B:$B&amp;盘货信息!$C:$C,盘货信息!$S:$S),CHAR(10),,TRUE),1,COLUMN(B366)),"")</f>
        <v/>
      </c>
      <c r="L367" s="18" t="str" cm="1">
        <f t="array" ref="L367">IFERROR(INDEX(_xlfn.TEXTSPLIT(_xlfn.XLOOKUP($A367&amp;$B367&amp;$C367,盘货信息!$A:$A&amp;盘货信息!$B:$B&amp;盘货信息!$C:$C,盘货信息!$S:$S),CHAR(10),,TRUE),1,COLUMN(C366)),"")</f>
        <v/>
      </c>
      <c r="M367" s="18" t="str" cm="1">
        <f t="array" ref="M367">IFERROR(INDEX(_xlfn.TEXTSPLIT(_xlfn.XLOOKUP($A367&amp;$B367&amp;$C367,盘货信息!$A:$A&amp;盘货信息!$B:$B&amp;盘货信息!$C:$C,盘货信息!$S:$S),CHAR(10),,TRUE),1,COLUMN(D366)),"")</f>
        <v/>
      </c>
      <c r="N367" s="18" t="str" cm="1">
        <f t="array" ref="N367">IFERROR(INDEX(_xlfn.TEXTSPLIT(_xlfn.XLOOKUP($A367&amp;$B367&amp;$C367,盘货信息!$A:$A&amp;盘货信息!$B:$B&amp;盘货信息!$C:$C,盘货信息!$S:$S),CHAR(10),,TRUE),1,COLUMN(E366)),"")</f>
        <v/>
      </c>
    </row>
    <row r="368" customHeight="1" spans="1:14">
      <c r="A368" s="17" t="str">
        <f>IF(盘货信息!A368="","",盘货信息!A368)</f>
        <v/>
      </c>
      <c r="B368" s="17" t="str">
        <f>IF(盘货信息!B368="","",盘货信息!B368)</f>
        <v/>
      </c>
      <c r="C368" s="18" t="str">
        <f>IF(盘货信息!C368="","",盘货信息!C368)</f>
        <v/>
      </c>
      <c r="D368" s="18" t="str">
        <f t="shared" si="5"/>
        <v/>
      </c>
      <c r="E368" s="18" t="str">
        <f>_xlfn.LET(_xlpm.A,IF(ISNUMBER(SEARCH("晒单",J368)),"【晒单】"&amp;MID(J368,SEARCH("晒单",J368)+LEN("晒单"),LEN(J368))&amp;"（需晒单后联系客服登记）",IF(ISNUMBER(SEARCH("包修",J368)),"【购机】"&amp;MID(J368,SEARCH("购机",J368)+LEN("购机"),LEN(J368)),IF(ISNUMBER(SEARCH("叠放支架",J368)),"【赠品】"&amp;MID(J368,SEARCH("购机",J368)+LEN("购机"),LEN(J368)),IF(ISNUMBER(SEARCH("秀图",J368)),"【秀图】"&amp;MID(J368,SEARCH("秀图",J368)+LEN("秀图"),LEN(J368)),"")))),IFERROR(LEFT(_xlpm.A,FIND("【",_xlpm.A,FIND("】",_xlpm.A)+1)-1)&amp;MID(_xlpm.A,FIND("】",_xlpm.A,FIND("】",_xlpm.A)+1)+1,LEN(_xlpm.A)),_xlpm.A))</f>
        <v/>
      </c>
      <c r="F368" s="18" t="str">
        <f>_xlfn.LET(_xlpm.A,IF(ISNUMBER(SEARCH("晒单",K368)),"【晒单】"&amp;MID(K368,SEARCH("晒单",K368)+LEN("晒单"),LEN(K368))&amp;"（需晒单后联系客服登记）",IF(ISNUMBER(SEARCH("包修",K368)),"【购机】"&amp;MID(K368,SEARCH("购机",K368)+LEN("购机"),LEN(K368)),IF(ISNUMBER(SEARCH("叠放支架",K368)),"【赠品】"&amp;MID(K368,SEARCH("购机",K368)+LEN("购机"),LEN(K368)),IF(ISNUMBER(SEARCH("秀图",K368)),"【秀图】"&amp;MID(K368,SEARCH("秀图",K368)+LEN("秀图"),LEN(K368)),"")))),IFERROR(LEFT(_xlpm.A,FIND("【",_xlpm.A,FIND("】",_xlpm.A)+1)-1)&amp;MID(_xlpm.A,FIND("】",_xlpm.A,FIND("】",_xlpm.A)+1)+1,LEN(_xlpm.A)),_xlpm.A))</f>
        <v/>
      </c>
      <c r="G368" s="18" t="str">
        <f>_xlfn.LET(_xlpm.A,IF(ISNUMBER(SEARCH("晒单",L368)),"【晒单】"&amp;MID(L368,SEARCH("晒单",L368)+LEN("晒单"),LEN(L368))&amp;"（需晒单后联系客服登记）",IF(ISNUMBER(SEARCH("包修",L368)),"【购机】"&amp;MID(L368,SEARCH("购机",L368)+LEN("购机"),LEN(L368)),IF(ISNUMBER(SEARCH("叠放支架",L368)),"【赠品】"&amp;MID(L368,SEARCH("购机",L368)+LEN("购机"),LEN(L368)),IF(ISNUMBER(SEARCH("秀图",L368)),"【秀图】"&amp;MID(L368,SEARCH("秀图",L368)+LEN("秀图"),LEN(L368)),"")))),IFERROR(LEFT(_xlpm.A,FIND("【",_xlpm.A,FIND("】",_xlpm.A)+1)-1)&amp;MID(_xlpm.A,FIND("】",_xlpm.A,FIND("】",_xlpm.A)+1)+1,LEN(_xlpm.A)),_xlpm.A))</f>
        <v/>
      </c>
      <c r="H368" s="18" t="str">
        <f>_xlfn.LET(_xlpm.A,IF(ISNUMBER(SEARCH("晒单",M368)),"【晒单】"&amp;MID(M368,SEARCH("晒单",M368)+LEN("晒单"),LEN(M368))&amp;"（需晒单后联系客服登记）",IF(ISNUMBER(SEARCH("包修",M368)),"【购机】"&amp;MID(M368,SEARCH("购机",M368)+LEN("购机"),LEN(M368)),IF(ISNUMBER(SEARCH("叠放支架",M368)),"【赠品】"&amp;MID(M368,SEARCH("购机",M368)+LEN("购机"),LEN(M368)),IF(ISNUMBER(SEARCH("秀图",M368)),"【秀图】"&amp;MID(M368,SEARCH("秀图",M368)+LEN("秀图"),LEN(M368)),"")))),IFERROR(LEFT(_xlpm.A,FIND("【",_xlpm.A,FIND("】",_xlpm.A)+1)-1)&amp;MID(_xlpm.A,FIND("】",_xlpm.A,FIND("】",_xlpm.A)+1)+1,LEN(_xlpm.A)),_xlpm.A))</f>
        <v/>
      </c>
      <c r="I368" s="18" t="str">
        <f>_xlfn.LET(_xlpm.A,IF(ISNUMBER(SEARCH("晒单",N368)),"【晒单】"&amp;MID(N368,SEARCH("晒单",N368)+LEN("晒单"),LEN(N368))&amp;"（需晒单后联系客服登记）",IF(ISNUMBER(SEARCH("包修",N368)),"【购机】"&amp;MID(N368,SEARCH("购机",N368)+LEN("购机"),LEN(N368)),IF(ISNUMBER(SEARCH("叠放支架",N368)),"【赠品】"&amp;MID(N368,SEARCH("购机",N368)+LEN("购机"),LEN(N368)),IF(ISNUMBER(SEARCH("秀图",N368)),"【秀图】"&amp;MID(N368,SEARCH("秀图",N368)+LEN("秀图"),LEN(N368)),"")))),IFERROR(LEFT(_xlpm.A,FIND("【",_xlpm.A,FIND("】",_xlpm.A)+1)-1)&amp;MID(_xlpm.A,FIND("】",_xlpm.A,FIND("】",_xlpm.A)+1)+1,LEN(_xlpm.A)),_xlpm.A))</f>
        <v/>
      </c>
      <c r="J368" s="18" t="str" cm="1">
        <f t="array" ref="J368">IFERROR(INDEX(_xlfn.TEXTSPLIT(_xlfn.XLOOKUP($A368&amp;$B368&amp;$C368,盘货信息!$A:$A&amp;盘货信息!$B:$B&amp;盘货信息!$C:$C,盘货信息!$S:$S),CHAR(10),,TRUE),1,COLUMN(A367)),"")</f>
        <v/>
      </c>
      <c r="K368" s="18" t="str" cm="1">
        <f t="array" ref="K368">IFERROR(INDEX(_xlfn.TEXTSPLIT(_xlfn.XLOOKUP($A368&amp;$B368&amp;$C368,盘货信息!$A:$A&amp;盘货信息!$B:$B&amp;盘货信息!$C:$C,盘货信息!$S:$S),CHAR(10),,TRUE),1,COLUMN(B367)),"")</f>
        <v/>
      </c>
      <c r="L368" s="18" t="str" cm="1">
        <f t="array" ref="L368">IFERROR(INDEX(_xlfn.TEXTSPLIT(_xlfn.XLOOKUP($A368&amp;$B368&amp;$C368,盘货信息!$A:$A&amp;盘货信息!$B:$B&amp;盘货信息!$C:$C,盘货信息!$S:$S),CHAR(10),,TRUE),1,COLUMN(C367)),"")</f>
        <v/>
      </c>
      <c r="M368" s="18" t="str" cm="1">
        <f t="array" ref="M368">IFERROR(INDEX(_xlfn.TEXTSPLIT(_xlfn.XLOOKUP($A368&amp;$B368&amp;$C368,盘货信息!$A:$A&amp;盘货信息!$B:$B&amp;盘货信息!$C:$C,盘货信息!$S:$S),CHAR(10),,TRUE),1,COLUMN(D367)),"")</f>
        <v/>
      </c>
      <c r="N368" s="18" t="str" cm="1">
        <f t="array" ref="N368">IFERROR(INDEX(_xlfn.TEXTSPLIT(_xlfn.XLOOKUP($A368&amp;$B368&amp;$C368,盘货信息!$A:$A&amp;盘货信息!$B:$B&amp;盘货信息!$C:$C,盘货信息!$S:$S),CHAR(10),,TRUE),1,COLUMN(E367)),"")</f>
        <v/>
      </c>
    </row>
    <row r="369" customHeight="1" spans="1:14">
      <c r="A369" s="17" t="str">
        <f>IF(盘货信息!A369="","",盘货信息!A369)</f>
        <v/>
      </c>
      <c r="B369" s="17" t="str">
        <f>IF(盘货信息!B369="","",盘货信息!B369)</f>
        <v/>
      </c>
      <c r="C369" s="18" t="str">
        <f>IF(盘货信息!C369="","",盘货信息!C369)</f>
        <v/>
      </c>
      <c r="D369" s="18" t="str">
        <f t="shared" si="5"/>
        <v/>
      </c>
      <c r="E369" s="18" t="str">
        <f>_xlfn.LET(_xlpm.A,IF(ISNUMBER(SEARCH("晒单",J369)),"【晒单】"&amp;MID(J369,SEARCH("晒单",J369)+LEN("晒单"),LEN(J369))&amp;"（需晒单后联系客服登记）",IF(ISNUMBER(SEARCH("包修",J369)),"【购机】"&amp;MID(J369,SEARCH("购机",J369)+LEN("购机"),LEN(J369)),IF(ISNUMBER(SEARCH("叠放支架",J369)),"【赠品】"&amp;MID(J369,SEARCH("购机",J369)+LEN("购机"),LEN(J369)),IF(ISNUMBER(SEARCH("秀图",J369)),"【秀图】"&amp;MID(J369,SEARCH("秀图",J369)+LEN("秀图"),LEN(J369)),"")))),IFERROR(LEFT(_xlpm.A,FIND("【",_xlpm.A,FIND("】",_xlpm.A)+1)-1)&amp;MID(_xlpm.A,FIND("】",_xlpm.A,FIND("】",_xlpm.A)+1)+1,LEN(_xlpm.A)),_xlpm.A))</f>
        <v/>
      </c>
      <c r="F369" s="18" t="str">
        <f>_xlfn.LET(_xlpm.A,IF(ISNUMBER(SEARCH("晒单",K369)),"【晒单】"&amp;MID(K369,SEARCH("晒单",K369)+LEN("晒单"),LEN(K369))&amp;"（需晒单后联系客服登记）",IF(ISNUMBER(SEARCH("包修",K369)),"【购机】"&amp;MID(K369,SEARCH("购机",K369)+LEN("购机"),LEN(K369)),IF(ISNUMBER(SEARCH("叠放支架",K369)),"【赠品】"&amp;MID(K369,SEARCH("购机",K369)+LEN("购机"),LEN(K369)),IF(ISNUMBER(SEARCH("秀图",K369)),"【秀图】"&amp;MID(K369,SEARCH("秀图",K369)+LEN("秀图"),LEN(K369)),"")))),IFERROR(LEFT(_xlpm.A,FIND("【",_xlpm.A,FIND("】",_xlpm.A)+1)-1)&amp;MID(_xlpm.A,FIND("】",_xlpm.A,FIND("】",_xlpm.A)+1)+1,LEN(_xlpm.A)),_xlpm.A))</f>
        <v/>
      </c>
      <c r="G369" s="18" t="str">
        <f>_xlfn.LET(_xlpm.A,IF(ISNUMBER(SEARCH("晒单",L369)),"【晒单】"&amp;MID(L369,SEARCH("晒单",L369)+LEN("晒单"),LEN(L369))&amp;"（需晒单后联系客服登记）",IF(ISNUMBER(SEARCH("包修",L369)),"【购机】"&amp;MID(L369,SEARCH("购机",L369)+LEN("购机"),LEN(L369)),IF(ISNUMBER(SEARCH("叠放支架",L369)),"【赠品】"&amp;MID(L369,SEARCH("购机",L369)+LEN("购机"),LEN(L369)),IF(ISNUMBER(SEARCH("秀图",L369)),"【秀图】"&amp;MID(L369,SEARCH("秀图",L369)+LEN("秀图"),LEN(L369)),"")))),IFERROR(LEFT(_xlpm.A,FIND("【",_xlpm.A,FIND("】",_xlpm.A)+1)-1)&amp;MID(_xlpm.A,FIND("】",_xlpm.A,FIND("】",_xlpm.A)+1)+1,LEN(_xlpm.A)),_xlpm.A))</f>
        <v/>
      </c>
      <c r="H369" s="18" t="str">
        <f>_xlfn.LET(_xlpm.A,IF(ISNUMBER(SEARCH("晒单",M369)),"【晒单】"&amp;MID(M369,SEARCH("晒单",M369)+LEN("晒单"),LEN(M369))&amp;"（需晒单后联系客服登记）",IF(ISNUMBER(SEARCH("包修",M369)),"【购机】"&amp;MID(M369,SEARCH("购机",M369)+LEN("购机"),LEN(M369)),IF(ISNUMBER(SEARCH("叠放支架",M369)),"【赠品】"&amp;MID(M369,SEARCH("购机",M369)+LEN("购机"),LEN(M369)),IF(ISNUMBER(SEARCH("秀图",M369)),"【秀图】"&amp;MID(M369,SEARCH("秀图",M369)+LEN("秀图"),LEN(M369)),"")))),IFERROR(LEFT(_xlpm.A,FIND("【",_xlpm.A,FIND("】",_xlpm.A)+1)-1)&amp;MID(_xlpm.A,FIND("】",_xlpm.A,FIND("】",_xlpm.A)+1)+1,LEN(_xlpm.A)),_xlpm.A))</f>
        <v/>
      </c>
      <c r="I369" s="18" t="str">
        <f>_xlfn.LET(_xlpm.A,IF(ISNUMBER(SEARCH("晒单",N369)),"【晒单】"&amp;MID(N369,SEARCH("晒单",N369)+LEN("晒单"),LEN(N369))&amp;"（需晒单后联系客服登记）",IF(ISNUMBER(SEARCH("包修",N369)),"【购机】"&amp;MID(N369,SEARCH("购机",N369)+LEN("购机"),LEN(N369)),IF(ISNUMBER(SEARCH("叠放支架",N369)),"【赠品】"&amp;MID(N369,SEARCH("购机",N369)+LEN("购机"),LEN(N369)),IF(ISNUMBER(SEARCH("秀图",N369)),"【秀图】"&amp;MID(N369,SEARCH("秀图",N369)+LEN("秀图"),LEN(N369)),"")))),IFERROR(LEFT(_xlpm.A,FIND("【",_xlpm.A,FIND("】",_xlpm.A)+1)-1)&amp;MID(_xlpm.A,FIND("】",_xlpm.A,FIND("】",_xlpm.A)+1)+1,LEN(_xlpm.A)),_xlpm.A))</f>
        <v/>
      </c>
      <c r="J369" s="18" t="str" cm="1">
        <f t="array" ref="J369">IFERROR(INDEX(_xlfn.TEXTSPLIT(_xlfn.XLOOKUP($A369&amp;$B369&amp;$C369,盘货信息!$A:$A&amp;盘货信息!$B:$B&amp;盘货信息!$C:$C,盘货信息!$S:$S),CHAR(10),,TRUE),1,COLUMN(A368)),"")</f>
        <v/>
      </c>
      <c r="K369" s="18" t="str" cm="1">
        <f t="array" ref="K369">IFERROR(INDEX(_xlfn.TEXTSPLIT(_xlfn.XLOOKUP($A369&amp;$B369&amp;$C369,盘货信息!$A:$A&amp;盘货信息!$B:$B&amp;盘货信息!$C:$C,盘货信息!$S:$S),CHAR(10),,TRUE),1,COLUMN(B368)),"")</f>
        <v/>
      </c>
      <c r="L369" s="18" t="str" cm="1">
        <f t="array" ref="L369">IFERROR(INDEX(_xlfn.TEXTSPLIT(_xlfn.XLOOKUP($A369&amp;$B369&amp;$C369,盘货信息!$A:$A&amp;盘货信息!$B:$B&amp;盘货信息!$C:$C,盘货信息!$S:$S),CHAR(10),,TRUE),1,COLUMN(C368)),"")</f>
        <v/>
      </c>
      <c r="M369" s="18" t="str" cm="1">
        <f t="array" ref="M369">IFERROR(INDEX(_xlfn.TEXTSPLIT(_xlfn.XLOOKUP($A369&amp;$B369&amp;$C369,盘货信息!$A:$A&amp;盘货信息!$B:$B&amp;盘货信息!$C:$C,盘货信息!$S:$S),CHAR(10),,TRUE),1,COLUMN(D368)),"")</f>
        <v/>
      </c>
      <c r="N369" s="18" t="str" cm="1">
        <f t="array" ref="N369">IFERROR(INDEX(_xlfn.TEXTSPLIT(_xlfn.XLOOKUP($A369&amp;$B369&amp;$C369,盘货信息!$A:$A&amp;盘货信息!$B:$B&amp;盘货信息!$C:$C,盘货信息!$S:$S),CHAR(10),,TRUE),1,COLUMN(E368)),"")</f>
        <v/>
      </c>
    </row>
    <row r="370" customHeight="1" spans="1:14">
      <c r="A370" s="17" t="str">
        <f>IF(盘货信息!A370="","",盘货信息!A370)</f>
        <v/>
      </c>
      <c r="B370" s="17" t="str">
        <f>IF(盘货信息!B370="","",盘货信息!B370)</f>
        <v/>
      </c>
      <c r="C370" s="18" t="str">
        <f>IF(盘货信息!C370="","",盘货信息!C370)</f>
        <v/>
      </c>
      <c r="D370" s="18" t="str">
        <f t="shared" si="5"/>
        <v/>
      </c>
      <c r="E370" s="18" t="str">
        <f>_xlfn.LET(_xlpm.A,IF(ISNUMBER(SEARCH("晒单",J370)),"【晒单】"&amp;MID(J370,SEARCH("晒单",J370)+LEN("晒单"),LEN(J370))&amp;"（需晒单后联系客服登记）",IF(ISNUMBER(SEARCH("包修",J370)),"【购机】"&amp;MID(J370,SEARCH("购机",J370)+LEN("购机"),LEN(J370)),IF(ISNUMBER(SEARCH("叠放支架",J370)),"【赠品】"&amp;MID(J370,SEARCH("购机",J370)+LEN("购机"),LEN(J370)),IF(ISNUMBER(SEARCH("秀图",J370)),"【秀图】"&amp;MID(J370,SEARCH("秀图",J370)+LEN("秀图"),LEN(J370)),"")))),IFERROR(LEFT(_xlpm.A,FIND("【",_xlpm.A,FIND("】",_xlpm.A)+1)-1)&amp;MID(_xlpm.A,FIND("】",_xlpm.A,FIND("】",_xlpm.A)+1)+1,LEN(_xlpm.A)),_xlpm.A))</f>
        <v/>
      </c>
      <c r="F370" s="18" t="str">
        <f>_xlfn.LET(_xlpm.A,IF(ISNUMBER(SEARCH("晒单",K370)),"【晒单】"&amp;MID(K370,SEARCH("晒单",K370)+LEN("晒单"),LEN(K370))&amp;"（需晒单后联系客服登记）",IF(ISNUMBER(SEARCH("包修",K370)),"【购机】"&amp;MID(K370,SEARCH("购机",K370)+LEN("购机"),LEN(K370)),IF(ISNUMBER(SEARCH("叠放支架",K370)),"【赠品】"&amp;MID(K370,SEARCH("购机",K370)+LEN("购机"),LEN(K370)),IF(ISNUMBER(SEARCH("秀图",K370)),"【秀图】"&amp;MID(K370,SEARCH("秀图",K370)+LEN("秀图"),LEN(K370)),"")))),IFERROR(LEFT(_xlpm.A,FIND("【",_xlpm.A,FIND("】",_xlpm.A)+1)-1)&amp;MID(_xlpm.A,FIND("】",_xlpm.A,FIND("】",_xlpm.A)+1)+1,LEN(_xlpm.A)),_xlpm.A))</f>
        <v/>
      </c>
      <c r="G370" s="18" t="str">
        <f>_xlfn.LET(_xlpm.A,IF(ISNUMBER(SEARCH("晒单",L370)),"【晒单】"&amp;MID(L370,SEARCH("晒单",L370)+LEN("晒单"),LEN(L370))&amp;"（需晒单后联系客服登记）",IF(ISNUMBER(SEARCH("包修",L370)),"【购机】"&amp;MID(L370,SEARCH("购机",L370)+LEN("购机"),LEN(L370)),IF(ISNUMBER(SEARCH("叠放支架",L370)),"【赠品】"&amp;MID(L370,SEARCH("购机",L370)+LEN("购机"),LEN(L370)),IF(ISNUMBER(SEARCH("秀图",L370)),"【秀图】"&amp;MID(L370,SEARCH("秀图",L370)+LEN("秀图"),LEN(L370)),"")))),IFERROR(LEFT(_xlpm.A,FIND("【",_xlpm.A,FIND("】",_xlpm.A)+1)-1)&amp;MID(_xlpm.A,FIND("】",_xlpm.A,FIND("】",_xlpm.A)+1)+1,LEN(_xlpm.A)),_xlpm.A))</f>
        <v/>
      </c>
      <c r="H370" s="18" t="str">
        <f>_xlfn.LET(_xlpm.A,IF(ISNUMBER(SEARCH("晒单",M370)),"【晒单】"&amp;MID(M370,SEARCH("晒单",M370)+LEN("晒单"),LEN(M370))&amp;"（需晒单后联系客服登记）",IF(ISNUMBER(SEARCH("包修",M370)),"【购机】"&amp;MID(M370,SEARCH("购机",M370)+LEN("购机"),LEN(M370)),IF(ISNUMBER(SEARCH("叠放支架",M370)),"【赠品】"&amp;MID(M370,SEARCH("购机",M370)+LEN("购机"),LEN(M370)),IF(ISNUMBER(SEARCH("秀图",M370)),"【秀图】"&amp;MID(M370,SEARCH("秀图",M370)+LEN("秀图"),LEN(M370)),"")))),IFERROR(LEFT(_xlpm.A,FIND("【",_xlpm.A,FIND("】",_xlpm.A)+1)-1)&amp;MID(_xlpm.A,FIND("】",_xlpm.A,FIND("】",_xlpm.A)+1)+1,LEN(_xlpm.A)),_xlpm.A))</f>
        <v/>
      </c>
      <c r="I370" s="18" t="str">
        <f>_xlfn.LET(_xlpm.A,IF(ISNUMBER(SEARCH("晒单",N370)),"【晒单】"&amp;MID(N370,SEARCH("晒单",N370)+LEN("晒单"),LEN(N370))&amp;"（需晒单后联系客服登记）",IF(ISNUMBER(SEARCH("包修",N370)),"【购机】"&amp;MID(N370,SEARCH("购机",N370)+LEN("购机"),LEN(N370)),IF(ISNUMBER(SEARCH("叠放支架",N370)),"【赠品】"&amp;MID(N370,SEARCH("购机",N370)+LEN("购机"),LEN(N370)),IF(ISNUMBER(SEARCH("秀图",N370)),"【秀图】"&amp;MID(N370,SEARCH("秀图",N370)+LEN("秀图"),LEN(N370)),"")))),IFERROR(LEFT(_xlpm.A,FIND("【",_xlpm.A,FIND("】",_xlpm.A)+1)-1)&amp;MID(_xlpm.A,FIND("】",_xlpm.A,FIND("】",_xlpm.A)+1)+1,LEN(_xlpm.A)),_xlpm.A))</f>
        <v/>
      </c>
      <c r="J370" s="18" t="str" cm="1">
        <f t="array" ref="J370">IFERROR(INDEX(_xlfn.TEXTSPLIT(_xlfn.XLOOKUP($A370&amp;$B370&amp;$C370,盘货信息!$A:$A&amp;盘货信息!$B:$B&amp;盘货信息!$C:$C,盘货信息!$S:$S),CHAR(10),,TRUE),1,COLUMN(A369)),"")</f>
        <v/>
      </c>
      <c r="K370" s="18" t="str" cm="1">
        <f t="array" ref="K370">IFERROR(INDEX(_xlfn.TEXTSPLIT(_xlfn.XLOOKUP($A370&amp;$B370&amp;$C370,盘货信息!$A:$A&amp;盘货信息!$B:$B&amp;盘货信息!$C:$C,盘货信息!$S:$S),CHAR(10),,TRUE),1,COLUMN(B369)),"")</f>
        <v/>
      </c>
      <c r="L370" s="18" t="str" cm="1">
        <f t="array" ref="L370">IFERROR(INDEX(_xlfn.TEXTSPLIT(_xlfn.XLOOKUP($A370&amp;$B370&amp;$C370,盘货信息!$A:$A&amp;盘货信息!$B:$B&amp;盘货信息!$C:$C,盘货信息!$S:$S),CHAR(10),,TRUE),1,COLUMN(C369)),"")</f>
        <v/>
      </c>
      <c r="M370" s="18" t="str" cm="1">
        <f t="array" ref="M370">IFERROR(INDEX(_xlfn.TEXTSPLIT(_xlfn.XLOOKUP($A370&amp;$B370&amp;$C370,盘货信息!$A:$A&amp;盘货信息!$B:$B&amp;盘货信息!$C:$C,盘货信息!$S:$S),CHAR(10),,TRUE),1,COLUMN(D369)),"")</f>
        <v/>
      </c>
      <c r="N370" s="18" t="str" cm="1">
        <f t="array" ref="N370">IFERROR(INDEX(_xlfn.TEXTSPLIT(_xlfn.XLOOKUP($A370&amp;$B370&amp;$C370,盘货信息!$A:$A&amp;盘货信息!$B:$B&amp;盘货信息!$C:$C,盘货信息!$S:$S),CHAR(10),,TRUE),1,COLUMN(E369)),"")</f>
        <v/>
      </c>
    </row>
    <row r="371" customHeight="1" spans="1:14">
      <c r="A371" s="17" t="str">
        <f>IF(盘货信息!A371="","",盘货信息!A371)</f>
        <v/>
      </c>
      <c r="B371" s="17" t="str">
        <f>IF(盘货信息!B371="","",盘货信息!B371)</f>
        <v/>
      </c>
      <c r="C371" s="18" t="str">
        <f>IF(盘货信息!C371="","",盘货信息!C371)</f>
        <v/>
      </c>
      <c r="D371" s="18" t="str">
        <f t="shared" si="5"/>
        <v/>
      </c>
      <c r="E371" s="18" t="str">
        <f>_xlfn.LET(_xlpm.A,IF(ISNUMBER(SEARCH("晒单",J371)),"【晒单】"&amp;MID(J371,SEARCH("晒单",J371)+LEN("晒单"),LEN(J371))&amp;"（需晒单后联系客服登记）",IF(ISNUMBER(SEARCH("包修",J371)),"【购机】"&amp;MID(J371,SEARCH("购机",J371)+LEN("购机"),LEN(J371)),IF(ISNUMBER(SEARCH("叠放支架",J371)),"【赠品】"&amp;MID(J371,SEARCH("购机",J371)+LEN("购机"),LEN(J371)),IF(ISNUMBER(SEARCH("秀图",J371)),"【秀图】"&amp;MID(J371,SEARCH("秀图",J371)+LEN("秀图"),LEN(J371)),"")))),IFERROR(LEFT(_xlpm.A,FIND("【",_xlpm.A,FIND("】",_xlpm.A)+1)-1)&amp;MID(_xlpm.A,FIND("】",_xlpm.A,FIND("】",_xlpm.A)+1)+1,LEN(_xlpm.A)),_xlpm.A))</f>
        <v/>
      </c>
      <c r="F371" s="18" t="str">
        <f>_xlfn.LET(_xlpm.A,IF(ISNUMBER(SEARCH("晒单",K371)),"【晒单】"&amp;MID(K371,SEARCH("晒单",K371)+LEN("晒单"),LEN(K371))&amp;"（需晒单后联系客服登记）",IF(ISNUMBER(SEARCH("包修",K371)),"【购机】"&amp;MID(K371,SEARCH("购机",K371)+LEN("购机"),LEN(K371)),IF(ISNUMBER(SEARCH("叠放支架",K371)),"【赠品】"&amp;MID(K371,SEARCH("购机",K371)+LEN("购机"),LEN(K371)),IF(ISNUMBER(SEARCH("秀图",K371)),"【秀图】"&amp;MID(K371,SEARCH("秀图",K371)+LEN("秀图"),LEN(K371)),"")))),IFERROR(LEFT(_xlpm.A,FIND("【",_xlpm.A,FIND("】",_xlpm.A)+1)-1)&amp;MID(_xlpm.A,FIND("】",_xlpm.A,FIND("】",_xlpm.A)+1)+1,LEN(_xlpm.A)),_xlpm.A))</f>
        <v/>
      </c>
      <c r="G371" s="18" t="str">
        <f>_xlfn.LET(_xlpm.A,IF(ISNUMBER(SEARCH("晒单",L371)),"【晒单】"&amp;MID(L371,SEARCH("晒单",L371)+LEN("晒单"),LEN(L371))&amp;"（需晒单后联系客服登记）",IF(ISNUMBER(SEARCH("包修",L371)),"【购机】"&amp;MID(L371,SEARCH("购机",L371)+LEN("购机"),LEN(L371)),IF(ISNUMBER(SEARCH("叠放支架",L371)),"【赠品】"&amp;MID(L371,SEARCH("购机",L371)+LEN("购机"),LEN(L371)),IF(ISNUMBER(SEARCH("秀图",L371)),"【秀图】"&amp;MID(L371,SEARCH("秀图",L371)+LEN("秀图"),LEN(L371)),"")))),IFERROR(LEFT(_xlpm.A,FIND("【",_xlpm.A,FIND("】",_xlpm.A)+1)-1)&amp;MID(_xlpm.A,FIND("】",_xlpm.A,FIND("】",_xlpm.A)+1)+1,LEN(_xlpm.A)),_xlpm.A))</f>
        <v/>
      </c>
      <c r="H371" s="18" t="str">
        <f>_xlfn.LET(_xlpm.A,IF(ISNUMBER(SEARCH("晒单",M371)),"【晒单】"&amp;MID(M371,SEARCH("晒单",M371)+LEN("晒单"),LEN(M371))&amp;"（需晒单后联系客服登记）",IF(ISNUMBER(SEARCH("包修",M371)),"【购机】"&amp;MID(M371,SEARCH("购机",M371)+LEN("购机"),LEN(M371)),IF(ISNUMBER(SEARCH("叠放支架",M371)),"【赠品】"&amp;MID(M371,SEARCH("购机",M371)+LEN("购机"),LEN(M371)),IF(ISNUMBER(SEARCH("秀图",M371)),"【秀图】"&amp;MID(M371,SEARCH("秀图",M371)+LEN("秀图"),LEN(M371)),"")))),IFERROR(LEFT(_xlpm.A,FIND("【",_xlpm.A,FIND("】",_xlpm.A)+1)-1)&amp;MID(_xlpm.A,FIND("】",_xlpm.A,FIND("】",_xlpm.A)+1)+1,LEN(_xlpm.A)),_xlpm.A))</f>
        <v/>
      </c>
      <c r="I371" s="18" t="str">
        <f>_xlfn.LET(_xlpm.A,IF(ISNUMBER(SEARCH("晒单",N371)),"【晒单】"&amp;MID(N371,SEARCH("晒单",N371)+LEN("晒单"),LEN(N371))&amp;"（需晒单后联系客服登记）",IF(ISNUMBER(SEARCH("包修",N371)),"【购机】"&amp;MID(N371,SEARCH("购机",N371)+LEN("购机"),LEN(N371)),IF(ISNUMBER(SEARCH("叠放支架",N371)),"【赠品】"&amp;MID(N371,SEARCH("购机",N371)+LEN("购机"),LEN(N371)),IF(ISNUMBER(SEARCH("秀图",N371)),"【秀图】"&amp;MID(N371,SEARCH("秀图",N371)+LEN("秀图"),LEN(N371)),"")))),IFERROR(LEFT(_xlpm.A,FIND("【",_xlpm.A,FIND("】",_xlpm.A)+1)-1)&amp;MID(_xlpm.A,FIND("】",_xlpm.A,FIND("】",_xlpm.A)+1)+1,LEN(_xlpm.A)),_xlpm.A))</f>
        <v/>
      </c>
      <c r="J371" s="18" t="str" cm="1">
        <f t="array" ref="J371">IFERROR(INDEX(_xlfn.TEXTSPLIT(_xlfn.XLOOKUP($A371&amp;$B371&amp;$C371,盘货信息!$A:$A&amp;盘货信息!$B:$B&amp;盘货信息!$C:$C,盘货信息!$S:$S),CHAR(10),,TRUE),1,COLUMN(A370)),"")</f>
        <v/>
      </c>
      <c r="K371" s="18" t="str" cm="1">
        <f t="array" ref="K371">IFERROR(INDEX(_xlfn.TEXTSPLIT(_xlfn.XLOOKUP($A371&amp;$B371&amp;$C371,盘货信息!$A:$A&amp;盘货信息!$B:$B&amp;盘货信息!$C:$C,盘货信息!$S:$S),CHAR(10),,TRUE),1,COLUMN(B370)),"")</f>
        <v/>
      </c>
      <c r="L371" s="18" t="str" cm="1">
        <f t="array" ref="L371">IFERROR(INDEX(_xlfn.TEXTSPLIT(_xlfn.XLOOKUP($A371&amp;$B371&amp;$C371,盘货信息!$A:$A&amp;盘货信息!$B:$B&amp;盘货信息!$C:$C,盘货信息!$S:$S),CHAR(10),,TRUE),1,COLUMN(C370)),"")</f>
        <v/>
      </c>
      <c r="M371" s="18" t="str" cm="1">
        <f t="array" ref="M371">IFERROR(INDEX(_xlfn.TEXTSPLIT(_xlfn.XLOOKUP($A371&amp;$B371&amp;$C371,盘货信息!$A:$A&amp;盘货信息!$B:$B&amp;盘货信息!$C:$C,盘货信息!$S:$S),CHAR(10),,TRUE),1,COLUMN(D370)),"")</f>
        <v/>
      </c>
      <c r="N371" s="18" t="str" cm="1">
        <f t="array" ref="N371">IFERROR(INDEX(_xlfn.TEXTSPLIT(_xlfn.XLOOKUP($A371&amp;$B371&amp;$C371,盘货信息!$A:$A&amp;盘货信息!$B:$B&amp;盘货信息!$C:$C,盘货信息!$S:$S),CHAR(10),,TRUE),1,COLUMN(E370)),"")</f>
        <v/>
      </c>
    </row>
    <row r="372" customHeight="1" spans="1:14">
      <c r="A372" s="17" t="str">
        <f>IF(盘货信息!A372="","",盘货信息!A372)</f>
        <v/>
      </c>
      <c r="B372" s="17" t="str">
        <f>IF(盘货信息!B372="","",盘货信息!B372)</f>
        <v/>
      </c>
      <c r="C372" s="18" t="str">
        <f>IF(盘货信息!C372="","",盘货信息!C372)</f>
        <v/>
      </c>
      <c r="D372" s="18" t="str">
        <f t="shared" si="5"/>
        <v/>
      </c>
      <c r="E372" s="18" t="str">
        <f>_xlfn.LET(_xlpm.A,IF(ISNUMBER(SEARCH("晒单",J372)),"【晒单】"&amp;MID(J372,SEARCH("晒单",J372)+LEN("晒单"),LEN(J372))&amp;"（需晒单后联系客服登记）",IF(ISNUMBER(SEARCH("包修",J372)),"【购机】"&amp;MID(J372,SEARCH("购机",J372)+LEN("购机"),LEN(J372)),IF(ISNUMBER(SEARCH("叠放支架",J372)),"【赠品】"&amp;MID(J372,SEARCH("购机",J372)+LEN("购机"),LEN(J372)),IF(ISNUMBER(SEARCH("秀图",J372)),"【秀图】"&amp;MID(J372,SEARCH("秀图",J372)+LEN("秀图"),LEN(J372)),"")))),IFERROR(LEFT(_xlpm.A,FIND("【",_xlpm.A,FIND("】",_xlpm.A)+1)-1)&amp;MID(_xlpm.A,FIND("】",_xlpm.A,FIND("】",_xlpm.A)+1)+1,LEN(_xlpm.A)),_xlpm.A))</f>
        <v/>
      </c>
      <c r="F372" s="18" t="str">
        <f>_xlfn.LET(_xlpm.A,IF(ISNUMBER(SEARCH("晒单",K372)),"【晒单】"&amp;MID(K372,SEARCH("晒单",K372)+LEN("晒单"),LEN(K372))&amp;"（需晒单后联系客服登记）",IF(ISNUMBER(SEARCH("包修",K372)),"【购机】"&amp;MID(K372,SEARCH("购机",K372)+LEN("购机"),LEN(K372)),IF(ISNUMBER(SEARCH("叠放支架",K372)),"【赠品】"&amp;MID(K372,SEARCH("购机",K372)+LEN("购机"),LEN(K372)),IF(ISNUMBER(SEARCH("秀图",K372)),"【秀图】"&amp;MID(K372,SEARCH("秀图",K372)+LEN("秀图"),LEN(K372)),"")))),IFERROR(LEFT(_xlpm.A,FIND("【",_xlpm.A,FIND("】",_xlpm.A)+1)-1)&amp;MID(_xlpm.A,FIND("】",_xlpm.A,FIND("】",_xlpm.A)+1)+1,LEN(_xlpm.A)),_xlpm.A))</f>
        <v/>
      </c>
      <c r="G372" s="18" t="str">
        <f>_xlfn.LET(_xlpm.A,IF(ISNUMBER(SEARCH("晒单",L372)),"【晒单】"&amp;MID(L372,SEARCH("晒单",L372)+LEN("晒单"),LEN(L372))&amp;"（需晒单后联系客服登记）",IF(ISNUMBER(SEARCH("包修",L372)),"【购机】"&amp;MID(L372,SEARCH("购机",L372)+LEN("购机"),LEN(L372)),IF(ISNUMBER(SEARCH("叠放支架",L372)),"【赠品】"&amp;MID(L372,SEARCH("购机",L372)+LEN("购机"),LEN(L372)),IF(ISNUMBER(SEARCH("秀图",L372)),"【秀图】"&amp;MID(L372,SEARCH("秀图",L372)+LEN("秀图"),LEN(L372)),"")))),IFERROR(LEFT(_xlpm.A,FIND("【",_xlpm.A,FIND("】",_xlpm.A)+1)-1)&amp;MID(_xlpm.A,FIND("】",_xlpm.A,FIND("】",_xlpm.A)+1)+1,LEN(_xlpm.A)),_xlpm.A))</f>
        <v/>
      </c>
      <c r="H372" s="18" t="str">
        <f>_xlfn.LET(_xlpm.A,IF(ISNUMBER(SEARCH("晒单",M372)),"【晒单】"&amp;MID(M372,SEARCH("晒单",M372)+LEN("晒单"),LEN(M372))&amp;"（需晒单后联系客服登记）",IF(ISNUMBER(SEARCH("包修",M372)),"【购机】"&amp;MID(M372,SEARCH("购机",M372)+LEN("购机"),LEN(M372)),IF(ISNUMBER(SEARCH("叠放支架",M372)),"【赠品】"&amp;MID(M372,SEARCH("购机",M372)+LEN("购机"),LEN(M372)),IF(ISNUMBER(SEARCH("秀图",M372)),"【秀图】"&amp;MID(M372,SEARCH("秀图",M372)+LEN("秀图"),LEN(M372)),"")))),IFERROR(LEFT(_xlpm.A,FIND("【",_xlpm.A,FIND("】",_xlpm.A)+1)-1)&amp;MID(_xlpm.A,FIND("】",_xlpm.A,FIND("】",_xlpm.A)+1)+1,LEN(_xlpm.A)),_xlpm.A))</f>
        <v/>
      </c>
      <c r="I372" s="18" t="str">
        <f>_xlfn.LET(_xlpm.A,IF(ISNUMBER(SEARCH("晒单",N372)),"【晒单】"&amp;MID(N372,SEARCH("晒单",N372)+LEN("晒单"),LEN(N372))&amp;"（需晒单后联系客服登记）",IF(ISNUMBER(SEARCH("包修",N372)),"【购机】"&amp;MID(N372,SEARCH("购机",N372)+LEN("购机"),LEN(N372)),IF(ISNUMBER(SEARCH("叠放支架",N372)),"【赠品】"&amp;MID(N372,SEARCH("购机",N372)+LEN("购机"),LEN(N372)),IF(ISNUMBER(SEARCH("秀图",N372)),"【秀图】"&amp;MID(N372,SEARCH("秀图",N372)+LEN("秀图"),LEN(N372)),"")))),IFERROR(LEFT(_xlpm.A,FIND("【",_xlpm.A,FIND("】",_xlpm.A)+1)-1)&amp;MID(_xlpm.A,FIND("】",_xlpm.A,FIND("】",_xlpm.A)+1)+1,LEN(_xlpm.A)),_xlpm.A))</f>
        <v/>
      </c>
      <c r="J372" s="18" t="str" cm="1">
        <f t="array" ref="J372">IFERROR(INDEX(_xlfn.TEXTSPLIT(_xlfn.XLOOKUP($A372&amp;$B372&amp;$C372,盘货信息!$A:$A&amp;盘货信息!$B:$B&amp;盘货信息!$C:$C,盘货信息!$S:$S),CHAR(10),,TRUE),1,COLUMN(A371)),"")</f>
        <v/>
      </c>
      <c r="K372" s="18" t="str" cm="1">
        <f t="array" ref="K372">IFERROR(INDEX(_xlfn.TEXTSPLIT(_xlfn.XLOOKUP($A372&amp;$B372&amp;$C372,盘货信息!$A:$A&amp;盘货信息!$B:$B&amp;盘货信息!$C:$C,盘货信息!$S:$S),CHAR(10),,TRUE),1,COLUMN(B371)),"")</f>
        <v/>
      </c>
      <c r="L372" s="18" t="str" cm="1">
        <f t="array" ref="L372">IFERROR(INDEX(_xlfn.TEXTSPLIT(_xlfn.XLOOKUP($A372&amp;$B372&amp;$C372,盘货信息!$A:$A&amp;盘货信息!$B:$B&amp;盘货信息!$C:$C,盘货信息!$S:$S),CHAR(10),,TRUE),1,COLUMN(C371)),"")</f>
        <v/>
      </c>
      <c r="M372" s="18" t="str" cm="1">
        <f t="array" ref="M372">IFERROR(INDEX(_xlfn.TEXTSPLIT(_xlfn.XLOOKUP($A372&amp;$B372&amp;$C372,盘货信息!$A:$A&amp;盘货信息!$B:$B&amp;盘货信息!$C:$C,盘货信息!$S:$S),CHAR(10),,TRUE),1,COLUMN(D371)),"")</f>
        <v/>
      </c>
      <c r="N372" s="18" t="str" cm="1">
        <f t="array" ref="N372">IFERROR(INDEX(_xlfn.TEXTSPLIT(_xlfn.XLOOKUP($A372&amp;$B372&amp;$C372,盘货信息!$A:$A&amp;盘货信息!$B:$B&amp;盘货信息!$C:$C,盘货信息!$S:$S),CHAR(10),,TRUE),1,COLUMN(E371)),"")</f>
        <v/>
      </c>
    </row>
    <row r="373" customHeight="1" spans="1:14">
      <c r="A373" s="17" t="str">
        <f>IF(盘货信息!A373="","",盘货信息!A373)</f>
        <v/>
      </c>
      <c r="B373" s="17" t="str">
        <f>IF(盘货信息!B373="","",盘货信息!B373)</f>
        <v/>
      </c>
      <c r="C373" s="18" t="str">
        <f>IF(盘货信息!C373="","",盘货信息!C373)</f>
        <v/>
      </c>
      <c r="D373" s="18" t="str">
        <f t="shared" si="5"/>
        <v/>
      </c>
      <c r="E373" s="18" t="str">
        <f>_xlfn.LET(_xlpm.A,IF(ISNUMBER(SEARCH("晒单",J373)),"【晒单】"&amp;MID(J373,SEARCH("晒单",J373)+LEN("晒单"),LEN(J373))&amp;"（需晒单后联系客服登记）",IF(ISNUMBER(SEARCH("包修",J373)),"【购机】"&amp;MID(J373,SEARCH("购机",J373)+LEN("购机"),LEN(J373)),IF(ISNUMBER(SEARCH("叠放支架",J373)),"【赠品】"&amp;MID(J373,SEARCH("购机",J373)+LEN("购机"),LEN(J373)),IF(ISNUMBER(SEARCH("秀图",J373)),"【秀图】"&amp;MID(J373,SEARCH("秀图",J373)+LEN("秀图"),LEN(J373)),"")))),IFERROR(LEFT(_xlpm.A,FIND("【",_xlpm.A,FIND("】",_xlpm.A)+1)-1)&amp;MID(_xlpm.A,FIND("】",_xlpm.A,FIND("】",_xlpm.A)+1)+1,LEN(_xlpm.A)),_xlpm.A))</f>
        <v/>
      </c>
      <c r="F373" s="18" t="str">
        <f>_xlfn.LET(_xlpm.A,IF(ISNUMBER(SEARCH("晒单",K373)),"【晒单】"&amp;MID(K373,SEARCH("晒单",K373)+LEN("晒单"),LEN(K373))&amp;"（需晒单后联系客服登记）",IF(ISNUMBER(SEARCH("包修",K373)),"【购机】"&amp;MID(K373,SEARCH("购机",K373)+LEN("购机"),LEN(K373)),IF(ISNUMBER(SEARCH("叠放支架",K373)),"【赠品】"&amp;MID(K373,SEARCH("购机",K373)+LEN("购机"),LEN(K373)),IF(ISNUMBER(SEARCH("秀图",K373)),"【秀图】"&amp;MID(K373,SEARCH("秀图",K373)+LEN("秀图"),LEN(K373)),"")))),IFERROR(LEFT(_xlpm.A,FIND("【",_xlpm.A,FIND("】",_xlpm.A)+1)-1)&amp;MID(_xlpm.A,FIND("】",_xlpm.A,FIND("】",_xlpm.A)+1)+1,LEN(_xlpm.A)),_xlpm.A))</f>
        <v/>
      </c>
      <c r="G373" s="18" t="str">
        <f>_xlfn.LET(_xlpm.A,IF(ISNUMBER(SEARCH("晒单",L373)),"【晒单】"&amp;MID(L373,SEARCH("晒单",L373)+LEN("晒单"),LEN(L373))&amp;"（需晒单后联系客服登记）",IF(ISNUMBER(SEARCH("包修",L373)),"【购机】"&amp;MID(L373,SEARCH("购机",L373)+LEN("购机"),LEN(L373)),IF(ISNUMBER(SEARCH("叠放支架",L373)),"【赠品】"&amp;MID(L373,SEARCH("购机",L373)+LEN("购机"),LEN(L373)),IF(ISNUMBER(SEARCH("秀图",L373)),"【秀图】"&amp;MID(L373,SEARCH("秀图",L373)+LEN("秀图"),LEN(L373)),"")))),IFERROR(LEFT(_xlpm.A,FIND("【",_xlpm.A,FIND("】",_xlpm.A)+1)-1)&amp;MID(_xlpm.A,FIND("】",_xlpm.A,FIND("】",_xlpm.A)+1)+1,LEN(_xlpm.A)),_xlpm.A))</f>
        <v/>
      </c>
      <c r="H373" s="18" t="str">
        <f>_xlfn.LET(_xlpm.A,IF(ISNUMBER(SEARCH("晒单",M373)),"【晒单】"&amp;MID(M373,SEARCH("晒单",M373)+LEN("晒单"),LEN(M373))&amp;"（需晒单后联系客服登记）",IF(ISNUMBER(SEARCH("包修",M373)),"【购机】"&amp;MID(M373,SEARCH("购机",M373)+LEN("购机"),LEN(M373)),IF(ISNUMBER(SEARCH("叠放支架",M373)),"【赠品】"&amp;MID(M373,SEARCH("购机",M373)+LEN("购机"),LEN(M373)),IF(ISNUMBER(SEARCH("秀图",M373)),"【秀图】"&amp;MID(M373,SEARCH("秀图",M373)+LEN("秀图"),LEN(M373)),"")))),IFERROR(LEFT(_xlpm.A,FIND("【",_xlpm.A,FIND("】",_xlpm.A)+1)-1)&amp;MID(_xlpm.A,FIND("】",_xlpm.A,FIND("】",_xlpm.A)+1)+1,LEN(_xlpm.A)),_xlpm.A))</f>
        <v/>
      </c>
      <c r="I373" s="18" t="str">
        <f>_xlfn.LET(_xlpm.A,IF(ISNUMBER(SEARCH("晒单",N373)),"【晒单】"&amp;MID(N373,SEARCH("晒单",N373)+LEN("晒单"),LEN(N373))&amp;"（需晒单后联系客服登记）",IF(ISNUMBER(SEARCH("包修",N373)),"【购机】"&amp;MID(N373,SEARCH("购机",N373)+LEN("购机"),LEN(N373)),IF(ISNUMBER(SEARCH("叠放支架",N373)),"【赠品】"&amp;MID(N373,SEARCH("购机",N373)+LEN("购机"),LEN(N373)),IF(ISNUMBER(SEARCH("秀图",N373)),"【秀图】"&amp;MID(N373,SEARCH("秀图",N373)+LEN("秀图"),LEN(N373)),"")))),IFERROR(LEFT(_xlpm.A,FIND("【",_xlpm.A,FIND("】",_xlpm.A)+1)-1)&amp;MID(_xlpm.A,FIND("】",_xlpm.A,FIND("】",_xlpm.A)+1)+1,LEN(_xlpm.A)),_xlpm.A))</f>
        <v/>
      </c>
      <c r="J373" s="18" t="str" cm="1">
        <f t="array" ref="J373">IFERROR(INDEX(_xlfn.TEXTSPLIT(_xlfn.XLOOKUP($A373&amp;$B373&amp;$C373,盘货信息!$A:$A&amp;盘货信息!$B:$B&amp;盘货信息!$C:$C,盘货信息!$S:$S),CHAR(10),,TRUE),1,COLUMN(A372)),"")</f>
        <v/>
      </c>
      <c r="K373" s="18" t="str" cm="1">
        <f t="array" ref="K373">IFERROR(INDEX(_xlfn.TEXTSPLIT(_xlfn.XLOOKUP($A373&amp;$B373&amp;$C373,盘货信息!$A:$A&amp;盘货信息!$B:$B&amp;盘货信息!$C:$C,盘货信息!$S:$S),CHAR(10),,TRUE),1,COLUMN(B372)),"")</f>
        <v/>
      </c>
      <c r="L373" s="18" t="str" cm="1">
        <f t="array" ref="L373">IFERROR(INDEX(_xlfn.TEXTSPLIT(_xlfn.XLOOKUP($A373&amp;$B373&amp;$C373,盘货信息!$A:$A&amp;盘货信息!$B:$B&amp;盘货信息!$C:$C,盘货信息!$S:$S),CHAR(10),,TRUE),1,COLUMN(C372)),"")</f>
        <v/>
      </c>
      <c r="M373" s="18" t="str" cm="1">
        <f t="array" ref="M373">IFERROR(INDEX(_xlfn.TEXTSPLIT(_xlfn.XLOOKUP($A373&amp;$B373&amp;$C373,盘货信息!$A:$A&amp;盘货信息!$B:$B&amp;盘货信息!$C:$C,盘货信息!$S:$S),CHAR(10),,TRUE),1,COLUMN(D372)),"")</f>
        <v/>
      </c>
      <c r="N373" s="18" t="str" cm="1">
        <f t="array" ref="N373">IFERROR(INDEX(_xlfn.TEXTSPLIT(_xlfn.XLOOKUP($A373&amp;$B373&amp;$C373,盘货信息!$A:$A&amp;盘货信息!$B:$B&amp;盘货信息!$C:$C,盘货信息!$S:$S),CHAR(10),,TRUE),1,COLUMN(E372)),"")</f>
        <v/>
      </c>
    </row>
    <row r="374" customHeight="1" spans="1:14">
      <c r="A374" s="17" t="str">
        <f>IF(盘货信息!A374="","",盘货信息!A374)</f>
        <v/>
      </c>
      <c r="B374" s="17" t="str">
        <f>IF(盘货信息!B374="","",盘货信息!B374)</f>
        <v/>
      </c>
      <c r="C374" s="18" t="str">
        <f>IF(盘货信息!C374="","",盘货信息!C374)</f>
        <v/>
      </c>
      <c r="D374" s="18" t="str">
        <f t="shared" si="5"/>
        <v/>
      </c>
      <c r="E374" s="18" t="str">
        <f>_xlfn.LET(_xlpm.A,IF(ISNUMBER(SEARCH("晒单",J374)),"【晒单】"&amp;MID(J374,SEARCH("晒单",J374)+LEN("晒单"),LEN(J374))&amp;"（需晒单后联系客服登记）",IF(ISNUMBER(SEARCH("包修",J374)),"【购机】"&amp;MID(J374,SEARCH("购机",J374)+LEN("购机"),LEN(J374)),IF(ISNUMBER(SEARCH("叠放支架",J374)),"【赠品】"&amp;MID(J374,SEARCH("购机",J374)+LEN("购机"),LEN(J374)),IF(ISNUMBER(SEARCH("秀图",J374)),"【秀图】"&amp;MID(J374,SEARCH("秀图",J374)+LEN("秀图"),LEN(J374)),"")))),IFERROR(LEFT(_xlpm.A,FIND("【",_xlpm.A,FIND("】",_xlpm.A)+1)-1)&amp;MID(_xlpm.A,FIND("】",_xlpm.A,FIND("】",_xlpm.A)+1)+1,LEN(_xlpm.A)),_xlpm.A))</f>
        <v/>
      </c>
      <c r="F374" s="18" t="str">
        <f>_xlfn.LET(_xlpm.A,IF(ISNUMBER(SEARCH("晒单",K374)),"【晒单】"&amp;MID(K374,SEARCH("晒单",K374)+LEN("晒单"),LEN(K374))&amp;"（需晒单后联系客服登记）",IF(ISNUMBER(SEARCH("包修",K374)),"【购机】"&amp;MID(K374,SEARCH("购机",K374)+LEN("购机"),LEN(K374)),IF(ISNUMBER(SEARCH("叠放支架",K374)),"【赠品】"&amp;MID(K374,SEARCH("购机",K374)+LEN("购机"),LEN(K374)),IF(ISNUMBER(SEARCH("秀图",K374)),"【秀图】"&amp;MID(K374,SEARCH("秀图",K374)+LEN("秀图"),LEN(K374)),"")))),IFERROR(LEFT(_xlpm.A,FIND("【",_xlpm.A,FIND("】",_xlpm.A)+1)-1)&amp;MID(_xlpm.A,FIND("】",_xlpm.A,FIND("】",_xlpm.A)+1)+1,LEN(_xlpm.A)),_xlpm.A))</f>
        <v/>
      </c>
      <c r="G374" s="18" t="str">
        <f>_xlfn.LET(_xlpm.A,IF(ISNUMBER(SEARCH("晒单",L374)),"【晒单】"&amp;MID(L374,SEARCH("晒单",L374)+LEN("晒单"),LEN(L374))&amp;"（需晒单后联系客服登记）",IF(ISNUMBER(SEARCH("包修",L374)),"【购机】"&amp;MID(L374,SEARCH("购机",L374)+LEN("购机"),LEN(L374)),IF(ISNUMBER(SEARCH("叠放支架",L374)),"【赠品】"&amp;MID(L374,SEARCH("购机",L374)+LEN("购机"),LEN(L374)),IF(ISNUMBER(SEARCH("秀图",L374)),"【秀图】"&amp;MID(L374,SEARCH("秀图",L374)+LEN("秀图"),LEN(L374)),"")))),IFERROR(LEFT(_xlpm.A,FIND("【",_xlpm.A,FIND("】",_xlpm.A)+1)-1)&amp;MID(_xlpm.A,FIND("】",_xlpm.A,FIND("】",_xlpm.A)+1)+1,LEN(_xlpm.A)),_xlpm.A))</f>
        <v/>
      </c>
      <c r="H374" s="18" t="str">
        <f>_xlfn.LET(_xlpm.A,IF(ISNUMBER(SEARCH("晒单",M374)),"【晒单】"&amp;MID(M374,SEARCH("晒单",M374)+LEN("晒单"),LEN(M374))&amp;"（需晒单后联系客服登记）",IF(ISNUMBER(SEARCH("包修",M374)),"【购机】"&amp;MID(M374,SEARCH("购机",M374)+LEN("购机"),LEN(M374)),IF(ISNUMBER(SEARCH("叠放支架",M374)),"【赠品】"&amp;MID(M374,SEARCH("购机",M374)+LEN("购机"),LEN(M374)),IF(ISNUMBER(SEARCH("秀图",M374)),"【秀图】"&amp;MID(M374,SEARCH("秀图",M374)+LEN("秀图"),LEN(M374)),"")))),IFERROR(LEFT(_xlpm.A,FIND("【",_xlpm.A,FIND("】",_xlpm.A)+1)-1)&amp;MID(_xlpm.A,FIND("】",_xlpm.A,FIND("】",_xlpm.A)+1)+1,LEN(_xlpm.A)),_xlpm.A))</f>
        <v/>
      </c>
      <c r="I374" s="18" t="str">
        <f>_xlfn.LET(_xlpm.A,IF(ISNUMBER(SEARCH("晒单",N374)),"【晒单】"&amp;MID(N374,SEARCH("晒单",N374)+LEN("晒单"),LEN(N374))&amp;"（需晒单后联系客服登记）",IF(ISNUMBER(SEARCH("包修",N374)),"【购机】"&amp;MID(N374,SEARCH("购机",N374)+LEN("购机"),LEN(N374)),IF(ISNUMBER(SEARCH("叠放支架",N374)),"【赠品】"&amp;MID(N374,SEARCH("购机",N374)+LEN("购机"),LEN(N374)),IF(ISNUMBER(SEARCH("秀图",N374)),"【秀图】"&amp;MID(N374,SEARCH("秀图",N374)+LEN("秀图"),LEN(N374)),"")))),IFERROR(LEFT(_xlpm.A,FIND("【",_xlpm.A,FIND("】",_xlpm.A)+1)-1)&amp;MID(_xlpm.A,FIND("】",_xlpm.A,FIND("】",_xlpm.A)+1)+1,LEN(_xlpm.A)),_xlpm.A))</f>
        <v/>
      </c>
      <c r="J374" s="18" t="str" cm="1">
        <f t="array" ref="J374">IFERROR(INDEX(_xlfn.TEXTSPLIT(_xlfn.XLOOKUP($A374&amp;$B374&amp;$C374,盘货信息!$A:$A&amp;盘货信息!$B:$B&amp;盘货信息!$C:$C,盘货信息!$S:$S),CHAR(10),,TRUE),1,COLUMN(A373)),"")</f>
        <v/>
      </c>
      <c r="K374" s="18" t="str" cm="1">
        <f t="array" ref="K374">IFERROR(INDEX(_xlfn.TEXTSPLIT(_xlfn.XLOOKUP($A374&amp;$B374&amp;$C374,盘货信息!$A:$A&amp;盘货信息!$B:$B&amp;盘货信息!$C:$C,盘货信息!$S:$S),CHAR(10),,TRUE),1,COLUMN(B373)),"")</f>
        <v/>
      </c>
      <c r="L374" s="18" t="str" cm="1">
        <f t="array" ref="L374">IFERROR(INDEX(_xlfn.TEXTSPLIT(_xlfn.XLOOKUP($A374&amp;$B374&amp;$C374,盘货信息!$A:$A&amp;盘货信息!$B:$B&amp;盘货信息!$C:$C,盘货信息!$S:$S),CHAR(10),,TRUE),1,COLUMN(C373)),"")</f>
        <v/>
      </c>
      <c r="M374" s="18" t="str" cm="1">
        <f t="array" ref="M374">IFERROR(INDEX(_xlfn.TEXTSPLIT(_xlfn.XLOOKUP($A374&amp;$B374&amp;$C374,盘货信息!$A:$A&amp;盘货信息!$B:$B&amp;盘货信息!$C:$C,盘货信息!$S:$S),CHAR(10),,TRUE),1,COLUMN(D373)),"")</f>
        <v/>
      </c>
      <c r="N374" s="18" t="str" cm="1">
        <f t="array" ref="N374">IFERROR(INDEX(_xlfn.TEXTSPLIT(_xlfn.XLOOKUP($A374&amp;$B374&amp;$C374,盘货信息!$A:$A&amp;盘货信息!$B:$B&amp;盘货信息!$C:$C,盘货信息!$S:$S),CHAR(10),,TRUE),1,COLUMN(E373)),"")</f>
        <v/>
      </c>
    </row>
    <row r="375" customHeight="1" spans="1:14">
      <c r="A375" s="17" t="str">
        <f>IF(盘货信息!A375="","",盘货信息!A375)</f>
        <v/>
      </c>
      <c r="B375" s="17" t="str">
        <f>IF(盘货信息!B375="","",盘货信息!B375)</f>
        <v/>
      </c>
      <c r="C375" s="18" t="str">
        <f>IF(盘货信息!C375="","",盘货信息!C375)</f>
        <v/>
      </c>
      <c r="D375" s="18" t="str">
        <f t="shared" si="5"/>
        <v/>
      </c>
      <c r="E375" s="18" t="str">
        <f>_xlfn.LET(_xlpm.A,IF(ISNUMBER(SEARCH("晒单",J375)),"【晒单】"&amp;MID(J375,SEARCH("晒单",J375)+LEN("晒单"),LEN(J375))&amp;"（需晒单后联系客服登记）",IF(ISNUMBER(SEARCH("包修",J375)),"【购机】"&amp;MID(J375,SEARCH("购机",J375)+LEN("购机"),LEN(J375)),IF(ISNUMBER(SEARCH("叠放支架",J375)),"【赠品】"&amp;MID(J375,SEARCH("购机",J375)+LEN("购机"),LEN(J375)),IF(ISNUMBER(SEARCH("秀图",J375)),"【秀图】"&amp;MID(J375,SEARCH("秀图",J375)+LEN("秀图"),LEN(J375)),"")))),IFERROR(LEFT(_xlpm.A,FIND("【",_xlpm.A,FIND("】",_xlpm.A)+1)-1)&amp;MID(_xlpm.A,FIND("】",_xlpm.A,FIND("】",_xlpm.A)+1)+1,LEN(_xlpm.A)),_xlpm.A))</f>
        <v/>
      </c>
      <c r="F375" s="18" t="str">
        <f>_xlfn.LET(_xlpm.A,IF(ISNUMBER(SEARCH("晒单",K375)),"【晒单】"&amp;MID(K375,SEARCH("晒单",K375)+LEN("晒单"),LEN(K375))&amp;"（需晒单后联系客服登记）",IF(ISNUMBER(SEARCH("包修",K375)),"【购机】"&amp;MID(K375,SEARCH("购机",K375)+LEN("购机"),LEN(K375)),IF(ISNUMBER(SEARCH("叠放支架",K375)),"【赠品】"&amp;MID(K375,SEARCH("购机",K375)+LEN("购机"),LEN(K375)),IF(ISNUMBER(SEARCH("秀图",K375)),"【秀图】"&amp;MID(K375,SEARCH("秀图",K375)+LEN("秀图"),LEN(K375)),"")))),IFERROR(LEFT(_xlpm.A,FIND("【",_xlpm.A,FIND("】",_xlpm.A)+1)-1)&amp;MID(_xlpm.A,FIND("】",_xlpm.A,FIND("】",_xlpm.A)+1)+1,LEN(_xlpm.A)),_xlpm.A))</f>
        <v/>
      </c>
      <c r="G375" s="18" t="str">
        <f>_xlfn.LET(_xlpm.A,IF(ISNUMBER(SEARCH("晒单",L375)),"【晒单】"&amp;MID(L375,SEARCH("晒单",L375)+LEN("晒单"),LEN(L375))&amp;"（需晒单后联系客服登记）",IF(ISNUMBER(SEARCH("包修",L375)),"【购机】"&amp;MID(L375,SEARCH("购机",L375)+LEN("购机"),LEN(L375)),IF(ISNUMBER(SEARCH("叠放支架",L375)),"【赠品】"&amp;MID(L375,SEARCH("购机",L375)+LEN("购机"),LEN(L375)),IF(ISNUMBER(SEARCH("秀图",L375)),"【秀图】"&amp;MID(L375,SEARCH("秀图",L375)+LEN("秀图"),LEN(L375)),"")))),IFERROR(LEFT(_xlpm.A,FIND("【",_xlpm.A,FIND("】",_xlpm.A)+1)-1)&amp;MID(_xlpm.A,FIND("】",_xlpm.A,FIND("】",_xlpm.A)+1)+1,LEN(_xlpm.A)),_xlpm.A))</f>
        <v/>
      </c>
      <c r="H375" s="18" t="str">
        <f>_xlfn.LET(_xlpm.A,IF(ISNUMBER(SEARCH("晒单",M375)),"【晒单】"&amp;MID(M375,SEARCH("晒单",M375)+LEN("晒单"),LEN(M375))&amp;"（需晒单后联系客服登记）",IF(ISNUMBER(SEARCH("包修",M375)),"【购机】"&amp;MID(M375,SEARCH("购机",M375)+LEN("购机"),LEN(M375)),IF(ISNUMBER(SEARCH("叠放支架",M375)),"【赠品】"&amp;MID(M375,SEARCH("购机",M375)+LEN("购机"),LEN(M375)),IF(ISNUMBER(SEARCH("秀图",M375)),"【秀图】"&amp;MID(M375,SEARCH("秀图",M375)+LEN("秀图"),LEN(M375)),"")))),IFERROR(LEFT(_xlpm.A,FIND("【",_xlpm.A,FIND("】",_xlpm.A)+1)-1)&amp;MID(_xlpm.A,FIND("】",_xlpm.A,FIND("】",_xlpm.A)+1)+1,LEN(_xlpm.A)),_xlpm.A))</f>
        <v/>
      </c>
      <c r="I375" s="18" t="str">
        <f>_xlfn.LET(_xlpm.A,IF(ISNUMBER(SEARCH("晒单",N375)),"【晒单】"&amp;MID(N375,SEARCH("晒单",N375)+LEN("晒单"),LEN(N375))&amp;"（需晒单后联系客服登记）",IF(ISNUMBER(SEARCH("包修",N375)),"【购机】"&amp;MID(N375,SEARCH("购机",N375)+LEN("购机"),LEN(N375)),IF(ISNUMBER(SEARCH("叠放支架",N375)),"【赠品】"&amp;MID(N375,SEARCH("购机",N375)+LEN("购机"),LEN(N375)),IF(ISNUMBER(SEARCH("秀图",N375)),"【秀图】"&amp;MID(N375,SEARCH("秀图",N375)+LEN("秀图"),LEN(N375)),"")))),IFERROR(LEFT(_xlpm.A,FIND("【",_xlpm.A,FIND("】",_xlpm.A)+1)-1)&amp;MID(_xlpm.A,FIND("】",_xlpm.A,FIND("】",_xlpm.A)+1)+1,LEN(_xlpm.A)),_xlpm.A))</f>
        <v/>
      </c>
      <c r="J375" s="18" t="str" cm="1">
        <f t="array" ref="J375">IFERROR(INDEX(_xlfn.TEXTSPLIT(_xlfn.XLOOKUP($A375&amp;$B375&amp;$C375,盘货信息!$A:$A&amp;盘货信息!$B:$B&amp;盘货信息!$C:$C,盘货信息!$S:$S),CHAR(10),,TRUE),1,COLUMN(A374)),"")</f>
        <v/>
      </c>
      <c r="K375" s="18" t="str" cm="1">
        <f t="array" ref="K375">IFERROR(INDEX(_xlfn.TEXTSPLIT(_xlfn.XLOOKUP($A375&amp;$B375&amp;$C375,盘货信息!$A:$A&amp;盘货信息!$B:$B&amp;盘货信息!$C:$C,盘货信息!$S:$S),CHAR(10),,TRUE),1,COLUMN(B374)),"")</f>
        <v/>
      </c>
      <c r="L375" s="18" t="str" cm="1">
        <f t="array" ref="L375">IFERROR(INDEX(_xlfn.TEXTSPLIT(_xlfn.XLOOKUP($A375&amp;$B375&amp;$C375,盘货信息!$A:$A&amp;盘货信息!$B:$B&amp;盘货信息!$C:$C,盘货信息!$S:$S),CHAR(10),,TRUE),1,COLUMN(C374)),"")</f>
        <v/>
      </c>
      <c r="M375" s="18" t="str" cm="1">
        <f t="array" ref="M375">IFERROR(INDEX(_xlfn.TEXTSPLIT(_xlfn.XLOOKUP($A375&amp;$B375&amp;$C375,盘货信息!$A:$A&amp;盘货信息!$B:$B&amp;盘货信息!$C:$C,盘货信息!$S:$S),CHAR(10),,TRUE),1,COLUMN(D374)),"")</f>
        <v/>
      </c>
      <c r="N375" s="18" t="str" cm="1">
        <f t="array" ref="N375">IFERROR(INDEX(_xlfn.TEXTSPLIT(_xlfn.XLOOKUP($A375&amp;$B375&amp;$C375,盘货信息!$A:$A&amp;盘货信息!$B:$B&amp;盘货信息!$C:$C,盘货信息!$S:$S),CHAR(10),,TRUE),1,COLUMN(E374)),"")</f>
        <v/>
      </c>
    </row>
    <row r="376" customHeight="1" spans="1:14">
      <c r="A376" s="17" t="str">
        <f>IF(盘货信息!A376="","",盘货信息!A376)</f>
        <v/>
      </c>
      <c r="B376" s="17" t="str">
        <f>IF(盘货信息!B376="","",盘货信息!B376)</f>
        <v/>
      </c>
      <c r="C376" s="18" t="str">
        <f>IF(盘货信息!C376="","",盘货信息!C376)</f>
        <v/>
      </c>
      <c r="D376" s="18" t="str">
        <f t="shared" si="5"/>
        <v/>
      </c>
      <c r="E376" s="18" t="str">
        <f>_xlfn.LET(_xlpm.A,IF(ISNUMBER(SEARCH("晒单",J376)),"【晒单】"&amp;MID(J376,SEARCH("晒单",J376)+LEN("晒单"),LEN(J376))&amp;"（需晒单后联系客服登记）",IF(ISNUMBER(SEARCH("包修",J376)),"【购机】"&amp;MID(J376,SEARCH("购机",J376)+LEN("购机"),LEN(J376)),IF(ISNUMBER(SEARCH("叠放支架",J376)),"【赠品】"&amp;MID(J376,SEARCH("购机",J376)+LEN("购机"),LEN(J376)),IF(ISNUMBER(SEARCH("秀图",J376)),"【秀图】"&amp;MID(J376,SEARCH("秀图",J376)+LEN("秀图"),LEN(J376)),"")))),IFERROR(LEFT(_xlpm.A,FIND("【",_xlpm.A,FIND("】",_xlpm.A)+1)-1)&amp;MID(_xlpm.A,FIND("】",_xlpm.A,FIND("】",_xlpm.A)+1)+1,LEN(_xlpm.A)),_xlpm.A))</f>
        <v/>
      </c>
      <c r="F376" s="18" t="str">
        <f>_xlfn.LET(_xlpm.A,IF(ISNUMBER(SEARCH("晒单",K376)),"【晒单】"&amp;MID(K376,SEARCH("晒单",K376)+LEN("晒单"),LEN(K376))&amp;"（需晒单后联系客服登记）",IF(ISNUMBER(SEARCH("包修",K376)),"【购机】"&amp;MID(K376,SEARCH("购机",K376)+LEN("购机"),LEN(K376)),IF(ISNUMBER(SEARCH("叠放支架",K376)),"【赠品】"&amp;MID(K376,SEARCH("购机",K376)+LEN("购机"),LEN(K376)),IF(ISNUMBER(SEARCH("秀图",K376)),"【秀图】"&amp;MID(K376,SEARCH("秀图",K376)+LEN("秀图"),LEN(K376)),"")))),IFERROR(LEFT(_xlpm.A,FIND("【",_xlpm.A,FIND("】",_xlpm.A)+1)-1)&amp;MID(_xlpm.A,FIND("】",_xlpm.A,FIND("】",_xlpm.A)+1)+1,LEN(_xlpm.A)),_xlpm.A))</f>
        <v/>
      </c>
      <c r="G376" s="18" t="str">
        <f>_xlfn.LET(_xlpm.A,IF(ISNUMBER(SEARCH("晒单",L376)),"【晒单】"&amp;MID(L376,SEARCH("晒单",L376)+LEN("晒单"),LEN(L376))&amp;"（需晒单后联系客服登记）",IF(ISNUMBER(SEARCH("包修",L376)),"【购机】"&amp;MID(L376,SEARCH("购机",L376)+LEN("购机"),LEN(L376)),IF(ISNUMBER(SEARCH("叠放支架",L376)),"【赠品】"&amp;MID(L376,SEARCH("购机",L376)+LEN("购机"),LEN(L376)),IF(ISNUMBER(SEARCH("秀图",L376)),"【秀图】"&amp;MID(L376,SEARCH("秀图",L376)+LEN("秀图"),LEN(L376)),"")))),IFERROR(LEFT(_xlpm.A,FIND("【",_xlpm.A,FIND("】",_xlpm.A)+1)-1)&amp;MID(_xlpm.A,FIND("】",_xlpm.A,FIND("】",_xlpm.A)+1)+1,LEN(_xlpm.A)),_xlpm.A))</f>
        <v/>
      </c>
      <c r="H376" s="18" t="str">
        <f>_xlfn.LET(_xlpm.A,IF(ISNUMBER(SEARCH("晒单",M376)),"【晒单】"&amp;MID(M376,SEARCH("晒单",M376)+LEN("晒单"),LEN(M376))&amp;"（需晒单后联系客服登记）",IF(ISNUMBER(SEARCH("包修",M376)),"【购机】"&amp;MID(M376,SEARCH("购机",M376)+LEN("购机"),LEN(M376)),IF(ISNUMBER(SEARCH("叠放支架",M376)),"【赠品】"&amp;MID(M376,SEARCH("购机",M376)+LEN("购机"),LEN(M376)),IF(ISNUMBER(SEARCH("秀图",M376)),"【秀图】"&amp;MID(M376,SEARCH("秀图",M376)+LEN("秀图"),LEN(M376)),"")))),IFERROR(LEFT(_xlpm.A,FIND("【",_xlpm.A,FIND("】",_xlpm.A)+1)-1)&amp;MID(_xlpm.A,FIND("】",_xlpm.A,FIND("】",_xlpm.A)+1)+1,LEN(_xlpm.A)),_xlpm.A))</f>
        <v/>
      </c>
      <c r="I376" s="18" t="str">
        <f>_xlfn.LET(_xlpm.A,IF(ISNUMBER(SEARCH("晒单",N376)),"【晒单】"&amp;MID(N376,SEARCH("晒单",N376)+LEN("晒单"),LEN(N376))&amp;"（需晒单后联系客服登记）",IF(ISNUMBER(SEARCH("包修",N376)),"【购机】"&amp;MID(N376,SEARCH("购机",N376)+LEN("购机"),LEN(N376)),IF(ISNUMBER(SEARCH("叠放支架",N376)),"【赠品】"&amp;MID(N376,SEARCH("购机",N376)+LEN("购机"),LEN(N376)),IF(ISNUMBER(SEARCH("秀图",N376)),"【秀图】"&amp;MID(N376,SEARCH("秀图",N376)+LEN("秀图"),LEN(N376)),"")))),IFERROR(LEFT(_xlpm.A,FIND("【",_xlpm.A,FIND("】",_xlpm.A)+1)-1)&amp;MID(_xlpm.A,FIND("】",_xlpm.A,FIND("】",_xlpm.A)+1)+1,LEN(_xlpm.A)),_xlpm.A))</f>
        <v/>
      </c>
      <c r="J376" s="18" t="str" cm="1">
        <f t="array" ref="J376">IFERROR(INDEX(_xlfn.TEXTSPLIT(_xlfn.XLOOKUP($A376&amp;$B376&amp;$C376,盘货信息!$A:$A&amp;盘货信息!$B:$B&amp;盘货信息!$C:$C,盘货信息!$S:$S),CHAR(10),,TRUE),1,COLUMN(A375)),"")</f>
        <v/>
      </c>
      <c r="K376" s="18" t="str" cm="1">
        <f t="array" ref="K376">IFERROR(INDEX(_xlfn.TEXTSPLIT(_xlfn.XLOOKUP($A376&amp;$B376&amp;$C376,盘货信息!$A:$A&amp;盘货信息!$B:$B&amp;盘货信息!$C:$C,盘货信息!$S:$S),CHAR(10),,TRUE),1,COLUMN(B375)),"")</f>
        <v/>
      </c>
      <c r="L376" s="18" t="str" cm="1">
        <f t="array" ref="L376">IFERROR(INDEX(_xlfn.TEXTSPLIT(_xlfn.XLOOKUP($A376&amp;$B376&amp;$C376,盘货信息!$A:$A&amp;盘货信息!$B:$B&amp;盘货信息!$C:$C,盘货信息!$S:$S),CHAR(10),,TRUE),1,COLUMN(C375)),"")</f>
        <v/>
      </c>
      <c r="M376" s="18" t="str" cm="1">
        <f t="array" ref="M376">IFERROR(INDEX(_xlfn.TEXTSPLIT(_xlfn.XLOOKUP($A376&amp;$B376&amp;$C376,盘货信息!$A:$A&amp;盘货信息!$B:$B&amp;盘货信息!$C:$C,盘货信息!$S:$S),CHAR(10),,TRUE),1,COLUMN(D375)),"")</f>
        <v/>
      </c>
      <c r="N376" s="18" t="str" cm="1">
        <f t="array" ref="N376">IFERROR(INDEX(_xlfn.TEXTSPLIT(_xlfn.XLOOKUP($A376&amp;$B376&amp;$C376,盘货信息!$A:$A&amp;盘货信息!$B:$B&amp;盘货信息!$C:$C,盘货信息!$S:$S),CHAR(10),,TRUE),1,COLUMN(E375)),"")</f>
        <v/>
      </c>
    </row>
    <row r="377" customHeight="1" spans="1:14">
      <c r="A377" s="17" t="str">
        <f>IF(盘货信息!A377="","",盘货信息!A377)</f>
        <v/>
      </c>
      <c r="B377" s="17" t="str">
        <f>IF(盘货信息!B377="","",盘货信息!B377)</f>
        <v/>
      </c>
      <c r="C377" s="18" t="str">
        <f>IF(盘货信息!C377="","",盘货信息!C377)</f>
        <v/>
      </c>
      <c r="D377" s="18" t="str">
        <f t="shared" si="5"/>
        <v/>
      </c>
      <c r="E377" s="18" t="str">
        <f>_xlfn.LET(_xlpm.A,IF(ISNUMBER(SEARCH("晒单",J377)),"【晒单】"&amp;MID(J377,SEARCH("晒单",J377)+LEN("晒单"),LEN(J377))&amp;"（需晒单后联系客服登记）",IF(ISNUMBER(SEARCH("包修",J377)),"【购机】"&amp;MID(J377,SEARCH("购机",J377)+LEN("购机"),LEN(J377)),IF(ISNUMBER(SEARCH("叠放支架",J377)),"【赠品】"&amp;MID(J377,SEARCH("购机",J377)+LEN("购机"),LEN(J377)),IF(ISNUMBER(SEARCH("秀图",J377)),"【秀图】"&amp;MID(J377,SEARCH("秀图",J377)+LEN("秀图"),LEN(J377)),"")))),IFERROR(LEFT(_xlpm.A,FIND("【",_xlpm.A,FIND("】",_xlpm.A)+1)-1)&amp;MID(_xlpm.A,FIND("】",_xlpm.A,FIND("】",_xlpm.A)+1)+1,LEN(_xlpm.A)),_xlpm.A))</f>
        <v/>
      </c>
      <c r="F377" s="18" t="str">
        <f>_xlfn.LET(_xlpm.A,IF(ISNUMBER(SEARCH("晒单",K377)),"【晒单】"&amp;MID(K377,SEARCH("晒单",K377)+LEN("晒单"),LEN(K377))&amp;"（需晒单后联系客服登记）",IF(ISNUMBER(SEARCH("包修",K377)),"【购机】"&amp;MID(K377,SEARCH("购机",K377)+LEN("购机"),LEN(K377)),IF(ISNUMBER(SEARCH("叠放支架",K377)),"【赠品】"&amp;MID(K377,SEARCH("购机",K377)+LEN("购机"),LEN(K377)),IF(ISNUMBER(SEARCH("秀图",K377)),"【秀图】"&amp;MID(K377,SEARCH("秀图",K377)+LEN("秀图"),LEN(K377)),"")))),IFERROR(LEFT(_xlpm.A,FIND("【",_xlpm.A,FIND("】",_xlpm.A)+1)-1)&amp;MID(_xlpm.A,FIND("】",_xlpm.A,FIND("】",_xlpm.A)+1)+1,LEN(_xlpm.A)),_xlpm.A))</f>
        <v/>
      </c>
      <c r="G377" s="18" t="str">
        <f>_xlfn.LET(_xlpm.A,IF(ISNUMBER(SEARCH("晒单",L377)),"【晒单】"&amp;MID(L377,SEARCH("晒单",L377)+LEN("晒单"),LEN(L377))&amp;"（需晒单后联系客服登记）",IF(ISNUMBER(SEARCH("包修",L377)),"【购机】"&amp;MID(L377,SEARCH("购机",L377)+LEN("购机"),LEN(L377)),IF(ISNUMBER(SEARCH("叠放支架",L377)),"【赠品】"&amp;MID(L377,SEARCH("购机",L377)+LEN("购机"),LEN(L377)),IF(ISNUMBER(SEARCH("秀图",L377)),"【秀图】"&amp;MID(L377,SEARCH("秀图",L377)+LEN("秀图"),LEN(L377)),"")))),IFERROR(LEFT(_xlpm.A,FIND("【",_xlpm.A,FIND("】",_xlpm.A)+1)-1)&amp;MID(_xlpm.A,FIND("】",_xlpm.A,FIND("】",_xlpm.A)+1)+1,LEN(_xlpm.A)),_xlpm.A))</f>
        <v/>
      </c>
      <c r="H377" s="18" t="str">
        <f>_xlfn.LET(_xlpm.A,IF(ISNUMBER(SEARCH("晒单",M377)),"【晒单】"&amp;MID(M377,SEARCH("晒单",M377)+LEN("晒单"),LEN(M377))&amp;"（需晒单后联系客服登记）",IF(ISNUMBER(SEARCH("包修",M377)),"【购机】"&amp;MID(M377,SEARCH("购机",M377)+LEN("购机"),LEN(M377)),IF(ISNUMBER(SEARCH("叠放支架",M377)),"【赠品】"&amp;MID(M377,SEARCH("购机",M377)+LEN("购机"),LEN(M377)),IF(ISNUMBER(SEARCH("秀图",M377)),"【秀图】"&amp;MID(M377,SEARCH("秀图",M377)+LEN("秀图"),LEN(M377)),"")))),IFERROR(LEFT(_xlpm.A,FIND("【",_xlpm.A,FIND("】",_xlpm.A)+1)-1)&amp;MID(_xlpm.A,FIND("】",_xlpm.A,FIND("】",_xlpm.A)+1)+1,LEN(_xlpm.A)),_xlpm.A))</f>
        <v/>
      </c>
      <c r="I377" s="18" t="str">
        <f>_xlfn.LET(_xlpm.A,IF(ISNUMBER(SEARCH("晒单",N377)),"【晒单】"&amp;MID(N377,SEARCH("晒单",N377)+LEN("晒单"),LEN(N377))&amp;"（需晒单后联系客服登记）",IF(ISNUMBER(SEARCH("包修",N377)),"【购机】"&amp;MID(N377,SEARCH("购机",N377)+LEN("购机"),LEN(N377)),IF(ISNUMBER(SEARCH("叠放支架",N377)),"【赠品】"&amp;MID(N377,SEARCH("购机",N377)+LEN("购机"),LEN(N377)),IF(ISNUMBER(SEARCH("秀图",N377)),"【秀图】"&amp;MID(N377,SEARCH("秀图",N377)+LEN("秀图"),LEN(N377)),"")))),IFERROR(LEFT(_xlpm.A,FIND("【",_xlpm.A,FIND("】",_xlpm.A)+1)-1)&amp;MID(_xlpm.A,FIND("】",_xlpm.A,FIND("】",_xlpm.A)+1)+1,LEN(_xlpm.A)),_xlpm.A))</f>
        <v/>
      </c>
      <c r="J377" s="18" t="str" cm="1">
        <f t="array" ref="J377">IFERROR(INDEX(_xlfn.TEXTSPLIT(_xlfn.XLOOKUP($A377&amp;$B377&amp;$C377,盘货信息!$A:$A&amp;盘货信息!$B:$B&amp;盘货信息!$C:$C,盘货信息!$S:$S),CHAR(10),,TRUE),1,COLUMN(A376)),"")</f>
        <v/>
      </c>
      <c r="K377" s="18" t="str" cm="1">
        <f t="array" ref="K377">IFERROR(INDEX(_xlfn.TEXTSPLIT(_xlfn.XLOOKUP($A377&amp;$B377&amp;$C377,盘货信息!$A:$A&amp;盘货信息!$B:$B&amp;盘货信息!$C:$C,盘货信息!$S:$S),CHAR(10),,TRUE),1,COLUMN(B376)),"")</f>
        <v/>
      </c>
      <c r="L377" s="18" t="str" cm="1">
        <f t="array" ref="L377">IFERROR(INDEX(_xlfn.TEXTSPLIT(_xlfn.XLOOKUP($A377&amp;$B377&amp;$C377,盘货信息!$A:$A&amp;盘货信息!$B:$B&amp;盘货信息!$C:$C,盘货信息!$S:$S),CHAR(10),,TRUE),1,COLUMN(C376)),"")</f>
        <v/>
      </c>
      <c r="M377" s="18" t="str" cm="1">
        <f t="array" ref="M377">IFERROR(INDEX(_xlfn.TEXTSPLIT(_xlfn.XLOOKUP($A377&amp;$B377&amp;$C377,盘货信息!$A:$A&amp;盘货信息!$B:$B&amp;盘货信息!$C:$C,盘货信息!$S:$S),CHAR(10),,TRUE),1,COLUMN(D376)),"")</f>
        <v/>
      </c>
      <c r="N377" s="18" t="str" cm="1">
        <f t="array" ref="N377">IFERROR(INDEX(_xlfn.TEXTSPLIT(_xlfn.XLOOKUP($A377&amp;$B377&amp;$C377,盘货信息!$A:$A&amp;盘货信息!$B:$B&amp;盘货信息!$C:$C,盘货信息!$S:$S),CHAR(10),,TRUE),1,COLUMN(E376)),"")</f>
        <v/>
      </c>
    </row>
    <row r="378" customHeight="1" spans="1:14">
      <c r="A378" s="17" t="str">
        <f>IF(盘货信息!A378="","",盘货信息!A378)</f>
        <v/>
      </c>
      <c r="B378" s="17" t="str">
        <f>IF(盘货信息!B378="","",盘货信息!B378)</f>
        <v/>
      </c>
      <c r="C378" s="18" t="str">
        <f>IF(盘货信息!C378="","",盘货信息!C378)</f>
        <v/>
      </c>
      <c r="D378" s="18" t="str">
        <f t="shared" si="5"/>
        <v/>
      </c>
      <c r="E378" s="18" t="str">
        <f>_xlfn.LET(_xlpm.A,IF(ISNUMBER(SEARCH("晒单",J378)),"【晒单】"&amp;MID(J378,SEARCH("晒单",J378)+LEN("晒单"),LEN(J378))&amp;"（需晒单后联系客服登记）",IF(ISNUMBER(SEARCH("包修",J378)),"【购机】"&amp;MID(J378,SEARCH("购机",J378)+LEN("购机"),LEN(J378)),IF(ISNUMBER(SEARCH("叠放支架",J378)),"【赠品】"&amp;MID(J378,SEARCH("购机",J378)+LEN("购机"),LEN(J378)),IF(ISNUMBER(SEARCH("秀图",J378)),"【秀图】"&amp;MID(J378,SEARCH("秀图",J378)+LEN("秀图"),LEN(J378)),"")))),IFERROR(LEFT(_xlpm.A,FIND("【",_xlpm.A,FIND("】",_xlpm.A)+1)-1)&amp;MID(_xlpm.A,FIND("】",_xlpm.A,FIND("】",_xlpm.A)+1)+1,LEN(_xlpm.A)),_xlpm.A))</f>
        <v/>
      </c>
      <c r="F378" s="18" t="str">
        <f>_xlfn.LET(_xlpm.A,IF(ISNUMBER(SEARCH("晒单",K378)),"【晒单】"&amp;MID(K378,SEARCH("晒单",K378)+LEN("晒单"),LEN(K378))&amp;"（需晒单后联系客服登记）",IF(ISNUMBER(SEARCH("包修",K378)),"【购机】"&amp;MID(K378,SEARCH("购机",K378)+LEN("购机"),LEN(K378)),IF(ISNUMBER(SEARCH("叠放支架",K378)),"【赠品】"&amp;MID(K378,SEARCH("购机",K378)+LEN("购机"),LEN(K378)),IF(ISNUMBER(SEARCH("秀图",K378)),"【秀图】"&amp;MID(K378,SEARCH("秀图",K378)+LEN("秀图"),LEN(K378)),"")))),IFERROR(LEFT(_xlpm.A,FIND("【",_xlpm.A,FIND("】",_xlpm.A)+1)-1)&amp;MID(_xlpm.A,FIND("】",_xlpm.A,FIND("】",_xlpm.A)+1)+1,LEN(_xlpm.A)),_xlpm.A))</f>
        <v/>
      </c>
      <c r="G378" s="18" t="str">
        <f>_xlfn.LET(_xlpm.A,IF(ISNUMBER(SEARCH("晒单",L378)),"【晒单】"&amp;MID(L378,SEARCH("晒单",L378)+LEN("晒单"),LEN(L378))&amp;"（需晒单后联系客服登记）",IF(ISNUMBER(SEARCH("包修",L378)),"【购机】"&amp;MID(L378,SEARCH("购机",L378)+LEN("购机"),LEN(L378)),IF(ISNUMBER(SEARCH("叠放支架",L378)),"【赠品】"&amp;MID(L378,SEARCH("购机",L378)+LEN("购机"),LEN(L378)),IF(ISNUMBER(SEARCH("秀图",L378)),"【秀图】"&amp;MID(L378,SEARCH("秀图",L378)+LEN("秀图"),LEN(L378)),"")))),IFERROR(LEFT(_xlpm.A,FIND("【",_xlpm.A,FIND("】",_xlpm.A)+1)-1)&amp;MID(_xlpm.A,FIND("】",_xlpm.A,FIND("】",_xlpm.A)+1)+1,LEN(_xlpm.A)),_xlpm.A))</f>
        <v/>
      </c>
      <c r="H378" s="18" t="str">
        <f>_xlfn.LET(_xlpm.A,IF(ISNUMBER(SEARCH("晒单",M378)),"【晒单】"&amp;MID(M378,SEARCH("晒单",M378)+LEN("晒单"),LEN(M378))&amp;"（需晒单后联系客服登记）",IF(ISNUMBER(SEARCH("包修",M378)),"【购机】"&amp;MID(M378,SEARCH("购机",M378)+LEN("购机"),LEN(M378)),IF(ISNUMBER(SEARCH("叠放支架",M378)),"【赠品】"&amp;MID(M378,SEARCH("购机",M378)+LEN("购机"),LEN(M378)),IF(ISNUMBER(SEARCH("秀图",M378)),"【秀图】"&amp;MID(M378,SEARCH("秀图",M378)+LEN("秀图"),LEN(M378)),"")))),IFERROR(LEFT(_xlpm.A,FIND("【",_xlpm.A,FIND("】",_xlpm.A)+1)-1)&amp;MID(_xlpm.A,FIND("】",_xlpm.A,FIND("】",_xlpm.A)+1)+1,LEN(_xlpm.A)),_xlpm.A))</f>
        <v/>
      </c>
      <c r="I378" s="18" t="str">
        <f>_xlfn.LET(_xlpm.A,IF(ISNUMBER(SEARCH("晒单",N378)),"【晒单】"&amp;MID(N378,SEARCH("晒单",N378)+LEN("晒单"),LEN(N378))&amp;"（需晒单后联系客服登记）",IF(ISNUMBER(SEARCH("包修",N378)),"【购机】"&amp;MID(N378,SEARCH("购机",N378)+LEN("购机"),LEN(N378)),IF(ISNUMBER(SEARCH("叠放支架",N378)),"【赠品】"&amp;MID(N378,SEARCH("购机",N378)+LEN("购机"),LEN(N378)),IF(ISNUMBER(SEARCH("秀图",N378)),"【秀图】"&amp;MID(N378,SEARCH("秀图",N378)+LEN("秀图"),LEN(N378)),"")))),IFERROR(LEFT(_xlpm.A,FIND("【",_xlpm.A,FIND("】",_xlpm.A)+1)-1)&amp;MID(_xlpm.A,FIND("】",_xlpm.A,FIND("】",_xlpm.A)+1)+1,LEN(_xlpm.A)),_xlpm.A))</f>
        <v/>
      </c>
      <c r="J378" s="18" t="str" cm="1">
        <f t="array" ref="J378">IFERROR(INDEX(_xlfn.TEXTSPLIT(_xlfn.XLOOKUP($A378&amp;$B378&amp;$C378,盘货信息!$A:$A&amp;盘货信息!$B:$B&amp;盘货信息!$C:$C,盘货信息!$S:$S),CHAR(10),,TRUE),1,COLUMN(A377)),"")</f>
        <v/>
      </c>
      <c r="K378" s="18" t="str" cm="1">
        <f t="array" ref="K378">IFERROR(INDEX(_xlfn.TEXTSPLIT(_xlfn.XLOOKUP($A378&amp;$B378&amp;$C378,盘货信息!$A:$A&amp;盘货信息!$B:$B&amp;盘货信息!$C:$C,盘货信息!$S:$S),CHAR(10),,TRUE),1,COLUMN(B377)),"")</f>
        <v/>
      </c>
      <c r="L378" s="18" t="str" cm="1">
        <f t="array" ref="L378">IFERROR(INDEX(_xlfn.TEXTSPLIT(_xlfn.XLOOKUP($A378&amp;$B378&amp;$C378,盘货信息!$A:$A&amp;盘货信息!$B:$B&amp;盘货信息!$C:$C,盘货信息!$S:$S),CHAR(10),,TRUE),1,COLUMN(C377)),"")</f>
        <v/>
      </c>
      <c r="M378" s="18" t="str" cm="1">
        <f t="array" ref="M378">IFERROR(INDEX(_xlfn.TEXTSPLIT(_xlfn.XLOOKUP($A378&amp;$B378&amp;$C378,盘货信息!$A:$A&amp;盘货信息!$B:$B&amp;盘货信息!$C:$C,盘货信息!$S:$S),CHAR(10),,TRUE),1,COLUMN(D377)),"")</f>
        <v/>
      </c>
      <c r="N378" s="18" t="str" cm="1">
        <f t="array" ref="N378">IFERROR(INDEX(_xlfn.TEXTSPLIT(_xlfn.XLOOKUP($A378&amp;$B378&amp;$C378,盘货信息!$A:$A&amp;盘货信息!$B:$B&amp;盘货信息!$C:$C,盘货信息!$S:$S),CHAR(10),,TRUE),1,COLUMN(E377)),"")</f>
        <v/>
      </c>
    </row>
    <row r="379" customHeight="1" spans="1:14">
      <c r="A379" s="17" t="str">
        <f>IF(盘货信息!A379="","",盘货信息!A379)</f>
        <v/>
      </c>
      <c r="B379" s="17" t="str">
        <f>IF(盘货信息!B379="","",盘货信息!B379)</f>
        <v/>
      </c>
      <c r="C379" s="18" t="str">
        <f>IF(盘货信息!C379="","",盘货信息!C379)</f>
        <v/>
      </c>
      <c r="D379" s="18" t="str">
        <f t="shared" si="5"/>
        <v/>
      </c>
      <c r="E379" s="18" t="str">
        <f>_xlfn.LET(_xlpm.A,IF(ISNUMBER(SEARCH("晒单",J379)),"【晒单】"&amp;MID(J379,SEARCH("晒单",J379)+LEN("晒单"),LEN(J379))&amp;"（需晒单后联系客服登记）",IF(ISNUMBER(SEARCH("包修",J379)),"【购机】"&amp;MID(J379,SEARCH("购机",J379)+LEN("购机"),LEN(J379)),IF(ISNUMBER(SEARCH("叠放支架",J379)),"【赠品】"&amp;MID(J379,SEARCH("购机",J379)+LEN("购机"),LEN(J379)),IF(ISNUMBER(SEARCH("秀图",J379)),"【秀图】"&amp;MID(J379,SEARCH("秀图",J379)+LEN("秀图"),LEN(J379)),"")))),IFERROR(LEFT(_xlpm.A,FIND("【",_xlpm.A,FIND("】",_xlpm.A)+1)-1)&amp;MID(_xlpm.A,FIND("】",_xlpm.A,FIND("】",_xlpm.A)+1)+1,LEN(_xlpm.A)),_xlpm.A))</f>
        <v/>
      </c>
      <c r="F379" s="18" t="str">
        <f>_xlfn.LET(_xlpm.A,IF(ISNUMBER(SEARCH("晒单",K379)),"【晒单】"&amp;MID(K379,SEARCH("晒单",K379)+LEN("晒单"),LEN(K379))&amp;"（需晒单后联系客服登记）",IF(ISNUMBER(SEARCH("包修",K379)),"【购机】"&amp;MID(K379,SEARCH("购机",K379)+LEN("购机"),LEN(K379)),IF(ISNUMBER(SEARCH("叠放支架",K379)),"【赠品】"&amp;MID(K379,SEARCH("购机",K379)+LEN("购机"),LEN(K379)),IF(ISNUMBER(SEARCH("秀图",K379)),"【秀图】"&amp;MID(K379,SEARCH("秀图",K379)+LEN("秀图"),LEN(K379)),"")))),IFERROR(LEFT(_xlpm.A,FIND("【",_xlpm.A,FIND("】",_xlpm.A)+1)-1)&amp;MID(_xlpm.A,FIND("】",_xlpm.A,FIND("】",_xlpm.A)+1)+1,LEN(_xlpm.A)),_xlpm.A))</f>
        <v/>
      </c>
      <c r="G379" s="18" t="str">
        <f>_xlfn.LET(_xlpm.A,IF(ISNUMBER(SEARCH("晒单",L379)),"【晒单】"&amp;MID(L379,SEARCH("晒单",L379)+LEN("晒单"),LEN(L379))&amp;"（需晒单后联系客服登记）",IF(ISNUMBER(SEARCH("包修",L379)),"【购机】"&amp;MID(L379,SEARCH("购机",L379)+LEN("购机"),LEN(L379)),IF(ISNUMBER(SEARCH("叠放支架",L379)),"【赠品】"&amp;MID(L379,SEARCH("购机",L379)+LEN("购机"),LEN(L379)),IF(ISNUMBER(SEARCH("秀图",L379)),"【秀图】"&amp;MID(L379,SEARCH("秀图",L379)+LEN("秀图"),LEN(L379)),"")))),IFERROR(LEFT(_xlpm.A,FIND("【",_xlpm.A,FIND("】",_xlpm.A)+1)-1)&amp;MID(_xlpm.A,FIND("】",_xlpm.A,FIND("】",_xlpm.A)+1)+1,LEN(_xlpm.A)),_xlpm.A))</f>
        <v/>
      </c>
      <c r="H379" s="18" t="str">
        <f>_xlfn.LET(_xlpm.A,IF(ISNUMBER(SEARCH("晒单",M379)),"【晒单】"&amp;MID(M379,SEARCH("晒单",M379)+LEN("晒单"),LEN(M379))&amp;"（需晒单后联系客服登记）",IF(ISNUMBER(SEARCH("包修",M379)),"【购机】"&amp;MID(M379,SEARCH("购机",M379)+LEN("购机"),LEN(M379)),IF(ISNUMBER(SEARCH("叠放支架",M379)),"【赠品】"&amp;MID(M379,SEARCH("购机",M379)+LEN("购机"),LEN(M379)),IF(ISNUMBER(SEARCH("秀图",M379)),"【秀图】"&amp;MID(M379,SEARCH("秀图",M379)+LEN("秀图"),LEN(M379)),"")))),IFERROR(LEFT(_xlpm.A,FIND("【",_xlpm.A,FIND("】",_xlpm.A)+1)-1)&amp;MID(_xlpm.A,FIND("】",_xlpm.A,FIND("】",_xlpm.A)+1)+1,LEN(_xlpm.A)),_xlpm.A))</f>
        <v/>
      </c>
      <c r="I379" s="18" t="str">
        <f>_xlfn.LET(_xlpm.A,IF(ISNUMBER(SEARCH("晒单",N379)),"【晒单】"&amp;MID(N379,SEARCH("晒单",N379)+LEN("晒单"),LEN(N379))&amp;"（需晒单后联系客服登记）",IF(ISNUMBER(SEARCH("包修",N379)),"【购机】"&amp;MID(N379,SEARCH("购机",N379)+LEN("购机"),LEN(N379)),IF(ISNUMBER(SEARCH("叠放支架",N379)),"【赠品】"&amp;MID(N379,SEARCH("购机",N379)+LEN("购机"),LEN(N379)),IF(ISNUMBER(SEARCH("秀图",N379)),"【秀图】"&amp;MID(N379,SEARCH("秀图",N379)+LEN("秀图"),LEN(N379)),"")))),IFERROR(LEFT(_xlpm.A,FIND("【",_xlpm.A,FIND("】",_xlpm.A)+1)-1)&amp;MID(_xlpm.A,FIND("】",_xlpm.A,FIND("】",_xlpm.A)+1)+1,LEN(_xlpm.A)),_xlpm.A))</f>
        <v/>
      </c>
      <c r="J379" s="18" t="str" cm="1">
        <f t="array" ref="J379">IFERROR(INDEX(_xlfn.TEXTSPLIT(_xlfn.XLOOKUP($A379&amp;$B379&amp;$C379,盘货信息!$A:$A&amp;盘货信息!$B:$B&amp;盘货信息!$C:$C,盘货信息!$S:$S),CHAR(10),,TRUE),1,COLUMN(A378)),"")</f>
        <v/>
      </c>
      <c r="K379" s="18" t="str" cm="1">
        <f t="array" ref="K379">IFERROR(INDEX(_xlfn.TEXTSPLIT(_xlfn.XLOOKUP($A379&amp;$B379&amp;$C379,盘货信息!$A:$A&amp;盘货信息!$B:$B&amp;盘货信息!$C:$C,盘货信息!$S:$S),CHAR(10),,TRUE),1,COLUMN(B378)),"")</f>
        <v/>
      </c>
      <c r="L379" s="18" t="str" cm="1">
        <f t="array" ref="L379">IFERROR(INDEX(_xlfn.TEXTSPLIT(_xlfn.XLOOKUP($A379&amp;$B379&amp;$C379,盘货信息!$A:$A&amp;盘货信息!$B:$B&amp;盘货信息!$C:$C,盘货信息!$S:$S),CHAR(10),,TRUE),1,COLUMN(C378)),"")</f>
        <v/>
      </c>
      <c r="M379" s="18" t="str" cm="1">
        <f t="array" ref="M379">IFERROR(INDEX(_xlfn.TEXTSPLIT(_xlfn.XLOOKUP($A379&amp;$B379&amp;$C379,盘货信息!$A:$A&amp;盘货信息!$B:$B&amp;盘货信息!$C:$C,盘货信息!$S:$S),CHAR(10),,TRUE),1,COLUMN(D378)),"")</f>
        <v/>
      </c>
      <c r="N379" s="18" t="str" cm="1">
        <f t="array" ref="N379">IFERROR(INDEX(_xlfn.TEXTSPLIT(_xlfn.XLOOKUP($A379&amp;$B379&amp;$C379,盘货信息!$A:$A&amp;盘货信息!$B:$B&amp;盘货信息!$C:$C,盘货信息!$S:$S),CHAR(10),,TRUE),1,COLUMN(E378)),"")</f>
        <v/>
      </c>
    </row>
    <row r="380" customHeight="1" spans="1:14">
      <c r="A380" s="17" t="str">
        <f>IF(盘货信息!A380="","",盘货信息!A380)</f>
        <v/>
      </c>
      <c r="B380" s="17" t="str">
        <f>IF(盘货信息!B380="","",盘货信息!B380)</f>
        <v/>
      </c>
      <c r="C380" s="18" t="str">
        <f>IF(盘货信息!C380="","",盘货信息!C380)</f>
        <v/>
      </c>
      <c r="D380" s="18" t="str">
        <f t="shared" si="5"/>
        <v/>
      </c>
      <c r="E380" s="18" t="str">
        <f>_xlfn.LET(_xlpm.A,IF(ISNUMBER(SEARCH("晒单",J380)),"【晒单】"&amp;MID(J380,SEARCH("晒单",J380)+LEN("晒单"),LEN(J380))&amp;"（需晒单后联系客服登记）",IF(ISNUMBER(SEARCH("包修",J380)),"【购机】"&amp;MID(J380,SEARCH("购机",J380)+LEN("购机"),LEN(J380)),IF(ISNUMBER(SEARCH("叠放支架",J380)),"【赠品】"&amp;MID(J380,SEARCH("购机",J380)+LEN("购机"),LEN(J380)),IF(ISNUMBER(SEARCH("秀图",J380)),"【秀图】"&amp;MID(J380,SEARCH("秀图",J380)+LEN("秀图"),LEN(J380)),"")))),IFERROR(LEFT(_xlpm.A,FIND("【",_xlpm.A,FIND("】",_xlpm.A)+1)-1)&amp;MID(_xlpm.A,FIND("】",_xlpm.A,FIND("】",_xlpm.A)+1)+1,LEN(_xlpm.A)),_xlpm.A))</f>
        <v/>
      </c>
      <c r="F380" s="18" t="str">
        <f>_xlfn.LET(_xlpm.A,IF(ISNUMBER(SEARCH("晒单",K380)),"【晒单】"&amp;MID(K380,SEARCH("晒单",K380)+LEN("晒单"),LEN(K380))&amp;"（需晒单后联系客服登记）",IF(ISNUMBER(SEARCH("包修",K380)),"【购机】"&amp;MID(K380,SEARCH("购机",K380)+LEN("购机"),LEN(K380)),IF(ISNUMBER(SEARCH("叠放支架",K380)),"【赠品】"&amp;MID(K380,SEARCH("购机",K380)+LEN("购机"),LEN(K380)),IF(ISNUMBER(SEARCH("秀图",K380)),"【秀图】"&amp;MID(K380,SEARCH("秀图",K380)+LEN("秀图"),LEN(K380)),"")))),IFERROR(LEFT(_xlpm.A,FIND("【",_xlpm.A,FIND("】",_xlpm.A)+1)-1)&amp;MID(_xlpm.A,FIND("】",_xlpm.A,FIND("】",_xlpm.A)+1)+1,LEN(_xlpm.A)),_xlpm.A))</f>
        <v/>
      </c>
      <c r="G380" s="18" t="str">
        <f>_xlfn.LET(_xlpm.A,IF(ISNUMBER(SEARCH("晒单",L380)),"【晒单】"&amp;MID(L380,SEARCH("晒单",L380)+LEN("晒单"),LEN(L380))&amp;"（需晒单后联系客服登记）",IF(ISNUMBER(SEARCH("包修",L380)),"【购机】"&amp;MID(L380,SEARCH("购机",L380)+LEN("购机"),LEN(L380)),IF(ISNUMBER(SEARCH("叠放支架",L380)),"【赠品】"&amp;MID(L380,SEARCH("购机",L380)+LEN("购机"),LEN(L380)),IF(ISNUMBER(SEARCH("秀图",L380)),"【秀图】"&amp;MID(L380,SEARCH("秀图",L380)+LEN("秀图"),LEN(L380)),"")))),IFERROR(LEFT(_xlpm.A,FIND("【",_xlpm.A,FIND("】",_xlpm.A)+1)-1)&amp;MID(_xlpm.A,FIND("】",_xlpm.A,FIND("】",_xlpm.A)+1)+1,LEN(_xlpm.A)),_xlpm.A))</f>
        <v/>
      </c>
      <c r="H380" s="18" t="str">
        <f>_xlfn.LET(_xlpm.A,IF(ISNUMBER(SEARCH("晒单",M380)),"【晒单】"&amp;MID(M380,SEARCH("晒单",M380)+LEN("晒单"),LEN(M380))&amp;"（需晒单后联系客服登记）",IF(ISNUMBER(SEARCH("包修",M380)),"【购机】"&amp;MID(M380,SEARCH("购机",M380)+LEN("购机"),LEN(M380)),IF(ISNUMBER(SEARCH("叠放支架",M380)),"【赠品】"&amp;MID(M380,SEARCH("购机",M380)+LEN("购机"),LEN(M380)),IF(ISNUMBER(SEARCH("秀图",M380)),"【秀图】"&amp;MID(M380,SEARCH("秀图",M380)+LEN("秀图"),LEN(M380)),"")))),IFERROR(LEFT(_xlpm.A,FIND("【",_xlpm.A,FIND("】",_xlpm.A)+1)-1)&amp;MID(_xlpm.A,FIND("】",_xlpm.A,FIND("】",_xlpm.A)+1)+1,LEN(_xlpm.A)),_xlpm.A))</f>
        <v/>
      </c>
      <c r="I380" s="18" t="str">
        <f>_xlfn.LET(_xlpm.A,IF(ISNUMBER(SEARCH("晒单",N380)),"【晒单】"&amp;MID(N380,SEARCH("晒单",N380)+LEN("晒单"),LEN(N380))&amp;"（需晒单后联系客服登记）",IF(ISNUMBER(SEARCH("包修",N380)),"【购机】"&amp;MID(N380,SEARCH("购机",N380)+LEN("购机"),LEN(N380)),IF(ISNUMBER(SEARCH("叠放支架",N380)),"【赠品】"&amp;MID(N380,SEARCH("购机",N380)+LEN("购机"),LEN(N380)),IF(ISNUMBER(SEARCH("秀图",N380)),"【秀图】"&amp;MID(N380,SEARCH("秀图",N380)+LEN("秀图"),LEN(N380)),"")))),IFERROR(LEFT(_xlpm.A,FIND("【",_xlpm.A,FIND("】",_xlpm.A)+1)-1)&amp;MID(_xlpm.A,FIND("】",_xlpm.A,FIND("】",_xlpm.A)+1)+1,LEN(_xlpm.A)),_xlpm.A))</f>
        <v/>
      </c>
      <c r="J380" s="18" t="str" cm="1">
        <f t="array" ref="J380">IFERROR(INDEX(_xlfn.TEXTSPLIT(_xlfn.XLOOKUP($A380&amp;$B380&amp;$C380,盘货信息!$A:$A&amp;盘货信息!$B:$B&amp;盘货信息!$C:$C,盘货信息!$S:$S),CHAR(10),,TRUE),1,COLUMN(A379)),"")</f>
        <v/>
      </c>
      <c r="K380" s="18" t="str" cm="1">
        <f t="array" ref="K380">IFERROR(INDEX(_xlfn.TEXTSPLIT(_xlfn.XLOOKUP($A380&amp;$B380&amp;$C380,盘货信息!$A:$A&amp;盘货信息!$B:$B&amp;盘货信息!$C:$C,盘货信息!$S:$S),CHAR(10),,TRUE),1,COLUMN(B379)),"")</f>
        <v/>
      </c>
      <c r="L380" s="18" t="str" cm="1">
        <f t="array" ref="L380">IFERROR(INDEX(_xlfn.TEXTSPLIT(_xlfn.XLOOKUP($A380&amp;$B380&amp;$C380,盘货信息!$A:$A&amp;盘货信息!$B:$B&amp;盘货信息!$C:$C,盘货信息!$S:$S),CHAR(10),,TRUE),1,COLUMN(C379)),"")</f>
        <v/>
      </c>
      <c r="M380" s="18" t="str" cm="1">
        <f t="array" ref="M380">IFERROR(INDEX(_xlfn.TEXTSPLIT(_xlfn.XLOOKUP($A380&amp;$B380&amp;$C380,盘货信息!$A:$A&amp;盘货信息!$B:$B&amp;盘货信息!$C:$C,盘货信息!$S:$S),CHAR(10),,TRUE),1,COLUMN(D379)),"")</f>
        <v/>
      </c>
      <c r="N380" s="18" t="str" cm="1">
        <f t="array" ref="N380">IFERROR(INDEX(_xlfn.TEXTSPLIT(_xlfn.XLOOKUP($A380&amp;$B380&amp;$C380,盘货信息!$A:$A&amp;盘货信息!$B:$B&amp;盘货信息!$C:$C,盘货信息!$S:$S),CHAR(10),,TRUE),1,COLUMN(E379)),"")</f>
        <v/>
      </c>
    </row>
    <row r="381" customHeight="1" spans="1:14">
      <c r="A381" s="17" t="str">
        <f>IF(盘货信息!A381="","",盘货信息!A381)</f>
        <v/>
      </c>
      <c r="B381" s="17" t="str">
        <f>IF(盘货信息!B381="","",盘货信息!B381)</f>
        <v/>
      </c>
      <c r="C381" s="18" t="str">
        <f>IF(盘货信息!C381="","",盘货信息!C381)</f>
        <v/>
      </c>
      <c r="D381" s="18" t="str">
        <f t="shared" si="5"/>
        <v/>
      </c>
      <c r="E381" s="18" t="str">
        <f>_xlfn.LET(_xlpm.A,IF(ISNUMBER(SEARCH("晒单",J381)),"【晒单】"&amp;MID(J381,SEARCH("晒单",J381)+LEN("晒单"),LEN(J381))&amp;"（需晒单后联系客服登记）",IF(ISNUMBER(SEARCH("包修",J381)),"【购机】"&amp;MID(J381,SEARCH("购机",J381)+LEN("购机"),LEN(J381)),IF(ISNUMBER(SEARCH("叠放支架",J381)),"【赠品】"&amp;MID(J381,SEARCH("购机",J381)+LEN("购机"),LEN(J381)),IF(ISNUMBER(SEARCH("秀图",J381)),"【秀图】"&amp;MID(J381,SEARCH("秀图",J381)+LEN("秀图"),LEN(J381)),"")))),IFERROR(LEFT(_xlpm.A,FIND("【",_xlpm.A,FIND("】",_xlpm.A)+1)-1)&amp;MID(_xlpm.A,FIND("】",_xlpm.A,FIND("】",_xlpm.A)+1)+1,LEN(_xlpm.A)),_xlpm.A))</f>
        <v/>
      </c>
      <c r="F381" s="18" t="str">
        <f>_xlfn.LET(_xlpm.A,IF(ISNUMBER(SEARCH("晒单",K381)),"【晒单】"&amp;MID(K381,SEARCH("晒单",K381)+LEN("晒单"),LEN(K381))&amp;"（需晒单后联系客服登记）",IF(ISNUMBER(SEARCH("包修",K381)),"【购机】"&amp;MID(K381,SEARCH("购机",K381)+LEN("购机"),LEN(K381)),IF(ISNUMBER(SEARCH("叠放支架",K381)),"【赠品】"&amp;MID(K381,SEARCH("购机",K381)+LEN("购机"),LEN(K381)),IF(ISNUMBER(SEARCH("秀图",K381)),"【秀图】"&amp;MID(K381,SEARCH("秀图",K381)+LEN("秀图"),LEN(K381)),"")))),IFERROR(LEFT(_xlpm.A,FIND("【",_xlpm.A,FIND("】",_xlpm.A)+1)-1)&amp;MID(_xlpm.A,FIND("】",_xlpm.A,FIND("】",_xlpm.A)+1)+1,LEN(_xlpm.A)),_xlpm.A))</f>
        <v/>
      </c>
      <c r="G381" s="18" t="str">
        <f>_xlfn.LET(_xlpm.A,IF(ISNUMBER(SEARCH("晒单",L381)),"【晒单】"&amp;MID(L381,SEARCH("晒单",L381)+LEN("晒单"),LEN(L381))&amp;"（需晒单后联系客服登记）",IF(ISNUMBER(SEARCH("包修",L381)),"【购机】"&amp;MID(L381,SEARCH("购机",L381)+LEN("购机"),LEN(L381)),IF(ISNUMBER(SEARCH("叠放支架",L381)),"【赠品】"&amp;MID(L381,SEARCH("购机",L381)+LEN("购机"),LEN(L381)),IF(ISNUMBER(SEARCH("秀图",L381)),"【秀图】"&amp;MID(L381,SEARCH("秀图",L381)+LEN("秀图"),LEN(L381)),"")))),IFERROR(LEFT(_xlpm.A,FIND("【",_xlpm.A,FIND("】",_xlpm.A)+1)-1)&amp;MID(_xlpm.A,FIND("】",_xlpm.A,FIND("】",_xlpm.A)+1)+1,LEN(_xlpm.A)),_xlpm.A))</f>
        <v/>
      </c>
      <c r="H381" s="18" t="str">
        <f>_xlfn.LET(_xlpm.A,IF(ISNUMBER(SEARCH("晒单",M381)),"【晒单】"&amp;MID(M381,SEARCH("晒单",M381)+LEN("晒单"),LEN(M381))&amp;"（需晒单后联系客服登记）",IF(ISNUMBER(SEARCH("包修",M381)),"【购机】"&amp;MID(M381,SEARCH("购机",M381)+LEN("购机"),LEN(M381)),IF(ISNUMBER(SEARCH("叠放支架",M381)),"【赠品】"&amp;MID(M381,SEARCH("购机",M381)+LEN("购机"),LEN(M381)),IF(ISNUMBER(SEARCH("秀图",M381)),"【秀图】"&amp;MID(M381,SEARCH("秀图",M381)+LEN("秀图"),LEN(M381)),"")))),IFERROR(LEFT(_xlpm.A,FIND("【",_xlpm.A,FIND("】",_xlpm.A)+1)-1)&amp;MID(_xlpm.A,FIND("】",_xlpm.A,FIND("】",_xlpm.A)+1)+1,LEN(_xlpm.A)),_xlpm.A))</f>
        <v/>
      </c>
      <c r="I381" s="18" t="str">
        <f>_xlfn.LET(_xlpm.A,IF(ISNUMBER(SEARCH("晒单",N381)),"【晒单】"&amp;MID(N381,SEARCH("晒单",N381)+LEN("晒单"),LEN(N381))&amp;"（需晒单后联系客服登记）",IF(ISNUMBER(SEARCH("包修",N381)),"【购机】"&amp;MID(N381,SEARCH("购机",N381)+LEN("购机"),LEN(N381)),IF(ISNUMBER(SEARCH("叠放支架",N381)),"【赠品】"&amp;MID(N381,SEARCH("购机",N381)+LEN("购机"),LEN(N381)),IF(ISNUMBER(SEARCH("秀图",N381)),"【秀图】"&amp;MID(N381,SEARCH("秀图",N381)+LEN("秀图"),LEN(N381)),"")))),IFERROR(LEFT(_xlpm.A,FIND("【",_xlpm.A,FIND("】",_xlpm.A)+1)-1)&amp;MID(_xlpm.A,FIND("】",_xlpm.A,FIND("】",_xlpm.A)+1)+1,LEN(_xlpm.A)),_xlpm.A))</f>
        <v/>
      </c>
      <c r="J381" s="18" t="str" cm="1">
        <f t="array" ref="J381">IFERROR(INDEX(_xlfn.TEXTSPLIT(_xlfn.XLOOKUP($A381&amp;$B381&amp;$C381,盘货信息!$A:$A&amp;盘货信息!$B:$B&amp;盘货信息!$C:$C,盘货信息!$S:$S),CHAR(10),,TRUE),1,COLUMN(A380)),"")</f>
        <v/>
      </c>
      <c r="K381" s="18" t="str" cm="1">
        <f t="array" ref="K381">IFERROR(INDEX(_xlfn.TEXTSPLIT(_xlfn.XLOOKUP($A381&amp;$B381&amp;$C381,盘货信息!$A:$A&amp;盘货信息!$B:$B&amp;盘货信息!$C:$C,盘货信息!$S:$S),CHAR(10),,TRUE),1,COLUMN(B380)),"")</f>
        <v/>
      </c>
      <c r="L381" s="18" t="str" cm="1">
        <f t="array" ref="L381">IFERROR(INDEX(_xlfn.TEXTSPLIT(_xlfn.XLOOKUP($A381&amp;$B381&amp;$C381,盘货信息!$A:$A&amp;盘货信息!$B:$B&amp;盘货信息!$C:$C,盘货信息!$S:$S),CHAR(10),,TRUE),1,COLUMN(C380)),"")</f>
        <v/>
      </c>
      <c r="M381" s="18" t="str" cm="1">
        <f t="array" ref="M381">IFERROR(INDEX(_xlfn.TEXTSPLIT(_xlfn.XLOOKUP($A381&amp;$B381&amp;$C381,盘货信息!$A:$A&amp;盘货信息!$B:$B&amp;盘货信息!$C:$C,盘货信息!$S:$S),CHAR(10),,TRUE),1,COLUMN(D380)),"")</f>
        <v/>
      </c>
      <c r="N381" s="18" t="str" cm="1">
        <f t="array" ref="N381">IFERROR(INDEX(_xlfn.TEXTSPLIT(_xlfn.XLOOKUP($A381&amp;$B381&amp;$C381,盘货信息!$A:$A&amp;盘货信息!$B:$B&amp;盘货信息!$C:$C,盘货信息!$S:$S),CHAR(10),,TRUE),1,COLUMN(E380)),"")</f>
        <v/>
      </c>
    </row>
    <row r="382" customHeight="1" spans="1:14">
      <c r="A382" s="17" t="str">
        <f>IF(盘货信息!A382="","",盘货信息!A382)</f>
        <v/>
      </c>
      <c r="B382" s="17" t="str">
        <f>IF(盘货信息!B382="","",盘货信息!B382)</f>
        <v/>
      </c>
      <c r="C382" s="18" t="str">
        <f>IF(盘货信息!C382="","",盘货信息!C382)</f>
        <v/>
      </c>
      <c r="D382" s="18" t="str">
        <f t="shared" si="5"/>
        <v/>
      </c>
      <c r="E382" s="18" t="str">
        <f>_xlfn.LET(_xlpm.A,IF(ISNUMBER(SEARCH("晒单",J382)),"【晒单】"&amp;MID(J382,SEARCH("晒单",J382)+LEN("晒单"),LEN(J382))&amp;"（需晒单后联系客服登记）",IF(ISNUMBER(SEARCH("包修",J382)),"【购机】"&amp;MID(J382,SEARCH("购机",J382)+LEN("购机"),LEN(J382)),IF(ISNUMBER(SEARCH("叠放支架",J382)),"【赠品】"&amp;MID(J382,SEARCH("购机",J382)+LEN("购机"),LEN(J382)),IF(ISNUMBER(SEARCH("秀图",J382)),"【秀图】"&amp;MID(J382,SEARCH("秀图",J382)+LEN("秀图"),LEN(J382)),"")))),IFERROR(LEFT(_xlpm.A,FIND("【",_xlpm.A,FIND("】",_xlpm.A)+1)-1)&amp;MID(_xlpm.A,FIND("】",_xlpm.A,FIND("】",_xlpm.A)+1)+1,LEN(_xlpm.A)),_xlpm.A))</f>
        <v/>
      </c>
      <c r="F382" s="18" t="str">
        <f>_xlfn.LET(_xlpm.A,IF(ISNUMBER(SEARCH("晒单",K382)),"【晒单】"&amp;MID(K382,SEARCH("晒单",K382)+LEN("晒单"),LEN(K382))&amp;"（需晒单后联系客服登记）",IF(ISNUMBER(SEARCH("包修",K382)),"【购机】"&amp;MID(K382,SEARCH("购机",K382)+LEN("购机"),LEN(K382)),IF(ISNUMBER(SEARCH("叠放支架",K382)),"【赠品】"&amp;MID(K382,SEARCH("购机",K382)+LEN("购机"),LEN(K382)),IF(ISNUMBER(SEARCH("秀图",K382)),"【秀图】"&amp;MID(K382,SEARCH("秀图",K382)+LEN("秀图"),LEN(K382)),"")))),IFERROR(LEFT(_xlpm.A,FIND("【",_xlpm.A,FIND("】",_xlpm.A)+1)-1)&amp;MID(_xlpm.A,FIND("】",_xlpm.A,FIND("】",_xlpm.A)+1)+1,LEN(_xlpm.A)),_xlpm.A))</f>
        <v/>
      </c>
      <c r="G382" s="18" t="str">
        <f>_xlfn.LET(_xlpm.A,IF(ISNUMBER(SEARCH("晒单",L382)),"【晒单】"&amp;MID(L382,SEARCH("晒单",L382)+LEN("晒单"),LEN(L382))&amp;"（需晒单后联系客服登记）",IF(ISNUMBER(SEARCH("包修",L382)),"【购机】"&amp;MID(L382,SEARCH("购机",L382)+LEN("购机"),LEN(L382)),IF(ISNUMBER(SEARCH("叠放支架",L382)),"【赠品】"&amp;MID(L382,SEARCH("购机",L382)+LEN("购机"),LEN(L382)),IF(ISNUMBER(SEARCH("秀图",L382)),"【秀图】"&amp;MID(L382,SEARCH("秀图",L382)+LEN("秀图"),LEN(L382)),"")))),IFERROR(LEFT(_xlpm.A,FIND("【",_xlpm.A,FIND("】",_xlpm.A)+1)-1)&amp;MID(_xlpm.A,FIND("】",_xlpm.A,FIND("】",_xlpm.A)+1)+1,LEN(_xlpm.A)),_xlpm.A))</f>
        <v/>
      </c>
      <c r="H382" s="18" t="str">
        <f>_xlfn.LET(_xlpm.A,IF(ISNUMBER(SEARCH("晒单",M382)),"【晒单】"&amp;MID(M382,SEARCH("晒单",M382)+LEN("晒单"),LEN(M382))&amp;"（需晒单后联系客服登记）",IF(ISNUMBER(SEARCH("包修",M382)),"【购机】"&amp;MID(M382,SEARCH("购机",M382)+LEN("购机"),LEN(M382)),IF(ISNUMBER(SEARCH("叠放支架",M382)),"【赠品】"&amp;MID(M382,SEARCH("购机",M382)+LEN("购机"),LEN(M382)),IF(ISNUMBER(SEARCH("秀图",M382)),"【秀图】"&amp;MID(M382,SEARCH("秀图",M382)+LEN("秀图"),LEN(M382)),"")))),IFERROR(LEFT(_xlpm.A,FIND("【",_xlpm.A,FIND("】",_xlpm.A)+1)-1)&amp;MID(_xlpm.A,FIND("】",_xlpm.A,FIND("】",_xlpm.A)+1)+1,LEN(_xlpm.A)),_xlpm.A))</f>
        <v/>
      </c>
      <c r="I382" s="18" t="str">
        <f>_xlfn.LET(_xlpm.A,IF(ISNUMBER(SEARCH("晒单",N382)),"【晒单】"&amp;MID(N382,SEARCH("晒单",N382)+LEN("晒单"),LEN(N382))&amp;"（需晒单后联系客服登记）",IF(ISNUMBER(SEARCH("包修",N382)),"【购机】"&amp;MID(N382,SEARCH("购机",N382)+LEN("购机"),LEN(N382)),IF(ISNUMBER(SEARCH("叠放支架",N382)),"【赠品】"&amp;MID(N382,SEARCH("购机",N382)+LEN("购机"),LEN(N382)),IF(ISNUMBER(SEARCH("秀图",N382)),"【秀图】"&amp;MID(N382,SEARCH("秀图",N382)+LEN("秀图"),LEN(N382)),"")))),IFERROR(LEFT(_xlpm.A,FIND("【",_xlpm.A,FIND("】",_xlpm.A)+1)-1)&amp;MID(_xlpm.A,FIND("】",_xlpm.A,FIND("】",_xlpm.A)+1)+1,LEN(_xlpm.A)),_xlpm.A))</f>
        <v/>
      </c>
      <c r="J382" s="18" t="str" cm="1">
        <f t="array" ref="J382">IFERROR(INDEX(_xlfn.TEXTSPLIT(_xlfn.XLOOKUP($A382&amp;$B382&amp;$C382,盘货信息!$A:$A&amp;盘货信息!$B:$B&amp;盘货信息!$C:$C,盘货信息!$S:$S),CHAR(10),,TRUE),1,COLUMN(A381)),"")</f>
        <v/>
      </c>
      <c r="K382" s="18" t="str" cm="1">
        <f t="array" ref="K382">IFERROR(INDEX(_xlfn.TEXTSPLIT(_xlfn.XLOOKUP($A382&amp;$B382&amp;$C382,盘货信息!$A:$A&amp;盘货信息!$B:$B&amp;盘货信息!$C:$C,盘货信息!$S:$S),CHAR(10),,TRUE),1,COLUMN(B381)),"")</f>
        <v/>
      </c>
      <c r="L382" s="18" t="str" cm="1">
        <f t="array" ref="L382">IFERROR(INDEX(_xlfn.TEXTSPLIT(_xlfn.XLOOKUP($A382&amp;$B382&amp;$C382,盘货信息!$A:$A&amp;盘货信息!$B:$B&amp;盘货信息!$C:$C,盘货信息!$S:$S),CHAR(10),,TRUE),1,COLUMN(C381)),"")</f>
        <v/>
      </c>
      <c r="M382" s="18" t="str" cm="1">
        <f t="array" ref="M382">IFERROR(INDEX(_xlfn.TEXTSPLIT(_xlfn.XLOOKUP($A382&amp;$B382&amp;$C382,盘货信息!$A:$A&amp;盘货信息!$B:$B&amp;盘货信息!$C:$C,盘货信息!$S:$S),CHAR(10),,TRUE),1,COLUMN(D381)),"")</f>
        <v/>
      </c>
      <c r="N382" s="18" t="str" cm="1">
        <f t="array" ref="N382">IFERROR(INDEX(_xlfn.TEXTSPLIT(_xlfn.XLOOKUP($A382&amp;$B382&amp;$C382,盘货信息!$A:$A&amp;盘货信息!$B:$B&amp;盘货信息!$C:$C,盘货信息!$S:$S),CHAR(10),,TRUE),1,COLUMN(E381)),"")</f>
        <v/>
      </c>
    </row>
    <row r="383" customHeight="1" spans="1:14">
      <c r="A383" s="17" t="str">
        <f>IF(盘货信息!A383="","",盘货信息!A383)</f>
        <v/>
      </c>
      <c r="B383" s="17" t="str">
        <f>IF(盘货信息!B383="","",盘货信息!B383)</f>
        <v/>
      </c>
      <c r="C383" s="18" t="str">
        <f>IF(盘货信息!C383="","",盘货信息!C383)</f>
        <v/>
      </c>
      <c r="D383" s="18" t="str">
        <f t="shared" si="5"/>
        <v/>
      </c>
      <c r="E383" s="18" t="str">
        <f>_xlfn.LET(_xlpm.A,IF(ISNUMBER(SEARCH("晒单",J383)),"【晒单】"&amp;MID(J383,SEARCH("晒单",J383)+LEN("晒单"),LEN(J383))&amp;"（需晒单后联系客服登记）",IF(ISNUMBER(SEARCH("包修",J383)),"【购机】"&amp;MID(J383,SEARCH("购机",J383)+LEN("购机"),LEN(J383)),IF(ISNUMBER(SEARCH("叠放支架",J383)),"【赠品】"&amp;MID(J383,SEARCH("购机",J383)+LEN("购机"),LEN(J383)),IF(ISNUMBER(SEARCH("秀图",J383)),"【秀图】"&amp;MID(J383,SEARCH("秀图",J383)+LEN("秀图"),LEN(J383)),"")))),IFERROR(LEFT(_xlpm.A,FIND("【",_xlpm.A,FIND("】",_xlpm.A)+1)-1)&amp;MID(_xlpm.A,FIND("】",_xlpm.A,FIND("】",_xlpm.A)+1)+1,LEN(_xlpm.A)),_xlpm.A))</f>
        <v/>
      </c>
      <c r="F383" s="18" t="str">
        <f>_xlfn.LET(_xlpm.A,IF(ISNUMBER(SEARCH("晒单",K383)),"【晒单】"&amp;MID(K383,SEARCH("晒单",K383)+LEN("晒单"),LEN(K383))&amp;"（需晒单后联系客服登记）",IF(ISNUMBER(SEARCH("包修",K383)),"【购机】"&amp;MID(K383,SEARCH("购机",K383)+LEN("购机"),LEN(K383)),IF(ISNUMBER(SEARCH("叠放支架",K383)),"【赠品】"&amp;MID(K383,SEARCH("购机",K383)+LEN("购机"),LEN(K383)),IF(ISNUMBER(SEARCH("秀图",K383)),"【秀图】"&amp;MID(K383,SEARCH("秀图",K383)+LEN("秀图"),LEN(K383)),"")))),IFERROR(LEFT(_xlpm.A,FIND("【",_xlpm.A,FIND("】",_xlpm.A)+1)-1)&amp;MID(_xlpm.A,FIND("】",_xlpm.A,FIND("】",_xlpm.A)+1)+1,LEN(_xlpm.A)),_xlpm.A))</f>
        <v/>
      </c>
      <c r="G383" s="18" t="str">
        <f>_xlfn.LET(_xlpm.A,IF(ISNUMBER(SEARCH("晒单",L383)),"【晒单】"&amp;MID(L383,SEARCH("晒单",L383)+LEN("晒单"),LEN(L383))&amp;"（需晒单后联系客服登记）",IF(ISNUMBER(SEARCH("包修",L383)),"【购机】"&amp;MID(L383,SEARCH("购机",L383)+LEN("购机"),LEN(L383)),IF(ISNUMBER(SEARCH("叠放支架",L383)),"【赠品】"&amp;MID(L383,SEARCH("购机",L383)+LEN("购机"),LEN(L383)),IF(ISNUMBER(SEARCH("秀图",L383)),"【秀图】"&amp;MID(L383,SEARCH("秀图",L383)+LEN("秀图"),LEN(L383)),"")))),IFERROR(LEFT(_xlpm.A,FIND("【",_xlpm.A,FIND("】",_xlpm.A)+1)-1)&amp;MID(_xlpm.A,FIND("】",_xlpm.A,FIND("】",_xlpm.A)+1)+1,LEN(_xlpm.A)),_xlpm.A))</f>
        <v/>
      </c>
      <c r="H383" s="18" t="str">
        <f>_xlfn.LET(_xlpm.A,IF(ISNUMBER(SEARCH("晒单",M383)),"【晒单】"&amp;MID(M383,SEARCH("晒单",M383)+LEN("晒单"),LEN(M383))&amp;"（需晒单后联系客服登记）",IF(ISNUMBER(SEARCH("包修",M383)),"【购机】"&amp;MID(M383,SEARCH("购机",M383)+LEN("购机"),LEN(M383)),IF(ISNUMBER(SEARCH("叠放支架",M383)),"【赠品】"&amp;MID(M383,SEARCH("购机",M383)+LEN("购机"),LEN(M383)),IF(ISNUMBER(SEARCH("秀图",M383)),"【秀图】"&amp;MID(M383,SEARCH("秀图",M383)+LEN("秀图"),LEN(M383)),"")))),IFERROR(LEFT(_xlpm.A,FIND("【",_xlpm.A,FIND("】",_xlpm.A)+1)-1)&amp;MID(_xlpm.A,FIND("】",_xlpm.A,FIND("】",_xlpm.A)+1)+1,LEN(_xlpm.A)),_xlpm.A))</f>
        <v/>
      </c>
      <c r="I383" s="18" t="str">
        <f>_xlfn.LET(_xlpm.A,IF(ISNUMBER(SEARCH("晒单",N383)),"【晒单】"&amp;MID(N383,SEARCH("晒单",N383)+LEN("晒单"),LEN(N383))&amp;"（需晒单后联系客服登记）",IF(ISNUMBER(SEARCH("包修",N383)),"【购机】"&amp;MID(N383,SEARCH("购机",N383)+LEN("购机"),LEN(N383)),IF(ISNUMBER(SEARCH("叠放支架",N383)),"【赠品】"&amp;MID(N383,SEARCH("购机",N383)+LEN("购机"),LEN(N383)),IF(ISNUMBER(SEARCH("秀图",N383)),"【秀图】"&amp;MID(N383,SEARCH("秀图",N383)+LEN("秀图"),LEN(N383)),"")))),IFERROR(LEFT(_xlpm.A,FIND("【",_xlpm.A,FIND("】",_xlpm.A)+1)-1)&amp;MID(_xlpm.A,FIND("】",_xlpm.A,FIND("】",_xlpm.A)+1)+1,LEN(_xlpm.A)),_xlpm.A))</f>
        <v/>
      </c>
      <c r="J383" s="18" t="str" cm="1">
        <f t="array" ref="J383">IFERROR(INDEX(_xlfn.TEXTSPLIT(_xlfn.XLOOKUP($A383&amp;$B383&amp;$C383,盘货信息!$A:$A&amp;盘货信息!$B:$B&amp;盘货信息!$C:$C,盘货信息!$S:$S),CHAR(10),,TRUE),1,COLUMN(A382)),"")</f>
        <v/>
      </c>
      <c r="K383" s="18" t="str" cm="1">
        <f t="array" ref="K383">IFERROR(INDEX(_xlfn.TEXTSPLIT(_xlfn.XLOOKUP($A383&amp;$B383&amp;$C383,盘货信息!$A:$A&amp;盘货信息!$B:$B&amp;盘货信息!$C:$C,盘货信息!$S:$S),CHAR(10),,TRUE),1,COLUMN(B382)),"")</f>
        <v/>
      </c>
      <c r="L383" s="18" t="str" cm="1">
        <f t="array" ref="L383">IFERROR(INDEX(_xlfn.TEXTSPLIT(_xlfn.XLOOKUP($A383&amp;$B383&amp;$C383,盘货信息!$A:$A&amp;盘货信息!$B:$B&amp;盘货信息!$C:$C,盘货信息!$S:$S),CHAR(10),,TRUE),1,COLUMN(C382)),"")</f>
        <v/>
      </c>
      <c r="M383" s="18" t="str" cm="1">
        <f t="array" ref="M383">IFERROR(INDEX(_xlfn.TEXTSPLIT(_xlfn.XLOOKUP($A383&amp;$B383&amp;$C383,盘货信息!$A:$A&amp;盘货信息!$B:$B&amp;盘货信息!$C:$C,盘货信息!$S:$S),CHAR(10),,TRUE),1,COLUMN(D382)),"")</f>
        <v/>
      </c>
      <c r="N383" s="18" t="str" cm="1">
        <f t="array" ref="N383">IFERROR(INDEX(_xlfn.TEXTSPLIT(_xlfn.XLOOKUP($A383&amp;$B383&amp;$C383,盘货信息!$A:$A&amp;盘货信息!$B:$B&amp;盘货信息!$C:$C,盘货信息!$S:$S),CHAR(10),,TRUE),1,COLUMN(E382)),"")</f>
        <v/>
      </c>
    </row>
    <row r="384" customHeight="1" spans="1:14">
      <c r="A384" s="17" t="str">
        <f>IF(盘货信息!A384="","",盘货信息!A384)</f>
        <v/>
      </c>
      <c r="B384" s="17" t="str">
        <f>IF(盘货信息!B384="","",盘货信息!B384)</f>
        <v/>
      </c>
      <c r="C384" s="18" t="str">
        <f>IF(盘货信息!C384="","",盘货信息!C384)</f>
        <v/>
      </c>
      <c r="D384" s="18" t="str">
        <f t="shared" si="5"/>
        <v/>
      </c>
      <c r="E384" s="18" t="str">
        <f>_xlfn.LET(_xlpm.A,IF(ISNUMBER(SEARCH("晒单",J384)),"【晒单】"&amp;MID(J384,SEARCH("晒单",J384)+LEN("晒单"),LEN(J384))&amp;"（需晒单后联系客服登记）",IF(ISNUMBER(SEARCH("包修",J384)),"【购机】"&amp;MID(J384,SEARCH("购机",J384)+LEN("购机"),LEN(J384)),IF(ISNUMBER(SEARCH("叠放支架",J384)),"【赠品】"&amp;MID(J384,SEARCH("购机",J384)+LEN("购机"),LEN(J384)),IF(ISNUMBER(SEARCH("秀图",J384)),"【秀图】"&amp;MID(J384,SEARCH("秀图",J384)+LEN("秀图"),LEN(J384)),"")))),IFERROR(LEFT(_xlpm.A,FIND("【",_xlpm.A,FIND("】",_xlpm.A)+1)-1)&amp;MID(_xlpm.A,FIND("】",_xlpm.A,FIND("】",_xlpm.A)+1)+1,LEN(_xlpm.A)),_xlpm.A))</f>
        <v/>
      </c>
      <c r="F384" s="18" t="str">
        <f>_xlfn.LET(_xlpm.A,IF(ISNUMBER(SEARCH("晒单",K384)),"【晒单】"&amp;MID(K384,SEARCH("晒单",K384)+LEN("晒单"),LEN(K384))&amp;"（需晒单后联系客服登记）",IF(ISNUMBER(SEARCH("包修",K384)),"【购机】"&amp;MID(K384,SEARCH("购机",K384)+LEN("购机"),LEN(K384)),IF(ISNUMBER(SEARCH("叠放支架",K384)),"【赠品】"&amp;MID(K384,SEARCH("购机",K384)+LEN("购机"),LEN(K384)),IF(ISNUMBER(SEARCH("秀图",K384)),"【秀图】"&amp;MID(K384,SEARCH("秀图",K384)+LEN("秀图"),LEN(K384)),"")))),IFERROR(LEFT(_xlpm.A,FIND("【",_xlpm.A,FIND("】",_xlpm.A)+1)-1)&amp;MID(_xlpm.A,FIND("】",_xlpm.A,FIND("】",_xlpm.A)+1)+1,LEN(_xlpm.A)),_xlpm.A))</f>
        <v/>
      </c>
      <c r="G384" s="18" t="str">
        <f>_xlfn.LET(_xlpm.A,IF(ISNUMBER(SEARCH("晒单",L384)),"【晒单】"&amp;MID(L384,SEARCH("晒单",L384)+LEN("晒单"),LEN(L384))&amp;"（需晒单后联系客服登记）",IF(ISNUMBER(SEARCH("包修",L384)),"【购机】"&amp;MID(L384,SEARCH("购机",L384)+LEN("购机"),LEN(L384)),IF(ISNUMBER(SEARCH("叠放支架",L384)),"【赠品】"&amp;MID(L384,SEARCH("购机",L384)+LEN("购机"),LEN(L384)),IF(ISNUMBER(SEARCH("秀图",L384)),"【秀图】"&amp;MID(L384,SEARCH("秀图",L384)+LEN("秀图"),LEN(L384)),"")))),IFERROR(LEFT(_xlpm.A,FIND("【",_xlpm.A,FIND("】",_xlpm.A)+1)-1)&amp;MID(_xlpm.A,FIND("】",_xlpm.A,FIND("】",_xlpm.A)+1)+1,LEN(_xlpm.A)),_xlpm.A))</f>
        <v/>
      </c>
      <c r="H384" s="18" t="str">
        <f>_xlfn.LET(_xlpm.A,IF(ISNUMBER(SEARCH("晒单",M384)),"【晒单】"&amp;MID(M384,SEARCH("晒单",M384)+LEN("晒单"),LEN(M384))&amp;"（需晒单后联系客服登记）",IF(ISNUMBER(SEARCH("包修",M384)),"【购机】"&amp;MID(M384,SEARCH("购机",M384)+LEN("购机"),LEN(M384)),IF(ISNUMBER(SEARCH("叠放支架",M384)),"【赠品】"&amp;MID(M384,SEARCH("购机",M384)+LEN("购机"),LEN(M384)),IF(ISNUMBER(SEARCH("秀图",M384)),"【秀图】"&amp;MID(M384,SEARCH("秀图",M384)+LEN("秀图"),LEN(M384)),"")))),IFERROR(LEFT(_xlpm.A,FIND("【",_xlpm.A,FIND("】",_xlpm.A)+1)-1)&amp;MID(_xlpm.A,FIND("】",_xlpm.A,FIND("】",_xlpm.A)+1)+1,LEN(_xlpm.A)),_xlpm.A))</f>
        <v/>
      </c>
      <c r="I384" s="18" t="str">
        <f>_xlfn.LET(_xlpm.A,IF(ISNUMBER(SEARCH("晒单",N384)),"【晒单】"&amp;MID(N384,SEARCH("晒单",N384)+LEN("晒单"),LEN(N384))&amp;"（需晒单后联系客服登记）",IF(ISNUMBER(SEARCH("包修",N384)),"【购机】"&amp;MID(N384,SEARCH("购机",N384)+LEN("购机"),LEN(N384)),IF(ISNUMBER(SEARCH("叠放支架",N384)),"【赠品】"&amp;MID(N384,SEARCH("购机",N384)+LEN("购机"),LEN(N384)),IF(ISNUMBER(SEARCH("秀图",N384)),"【秀图】"&amp;MID(N384,SEARCH("秀图",N384)+LEN("秀图"),LEN(N384)),"")))),IFERROR(LEFT(_xlpm.A,FIND("【",_xlpm.A,FIND("】",_xlpm.A)+1)-1)&amp;MID(_xlpm.A,FIND("】",_xlpm.A,FIND("】",_xlpm.A)+1)+1,LEN(_xlpm.A)),_xlpm.A))</f>
        <v/>
      </c>
      <c r="J384" s="18" t="str" cm="1">
        <f t="array" ref="J384">IFERROR(INDEX(_xlfn.TEXTSPLIT(_xlfn.XLOOKUP($A384&amp;$B384&amp;$C384,盘货信息!$A:$A&amp;盘货信息!$B:$B&amp;盘货信息!$C:$C,盘货信息!$S:$S),CHAR(10),,TRUE),1,COLUMN(A383)),"")</f>
        <v/>
      </c>
      <c r="K384" s="18" t="str" cm="1">
        <f t="array" ref="K384">IFERROR(INDEX(_xlfn.TEXTSPLIT(_xlfn.XLOOKUP($A384&amp;$B384&amp;$C384,盘货信息!$A:$A&amp;盘货信息!$B:$B&amp;盘货信息!$C:$C,盘货信息!$S:$S),CHAR(10),,TRUE),1,COLUMN(B383)),"")</f>
        <v/>
      </c>
      <c r="L384" s="18" t="str" cm="1">
        <f t="array" ref="L384">IFERROR(INDEX(_xlfn.TEXTSPLIT(_xlfn.XLOOKUP($A384&amp;$B384&amp;$C384,盘货信息!$A:$A&amp;盘货信息!$B:$B&amp;盘货信息!$C:$C,盘货信息!$S:$S),CHAR(10),,TRUE),1,COLUMN(C383)),"")</f>
        <v/>
      </c>
      <c r="M384" s="18" t="str" cm="1">
        <f t="array" ref="M384">IFERROR(INDEX(_xlfn.TEXTSPLIT(_xlfn.XLOOKUP($A384&amp;$B384&amp;$C384,盘货信息!$A:$A&amp;盘货信息!$B:$B&amp;盘货信息!$C:$C,盘货信息!$S:$S),CHAR(10),,TRUE),1,COLUMN(D383)),"")</f>
        <v/>
      </c>
      <c r="N384" s="18" t="str" cm="1">
        <f t="array" ref="N384">IFERROR(INDEX(_xlfn.TEXTSPLIT(_xlfn.XLOOKUP($A384&amp;$B384&amp;$C384,盘货信息!$A:$A&amp;盘货信息!$B:$B&amp;盘货信息!$C:$C,盘货信息!$S:$S),CHAR(10),,TRUE),1,COLUMN(E383)),"")</f>
        <v/>
      </c>
    </row>
    <row r="385" customHeight="1" spans="1:14">
      <c r="A385" s="17" t="str">
        <f>IF(盘货信息!A385="","",盘货信息!A385)</f>
        <v/>
      </c>
      <c r="B385" s="17" t="str">
        <f>IF(盘货信息!B385="","",盘货信息!B385)</f>
        <v/>
      </c>
      <c r="C385" s="18" t="str">
        <f>IF(盘货信息!C385="","",盘货信息!C385)</f>
        <v/>
      </c>
      <c r="D385" s="18" t="str">
        <f t="shared" si="5"/>
        <v/>
      </c>
      <c r="E385" s="18" t="str">
        <f>_xlfn.LET(_xlpm.A,IF(ISNUMBER(SEARCH("晒单",J385)),"【晒单】"&amp;MID(J385,SEARCH("晒单",J385)+LEN("晒单"),LEN(J385))&amp;"（需晒单后联系客服登记）",IF(ISNUMBER(SEARCH("包修",J385)),"【购机】"&amp;MID(J385,SEARCH("购机",J385)+LEN("购机"),LEN(J385)),IF(ISNUMBER(SEARCH("叠放支架",J385)),"【赠品】"&amp;MID(J385,SEARCH("购机",J385)+LEN("购机"),LEN(J385)),IF(ISNUMBER(SEARCH("秀图",J385)),"【秀图】"&amp;MID(J385,SEARCH("秀图",J385)+LEN("秀图"),LEN(J385)),"")))),IFERROR(LEFT(_xlpm.A,FIND("【",_xlpm.A,FIND("】",_xlpm.A)+1)-1)&amp;MID(_xlpm.A,FIND("】",_xlpm.A,FIND("】",_xlpm.A)+1)+1,LEN(_xlpm.A)),_xlpm.A))</f>
        <v/>
      </c>
      <c r="F385" s="18" t="str">
        <f>_xlfn.LET(_xlpm.A,IF(ISNUMBER(SEARCH("晒单",K385)),"【晒单】"&amp;MID(K385,SEARCH("晒单",K385)+LEN("晒单"),LEN(K385))&amp;"（需晒单后联系客服登记）",IF(ISNUMBER(SEARCH("包修",K385)),"【购机】"&amp;MID(K385,SEARCH("购机",K385)+LEN("购机"),LEN(K385)),IF(ISNUMBER(SEARCH("叠放支架",K385)),"【赠品】"&amp;MID(K385,SEARCH("购机",K385)+LEN("购机"),LEN(K385)),IF(ISNUMBER(SEARCH("秀图",K385)),"【秀图】"&amp;MID(K385,SEARCH("秀图",K385)+LEN("秀图"),LEN(K385)),"")))),IFERROR(LEFT(_xlpm.A,FIND("【",_xlpm.A,FIND("】",_xlpm.A)+1)-1)&amp;MID(_xlpm.A,FIND("】",_xlpm.A,FIND("】",_xlpm.A)+1)+1,LEN(_xlpm.A)),_xlpm.A))</f>
        <v/>
      </c>
      <c r="G385" s="18" t="str">
        <f>_xlfn.LET(_xlpm.A,IF(ISNUMBER(SEARCH("晒单",L385)),"【晒单】"&amp;MID(L385,SEARCH("晒单",L385)+LEN("晒单"),LEN(L385))&amp;"（需晒单后联系客服登记）",IF(ISNUMBER(SEARCH("包修",L385)),"【购机】"&amp;MID(L385,SEARCH("购机",L385)+LEN("购机"),LEN(L385)),IF(ISNUMBER(SEARCH("叠放支架",L385)),"【赠品】"&amp;MID(L385,SEARCH("购机",L385)+LEN("购机"),LEN(L385)),IF(ISNUMBER(SEARCH("秀图",L385)),"【秀图】"&amp;MID(L385,SEARCH("秀图",L385)+LEN("秀图"),LEN(L385)),"")))),IFERROR(LEFT(_xlpm.A,FIND("【",_xlpm.A,FIND("】",_xlpm.A)+1)-1)&amp;MID(_xlpm.A,FIND("】",_xlpm.A,FIND("】",_xlpm.A)+1)+1,LEN(_xlpm.A)),_xlpm.A))</f>
        <v/>
      </c>
      <c r="H385" s="18" t="str">
        <f>_xlfn.LET(_xlpm.A,IF(ISNUMBER(SEARCH("晒单",M385)),"【晒单】"&amp;MID(M385,SEARCH("晒单",M385)+LEN("晒单"),LEN(M385))&amp;"（需晒单后联系客服登记）",IF(ISNUMBER(SEARCH("包修",M385)),"【购机】"&amp;MID(M385,SEARCH("购机",M385)+LEN("购机"),LEN(M385)),IF(ISNUMBER(SEARCH("叠放支架",M385)),"【赠品】"&amp;MID(M385,SEARCH("购机",M385)+LEN("购机"),LEN(M385)),IF(ISNUMBER(SEARCH("秀图",M385)),"【秀图】"&amp;MID(M385,SEARCH("秀图",M385)+LEN("秀图"),LEN(M385)),"")))),IFERROR(LEFT(_xlpm.A,FIND("【",_xlpm.A,FIND("】",_xlpm.A)+1)-1)&amp;MID(_xlpm.A,FIND("】",_xlpm.A,FIND("】",_xlpm.A)+1)+1,LEN(_xlpm.A)),_xlpm.A))</f>
        <v/>
      </c>
      <c r="I385" s="18" t="str">
        <f>_xlfn.LET(_xlpm.A,IF(ISNUMBER(SEARCH("晒单",N385)),"【晒单】"&amp;MID(N385,SEARCH("晒单",N385)+LEN("晒单"),LEN(N385))&amp;"（需晒单后联系客服登记）",IF(ISNUMBER(SEARCH("包修",N385)),"【购机】"&amp;MID(N385,SEARCH("购机",N385)+LEN("购机"),LEN(N385)),IF(ISNUMBER(SEARCH("叠放支架",N385)),"【赠品】"&amp;MID(N385,SEARCH("购机",N385)+LEN("购机"),LEN(N385)),IF(ISNUMBER(SEARCH("秀图",N385)),"【秀图】"&amp;MID(N385,SEARCH("秀图",N385)+LEN("秀图"),LEN(N385)),"")))),IFERROR(LEFT(_xlpm.A,FIND("【",_xlpm.A,FIND("】",_xlpm.A)+1)-1)&amp;MID(_xlpm.A,FIND("】",_xlpm.A,FIND("】",_xlpm.A)+1)+1,LEN(_xlpm.A)),_xlpm.A))</f>
        <v/>
      </c>
      <c r="J385" s="18" t="str" cm="1">
        <f t="array" ref="J385">IFERROR(INDEX(_xlfn.TEXTSPLIT(_xlfn.XLOOKUP($A385&amp;$B385&amp;$C385,盘货信息!$A:$A&amp;盘货信息!$B:$B&amp;盘货信息!$C:$C,盘货信息!$S:$S),CHAR(10),,TRUE),1,COLUMN(A384)),"")</f>
        <v/>
      </c>
      <c r="K385" s="18" t="str" cm="1">
        <f t="array" ref="K385">IFERROR(INDEX(_xlfn.TEXTSPLIT(_xlfn.XLOOKUP($A385&amp;$B385&amp;$C385,盘货信息!$A:$A&amp;盘货信息!$B:$B&amp;盘货信息!$C:$C,盘货信息!$S:$S),CHAR(10),,TRUE),1,COLUMN(B384)),"")</f>
        <v/>
      </c>
      <c r="L385" s="18" t="str" cm="1">
        <f t="array" ref="L385">IFERROR(INDEX(_xlfn.TEXTSPLIT(_xlfn.XLOOKUP($A385&amp;$B385&amp;$C385,盘货信息!$A:$A&amp;盘货信息!$B:$B&amp;盘货信息!$C:$C,盘货信息!$S:$S),CHAR(10),,TRUE),1,COLUMN(C384)),"")</f>
        <v/>
      </c>
      <c r="M385" s="18" t="str" cm="1">
        <f t="array" ref="M385">IFERROR(INDEX(_xlfn.TEXTSPLIT(_xlfn.XLOOKUP($A385&amp;$B385&amp;$C385,盘货信息!$A:$A&amp;盘货信息!$B:$B&amp;盘货信息!$C:$C,盘货信息!$S:$S),CHAR(10),,TRUE),1,COLUMN(D384)),"")</f>
        <v/>
      </c>
      <c r="N385" s="18" t="str" cm="1">
        <f t="array" ref="N385">IFERROR(INDEX(_xlfn.TEXTSPLIT(_xlfn.XLOOKUP($A385&amp;$B385&amp;$C385,盘货信息!$A:$A&amp;盘货信息!$B:$B&amp;盘货信息!$C:$C,盘货信息!$S:$S),CHAR(10),,TRUE),1,COLUMN(E384)),"")</f>
        <v/>
      </c>
    </row>
    <row r="386" customHeight="1" spans="1:14">
      <c r="A386" s="17" t="str">
        <f>IF(盘货信息!A386="","",盘货信息!A386)</f>
        <v/>
      </c>
      <c r="B386" s="17" t="str">
        <f>IF(盘货信息!B386="","",盘货信息!B386)</f>
        <v/>
      </c>
      <c r="C386" s="18" t="str">
        <f>IF(盘货信息!C386="","",盘货信息!C386)</f>
        <v/>
      </c>
      <c r="D386" s="18" t="str">
        <f t="shared" ref="D386:D449" si="6">_xlfn.TEXTJOIN(CHAR(10),TRUE,E386:I386)</f>
        <v/>
      </c>
      <c r="E386" s="18" t="str">
        <f>_xlfn.LET(_xlpm.A,IF(ISNUMBER(SEARCH("晒单",J386)),"【晒单】"&amp;MID(J386,SEARCH("晒单",J386)+LEN("晒单"),LEN(J386))&amp;"（需晒单后联系客服登记）",IF(ISNUMBER(SEARCH("包修",J386)),"【购机】"&amp;MID(J386,SEARCH("购机",J386)+LEN("购机"),LEN(J386)),IF(ISNUMBER(SEARCH("叠放支架",J386)),"【赠品】"&amp;MID(J386,SEARCH("购机",J386)+LEN("购机"),LEN(J386)),IF(ISNUMBER(SEARCH("秀图",J386)),"【秀图】"&amp;MID(J386,SEARCH("秀图",J386)+LEN("秀图"),LEN(J386)),"")))),IFERROR(LEFT(_xlpm.A,FIND("【",_xlpm.A,FIND("】",_xlpm.A)+1)-1)&amp;MID(_xlpm.A,FIND("】",_xlpm.A,FIND("】",_xlpm.A)+1)+1,LEN(_xlpm.A)),_xlpm.A))</f>
        <v/>
      </c>
      <c r="F386" s="18" t="str">
        <f>_xlfn.LET(_xlpm.A,IF(ISNUMBER(SEARCH("晒单",K386)),"【晒单】"&amp;MID(K386,SEARCH("晒单",K386)+LEN("晒单"),LEN(K386))&amp;"（需晒单后联系客服登记）",IF(ISNUMBER(SEARCH("包修",K386)),"【购机】"&amp;MID(K386,SEARCH("购机",K386)+LEN("购机"),LEN(K386)),IF(ISNUMBER(SEARCH("叠放支架",K386)),"【赠品】"&amp;MID(K386,SEARCH("购机",K386)+LEN("购机"),LEN(K386)),IF(ISNUMBER(SEARCH("秀图",K386)),"【秀图】"&amp;MID(K386,SEARCH("秀图",K386)+LEN("秀图"),LEN(K386)),"")))),IFERROR(LEFT(_xlpm.A,FIND("【",_xlpm.A,FIND("】",_xlpm.A)+1)-1)&amp;MID(_xlpm.A,FIND("】",_xlpm.A,FIND("】",_xlpm.A)+1)+1,LEN(_xlpm.A)),_xlpm.A))</f>
        <v/>
      </c>
      <c r="G386" s="18" t="str">
        <f>_xlfn.LET(_xlpm.A,IF(ISNUMBER(SEARCH("晒单",L386)),"【晒单】"&amp;MID(L386,SEARCH("晒单",L386)+LEN("晒单"),LEN(L386))&amp;"（需晒单后联系客服登记）",IF(ISNUMBER(SEARCH("包修",L386)),"【购机】"&amp;MID(L386,SEARCH("购机",L386)+LEN("购机"),LEN(L386)),IF(ISNUMBER(SEARCH("叠放支架",L386)),"【赠品】"&amp;MID(L386,SEARCH("购机",L386)+LEN("购机"),LEN(L386)),IF(ISNUMBER(SEARCH("秀图",L386)),"【秀图】"&amp;MID(L386,SEARCH("秀图",L386)+LEN("秀图"),LEN(L386)),"")))),IFERROR(LEFT(_xlpm.A,FIND("【",_xlpm.A,FIND("】",_xlpm.A)+1)-1)&amp;MID(_xlpm.A,FIND("】",_xlpm.A,FIND("】",_xlpm.A)+1)+1,LEN(_xlpm.A)),_xlpm.A))</f>
        <v/>
      </c>
      <c r="H386" s="18" t="str">
        <f>_xlfn.LET(_xlpm.A,IF(ISNUMBER(SEARCH("晒单",M386)),"【晒单】"&amp;MID(M386,SEARCH("晒单",M386)+LEN("晒单"),LEN(M386))&amp;"（需晒单后联系客服登记）",IF(ISNUMBER(SEARCH("包修",M386)),"【购机】"&amp;MID(M386,SEARCH("购机",M386)+LEN("购机"),LEN(M386)),IF(ISNUMBER(SEARCH("叠放支架",M386)),"【赠品】"&amp;MID(M386,SEARCH("购机",M386)+LEN("购机"),LEN(M386)),IF(ISNUMBER(SEARCH("秀图",M386)),"【秀图】"&amp;MID(M386,SEARCH("秀图",M386)+LEN("秀图"),LEN(M386)),"")))),IFERROR(LEFT(_xlpm.A,FIND("【",_xlpm.A,FIND("】",_xlpm.A)+1)-1)&amp;MID(_xlpm.A,FIND("】",_xlpm.A,FIND("】",_xlpm.A)+1)+1,LEN(_xlpm.A)),_xlpm.A))</f>
        <v/>
      </c>
      <c r="I386" s="18" t="str">
        <f>_xlfn.LET(_xlpm.A,IF(ISNUMBER(SEARCH("晒单",N386)),"【晒单】"&amp;MID(N386,SEARCH("晒单",N386)+LEN("晒单"),LEN(N386))&amp;"（需晒单后联系客服登记）",IF(ISNUMBER(SEARCH("包修",N386)),"【购机】"&amp;MID(N386,SEARCH("购机",N386)+LEN("购机"),LEN(N386)),IF(ISNUMBER(SEARCH("叠放支架",N386)),"【赠品】"&amp;MID(N386,SEARCH("购机",N386)+LEN("购机"),LEN(N386)),IF(ISNUMBER(SEARCH("秀图",N386)),"【秀图】"&amp;MID(N386,SEARCH("秀图",N386)+LEN("秀图"),LEN(N386)),"")))),IFERROR(LEFT(_xlpm.A,FIND("【",_xlpm.A,FIND("】",_xlpm.A)+1)-1)&amp;MID(_xlpm.A,FIND("】",_xlpm.A,FIND("】",_xlpm.A)+1)+1,LEN(_xlpm.A)),_xlpm.A))</f>
        <v/>
      </c>
      <c r="J386" s="18" t="str" cm="1">
        <f t="array" ref="J386">IFERROR(INDEX(_xlfn.TEXTSPLIT(_xlfn.XLOOKUP($A386&amp;$B386&amp;$C386,盘货信息!$A:$A&amp;盘货信息!$B:$B&amp;盘货信息!$C:$C,盘货信息!$S:$S),CHAR(10),,TRUE),1,COLUMN(A385)),"")</f>
        <v/>
      </c>
      <c r="K386" s="18" t="str" cm="1">
        <f t="array" ref="K386">IFERROR(INDEX(_xlfn.TEXTSPLIT(_xlfn.XLOOKUP($A386&amp;$B386&amp;$C386,盘货信息!$A:$A&amp;盘货信息!$B:$B&amp;盘货信息!$C:$C,盘货信息!$S:$S),CHAR(10),,TRUE),1,COLUMN(B385)),"")</f>
        <v/>
      </c>
      <c r="L386" s="18" t="str" cm="1">
        <f t="array" ref="L386">IFERROR(INDEX(_xlfn.TEXTSPLIT(_xlfn.XLOOKUP($A386&amp;$B386&amp;$C386,盘货信息!$A:$A&amp;盘货信息!$B:$B&amp;盘货信息!$C:$C,盘货信息!$S:$S),CHAR(10),,TRUE),1,COLUMN(C385)),"")</f>
        <v/>
      </c>
      <c r="M386" s="18" t="str" cm="1">
        <f t="array" ref="M386">IFERROR(INDEX(_xlfn.TEXTSPLIT(_xlfn.XLOOKUP($A386&amp;$B386&amp;$C386,盘货信息!$A:$A&amp;盘货信息!$B:$B&amp;盘货信息!$C:$C,盘货信息!$S:$S),CHAR(10),,TRUE),1,COLUMN(D385)),"")</f>
        <v/>
      </c>
      <c r="N386" s="18" t="str" cm="1">
        <f t="array" ref="N386">IFERROR(INDEX(_xlfn.TEXTSPLIT(_xlfn.XLOOKUP($A386&amp;$B386&amp;$C386,盘货信息!$A:$A&amp;盘货信息!$B:$B&amp;盘货信息!$C:$C,盘货信息!$S:$S),CHAR(10),,TRUE),1,COLUMN(E385)),"")</f>
        <v/>
      </c>
    </row>
    <row r="387" customHeight="1" spans="1:14">
      <c r="A387" s="17" t="str">
        <f>IF(盘货信息!A387="","",盘货信息!A387)</f>
        <v/>
      </c>
      <c r="B387" s="17" t="str">
        <f>IF(盘货信息!B387="","",盘货信息!B387)</f>
        <v/>
      </c>
      <c r="C387" s="18" t="str">
        <f>IF(盘货信息!C387="","",盘货信息!C387)</f>
        <v/>
      </c>
      <c r="D387" s="18" t="str">
        <f t="shared" si="6"/>
        <v/>
      </c>
      <c r="E387" s="18" t="str">
        <f>_xlfn.LET(_xlpm.A,IF(ISNUMBER(SEARCH("晒单",J387)),"【晒单】"&amp;MID(J387,SEARCH("晒单",J387)+LEN("晒单"),LEN(J387))&amp;"（需晒单后联系客服登记）",IF(ISNUMBER(SEARCH("包修",J387)),"【购机】"&amp;MID(J387,SEARCH("购机",J387)+LEN("购机"),LEN(J387)),IF(ISNUMBER(SEARCH("叠放支架",J387)),"【赠品】"&amp;MID(J387,SEARCH("购机",J387)+LEN("购机"),LEN(J387)),IF(ISNUMBER(SEARCH("秀图",J387)),"【秀图】"&amp;MID(J387,SEARCH("秀图",J387)+LEN("秀图"),LEN(J387)),"")))),IFERROR(LEFT(_xlpm.A,FIND("【",_xlpm.A,FIND("】",_xlpm.A)+1)-1)&amp;MID(_xlpm.A,FIND("】",_xlpm.A,FIND("】",_xlpm.A)+1)+1,LEN(_xlpm.A)),_xlpm.A))</f>
        <v/>
      </c>
      <c r="F387" s="18" t="str">
        <f>_xlfn.LET(_xlpm.A,IF(ISNUMBER(SEARCH("晒单",K387)),"【晒单】"&amp;MID(K387,SEARCH("晒单",K387)+LEN("晒单"),LEN(K387))&amp;"（需晒单后联系客服登记）",IF(ISNUMBER(SEARCH("包修",K387)),"【购机】"&amp;MID(K387,SEARCH("购机",K387)+LEN("购机"),LEN(K387)),IF(ISNUMBER(SEARCH("叠放支架",K387)),"【赠品】"&amp;MID(K387,SEARCH("购机",K387)+LEN("购机"),LEN(K387)),IF(ISNUMBER(SEARCH("秀图",K387)),"【秀图】"&amp;MID(K387,SEARCH("秀图",K387)+LEN("秀图"),LEN(K387)),"")))),IFERROR(LEFT(_xlpm.A,FIND("【",_xlpm.A,FIND("】",_xlpm.A)+1)-1)&amp;MID(_xlpm.A,FIND("】",_xlpm.A,FIND("】",_xlpm.A)+1)+1,LEN(_xlpm.A)),_xlpm.A))</f>
        <v/>
      </c>
      <c r="G387" s="18" t="str">
        <f>_xlfn.LET(_xlpm.A,IF(ISNUMBER(SEARCH("晒单",L387)),"【晒单】"&amp;MID(L387,SEARCH("晒单",L387)+LEN("晒单"),LEN(L387))&amp;"（需晒单后联系客服登记）",IF(ISNUMBER(SEARCH("包修",L387)),"【购机】"&amp;MID(L387,SEARCH("购机",L387)+LEN("购机"),LEN(L387)),IF(ISNUMBER(SEARCH("叠放支架",L387)),"【赠品】"&amp;MID(L387,SEARCH("购机",L387)+LEN("购机"),LEN(L387)),IF(ISNUMBER(SEARCH("秀图",L387)),"【秀图】"&amp;MID(L387,SEARCH("秀图",L387)+LEN("秀图"),LEN(L387)),"")))),IFERROR(LEFT(_xlpm.A,FIND("【",_xlpm.A,FIND("】",_xlpm.A)+1)-1)&amp;MID(_xlpm.A,FIND("】",_xlpm.A,FIND("】",_xlpm.A)+1)+1,LEN(_xlpm.A)),_xlpm.A))</f>
        <v/>
      </c>
      <c r="H387" s="18" t="str">
        <f>_xlfn.LET(_xlpm.A,IF(ISNUMBER(SEARCH("晒单",M387)),"【晒单】"&amp;MID(M387,SEARCH("晒单",M387)+LEN("晒单"),LEN(M387))&amp;"（需晒单后联系客服登记）",IF(ISNUMBER(SEARCH("包修",M387)),"【购机】"&amp;MID(M387,SEARCH("购机",M387)+LEN("购机"),LEN(M387)),IF(ISNUMBER(SEARCH("叠放支架",M387)),"【赠品】"&amp;MID(M387,SEARCH("购机",M387)+LEN("购机"),LEN(M387)),IF(ISNUMBER(SEARCH("秀图",M387)),"【秀图】"&amp;MID(M387,SEARCH("秀图",M387)+LEN("秀图"),LEN(M387)),"")))),IFERROR(LEFT(_xlpm.A,FIND("【",_xlpm.A,FIND("】",_xlpm.A)+1)-1)&amp;MID(_xlpm.A,FIND("】",_xlpm.A,FIND("】",_xlpm.A)+1)+1,LEN(_xlpm.A)),_xlpm.A))</f>
        <v/>
      </c>
      <c r="I387" s="18" t="str">
        <f>_xlfn.LET(_xlpm.A,IF(ISNUMBER(SEARCH("晒单",N387)),"【晒单】"&amp;MID(N387,SEARCH("晒单",N387)+LEN("晒单"),LEN(N387))&amp;"（需晒单后联系客服登记）",IF(ISNUMBER(SEARCH("包修",N387)),"【购机】"&amp;MID(N387,SEARCH("购机",N387)+LEN("购机"),LEN(N387)),IF(ISNUMBER(SEARCH("叠放支架",N387)),"【赠品】"&amp;MID(N387,SEARCH("购机",N387)+LEN("购机"),LEN(N387)),IF(ISNUMBER(SEARCH("秀图",N387)),"【秀图】"&amp;MID(N387,SEARCH("秀图",N387)+LEN("秀图"),LEN(N387)),"")))),IFERROR(LEFT(_xlpm.A,FIND("【",_xlpm.A,FIND("】",_xlpm.A)+1)-1)&amp;MID(_xlpm.A,FIND("】",_xlpm.A,FIND("】",_xlpm.A)+1)+1,LEN(_xlpm.A)),_xlpm.A))</f>
        <v/>
      </c>
      <c r="J387" s="18" t="str" cm="1">
        <f t="array" ref="J387">IFERROR(INDEX(_xlfn.TEXTSPLIT(_xlfn.XLOOKUP($A387&amp;$B387&amp;$C387,盘货信息!$A:$A&amp;盘货信息!$B:$B&amp;盘货信息!$C:$C,盘货信息!$S:$S),CHAR(10),,TRUE),1,COLUMN(A386)),"")</f>
        <v/>
      </c>
      <c r="K387" s="18" t="str" cm="1">
        <f t="array" ref="K387">IFERROR(INDEX(_xlfn.TEXTSPLIT(_xlfn.XLOOKUP($A387&amp;$B387&amp;$C387,盘货信息!$A:$A&amp;盘货信息!$B:$B&amp;盘货信息!$C:$C,盘货信息!$S:$S),CHAR(10),,TRUE),1,COLUMN(B386)),"")</f>
        <v/>
      </c>
      <c r="L387" s="18" t="str" cm="1">
        <f t="array" ref="L387">IFERROR(INDEX(_xlfn.TEXTSPLIT(_xlfn.XLOOKUP($A387&amp;$B387&amp;$C387,盘货信息!$A:$A&amp;盘货信息!$B:$B&amp;盘货信息!$C:$C,盘货信息!$S:$S),CHAR(10),,TRUE),1,COLUMN(C386)),"")</f>
        <v/>
      </c>
      <c r="M387" s="18" t="str" cm="1">
        <f t="array" ref="M387">IFERROR(INDEX(_xlfn.TEXTSPLIT(_xlfn.XLOOKUP($A387&amp;$B387&amp;$C387,盘货信息!$A:$A&amp;盘货信息!$B:$B&amp;盘货信息!$C:$C,盘货信息!$S:$S),CHAR(10),,TRUE),1,COLUMN(D386)),"")</f>
        <v/>
      </c>
      <c r="N387" s="18" t="str" cm="1">
        <f t="array" ref="N387">IFERROR(INDEX(_xlfn.TEXTSPLIT(_xlfn.XLOOKUP($A387&amp;$B387&amp;$C387,盘货信息!$A:$A&amp;盘货信息!$B:$B&amp;盘货信息!$C:$C,盘货信息!$S:$S),CHAR(10),,TRUE),1,COLUMN(E386)),"")</f>
        <v/>
      </c>
    </row>
    <row r="388" customHeight="1" spans="1:14">
      <c r="A388" s="17" t="str">
        <f>IF(盘货信息!A388="","",盘货信息!A388)</f>
        <v/>
      </c>
      <c r="B388" s="17" t="str">
        <f>IF(盘货信息!B388="","",盘货信息!B388)</f>
        <v/>
      </c>
      <c r="C388" s="18" t="str">
        <f>IF(盘货信息!C388="","",盘货信息!C388)</f>
        <v/>
      </c>
      <c r="D388" s="18" t="str">
        <f t="shared" si="6"/>
        <v/>
      </c>
      <c r="E388" s="18" t="str">
        <f>_xlfn.LET(_xlpm.A,IF(ISNUMBER(SEARCH("晒单",J388)),"【晒单】"&amp;MID(J388,SEARCH("晒单",J388)+LEN("晒单"),LEN(J388))&amp;"（需晒单后联系客服登记）",IF(ISNUMBER(SEARCH("包修",J388)),"【购机】"&amp;MID(J388,SEARCH("购机",J388)+LEN("购机"),LEN(J388)),IF(ISNUMBER(SEARCH("叠放支架",J388)),"【赠品】"&amp;MID(J388,SEARCH("购机",J388)+LEN("购机"),LEN(J388)),IF(ISNUMBER(SEARCH("秀图",J388)),"【秀图】"&amp;MID(J388,SEARCH("秀图",J388)+LEN("秀图"),LEN(J388)),"")))),IFERROR(LEFT(_xlpm.A,FIND("【",_xlpm.A,FIND("】",_xlpm.A)+1)-1)&amp;MID(_xlpm.A,FIND("】",_xlpm.A,FIND("】",_xlpm.A)+1)+1,LEN(_xlpm.A)),_xlpm.A))</f>
        <v/>
      </c>
      <c r="F388" s="18" t="str">
        <f>_xlfn.LET(_xlpm.A,IF(ISNUMBER(SEARCH("晒单",K388)),"【晒单】"&amp;MID(K388,SEARCH("晒单",K388)+LEN("晒单"),LEN(K388))&amp;"（需晒单后联系客服登记）",IF(ISNUMBER(SEARCH("包修",K388)),"【购机】"&amp;MID(K388,SEARCH("购机",K388)+LEN("购机"),LEN(K388)),IF(ISNUMBER(SEARCH("叠放支架",K388)),"【赠品】"&amp;MID(K388,SEARCH("购机",K388)+LEN("购机"),LEN(K388)),IF(ISNUMBER(SEARCH("秀图",K388)),"【秀图】"&amp;MID(K388,SEARCH("秀图",K388)+LEN("秀图"),LEN(K388)),"")))),IFERROR(LEFT(_xlpm.A,FIND("【",_xlpm.A,FIND("】",_xlpm.A)+1)-1)&amp;MID(_xlpm.A,FIND("】",_xlpm.A,FIND("】",_xlpm.A)+1)+1,LEN(_xlpm.A)),_xlpm.A))</f>
        <v/>
      </c>
      <c r="G388" s="18" t="str">
        <f>_xlfn.LET(_xlpm.A,IF(ISNUMBER(SEARCH("晒单",L388)),"【晒单】"&amp;MID(L388,SEARCH("晒单",L388)+LEN("晒单"),LEN(L388))&amp;"（需晒单后联系客服登记）",IF(ISNUMBER(SEARCH("包修",L388)),"【购机】"&amp;MID(L388,SEARCH("购机",L388)+LEN("购机"),LEN(L388)),IF(ISNUMBER(SEARCH("叠放支架",L388)),"【赠品】"&amp;MID(L388,SEARCH("购机",L388)+LEN("购机"),LEN(L388)),IF(ISNUMBER(SEARCH("秀图",L388)),"【秀图】"&amp;MID(L388,SEARCH("秀图",L388)+LEN("秀图"),LEN(L388)),"")))),IFERROR(LEFT(_xlpm.A,FIND("【",_xlpm.A,FIND("】",_xlpm.A)+1)-1)&amp;MID(_xlpm.A,FIND("】",_xlpm.A,FIND("】",_xlpm.A)+1)+1,LEN(_xlpm.A)),_xlpm.A))</f>
        <v/>
      </c>
      <c r="H388" s="18" t="str">
        <f>_xlfn.LET(_xlpm.A,IF(ISNUMBER(SEARCH("晒单",M388)),"【晒单】"&amp;MID(M388,SEARCH("晒单",M388)+LEN("晒单"),LEN(M388))&amp;"（需晒单后联系客服登记）",IF(ISNUMBER(SEARCH("包修",M388)),"【购机】"&amp;MID(M388,SEARCH("购机",M388)+LEN("购机"),LEN(M388)),IF(ISNUMBER(SEARCH("叠放支架",M388)),"【赠品】"&amp;MID(M388,SEARCH("购机",M388)+LEN("购机"),LEN(M388)),IF(ISNUMBER(SEARCH("秀图",M388)),"【秀图】"&amp;MID(M388,SEARCH("秀图",M388)+LEN("秀图"),LEN(M388)),"")))),IFERROR(LEFT(_xlpm.A,FIND("【",_xlpm.A,FIND("】",_xlpm.A)+1)-1)&amp;MID(_xlpm.A,FIND("】",_xlpm.A,FIND("】",_xlpm.A)+1)+1,LEN(_xlpm.A)),_xlpm.A))</f>
        <v/>
      </c>
      <c r="I388" s="18" t="str">
        <f>_xlfn.LET(_xlpm.A,IF(ISNUMBER(SEARCH("晒单",N388)),"【晒单】"&amp;MID(N388,SEARCH("晒单",N388)+LEN("晒单"),LEN(N388))&amp;"（需晒单后联系客服登记）",IF(ISNUMBER(SEARCH("包修",N388)),"【购机】"&amp;MID(N388,SEARCH("购机",N388)+LEN("购机"),LEN(N388)),IF(ISNUMBER(SEARCH("叠放支架",N388)),"【赠品】"&amp;MID(N388,SEARCH("购机",N388)+LEN("购机"),LEN(N388)),IF(ISNUMBER(SEARCH("秀图",N388)),"【秀图】"&amp;MID(N388,SEARCH("秀图",N388)+LEN("秀图"),LEN(N388)),"")))),IFERROR(LEFT(_xlpm.A,FIND("【",_xlpm.A,FIND("】",_xlpm.A)+1)-1)&amp;MID(_xlpm.A,FIND("】",_xlpm.A,FIND("】",_xlpm.A)+1)+1,LEN(_xlpm.A)),_xlpm.A))</f>
        <v/>
      </c>
      <c r="J388" s="18" t="str" cm="1">
        <f t="array" ref="J388">IFERROR(INDEX(_xlfn.TEXTSPLIT(_xlfn.XLOOKUP($A388&amp;$B388&amp;$C388,盘货信息!$A:$A&amp;盘货信息!$B:$B&amp;盘货信息!$C:$C,盘货信息!$S:$S),CHAR(10),,TRUE),1,COLUMN(A387)),"")</f>
        <v/>
      </c>
      <c r="K388" s="18" t="str" cm="1">
        <f t="array" ref="K388">IFERROR(INDEX(_xlfn.TEXTSPLIT(_xlfn.XLOOKUP($A388&amp;$B388&amp;$C388,盘货信息!$A:$A&amp;盘货信息!$B:$B&amp;盘货信息!$C:$C,盘货信息!$S:$S),CHAR(10),,TRUE),1,COLUMN(B387)),"")</f>
        <v/>
      </c>
      <c r="L388" s="18" t="str" cm="1">
        <f t="array" ref="L388">IFERROR(INDEX(_xlfn.TEXTSPLIT(_xlfn.XLOOKUP($A388&amp;$B388&amp;$C388,盘货信息!$A:$A&amp;盘货信息!$B:$B&amp;盘货信息!$C:$C,盘货信息!$S:$S),CHAR(10),,TRUE),1,COLUMN(C387)),"")</f>
        <v/>
      </c>
      <c r="M388" s="18" t="str" cm="1">
        <f t="array" ref="M388">IFERROR(INDEX(_xlfn.TEXTSPLIT(_xlfn.XLOOKUP($A388&amp;$B388&amp;$C388,盘货信息!$A:$A&amp;盘货信息!$B:$B&amp;盘货信息!$C:$C,盘货信息!$S:$S),CHAR(10),,TRUE),1,COLUMN(D387)),"")</f>
        <v/>
      </c>
      <c r="N388" s="18" t="str" cm="1">
        <f t="array" ref="N388">IFERROR(INDEX(_xlfn.TEXTSPLIT(_xlfn.XLOOKUP($A388&amp;$B388&amp;$C388,盘货信息!$A:$A&amp;盘货信息!$B:$B&amp;盘货信息!$C:$C,盘货信息!$S:$S),CHAR(10),,TRUE),1,COLUMN(E387)),"")</f>
        <v/>
      </c>
    </row>
    <row r="389" customHeight="1" spans="1:14">
      <c r="A389" s="17" t="str">
        <f>IF(盘货信息!A389="","",盘货信息!A389)</f>
        <v/>
      </c>
      <c r="B389" s="17" t="str">
        <f>IF(盘货信息!B389="","",盘货信息!B389)</f>
        <v/>
      </c>
      <c r="C389" s="18" t="str">
        <f>IF(盘货信息!C389="","",盘货信息!C389)</f>
        <v/>
      </c>
      <c r="D389" s="18" t="str">
        <f t="shared" si="6"/>
        <v/>
      </c>
      <c r="E389" s="18" t="str">
        <f>_xlfn.LET(_xlpm.A,IF(ISNUMBER(SEARCH("晒单",J389)),"【晒单】"&amp;MID(J389,SEARCH("晒单",J389)+LEN("晒单"),LEN(J389))&amp;"（需晒单后联系客服登记）",IF(ISNUMBER(SEARCH("包修",J389)),"【购机】"&amp;MID(J389,SEARCH("购机",J389)+LEN("购机"),LEN(J389)),IF(ISNUMBER(SEARCH("叠放支架",J389)),"【赠品】"&amp;MID(J389,SEARCH("购机",J389)+LEN("购机"),LEN(J389)),IF(ISNUMBER(SEARCH("秀图",J389)),"【秀图】"&amp;MID(J389,SEARCH("秀图",J389)+LEN("秀图"),LEN(J389)),"")))),IFERROR(LEFT(_xlpm.A,FIND("【",_xlpm.A,FIND("】",_xlpm.A)+1)-1)&amp;MID(_xlpm.A,FIND("】",_xlpm.A,FIND("】",_xlpm.A)+1)+1,LEN(_xlpm.A)),_xlpm.A))</f>
        <v/>
      </c>
      <c r="F389" s="18" t="str">
        <f>_xlfn.LET(_xlpm.A,IF(ISNUMBER(SEARCH("晒单",K389)),"【晒单】"&amp;MID(K389,SEARCH("晒单",K389)+LEN("晒单"),LEN(K389))&amp;"（需晒单后联系客服登记）",IF(ISNUMBER(SEARCH("包修",K389)),"【购机】"&amp;MID(K389,SEARCH("购机",K389)+LEN("购机"),LEN(K389)),IF(ISNUMBER(SEARCH("叠放支架",K389)),"【赠品】"&amp;MID(K389,SEARCH("购机",K389)+LEN("购机"),LEN(K389)),IF(ISNUMBER(SEARCH("秀图",K389)),"【秀图】"&amp;MID(K389,SEARCH("秀图",K389)+LEN("秀图"),LEN(K389)),"")))),IFERROR(LEFT(_xlpm.A,FIND("【",_xlpm.A,FIND("】",_xlpm.A)+1)-1)&amp;MID(_xlpm.A,FIND("】",_xlpm.A,FIND("】",_xlpm.A)+1)+1,LEN(_xlpm.A)),_xlpm.A))</f>
        <v/>
      </c>
      <c r="G389" s="18" t="str">
        <f>_xlfn.LET(_xlpm.A,IF(ISNUMBER(SEARCH("晒单",L389)),"【晒单】"&amp;MID(L389,SEARCH("晒单",L389)+LEN("晒单"),LEN(L389))&amp;"（需晒单后联系客服登记）",IF(ISNUMBER(SEARCH("包修",L389)),"【购机】"&amp;MID(L389,SEARCH("购机",L389)+LEN("购机"),LEN(L389)),IF(ISNUMBER(SEARCH("叠放支架",L389)),"【赠品】"&amp;MID(L389,SEARCH("购机",L389)+LEN("购机"),LEN(L389)),IF(ISNUMBER(SEARCH("秀图",L389)),"【秀图】"&amp;MID(L389,SEARCH("秀图",L389)+LEN("秀图"),LEN(L389)),"")))),IFERROR(LEFT(_xlpm.A,FIND("【",_xlpm.A,FIND("】",_xlpm.A)+1)-1)&amp;MID(_xlpm.A,FIND("】",_xlpm.A,FIND("】",_xlpm.A)+1)+1,LEN(_xlpm.A)),_xlpm.A))</f>
        <v/>
      </c>
      <c r="H389" s="18" t="str">
        <f>_xlfn.LET(_xlpm.A,IF(ISNUMBER(SEARCH("晒单",M389)),"【晒单】"&amp;MID(M389,SEARCH("晒单",M389)+LEN("晒单"),LEN(M389))&amp;"（需晒单后联系客服登记）",IF(ISNUMBER(SEARCH("包修",M389)),"【购机】"&amp;MID(M389,SEARCH("购机",M389)+LEN("购机"),LEN(M389)),IF(ISNUMBER(SEARCH("叠放支架",M389)),"【赠品】"&amp;MID(M389,SEARCH("购机",M389)+LEN("购机"),LEN(M389)),IF(ISNUMBER(SEARCH("秀图",M389)),"【秀图】"&amp;MID(M389,SEARCH("秀图",M389)+LEN("秀图"),LEN(M389)),"")))),IFERROR(LEFT(_xlpm.A,FIND("【",_xlpm.A,FIND("】",_xlpm.A)+1)-1)&amp;MID(_xlpm.A,FIND("】",_xlpm.A,FIND("】",_xlpm.A)+1)+1,LEN(_xlpm.A)),_xlpm.A))</f>
        <v/>
      </c>
      <c r="I389" s="18" t="str">
        <f>_xlfn.LET(_xlpm.A,IF(ISNUMBER(SEARCH("晒单",N389)),"【晒单】"&amp;MID(N389,SEARCH("晒单",N389)+LEN("晒单"),LEN(N389))&amp;"（需晒单后联系客服登记）",IF(ISNUMBER(SEARCH("包修",N389)),"【购机】"&amp;MID(N389,SEARCH("购机",N389)+LEN("购机"),LEN(N389)),IF(ISNUMBER(SEARCH("叠放支架",N389)),"【赠品】"&amp;MID(N389,SEARCH("购机",N389)+LEN("购机"),LEN(N389)),IF(ISNUMBER(SEARCH("秀图",N389)),"【秀图】"&amp;MID(N389,SEARCH("秀图",N389)+LEN("秀图"),LEN(N389)),"")))),IFERROR(LEFT(_xlpm.A,FIND("【",_xlpm.A,FIND("】",_xlpm.A)+1)-1)&amp;MID(_xlpm.A,FIND("】",_xlpm.A,FIND("】",_xlpm.A)+1)+1,LEN(_xlpm.A)),_xlpm.A))</f>
        <v/>
      </c>
      <c r="J389" s="18" t="str" cm="1">
        <f t="array" ref="J389">IFERROR(INDEX(_xlfn.TEXTSPLIT(_xlfn.XLOOKUP($A389&amp;$B389&amp;$C389,盘货信息!$A:$A&amp;盘货信息!$B:$B&amp;盘货信息!$C:$C,盘货信息!$S:$S),CHAR(10),,TRUE),1,COLUMN(A388)),"")</f>
        <v/>
      </c>
      <c r="K389" s="18" t="str" cm="1">
        <f t="array" ref="K389">IFERROR(INDEX(_xlfn.TEXTSPLIT(_xlfn.XLOOKUP($A389&amp;$B389&amp;$C389,盘货信息!$A:$A&amp;盘货信息!$B:$B&amp;盘货信息!$C:$C,盘货信息!$S:$S),CHAR(10),,TRUE),1,COLUMN(B388)),"")</f>
        <v/>
      </c>
      <c r="L389" s="18" t="str" cm="1">
        <f t="array" ref="L389">IFERROR(INDEX(_xlfn.TEXTSPLIT(_xlfn.XLOOKUP($A389&amp;$B389&amp;$C389,盘货信息!$A:$A&amp;盘货信息!$B:$B&amp;盘货信息!$C:$C,盘货信息!$S:$S),CHAR(10),,TRUE),1,COLUMN(C388)),"")</f>
        <v/>
      </c>
      <c r="M389" s="18" t="str" cm="1">
        <f t="array" ref="M389">IFERROR(INDEX(_xlfn.TEXTSPLIT(_xlfn.XLOOKUP($A389&amp;$B389&amp;$C389,盘货信息!$A:$A&amp;盘货信息!$B:$B&amp;盘货信息!$C:$C,盘货信息!$S:$S),CHAR(10),,TRUE),1,COLUMN(D388)),"")</f>
        <v/>
      </c>
      <c r="N389" s="18" t="str" cm="1">
        <f t="array" ref="N389">IFERROR(INDEX(_xlfn.TEXTSPLIT(_xlfn.XLOOKUP($A389&amp;$B389&amp;$C389,盘货信息!$A:$A&amp;盘货信息!$B:$B&amp;盘货信息!$C:$C,盘货信息!$S:$S),CHAR(10),,TRUE),1,COLUMN(E388)),"")</f>
        <v/>
      </c>
    </row>
    <row r="390" customHeight="1" spans="1:14">
      <c r="A390" s="17" t="str">
        <f>IF(盘货信息!A390="","",盘货信息!A390)</f>
        <v/>
      </c>
      <c r="B390" s="17" t="str">
        <f>IF(盘货信息!B390="","",盘货信息!B390)</f>
        <v/>
      </c>
      <c r="C390" s="18" t="str">
        <f>IF(盘货信息!C390="","",盘货信息!C390)</f>
        <v/>
      </c>
      <c r="D390" s="18" t="str">
        <f t="shared" si="6"/>
        <v/>
      </c>
      <c r="E390" s="18" t="str">
        <f>_xlfn.LET(_xlpm.A,IF(ISNUMBER(SEARCH("晒单",J390)),"【晒单】"&amp;MID(J390,SEARCH("晒单",J390)+LEN("晒单"),LEN(J390))&amp;"（需晒单后联系客服登记）",IF(ISNUMBER(SEARCH("包修",J390)),"【购机】"&amp;MID(J390,SEARCH("购机",J390)+LEN("购机"),LEN(J390)),IF(ISNUMBER(SEARCH("叠放支架",J390)),"【赠品】"&amp;MID(J390,SEARCH("购机",J390)+LEN("购机"),LEN(J390)),IF(ISNUMBER(SEARCH("秀图",J390)),"【秀图】"&amp;MID(J390,SEARCH("秀图",J390)+LEN("秀图"),LEN(J390)),"")))),IFERROR(LEFT(_xlpm.A,FIND("【",_xlpm.A,FIND("】",_xlpm.A)+1)-1)&amp;MID(_xlpm.A,FIND("】",_xlpm.A,FIND("】",_xlpm.A)+1)+1,LEN(_xlpm.A)),_xlpm.A))</f>
        <v/>
      </c>
      <c r="F390" s="18" t="str">
        <f>_xlfn.LET(_xlpm.A,IF(ISNUMBER(SEARCH("晒单",K390)),"【晒单】"&amp;MID(K390,SEARCH("晒单",K390)+LEN("晒单"),LEN(K390))&amp;"（需晒单后联系客服登记）",IF(ISNUMBER(SEARCH("包修",K390)),"【购机】"&amp;MID(K390,SEARCH("购机",K390)+LEN("购机"),LEN(K390)),IF(ISNUMBER(SEARCH("叠放支架",K390)),"【赠品】"&amp;MID(K390,SEARCH("购机",K390)+LEN("购机"),LEN(K390)),IF(ISNUMBER(SEARCH("秀图",K390)),"【秀图】"&amp;MID(K390,SEARCH("秀图",K390)+LEN("秀图"),LEN(K390)),"")))),IFERROR(LEFT(_xlpm.A,FIND("【",_xlpm.A,FIND("】",_xlpm.A)+1)-1)&amp;MID(_xlpm.A,FIND("】",_xlpm.A,FIND("】",_xlpm.A)+1)+1,LEN(_xlpm.A)),_xlpm.A))</f>
        <v/>
      </c>
      <c r="G390" s="18" t="str">
        <f>_xlfn.LET(_xlpm.A,IF(ISNUMBER(SEARCH("晒单",L390)),"【晒单】"&amp;MID(L390,SEARCH("晒单",L390)+LEN("晒单"),LEN(L390))&amp;"（需晒单后联系客服登记）",IF(ISNUMBER(SEARCH("包修",L390)),"【购机】"&amp;MID(L390,SEARCH("购机",L390)+LEN("购机"),LEN(L390)),IF(ISNUMBER(SEARCH("叠放支架",L390)),"【赠品】"&amp;MID(L390,SEARCH("购机",L390)+LEN("购机"),LEN(L390)),IF(ISNUMBER(SEARCH("秀图",L390)),"【秀图】"&amp;MID(L390,SEARCH("秀图",L390)+LEN("秀图"),LEN(L390)),"")))),IFERROR(LEFT(_xlpm.A,FIND("【",_xlpm.A,FIND("】",_xlpm.A)+1)-1)&amp;MID(_xlpm.A,FIND("】",_xlpm.A,FIND("】",_xlpm.A)+1)+1,LEN(_xlpm.A)),_xlpm.A))</f>
        <v/>
      </c>
      <c r="H390" s="18" t="str">
        <f>_xlfn.LET(_xlpm.A,IF(ISNUMBER(SEARCH("晒单",M390)),"【晒单】"&amp;MID(M390,SEARCH("晒单",M390)+LEN("晒单"),LEN(M390))&amp;"（需晒单后联系客服登记）",IF(ISNUMBER(SEARCH("包修",M390)),"【购机】"&amp;MID(M390,SEARCH("购机",M390)+LEN("购机"),LEN(M390)),IF(ISNUMBER(SEARCH("叠放支架",M390)),"【赠品】"&amp;MID(M390,SEARCH("购机",M390)+LEN("购机"),LEN(M390)),IF(ISNUMBER(SEARCH("秀图",M390)),"【秀图】"&amp;MID(M390,SEARCH("秀图",M390)+LEN("秀图"),LEN(M390)),"")))),IFERROR(LEFT(_xlpm.A,FIND("【",_xlpm.A,FIND("】",_xlpm.A)+1)-1)&amp;MID(_xlpm.A,FIND("】",_xlpm.A,FIND("】",_xlpm.A)+1)+1,LEN(_xlpm.A)),_xlpm.A))</f>
        <v/>
      </c>
      <c r="I390" s="18" t="str">
        <f>_xlfn.LET(_xlpm.A,IF(ISNUMBER(SEARCH("晒单",N390)),"【晒单】"&amp;MID(N390,SEARCH("晒单",N390)+LEN("晒单"),LEN(N390))&amp;"（需晒单后联系客服登记）",IF(ISNUMBER(SEARCH("包修",N390)),"【购机】"&amp;MID(N390,SEARCH("购机",N390)+LEN("购机"),LEN(N390)),IF(ISNUMBER(SEARCH("叠放支架",N390)),"【赠品】"&amp;MID(N390,SEARCH("购机",N390)+LEN("购机"),LEN(N390)),IF(ISNUMBER(SEARCH("秀图",N390)),"【秀图】"&amp;MID(N390,SEARCH("秀图",N390)+LEN("秀图"),LEN(N390)),"")))),IFERROR(LEFT(_xlpm.A,FIND("【",_xlpm.A,FIND("】",_xlpm.A)+1)-1)&amp;MID(_xlpm.A,FIND("】",_xlpm.A,FIND("】",_xlpm.A)+1)+1,LEN(_xlpm.A)),_xlpm.A))</f>
        <v/>
      </c>
      <c r="J390" s="18" t="str" cm="1">
        <f t="array" ref="J390">IFERROR(INDEX(_xlfn.TEXTSPLIT(_xlfn.XLOOKUP($A390&amp;$B390&amp;$C390,盘货信息!$A:$A&amp;盘货信息!$B:$B&amp;盘货信息!$C:$C,盘货信息!$S:$S),CHAR(10),,TRUE),1,COLUMN(A389)),"")</f>
        <v/>
      </c>
      <c r="K390" s="18" t="str" cm="1">
        <f t="array" ref="K390">IFERROR(INDEX(_xlfn.TEXTSPLIT(_xlfn.XLOOKUP($A390&amp;$B390&amp;$C390,盘货信息!$A:$A&amp;盘货信息!$B:$B&amp;盘货信息!$C:$C,盘货信息!$S:$S),CHAR(10),,TRUE),1,COLUMN(B389)),"")</f>
        <v/>
      </c>
      <c r="L390" s="18" t="str" cm="1">
        <f t="array" ref="L390">IFERROR(INDEX(_xlfn.TEXTSPLIT(_xlfn.XLOOKUP($A390&amp;$B390&amp;$C390,盘货信息!$A:$A&amp;盘货信息!$B:$B&amp;盘货信息!$C:$C,盘货信息!$S:$S),CHAR(10),,TRUE),1,COLUMN(C389)),"")</f>
        <v/>
      </c>
      <c r="M390" s="18" t="str" cm="1">
        <f t="array" ref="M390">IFERROR(INDEX(_xlfn.TEXTSPLIT(_xlfn.XLOOKUP($A390&amp;$B390&amp;$C390,盘货信息!$A:$A&amp;盘货信息!$B:$B&amp;盘货信息!$C:$C,盘货信息!$S:$S),CHAR(10),,TRUE),1,COLUMN(D389)),"")</f>
        <v/>
      </c>
      <c r="N390" s="18" t="str" cm="1">
        <f t="array" ref="N390">IFERROR(INDEX(_xlfn.TEXTSPLIT(_xlfn.XLOOKUP($A390&amp;$B390&amp;$C390,盘货信息!$A:$A&amp;盘货信息!$B:$B&amp;盘货信息!$C:$C,盘货信息!$S:$S),CHAR(10),,TRUE),1,COLUMN(E389)),"")</f>
        <v/>
      </c>
    </row>
    <row r="391" customHeight="1" spans="1:14">
      <c r="A391" s="17" t="str">
        <f>IF(盘货信息!A391="","",盘货信息!A391)</f>
        <v/>
      </c>
      <c r="B391" s="17" t="str">
        <f>IF(盘货信息!B391="","",盘货信息!B391)</f>
        <v/>
      </c>
      <c r="C391" s="18" t="str">
        <f>IF(盘货信息!C391="","",盘货信息!C391)</f>
        <v/>
      </c>
      <c r="D391" s="18" t="str">
        <f t="shared" si="6"/>
        <v/>
      </c>
      <c r="E391" s="18" t="str">
        <f>_xlfn.LET(_xlpm.A,IF(ISNUMBER(SEARCH("晒单",J391)),"【晒单】"&amp;MID(J391,SEARCH("晒单",J391)+LEN("晒单"),LEN(J391))&amp;"（需晒单后联系客服登记）",IF(ISNUMBER(SEARCH("包修",J391)),"【购机】"&amp;MID(J391,SEARCH("购机",J391)+LEN("购机"),LEN(J391)),IF(ISNUMBER(SEARCH("叠放支架",J391)),"【赠品】"&amp;MID(J391,SEARCH("购机",J391)+LEN("购机"),LEN(J391)),IF(ISNUMBER(SEARCH("秀图",J391)),"【秀图】"&amp;MID(J391,SEARCH("秀图",J391)+LEN("秀图"),LEN(J391)),"")))),IFERROR(LEFT(_xlpm.A,FIND("【",_xlpm.A,FIND("】",_xlpm.A)+1)-1)&amp;MID(_xlpm.A,FIND("】",_xlpm.A,FIND("】",_xlpm.A)+1)+1,LEN(_xlpm.A)),_xlpm.A))</f>
        <v/>
      </c>
      <c r="F391" s="18" t="str">
        <f>_xlfn.LET(_xlpm.A,IF(ISNUMBER(SEARCH("晒单",K391)),"【晒单】"&amp;MID(K391,SEARCH("晒单",K391)+LEN("晒单"),LEN(K391))&amp;"（需晒单后联系客服登记）",IF(ISNUMBER(SEARCH("包修",K391)),"【购机】"&amp;MID(K391,SEARCH("购机",K391)+LEN("购机"),LEN(K391)),IF(ISNUMBER(SEARCH("叠放支架",K391)),"【赠品】"&amp;MID(K391,SEARCH("购机",K391)+LEN("购机"),LEN(K391)),IF(ISNUMBER(SEARCH("秀图",K391)),"【秀图】"&amp;MID(K391,SEARCH("秀图",K391)+LEN("秀图"),LEN(K391)),"")))),IFERROR(LEFT(_xlpm.A,FIND("【",_xlpm.A,FIND("】",_xlpm.A)+1)-1)&amp;MID(_xlpm.A,FIND("】",_xlpm.A,FIND("】",_xlpm.A)+1)+1,LEN(_xlpm.A)),_xlpm.A))</f>
        <v/>
      </c>
      <c r="G391" s="18" t="str">
        <f>_xlfn.LET(_xlpm.A,IF(ISNUMBER(SEARCH("晒单",L391)),"【晒单】"&amp;MID(L391,SEARCH("晒单",L391)+LEN("晒单"),LEN(L391))&amp;"（需晒单后联系客服登记）",IF(ISNUMBER(SEARCH("包修",L391)),"【购机】"&amp;MID(L391,SEARCH("购机",L391)+LEN("购机"),LEN(L391)),IF(ISNUMBER(SEARCH("叠放支架",L391)),"【赠品】"&amp;MID(L391,SEARCH("购机",L391)+LEN("购机"),LEN(L391)),IF(ISNUMBER(SEARCH("秀图",L391)),"【秀图】"&amp;MID(L391,SEARCH("秀图",L391)+LEN("秀图"),LEN(L391)),"")))),IFERROR(LEFT(_xlpm.A,FIND("【",_xlpm.A,FIND("】",_xlpm.A)+1)-1)&amp;MID(_xlpm.A,FIND("】",_xlpm.A,FIND("】",_xlpm.A)+1)+1,LEN(_xlpm.A)),_xlpm.A))</f>
        <v/>
      </c>
      <c r="H391" s="18" t="str">
        <f>_xlfn.LET(_xlpm.A,IF(ISNUMBER(SEARCH("晒单",M391)),"【晒单】"&amp;MID(M391,SEARCH("晒单",M391)+LEN("晒单"),LEN(M391))&amp;"（需晒单后联系客服登记）",IF(ISNUMBER(SEARCH("包修",M391)),"【购机】"&amp;MID(M391,SEARCH("购机",M391)+LEN("购机"),LEN(M391)),IF(ISNUMBER(SEARCH("叠放支架",M391)),"【赠品】"&amp;MID(M391,SEARCH("购机",M391)+LEN("购机"),LEN(M391)),IF(ISNUMBER(SEARCH("秀图",M391)),"【秀图】"&amp;MID(M391,SEARCH("秀图",M391)+LEN("秀图"),LEN(M391)),"")))),IFERROR(LEFT(_xlpm.A,FIND("【",_xlpm.A,FIND("】",_xlpm.A)+1)-1)&amp;MID(_xlpm.A,FIND("】",_xlpm.A,FIND("】",_xlpm.A)+1)+1,LEN(_xlpm.A)),_xlpm.A))</f>
        <v/>
      </c>
      <c r="I391" s="18" t="str">
        <f>_xlfn.LET(_xlpm.A,IF(ISNUMBER(SEARCH("晒单",N391)),"【晒单】"&amp;MID(N391,SEARCH("晒单",N391)+LEN("晒单"),LEN(N391))&amp;"（需晒单后联系客服登记）",IF(ISNUMBER(SEARCH("包修",N391)),"【购机】"&amp;MID(N391,SEARCH("购机",N391)+LEN("购机"),LEN(N391)),IF(ISNUMBER(SEARCH("叠放支架",N391)),"【赠品】"&amp;MID(N391,SEARCH("购机",N391)+LEN("购机"),LEN(N391)),IF(ISNUMBER(SEARCH("秀图",N391)),"【秀图】"&amp;MID(N391,SEARCH("秀图",N391)+LEN("秀图"),LEN(N391)),"")))),IFERROR(LEFT(_xlpm.A,FIND("【",_xlpm.A,FIND("】",_xlpm.A)+1)-1)&amp;MID(_xlpm.A,FIND("】",_xlpm.A,FIND("】",_xlpm.A)+1)+1,LEN(_xlpm.A)),_xlpm.A))</f>
        <v/>
      </c>
      <c r="J391" s="18" t="str" cm="1">
        <f t="array" ref="J391">IFERROR(INDEX(_xlfn.TEXTSPLIT(_xlfn.XLOOKUP($A391&amp;$B391&amp;$C391,盘货信息!$A:$A&amp;盘货信息!$B:$B&amp;盘货信息!$C:$C,盘货信息!$S:$S),CHAR(10),,TRUE),1,COLUMN(A390)),"")</f>
        <v/>
      </c>
      <c r="K391" s="18" t="str" cm="1">
        <f t="array" ref="K391">IFERROR(INDEX(_xlfn.TEXTSPLIT(_xlfn.XLOOKUP($A391&amp;$B391&amp;$C391,盘货信息!$A:$A&amp;盘货信息!$B:$B&amp;盘货信息!$C:$C,盘货信息!$S:$S),CHAR(10),,TRUE),1,COLUMN(B390)),"")</f>
        <v/>
      </c>
      <c r="L391" s="18" t="str" cm="1">
        <f t="array" ref="L391">IFERROR(INDEX(_xlfn.TEXTSPLIT(_xlfn.XLOOKUP($A391&amp;$B391&amp;$C391,盘货信息!$A:$A&amp;盘货信息!$B:$B&amp;盘货信息!$C:$C,盘货信息!$S:$S),CHAR(10),,TRUE),1,COLUMN(C390)),"")</f>
        <v/>
      </c>
      <c r="M391" s="18" t="str" cm="1">
        <f t="array" ref="M391">IFERROR(INDEX(_xlfn.TEXTSPLIT(_xlfn.XLOOKUP($A391&amp;$B391&amp;$C391,盘货信息!$A:$A&amp;盘货信息!$B:$B&amp;盘货信息!$C:$C,盘货信息!$S:$S),CHAR(10),,TRUE),1,COLUMN(D390)),"")</f>
        <v/>
      </c>
      <c r="N391" s="18" t="str" cm="1">
        <f t="array" ref="N391">IFERROR(INDEX(_xlfn.TEXTSPLIT(_xlfn.XLOOKUP($A391&amp;$B391&amp;$C391,盘货信息!$A:$A&amp;盘货信息!$B:$B&amp;盘货信息!$C:$C,盘货信息!$S:$S),CHAR(10),,TRUE),1,COLUMN(E390)),"")</f>
        <v/>
      </c>
    </row>
    <row r="392" customHeight="1" spans="1:14">
      <c r="A392" s="17" t="str">
        <f>IF(盘货信息!A392="","",盘货信息!A392)</f>
        <v/>
      </c>
      <c r="B392" s="17" t="str">
        <f>IF(盘货信息!B392="","",盘货信息!B392)</f>
        <v/>
      </c>
      <c r="C392" s="18" t="str">
        <f>IF(盘货信息!C392="","",盘货信息!C392)</f>
        <v/>
      </c>
      <c r="D392" s="18" t="str">
        <f t="shared" si="6"/>
        <v/>
      </c>
      <c r="E392" s="18" t="str">
        <f>_xlfn.LET(_xlpm.A,IF(ISNUMBER(SEARCH("晒单",J392)),"【晒单】"&amp;MID(J392,SEARCH("晒单",J392)+LEN("晒单"),LEN(J392))&amp;"（需晒单后联系客服登记）",IF(ISNUMBER(SEARCH("包修",J392)),"【购机】"&amp;MID(J392,SEARCH("购机",J392)+LEN("购机"),LEN(J392)),IF(ISNUMBER(SEARCH("叠放支架",J392)),"【赠品】"&amp;MID(J392,SEARCH("购机",J392)+LEN("购机"),LEN(J392)),IF(ISNUMBER(SEARCH("秀图",J392)),"【秀图】"&amp;MID(J392,SEARCH("秀图",J392)+LEN("秀图"),LEN(J392)),"")))),IFERROR(LEFT(_xlpm.A,FIND("【",_xlpm.A,FIND("】",_xlpm.A)+1)-1)&amp;MID(_xlpm.A,FIND("】",_xlpm.A,FIND("】",_xlpm.A)+1)+1,LEN(_xlpm.A)),_xlpm.A))</f>
        <v/>
      </c>
      <c r="F392" s="18" t="str">
        <f>_xlfn.LET(_xlpm.A,IF(ISNUMBER(SEARCH("晒单",K392)),"【晒单】"&amp;MID(K392,SEARCH("晒单",K392)+LEN("晒单"),LEN(K392))&amp;"（需晒单后联系客服登记）",IF(ISNUMBER(SEARCH("包修",K392)),"【购机】"&amp;MID(K392,SEARCH("购机",K392)+LEN("购机"),LEN(K392)),IF(ISNUMBER(SEARCH("叠放支架",K392)),"【赠品】"&amp;MID(K392,SEARCH("购机",K392)+LEN("购机"),LEN(K392)),IF(ISNUMBER(SEARCH("秀图",K392)),"【秀图】"&amp;MID(K392,SEARCH("秀图",K392)+LEN("秀图"),LEN(K392)),"")))),IFERROR(LEFT(_xlpm.A,FIND("【",_xlpm.A,FIND("】",_xlpm.A)+1)-1)&amp;MID(_xlpm.A,FIND("】",_xlpm.A,FIND("】",_xlpm.A)+1)+1,LEN(_xlpm.A)),_xlpm.A))</f>
        <v/>
      </c>
      <c r="G392" s="18" t="str">
        <f>_xlfn.LET(_xlpm.A,IF(ISNUMBER(SEARCH("晒单",L392)),"【晒单】"&amp;MID(L392,SEARCH("晒单",L392)+LEN("晒单"),LEN(L392))&amp;"（需晒单后联系客服登记）",IF(ISNUMBER(SEARCH("包修",L392)),"【购机】"&amp;MID(L392,SEARCH("购机",L392)+LEN("购机"),LEN(L392)),IF(ISNUMBER(SEARCH("叠放支架",L392)),"【赠品】"&amp;MID(L392,SEARCH("购机",L392)+LEN("购机"),LEN(L392)),IF(ISNUMBER(SEARCH("秀图",L392)),"【秀图】"&amp;MID(L392,SEARCH("秀图",L392)+LEN("秀图"),LEN(L392)),"")))),IFERROR(LEFT(_xlpm.A,FIND("【",_xlpm.A,FIND("】",_xlpm.A)+1)-1)&amp;MID(_xlpm.A,FIND("】",_xlpm.A,FIND("】",_xlpm.A)+1)+1,LEN(_xlpm.A)),_xlpm.A))</f>
        <v/>
      </c>
      <c r="H392" s="18" t="str">
        <f>_xlfn.LET(_xlpm.A,IF(ISNUMBER(SEARCH("晒单",M392)),"【晒单】"&amp;MID(M392,SEARCH("晒单",M392)+LEN("晒单"),LEN(M392))&amp;"（需晒单后联系客服登记）",IF(ISNUMBER(SEARCH("包修",M392)),"【购机】"&amp;MID(M392,SEARCH("购机",M392)+LEN("购机"),LEN(M392)),IF(ISNUMBER(SEARCH("叠放支架",M392)),"【赠品】"&amp;MID(M392,SEARCH("购机",M392)+LEN("购机"),LEN(M392)),IF(ISNUMBER(SEARCH("秀图",M392)),"【秀图】"&amp;MID(M392,SEARCH("秀图",M392)+LEN("秀图"),LEN(M392)),"")))),IFERROR(LEFT(_xlpm.A,FIND("【",_xlpm.A,FIND("】",_xlpm.A)+1)-1)&amp;MID(_xlpm.A,FIND("】",_xlpm.A,FIND("】",_xlpm.A)+1)+1,LEN(_xlpm.A)),_xlpm.A))</f>
        <v/>
      </c>
      <c r="I392" s="18" t="str">
        <f>_xlfn.LET(_xlpm.A,IF(ISNUMBER(SEARCH("晒单",N392)),"【晒单】"&amp;MID(N392,SEARCH("晒单",N392)+LEN("晒单"),LEN(N392))&amp;"（需晒单后联系客服登记）",IF(ISNUMBER(SEARCH("包修",N392)),"【购机】"&amp;MID(N392,SEARCH("购机",N392)+LEN("购机"),LEN(N392)),IF(ISNUMBER(SEARCH("叠放支架",N392)),"【赠品】"&amp;MID(N392,SEARCH("购机",N392)+LEN("购机"),LEN(N392)),IF(ISNUMBER(SEARCH("秀图",N392)),"【秀图】"&amp;MID(N392,SEARCH("秀图",N392)+LEN("秀图"),LEN(N392)),"")))),IFERROR(LEFT(_xlpm.A,FIND("【",_xlpm.A,FIND("】",_xlpm.A)+1)-1)&amp;MID(_xlpm.A,FIND("】",_xlpm.A,FIND("】",_xlpm.A)+1)+1,LEN(_xlpm.A)),_xlpm.A))</f>
        <v/>
      </c>
      <c r="J392" s="18" t="str" cm="1">
        <f t="array" ref="J392">IFERROR(INDEX(_xlfn.TEXTSPLIT(_xlfn.XLOOKUP($A392&amp;$B392&amp;$C392,盘货信息!$A:$A&amp;盘货信息!$B:$B&amp;盘货信息!$C:$C,盘货信息!$S:$S),CHAR(10),,TRUE),1,COLUMN(A391)),"")</f>
        <v/>
      </c>
      <c r="K392" s="18" t="str" cm="1">
        <f t="array" ref="K392">IFERROR(INDEX(_xlfn.TEXTSPLIT(_xlfn.XLOOKUP($A392&amp;$B392&amp;$C392,盘货信息!$A:$A&amp;盘货信息!$B:$B&amp;盘货信息!$C:$C,盘货信息!$S:$S),CHAR(10),,TRUE),1,COLUMN(B391)),"")</f>
        <v/>
      </c>
      <c r="L392" s="18" t="str" cm="1">
        <f t="array" ref="L392">IFERROR(INDEX(_xlfn.TEXTSPLIT(_xlfn.XLOOKUP($A392&amp;$B392&amp;$C392,盘货信息!$A:$A&amp;盘货信息!$B:$B&amp;盘货信息!$C:$C,盘货信息!$S:$S),CHAR(10),,TRUE),1,COLUMN(C391)),"")</f>
        <v/>
      </c>
      <c r="M392" s="18" t="str" cm="1">
        <f t="array" ref="M392">IFERROR(INDEX(_xlfn.TEXTSPLIT(_xlfn.XLOOKUP($A392&amp;$B392&amp;$C392,盘货信息!$A:$A&amp;盘货信息!$B:$B&amp;盘货信息!$C:$C,盘货信息!$S:$S),CHAR(10),,TRUE),1,COLUMN(D391)),"")</f>
        <v/>
      </c>
      <c r="N392" s="18" t="str" cm="1">
        <f t="array" ref="N392">IFERROR(INDEX(_xlfn.TEXTSPLIT(_xlfn.XLOOKUP($A392&amp;$B392&amp;$C392,盘货信息!$A:$A&amp;盘货信息!$B:$B&amp;盘货信息!$C:$C,盘货信息!$S:$S),CHAR(10),,TRUE),1,COLUMN(E391)),"")</f>
        <v/>
      </c>
    </row>
    <row r="393" customHeight="1" spans="1:14">
      <c r="A393" s="17" t="str">
        <f>IF(盘货信息!A393="","",盘货信息!A393)</f>
        <v/>
      </c>
      <c r="B393" s="17" t="str">
        <f>IF(盘货信息!B393="","",盘货信息!B393)</f>
        <v/>
      </c>
      <c r="C393" s="18" t="str">
        <f>IF(盘货信息!C393="","",盘货信息!C393)</f>
        <v/>
      </c>
      <c r="D393" s="18" t="str">
        <f t="shared" si="6"/>
        <v/>
      </c>
      <c r="E393" s="18" t="str">
        <f>_xlfn.LET(_xlpm.A,IF(ISNUMBER(SEARCH("晒单",J393)),"【晒单】"&amp;MID(J393,SEARCH("晒单",J393)+LEN("晒单"),LEN(J393))&amp;"（需晒单后联系客服登记）",IF(ISNUMBER(SEARCH("包修",J393)),"【购机】"&amp;MID(J393,SEARCH("购机",J393)+LEN("购机"),LEN(J393)),IF(ISNUMBER(SEARCH("叠放支架",J393)),"【赠品】"&amp;MID(J393,SEARCH("购机",J393)+LEN("购机"),LEN(J393)),IF(ISNUMBER(SEARCH("秀图",J393)),"【秀图】"&amp;MID(J393,SEARCH("秀图",J393)+LEN("秀图"),LEN(J393)),"")))),IFERROR(LEFT(_xlpm.A,FIND("【",_xlpm.A,FIND("】",_xlpm.A)+1)-1)&amp;MID(_xlpm.A,FIND("】",_xlpm.A,FIND("】",_xlpm.A)+1)+1,LEN(_xlpm.A)),_xlpm.A))</f>
        <v/>
      </c>
      <c r="F393" s="18" t="str">
        <f>_xlfn.LET(_xlpm.A,IF(ISNUMBER(SEARCH("晒单",K393)),"【晒单】"&amp;MID(K393,SEARCH("晒单",K393)+LEN("晒单"),LEN(K393))&amp;"（需晒单后联系客服登记）",IF(ISNUMBER(SEARCH("包修",K393)),"【购机】"&amp;MID(K393,SEARCH("购机",K393)+LEN("购机"),LEN(K393)),IF(ISNUMBER(SEARCH("叠放支架",K393)),"【赠品】"&amp;MID(K393,SEARCH("购机",K393)+LEN("购机"),LEN(K393)),IF(ISNUMBER(SEARCH("秀图",K393)),"【秀图】"&amp;MID(K393,SEARCH("秀图",K393)+LEN("秀图"),LEN(K393)),"")))),IFERROR(LEFT(_xlpm.A,FIND("【",_xlpm.A,FIND("】",_xlpm.A)+1)-1)&amp;MID(_xlpm.A,FIND("】",_xlpm.A,FIND("】",_xlpm.A)+1)+1,LEN(_xlpm.A)),_xlpm.A))</f>
        <v/>
      </c>
      <c r="G393" s="18" t="str">
        <f>_xlfn.LET(_xlpm.A,IF(ISNUMBER(SEARCH("晒单",L393)),"【晒单】"&amp;MID(L393,SEARCH("晒单",L393)+LEN("晒单"),LEN(L393))&amp;"（需晒单后联系客服登记）",IF(ISNUMBER(SEARCH("包修",L393)),"【购机】"&amp;MID(L393,SEARCH("购机",L393)+LEN("购机"),LEN(L393)),IF(ISNUMBER(SEARCH("叠放支架",L393)),"【赠品】"&amp;MID(L393,SEARCH("购机",L393)+LEN("购机"),LEN(L393)),IF(ISNUMBER(SEARCH("秀图",L393)),"【秀图】"&amp;MID(L393,SEARCH("秀图",L393)+LEN("秀图"),LEN(L393)),"")))),IFERROR(LEFT(_xlpm.A,FIND("【",_xlpm.A,FIND("】",_xlpm.A)+1)-1)&amp;MID(_xlpm.A,FIND("】",_xlpm.A,FIND("】",_xlpm.A)+1)+1,LEN(_xlpm.A)),_xlpm.A))</f>
        <v/>
      </c>
      <c r="H393" s="18" t="str">
        <f>_xlfn.LET(_xlpm.A,IF(ISNUMBER(SEARCH("晒单",M393)),"【晒单】"&amp;MID(M393,SEARCH("晒单",M393)+LEN("晒单"),LEN(M393))&amp;"（需晒单后联系客服登记）",IF(ISNUMBER(SEARCH("包修",M393)),"【购机】"&amp;MID(M393,SEARCH("购机",M393)+LEN("购机"),LEN(M393)),IF(ISNUMBER(SEARCH("叠放支架",M393)),"【赠品】"&amp;MID(M393,SEARCH("购机",M393)+LEN("购机"),LEN(M393)),IF(ISNUMBER(SEARCH("秀图",M393)),"【秀图】"&amp;MID(M393,SEARCH("秀图",M393)+LEN("秀图"),LEN(M393)),"")))),IFERROR(LEFT(_xlpm.A,FIND("【",_xlpm.A,FIND("】",_xlpm.A)+1)-1)&amp;MID(_xlpm.A,FIND("】",_xlpm.A,FIND("】",_xlpm.A)+1)+1,LEN(_xlpm.A)),_xlpm.A))</f>
        <v/>
      </c>
      <c r="I393" s="18" t="str">
        <f>_xlfn.LET(_xlpm.A,IF(ISNUMBER(SEARCH("晒单",N393)),"【晒单】"&amp;MID(N393,SEARCH("晒单",N393)+LEN("晒单"),LEN(N393))&amp;"（需晒单后联系客服登记）",IF(ISNUMBER(SEARCH("包修",N393)),"【购机】"&amp;MID(N393,SEARCH("购机",N393)+LEN("购机"),LEN(N393)),IF(ISNUMBER(SEARCH("叠放支架",N393)),"【赠品】"&amp;MID(N393,SEARCH("购机",N393)+LEN("购机"),LEN(N393)),IF(ISNUMBER(SEARCH("秀图",N393)),"【秀图】"&amp;MID(N393,SEARCH("秀图",N393)+LEN("秀图"),LEN(N393)),"")))),IFERROR(LEFT(_xlpm.A,FIND("【",_xlpm.A,FIND("】",_xlpm.A)+1)-1)&amp;MID(_xlpm.A,FIND("】",_xlpm.A,FIND("】",_xlpm.A)+1)+1,LEN(_xlpm.A)),_xlpm.A))</f>
        <v/>
      </c>
      <c r="J393" s="18" t="str" cm="1">
        <f t="array" ref="J393">IFERROR(INDEX(_xlfn.TEXTSPLIT(_xlfn.XLOOKUP($A393&amp;$B393&amp;$C393,盘货信息!$A:$A&amp;盘货信息!$B:$B&amp;盘货信息!$C:$C,盘货信息!$S:$S),CHAR(10),,TRUE),1,COLUMN(A392)),"")</f>
        <v/>
      </c>
      <c r="K393" s="18" t="str" cm="1">
        <f t="array" ref="K393">IFERROR(INDEX(_xlfn.TEXTSPLIT(_xlfn.XLOOKUP($A393&amp;$B393&amp;$C393,盘货信息!$A:$A&amp;盘货信息!$B:$B&amp;盘货信息!$C:$C,盘货信息!$S:$S),CHAR(10),,TRUE),1,COLUMN(B392)),"")</f>
        <v/>
      </c>
      <c r="L393" s="18" t="str" cm="1">
        <f t="array" ref="L393">IFERROR(INDEX(_xlfn.TEXTSPLIT(_xlfn.XLOOKUP($A393&amp;$B393&amp;$C393,盘货信息!$A:$A&amp;盘货信息!$B:$B&amp;盘货信息!$C:$C,盘货信息!$S:$S),CHAR(10),,TRUE),1,COLUMN(C392)),"")</f>
        <v/>
      </c>
      <c r="M393" s="18" t="str" cm="1">
        <f t="array" ref="M393">IFERROR(INDEX(_xlfn.TEXTSPLIT(_xlfn.XLOOKUP($A393&amp;$B393&amp;$C393,盘货信息!$A:$A&amp;盘货信息!$B:$B&amp;盘货信息!$C:$C,盘货信息!$S:$S),CHAR(10),,TRUE),1,COLUMN(D392)),"")</f>
        <v/>
      </c>
      <c r="N393" s="18" t="str" cm="1">
        <f t="array" ref="N393">IFERROR(INDEX(_xlfn.TEXTSPLIT(_xlfn.XLOOKUP($A393&amp;$B393&amp;$C393,盘货信息!$A:$A&amp;盘货信息!$B:$B&amp;盘货信息!$C:$C,盘货信息!$S:$S),CHAR(10),,TRUE),1,COLUMN(E392)),"")</f>
        <v/>
      </c>
    </row>
    <row r="394" customHeight="1" spans="1:14">
      <c r="A394" s="17" t="str">
        <f>IF(盘货信息!A394="","",盘货信息!A394)</f>
        <v/>
      </c>
      <c r="B394" s="17" t="str">
        <f>IF(盘货信息!B394="","",盘货信息!B394)</f>
        <v/>
      </c>
      <c r="C394" s="18" t="str">
        <f>IF(盘货信息!C394="","",盘货信息!C394)</f>
        <v/>
      </c>
      <c r="D394" s="18" t="str">
        <f t="shared" si="6"/>
        <v/>
      </c>
      <c r="E394" s="18" t="str">
        <f>_xlfn.LET(_xlpm.A,IF(ISNUMBER(SEARCH("晒单",J394)),"【晒单】"&amp;MID(J394,SEARCH("晒单",J394)+LEN("晒单"),LEN(J394))&amp;"（需晒单后联系客服登记）",IF(ISNUMBER(SEARCH("包修",J394)),"【购机】"&amp;MID(J394,SEARCH("购机",J394)+LEN("购机"),LEN(J394)),IF(ISNUMBER(SEARCH("叠放支架",J394)),"【赠品】"&amp;MID(J394,SEARCH("购机",J394)+LEN("购机"),LEN(J394)),IF(ISNUMBER(SEARCH("秀图",J394)),"【秀图】"&amp;MID(J394,SEARCH("秀图",J394)+LEN("秀图"),LEN(J394)),"")))),IFERROR(LEFT(_xlpm.A,FIND("【",_xlpm.A,FIND("】",_xlpm.A)+1)-1)&amp;MID(_xlpm.A,FIND("】",_xlpm.A,FIND("】",_xlpm.A)+1)+1,LEN(_xlpm.A)),_xlpm.A))</f>
        <v/>
      </c>
      <c r="F394" s="18" t="str">
        <f>_xlfn.LET(_xlpm.A,IF(ISNUMBER(SEARCH("晒单",K394)),"【晒单】"&amp;MID(K394,SEARCH("晒单",K394)+LEN("晒单"),LEN(K394))&amp;"（需晒单后联系客服登记）",IF(ISNUMBER(SEARCH("包修",K394)),"【购机】"&amp;MID(K394,SEARCH("购机",K394)+LEN("购机"),LEN(K394)),IF(ISNUMBER(SEARCH("叠放支架",K394)),"【赠品】"&amp;MID(K394,SEARCH("购机",K394)+LEN("购机"),LEN(K394)),IF(ISNUMBER(SEARCH("秀图",K394)),"【秀图】"&amp;MID(K394,SEARCH("秀图",K394)+LEN("秀图"),LEN(K394)),"")))),IFERROR(LEFT(_xlpm.A,FIND("【",_xlpm.A,FIND("】",_xlpm.A)+1)-1)&amp;MID(_xlpm.A,FIND("】",_xlpm.A,FIND("】",_xlpm.A)+1)+1,LEN(_xlpm.A)),_xlpm.A))</f>
        <v/>
      </c>
      <c r="G394" s="18" t="str">
        <f>_xlfn.LET(_xlpm.A,IF(ISNUMBER(SEARCH("晒单",L394)),"【晒单】"&amp;MID(L394,SEARCH("晒单",L394)+LEN("晒单"),LEN(L394))&amp;"（需晒单后联系客服登记）",IF(ISNUMBER(SEARCH("包修",L394)),"【购机】"&amp;MID(L394,SEARCH("购机",L394)+LEN("购机"),LEN(L394)),IF(ISNUMBER(SEARCH("叠放支架",L394)),"【赠品】"&amp;MID(L394,SEARCH("购机",L394)+LEN("购机"),LEN(L394)),IF(ISNUMBER(SEARCH("秀图",L394)),"【秀图】"&amp;MID(L394,SEARCH("秀图",L394)+LEN("秀图"),LEN(L394)),"")))),IFERROR(LEFT(_xlpm.A,FIND("【",_xlpm.A,FIND("】",_xlpm.A)+1)-1)&amp;MID(_xlpm.A,FIND("】",_xlpm.A,FIND("】",_xlpm.A)+1)+1,LEN(_xlpm.A)),_xlpm.A))</f>
        <v/>
      </c>
      <c r="H394" s="18" t="str">
        <f>_xlfn.LET(_xlpm.A,IF(ISNUMBER(SEARCH("晒单",M394)),"【晒单】"&amp;MID(M394,SEARCH("晒单",M394)+LEN("晒单"),LEN(M394))&amp;"（需晒单后联系客服登记）",IF(ISNUMBER(SEARCH("包修",M394)),"【购机】"&amp;MID(M394,SEARCH("购机",M394)+LEN("购机"),LEN(M394)),IF(ISNUMBER(SEARCH("叠放支架",M394)),"【赠品】"&amp;MID(M394,SEARCH("购机",M394)+LEN("购机"),LEN(M394)),IF(ISNUMBER(SEARCH("秀图",M394)),"【秀图】"&amp;MID(M394,SEARCH("秀图",M394)+LEN("秀图"),LEN(M394)),"")))),IFERROR(LEFT(_xlpm.A,FIND("【",_xlpm.A,FIND("】",_xlpm.A)+1)-1)&amp;MID(_xlpm.A,FIND("】",_xlpm.A,FIND("】",_xlpm.A)+1)+1,LEN(_xlpm.A)),_xlpm.A))</f>
        <v/>
      </c>
      <c r="I394" s="18" t="str">
        <f>_xlfn.LET(_xlpm.A,IF(ISNUMBER(SEARCH("晒单",N394)),"【晒单】"&amp;MID(N394,SEARCH("晒单",N394)+LEN("晒单"),LEN(N394))&amp;"（需晒单后联系客服登记）",IF(ISNUMBER(SEARCH("包修",N394)),"【购机】"&amp;MID(N394,SEARCH("购机",N394)+LEN("购机"),LEN(N394)),IF(ISNUMBER(SEARCH("叠放支架",N394)),"【赠品】"&amp;MID(N394,SEARCH("购机",N394)+LEN("购机"),LEN(N394)),IF(ISNUMBER(SEARCH("秀图",N394)),"【秀图】"&amp;MID(N394,SEARCH("秀图",N394)+LEN("秀图"),LEN(N394)),"")))),IFERROR(LEFT(_xlpm.A,FIND("【",_xlpm.A,FIND("】",_xlpm.A)+1)-1)&amp;MID(_xlpm.A,FIND("】",_xlpm.A,FIND("】",_xlpm.A)+1)+1,LEN(_xlpm.A)),_xlpm.A))</f>
        <v/>
      </c>
      <c r="J394" s="18" t="str" cm="1">
        <f t="array" ref="J394">IFERROR(INDEX(_xlfn.TEXTSPLIT(_xlfn.XLOOKUP($A394&amp;$B394&amp;$C394,盘货信息!$A:$A&amp;盘货信息!$B:$B&amp;盘货信息!$C:$C,盘货信息!$S:$S),CHAR(10),,TRUE),1,COLUMN(A393)),"")</f>
        <v/>
      </c>
      <c r="K394" s="18" t="str" cm="1">
        <f t="array" ref="K394">IFERROR(INDEX(_xlfn.TEXTSPLIT(_xlfn.XLOOKUP($A394&amp;$B394&amp;$C394,盘货信息!$A:$A&amp;盘货信息!$B:$B&amp;盘货信息!$C:$C,盘货信息!$S:$S),CHAR(10),,TRUE),1,COLUMN(B393)),"")</f>
        <v/>
      </c>
      <c r="L394" s="18" t="str" cm="1">
        <f t="array" ref="L394">IFERROR(INDEX(_xlfn.TEXTSPLIT(_xlfn.XLOOKUP($A394&amp;$B394&amp;$C394,盘货信息!$A:$A&amp;盘货信息!$B:$B&amp;盘货信息!$C:$C,盘货信息!$S:$S),CHAR(10),,TRUE),1,COLUMN(C393)),"")</f>
        <v/>
      </c>
      <c r="M394" s="18" t="str" cm="1">
        <f t="array" ref="M394">IFERROR(INDEX(_xlfn.TEXTSPLIT(_xlfn.XLOOKUP($A394&amp;$B394&amp;$C394,盘货信息!$A:$A&amp;盘货信息!$B:$B&amp;盘货信息!$C:$C,盘货信息!$S:$S),CHAR(10),,TRUE),1,COLUMN(D393)),"")</f>
        <v/>
      </c>
      <c r="N394" s="18" t="str" cm="1">
        <f t="array" ref="N394">IFERROR(INDEX(_xlfn.TEXTSPLIT(_xlfn.XLOOKUP($A394&amp;$B394&amp;$C394,盘货信息!$A:$A&amp;盘货信息!$B:$B&amp;盘货信息!$C:$C,盘货信息!$S:$S),CHAR(10),,TRUE),1,COLUMN(E393)),"")</f>
        <v/>
      </c>
    </row>
    <row r="395" customHeight="1" spans="1:14">
      <c r="A395" s="17" t="str">
        <f>IF(盘货信息!A395="","",盘货信息!A395)</f>
        <v/>
      </c>
      <c r="B395" s="17" t="str">
        <f>IF(盘货信息!B395="","",盘货信息!B395)</f>
        <v/>
      </c>
      <c r="C395" s="18" t="str">
        <f>IF(盘货信息!C395="","",盘货信息!C395)</f>
        <v/>
      </c>
      <c r="D395" s="18" t="str">
        <f t="shared" si="6"/>
        <v/>
      </c>
      <c r="E395" s="18" t="str">
        <f>_xlfn.LET(_xlpm.A,IF(ISNUMBER(SEARCH("晒单",J395)),"【晒单】"&amp;MID(J395,SEARCH("晒单",J395)+LEN("晒单"),LEN(J395))&amp;"（需晒单后联系客服登记）",IF(ISNUMBER(SEARCH("包修",J395)),"【购机】"&amp;MID(J395,SEARCH("购机",J395)+LEN("购机"),LEN(J395)),IF(ISNUMBER(SEARCH("叠放支架",J395)),"【赠品】"&amp;MID(J395,SEARCH("购机",J395)+LEN("购机"),LEN(J395)),IF(ISNUMBER(SEARCH("秀图",J395)),"【秀图】"&amp;MID(J395,SEARCH("秀图",J395)+LEN("秀图"),LEN(J395)),"")))),IFERROR(LEFT(_xlpm.A,FIND("【",_xlpm.A,FIND("】",_xlpm.A)+1)-1)&amp;MID(_xlpm.A,FIND("】",_xlpm.A,FIND("】",_xlpm.A)+1)+1,LEN(_xlpm.A)),_xlpm.A))</f>
        <v/>
      </c>
      <c r="F395" s="18" t="str">
        <f>_xlfn.LET(_xlpm.A,IF(ISNUMBER(SEARCH("晒单",K395)),"【晒单】"&amp;MID(K395,SEARCH("晒单",K395)+LEN("晒单"),LEN(K395))&amp;"（需晒单后联系客服登记）",IF(ISNUMBER(SEARCH("包修",K395)),"【购机】"&amp;MID(K395,SEARCH("购机",K395)+LEN("购机"),LEN(K395)),IF(ISNUMBER(SEARCH("叠放支架",K395)),"【赠品】"&amp;MID(K395,SEARCH("购机",K395)+LEN("购机"),LEN(K395)),IF(ISNUMBER(SEARCH("秀图",K395)),"【秀图】"&amp;MID(K395,SEARCH("秀图",K395)+LEN("秀图"),LEN(K395)),"")))),IFERROR(LEFT(_xlpm.A,FIND("【",_xlpm.A,FIND("】",_xlpm.A)+1)-1)&amp;MID(_xlpm.A,FIND("】",_xlpm.A,FIND("】",_xlpm.A)+1)+1,LEN(_xlpm.A)),_xlpm.A))</f>
        <v/>
      </c>
      <c r="G395" s="18" t="str">
        <f>_xlfn.LET(_xlpm.A,IF(ISNUMBER(SEARCH("晒单",L395)),"【晒单】"&amp;MID(L395,SEARCH("晒单",L395)+LEN("晒单"),LEN(L395))&amp;"（需晒单后联系客服登记）",IF(ISNUMBER(SEARCH("包修",L395)),"【购机】"&amp;MID(L395,SEARCH("购机",L395)+LEN("购机"),LEN(L395)),IF(ISNUMBER(SEARCH("叠放支架",L395)),"【赠品】"&amp;MID(L395,SEARCH("购机",L395)+LEN("购机"),LEN(L395)),IF(ISNUMBER(SEARCH("秀图",L395)),"【秀图】"&amp;MID(L395,SEARCH("秀图",L395)+LEN("秀图"),LEN(L395)),"")))),IFERROR(LEFT(_xlpm.A,FIND("【",_xlpm.A,FIND("】",_xlpm.A)+1)-1)&amp;MID(_xlpm.A,FIND("】",_xlpm.A,FIND("】",_xlpm.A)+1)+1,LEN(_xlpm.A)),_xlpm.A))</f>
        <v/>
      </c>
      <c r="H395" s="18" t="str">
        <f>_xlfn.LET(_xlpm.A,IF(ISNUMBER(SEARCH("晒单",M395)),"【晒单】"&amp;MID(M395,SEARCH("晒单",M395)+LEN("晒单"),LEN(M395))&amp;"（需晒单后联系客服登记）",IF(ISNUMBER(SEARCH("包修",M395)),"【购机】"&amp;MID(M395,SEARCH("购机",M395)+LEN("购机"),LEN(M395)),IF(ISNUMBER(SEARCH("叠放支架",M395)),"【赠品】"&amp;MID(M395,SEARCH("购机",M395)+LEN("购机"),LEN(M395)),IF(ISNUMBER(SEARCH("秀图",M395)),"【秀图】"&amp;MID(M395,SEARCH("秀图",M395)+LEN("秀图"),LEN(M395)),"")))),IFERROR(LEFT(_xlpm.A,FIND("【",_xlpm.A,FIND("】",_xlpm.A)+1)-1)&amp;MID(_xlpm.A,FIND("】",_xlpm.A,FIND("】",_xlpm.A)+1)+1,LEN(_xlpm.A)),_xlpm.A))</f>
        <v/>
      </c>
      <c r="I395" s="18" t="str">
        <f>_xlfn.LET(_xlpm.A,IF(ISNUMBER(SEARCH("晒单",N395)),"【晒单】"&amp;MID(N395,SEARCH("晒单",N395)+LEN("晒单"),LEN(N395))&amp;"（需晒单后联系客服登记）",IF(ISNUMBER(SEARCH("包修",N395)),"【购机】"&amp;MID(N395,SEARCH("购机",N395)+LEN("购机"),LEN(N395)),IF(ISNUMBER(SEARCH("叠放支架",N395)),"【赠品】"&amp;MID(N395,SEARCH("购机",N395)+LEN("购机"),LEN(N395)),IF(ISNUMBER(SEARCH("秀图",N395)),"【秀图】"&amp;MID(N395,SEARCH("秀图",N395)+LEN("秀图"),LEN(N395)),"")))),IFERROR(LEFT(_xlpm.A,FIND("【",_xlpm.A,FIND("】",_xlpm.A)+1)-1)&amp;MID(_xlpm.A,FIND("】",_xlpm.A,FIND("】",_xlpm.A)+1)+1,LEN(_xlpm.A)),_xlpm.A))</f>
        <v/>
      </c>
      <c r="J395" s="18" t="str" cm="1">
        <f t="array" ref="J395">IFERROR(INDEX(_xlfn.TEXTSPLIT(_xlfn.XLOOKUP($A395&amp;$B395&amp;$C395,盘货信息!$A:$A&amp;盘货信息!$B:$B&amp;盘货信息!$C:$C,盘货信息!$S:$S),CHAR(10),,TRUE),1,COLUMN(A394)),"")</f>
        <v/>
      </c>
      <c r="K395" s="18" t="str" cm="1">
        <f t="array" ref="K395">IFERROR(INDEX(_xlfn.TEXTSPLIT(_xlfn.XLOOKUP($A395&amp;$B395&amp;$C395,盘货信息!$A:$A&amp;盘货信息!$B:$B&amp;盘货信息!$C:$C,盘货信息!$S:$S),CHAR(10),,TRUE),1,COLUMN(B394)),"")</f>
        <v/>
      </c>
      <c r="L395" s="18" t="str" cm="1">
        <f t="array" ref="L395">IFERROR(INDEX(_xlfn.TEXTSPLIT(_xlfn.XLOOKUP($A395&amp;$B395&amp;$C395,盘货信息!$A:$A&amp;盘货信息!$B:$B&amp;盘货信息!$C:$C,盘货信息!$S:$S),CHAR(10),,TRUE),1,COLUMN(C394)),"")</f>
        <v/>
      </c>
      <c r="M395" s="18" t="str" cm="1">
        <f t="array" ref="M395">IFERROR(INDEX(_xlfn.TEXTSPLIT(_xlfn.XLOOKUP($A395&amp;$B395&amp;$C395,盘货信息!$A:$A&amp;盘货信息!$B:$B&amp;盘货信息!$C:$C,盘货信息!$S:$S),CHAR(10),,TRUE),1,COLUMN(D394)),"")</f>
        <v/>
      </c>
      <c r="N395" s="18" t="str" cm="1">
        <f t="array" ref="N395">IFERROR(INDEX(_xlfn.TEXTSPLIT(_xlfn.XLOOKUP($A395&amp;$B395&amp;$C395,盘货信息!$A:$A&amp;盘货信息!$B:$B&amp;盘货信息!$C:$C,盘货信息!$S:$S),CHAR(10),,TRUE),1,COLUMN(E394)),"")</f>
        <v/>
      </c>
    </row>
    <row r="396" customHeight="1" spans="1:14">
      <c r="A396" s="17" t="str">
        <f>IF(盘货信息!A396="","",盘货信息!A396)</f>
        <v/>
      </c>
      <c r="B396" s="17" t="str">
        <f>IF(盘货信息!B396="","",盘货信息!B396)</f>
        <v/>
      </c>
      <c r="C396" s="18" t="str">
        <f>IF(盘货信息!C396="","",盘货信息!C396)</f>
        <v/>
      </c>
      <c r="D396" s="18" t="str">
        <f t="shared" si="6"/>
        <v/>
      </c>
      <c r="E396" s="18" t="str">
        <f>_xlfn.LET(_xlpm.A,IF(ISNUMBER(SEARCH("晒单",J396)),"【晒单】"&amp;MID(J396,SEARCH("晒单",J396)+LEN("晒单"),LEN(J396))&amp;"（需晒单后联系客服登记）",IF(ISNUMBER(SEARCH("包修",J396)),"【购机】"&amp;MID(J396,SEARCH("购机",J396)+LEN("购机"),LEN(J396)),IF(ISNUMBER(SEARCH("叠放支架",J396)),"【赠品】"&amp;MID(J396,SEARCH("购机",J396)+LEN("购机"),LEN(J396)),IF(ISNUMBER(SEARCH("秀图",J396)),"【秀图】"&amp;MID(J396,SEARCH("秀图",J396)+LEN("秀图"),LEN(J396)),"")))),IFERROR(LEFT(_xlpm.A,FIND("【",_xlpm.A,FIND("】",_xlpm.A)+1)-1)&amp;MID(_xlpm.A,FIND("】",_xlpm.A,FIND("】",_xlpm.A)+1)+1,LEN(_xlpm.A)),_xlpm.A))</f>
        <v/>
      </c>
      <c r="F396" s="18" t="str">
        <f>_xlfn.LET(_xlpm.A,IF(ISNUMBER(SEARCH("晒单",K396)),"【晒单】"&amp;MID(K396,SEARCH("晒单",K396)+LEN("晒单"),LEN(K396))&amp;"（需晒单后联系客服登记）",IF(ISNUMBER(SEARCH("包修",K396)),"【购机】"&amp;MID(K396,SEARCH("购机",K396)+LEN("购机"),LEN(K396)),IF(ISNUMBER(SEARCH("叠放支架",K396)),"【赠品】"&amp;MID(K396,SEARCH("购机",K396)+LEN("购机"),LEN(K396)),IF(ISNUMBER(SEARCH("秀图",K396)),"【秀图】"&amp;MID(K396,SEARCH("秀图",K396)+LEN("秀图"),LEN(K396)),"")))),IFERROR(LEFT(_xlpm.A,FIND("【",_xlpm.A,FIND("】",_xlpm.A)+1)-1)&amp;MID(_xlpm.A,FIND("】",_xlpm.A,FIND("】",_xlpm.A)+1)+1,LEN(_xlpm.A)),_xlpm.A))</f>
        <v/>
      </c>
      <c r="G396" s="18" t="str">
        <f>_xlfn.LET(_xlpm.A,IF(ISNUMBER(SEARCH("晒单",L396)),"【晒单】"&amp;MID(L396,SEARCH("晒单",L396)+LEN("晒单"),LEN(L396))&amp;"（需晒单后联系客服登记）",IF(ISNUMBER(SEARCH("包修",L396)),"【购机】"&amp;MID(L396,SEARCH("购机",L396)+LEN("购机"),LEN(L396)),IF(ISNUMBER(SEARCH("叠放支架",L396)),"【赠品】"&amp;MID(L396,SEARCH("购机",L396)+LEN("购机"),LEN(L396)),IF(ISNUMBER(SEARCH("秀图",L396)),"【秀图】"&amp;MID(L396,SEARCH("秀图",L396)+LEN("秀图"),LEN(L396)),"")))),IFERROR(LEFT(_xlpm.A,FIND("【",_xlpm.A,FIND("】",_xlpm.A)+1)-1)&amp;MID(_xlpm.A,FIND("】",_xlpm.A,FIND("】",_xlpm.A)+1)+1,LEN(_xlpm.A)),_xlpm.A))</f>
        <v/>
      </c>
      <c r="H396" s="18" t="str">
        <f>_xlfn.LET(_xlpm.A,IF(ISNUMBER(SEARCH("晒单",M396)),"【晒单】"&amp;MID(M396,SEARCH("晒单",M396)+LEN("晒单"),LEN(M396))&amp;"（需晒单后联系客服登记）",IF(ISNUMBER(SEARCH("包修",M396)),"【购机】"&amp;MID(M396,SEARCH("购机",M396)+LEN("购机"),LEN(M396)),IF(ISNUMBER(SEARCH("叠放支架",M396)),"【赠品】"&amp;MID(M396,SEARCH("购机",M396)+LEN("购机"),LEN(M396)),IF(ISNUMBER(SEARCH("秀图",M396)),"【秀图】"&amp;MID(M396,SEARCH("秀图",M396)+LEN("秀图"),LEN(M396)),"")))),IFERROR(LEFT(_xlpm.A,FIND("【",_xlpm.A,FIND("】",_xlpm.A)+1)-1)&amp;MID(_xlpm.A,FIND("】",_xlpm.A,FIND("】",_xlpm.A)+1)+1,LEN(_xlpm.A)),_xlpm.A))</f>
        <v/>
      </c>
      <c r="I396" s="18" t="str">
        <f>_xlfn.LET(_xlpm.A,IF(ISNUMBER(SEARCH("晒单",N396)),"【晒单】"&amp;MID(N396,SEARCH("晒单",N396)+LEN("晒单"),LEN(N396))&amp;"（需晒单后联系客服登记）",IF(ISNUMBER(SEARCH("包修",N396)),"【购机】"&amp;MID(N396,SEARCH("购机",N396)+LEN("购机"),LEN(N396)),IF(ISNUMBER(SEARCH("叠放支架",N396)),"【赠品】"&amp;MID(N396,SEARCH("购机",N396)+LEN("购机"),LEN(N396)),IF(ISNUMBER(SEARCH("秀图",N396)),"【秀图】"&amp;MID(N396,SEARCH("秀图",N396)+LEN("秀图"),LEN(N396)),"")))),IFERROR(LEFT(_xlpm.A,FIND("【",_xlpm.A,FIND("】",_xlpm.A)+1)-1)&amp;MID(_xlpm.A,FIND("】",_xlpm.A,FIND("】",_xlpm.A)+1)+1,LEN(_xlpm.A)),_xlpm.A))</f>
        <v/>
      </c>
      <c r="J396" s="18" t="str" cm="1">
        <f t="array" ref="J396">IFERROR(INDEX(_xlfn.TEXTSPLIT(_xlfn.XLOOKUP($A396&amp;$B396&amp;$C396,盘货信息!$A:$A&amp;盘货信息!$B:$B&amp;盘货信息!$C:$C,盘货信息!$S:$S),CHAR(10),,TRUE),1,COLUMN(A395)),"")</f>
        <v/>
      </c>
      <c r="K396" s="18" t="str" cm="1">
        <f t="array" ref="K396">IFERROR(INDEX(_xlfn.TEXTSPLIT(_xlfn.XLOOKUP($A396&amp;$B396&amp;$C396,盘货信息!$A:$A&amp;盘货信息!$B:$B&amp;盘货信息!$C:$C,盘货信息!$S:$S),CHAR(10),,TRUE),1,COLUMN(B395)),"")</f>
        <v/>
      </c>
      <c r="L396" s="18" t="str" cm="1">
        <f t="array" ref="L396">IFERROR(INDEX(_xlfn.TEXTSPLIT(_xlfn.XLOOKUP($A396&amp;$B396&amp;$C396,盘货信息!$A:$A&amp;盘货信息!$B:$B&amp;盘货信息!$C:$C,盘货信息!$S:$S),CHAR(10),,TRUE),1,COLUMN(C395)),"")</f>
        <v/>
      </c>
      <c r="M396" s="18" t="str" cm="1">
        <f t="array" ref="M396">IFERROR(INDEX(_xlfn.TEXTSPLIT(_xlfn.XLOOKUP($A396&amp;$B396&amp;$C396,盘货信息!$A:$A&amp;盘货信息!$B:$B&amp;盘货信息!$C:$C,盘货信息!$S:$S),CHAR(10),,TRUE),1,COLUMN(D395)),"")</f>
        <v/>
      </c>
      <c r="N396" s="18" t="str" cm="1">
        <f t="array" ref="N396">IFERROR(INDEX(_xlfn.TEXTSPLIT(_xlfn.XLOOKUP($A396&amp;$B396&amp;$C396,盘货信息!$A:$A&amp;盘货信息!$B:$B&amp;盘货信息!$C:$C,盘货信息!$S:$S),CHAR(10),,TRUE),1,COLUMN(E395)),"")</f>
        <v/>
      </c>
    </row>
    <row r="397" customHeight="1" spans="1:14">
      <c r="A397" s="17" t="str">
        <f>IF(盘货信息!A397="","",盘货信息!A397)</f>
        <v/>
      </c>
      <c r="B397" s="17" t="str">
        <f>IF(盘货信息!B397="","",盘货信息!B397)</f>
        <v/>
      </c>
      <c r="C397" s="18" t="str">
        <f>IF(盘货信息!C397="","",盘货信息!C397)</f>
        <v/>
      </c>
      <c r="D397" s="18" t="str">
        <f t="shared" si="6"/>
        <v/>
      </c>
      <c r="E397" s="18" t="str">
        <f>_xlfn.LET(_xlpm.A,IF(ISNUMBER(SEARCH("晒单",J397)),"【晒单】"&amp;MID(J397,SEARCH("晒单",J397)+LEN("晒单"),LEN(J397))&amp;"（需晒单后联系客服登记）",IF(ISNUMBER(SEARCH("包修",J397)),"【购机】"&amp;MID(J397,SEARCH("购机",J397)+LEN("购机"),LEN(J397)),IF(ISNUMBER(SEARCH("叠放支架",J397)),"【赠品】"&amp;MID(J397,SEARCH("购机",J397)+LEN("购机"),LEN(J397)),IF(ISNUMBER(SEARCH("秀图",J397)),"【秀图】"&amp;MID(J397,SEARCH("秀图",J397)+LEN("秀图"),LEN(J397)),"")))),IFERROR(LEFT(_xlpm.A,FIND("【",_xlpm.A,FIND("】",_xlpm.A)+1)-1)&amp;MID(_xlpm.A,FIND("】",_xlpm.A,FIND("】",_xlpm.A)+1)+1,LEN(_xlpm.A)),_xlpm.A))</f>
        <v/>
      </c>
      <c r="F397" s="18" t="str">
        <f>_xlfn.LET(_xlpm.A,IF(ISNUMBER(SEARCH("晒单",K397)),"【晒单】"&amp;MID(K397,SEARCH("晒单",K397)+LEN("晒单"),LEN(K397))&amp;"（需晒单后联系客服登记）",IF(ISNUMBER(SEARCH("包修",K397)),"【购机】"&amp;MID(K397,SEARCH("购机",K397)+LEN("购机"),LEN(K397)),IF(ISNUMBER(SEARCH("叠放支架",K397)),"【赠品】"&amp;MID(K397,SEARCH("购机",K397)+LEN("购机"),LEN(K397)),IF(ISNUMBER(SEARCH("秀图",K397)),"【秀图】"&amp;MID(K397,SEARCH("秀图",K397)+LEN("秀图"),LEN(K397)),"")))),IFERROR(LEFT(_xlpm.A,FIND("【",_xlpm.A,FIND("】",_xlpm.A)+1)-1)&amp;MID(_xlpm.A,FIND("】",_xlpm.A,FIND("】",_xlpm.A)+1)+1,LEN(_xlpm.A)),_xlpm.A))</f>
        <v/>
      </c>
      <c r="G397" s="18" t="str">
        <f>_xlfn.LET(_xlpm.A,IF(ISNUMBER(SEARCH("晒单",L397)),"【晒单】"&amp;MID(L397,SEARCH("晒单",L397)+LEN("晒单"),LEN(L397))&amp;"（需晒单后联系客服登记）",IF(ISNUMBER(SEARCH("包修",L397)),"【购机】"&amp;MID(L397,SEARCH("购机",L397)+LEN("购机"),LEN(L397)),IF(ISNUMBER(SEARCH("叠放支架",L397)),"【赠品】"&amp;MID(L397,SEARCH("购机",L397)+LEN("购机"),LEN(L397)),IF(ISNUMBER(SEARCH("秀图",L397)),"【秀图】"&amp;MID(L397,SEARCH("秀图",L397)+LEN("秀图"),LEN(L397)),"")))),IFERROR(LEFT(_xlpm.A,FIND("【",_xlpm.A,FIND("】",_xlpm.A)+1)-1)&amp;MID(_xlpm.A,FIND("】",_xlpm.A,FIND("】",_xlpm.A)+1)+1,LEN(_xlpm.A)),_xlpm.A))</f>
        <v/>
      </c>
      <c r="H397" s="18" t="str">
        <f>_xlfn.LET(_xlpm.A,IF(ISNUMBER(SEARCH("晒单",M397)),"【晒单】"&amp;MID(M397,SEARCH("晒单",M397)+LEN("晒单"),LEN(M397))&amp;"（需晒单后联系客服登记）",IF(ISNUMBER(SEARCH("包修",M397)),"【购机】"&amp;MID(M397,SEARCH("购机",M397)+LEN("购机"),LEN(M397)),IF(ISNUMBER(SEARCH("叠放支架",M397)),"【赠品】"&amp;MID(M397,SEARCH("购机",M397)+LEN("购机"),LEN(M397)),IF(ISNUMBER(SEARCH("秀图",M397)),"【秀图】"&amp;MID(M397,SEARCH("秀图",M397)+LEN("秀图"),LEN(M397)),"")))),IFERROR(LEFT(_xlpm.A,FIND("【",_xlpm.A,FIND("】",_xlpm.A)+1)-1)&amp;MID(_xlpm.A,FIND("】",_xlpm.A,FIND("】",_xlpm.A)+1)+1,LEN(_xlpm.A)),_xlpm.A))</f>
        <v/>
      </c>
      <c r="I397" s="18" t="str">
        <f>_xlfn.LET(_xlpm.A,IF(ISNUMBER(SEARCH("晒单",N397)),"【晒单】"&amp;MID(N397,SEARCH("晒单",N397)+LEN("晒单"),LEN(N397))&amp;"（需晒单后联系客服登记）",IF(ISNUMBER(SEARCH("包修",N397)),"【购机】"&amp;MID(N397,SEARCH("购机",N397)+LEN("购机"),LEN(N397)),IF(ISNUMBER(SEARCH("叠放支架",N397)),"【赠品】"&amp;MID(N397,SEARCH("购机",N397)+LEN("购机"),LEN(N397)),IF(ISNUMBER(SEARCH("秀图",N397)),"【秀图】"&amp;MID(N397,SEARCH("秀图",N397)+LEN("秀图"),LEN(N397)),"")))),IFERROR(LEFT(_xlpm.A,FIND("【",_xlpm.A,FIND("】",_xlpm.A)+1)-1)&amp;MID(_xlpm.A,FIND("】",_xlpm.A,FIND("】",_xlpm.A)+1)+1,LEN(_xlpm.A)),_xlpm.A))</f>
        <v/>
      </c>
      <c r="J397" s="18" t="str" cm="1">
        <f t="array" ref="J397">IFERROR(INDEX(_xlfn.TEXTSPLIT(_xlfn.XLOOKUP($A397&amp;$B397&amp;$C397,盘货信息!$A:$A&amp;盘货信息!$B:$B&amp;盘货信息!$C:$C,盘货信息!$S:$S),CHAR(10),,TRUE),1,COLUMN(A396)),"")</f>
        <v/>
      </c>
      <c r="K397" s="18" t="str" cm="1">
        <f t="array" ref="K397">IFERROR(INDEX(_xlfn.TEXTSPLIT(_xlfn.XLOOKUP($A397&amp;$B397&amp;$C397,盘货信息!$A:$A&amp;盘货信息!$B:$B&amp;盘货信息!$C:$C,盘货信息!$S:$S),CHAR(10),,TRUE),1,COLUMN(B396)),"")</f>
        <v/>
      </c>
      <c r="L397" s="18" t="str" cm="1">
        <f t="array" ref="L397">IFERROR(INDEX(_xlfn.TEXTSPLIT(_xlfn.XLOOKUP($A397&amp;$B397&amp;$C397,盘货信息!$A:$A&amp;盘货信息!$B:$B&amp;盘货信息!$C:$C,盘货信息!$S:$S),CHAR(10),,TRUE),1,COLUMN(C396)),"")</f>
        <v/>
      </c>
      <c r="M397" s="18" t="str" cm="1">
        <f t="array" ref="M397">IFERROR(INDEX(_xlfn.TEXTSPLIT(_xlfn.XLOOKUP($A397&amp;$B397&amp;$C397,盘货信息!$A:$A&amp;盘货信息!$B:$B&amp;盘货信息!$C:$C,盘货信息!$S:$S),CHAR(10),,TRUE),1,COLUMN(D396)),"")</f>
        <v/>
      </c>
      <c r="N397" s="18" t="str" cm="1">
        <f t="array" ref="N397">IFERROR(INDEX(_xlfn.TEXTSPLIT(_xlfn.XLOOKUP($A397&amp;$B397&amp;$C397,盘货信息!$A:$A&amp;盘货信息!$B:$B&amp;盘货信息!$C:$C,盘货信息!$S:$S),CHAR(10),,TRUE),1,COLUMN(E396)),"")</f>
        <v/>
      </c>
    </row>
    <row r="398" customHeight="1" spans="1:14">
      <c r="A398" s="17" t="str">
        <f>IF(盘货信息!A398="","",盘货信息!A398)</f>
        <v/>
      </c>
      <c r="B398" s="17" t="str">
        <f>IF(盘货信息!B398="","",盘货信息!B398)</f>
        <v/>
      </c>
      <c r="C398" s="18" t="str">
        <f>IF(盘货信息!C398="","",盘货信息!C398)</f>
        <v/>
      </c>
      <c r="D398" s="18" t="str">
        <f t="shared" si="6"/>
        <v/>
      </c>
      <c r="E398" s="18" t="str">
        <f>_xlfn.LET(_xlpm.A,IF(ISNUMBER(SEARCH("晒单",J398)),"【晒单】"&amp;MID(J398,SEARCH("晒单",J398)+LEN("晒单"),LEN(J398))&amp;"（需晒单后联系客服登记）",IF(ISNUMBER(SEARCH("包修",J398)),"【购机】"&amp;MID(J398,SEARCH("购机",J398)+LEN("购机"),LEN(J398)),IF(ISNUMBER(SEARCH("叠放支架",J398)),"【赠品】"&amp;MID(J398,SEARCH("购机",J398)+LEN("购机"),LEN(J398)),IF(ISNUMBER(SEARCH("秀图",J398)),"【秀图】"&amp;MID(J398,SEARCH("秀图",J398)+LEN("秀图"),LEN(J398)),"")))),IFERROR(LEFT(_xlpm.A,FIND("【",_xlpm.A,FIND("】",_xlpm.A)+1)-1)&amp;MID(_xlpm.A,FIND("】",_xlpm.A,FIND("】",_xlpm.A)+1)+1,LEN(_xlpm.A)),_xlpm.A))</f>
        <v/>
      </c>
      <c r="F398" s="18" t="str">
        <f>_xlfn.LET(_xlpm.A,IF(ISNUMBER(SEARCH("晒单",K398)),"【晒单】"&amp;MID(K398,SEARCH("晒单",K398)+LEN("晒单"),LEN(K398))&amp;"（需晒单后联系客服登记）",IF(ISNUMBER(SEARCH("包修",K398)),"【购机】"&amp;MID(K398,SEARCH("购机",K398)+LEN("购机"),LEN(K398)),IF(ISNUMBER(SEARCH("叠放支架",K398)),"【赠品】"&amp;MID(K398,SEARCH("购机",K398)+LEN("购机"),LEN(K398)),IF(ISNUMBER(SEARCH("秀图",K398)),"【秀图】"&amp;MID(K398,SEARCH("秀图",K398)+LEN("秀图"),LEN(K398)),"")))),IFERROR(LEFT(_xlpm.A,FIND("【",_xlpm.A,FIND("】",_xlpm.A)+1)-1)&amp;MID(_xlpm.A,FIND("】",_xlpm.A,FIND("】",_xlpm.A)+1)+1,LEN(_xlpm.A)),_xlpm.A))</f>
        <v/>
      </c>
      <c r="G398" s="18" t="str">
        <f>_xlfn.LET(_xlpm.A,IF(ISNUMBER(SEARCH("晒单",L398)),"【晒单】"&amp;MID(L398,SEARCH("晒单",L398)+LEN("晒单"),LEN(L398))&amp;"（需晒单后联系客服登记）",IF(ISNUMBER(SEARCH("包修",L398)),"【购机】"&amp;MID(L398,SEARCH("购机",L398)+LEN("购机"),LEN(L398)),IF(ISNUMBER(SEARCH("叠放支架",L398)),"【赠品】"&amp;MID(L398,SEARCH("购机",L398)+LEN("购机"),LEN(L398)),IF(ISNUMBER(SEARCH("秀图",L398)),"【秀图】"&amp;MID(L398,SEARCH("秀图",L398)+LEN("秀图"),LEN(L398)),"")))),IFERROR(LEFT(_xlpm.A,FIND("【",_xlpm.A,FIND("】",_xlpm.A)+1)-1)&amp;MID(_xlpm.A,FIND("】",_xlpm.A,FIND("】",_xlpm.A)+1)+1,LEN(_xlpm.A)),_xlpm.A))</f>
        <v/>
      </c>
      <c r="H398" s="18" t="str">
        <f>_xlfn.LET(_xlpm.A,IF(ISNUMBER(SEARCH("晒单",M398)),"【晒单】"&amp;MID(M398,SEARCH("晒单",M398)+LEN("晒单"),LEN(M398))&amp;"（需晒单后联系客服登记）",IF(ISNUMBER(SEARCH("包修",M398)),"【购机】"&amp;MID(M398,SEARCH("购机",M398)+LEN("购机"),LEN(M398)),IF(ISNUMBER(SEARCH("叠放支架",M398)),"【赠品】"&amp;MID(M398,SEARCH("购机",M398)+LEN("购机"),LEN(M398)),IF(ISNUMBER(SEARCH("秀图",M398)),"【秀图】"&amp;MID(M398,SEARCH("秀图",M398)+LEN("秀图"),LEN(M398)),"")))),IFERROR(LEFT(_xlpm.A,FIND("【",_xlpm.A,FIND("】",_xlpm.A)+1)-1)&amp;MID(_xlpm.A,FIND("】",_xlpm.A,FIND("】",_xlpm.A)+1)+1,LEN(_xlpm.A)),_xlpm.A))</f>
        <v/>
      </c>
      <c r="I398" s="18" t="str">
        <f>_xlfn.LET(_xlpm.A,IF(ISNUMBER(SEARCH("晒单",N398)),"【晒单】"&amp;MID(N398,SEARCH("晒单",N398)+LEN("晒单"),LEN(N398))&amp;"（需晒单后联系客服登记）",IF(ISNUMBER(SEARCH("包修",N398)),"【购机】"&amp;MID(N398,SEARCH("购机",N398)+LEN("购机"),LEN(N398)),IF(ISNUMBER(SEARCH("叠放支架",N398)),"【赠品】"&amp;MID(N398,SEARCH("购机",N398)+LEN("购机"),LEN(N398)),IF(ISNUMBER(SEARCH("秀图",N398)),"【秀图】"&amp;MID(N398,SEARCH("秀图",N398)+LEN("秀图"),LEN(N398)),"")))),IFERROR(LEFT(_xlpm.A,FIND("【",_xlpm.A,FIND("】",_xlpm.A)+1)-1)&amp;MID(_xlpm.A,FIND("】",_xlpm.A,FIND("】",_xlpm.A)+1)+1,LEN(_xlpm.A)),_xlpm.A))</f>
        <v/>
      </c>
      <c r="J398" s="18" t="str" cm="1">
        <f t="array" ref="J398">IFERROR(INDEX(_xlfn.TEXTSPLIT(_xlfn.XLOOKUP($A398&amp;$B398&amp;$C398,盘货信息!$A:$A&amp;盘货信息!$B:$B&amp;盘货信息!$C:$C,盘货信息!$S:$S),CHAR(10),,TRUE),1,COLUMN(A397)),"")</f>
        <v/>
      </c>
      <c r="K398" s="18" t="str" cm="1">
        <f t="array" ref="K398">IFERROR(INDEX(_xlfn.TEXTSPLIT(_xlfn.XLOOKUP($A398&amp;$B398&amp;$C398,盘货信息!$A:$A&amp;盘货信息!$B:$B&amp;盘货信息!$C:$C,盘货信息!$S:$S),CHAR(10),,TRUE),1,COLUMN(B397)),"")</f>
        <v/>
      </c>
      <c r="L398" s="18" t="str" cm="1">
        <f t="array" ref="L398">IFERROR(INDEX(_xlfn.TEXTSPLIT(_xlfn.XLOOKUP($A398&amp;$B398&amp;$C398,盘货信息!$A:$A&amp;盘货信息!$B:$B&amp;盘货信息!$C:$C,盘货信息!$S:$S),CHAR(10),,TRUE),1,COLUMN(C397)),"")</f>
        <v/>
      </c>
      <c r="M398" s="18" t="str" cm="1">
        <f t="array" ref="M398">IFERROR(INDEX(_xlfn.TEXTSPLIT(_xlfn.XLOOKUP($A398&amp;$B398&amp;$C398,盘货信息!$A:$A&amp;盘货信息!$B:$B&amp;盘货信息!$C:$C,盘货信息!$S:$S),CHAR(10),,TRUE),1,COLUMN(D397)),"")</f>
        <v/>
      </c>
      <c r="N398" s="18" t="str" cm="1">
        <f t="array" ref="N398">IFERROR(INDEX(_xlfn.TEXTSPLIT(_xlfn.XLOOKUP($A398&amp;$B398&amp;$C398,盘货信息!$A:$A&amp;盘货信息!$B:$B&amp;盘货信息!$C:$C,盘货信息!$S:$S),CHAR(10),,TRUE),1,COLUMN(E397)),"")</f>
        <v/>
      </c>
    </row>
    <row r="399" customHeight="1" spans="1:14">
      <c r="A399" s="17" t="str">
        <f>IF(盘货信息!A399="","",盘货信息!A399)</f>
        <v/>
      </c>
      <c r="B399" s="17" t="str">
        <f>IF(盘货信息!B399="","",盘货信息!B399)</f>
        <v/>
      </c>
      <c r="C399" s="18" t="str">
        <f>IF(盘货信息!C399="","",盘货信息!C399)</f>
        <v/>
      </c>
      <c r="D399" s="18" t="str">
        <f t="shared" si="6"/>
        <v/>
      </c>
      <c r="E399" s="18" t="str">
        <f>_xlfn.LET(_xlpm.A,IF(ISNUMBER(SEARCH("晒单",J399)),"【晒单】"&amp;MID(J399,SEARCH("晒单",J399)+LEN("晒单"),LEN(J399))&amp;"（需晒单后联系客服登记）",IF(ISNUMBER(SEARCH("包修",J399)),"【购机】"&amp;MID(J399,SEARCH("购机",J399)+LEN("购机"),LEN(J399)),IF(ISNUMBER(SEARCH("叠放支架",J399)),"【赠品】"&amp;MID(J399,SEARCH("购机",J399)+LEN("购机"),LEN(J399)),IF(ISNUMBER(SEARCH("秀图",J399)),"【秀图】"&amp;MID(J399,SEARCH("秀图",J399)+LEN("秀图"),LEN(J399)),"")))),IFERROR(LEFT(_xlpm.A,FIND("【",_xlpm.A,FIND("】",_xlpm.A)+1)-1)&amp;MID(_xlpm.A,FIND("】",_xlpm.A,FIND("】",_xlpm.A)+1)+1,LEN(_xlpm.A)),_xlpm.A))</f>
        <v/>
      </c>
      <c r="F399" s="18" t="str">
        <f>_xlfn.LET(_xlpm.A,IF(ISNUMBER(SEARCH("晒单",K399)),"【晒单】"&amp;MID(K399,SEARCH("晒单",K399)+LEN("晒单"),LEN(K399))&amp;"（需晒单后联系客服登记）",IF(ISNUMBER(SEARCH("包修",K399)),"【购机】"&amp;MID(K399,SEARCH("购机",K399)+LEN("购机"),LEN(K399)),IF(ISNUMBER(SEARCH("叠放支架",K399)),"【赠品】"&amp;MID(K399,SEARCH("购机",K399)+LEN("购机"),LEN(K399)),IF(ISNUMBER(SEARCH("秀图",K399)),"【秀图】"&amp;MID(K399,SEARCH("秀图",K399)+LEN("秀图"),LEN(K399)),"")))),IFERROR(LEFT(_xlpm.A,FIND("【",_xlpm.A,FIND("】",_xlpm.A)+1)-1)&amp;MID(_xlpm.A,FIND("】",_xlpm.A,FIND("】",_xlpm.A)+1)+1,LEN(_xlpm.A)),_xlpm.A))</f>
        <v/>
      </c>
      <c r="G399" s="18" t="str">
        <f>_xlfn.LET(_xlpm.A,IF(ISNUMBER(SEARCH("晒单",L399)),"【晒单】"&amp;MID(L399,SEARCH("晒单",L399)+LEN("晒单"),LEN(L399))&amp;"（需晒单后联系客服登记）",IF(ISNUMBER(SEARCH("包修",L399)),"【购机】"&amp;MID(L399,SEARCH("购机",L399)+LEN("购机"),LEN(L399)),IF(ISNUMBER(SEARCH("叠放支架",L399)),"【赠品】"&amp;MID(L399,SEARCH("购机",L399)+LEN("购机"),LEN(L399)),IF(ISNUMBER(SEARCH("秀图",L399)),"【秀图】"&amp;MID(L399,SEARCH("秀图",L399)+LEN("秀图"),LEN(L399)),"")))),IFERROR(LEFT(_xlpm.A,FIND("【",_xlpm.A,FIND("】",_xlpm.A)+1)-1)&amp;MID(_xlpm.A,FIND("】",_xlpm.A,FIND("】",_xlpm.A)+1)+1,LEN(_xlpm.A)),_xlpm.A))</f>
        <v/>
      </c>
      <c r="H399" s="18" t="str">
        <f>_xlfn.LET(_xlpm.A,IF(ISNUMBER(SEARCH("晒单",M399)),"【晒单】"&amp;MID(M399,SEARCH("晒单",M399)+LEN("晒单"),LEN(M399))&amp;"（需晒单后联系客服登记）",IF(ISNUMBER(SEARCH("包修",M399)),"【购机】"&amp;MID(M399,SEARCH("购机",M399)+LEN("购机"),LEN(M399)),IF(ISNUMBER(SEARCH("叠放支架",M399)),"【赠品】"&amp;MID(M399,SEARCH("购机",M399)+LEN("购机"),LEN(M399)),IF(ISNUMBER(SEARCH("秀图",M399)),"【秀图】"&amp;MID(M399,SEARCH("秀图",M399)+LEN("秀图"),LEN(M399)),"")))),IFERROR(LEFT(_xlpm.A,FIND("【",_xlpm.A,FIND("】",_xlpm.A)+1)-1)&amp;MID(_xlpm.A,FIND("】",_xlpm.A,FIND("】",_xlpm.A)+1)+1,LEN(_xlpm.A)),_xlpm.A))</f>
        <v/>
      </c>
      <c r="I399" s="18" t="str">
        <f>_xlfn.LET(_xlpm.A,IF(ISNUMBER(SEARCH("晒单",N399)),"【晒单】"&amp;MID(N399,SEARCH("晒单",N399)+LEN("晒单"),LEN(N399))&amp;"（需晒单后联系客服登记）",IF(ISNUMBER(SEARCH("包修",N399)),"【购机】"&amp;MID(N399,SEARCH("购机",N399)+LEN("购机"),LEN(N399)),IF(ISNUMBER(SEARCH("叠放支架",N399)),"【赠品】"&amp;MID(N399,SEARCH("购机",N399)+LEN("购机"),LEN(N399)),IF(ISNUMBER(SEARCH("秀图",N399)),"【秀图】"&amp;MID(N399,SEARCH("秀图",N399)+LEN("秀图"),LEN(N399)),"")))),IFERROR(LEFT(_xlpm.A,FIND("【",_xlpm.A,FIND("】",_xlpm.A)+1)-1)&amp;MID(_xlpm.A,FIND("】",_xlpm.A,FIND("】",_xlpm.A)+1)+1,LEN(_xlpm.A)),_xlpm.A))</f>
        <v/>
      </c>
      <c r="J399" s="18" t="str" cm="1">
        <f t="array" ref="J399">IFERROR(INDEX(_xlfn.TEXTSPLIT(_xlfn.XLOOKUP($A399&amp;$B399&amp;$C399,盘货信息!$A:$A&amp;盘货信息!$B:$B&amp;盘货信息!$C:$C,盘货信息!$S:$S),CHAR(10),,TRUE),1,COLUMN(A398)),"")</f>
        <v/>
      </c>
      <c r="K399" s="18" t="str" cm="1">
        <f t="array" ref="K399">IFERROR(INDEX(_xlfn.TEXTSPLIT(_xlfn.XLOOKUP($A399&amp;$B399&amp;$C399,盘货信息!$A:$A&amp;盘货信息!$B:$B&amp;盘货信息!$C:$C,盘货信息!$S:$S),CHAR(10),,TRUE),1,COLUMN(B398)),"")</f>
        <v/>
      </c>
      <c r="L399" s="18" t="str" cm="1">
        <f t="array" ref="L399">IFERROR(INDEX(_xlfn.TEXTSPLIT(_xlfn.XLOOKUP($A399&amp;$B399&amp;$C399,盘货信息!$A:$A&amp;盘货信息!$B:$B&amp;盘货信息!$C:$C,盘货信息!$S:$S),CHAR(10),,TRUE),1,COLUMN(C398)),"")</f>
        <v/>
      </c>
      <c r="M399" s="18" t="str" cm="1">
        <f t="array" ref="M399">IFERROR(INDEX(_xlfn.TEXTSPLIT(_xlfn.XLOOKUP($A399&amp;$B399&amp;$C399,盘货信息!$A:$A&amp;盘货信息!$B:$B&amp;盘货信息!$C:$C,盘货信息!$S:$S),CHAR(10),,TRUE),1,COLUMN(D398)),"")</f>
        <v/>
      </c>
      <c r="N399" s="18" t="str" cm="1">
        <f t="array" ref="N399">IFERROR(INDEX(_xlfn.TEXTSPLIT(_xlfn.XLOOKUP($A399&amp;$B399&amp;$C399,盘货信息!$A:$A&amp;盘货信息!$B:$B&amp;盘货信息!$C:$C,盘货信息!$S:$S),CHAR(10),,TRUE),1,COLUMN(E398)),"")</f>
        <v/>
      </c>
    </row>
    <row r="400" customHeight="1" spans="1:14">
      <c r="A400" s="17" t="str">
        <f>IF(盘货信息!A400="","",盘货信息!A400)</f>
        <v/>
      </c>
      <c r="B400" s="17" t="str">
        <f>IF(盘货信息!B400="","",盘货信息!B400)</f>
        <v/>
      </c>
      <c r="C400" s="18" t="str">
        <f>IF(盘货信息!C400="","",盘货信息!C400)</f>
        <v/>
      </c>
      <c r="D400" s="18" t="str">
        <f t="shared" si="6"/>
        <v/>
      </c>
      <c r="E400" s="18" t="str">
        <f>_xlfn.LET(_xlpm.A,IF(ISNUMBER(SEARCH("晒单",J400)),"【晒单】"&amp;MID(J400,SEARCH("晒单",J400)+LEN("晒单"),LEN(J400))&amp;"（需晒单后联系客服登记）",IF(ISNUMBER(SEARCH("包修",J400)),"【购机】"&amp;MID(J400,SEARCH("购机",J400)+LEN("购机"),LEN(J400)),IF(ISNUMBER(SEARCH("叠放支架",J400)),"【赠品】"&amp;MID(J400,SEARCH("购机",J400)+LEN("购机"),LEN(J400)),IF(ISNUMBER(SEARCH("秀图",J400)),"【秀图】"&amp;MID(J400,SEARCH("秀图",J400)+LEN("秀图"),LEN(J400)),"")))),IFERROR(LEFT(_xlpm.A,FIND("【",_xlpm.A,FIND("】",_xlpm.A)+1)-1)&amp;MID(_xlpm.A,FIND("】",_xlpm.A,FIND("】",_xlpm.A)+1)+1,LEN(_xlpm.A)),_xlpm.A))</f>
        <v/>
      </c>
      <c r="F400" s="18" t="str">
        <f>_xlfn.LET(_xlpm.A,IF(ISNUMBER(SEARCH("晒单",K400)),"【晒单】"&amp;MID(K400,SEARCH("晒单",K400)+LEN("晒单"),LEN(K400))&amp;"（需晒单后联系客服登记）",IF(ISNUMBER(SEARCH("包修",K400)),"【购机】"&amp;MID(K400,SEARCH("购机",K400)+LEN("购机"),LEN(K400)),IF(ISNUMBER(SEARCH("叠放支架",K400)),"【赠品】"&amp;MID(K400,SEARCH("购机",K400)+LEN("购机"),LEN(K400)),IF(ISNUMBER(SEARCH("秀图",K400)),"【秀图】"&amp;MID(K400,SEARCH("秀图",K400)+LEN("秀图"),LEN(K400)),"")))),IFERROR(LEFT(_xlpm.A,FIND("【",_xlpm.A,FIND("】",_xlpm.A)+1)-1)&amp;MID(_xlpm.A,FIND("】",_xlpm.A,FIND("】",_xlpm.A)+1)+1,LEN(_xlpm.A)),_xlpm.A))</f>
        <v/>
      </c>
      <c r="G400" s="18" t="str">
        <f>_xlfn.LET(_xlpm.A,IF(ISNUMBER(SEARCH("晒单",L400)),"【晒单】"&amp;MID(L400,SEARCH("晒单",L400)+LEN("晒单"),LEN(L400))&amp;"（需晒单后联系客服登记）",IF(ISNUMBER(SEARCH("包修",L400)),"【购机】"&amp;MID(L400,SEARCH("购机",L400)+LEN("购机"),LEN(L400)),IF(ISNUMBER(SEARCH("叠放支架",L400)),"【赠品】"&amp;MID(L400,SEARCH("购机",L400)+LEN("购机"),LEN(L400)),IF(ISNUMBER(SEARCH("秀图",L400)),"【秀图】"&amp;MID(L400,SEARCH("秀图",L400)+LEN("秀图"),LEN(L400)),"")))),IFERROR(LEFT(_xlpm.A,FIND("【",_xlpm.A,FIND("】",_xlpm.A)+1)-1)&amp;MID(_xlpm.A,FIND("】",_xlpm.A,FIND("】",_xlpm.A)+1)+1,LEN(_xlpm.A)),_xlpm.A))</f>
        <v/>
      </c>
      <c r="H400" s="18" t="str">
        <f>_xlfn.LET(_xlpm.A,IF(ISNUMBER(SEARCH("晒单",M400)),"【晒单】"&amp;MID(M400,SEARCH("晒单",M400)+LEN("晒单"),LEN(M400))&amp;"（需晒单后联系客服登记）",IF(ISNUMBER(SEARCH("包修",M400)),"【购机】"&amp;MID(M400,SEARCH("购机",M400)+LEN("购机"),LEN(M400)),IF(ISNUMBER(SEARCH("叠放支架",M400)),"【赠品】"&amp;MID(M400,SEARCH("购机",M400)+LEN("购机"),LEN(M400)),IF(ISNUMBER(SEARCH("秀图",M400)),"【秀图】"&amp;MID(M400,SEARCH("秀图",M400)+LEN("秀图"),LEN(M400)),"")))),IFERROR(LEFT(_xlpm.A,FIND("【",_xlpm.A,FIND("】",_xlpm.A)+1)-1)&amp;MID(_xlpm.A,FIND("】",_xlpm.A,FIND("】",_xlpm.A)+1)+1,LEN(_xlpm.A)),_xlpm.A))</f>
        <v/>
      </c>
      <c r="I400" s="18" t="str">
        <f>_xlfn.LET(_xlpm.A,IF(ISNUMBER(SEARCH("晒单",N400)),"【晒单】"&amp;MID(N400,SEARCH("晒单",N400)+LEN("晒单"),LEN(N400))&amp;"（需晒单后联系客服登记）",IF(ISNUMBER(SEARCH("包修",N400)),"【购机】"&amp;MID(N400,SEARCH("购机",N400)+LEN("购机"),LEN(N400)),IF(ISNUMBER(SEARCH("叠放支架",N400)),"【赠品】"&amp;MID(N400,SEARCH("购机",N400)+LEN("购机"),LEN(N400)),IF(ISNUMBER(SEARCH("秀图",N400)),"【秀图】"&amp;MID(N400,SEARCH("秀图",N400)+LEN("秀图"),LEN(N400)),"")))),IFERROR(LEFT(_xlpm.A,FIND("【",_xlpm.A,FIND("】",_xlpm.A)+1)-1)&amp;MID(_xlpm.A,FIND("】",_xlpm.A,FIND("】",_xlpm.A)+1)+1,LEN(_xlpm.A)),_xlpm.A))</f>
        <v/>
      </c>
      <c r="J400" s="18" t="str" cm="1">
        <f t="array" ref="J400">IFERROR(INDEX(_xlfn.TEXTSPLIT(_xlfn.XLOOKUP($A400&amp;$B400&amp;$C400,盘货信息!$A:$A&amp;盘货信息!$B:$B&amp;盘货信息!$C:$C,盘货信息!$S:$S),CHAR(10),,TRUE),1,COLUMN(A399)),"")</f>
        <v/>
      </c>
      <c r="K400" s="18" t="str" cm="1">
        <f t="array" ref="K400">IFERROR(INDEX(_xlfn.TEXTSPLIT(_xlfn.XLOOKUP($A400&amp;$B400&amp;$C400,盘货信息!$A:$A&amp;盘货信息!$B:$B&amp;盘货信息!$C:$C,盘货信息!$S:$S),CHAR(10),,TRUE),1,COLUMN(B399)),"")</f>
        <v/>
      </c>
      <c r="L400" s="18" t="str" cm="1">
        <f t="array" ref="L400">IFERROR(INDEX(_xlfn.TEXTSPLIT(_xlfn.XLOOKUP($A400&amp;$B400&amp;$C400,盘货信息!$A:$A&amp;盘货信息!$B:$B&amp;盘货信息!$C:$C,盘货信息!$S:$S),CHAR(10),,TRUE),1,COLUMN(C399)),"")</f>
        <v/>
      </c>
      <c r="M400" s="18" t="str" cm="1">
        <f t="array" ref="M400">IFERROR(INDEX(_xlfn.TEXTSPLIT(_xlfn.XLOOKUP($A400&amp;$B400&amp;$C400,盘货信息!$A:$A&amp;盘货信息!$B:$B&amp;盘货信息!$C:$C,盘货信息!$S:$S),CHAR(10),,TRUE),1,COLUMN(D399)),"")</f>
        <v/>
      </c>
      <c r="N400" s="18" t="str" cm="1">
        <f t="array" ref="N400">IFERROR(INDEX(_xlfn.TEXTSPLIT(_xlfn.XLOOKUP($A400&amp;$B400&amp;$C400,盘货信息!$A:$A&amp;盘货信息!$B:$B&amp;盘货信息!$C:$C,盘货信息!$S:$S),CHAR(10),,TRUE),1,COLUMN(E399)),"")</f>
        <v/>
      </c>
    </row>
    <row r="401" customHeight="1" spans="1:14">
      <c r="A401" s="17" t="str">
        <f>IF(盘货信息!A401="","",盘货信息!A401)</f>
        <v/>
      </c>
      <c r="B401" s="17" t="str">
        <f>IF(盘货信息!B401="","",盘货信息!B401)</f>
        <v/>
      </c>
      <c r="C401" s="18" t="str">
        <f>IF(盘货信息!C401="","",盘货信息!C401)</f>
        <v/>
      </c>
      <c r="D401" s="18" t="str">
        <f t="shared" si="6"/>
        <v/>
      </c>
      <c r="E401" s="18" t="str">
        <f>_xlfn.LET(_xlpm.A,IF(ISNUMBER(SEARCH("晒单",J401)),"【晒单】"&amp;MID(J401,SEARCH("晒单",J401)+LEN("晒单"),LEN(J401))&amp;"（需晒单后联系客服登记）",IF(ISNUMBER(SEARCH("包修",J401)),"【购机】"&amp;MID(J401,SEARCH("购机",J401)+LEN("购机"),LEN(J401)),IF(ISNUMBER(SEARCH("叠放支架",J401)),"【赠品】"&amp;MID(J401,SEARCH("购机",J401)+LEN("购机"),LEN(J401)),IF(ISNUMBER(SEARCH("秀图",J401)),"【秀图】"&amp;MID(J401,SEARCH("秀图",J401)+LEN("秀图"),LEN(J401)),"")))),IFERROR(LEFT(_xlpm.A,FIND("【",_xlpm.A,FIND("】",_xlpm.A)+1)-1)&amp;MID(_xlpm.A,FIND("】",_xlpm.A,FIND("】",_xlpm.A)+1)+1,LEN(_xlpm.A)),_xlpm.A))</f>
        <v/>
      </c>
      <c r="F401" s="18" t="str">
        <f>_xlfn.LET(_xlpm.A,IF(ISNUMBER(SEARCH("晒单",K401)),"【晒单】"&amp;MID(K401,SEARCH("晒单",K401)+LEN("晒单"),LEN(K401))&amp;"（需晒单后联系客服登记）",IF(ISNUMBER(SEARCH("包修",K401)),"【购机】"&amp;MID(K401,SEARCH("购机",K401)+LEN("购机"),LEN(K401)),IF(ISNUMBER(SEARCH("叠放支架",K401)),"【赠品】"&amp;MID(K401,SEARCH("购机",K401)+LEN("购机"),LEN(K401)),IF(ISNUMBER(SEARCH("秀图",K401)),"【秀图】"&amp;MID(K401,SEARCH("秀图",K401)+LEN("秀图"),LEN(K401)),"")))),IFERROR(LEFT(_xlpm.A,FIND("【",_xlpm.A,FIND("】",_xlpm.A)+1)-1)&amp;MID(_xlpm.A,FIND("】",_xlpm.A,FIND("】",_xlpm.A)+1)+1,LEN(_xlpm.A)),_xlpm.A))</f>
        <v/>
      </c>
      <c r="G401" s="18" t="str">
        <f>_xlfn.LET(_xlpm.A,IF(ISNUMBER(SEARCH("晒单",L401)),"【晒单】"&amp;MID(L401,SEARCH("晒单",L401)+LEN("晒单"),LEN(L401))&amp;"（需晒单后联系客服登记）",IF(ISNUMBER(SEARCH("包修",L401)),"【购机】"&amp;MID(L401,SEARCH("购机",L401)+LEN("购机"),LEN(L401)),IF(ISNUMBER(SEARCH("叠放支架",L401)),"【赠品】"&amp;MID(L401,SEARCH("购机",L401)+LEN("购机"),LEN(L401)),IF(ISNUMBER(SEARCH("秀图",L401)),"【秀图】"&amp;MID(L401,SEARCH("秀图",L401)+LEN("秀图"),LEN(L401)),"")))),IFERROR(LEFT(_xlpm.A,FIND("【",_xlpm.A,FIND("】",_xlpm.A)+1)-1)&amp;MID(_xlpm.A,FIND("】",_xlpm.A,FIND("】",_xlpm.A)+1)+1,LEN(_xlpm.A)),_xlpm.A))</f>
        <v/>
      </c>
      <c r="H401" s="18" t="str">
        <f>_xlfn.LET(_xlpm.A,IF(ISNUMBER(SEARCH("晒单",M401)),"【晒单】"&amp;MID(M401,SEARCH("晒单",M401)+LEN("晒单"),LEN(M401))&amp;"（需晒单后联系客服登记）",IF(ISNUMBER(SEARCH("包修",M401)),"【购机】"&amp;MID(M401,SEARCH("购机",M401)+LEN("购机"),LEN(M401)),IF(ISNUMBER(SEARCH("叠放支架",M401)),"【赠品】"&amp;MID(M401,SEARCH("购机",M401)+LEN("购机"),LEN(M401)),IF(ISNUMBER(SEARCH("秀图",M401)),"【秀图】"&amp;MID(M401,SEARCH("秀图",M401)+LEN("秀图"),LEN(M401)),"")))),IFERROR(LEFT(_xlpm.A,FIND("【",_xlpm.A,FIND("】",_xlpm.A)+1)-1)&amp;MID(_xlpm.A,FIND("】",_xlpm.A,FIND("】",_xlpm.A)+1)+1,LEN(_xlpm.A)),_xlpm.A))</f>
        <v/>
      </c>
      <c r="I401" s="18" t="str">
        <f>_xlfn.LET(_xlpm.A,IF(ISNUMBER(SEARCH("晒单",N401)),"【晒单】"&amp;MID(N401,SEARCH("晒单",N401)+LEN("晒单"),LEN(N401))&amp;"（需晒单后联系客服登记）",IF(ISNUMBER(SEARCH("包修",N401)),"【购机】"&amp;MID(N401,SEARCH("购机",N401)+LEN("购机"),LEN(N401)),IF(ISNUMBER(SEARCH("叠放支架",N401)),"【赠品】"&amp;MID(N401,SEARCH("购机",N401)+LEN("购机"),LEN(N401)),IF(ISNUMBER(SEARCH("秀图",N401)),"【秀图】"&amp;MID(N401,SEARCH("秀图",N401)+LEN("秀图"),LEN(N401)),"")))),IFERROR(LEFT(_xlpm.A,FIND("【",_xlpm.A,FIND("】",_xlpm.A)+1)-1)&amp;MID(_xlpm.A,FIND("】",_xlpm.A,FIND("】",_xlpm.A)+1)+1,LEN(_xlpm.A)),_xlpm.A))</f>
        <v/>
      </c>
      <c r="J401" s="18" t="str" cm="1">
        <f t="array" ref="J401">IFERROR(INDEX(_xlfn.TEXTSPLIT(_xlfn.XLOOKUP($A401&amp;$B401&amp;$C401,盘货信息!$A:$A&amp;盘货信息!$B:$B&amp;盘货信息!$C:$C,盘货信息!$S:$S),CHAR(10),,TRUE),1,COLUMN(A400)),"")</f>
        <v/>
      </c>
      <c r="K401" s="18" t="str" cm="1">
        <f t="array" ref="K401">IFERROR(INDEX(_xlfn.TEXTSPLIT(_xlfn.XLOOKUP($A401&amp;$B401&amp;$C401,盘货信息!$A:$A&amp;盘货信息!$B:$B&amp;盘货信息!$C:$C,盘货信息!$S:$S),CHAR(10),,TRUE),1,COLUMN(B400)),"")</f>
        <v/>
      </c>
      <c r="L401" s="18" t="str" cm="1">
        <f t="array" ref="L401">IFERROR(INDEX(_xlfn.TEXTSPLIT(_xlfn.XLOOKUP($A401&amp;$B401&amp;$C401,盘货信息!$A:$A&amp;盘货信息!$B:$B&amp;盘货信息!$C:$C,盘货信息!$S:$S),CHAR(10),,TRUE),1,COLUMN(C400)),"")</f>
        <v/>
      </c>
      <c r="M401" s="18" t="str" cm="1">
        <f t="array" ref="M401">IFERROR(INDEX(_xlfn.TEXTSPLIT(_xlfn.XLOOKUP($A401&amp;$B401&amp;$C401,盘货信息!$A:$A&amp;盘货信息!$B:$B&amp;盘货信息!$C:$C,盘货信息!$S:$S),CHAR(10),,TRUE),1,COLUMN(D400)),"")</f>
        <v/>
      </c>
      <c r="N401" s="18" t="str" cm="1">
        <f t="array" ref="N401">IFERROR(INDEX(_xlfn.TEXTSPLIT(_xlfn.XLOOKUP($A401&amp;$B401&amp;$C401,盘货信息!$A:$A&amp;盘货信息!$B:$B&amp;盘货信息!$C:$C,盘货信息!$S:$S),CHAR(10),,TRUE),1,COLUMN(E400)),"")</f>
        <v/>
      </c>
    </row>
    <row r="402" customHeight="1" spans="1:14">
      <c r="A402" s="17" t="str">
        <f>IF(盘货信息!A402="","",盘货信息!A402)</f>
        <v/>
      </c>
      <c r="B402" s="17" t="str">
        <f>IF(盘货信息!B402="","",盘货信息!B402)</f>
        <v/>
      </c>
      <c r="C402" s="18" t="str">
        <f>IF(盘货信息!C402="","",盘货信息!C402)</f>
        <v/>
      </c>
      <c r="D402" s="18" t="str">
        <f t="shared" si="6"/>
        <v/>
      </c>
      <c r="E402" s="18" t="str">
        <f>_xlfn.LET(_xlpm.A,IF(ISNUMBER(SEARCH("晒单",J402)),"【晒单】"&amp;MID(J402,SEARCH("晒单",J402)+LEN("晒单"),LEN(J402))&amp;"（需晒单后联系客服登记）",IF(ISNUMBER(SEARCH("包修",J402)),"【购机】"&amp;MID(J402,SEARCH("购机",J402)+LEN("购机"),LEN(J402)),IF(ISNUMBER(SEARCH("叠放支架",J402)),"【赠品】"&amp;MID(J402,SEARCH("购机",J402)+LEN("购机"),LEN(J402)),IF(ISNUMBER(SEARCH("秀图",J402)),"【秀图】"&amp;MID(J402,SEARCH("秀图",J402)+LEN("秀图"),LEN(J402)),"")))),IFERROR(LEFT(_xlpm.A,FIND("【",_xlpm.A,FIND("】",_xlpm.A)+1)-1)&amp;MID(_xlpm.A,FIND("】",_xlpm.A,FIND("】",_xlpm.A)+1)+1,LEN(_xlpm.A)),_xlpm.A))</f>
        <v/>
      </c>
      <c r="F402" s="18" t="str">
        <f>_xlfn.LET(_xlpm.A,IF(ISNUMBER(SEARCH("晒单",K402)),"【晒单】"&amp;MID(K402,SEARCH("晒单",K402)+LEN("晒单"),LEN(K402))&amp;"（需晒单后联系客服登记）",IF(ISNUMBER(SEARCH("包修",K402)),"【购机】"&amp;MID(K402,SEARCH("购机",K402)+LEN("购机"),LEN(K402)),IF(ISNUMBER(SEARCH("叠放支架",K402)),"【赠品】"&amp;MID(K402,SEARCH("购机",K402)+LEN("购机"),LEN(K402)),IF(ISNUMBER(SEARCH("秀图",K402)),"【秀图】"&amp;MID(K402,SEARCH("秀图",K402)+LEN("秀图"),LEN(K402)),"")))),IFERROR(LEFT(_xlpm.A,FIND("【",_xlpm.A,FIND("】",_xlpm.A)+1)-1)&amp;MID(_xlpm.A,FIND("】",_xlpm.A,FIND("】",_xlpm.A)+1)+1,LEN(_xlpm.A)),_xlpm.A))</f>
        <v/>
      </c>
      <c r="G402" s="18" t="str">
        <f>_xlfn.LET(_xlpm.A,IF(ISNUMBER(SEARCH("晒单",L402)),"【晒单】"&amp;MID(L402,SEARCH("晒单",L402)+LEN("晒单"),LEN(L402))&amp;"（需晒单后联系客服登记）",IF(ISNUMBER(SEARCH("包修",L402)),"【购机】"&amp;MID(L402,SEARCH("购机",L402)+LEN("购机"),LEN(L402)),IF(ISNUMBER(SEARCH("叠放支架",L402)),"【赠品】"&amp;MID(L402,SEARCH("购机",L402)+LEN("购机"),LEN(L402)),IF(ISNUMBER(SEARCH("秀图",L402)),"【秀图】"&amp;MID(L402,SEARCH("秀图",L402)+LEN("秀图"),LEN(L402)),"")))),IFERROR(LEFT(_xlpm.A,FIND("【",_xlpm.A,FIND("】",_xlpm.A)+1)-1)&amp;MID(_xlpm.A,FIND("】",_xlpm.A,FIND("】",_xlpm.A)+1)+1,LEN(_xlpm.A)),_xlpm.A))</f>
        <v/>
      </c>
      <c r="H402" s="18" t="str">
        <f>_xlfn.LET(_xlpm.A,IF(ISNUMBER(SEARCH("晒单",M402)),"【晒单】"&amp;MID(M402,SEARCH("晒单",M402)+LEN("晒单"),LEN(M402))&amp;"（需晒单后联系客服登记）",IF(ISNUMBER(SEARCH("包修",M402)),"【购机】"&amp;MID(M402,SEARCH("购机",M402)+LEN("购机"),LEN(M402)),IF(ISNUMBER(SEARCH("叠放支架",M402)),"【赠品】"&amp;MID(M402,SEARCH("购机",M402)+LEN("购机"),LEN(M402)),IF(ISNUMBER(SEARCH("秀图",M402)),"【秀图】"&amp;MID(M402,SEARCH("秀图",M402)+LEN("秀图"),LEN(M402)),"")))),IFERROR(LEFT(_xlpm.A,FIND("【",_xlpm.A,FIND("】",_xlpm.A)+1)-1)&amp;MID(_xlpm.A,FIND("】",_xlpm.A,FIND("】",_xlpm.A)+1)+1,LEN(_xlpm.A)),_xlpm.A))</f>
        <v/>
      </c>
      <c r="I402" s="18" t="str">
        <f>_xlfn.LET(_xlpm.A,IF(ISNUMBER(SEARCH("晒单",N402)),"【晒单】"&amp;MID(N402,SEARCH("晒单",N402)+LEN("晒单"),LEN(N402))&amp;"（需晒单后联系客服登记）",IF(ISNUMBER(SEARCH("包修",N402)),"【购机】"&amp;MID(N402,SEARCH("购机",N402)+LEN("购机"),LEN(N402)),IF(ISNUMBER(SEARCH("叠放支架",N402)),"【赠品】"&amp;MID(N402,SEARCH("购机",N402)+LEN("购机"),LEN(N402)),IF(ISNUMBER(SEARCH("秀图",N402)),"【秀图】"&amp;MID(N402,SEARCH("秀图",N402)+LEN("秀图"),LEN(N402)),"")))),IFERROR(LEFT(_xlpm.A,FIND("【",_xlpm.A,FIND("】",_xlpm.A)+1)-1)&amp;MID(_xlpm.A,FIND("】",_xlpm.A,FIND("】",_xlpm.A)+1)+1,LEN(_xlpm.A)),_xlpm.A))</f>
        <v/>
      </c>
      <c r="J402" s="18" t="str" cm="1">
        <f t="array" ref="J402">IFERROR(INDEX(_xlfn.TEXTSPLIT(_xlfn.XLOOKUP($A402&amp;$B402&amp;$C402,盘货信息!$A:$A&amp;盘货信息!$B:$B&amp;盘货信息!$C:$C,盘货信息!$S:$S),CHAR(10),,TRUE),1,COLUMN(A401)),"")</f>
        <v/>
      </c>
      <c r="K402" s="18" t="str" cm="1">
        <f t="array" ref="K402">IFERROR(INDEX(_xlfn.TEXTSPLIT(_xlfn.XLOOKUP($A402&amp;$B402&amp;$C402,盘货信息!$A:$A&amp;盘货信息!$B:$B&amp;盘货信息!$C:$C,盘货信息!$S:$S),CHAR(10),,TRUE),1,COLUMN(B401)),"")</f>
        <v/>
      </c>
      <c r="L402" s="18" t="str" cm="1">
        <f t="array" ref="L402">IFERROR(INDEX(_xlfn.TEXTSPLIT(_xlfn.XLOOKUP($A402&amp;$B402&amp;$C402,盘货信息!$A:$A&amp;盘货信息!$B:$B&amp;盘货信息!$C:$C,盘货信息!$S:$S),CHAR(10),,TRUE),1,COLUMN(C401)),"")</f>
        <v/>
      </c>
      <c r="M402" s="18" t="str" cm="1">
        <f t="array" ref="M402">IFERROR(INDEX(_xlfn.TEXTSPLIT(_xlfn.XLOOKUP($A402&amp;$B402&amp;$C402,盘货信息!$A:$A&amp;盘货信息!$B:$B&amp;盘货信息!$C:$C,盘货信息!$S:$S),CHAR(10),,TRUE),1,COLUMN(D401)),"")</f>
        <v/>
      </c>
      <c r="N402" s="18" t="str" cm="1">
        <f t="array" ref="N402">IFERROR(INDEX(_xlfn.TEXTSPLIT(_xlfn.XLOOKUP($A402&amp;$B402&amp;$C402,盘货信息!$A:$A&amp;盘货信息!$B:$B&amp;盘货信息!$C:$C,盘货信息!$S:$S),CHAR(10),,TRUE),1,COLUMN(E401)),"")</f>
        <v/>
      </c>
    </row>
    <row r="403" customHeight="1" spans="1:14">
      <c r="A403" s="17" t="str">
        <f>IF(盘货信息!A403="","",盘货信息!A403)</f>
        <v/>
      </c>
      <c r="B403" s="17" t="str">
        <f>IF(盘货信息!B403="","",盘货信息!B403)</f>
        <v/>
      </c>
      <c r="C403" s="18" t="str">
        <f>IF(盘货信息!C403="","",盘货信息!C403)</f>
        <v/>
      </c>
      <c r="D403" s="18" t="str">
        <f t="shared" si="6"/>
        <v/>
      </c>
      <c r="E403" s="18" t="str">
        <f>_xlfn.LET(_xlpm.A,IF(ISNUMBER(SEARCH("晒单",J403)),"【晒单】"&amp;MID(J403,SEARCH("晒单",J403)+LEN("晒单"),LEN(J403))&amp;"（需晒单后联系客服登记）",IF(ISNUMBER(SEARCH("包修",J403)),"【购机】"&amp;MID(J403,SEARCH("购机",J403)+LEN("购机"),LEN(J403)),IF(ISNUMBER(SEARCH("叠放支架",J403)),"【赠品】"&amp;MID(J403,SEARCH("购机",J403)+LEN("购机"),LEN(J403)),IF(ISNUMBER(SEARCH("秀图",J403)),"【秀图】"&amp;MID(J403,SEARCH("秀图",J403)+LEN("秀图"),LEN(J403)),"")))),IFERROR(LEFT(_xlpm.A,FIND("【",_xlpm.A,FIND("】",_xlpm.A)+1)-1)&amp;MID(_xlpm.A,FIND("】",_xlpm.A,FIND("】",_xlpm.A)+1)+1,LEN(_xlpm.A)),_xlpm.A))</f>
        <v/>
      </c>
      <c r="F403" s="18" t="str">
        <f>_xlfn.LET(_xlpm.A,IF(ISNUMBER(SEARCH("晒单",K403)),"【晒单】"&amp;MID(K403,SEARCH("晒单",K403)+LEN("晒单"),LEN(K403))&amp;"（需晒单后联系客服登记）",IF(ISNUMBER(SEARCH("包修",K403)),"【购机】"&amp;MID(K403,SEARCH("购机",K403)+LEN("购机"),LEN(K403)),IF(ISNUMBER(SEARCH("叠放支架",K403)),"【赠品】"&amp;MID(K403,SEARCH("购机",K403)+LEN("购机"),LEN(K403)),IF(ISNUMBER(SEARCH("秀图",K403)),"【秀图】"&amp;MID(K403,SEARCH("秀图",K403)+LEN("秀图"),LEN(K403)),"")))),IFERROR(LEFT(_xlpm.A,FIND("【",_xlpm.A,FIND("】",_xlpm.A)+1)-1)&amp;MID(_xlpm.A,FIND("】",_xlpm.A,FIND("】",_xlpm.A)+1)+1,LEN(_xlpm.A)),_xlpm.A))</f>
        <v/>
      </c>
      <c r="G403" s="18" t="str">
        <f>_xlfn.LET(_xlpm.A,IF(ISNUMBER(SEARCH("晒单",L403)),"【晒单】"&amp;MID(L403,SEARCH("晒单",L403)+LEN("晒单"),LEN(L403))&amp;"（需晒单后联系客服登记）",IF(ISNUMBER(SEARCH("包修",L403)),"【购机】"&amp;MID(L403,SEARCH("购机",L403)+LEN("购机"),LEN(L403)),IF(ISNUMBER(SEARCH("叠放支架",L403)),"【赠品】"&amp;MID(L403,SEARCH("购机",L403)+LEN("购机"),LEN(L403)),IF(ISNUMBER(SEARCH("秀图",L403)),"【秀图】"&amp;MID(L403,SEARCH("秀图",L403)+LEN("秀图"),LEN(L403)),"")))),IFERROR(LEFT(_xlpm.A,FIND("【",_xlpm.A,FIND("】",_xlpm.A)+1)-1)&amp;MID(_xlpm.A,FIND("】",_xlpm.A,FIND("】",_xlpm.A)+1)+1,LEN(_xlpm.A)),_xlpm.A))</f>
        <v/>
      </c>
      <c r="H403" s="18" t="str">
        <f>_xlfn.LET(_xlpm.A,IF(ISNUMBER(SEARCH("晒单",M403)),"【晒单】"&amp;MID(M403,SEARCH("晒单",M403)+LEN("晒单"),LEN(M403))&amp;"（需晒单后联系客服登记）",IF(ISNUMBER(SEARCH("包修",M403)),"【购机】"&amp;MID(M403,SEARCH("购机",M403)+LEN("购机"),LEN(M403)),IF(ISNUMBER(SEARCH("叠放支架",M403)),"【赠品】"&amp;MID(M403,SEARCH("购机",M403)+LEN("购机"),LEN(M403)),IF(ISNUMBER(SEARCH("秀图",M403)),"【秀图】"&amp;MID(M403,SEARCH("秀图",M403)+LEN("秀图"),LEN(M403)),"")))),IFERROR(LEFT(_xlpm.A,FIND("【",_xlpm.A,FIND("】",_xlpm.A)+1)-1)&amp;MID(_xlpm.A,FIND("】",_xlpm.A,FIND("】",_xlpm.A)+1)+1,LEN(_xlpm.A)),_xlpm.A))</f>
        <v/>
      </c>
      <c r="I403" s="18" t="str">
        <f>_xlfn.LET(_xlpm.A,IF(ISNUMBER(SEARCH("晒单",N403)),"【晒单】"&amp;MID(N403,SEARCH("晒单",N403)+LEN("晒单"),LEN(N403))&amp;"（需晒单后联系客服登记）",IF(ISNUMBER(SEARCH("包修",N403)),"【购机】"&amp;MID(N403,SEARCH("购机",N403)+LEN("购机"),LEN(N403)),IF(ISNUMBER(SEARCH("叠放支架",N403)),"【赠品】"&amp;MID(N403,SEARCH("购机",N403)+LEN("购机"),LEN(N403)),IF(ISNUMBER(SEARCH("秀图",N403)),"【秀图】"&amp;MID(N403,SEARCH("秀图",N403)+LEN("秀图"),LEN(N403)),"")))),IFERROR(LEFT(_xlpm.A,FIND("【",_xlpm.A,FIND("】",_xlpm.A)+1)-1)&amp;MID(_xlpm.A,FIND("】",_xlpm.A,FIND("】",_xlpm.A)+1)+1,LEN(_xlpm.A)),_xlpm.A))</f>
        <v/>
      </c>
      <c r="J403" s="18" t="str" cm="1">
        <f t="array" ref="J403">IFERROR(INDEX(_xlfn.TEXTSPLIT(_xlfn.XLOOKUP($A403&amp;$B403&amp;$C403,盘货信息!$A:$A&amp;盘货信息!$B:$B&amp;盘货信息!$C:$C,盘货信息!$S:$S),CHAR(10),,TRUE),1,COLUMN(A402)),"")</f>
        <v/>
      </c>
      <c r="K403" s="18" t="str" cm="1">
        <f t="array" ref="K403">IFERROR(INDEX(_xlfn.TEXTSPLIT(_xlfn.XLOOKUP($A403&amp;$B403&amp;$C403,盘货信息!$A:$A&amp;盘货信息!$B:$B&amp;盘货信息!$C:$C,盘货信息!$S:$S),CHAR(10),,TRUE),1,COLUMN(B402)),"")</f>
        <v/>
      </c>
      <c r="L403" s="18" t="str" cm="1">
        <f t="array" ref="L403">IFERROR(INDEX(_xlfn.TEXTSPLIT(_xlfn.XLOOKUP($A403&amp;$B403&amp;$C403,盘货信息!$A:$A&amp;盘货信息!$B:$B&amp;盘货信息!$C:$C,盘货信息!$S:$S),CHAR(10),,TRUE),1,COLUMN(C402)),"")</f>
        <v/>
      </c>
      <c r="M403" s="18" t="str" cm="1">
        <f t="array" ref="M403">IFERROR(INDEX(_xlfn.TEXTSPLIT(_xlfn.XLOOKUP($A403&amp;$B403&amp;$C403,盘货信息!$A:$A&amp;盘货信息!$B:$B&amp;盘货信息!$C:$C,盘货信息!$S:$S),CHAR(10),,TRUE),1,COLUMN(D402)),"")</f>
        <v/>
      </c>
      <c r="N403" s="18" t="str" cm="1">
        <f t="array" ref="N403">IFERROR(INDEX(_xlfn.TEXTSPLIT(_xlfn.XLOOKUP($A403&amp;$B403&amp;$C403,盘货信息!$A:$A&amp;盘货信息!$B:$B&amp;盘货信息!$C:$C,盘货信息!$S:$S),CHAR(10),,TRUE),1,COLUMN(E402)),"")</f>
        <v/>
      </c>
    </row>
    <row r="404" customHeight="1" spans="1:14">
      <c r="A404" s="17" t="str">
        <f>IF(盘货信息!A404="","",盘货信息!A404)</f>
        <v/>
      </c>
      <c r="B404" s="17" t="str">
        <f>IF(盘货信息!B404="","",盘货信息!B404)</f>
        <v/>
      </c>
      <c r="C404" s="18" t="str">
        <f>IF(盘货信息!C404="","",盘货信息!C404)</f>
        <v/>
      </c>
      <c r="D404" s="18" t="str">
        <f t="shared" si="6"/>
        <v/>
      </c>
      <c r="E404" s="18" t="str">
        <f>_xlfn.LET(_xlpm.A,IF(ISNUMBER(SEARCH("晒单",J404)),"【晒单】"&amp;MID(J404,SEARCH("晒单",J404)+LEN("晒单"),LEN(J404))&amp;"（需晒单后联系客服登记）",IF(ISNUMBER(SEARCH("包修",J404)),"【购机】"&amp;MID(J404,SEARCH("购机",J404)+LEN("购机"),LEN(J404)),IF(ISNUMBER(SEARCH("叠放支架",J404)),"【赠品】"&amp;MID(J404,SEARCH("购机",J404)+LEN("购机"),LEN(J404)),IF(ISNUMBER(SEARCH("秀图",J404)),"【秀图】"&amp;MID(J404,SEARCH("秀图",J404)+LEN("秀图"),LEN(J404)),"")))),IFERROR(LEFT(_xlpm.A,FIND("【",_xlpm.A,FIND("】",_xlpm.A)+1)-1)&amp;MID(_xlpm.A,FIND("】",_xlpm.A,FIND("】",_xlpm.A)+1)+1,LEN(_xlpm.A)),_xlpm.A))</f>
        <v/>
      </c>
      <c r="F404" s="18" t="str">
        <f>_xlfn.LET(_xlpm.A,IF(ISNUMBER(SEARCH("晒单",K404)),"【晒单】"&amp;MID(K404,SEARCH("晒单",K404)+LEN("晒单"),LEN(K404))&amp;"（需晒单后联系客服登记）",IF(ISNUMBER(SEARCH("包修",K404)),"【购机】"&amp;MID(K404,SEARCH("购机",K404)+LEN("购机"),LEN(K404)),IF(ISNUMBER(SEARCH("叠放支架",K404)),"【赠品】"&amp;MID(K404,SEARCH("购机",K404)+LEN("购机"),LEN(K404)),IF(ISNUMBER(SEARCH("秀图",K404)),"【秀图】"&amp;MID(K404,SEARCH("秀图",K404)+LEN("秀图"),LEN(K404)),"")))),IFERROR(LEFT(_xlpm.A,FIND("【",_xlpm.A,FIND("】",_xlpm.A)+1)-1)&amp;MID(_xlpm.A,FIND("】",_xlpm.A,FIND("】",_xlpm.A)+1)+1,LEN(_xlpm.A)),_xlpm.A))</f>
        <v/>
      </c>
      <c r="G404" s="18" t="str">
        <f>_xlfn.LET(_xlpm.A,IF(ISNUMBER(SEARCH("晒单",L404)),"【晒单】"&amp;MID(L404,SEARCH("晒单",L404)+LEN("晒单"),LEN(L404))&amp;"（需晒单后联系客服登记）",IF(ISNUMBER(SEARCH("包修",L404)),"【购机】"&amp;MID(L404,SEARCH("购机",L404)+LEN("购机"),LEN(L404)),IF(ISNUMBER(SEARCH("叠放支架",L404)),"【赠品】"&amp;MID(L404,SEARCH("购机",L404)+LEN("购机"),LEN(L404)),IF(ISNUMBER(SEARCH("秀图",L404)),"【秀图】"&amp;MID(L404,SEARCH("秀图",L404)+LEN("秀图"),LEN(L404)),"")))),IFERROR(LEFT(_xlpm.A,FIND("【",_xlpm.A,FIND("】",_xlpm.A)+1)-1)&amp;MID(_xlpm.A,FIND("】",_xlpm.A,FIND("】",_xlpm.A)+1)+1,LEN(_xlpm.A)),_xlpm.A))</f>
        <v/>
      </c>
      <c r="H404" s="18" t="str">
        <f>_xlfn.LET(_xlpm.A,IF(ISNUMBER(SEARCH("晒单",M404)),"【晒单】"&amp;MID(M404,SEARCH("晒单",M404)+LEN("晒单"),LEN(M404))&amp;"（需晒单后联系客服登记）",IF(ISNUMBER(SEARCH("包修",M404)),"【购机】"&amp;MID(M404,SEARCH("购机",M404)+LEN("购机"),LEN(M404)),IF(ISNUMBER(SEARCH("叠放支架",M404)),"【赠品】"&amp;MID(M404,SEARCH("购机",M404)+LEN("购机"),LEN(M404)),IF(ISNUMBER(SEARCH("秀图",M404)),"【秀图】"&amp;MID(M404,SEARCH("秀图",M404)+LEN("秀图"),LEN(M404)),"")))),IFERROR(LEFT(_xlpm.A,FIND("【",_xlpm.A,FIND("】",_xlpm.A)+1)-1)&amp;MID(_xlpm.A,FIND("】",_xlpm.A,FIND("】",_xlpm.A)+1)+1,LEN(_xlpm.A)),_xlpm.A))</f>
        <v/>
      </c>
      <c r="I404" s="18" t="str">
        <f>_xlfn.LET(_xlpm.A,IF(ISNUMBER(SEARCH("晒单",N404)),"【晒单】"&amp;MID(N404,SEARCH("晒单",N404)+LEN("晒单"),LEN(N404))&amp;"（需晒单后联系客服登记）",IF(ISNUMBER(SEARCH("包修",N404)),"【购机】"&amp;MID(N404,SEARCH("购机",N404)+LEN("购机"),LEN(N404)),IF(ISNUMBER(SEARCH("叠放支架",N404)),"【赠品】"&amp;MID(N404,SEARCH("购机",N404)+LEN("购机"),LEN(N404)),IF(ISNUMBER(SEARCH("秀图",N404)),"【秀图】"&amp;MID(N404,SEARCH("秀图",N404)+LEN("秀图"),LEN(N404)),"")))),IFERROR(LEFT(_xlpm.A,FIND("【",_xlpm.A,FIND("】",_xlpm.A)+1)-1)&amp;MID(_xlpm.A,FIND("】",_xlpm.A,FIND("】",_xlpm.A)+1)+1,LEN(_xlpm.A)),_xlpm.A))</f>
        <v/>
      </c>
      <c r="J404" s="18" t="str" cm="1">
        <f t="array" ref="J404">IFERROR(INDEX(_xlfn.TEXTSPLIT(_xlfn.XLOOKUP($A404&amp;$B404&amp;$C404,盘货信息!$A:$A&amp;盘货信息!$B:$B&amp;盘货信息!$C:$C,盘货信息!$S:$S),CHAR(10),,TRUE),1,COLUMN(A403)),"")</f>
        <v/>
      </c>
      <c r="K404" s="18" t="str" cm="1">
        <f t="array" ref="K404">IFERROR(INDEX(_xlfn.TEXTSPLIT(_xlfn.XLOOKUP($A404&amp;$B404&amp;$C404,盘货信息!$A:$A&amp;盘货信息!$B:$B&amp;盘货信息!$C:$C,盘货信息!$S:$S),CHAR(10),,TRUE),1,COLUMN(B403)),"")</f>
        <v/>
      </c>
      <c r="L404" s="18" t="str" cm="1">
        <f t="array" ref="L404">IFERROR(INDEX(_xlfn.TEXTSPLIT(_xlfn.XLOOKUP($A404&amp;$B404&amp;$C404,盘货信息!$A:$A&amp;盘货信息!$B:$B&amp;盘货信息!$C:$C,盘货信息!$S:$S),CHAR(10),,TRUE),1,COLUMN(C403)),"")</f>
        <v/>
      </c>
      <c r="M404" s="18" t="str" cm="1">
        <f t="array" ref="M404">IFERROR(INDEX(_xlfn.TEXTSPLIT(_xlfn.XLOOKUP($A404&amp;$B404&amp;$C404,盘货信息!$A:$A&amp;盘货信息!$B:$B&amp;盘货信息!$C:$C,盘货信息!$S:$S),CHAR(10),,TRUE),1,COLUMN(D403)),"")</f>
        <v/>
      </c>
      <c r="N404" s="18" t="str" cm="1">
        <f t="array" ref="N404">IFERROR(INDEX(_xlfn.TEXTSPLIT(_xlfn.XLOOKUP($A404&amp;$B404&amp;$C404,盘货信息!$A:$A&amp;盘货信息!$B:$B&amp;盘货信息!$C:$C,盘货信息!$S:$S),CHAR(10),,TRUE),1,COLUMN(E403)),"")</f>
        <v/>
      </c>
    </row>
    <row r="405" customHeight="1" spans="1:14">
      <c r="A405" s="17" t="str">
        <f>IF(盘货信息!A405="","",盘货信息!A405)</f>
        <v/>
      </c>
      <c r="B405" s="17" t="str">
        <f>IF(盘货信息!B405="","",盘货信息!B405)</f>
        <v/>
      </c>
      <c r="C405" s="18" t="str">
        <f>IF(盘货信息!C405="","",盘货信息!C405)</f>
        <v/>
      </c>
      <c r="D405" s="18" t="str">
        <f t="shared" si="6"/>
        <v/>
      </c>
      <c r="E405" s="18" t="str">
        <f>_xlfn.LET(_xlpm.A,IF(ISNUMBER(SEARCH("晒单",J405)),"【晒单】"&amp;MID(J405,SEARCH("晒单",J405)+LEN("晒单"),LEN(J405))&amp;"（需晒单后联系客服登记）",IF(ISNUMBER(SEARCH("包修",J405)),"【购机】"&amp;MID(J405,SEARCH("购机",J405)+LEN("购机"),LEN(J405)),IF(ISNUMBER(SEARCH("叠放支架",J405)),"【赠品】"&amp;MID(J405,SEARCH("购机",J405)+LEN("购机"),LEN(J405)),IF(ISNUMBER(SEARCH("秀图",J405)),"【秀图】"&amp;MID(J405,SEARCH("秀图",J405)+LEN("秀图"),LEN(J405)),"")))),IFERROR(LEFT(_xlpm.A,FIND("【",_xlpm.A,FIND("】",_xlpm.A)+1)-1)&amp;MID(_xlpm.A,FIND("】",_xlpm.A,FIND("】",_xlpm.A)+1)+1,LEN(_xlpm.A)),_xlpm.A))</f>
        <v/>
      </c>
      <c r="F405" s="18" t="str">
        <f>_xlfn.LET(_xlpm.A,IF(ISNUMBER(SEARCH("晒单",K405)),"【晒单】"&amp;MID(K405,SEARCH("晒单",K405)+LEN("晒单"),LEN(K405))&amp;"（需晒单后联系客服登记）",IF(ISNUMBER(SEARCH("包修",K405)),"【购机】"&amp;MID(K405,SEARCH("购机",K405)+LEN("购机"),LEN(K405)),IF(ISNUMBER(SEARCH("叠放支架",K405)),"【赠品】"&amp;MID(K405,SEARCH("购机",K405)+LEN("购机"),LEN(K405)),IF(ISNUMBER(SEARCH("秀图",K405)),"【秀图】"&amp;MID(K405,SEARCH("秀图",K405)+LEN("秀图"),LEN(K405)),"")))),IFERROR(LEFT(_xlpm.A,FIND("【",_xlpm.A,FIND("】",_xlpm.A)+1)-1)&amp;MID(_xlpm.A,FIND("】",_xlpm.A,FIND("】",_xlpm.A)+1)+1,LEN(_xlpm.A)),_xlpm.A))</f>
        <v/>
      </c>
      <c r="G405" s="18" t="str">
        <f>_xlfn.LET(_xlpm.A,IF(ISNUMBER(SEARCH("晒单",L405)),"【晒单】"&amp;MID(L405,SEARCH("晒单",L405)+LEN("晒单"),LEN(L405))&amp;"（需晒单后联系客服登记）",IF(ISNUMBER(SEARCH("包修",L405)),"【购机】"&amp;MID(L405,SEARCH("购机",L405)+LEN("购机"),LEN(L405)),IF(ISNUMBER(SEARCH("叠放支架",L405)),"【赠品】"&amp;MID(L405,SEARCH("购机",L405)+LEN("购机"),LEN(L405)),IF(ISNUMBER(SEARCH("秀图",L405)),"【秀图】"&amp;MID(L405,SEARCH("秀图",L405)+LEN("秀图"),LEN(L405)),"")))),IFERROR(LEFT(_xlpm.A,FIND("【",_xlpm.A,FIND("】",_xlpm.A)+1)-1)&amp;MID(_xlpm.A,FIND("】",_xlpm.A,FIND("】",_xlpm.A)+1)+1,LEN(_xlpm.A)),_xlpm.A))</f>
        <v/>
      </c>
      <c r="H405" s="18" t="str">
        <f>_xlfn.LET(_xlpm.A,IF(ISNUMBER(SEARCH("晒单",M405)),"【晒单】"&amp;MID(M405,SEARCH("晒单",M405)+LEN("晒单"),LEN(M405))&amp;"（需晒单后联系客服登记）",IF(ISNUMBER(SEARCH("包修",M405)),"【购机】"&amp;MID(M405,SEARCH("购机",M405)+LEN("购机"),LEN(M405)),IF(ISNUMBER(SEARCH("叠放支架",M405)),"【赠品】"&amp;MID(M405,SEARCH("购机",M405)+LEN("购机"),LEN(M405)),IF(ISNUMBER(SEARCH("秀图",M405)),"【秀图】"&amp;MID(M405,SEARCH("秀图",M405)+LEN("秀图"),LEN(M405)),"")))),IFERROR(LEFT(_xlpm.A,FIND("【",_xlpm.A,FIND("】",_xlpm.A)+1)-1)&amp;MID(_xlpm.A,FIND("】",_xlpm.A,FIND("】",_xlpm.A)+1)+1,LEN(_xlpm.A)),_xlpm.A))</f>
        <v/>
      </c>
      <c r="I405" s="18" t="str">
        <f>_xlfn.LET(_xlpm.A,IF(ISNUMBER(SEARCH("晒单",N405)),"【晒单】"&amp;MID(N405,SEARCH("晒单",N405)+LEN("晒单"),LEN(N405))&amp;"（需晒单后联系客服登记）",IF(ISNUMBER(SEARCH("包修",N405)),"【购机】"&amp;MID(N405,SEARCH("购机",N405)+LEN("购机"),LEN(N405)),IF(ISNUMBER(SEARCH("叠放支架",N405)),"【赠品】"&amp;MID(N405,SEARCH("购机",N405)+LEN("购机"),LEN(N405)),IF(ISNUMBER(SEARCH("秀图",N405)),"【秀图】"&amp;MID(N405,SEARCH("秀图",N405)+LEN("秀图"),LEN(N405)),"")))),IFERROR(LEFT(_xlpm.A,FIND("【",_xlpm.A,FIND("】",_xlpm.A)+1)-1)&amp;MID(_xlpm.A,FIND("】",_xlpm.A,FIND("】",_xlpm.A)+1)+1,LEN(_xlpm.A)),_xlpm.A))</f>
        <v/>
      </c>
      <c r="J405" s="18" t="str" cm="1">
        <f t="array" ref="J405">IFERROR(INDEX(_xlfn.TEXTSPLIT(_xlfn.XLOOKUP($A405&amp;$B405&amp;$C405,盘货信息!$A:$A&amp;盘货信息!$B:$B&amp;盘货信息!$C:$C,盘货信息!$S:$S),CHAR(10),,TRUE),1,COLUMN(A404)),"")</f>
        <v/>
      </c>
      <c r="K405" s="18" t="str" cm="1">
        <f t="array" ref="K405">IFERROR(INDEX(_xlfn.TEXTSPLIT(_xlfn.XLOOKUP($A405&amp;$B405&amp;$C405,盘货信息!$A:$A&amp;盘货信息!$B:$B&amp;盘货信息!$C:$C,盘货信息!$S:$S),CHAR(10),,TRUE),1,COLUMN(B404)),"")</f>
        <v/>
      </c>
      <c r="L405" s="18" t="str" cm="1">
        <f t="array" ref="L405">IFERROR(INDEX(_xlfn.TEXTSPLIT(_xlfn.XLOOKUP($A405&amp;$B405&amp;$C405,盘货信息!$A:$A&amp;盘货信息!$B:$B&amp;盘货信息!$C:$C,盘货信息!$S:$S),CHAR(10),,TRUE),1,COLUMN(C404)),"")</f>
        <v/>
      </c>
      <c r="M405" s="18" t="str" cm="1">
        <f t="array" ref="M405">IFERROR(INDEX(_xlfn.TEXTSPLIT(_xlfn.XLOOKUP($A405&amp;$B405&amp;$C405,盘货信息!$A:$A&amp;盘货信息!$B:$B&amp;盘货信息!$C:$C,盘货信息!$S:$S),CHAR(10),,TRUE),1,COLUMN(D404)),"")</f>
        <v/>
      </c>
      <c r="N405" s="18" t="str" cm="1">
        <f t="array" ref="N405">IFERROR(INDEX(_xlfn.TEXTSPLIT(_xlfn.XLOOKUP($A405&amp;$B405&amp;$C405,盘货信息!$A:$A&amp;盘货信息!$B:$B&amp;盘货信息!$C:$C,盘货信息!$S:$S),CHAR(10),,TRUE),1,COLUMN(E404)),"")</f>
        <v/>
      </c>
    </row>
    <row r="406" customHeight="1" spans="1:14">
      <c r="A406" s="17" t="str">
        <f>IF(盘货信息!A406="","",盘货信息!A406)</f>
        <v/>
      </c>
      <c r="B406" s="17" t="str">
        <f>IF(盘货信息!B406="","",盘货信息!B406)</f>
        <v/>
      </c>
      <c r="C406" s="18" t="str">
        <f>IF(盘货信息!C406="","",盘货信息!C406)</f>
        <v/>
      </c>
      <c r="D406" s="18" t="str">
        <f t="shared" si="6"/>
        <v/>
      </c>
      <c r="E406" s="18" t="str">
        <f>_xlfn.LET(_xlpm.A,IF(ISNUMBER(SEARCH("晒单",J406)),"【晒单】"&amp;MID(J406,SEARCH("晒单",J406)+LEN("晒单"),LEN(J406))&amp;"（需晒单后联系客服登记）",IF(ISNUMBER(SEARCH("包修",J406)),"【购机】"&amp;MID(J406,SEARCH("购机",J406)+LEN("购机"),LEN(J406)),IF(ISNUMBER(SEARCH("叠放支架",J406)),"【赠品】"&amp;MID(J406,SEARCH("购机",J406)+LEN("购机"),LEN(J406)),IF(ISNUMBER(SEARCH("秀图",J406)),"【秀图】"&amp;MID(J406,SEARCH("秀图",J406)+LEN("秀图"),LEN(J406)),"")))),IFERROR(LEFT(_xlpm.A,FIND("【",_xlpm.A,FIND("】",_xlpm.A)+1)-1)&amp;MID(_xlpm.A,FIND("】",_xlpm.A,FIND("】",_xlpm.A)+1)+1,LEN(_xlpm.A)),_xlpm.A))</f>
        <v/>
      </c>
      <c r="F406" s="18" t="str">
        <f>_xlfn.LET(_xlpm.A,IF(ISNUMBER(SEARCH("晒单",K406)),"【晒单】"&amp;MID(K406,SEARCH("晒单",K406)+LEN("晒单"),LEN(K406))&amp;"（需晒单后联系客服登记）",IF(ISNUMBER(SEARCH("包修",K406)),"【购机】"&amp;MID(K406,SEARCH("购机",K406)+LEN("购机"),LEN(K406)),IF(ISNUMBER(SEARCH("叠放支架",K406)),"【赠品】"&amp;MID(K406,SEARCH("购机",K406)+LEN("购机"),LEN(K406)),IF(ISNUMBER(SEARCH("秀图",K406)),"【秀图】"&amp;MID(K406,SEARCH("秀图",K406)+LEN("秀图"),LEN(K406)),"")))),IFERROR(LEFT(_xlpm.A,FIND("【",_xlpm.A,FIND("】",_xlpm.A)+1)-1)&amp;MID(_xlpm.A,FIND("】",_xlpm.A,FIND("】",_xlpm.A)+1)+1,LEN(_xlpm.A)),_xlpm.A))</f>
        <v/>
      </c>
      <c r="G406" s="18" t="str">
        <f>_xlfn.LET(_xlpm.A,IF(ISNUMBER(SEARCH("晒单",L406)),"【晒单】"&amp;MID(L406,SEARCH("晒单",L406)+LEN("晒单"),LEN(L406))&amp;"（需晒单后联系客服登记）",IF(ISNUMBER(SEARCH("包修",L406)),"【购机】"&amp;MID(L406,SEARCH("购机",L406)+LEN("购机"),LEN(L406)),IF(ISNUMBER(SEARCH("叠放支架",L406)),"【赠品】"&amp;MID(L406,SEARCH("购机",L406)+LEN("购机"),LEN(L406)),IF(ISNUMBER(SEARCH("秀图",L406)),"【秀图】"&amp;MID(L406,SEARCH("秀图",L406)+LEN("秀图"),LEN(L406)),"")))),IFERROR(LEFT(_xlpm.A,FIND("【",_xlpm.A,FIND("】",_xlpm.A)+1)-1)&amp;MID(_xlpm.A,FIND("】",_xlpm.A,FIND("】",_xlpm.A)+1)+1,LEN(_xlpm.A)),_xlpm.A))</f>
        <v/>
      </c>
      <c r="H406" s="18" t="str">
        <f>_xlfn.LET(_xlpm.A,IF(ISNUMBER(SEARCH("晒单",M406)),"【晒单】"&amp;MID(M406,SEARCH("晒单",M406)+LEN("晒单"),LEN(M406))&amp;"（需晒单后联系客服登记）",IF(ISNUMBER(SEARCH("包修",M406)),"【购机】"&amp;MID(M406,SEARCH("购机",M406)+LEN("购机"),LEN(M406)),IF(ISNUMBER(SEARCH("叠放支架",M406)),"【赠品】"&amp;MID(M406,SEARCH("购机",M406)+LEN("购机"),LEN(M406)),IF(ISNUMBER(SEARCH("秀图",M406)),"【秀图】"&amp;MID(M406,SEARCH("秀图",M406)+LEN("秀图"),LEN(M406)),"")))),IFERROR(LEFT(_xlpm.A,FIND("【",_xlpm.A,FIND("】",_xlpm.A)+1)-1)&amp;MID(_xlpm.A,FIND("】",_xlpm.A,FIND("】",_xlpm.A)+1)+1,LEN(_xlpm.A)),_xlpm.A))</f>
        <v/>
      </c>
      <c r="I406" s="18" t="str">
        <f>_xlfn.LET(_xlpm.A,IF(ISNUMBER(SEARCH("晒单",N406)),"【晒单】"&amp;MID(N406,SEARCH("晒单",N406)+LEN("晒单"),LEN(N406))&amp;"（需晒单后联系客服登记）",IF(ISNUMBER(SEARCH("包修",N406)),"【购机】"&amp;MID(N406,SEARCH("购机",N406)+LEN("购机"),LEN(N406)),IF(ISNUMBER(SEARCH("叠放支架",N406)),"【赠品】"&amp;MID(N406,SEARCH("购机",N406)+LEN("购机"),LEN(N406)),IF(ISNUMBER(SEARCH("秀图",N406)),"【秀图】"&amp;MID(N406,SEARCH("秀图",N406)+LEN("秀图"),LEN(N406)),"")))),IFERROR(LEFT(_xlpm.A,FIND("【",_xlpm.A,FIND("】",_xlpm.A)+1)-1)&amp;MID(_xlpm.A,FIND("】",_xlpm.A,FIND("】",_xlpm.A)+1)+1,LEN(_xlpm.A)),_xlpm.A))</f>
        <v/>
      </c>
      <c r="J406" s="18" t="str" cm="1">
        <f t="array" ref="J406">IFERROR(INDEX(_xlfn.TEXTSPLIT(_xlfn.XLOOKUP($A406&amp;$B406&amp;$C406,盘货信息!$A:$A&amp;盘货信息!$B:$B&amp;盘货信息!$C:$C,盘货信息!$S:$S),CHAR(10),,TRUE),1,COLUMN(A405)),"")</f>
        <v/>
      </c>
      <c r="K406" s="18" t="str" cm="1">
        <f t="array" ref="K406">IFERROR(INDEX(_xlfn.TEXTSPLIT(_xlfn.XLOOKUP($A406&amp;$B406&amp;$C406,盘货信息!$A:$A&amp;盘货信息!$B:$B&amp;盘货信息!$C:$C,盘货信息!$S:$S),CHAR(10),,TRUE),1,COLUMN(B405)),"")</f>
        <v/>
      </c>
      <c r="L406" s="18" t="str" cm="1">
        <f t="array" ref="L406">IFERROR(INDEX(_xlfn.TEXTSPLIT(_xlfn.XLOOKUP($A406&amp;$B406&amp;$C406,盘货信息!$A:$A&amp;盘货信息!$B:$B&amp;盘货信息!$C:$C,盘货信息!$S:$S),CHAR(10),,TRUE),1,COLUMN(C405)),"")</f>
        <v/>
      </c>
      <c r="M406" s="18" t="str" cm="1">
        <f t="array" ref="M406">IFERROR(INDEX(_xlfn.TEXTSPLIT(_xlfn.XLOOKUP($A406&amp;$B406&amp;$C406,盘货信息!$A:$A&amp;盘货信息!$B:$B&amp;盘货信息!$C:$C,盘货信息!$S:$S),CHAR(10),,TRUE),1,COLUMN(D405)),"")</f>
        <v/>
      </c>
      <c r="N406" s="18" t="str" cm="1">
        <f t="array" ref="N406">IFERROR(INDEX(_xlfn.TEXTSPLIT(_xlfn.XLOOKUP($A406&amp;$B406&amp;$C406,盘货信息!$A:$A&amp;盘货信息!$B:$B&amp;盘货信息!$C:$C,盘货信息!$S:$S),CHAR(10),,TRUE),1,COLUMN(E405)),"")</f>
        <v/>
      </c>
    </row>
    <row r="407" customHeight="1" spans="1:14">
      <c r="A407" s="17" t="str">
        <f>IF(盘货信息!A407="","",盘货信息!A407)</f>
        <v/>
      </c>
      <c r="B407" s="17" t="str">
        <f>IF(盘货信息!B407="","",盘货信息!B407)</f>
        <v/>
      </c>
      <c r="C407" s="18" t="str">
        <f>IF(盘货信息!C407="","",盘货信息!C407)</f>
        <v/>
      </c>
      <c r="D407" s="18" t="str">
        <f t="shared" si="6"/>
        <v/>
      </c>
      <c r="E407" s="18" t="str">
        <f>_xlfn.LET(_xlpm.A,IF(ISNUMBER(SEARCH("晒单",J407)),"【晒单】"&amp;MID(J407,SEARCH("晒单",J407)+LEN("晒单"),LEN(J407))&amp;"（需晒单后联系客服登记）",IF(ISNUMBER(SEARCH("包修",J407)),"【购机】"&amp;MID(J407,SEARCH("购机",J407)+LEN("购机"),LEN(J407)),IF(ISNUMBER(SEARCH("叠放支架",J407)),"【赠品】"&amp;MID(J407,SEARCH("购机",J407)+LEN("购机"),LEN(J407)),IF(ISNUMBER(SEARCH("秀图",J407)),"【秀图】"&amp;MID(J407,SEARCH("秀图",J407)+LEN("秀图"),LEN(J407)),"")))),IFERROR(LEFT(_xlpm.A,FIND("【",_xlpm.A,FIND("】",_xlpm.A)+1)-1)&amp;MID(_xlpm.A,FIND("】",_xlpm.A,FIND("】",_xlpm.A)+1)+1,LEN(_xlpm.A)),_xlpm.A))</f>
        <v/>
      </c>
      <c r="F407" s="18" t="str">
        <f>_xlfn.LET(_xlpm.A,IF(ISNUMBER(SEARCH("晒单",K407)),"【晒单】"&amp;MID(K407,SEARCH("晒单",K407)+LEN("晒单"),LEN(K407))&amp;"（需晒单后联系客服登记）",IF(ISNUMBER(SEARCH("包修",K407)),"【购机】"&amp;MID(K407,SEARCH("购机",K407)+LEN("购机"),LEN(K407)),IF(ISNUMBER(SEARCH("叠放支架",K407)),"【赠品】"&amp;MID(K407,SEARCH("购机",K407)+LEN("购机"),LEN(K407)),IF(ISNUMBER(SEARCH("秀图",K407)),"【秀图】"&amp;MID(K407,SEARCH("秀图",K407)+LEN("秀图"),LEN(K407)),"")))),IFERROR(LEFT(_xlpm.A,FIND("【",_xlpm.A,FIND("】",_xlpm.A)+1)-1)&amp;MID(_xlpm.A,FIND("】",_xlpm.A,FIND("】",_xlpm.A)+1)+1,LEN(_xlpm.A)),_xlpm.A))</f>
        <v/>
      </c>
      <c r="G407" s="18" t="str">
        <f>_xlfn.LET(_xlpm.A,IF(ISNUMBER(SEARCH("晒单",L407)),"【晒单】"&amp;MID(L407,SEARCH("晒单",L407)+LEN("晒单"),LEN(L407))&amp;"（需晒单后联系客服登记）",IF(ISNUMBER(SEARCH("包修",L407)),"【购机】"&amp;MID(L407,SEARCH("购机",L407)+LEN("购机"),LEN(L407)),IF(ISNUMBER(SEARCH("叠放支架",L407)),"【赠品】"&amp;MID(L407,SEARCH("购机",L407)+LEN("购机"),LEN(L407)),IF(ISNUMBER(SEARCH("秀图",L407)),"【秀图】"&amp;MID(L407,SEARCH("秀图",L407)+LEN("秀图"),LEN(L407)),"")))),IFERROR(LEFT(_xlpm.A,FIND("【",_xlpm.A,FIND("】",_xlpm.A)+1)-1)&amp;MID(_xlpm.A,FIND("】",_xlpm.A,FIND("】",_xlpm.A)+1)+1,LEN(_xlpm.A)),_xlpm.A))</f>
        <v/>
      </c>
      <c r="H407" s="18" t="str">
        <f>_xlfn.LET(_xlpm.A,IF(ISNUMBER(SEARCH("晒单",M407)),"【晒单】"&amp;MID(M407,SEARCH("晒单",M407)+LEN("晒单"),LEN(M407))&amp;"（需晒单后联系客服登记）",IF(ISNUMBER(SEARCH("包修",M407)),"【购机】"&amp;MID(M407,SEARCH("购机",M407)+LEN("购机"),LEN(M407)),IF(ISNUMBER(SEARCH("叠放支架",M407)),"【赠品】"&amp;MID(M407,SEARCH("购机",M407)+LEN("购机"),LEN(M407)),IF(ISNUMBER(SEARCH("秀图",M407)),"【秀图】"&amp;MID(M407,SEARCH("秀图",M407)+LEN("秀图"),LEN(M407)),"")))),IFERROR(LEFT(_xlpm.A,FIND("【",_xlpm.A,FIND("】",_xlpm.A)+1)-1)&amp;MID(_xlpm.A,FIND("】",_xlpm.A,FIND("】",_xlpm.A)+1)+1,LEN(_xlpm.A)),_xlpm.A))</f>
        <v/>
      </c>
      <c r="I407" s="18" t="str">
        <f>_xlfn.LET(_xlpm.A,IF(ISNUMBER(SEARCH("晒单",N407)),"【晒单】"&amp;MID(N407,SEARCH("晒单",N407)+LEN("晒单"),LEN(N407))&amp;"（需晒单后联系客服登记）",IF(ISNUMBER(SEARCH("包修",N407)),"【购机】"&amp;MID(N407,SEARCH("购机",N407)+LEN("购机"),LEN(N407)),IF(ISNUMBER(SEARCH("叠放支架",N407)),"【赠品】"&amp;MID(N407,SEARCH("购机",N407)+LEN("购机"),LEN(N407)),IF(ISNUMBER(SEARCH("秀图",N407)),"【秀图】"&amp;MID(N407,SEARCH("秀图",N407)+LEN("秀图"),LEN(N407)),"")))),IFERROR(LEFT(_xlpm.A,FIND("【",_xlpm.A,FIND("】",_xlpm.A)+1)-1)&amp;MID(_xlpm.A,FIND("】",_xlpm.A,FIND("】",_xlpm.A)+1)+1,LEN(_xlpm.A)),_xlpm.A))</f>
        <v/>
      </c>
      <c r="J407" s="18" t="str" cm="1">
        <f t="array" ref="J407">IFERROR(INDEX(_xlfn.TEXTSPLIT(_xlfn.XLOOKUP($A407&amp;$B407&amp;$C407,盘货信息!$A:$A&amp;盘货信息!$B:$B&amp;盘货信息!$C:$C,盘货信息!$S:$S),CHAR(10),,TRUE),1,COLUMN(A406)),"")</f>
        <v/>
      </c>
      <c r="K407" s="18" t="str" cm="1">
        <f t="array" ref="K407">IFERROR(INDEX(_xlfn.TEXTSPLIT(_xlfn.XLOOKUP($A407&amp;$B407&amp;$C407,盘货信息!$A:$A&amp;盘货信息!$B:$B&amp;盘货信息!$C:$C,盘货信息!$S:$S),CHAR(10),,TRUE),1,COLUMN(B406)),"")</f>
        <v/>
      </c>
      <c r="L407" s="18" t="str" cm="1">
        <f t="array" ref="L407">IFERROR(INDEX(_xlfn.TEXTSPLIT(_xlfn.XLOOKUP($A407&amp;$B407&amp;$C407,盘货信息!$A:$A&amp;盘货信息!$B:$B&amp;盘货信息!$C:$C,盘货信息!$S:$S),CHAR(10),,TRUE),1,COLUMN(C406)),"")</f>
        <v/>
      </c>
      <c r="M407" s="18" t="str" cm="1">
        <f t="array" ref="M407">IFERROR(INDEX(_xlfn.TEXTSPLIT(_xlfn.XLOOKUP($A407&amp;$B407&amp;$C407,盘货信息!$A:$A&amp;盘货信息!$B:$B&amp;盘货信息!$C:$C,盘货信息!$S:$S),CHAR(10),,TRUE),1,COLUMN(D406)),"")</f>
        <v/>
      </c>
      <c r="N407" s="18" t="str" cm="1">
        <f t="array" ref="N407">IFERROR(INDEX(_xlfn.TEXTSPLIT(_xlfn.XLOOKUP($A407&amp;$B407&amp;$C407,盘货信息!$A:$A&amp;盘货信息!$B:$B&amp;盘货信息!$C:$C,盘货信息!$S:$S),CHAR(10),,TRUE),1,COLUMN(E406)),"")</f>
        <v/>
      </c>
    </row>
    <row r="408" customHeight="1" spans="1:14">
      <c r="A408" s="17" t="str">
        <f>IF(盘货信息!A408="","",盘货信息!A408)</f>
        <v/>
      </c>
      <c r="B408" s="17" t="str">
        <f>IF(盘货信息!B408="","",盘货信息!B408)</f>
        <v/>
      </c>
      <c r="C408" s="18" t="str">
        <f>IF(盘货信息!C408="","",盘货信息!C408)</f>
        <v/>
      </c>
      <c r="D408" s="18" t="str">
        <f t="shared" si="6"/>
        <v/>
      </c>
      <c r="E408" s="18" t="str">
        <f>_xlfn.LET(_xlpm.A,IF(ISNUMBER(SEARCH("晒单",J408)),"【晒单】"&amp;MID(J408,SEARCH("晒单",J408)+LEN("晒单"),LEN(J408))&amp;"（需晒单后联系客服登记）",IF(ISNUMBER(SEARCH("包修",J408)),"【购机】"&amp;MID(J408,SEARCH("购机",J408)+LEN("购机"),LEN(J408)),IF(ISNUMBER(SEARCH("叠放支架",J408)),"【赠品】"&amp;MID(J408,SEARCH("购机",J408)+LEN("购机"),LEN(J408)),IF(ISNUMBER(SEARCH("秀图",J408)),"【秀图】"&amp;MID(J408,SEARCH("秀图",J408)+LEN("秀图"),LEN(J408)),"")))),IFERROR(LEFT(_xlpm.A,FIND("【",_xlpm.A,FIND("】",_xlpm.A)+1)-1)&amp;MID(_xlpm.A,FIND("】",_xlpm.A,FIND("】",_xlpm.A)+1)+1,LEN(_xlpm.A)),_xlpm.A))</f>
        <v/>
      </c>
      <c r="F408" s="18" t="str">
        <f>_xlfn.LET(_xlpm.A,IF(ISNUMBER(SEARCH("晒单",K408)),"【晒单】"&amp;MID(K408,SEARCH("晒单",K408)+LEN("晒单"),LEN(K408))&amp;"（需晒单后联系客服登记）",IF(ISNUMBER(SEARCH("包修",K408)),"【购机】"&amp;MID(K408,SEARCH("购机",K408)+LEN("购机"),LEN(K408)),IF(ISNUMBER(SEARCH("叠放支架",K408)),"【赠品】"&amp;MID(K408,SEARCH("购机",K408)+LEN("购机"),LEN(K408)),IF(ISNUMBER(SEARCH("秀图",K408)),"【秀图】"&amp;MID(K408,SEARCH("秀图",K408)+LEN("秀图"),LEN(K408)),"")))),IFERROR(LEFT(_xlpm.A,FIND("【",_xlpm.A,FIND("】",_xlpm.A)+1)-1)&amp;MID(_xlpm.A,FIND("】",_xlpm.A,FIND("】",_xlpm.A)+1)+1,LEN(_xlpm.A)),_xlpm.A))</f>
        <v/>
      </c>
      <c r="G408" s="18" t="str">
        <f>_xlfn.LET(_xlpm.A,IF(ISNUMBER(SEARCH("晒单",L408)),"【晒单】"&amp;MID(L408,SEARCH("晒单",L408)+LEN("晒单"),LEN(L408))&amp;"（需晒单后联系客服登记）",IF(ISNUMBER(SEARCH("包修",L408)),"【购机】"&amp;MID(L408,SEARCH("购机",L408)+LEN("购机"),LEN(L408)),IF(ISNUMBER(SEARCH("叠放支架",L408)),"【赠品】"&amp;MID(L408,SEARCH("购机",L408)+LEN("购机"),LEN(L408)),IF(ISNUMBER(SEARCH("秀图",L408)),"【秀图】"&amp;MID(L408,SEARCH("秀图",L408)+LEN("秀图"),LEN(L408)),"")))),IFERROR(LEFT(_xlpm.A,FIND("【",_xlpm.A,FIND("】",_xlpm.A)+1)-1)&amp;MID(_xlpm.A,FIND("】",_xlpm.A,FIND("】",_xlpm.A)+1)+1,LEN(_xlpm.A)),_xlpm.A))</f>
        <v/>
      </c>
      <c r="H408" s="18" t="str">
        <f>_xlfn.LET(_xlpm.A,IF(ISNUMBER(SEARCH("晒单",M408)),"【晒单】"&amp;MID(M408,SEARCH("晒单",M408)+LEN("晒单"),LEN(M408))&amp;"（需晒单后联系客服登记）",IF(ISNUMBER(SEARCH("包修",M408)),"【购机】"&amp;MID(M408,SEARCH("购机",M408)+LEN("购机"),LEN(M408)),IF(ISNUMBER(SEARCH("叠放支架",M408)),"【赠品】"&amp;MID(M408,SEARCH("购机",M408)+LEN("购机"),LEN(M408)),IF(ISNUMBER(SEARCH("秀图",M408)),"【秀图】"&amp;MID(M408,SEARCH("秀图",M408)+LEN("秀图"),LEN(M408)),"")))),IFERROR(LEFT(_xlpm.A,FIND("【",_xlpm.A,FIND("】",_xlpm.A)+1)-1)&amp;MID(_xlpm.A,FIND("】",_xlpm.A,FIND("】",_xlpm.A)+1)+1,LEN(_xlpm.A)),_xlpm.A))</f>
        <v/>
      </c>
      <c r="I408" s="18" t="str">
        <f>_xlfn.LET(_xlpm.A,IF(ISNUMBER(SEARCH("晒单",N408)),"【晒单】"&amp;MID(N408,SEARCH("晒单",N408)+LEN("晒单"),LEN(N408))&amp;"（需晒单后联系客服登记）",IF(ISNUMBER(SEARCH("包修",N408)),"【购机】"&amp;MID(N408,SEARCH("购机",N408)+LEN("购机"),LEN(N408)),IF(ISNUMBER(SEARCH("叠放支架",N408)),"【赠品】"&amp;MID(N408,SEARCH("购机",N408)+LEN("购机"),LEN(N408)),IF(ISNUMBER(SEARCH("秀图",N408)),"【秀图】"&amp;MID(N408,SEARCH("秀图",N408)+LEN("秀图"),LEN(N408)),"")))),IFERROR(LEFT(_xlpm.A,FIND("【",_xlpm.A,FIND("】",_xlpm.A)+1)-1)&amp;MID(_xlpm.A,FIND("】",_xlpm.A,FIND("】",_xlpm.A)+1)+1,LEN(_xlpm.A)),_xlpm.A))</f>
        <v/>
      </c>
      <c r="J408" s="18" t="str" cm="1">
        <f t="array" ref="J408">IFERROR(INDEX(_xlfn.TEXTSPLIT(_xlfn.XLOOKUP($A408&amp;$B408&amp;$C408,盘货信息!$A:$A&amp;盘货信息!$B:$B&amp;盘货信息!$C:$C,盘货信息!$S:$S),CHAR(10),,TRUE),1,COLUMN(A407)),"")</f>
        <v/>
      </c>
      <c r="K408" s="18" t="str" cm="1">
        <f t="array" ref="K408">IFERROR(INDEX(_xlfn.TEXTSPLIT(_xlfn.XLOOKUP($A408&amp;$B408&amp;$C408,盘货信息!$A:$A&amp;盘货信息!$B:$B&amp;盘货信息!$C:$C,盘货信息!$S:$S),CHAR(10),,TRUE),1,COLUMN(B407)),"")</f>
        <v/>
      </c>
      <c r="L408" s="18" t="str" cm="1">
        <f t="array" ref="L408">IFERROR(INDEX(_xlfn.TEXTSPLIT(_xlfn.XLOOKUP($A408&amp;$B408&amp;$C408,盘货信息!$A:$A&amp;盘货信息!$B:$B&amp;盘货信息!$C:$C,盘货信息!$S:$S),CHAR(10),,TRUE),1,COLUMN(C407)),"")</f>
        <v/>
      </c>
      <c r="M408" s="18" t="str" cm="1">
        <f t="array" ref="M408">IFERROR(INDEX(_xlfn.TEXTSPLIT(_xlfn.XLOOKUP($A408&amp;$B408&amp;$C408,盘货信息!$A:$A&amp;盘货信息!$B:$B&amp;盘货信息!$C:$C,盘货信息!$S:$S),CHAR(10),,TRUE),1,COLUMN(D407)),"")</f>
        <v/>
      </c>
      <c r="N408" s="18" t="str" cm="1">
        <f t="array" ref="N408">IFERROR(INDEX(_xlfn.TEXTSPLIT(_xlfn.XLOOKUP($A408&amp;$B408&amp;$C408,盘货信息!$A:$A&amp;盘货信息!$B:$B&amp;盘货信息!$C:$C,盘货信息!$S:$S),CHAR(10),,TRUE),1,COLUMN(E407)),"")</f>
        <v/>
      </c>
    </row>
    <row r="409" customHeight="1" spans="1:14">
      <c r="A409" s="17" t="str">
        <f>IF(盘货信息!A409="","",盘货信息!A409)</f>
        <v/>
      </c>
      <c r="B409" s="17" t="str">
        <f>IF(盘货信息!B409="","",盘货信息!B409)</f>
        <v/>
      </c>
      <c r="C409" s="18" t="str">
        <f>IF(盘货信息!C409="","",盘货信息!C409)</f>
        <v/>
      </c>
      <c r="D409" s="18" t="str">
        <f t="shared" si="6"/>
        <v/>
      </c>
      <c r="E409" s="18" t="str">
        <f>_xlfn.LET(_xlpm.A,IF(ISNUMBER(SEARCH("晒单",J409)),"【晒单】"&amp;MID(J409,SEARCH("晒单",J409)+LEN("晒单"),LEN(J409))&amp;"（需晒单后联系客服登记）",IF(ISNUMBER(SEARCH("包修",J409)),"【购机】"&amp;MID(J409,SEARCH("购机",J409)+LEN("购机"),LEN(J409)),IF(ISNUMBER(SEARCH("叠放支架",J409)),"【赠品】"&amp;MID(J409,SEARCH("购机",J409)+LEN("购机"),LEN(J409)),IF(ISNUMBER(SEARCH("秀图",J409)),"【秀图】"&amp;MID(J409,SEARCH("秀图",J409)+LEN("秀图"),LEN(J409)),"")))),IFERROR(LEFT(_xlpm.A,FIND("【",_xlpm.A,FIND("】",_xlpm.A)+1)-1)&amp;MID(_xlpm.A,FIND("】",_xlpm.A,FIND("】",_xlpm.A)+1)+1,LEN(_xlpm.A)),_xlpm.A))</f>
        <v/>
      </c>
      <c r="F409" s="18" t="str">
        <f>_xlfn.LET(_xlpm.A,IF(ISNUMBER(SEARCH("晒单",K409)),"【晒单】"&amp;MID(K409,SEARCH("晒单",K409)+LEN("晒单"),LEN(K409))&amp;"（需晒单后联系客服登记）",IF(ISNUMBER(SEARCH("包修",K409)),"【购机】"&amp;MID(K409,SEARCH("购机",K409)+LEN("购机"),LEN(K409)),IF(ISNUMBER(SEARCH("叠放支架",K409)),"【赠品】"&amp;MID(K409,SEARCH("购机",K409)+LEN("购机"),LEN(K409)),IF(ISNUMBER(SEARCH("秀图",K409)),"【秀图】"&amp;MID(K409,SEARCH("秀图",K409)+LEN("秀图"),LEN(K409)),"")))),IFERROR(LEFT(_xlpm.A,FIND("【",_xlpm.A,FIND("】",_xlpm.A)+1)-1)&amp;MID(_xlpm.A,FIND("】",_xlpm.A,FIND("】",_xlpm.A)+1)+1,LEN(_xlpm.A)),_xlpm.A))</f>
        <v/>
      </c>
      <c r="G409" s="18" t="str">
        <f>_xlfn.LET(_xlpm.A,IF(ISNUMBER(SEARCH("晒单",L409)),"【晒单】"&amp;MID(L409,SEARCH("晒单",L409)+LEN("晒单"),LEN(L409))&amp;"（需晒单后联系客服登记）",IF(ISNUMBER(SEARCH("包修",L409)),"【购机】"&amp;MID(L409,SEARCH("购机",L409)+LEN("购机"),LEN(L409)),IF(ISNUMBER(SEARCH("叠放支架",L409)),"【赠品】"&amp;MID(L409,SEARCH("购机",L409)+LEN("购机"),LEN(L409)),IF(ISNUMBER(SEARCH("秀图",L409)),"【秀图】"&amp;MID(L409,SEARCH("秀图",L409)+LEN("秀图"),LEN(L409)),"")))),IFERROR(LEFT(_xlpm.A,FIND("【",_xlpm.A,FIND("】",_xlpm.A)+1)-1)&amp;MID(_xlpm.A,FIND("】",_xlpm.A,FIND("】",_xlpm.A)+1)+1,LEN(_xlpm.A)),_xlpm.A))</f>
        <v/>
      </c>
      <c r="H409" s="18" t="str">
        <f>_xlfn.LET(_xlpm.A,IF(ISNUMBER(SEARCH("晒单",M409)),"【晒单】"&amp;MID(M409,SEARCH("晒单",M409)+LEN("晒单"),LEN(M409))&amp;"（需晒单后联系客服登记）",IF(ISNUMBER(SEARCH("包修",M409)),"【购机】"&amp;MID(M409,SEARCH("购机",M409)+LEN("购机"),LEN(M409)),IF(ISNUMBER(SEARCH("叠放支架",M409)),"【赠品】"&amp;MID(M409,SEARCH("购机",M409)+LEN("购机"),LEN(M409)),IF(ISNUMBER(SEARCH("秀图",M409)),"【秀图】"&amp;MID(M409,SEARCH("秀图",M409)+LEN("秀图"),LEN(M409)),"")))),IFERROR(LEFT(_xlpm.A,FIND("【",_xlpm.A,FIND("】",_xlpm.A)+1)-1)&amp;MID(_xlpm.A,FIND("】",_xlpm.A,FIND("】",_xlpm.A)+1)+1,LEN(_xlpm.A)),_xlpm.A))</f>
        <v/>
      </c>
      <c r="I409" s="18" t="str">
        <f>_xlfn.LET(_xlpm.A,IF(ISNUMBER(SEARCH("晒单",N409)),"【晒单】"&amp;MID(N409,SEARCH("晒单",N409)+LEN("晒单"),LEN(N409))&amp;"（需晒单后联系客服登记）",IF(ISNUMBER(SEARCH("包修",N409)),"【购机】"&amp;MID(N409,SEARCH("购机",N409)+LEN("购机"),LEN(N409)),IF(ISNUMBER(SEARCH("叠放支架",N409)),"【赠品】"&amp;MID(N409,SEARCH("购机",N409)+LEN("购机"),LEN(N409)),IF(ISNUMBER(SEARCH("秀图",N409)),"【秀图】"&amp;MID(N409,SEARCH("秀图",N409)+LEN("秀图"),LEN(N409)),"")))),IFERROR(LEFT(_xlpm.A,FIND("【",_xlpm.A,FIND("】",_xlpm.A)+1)-1)&amp;MID(_xlpm.A,FIND("】",_xlpm.A,FIND("】",_xlpm.A)+1)+1,LEN(_xlpm.A)),_xlpm.A))</f>
        <v/>
      </c>
      <c r="J409" s="18" t="str" cm="1">
        <f t="array" ref="J409">IFERROR(INDEX(_xlfn.TEXTSPLIT(_xlfn.XLOOKUP($A409&amp;$B409&amp;$C409,盘货信息!$A:$A&amp;盘货信息!$B:$B&amp;盘货信息!$C:$C,盘货信息!$S:$S),CHAR(10),,TRUE),1,COLUMN(A408)),"")</f>
        <v/>
      </c>
      <c r="K409" s="18" t="str" cm="1">
        <f t="array" ref="K409">IFERROR(INDEX(_xlfn.TEXTSPLIT(_xlfn.XLOOKUP($A409&amp;$B409&amp;$C409,盘货信息!$A:$A&amp;盘货信息!$B:$B&amp;盘货信息!$C:$C,盘货信息!$S:$S),CHAR(10),,TRUE),1,COLUMN(B408)),"")</f>
        <v/>
      </c>
      <c r="L409" s="18" t="str" cm="1">
        <f t="array" ref="L409">IFERROR(INDEX(_xlfn.TEXTSPLIT(_xlfn.XLOOKUP($A409&amp;$B409&amp;$C409,盘货信息!$A:$A&amp;盘货信息!$B:$B&amp;盘货信息!$C:$C,盘货信息!$S:$S),CHAR(10),,TRUE),1,COLUMN(C408)),"")</f>
        <v/>
      </c>
      <c r="M409" s="18" t="str" cm="1">
        <f t="array" ref="M409">IFERROR(INDEX(_xlfn.TEXTSPLIT(_xlfn.XLOOKUP($A409&amp;$B409&amp;$C409,盘货信息!$A:$A&amp;盘货信息!$B:$B&amp;盘货信息!$C:$C,盘货信息!$S:$S),CHAR(10),,TRUE),1,COLUMN(D408)),"")</f>
        <v/>
      </c>
      <c r="N409" s="18" t="str" cm="1">
        <f t="array" ref="N409">IFERROR(INDEX(_xlfn.TEXTSPLIT(_xlfn.XLOOKUP($A409&amp;$B409&amp;$C409,盘货信息!$A:$A&amp;盘货信息!$B:$B&amp;盘货信息!$C:$C,盘货信息!$S:$S),CHAR(10),,TRUE),1,COLUMN(E408)),"")</f>
        <v/>
      </c>
    </row>
    <row r="410" customHeight="1" spans="1:14">
      <c r="A410" s="17" t="str">
        <f>IF(盘货信息!A410="","",盘货信息!A410)</f>
        <v/>
      </c>
      <c r="B410" s="17" t="str">
        <f>IF(盘货信息!B410="","",盘货信息!B410)</f>
        <v/>
      </c>
      <c r="C410" s="18" t="str">
        <f>IF(盘货信息!C410="","",盘货信息!C410)</f>
        <v/>
      </c>
      <c r="D410" s="18" t="str">
        <f t="shared" si="6"/>
        <v/>
      </c>
      <c r="E410" s="18" t="str">
        <f>_xlfn.LET(_xlpm.A,IF(ISNUMBER(SEARCH("晒单",J410)),"【晒单】"&amp;MID(J410,SEARCH("晒单",J410)+LEN("晒单"),LEN(J410))&amp;"（需晒单后联系客服登记）",IF(ISNUMBER(SEARCH("包修",J410)),"【购机】"&amp;MID(J410,SEARCH("购机",J410)+LEN("购机"),LEN(J410)),IF(ISNUMBER(SEARCH("叠放支架",J410)),"【赠品】"&amp;MID(J410,SEARCH("购机",J410)+LEN("购机"),LEN(J410)),IF(ISNUMBER(SEARCH("秀图",J410)),"【秀图】"&amp;MID(J410,SEARCH("秀图",J410)+LEN("秀图"),LEN(J410)),"")))),IFERROR(LEFT(_xlpm.A,FIND("【",_xlpm.A,FIND("】",_xlpm.A)+1)-1)&amp;MID(_xlpm.A,FIND("】",_xlpm.A,FIND("】",_xlpm.A)+1)+1,LEN(_xlpm.A)),_xlpm.A))</f>
        <v/>
      </c>
      <c r="F410" s="18" t="str">
        <f>_xlfn.LET(_xlpm.A,IF(ISNUMBER(SEARCH("晒单",K410)),"【晒单】"&amp;MID(K410,SEARCH("晒单",K410)+LEN("晒单"),LEN(K410))&amp;"（需晒单后联系客服登记）",IF(ISNUMBER(SEARCH("包修",K410)),"【购机】"&amp;MID(K410,SEARCH("购机",K410)+LEN("购机"),LEN(K410)),IF(ISNUMBER(SEARCH("叠放支架",K410)),"【赠品】"&amp;MID(K410,SEARCH("购机",K410)+LEN("购机"),LEN(K410)),IF(ISNUMBER(SEARCH("秀图",K410)),"【秀图】"&amp;MID(K410,SEARCH("秀图",K410)+LEN("秀图"),LEN(K410)),"")))),IFERROR(LEFT(_xlpm.A,FIND("【",_xlpm.A,FIND("】",_xlpm.A)+1)-1)&amp;MID(_xlpm.A,FIND("】",_xlpm.A,FIND("】",_xlpm.A)+1)+1,LEN(_xlpm.A)),_xlpm.A))</f>
        <v/>
      </c>
      <c r="G410" s="18" t="str">
        <f>_xlfn.LET(_xlpm.A,IF(ISNUMBER(SEARCH("晒单",L410)),"【晒单】"&amp;MID(L410,SEARCH("晒单",L410)+LEN("晒单"),LEN(L410))&amp;"（需晒单后联系客服登记）",IF(ISNUMBER(SEARCH("包修",L410)),"【购机】"&amp;MID(L410,SEARCH("购机",L410)+LEN("购机"),LEN(L410)),IF(ISNUMBER(SEARCH("叠放支架",L410)),"【赠品】"&amp;MID(L410,SEARCH("购机",L410)+LEN("购机"),LEN(L410)),IF(ISNUMBER(SEARCH("秀图",L410)),"【秀图】"&amp;MID(L410,SEARCH("秀图",L410)+LEN("秀图"),LEN(L410)),"")))),IFERROR(LEFT(_xlpm.A,FIND("【",_xlpm.A,FIND("】",_xlpm.A)+1)-1)&amp;MID(_xlpm.A,FIND("】",_xlpm.A,FIND("】",_xlpm.A)+1)+1,LEN(_xlpm.A)),_xlpm.A))</f>
        <v/>
      </c>
      <c r="H410" s="18" t="str">
        <f>_xlfn.LET(_xlpm.A,IF(ISNUMBER(SEARCH("晒单",M410)),"【晒单】"&amp;MID(M410,SEARCH("晒单",M410)+LEN("晒单"),LEN(M410))&amp;"（需晒单后联系客服登记）",IF(ISNUMBER(SEARCH("包修",M410)),"【购机】"&amp;MID(M410,SEARCH("购机",M410)+LEN("购机"),LEN(M410)),IF(ISNUMBER(SEARCH("叠放支架",M410)),"【赠品】"&amp;MID(M410,SEARCH("购机",M410)+LEN("购机"),LEN(M410)),IF(ISNUMBER(SEARCH("秀图",M410)),"【秀图】"&amp;MID(M410,SEARCH("秀图",M410)+LEN("秀图"),LEN(M410)),"")))),IFERROR(LEFT(_xlpm.A,FIND("【",_xlpm.A,FIND("】",_xlpm.A)+1)-1)&amp;MID(_xlpm.A,FIND("】",_xlpm.A,FIND("】",_xlpm.A)+1)+1,LEN(_xlpm.A)),_xlpm.A))</f>
        <v/>
      </c>
      <c r="I410" s="18" t="str">
        <f>_xlfn.LET(_xlpm.A,IF(ISNUMBER(SEARCH("晒单",N410)),"【晒单】"&amp;MID(N410,SEARCH("晒单",N410)+LEN("晒单"),LEN(N410))&amp;"（需晒单后联系客服登记）",IF(ISNUMBER(SEARCH("包修",N410)),"【购机】"&amp;MID(N410,SEARCH("购机",N410)+LEN("购机"),LEN(N410)),IF(ISNUMBER(SEARCH("叠放支架",N410)),"【赠品】"&amp;MID(N410,SEARCH("购机",N410)+LEN("购机"),LEN(N410)),IF(ISNUMBER(SEARCH("秀图",N410)),"【秀图】"&amp;MID(N410,SEARCH("秀图",N410)+LEN("秀图"),LEN(N410)),"")))),IFERROR(LEFT(_xlpm.A,FIND("【",_xlpm.A,FIND("】",_xlpm.A)+1)-1)&amp;MID(_xlpm.A,FIND("】",_xlpm.A,FIND("】",_xlpm.A)+1)+1,LEN(_xlpm.A)),_xlpm.A))</f>
        <v/>
      </c>
      <c r="J410" s="18" t="str" cm="1">
        <f t="array" ref="J410">IFERROR(INDEX(_xlfn.TEXTSPLIT(_xlfn.XLOOKUP($A410&amp;$B410&amp;$C410,盘货信息!$A:$A&amp;盘货信息!$B:$B&amp;盘货信息!$C:$C,盘货信息!$S:$S),CHAR(10),,TRUE),1,COLUMN(A409)),"")</f>
        <v/>
      </c>
      <c r="K410" s="18" t="str" cm="1">
        <f t="array" ref="K410">IFERROR(INDEX(_xlfn.TEXTSPLIT(_xlfn.XLOOKUP($A410&amp;$B410&amp;$C410,盘货信息!$A:$A&amp;盘货信息!$B:$B&amp;盘货信息!$C:$C,盘货信息!$S:$S),CHAR(10),,TRUE),1,COLUMN(B409)),"")</f>
        <v/>
      </c>
      <c r="L410" s="18" t="str" cm="1">
        <f t="array" ref="L410">IFERROR(INDEX(_xlfn.TEXTSPLIT(_xlfn.XLOOKUP($A410&amp;$B410&amp;$C410,盘货信息!$A:$A&amp;盘货信息!$B:$B&amp;盘货信息!$C:$C,盘货信息!$S:$S),CHAR(10),,TRUE),1,COLUMN(C409)),"")</f>
        <v/>
      </c>
      <c r="M410" s="18" t="str" cm="1">
        <f t="array" ref="M410">IFERROR(INDEX(_xlfn.TEXTSPLIT(_xlfn.XLOOKUP($A410&amp;$B410&amp;$C410,盘货信息!$A:$A&amp;盘货信息!$B:$B&amp;盘货信息!$C:$C,盘货信息!$S:$S),CHAR(10),,TRUE),1,COLUMN(D409)),"")</f>
        <v/>
      </c>
      <c r="N410" s="18" t="str" cm="1">
        <f t="array" ref="N410">IFERROR(INDEX(_xlfn.TEXTSPLIT(_xlfn.XLOOKUP($A410&amp;$B410&amp;$C410,盘货信息!$A:$A&amp;盘货信息!$B:$B&amp;盘货信息!$C:$C,盘货信息!$S:$S),CHAR(10),,TRUE),1,COLUMN(E409)),"")</f>
        <v/>
      </c>
    </row>
    <row r="411" customHeight="1" spans="1:14">
      <c r="A411" s="17" t="str">
        <f>IF(盘货信息!A411="","",盘货信息!A411)</f>
        <v/>
      </c>
      <c r="B411" s="17" t="str">
        <f>IF(盘货信息!B411="","",盘货信息!B411)</f>
        <v/>
      </c>
      <c r="C411" s="18" t="str">
        <f>IF(盘货信息!C411="","",盘货信息!C411)</f>
        <v/>
      </c>
      <c r="D411" s="18" t="str">
        <f t="shared" si="6"/>
        <v/>
      </c>
      <c r="E411" s="18" t="str">
        <f>_xlfn.LET(_xlpm.A,IF(ISNUMBER(SEARCH("晒单",J411)),"【晒单】"&amp;MID(J411,SEARCH("晒单",J411)+LEN("晒单"),LEN(J411))&amp;"（需晒单后联系客服登记）",IF(ISNUMBER(SEARCH("包修",J411)),"【购机】"&amp;MID(J411,SEARCH("购机",J411)+LEN("购机"),LEN(J411)),IF(ISNUMBER(SEARCH("叠放支架",J411)),"【赠品】"&amp;MID(J411,SEARCH("购机",J411)+LEN("购机"),LEN(J411)),IF(ISNUMBER(SEARCH("秀图",J411)),"【秀图】"&amp;MID(J411,SEARCH("秀图",J411)+LEN("秀图"),LEN(J411)),"")))),IFERROR(LEFT(_xlpm.A,FIND("【",_xlpm.A,FIND("】",_xlpm.A)+1)-1)&amp;MID(_xlpm.A,FIND("】",_xlpm.A,FIND("】",_xlpm.A)+1)+1,LEN(_xlpm.A)),_xlpm.A))</f>
        <v/>
      </c>
      <c r="F411" s="18" t="str">
        <f>_xlfn.LET(_xlpm.A,IF(ISNUMBER(SEARCH("晒单",K411)),"【晒单】"&amp;MID(K411,SEARCH("晒单",K411)+LEN("晒单"),LEN(K411))&amp;"（需晒单后联系客服登记）",IF(ISNUMBER(SEARCH("包修",K411)),"【购机】"&amp;MID(K411,SEARCH("购机",K411)+LEN("购机"),LEN(K411)),IF(ISNUMBER(SEARCH("叠放支架",K411)),"【赠品】"&amp;MID(K411,SEARCH("购机",K411)+LEN("购机"),LEN(K411)),IF(ISNUMBER(SEARCH("秀图",K411)),"【秀图】"&amp;MID(K411,SEARCH("秀图",K411)+LEN("秀图"),LEN(K411)),"")))),IFERROR(LEFT(_xlpm.A,FIND("【",_xlpm.A,FIND("】",_xlpm.A)+1)-1)&amp;MID(_xlpm.A,FIND("】",_xlpm.A,FIND("】",_xlpm.A)+1)+1,LEN(_xlpm.A)),_xlpm.A))</f>
        <v/>
      </c>
      <c r="G411" s="18" t="str">
        <f>_xlfn.LET(_xlpm.A,IF(ISNUMBER(SEARCH("晒单",L411)),"【晒单】"&amp;MID(L411,SEARCH("晒单",L411)+LEN("晒单"),LEN(L411))&amp;"（需晒单后联系客服登记）",IF(ISNUMBER(SEARCH("包修",L411)),"【购机】"&amp;MID(L411,SEARCH("购机",L411)+LEN("购机"),LEN(L411)),IF(ISNUMBER(SEARCH("叠放支架",L411)),"【赠品】"&amp;MID(L411,SEARCH("购机",L411)+LEN("购机"),LEN(L411)),IF(ISNUMBER(SEARCH("秀图",L411)),"【秀图】"&amp;MID(L411,SEARCH("秀图",L411)+LEN("秀图"),LEN(L411)),"")))),IFERROR(LEFT(_xlpm.A,FIND("【",_xlpm.A,FIND("】",_xlpm.A)+1)-1)&amp;MID(_xlpm.A,FIND("】",_xlpm.A,FIND("】",_xlpm.A)+1)+1,LEN(_xlpm.A)),_xlpm.A))</f>
        <v/>
      </c>
      <c r="H411" s="18" t="str">
        <f>_xlfn.LET(_xlpm.A,IF(ISNUMBER(SEARCH("晒单",M411)),"【晒单】"&amp;MID(M411,SEARCH("晒单",M411)+LEN("晒单"),LEN(M411))&amp;"（需晒单后联系客服登记）",IF(ISNUMBER(SEARCH("包修",M411)),"【购机】"&amp;MID(M411,SEARCH("购机",M411)+LEN("购机"),LEN(M411)),IF(ISNUMBER(SEARCH("叠放支架",M411)),"【赠品】"&amp;MID(M411,SEARCH("购机",M411)+LEN("购机"),LEN(M411)),IF(ISNUMBER(SEARCH("秀图",M411)),"【秀图】"&amp;MID(M411,SEARCH("秀图",M411)+LEN("秀图"),LEN(M411)),"")))),IFERROR(LEFT(_xlpm.A,FIND("【",_xlpm.A,FIND("】",_xlpm.A)+1)-1)&amp;MID(_xlpm.A,FIND("】",_xlpm.A,FIND("】",_xlpm.A)+1)+1,LEN(_xlpm.A)),_xlpm.A))</f>
        <v/>
      </c>
      <c r="I411" s="18" t="str">
        <f>_xlfn.LET(_xlpm.A,IF(ISNUMBER(SEARCH("晒单",N411)),"【晒单】"&amp;MID(N411,SEARCH("晒单",N411)+LEN("晒单"),LEN(N411))&amp;"（需晒单后联系客服登记）",IF(ISNUMBER(SEARCH("包修",N411)),"【购机】"&amp;MID(N411,SEARCH("购机",N411)+LEN("购机"),LEN(N411)),IF(ISNUMBER(SEARCH("叠放支架",N411)),"【赠品】"&amp;MID(N411,SEARCH("购机",N411)+LEN("购机"),LEN(N411)),IF(ISNUMBER(SEARCH("秀图",N411)),"【秀图】"&amp;MID(N411,SEARCH("秀图",N411)+LEN("秀图"),LEN(N411)),"")))),IFERROR(LEFT(_xlpm.A,FIND("【",_xlpm.A,FIND("】",_xlpm.A)+1)-1)&amp;MID(_xlpm.A,FIND("】",_xlpm.A,FIND("】",_xlpm.A)+1)+1,LEN(_xlpm.A)),_xlpm.A))</f>
        <v/>
      </c>
      <c r="J411" s="18" t="str" cm="1">
        <f t="array" ref="J411">IFERROR(INDEX(_xlfn.TEXTSPLIT(_xlfn.XLOOKUP($A411&amp;$B411&amp;$C411,盘货信息!$A:$A&amp;盘货信息!$B:$B&amp;盘货信息!$C:$C,盘货信息!$S:$S),CHAR(10),,TRUE),1,COLUMN(A410)),"")</f>
        <v/>
      </c>
      <c r="K411" s="18" t="str" cm="1">
        <f t="array" ref="K411">IFERROR(INDEX(_xlfn.TEXTSPLIT(_xlfn.XLOOKUP($A411&amp;$B411&amp;$C411,盘货信息!$A:$A&amp;盘货信息!$B:$B&amp;盘货信息!$C:$C,盘货信息!$S:$S),CHAR(10),,TRUE),1,COLUMN(B410)),"")</f>
        <v/>
      </c>
      <c r="L411" s="18" t="str" cm="1">
        <f t="array" ref="L411">IFERROR(INDEX(_xlfn.TEXTSPLIT(_xlfn.XLOOKUP($A411&amp;$B411&amp;$C411,盘货信息!$A:$A&amp;盘货信息!$B:$B&amp;盘货信息!$C:$C,盘货信息!$S:$S),CHAR(10),,TRUE),1,COLUMN(C410)),"")</f>
        <v/>
      </c>
      <c r="M411" s="18" t="str" cm="1">
        <f t="array" ref="M411">IFERROR(INDEX(_xlfn.TEXTSPLIT(_xlfn.XLOOKUP($A411&amp;$B411&amp;$C411,盘货信息!$A:$A&amp;盘货信息!$B:$B&amp;盘货信息!$C:$C,盘货信息!$S:$S),CHAR(10),,TRUE),1,COLUMN(D410)),"")</f>
        <v/>
      </c>
      <c r="N411" s="18" t="str" cm="1">
        <f t="array" ref="N411">IFERROR(INDEX(_xlfn.TEXTSPLIT(_xlfn.XLOOKUP($A411&amp;$B411&amp;$C411,盘货信息!$A:$A&amp;盘货信息!$B:$B&amp;盘货信息!$C:$C,盘货信息!$S:$S),CHAR(10),,TRUE),1,COLUMN(E410)),"")</f>
        <v/>
      </c>
    </row>
    <row r="412" customHeight="1" spans="1:14">
      <c r="A412" s="17" t="str">
        <f>IF(盘货信息!A412="","",盘货信息!A412)</f>
        <v/>
      </c>
      <c r="B412" s="17" t="str">
        <f>IF(盘货信息!B412="","",盘货信息!B412)</f>
        <v/>
      </c>
      <c r="C412" s="18" t="str">
        <f>IF(盘货信息!C412="","",盘货信息!C412)</f>
        <v/>
      </c>
      <c r="D412" s="18" t="str">
        <f t="shared" si="6"/>
        <v/>
      </c>
      <c r="E412" s="18" t="str">
        <f>_xlfn.LET(_xlpm.A,IF(ISNUMBER(SEARCH("晒单",J412)),"【晒单】"&amp;MID(J412,SEARCH("晒单",J412)+LEN("晒单"),LEN(J412))&amp;"（需晒单后联系客服登记）",IF(ISNUMBER(SEARCH("包修",J412)),"【购机】"&amp;MID(J412,SEARCH("购机",J412)+LEN("购机"),LEN(J412)),IF(ISNUMBER(SEARCH("叠放支架",J412)),"【赠品】"&amp;MID(J412,SEARCH("购机",J412)+LEN("购机"),LEN(J412)),IF(ISNUMBER(SEARCH("秀图",J412)),"【秀图】"&amp;MID(J412,SEARCH("秀图",J412)+LEN("秀图"),LEN(J412)),"")))),IFERROR(LEFT(_xlpm.A,FIND("【",_xlpm.A,FIND("】",_xlpm.A)+1)-1)&amp;MID(_xlpm.A,FIND("】",_xlpm.A,FIND("】",_xlpm.A)+1)+1,LEN(_xlpm.A)),_xlpm.A))</f>
        <v/>
      </c>
      <c r="F412" s="18" t="str">
        <f>_xlfn.LET(_xlpm.A,IF(ISNUMBER(SEARCH("晒单",K412)),"【晒单】"&amp;MID(K412,SEARCH("晒单",K412)+LEN("晒单"),LEN(K412))&amp;"（需晒单后联系客服登记）",IF(ISNUMBER(SEARCH("包修",K412)),"【购机】"&amp;MID(K412,SEARCH("购机",K412)+LEN("购机"),LEN(K412)),IF(ISNUMBER(SEARCH("叠放支架",K412)),"【赠品】"&amp;MID(K412,SEARCH("购机",K412)+LEN("购机"),LEN(K412)),IF(ISNUMBER(SEARCH("秀图",K412)),"【秀图】"&amp;MID(K412,SEARCH("秀图",K412)+LEN("秀图"),LEN(K412)),"")))),IFERROR(LEFT(_xlpm.A,FIND("【",_xlpm.A,FIND("】",_xlpm.A)+1)-1)&amp;MID(_xlpm.A,FIND("】",_xlpm.A,FIND("】",_xlpm.A)+1)+1,LEN(_xlpm.A)),_xlpm.A))</f>
        <v/>
      </c>
      <c r="G412" s="18" t="str">
        <f>_xlfn.LET(_xlpm.A,IF(ISNUMBER(SEARCH("晒单",L412)),"【晒单】"&amp;MID(L412,SEARCH("晒单",L412)+LEN("晒单"),LEN(L412))&amp;"（需晒单后联系客服登记）",IF(ISNUMBER(SEARCH("包修",L412)),"【购机】"&amp;MID(L412,SEARCH("购机",L412)+LEN("购机"),LEN(L412)),IF(ISNUMBER(SEARCH("叠放支架",L412)),"【赠品】"&amp;MID(L412,SEARCH("购机",L412)+LEN("购机"),LEN(L412)),IF(ISNUMBER(SEARCH("秀图",L412)),"【秀图】"&amp;MID(L412,SEARCH("秀图",L412)+LEN("秀图"),LEN(L412)),"")))),IFERROR(LEFT(_xlpm.A,FIND("【",_xlpm.A,FIND("】",_xlpm.A)+1)-1)&amp;MID(_xlpm.A,FIND("】",_xlpm.A,FIND("】",_xlpm.A)+1)+1,LEN(_xlpm.A)),_xlpm.A))</f>
        <v/>
      </c>
      <c r="H412" s="18" t="str">
        <f>_xlfn.LET(_xlpm.A,IF(ISNUMBER(SEARCH("晒单",M412)),"【晒单】"&amp;MID(M412,SEARCH("晒单",M412)+LEN("晒单"),LEN(M412))&amp;"（需晒单后联系客服登记）",IF(ISNUMBER(SEARCH("包修",M412)),"【购机】"&amp;MID(M412,SEARCH("购机",M412)+LEN("购机"),LEN(M412)),IF(ISNUMBER(SEARCH("叠放支架",M412)),"【赠品】"&amp;MID(M412,SEARCH("购机",M412)+LEN("购机"),LEN(M412)),IF(ISNUMBER(SEARCH("秀图",M412)),"【秀图】"&amp;MID(M412,SEARCH("秀图",M412)+LEN("秀图"),LEN(M412)),"")))),IFERROR(LEFT(_xlpm.A,FIND("【",_xlpm.A,FIND("】",_xlpm.A)+1)-1)&amp;MID(_xlpm.A,FIND("】",_xlpm.A,FIND("】",_xlpm.A)+1)+1,LEN(_xlpm.A)),_xlpm.A))</f>
        <v/>
      </c>
      <c r="I412" s="18" t="str">
        <f>_xlfn.LET(_xlpm.A,IF(ISNUMBER(SEARCH("晒单",N412)),"【晒单】"&amp;MID(N412,SEARCH("晒单",N412)+LEN("晒单"),LEN(N412))&amp;"（需晒单后联系客服登记）",IF(ISNUMBER(SEARCH("包修",N412)),"【购机】"&amp;MID(N412,SEARCH("购机",N412)+LEN("购机"),LEN(N412)),IF(ISNUMBER(SEARCH("叠放支架",N412)),"【赠品】"&amp;MID(N412,SEARCH("购机",N412)+LEN("购机"),LEN(N412)),IF(ISNUMBER(SEARCH("秀图",N412)),"【秀图】"&amp;MID(N412,SEARCH("秀图",N412)+LEN("秀图"),LEN(N412)),"")))),IFERROR(LEFT(_xlpm.A,FIND("【",_xlpm.A,FIND("】",_xlpm.A)+1)-1)&amp;MID(_xlpm.A,FIND("】",_xlpm.A,FIND("】",_xlpm.A)+1)+1,LEN(_xlpm.A)),_xlpm.A))</f>
        <v/>
      </c>
      <c r="J412" s="18" t="str" cm="1">
        <f t="array" ref="J412">IFERROR(INDEX(_xlfn.TEXTSPLIT(_xlfn.XLOOKUP($A412&amp;$B412&amp;$C412,盘货信息!$A:$A&amp;盘货信息!$B:$B&amp;盘货信息!$C:$C,盘货信息!$S:$S),CHAR(10),,TRUE),1,COLUMN(A411)),"")</f>
        <v/>
      </c>
      <c r="K412" s="18" t="str" cm="1">
        <f t="array" ref="K412">IFERROR(INDEX(_xlfn.TEXTSPLIT(_xlfn.XLOOKUP($A412&amp;$B412&amp;$C412,盘货信息!$A:$A&amp;盘货信息!$B:$B&amp;盘货信息!$C:$C,盘货信息!$S:$S),CHAR(10),,TRUE),1,COLUMN(B411)),"")</f>
        <v/>
      </c>
      <c r="L412" s="18" t="str" cm="1">
        <f t="array" ref="L412">IFERROR(INDEX(_xlfn.TEXTSPLIT(_xlfn.XLOOKUP($A412&amp;$B412&amp;$C412,盘货信息!$A:$A&amp;盘货信息!$B:$B&amp;盘货信息!$C:$C,盘货信息!$S:$S),CHAR(10),,TRUE),1,COLUMN(C411)),"")</f>
        <v/>
      </c>
      <c r="M412" s="18" t="str" cm="1">
        <f t="array" ref="M412">IFERROR(INDEX(_xlfn.TEXTSPLIT(_xlfn.XLOOKUP($A412&amp;$B412&amp;$C412,盘货信息!$A:$A&amp;盘货信息!$B:$B&amp;盘货信息!$C:$C,盘货信息!$S:$S),CHAR(10),,TRUE),1,COLUMN(D411)),"")</f>
        <v/>
      </c>
      <c r="N412" s="18" t="str" cm="1">
        <f t="array" ref="N412">IFERROR(INDEX(_xlfn.TEXTSPLIT(_xlfn.XLOOKUP($A412&amp;$B412&amp;$C412,盘货信息!$A:$A&amp;盘货信息!$B:$B&amp;盘货信息!$C:$C,盘货信息!$S:$S),CHAR(10),,TRUE),1,COLUMN(E411)),"")</f>
        <v/>
      </c>
    </row>
    <row r="413" customHeight="1" spans="1:14">
      <c r="A413" s="17" t="str">
        <f>IF(盘货信息!A413="","",盘货信息!A413)</f>
        <v/>
      </c>
      <c r="B413" s="17" t="str">
        <f>IF(盘货信息!B413="","",盘货信息!B413)</f>
        <v/>
      </c>
      <c r="C413" s="18" t="str">
        <f>IF(盘货信息!C413="","",盘货信息!C413)</f>
        <v/>
      </c>
      <c r="D413" s="18" t="str">
        <f t="shared" si="6"/>
        <v/>
      </c>
      <c r="E413" s="18" t="str">
        <f>_xlfn.LET(_xlpm.A,IF(ISNUMBER(SEARCH("晒单",J413)),"【晒单】"&amp;MID(J413,SEARCH("晒单",J413)+LEN("晒单"),LEN(J413))&amp;"（需晒单后联系客服登记）",IF(ISNUMBER(SEARCH("包修",J413)),"【购机】"&amp;MID(J413,SEARCH("购机",J413)+LEN("购机"),LEN(J413)),IF(ISNUMBER(SEARCH("叠放支架",J413)),"【赠品】"&amp;MID(J413,SEARCH("购机",J413)+LEN("购机"),LEN(J413)),IF(ISNUMBER(SEARCH("秀图",J413)),"【秀图】"&amp;MID(J413,SEARCH("秀图",J413)+LEN("秀图"),LEN(J413)),"")))),IFERROR(LEFT(_xlpm.A,FIND("【",_xlpm.A,FIND("】",_xlpm.A)+1)-1)&amp;MID(_xlpm.A,FIND("】",_xlpm.A,FIND("】",_xlpm.A)+1)+1,LEN(_xlpm.A)),_xlpm.A))</f>
        <v/>
      </c>
      <c r="F413" s="18" t="str">
        <f>_xlfn.LET(_xlpm.A,IF(ISNUMBER(SEARCH("晒单",K413)),"【晒单】"&amp;MID(K413,SEARCH("晒单",K413)+LEN("晒单"),LEN(K413))&amp;"（需晒单后联系客服登记）",IF(ISNUMBER(SEARCH("包修",K413)),"【购机】"&amp;MID(K413,SEARCH("购机",K413)+LEN("购机"),LEN(K413)),IF(ISNUMBER(SEARCH("叠放支架",K413)),"【赠品】"&amp;MID(K413,SEARCH("购机",K413)+LEN("购机"),LEN(K413)),IF(ISNUMBER(SEARCH("秀图",K413)),"【秀图】"&amp;MID(K413,SEARCH("秀图",K413)+LEN("秀图"),LEN(K413)),"")))),IFERROR(LEFT(_xlpm.A,FIND("【",_xlpm.A,FIND("】",_xlpm.A)+1)-1)&amp;MID(_xlpm.A,FIND("】",_xlpm.A,FIND("】",_xlpm.A)+1)+1,LEN(_xlpm.A)),_xlpm.A))</f>
        <v/>
      </c>
      <c r="G413" s="18" t="str">
        <f>_xlfn.LET(_xlpm.A,IF(ISNUMBER(SEARCH("晒单",L413)),"【晒单】"&amp;MID(L413,SEARCH("晒单",L413)+LEN("晒单"),LEN(L413))&amp;"（需晒单后联系客服登记）",IF(ISNUMBER(SEARCH("包修",L413)),"【购机】"&amp;MID(L413,SEARCH("购机",L413)+LEN("购机"),LEN(L413)),IF(ISNUMBER(SEARCH("叠放支架",L413)),"【赠品】"&amp;MID(L413,SEARCH("购机",L413)+LEN("购机"),LEN(L413)),IF(ISNUMBER(SEARCH("秀图",L413)),"【秀图】"&amp;MID(L413,SEARCH("秀图",L413)+LEN("秀图"),LEN(L413)),"")))),IFERROR(LEFT(_xlpm.A,FIND("【",_xlpm.A,FIND("】",_xlpm.A)+1)-1)&amp;MID(_xlpm.A,FIND("】",_xlpm.A,FIND("】",_xlpm.A)+1)+1,LEN(_xlpm.A)),_xlpm.A))</f>
        <v/>
      </c>
      <c r="H413" s="18" t="str">
        <f>_xlfn.LET(_xlpm.A,IF(ISNUMBER(SEARCH("晒单",M413)),"【晒单】"&amp;MID(M413,SEARCH("晒单",M413)+LEN("晒单"),LEN(M413))&amp;"（需晒单后联系客服登记）",IF(ISNUMBER(SEARCH("包修",M413)),"【购机】"&amp;MID(M413,SEARCH("购机",M413)+LEN("购机"),LEN(M413)),IF(ISNUMBER(SEARCH("叠放支架",M413)),"【赠品】"&amp;MID(M413,SEARCH("购机",M413)+LEN("购机"),LEN(M413)),IF(ISNUMBER(SEARCH("秀图",M413)),"【秀图】"&amp;MID(M413,SEARCH("秀图",M413)+LEN("秀图"),LEN(M413)),"")))),IFERROR(LEFT(_xlpm.A,FIND("【",_xlpm.A,FIND("】",_xlpm.A)+1)-1)&amp;MID(_xlpm.A,FIND("】",_xlpm.A,FIND("】",_xlpm.A)+1)+1,LEN(_xlpm.A)),_xlpm.A))</f>
        <v/>
      </c>
      <c r="I413" s="18" t="str">
        <f>_xlfn.LET(_xlpm.A,IF(ISNUMBER(SEARCH("晒单",N413)),"【晒单】"&amp;MID(N413,SEARCH("晒单",N413)+LEN("晒单"),LEN(N413))&amp;"（需晒单后联系客服登记）",IF(ISNUMBER(SEARCH("包修",N413)),"【购机】"&amp;MID(N413,SEARCH("购机",N413)+LEN("购机"),LEN(N413)),IF(ISNUMBER(SEARCH("叠放支架",N413)),"【赠品】"&amp;MID(N413,SEARCH("购机",N413)+LEN("购机"),LEN(N413)),IF(ISNUMBER(SEARCH("秀图",N413)),"【秀图】"&amp;MID(N413,SEARCH("秀图",N413)+LEN("秀图"),LEN(N413)),"")))),IFERROR(LEFT(_xlpm.A,FIND("【",_xlpm.A,FIND("】",_xlpm.A)+1)-1)&amp;MID(_xlpm.A,FIND("】",_xlpm.A,FIND("】",_xlpm.A)+1)+1,LEN(_xlpm.A)),_xlpm.A))</f>
        <v/>
      </c>
      <c r="J413" s="18" t="str" cm="1">
        <f t="array" ref="J413">IFERROR(INDEX(_xlfn.TEXTSPLIT(_xlfn.XLOOKUP($A413&amp;$B413&amp;$C413,盘货信息!$A:$A&amp;盘货信息!$B:$B&amp;盘货信息!$C:$C,盘货信息!$S:$S),CHAR(10),,TRUE),1,COLUMN(A412)),"")</f>
        <v/>
      </c>
      <c r="K413" s="18" t="str" cm="1">
        <f t="array" ref="K413">IFERROR(INDEX(_xlfn.TEXTSPLIT(_xlfn.XLOOKUP($A413&amp;$B413&amp;$C413,盘货信息!$A:$A&amp;盘货信息!$B:$B&amp;盘货信息!$C:$C,盘货信息!$S:$S),CHAR(10),,TRUE),1,COLUMN(B412)),"")</f>
        <v/>
      </c>
      <c r="L413" s="18" t="str" cm="1">
        <f t="array" ref="L413">IFERROR(INDEX(_xlfn.TEXTSPLIT(_xlfn.XLOOKUP($A413&amp;$B413&amp;$C413,盘货信息!$A:$A&amp;盘货信息!$B:$B&amp;盘货信息!$C:$C,盘货信息!$S:$S),CHAR(10),,TRUE),1,COLUMN(C412)),"")</f>
        <v/>
      </c>
      <c r="M413" s="18" t="str" cm="1">
        <f t="array" ref="M413">IFERROR(INDEX(_xlfn.TEXTSPLIT(_xlfn.XLOOKUP($A413&amp;$B413&amp;$C413,盘货信息!$A:$A&amp;盘货信息!$B:$B&amp;盘货信息!$C:$C,盘货信息!$S:$S),CHAR(10),,TRUE),1,COLUMN(D412)),"")</f>
        <v/>
      </c>
      <c r="N413" s="18" t="str" cm="1">
        <f t="array" ref="N413">IFERROR(INDEX(_xlfn.TEXTSPLIT(_xlfn.XLOOKUP($A413&amp;$B413&amp;$C413,盘货信息!$A:$A&amp;盘货信息!$B:$B&amp;盘货信息!$C:$C,盘货信息!$S:$S),CHAR(10),,TRUE),1,COLUMN(E412)),"")</f>
        <v/>
      </c>
    </row>
    <row r="414" customHeight="1" spans="1:14">
      <c r="A414" s="17" t="str">
        <f>IF(盘货信息!A414="","",盘货信息!A414)</f>
        <v/>
      </c>
      <c r="B414" s="17" t="str">
        <f>IF(盘货信息!B414="","",盘货信息!B414)</f>
        <v/>
      </c>
      <c r="C414" s="18" t="str">
        <f>IF(盘货信息!C414="","",盘货信息!C414)</f>
        <v/>
      </c>
      <c r="D414" s="18" t="str">
        <f t="shared" si="6"/>
        <v/>
      </c>
      <c r="E414" s="18" t="str">
        <f>_xlfn.LET(_xlpm.A,IF(ISNUMBER(SEARCH("晒单",J414)),"【晒单】"&amp;MID(J414,SEARCH("晒单",J414)+LEN("晒单"),LEN(J414))&amp;"（需晒单后联系客服登记）",IF(ISNUMBER(SEARCH("包修",J414)),"【购机】"&amp;MID(J414,SEARCH("购机",J414)+LEN("购机"),LEN(J414)),IF(ISNUMBER(SEARCH("叠放支架",J414)),"【赠品】"&amp;MID(J414,SEARCH("购机",J414)+LEN("购机"),LEN(J414)),IF(ISNUMBER(SEARCH("秀图",J414)),"【秀图】"&amp;MID(J414,SEARCH("秀图",J414)+LEN("秀图"),LEN(J414)),"")))),IFERROR(LEFT(_xlpm.A,FIND("【",_xlpm.A,FIND("】",_xlpm.A)+1)-1)&amp;MID(_xlpm.A,FIND("】",_xlpm.A,FIND("】",_xlpm.A)+1)+1,LEN(_xlpm.A)),_xlpm.A))</f>
        <v/>
      </c>
      <c r="F414" s="18" t="str">
        <f>_xlfn.LET(_xlpm.A,IF(ISNUMBER(SEARCH("晒单",K414)),"【晒单】"&amp;MID(K414,SEARCH("晒单",K414)+LEN("晒单"),LEN(K414))&amp;"（需晒单后联系客服登记）",IF(ISNUMBER(SEARCH("包修",K414)),"【购机】"&amp;MID(K414,SEARCH("购机",K414)+LEN("购机"),LEN(K414)),IF(ISNUMBER(SEARCH("叠放支架",K414)),"【赠品】"&amp;MID(K414,SEARCH("购机",K414)+LEN("购机"),LEN(K414)),IF(ISNUMBER(SEARCH("秀图",K414)),"【秀图】"&amp;MID(K414,SEARCH("秀图",K414)+LEN("秀图"),LEN(K414)),"")))),IFERROR(LEFT(_xlpm.A,FIND("【",_xlpm.A,FIND("】",_xlpm.A)+1)-1)&amp;MID(_xlpm.A,FIND("】",_xlpm.A,FIND("】",_xlpm.A)+1)+1,LEN(_xlpm.A)),_xlpm.A))</f>
        <v/>
      </c>
      <c r="G414" s="18" t="str">
        <f>_xlfn.LET(_xlpm.A,IF(ISNUMBER(SEARCH("晒单",L414)),"【晒单】"&amp;MID(L414,SEARCH("晒单",L414)+LEN("晒单"),LEN(L414))&amp;"（需晒单后联系客服登记）",IF(ISNUMBER(SEARCH("包修",L414)),"【购机】"&amp;MID(L414,SEARCH("购机",L414)+LEN("购机"),LEN(L414)),IF(ISNUMBER(SEARCH("叠放支架",L414)),"【赠品】"&amp;MID(L414,SEARCH("购机",L414)+LEN("购机"),LEN(L414)),IF(ISNUMBER(SEARCH("秀图",L414)),"【秀图】"&amp;MID(L414,SEARCH("秀图",L414)+LEN("秀图"),LEN(L414)),"")))),IFERROR(LEFT(_xlpm.A,FIND("【",_xlpm.A,FIND("】",_xlpm.A)+1)-1)&amp;MID(_xlpm.A,FIND("】",_xlpm.A,FIND("】",_xlpm.A)+1)+1,LEN(_xlpm.A)),_xlpm.A))</f>
        <v/>
      </c>
      <c r="H414" s="18" t="str">
        <f>_xlfn.LET(_xlpm.A,IF(ISNUMBER(SEARCH("晒单",M414)),"【晒单】"&amp;MID(M414,SEARCH("晒单",M414)+LEN("晒单"),LEN(M414))&amp;"（需晒单后联系客服登记）",IF(ISNUMBER(SEARCH("包修",M414)),"【购机】"&amp;MID(M414,SEARCH("购机",M414)+LEN("购机"),LEN(M414)),IF(ISNUMBER(SEARCH("叠放支架",M414)),"【赠品】"&amp;MID(M414,SEARCH("购机",M414)+LEN("购机"),LEN(M414)),IF(ISNUMBER(SEARCH("秀图",M414)),"【秀图】"&amp;MID(M414,SEARCH("秀图",M414)+LEN("秀图"),LEN(M414)),"")))),IFERROR(LEFT(_xlpm.A,FIND("【",_xlpm.A,FIND("】",_xlpm.A)+1)-1)&amp;MID(_xlpm.A,FIND("】",_xlpm.A,FIND("】",_xlpm.A)+1)+1,LEN(_xlpm.A)),_xlpm.A))</f>
        <v/>
      </c>
      <c r="I414" s="18" t="str">
        <f>_xlfn.LET(_xlpm.A,IF(ISNUMBER(SEARCH("晒单",N414)),"【晒单】"&amp;MID(N414,SEARCH("晒单",N414)+LEN("晒单"),LEN(N414))&amp;"（需晒单后联系客服登记）",IF(ISNUMBER(SEARCH("包修",N414)),"【购机】"&amp;MID(N414,SEARCH("购机",N414)+LEN("购机"),LEN(N414)),IF(ISNUMBER(SEARCH("叠放支架",N414)),"【赠品】"&amp;MID(N414,SEARCH("购机",N414)+LEN("购机"),LEN(N414)),IF(ISNUMBER(SEARCH("秀图",N414)),"【秀图】"&amp;MID(N414,SEARCH("秀图",N414)+LEN("秀图"),LEN(N414)),"")))),IFERROR(LEFT(_xlpm.A,FIND("【",_xlpm.A,FIND("】",_xlpm.A)+1)-1)&amp;MID(_xlpm.A,FIND("】",_xlpm.A,FIND("】",_xlpm.A)+1)+1,LEN(_xlpm.A)),_xlpm.A))</f>
        <v/>
      </c>
      <c r="J414" s="18" t="str" cm="1">
        <f t="array" ref="J414">IFERROR(INDEX(_xlfn.TEXTSPLIT(_xlfn.XLOOKUP($A414&amp;$B414&amp;$C414,盘货信息!$A:$A&amp;盘货信息!$B:$B&amp;盘货信息!$C:$C,盘货信息!$S:$S),CHAR(10),,TRUE),1,COLUMN(A413)),"")</f>
        <v/>
      </c>
      <c r="K414" s="18" t="str" cm="1">
        <f t="array" ref="K414">IFERROR(INDEX(_xlfn.TEXTSPLIT(_xlfn.XLOOKUP($A414&amp;$B414&amp;$C414,盘货信息!$A:$A&amp;盘货信息!$B:$B&amp;盘货信息!$C:$C,盘货信息!$S:$S),CHAR(10),,TRUE),1,COLUMN(B413)),"")</f>
        <v/>
      </c>
      <c r="L414" s="18" t="str" cm="1">
        <f t="array" ref="L414">IFERROR(INDEX(_xlfn.TEXTSPLIT(_xlfn.XLOOKUP($A414&amp;$B414&amp;$C414,盘货信息!$A:$A&amp;盘货信息!$B:$B&amp;盘货信息!$C:$C,盘货信息!$S:$S),CHAR(10),,TRUE),1,COLUMN(C413)),"")</f>
        <v/>
      </c>
      <c r="M414" s="18" t="str" cm="1">
        <f t="array" ref="M414">IFERROR(INDEX(_xlfn.TEXTSPLIT(_xlfn.XLOOKUP($A414&amp;$B414&amp;$C414,盘货信息!$A:$A&amp;盘货信息!$B:$B&amp;盘货信息!$C:$C,盘货信息!$S:$S),CHAR(10),,TRUE),1,COLUMN(D413)),"")</f>
        <v/>
      </c>
      <c r="N414" s="18" t="str" cm="1">
        <f t="array" ref="N414">IFERROR(INDEX(_xlfn.TEXTSPLIT(_xlfn.XLOOKUP($A414&amp;$B414&amp;$C414,盘货信息!$A:$A&amp;盘货信息!$B:$B&amp;盘货信息!$C:$C,盘货信息!$S:$S),CHAR(10),,TRUE),1,COLUMN(E413)),"")</f>
        <v/>
      </c>
    </row>
    <row r="415" customHeight="1" spans="1:14">
      <c r="A415" s="17" t="str">
        <f>IF(盘货信息!A415="","",盘货信息!A415)</f>
        <v/>
      </c>
      <c r="B415" s="17" t="str">
        <f>IF(盘货信息!B415="","",盘货信息!B415)</f>
        <v/>
      </c>
      <c r="C415" s="18" t="str">
        <f>IF(盘货信息!C415="","",盘货信息!C415)</f>
        <v/>
      </c>
      <c r="D415" s="18" t="str">
        <f t="shared" si="6"/>
        <v/>
      </c>
      <c r="E415" s="18" t="str">
        <f>_xlfn.LET(_xlpm.A,IF(ISNUMBER(SEARCH("晒单",J415)),"【晒单】"&amp;MID(J415,SEARCH("晒单",J415)+LEN("晒单"),LEN(J415))&amp;"（需晒单后联系客服登记）",IF(ISNUMBER(SEARCH("包修",J415)),"【购机】"&amp;MID(J415,SEARCH("购机",J415)+LEN("购机"),LEN(J415)),IF(ISNUMBER(SEARCH("叠放支架",J415)),"【赠品】"&amp;MID(J415,SEARCH("购机",J415)+LEN("购机"),LEN(J415)),IF(ISNUMBER(SEARCH("秀图",J415)),"【秀图】"&amp;MID(J415,SEARCH("秀图",J415)+LEN("秀图"),LEN(J415)),"")))),IFERROR(LEFT(_xlpm.A,FIND("【",_xlpm.A,FIND("】",_xlpm.A)+1)-1)&amp;MID(_xlpm.A,FIND("】",_xlpm.A,FIND("】",_xlpm.A)+1)+1,LEN(_xlpm.A)),_xlpm.A))</f>
        <v/>
      </c>
      <c r="F415" s="18" t="str">
        <f>_xlfn.LET(_xlpm.A,IF(ISNUMBER(SEARCH("晒单",K415)),"【晒单】"&amp;MID(K415,SEARCH("晒单",K415)+LEN("晒单"),LEN(K415))&amp;"（需晒单后联系客服登记）",IF(ISNUMBER(SEARCH("包修",K415)),"【购机】"&amp;MID(K415,SEARCH("购机",K415)+LEN("购机"),LEN(K415)),IF(ISNUMBER(SEARCH("叠放支架",K415)),"【赠品】"&amp;MID(K415,SEARCH("购机",K415)+LEN("购机"),LEN(K415)),IF(ISNUMBER(SEARCH("秀图",K415)),"【秀图】"&amp;MID(K415,SEARCH("秀图",K415)+LEN("秀图"),LEN(K415)),"")))),IFERROR(LEFT(_xlpm.A,FIND("【",_xlpm.A,FIND("】",_xlpm.A)+1)-1)&amp;MID(_xlpm.A,FIND("】",_xlpm.A,FIND("】",_xlpm.A)+1)+1,LEN(_xlpm.A)),_xlpm.A))</f>
        <v/>
      </c>
      <c r="G415" s="18" t="str">
        <f>_xlfn.LET(_xlpm.A,IF(ISNUMBER(SEARCH("晒单",L415)),"【晒单】"&amp;MID(L415,SEARCH("晒单",L415)+LEN("晒单"),LEN(L415))&amp;"（需晒单后联系客服登记）",IF(ISNUMBER(SEARCH("包修",L415)),"【购机】"&amp;MID(L415,SEARCH("购机",L415)+LEN("购机"),LEN(L415)),IF(ISNUMBER(SEARCH("叠放支架",L415)),"【赠品】"&amp;MID(L415,SEARCH("购机",L415)+LEN("购机"),LEN(L415)),IF(ISNUMBER(SEARCH("秀图",L415)),"【秀图】"&amp;MID(L415,SEARCH("秀图",L415)+LEN("秀图"),LEN(L415)),"")))),IFERROR(LEFT(_xlpm.A,FIND("【",_xlpm.A,FIND("】",_xlpm.A)+1)-1)&amp;MID(_xlpm.A,FIND("】",_xlpm.A,FIND("】",_xlpm.A)+1)+1,LEN(_xlpm.A)),_xlpm.A))</f>
        <v/>
      </c>
      <c r="H415" s="18" t="str">
        <f>_xlfn.LET(_xlpm.A,IF(ISNUMBER(SEARCH("晒单",M415)),"【晒单】"&amp;MID(M415,SEARCH("晒单",M415)+LEN("晒单"),LEN(M415))&amp;"（需晒单后联系客服登记）",IF(ISNUMBER(SEARCH("包修",M415)),"【购机】"&amp;MID(M415,SEARCH("购机",M415)+LEN("购机"),LEN(M415)),IF(ISNUMBER(SEARCH("叠放支架",M415)),"【赠品】"&amp;MID(M415,SEARCH("购机",M415)+LEN("购机"),LEN(M415)),IF(ISNUMBER(SEARCH("秀图",M415)),"【秀图】"&amp;MID(M415,SEARCH("秀图",M415)+LEN("秀图"),LEN(M415)),"")))),IFERROR(LEFT(_xlpm.A,FIND("【",_xlpm.A,FIND("】",_xlpm.A)+1)-1)&amp;MID(_xlpm.A,FIND("】",_xlpm.A,FIND("】",_xlpm.A)+1)+1,LEN(_xlpm.A)),_xlpm.A))</f>
        <v/>
      </c>
      <c r="I415" s="18" t="str">
        <f>_xlfn.LET(_xlpm.A,IF(ISNUMBER(SEARCH("晒单",N415)),"【晒单】"&amp;MID(N415,SEARCH("晒单",N415)+LEN("晒单"),LEN(N415))&amp;"（需晒单后联系客服登记）",IF(ISNUMBER(SEARCH("包修",N415)),"【购机】"&amp;MID(N415,SEARCH("购机",N415)+LEN("购机"),LEN(N415)),IF(ISNUMBER(SEARCH("叠放支架",N415)),"【赠品】"&amp;MID(N415,SEARCH("购机",N415)+LEN("购机"),LEN(N415)),IF(ISNUMBER(SEARCH("秀图",N415)),"【秀图】"&amp;MID(N415,SEARCH("秀图",N415)+LEN("秀图"),LEN(N415)),"")))),IFERROR(LEFT(_xlpm.A,FIND("【",_xlpm.A,FIND("】",_xlpm.A)+1)-1)&amp;MID(_xlpm.A,FIND("】",_xlpm.A,FIND("】",_xlpm.A)+1)+1,LEN(_xlpm.A)),_xlpm.A))</f>
        <v/>
      </c>
      <c r="J415" s="18" t="str" cm="1">
        <f t="array" ref="J415">IFERROR(INDEX(_xlfn.TEXTSPLIT(_xlfn.XLOOKUP($A415&amp;$B415&amp;$C415,盘货信息!$A:$A&amp;盘货信息!$B:$B&amp;盘货信息!$C:$C,盘货信息!$S:$S),CHAR(10),,TRUE),1,COLUMN(A414)),"")</f>
        <v/>
      </c>
      <c r="K415" s="18" t="str" cm="1">
        <f t="array" ref="K415">IFERROR(INDEX(_xlfn.TEXTSPLIT(_xlfn.XLOOKUP($A415&amp;$B415&amp;$C415,盘货信息!$A:$A&amp;盘货信息!$B:$B&amp;盘货信息!$C:$C,盘货信息!$S:$S),CHAR(10),,TRUE),1,COLUMN(B414)),"")</f>
        <v/>
      </c>
      <c r="L415" s="18" t="str" cm="1">
        <f t="array" ref="L415">IFERROR(INDEX(_xlfn.TEXTSPLIT(_xlfn.XLOOKUP($A415&amp;$B415&amp;$C415,盘货信息!$A:$A&amp;盘货信息!$B:$B&amp;盘货信息!$C:$C,盘货信息!$S:$S),CHAR(10),,TRUE),1,COLUMN(C414)),"")</f>
        <v/>
      </c>
      <c r="M415" s="18" t="str" cm="1">
        <f t="array" ref="M415">IFERROR(INDEX(_xlfn.TEXTSPLIT(_xlfn.XLOOKUP($A415&amp;$B415&amp;$C415,盘货信息!$A:$A&amp;盘货信息!$B:$B&amp;盘货信息!$C:$C,盘货信息!$S:$S),CHAR(10),,TRUE),1,COLUMN(D414)),"")</f>
        <v/>
      </c>
      <c r="N415" s="18" t="str" cm="1">
        <f t="array" ref="N415">IFERROR(INDEX(_xlfn.TEXTSPLIT(_xlfn.XLOOKUP($A415&amp;$B415&amp;$C415,盘货信息!$A:$A&amp;盘货信息!$B:$B&amp;盘货信息!$C:$C,盘货信息!$S:$S),CHAR(10),,TRUE),1,COLUMN(E414)),"")</f>
        <v/>
      </c>
    </row>
    <row r="416" customHeight="1" spans="1:14">
      <c r="A416" s="17" t="str">
        <f>IF(盘货信息!A416="","",盘货信息!A416)</f>
        <v/>
      </c>
      <c r="B416" s="17" t="str">
        <f>IF(盘货信息!B416="","",盘货信息!B416)</f>
        <v/>
      </c>
      <c r="C416" s="18" t="str">
        <f>IF(盘货信息!C416="","",盘货信息!C416)</f>
        <v/>
      </c>
      <c r="D416" s="18" t="str">
        <f t="shared" si="6"/>
        <v/>
      </c>
      <c r="E416" s="18" t="str">
        <f>_xlfn.LET(_xlpm.A,IF(ISNUMBER(SEARCH("晒单",J416)),"【晒单】"&amp;MID(J416,SEARCH("晒单",J416)+LEN("晒单"),LEN(J416))&amp;"（需晒单后联系客服登记）",IF(ISNUMBER(SEARCH("包修",J416)),"【购机】"&amp;MID(J416,SEARCH("购机",J416)+LEN("购机"),LEN(J416)),IF(ISNUMBER(SEARCH("叠放支架",J416)),"【赠品】"&amp;MID(J416,SEARCH("购机",J416)+LEN("购机"),LEN(J416)),IF(ISNUMBER(SEARCH("秀图",J416)),"【秀图】"&amp;MID(J416,SEARCH("秀图",J416)+LEN("秀图"),LEN(J416)),"")))),IFERROR(LEFT(_xlpm.A,FIND("【",_xlpm.A,FIND("】",_xlpm.A)+1)-1)&amp;MID(_xlpm.A,FIND("】",_xlpm.A,FIND("】",_xlpm.A)+1)+1,LEN(_xlpm.A)),_xlpm.A))</f>
        <v/>
      </c>
      <c r="F416" s="18" t="str">
        <f>_xlfn.LET(_xlpm.A,IF(ISNUMBER(SEARCH("晒单",K416)),"【晒单】"&amp;MID(K416,SEARCH("晒单",K416)+LEN("晒单"),LEN(K416))&amp;"（需晒单后联系客服登记）",IF(ISNUMBER(SEARCH("包修",K416)),"【购机】"&amp;MID(K416,SEARCH("购机",K416)+LEN("购机"),LEN(K416)),IF(ISNUMBER(SEARCH("叠放支架",K416)),"【赠品】"&amp;MID(K416,SEARCH("购机",K416)+LEN("购机"),LEN(K416)),IF(ISNUMBER(SEARCH("秀图",K416)),"【秀图】"&amp;MID(K416,SEARCH("秀图",K416)+LEN("秀图"),LEN(K416)),"")))),IFERROR(LEFT(_xlpm.A,FIND("【",_xlpm.A,FIND("】",_xlpm.A)+1)-1)&amp;MID(_xlpm.A,FIND("】",_xlpm.A,FIND("】",_xlpm.A)+1)+1,LEN(_xlpm.A)),_xlpm.A))</f>
        <v/>
      </c>
      <c r="G416" s="18" t="str">
        <f>_xlfn.LET(_xlpm.A,IF(ISNUMBER(SEARCH("晒单",L416)),"【晒单】"&amp;MID(L416,SEARCH("晒单",L416)+LEN("晒单"),LEN(L416))&amp;"（需晒单后联系客服登记）",IF(ISNUMBER(SEARCH("包修",L416)),"【购机】"&amp;MID(L416,SEARCH("购机",L416)+LEN("购机"),LEN(L416)),IF(ISNUMBER(SEARCH("叠放支架",L416)),"【赠品】"&amp;MID(L416,SEARCH("购机",L416)+LEN("购机"),LEN(L416)),IF(ISNUMBER(SEARCH("秀图",L416)),"【秀图】"&amp;MID(L416,SEARCH("秀图",L416)+LEN("秀图"),LEN(L416)),"")))),IFERROR(LEFT(_xlpm.A,FIND("【",_xlpm.A,FIND("】",_xlpm.A)+1)-1)&amp;MID(_xlpm.A,FIND("】",_xlpm.A,FIND("】",_xlpm.A)+1)+1,LEN(_xlpm.A)),_xlpm.A))</f>
        <v/>
      </c>
      <c r="H416" s="18" t="str">
        <f>_xlfn.LET(_xlpm.A,IF(ISNUMBER(SEARCH("晒单",M416)),"【晒单】"&amp;MID(M416,SEARCH("晒单",M416)+LEN("晒单"),LEN(M416))&amp;"（需晒单后联系客服登记）",IF(ISNUMBER(SEARCH("包修",M416)),"【购机】"&amp;MID(M416,SEARCH("购机",M416)+LEN("购机"),LEN(M416)),IF(ISNUMBER(SEARCH("叠放支架",M416)),"【赠品】"&amp;MID(M416,SEARCH("购机",M416)+LEN("购机"),LEN(M416)),IF(ISNUMBER(SEARCH("秀图",M416)),"【秀图】"&amp;MID(M416,SEARCH("秀图",M416)+LEN("秀图"),LEN(M416)),"")))),IFERROR(LEFT(_xlpm.A,FIND("【",_xlpm.A,FIND("】",_xlpm.A)+1)-1)&amp;MID(_xlpm.A,FIND("】",_xlpm.A,FIND("】",_xlpm.A)+1)+1,LEN(_xlpm.A)),_xlpm.A))</f>
        <v/>
      </c>
      <c r="I416" s="18" t="str">
        <f>_xlfn.LET(_xlpm.A,IF(ISNUMBER(SEARCH("晒单",N416)),"【晒单】"&amp;MID(N416,SEARCH("晒单",N416)+LEN("晒单"),LEN(N416))&amp;"（需晒单后联系客服登记）",IF(ISNUMBER(SEARCH("包修",N416)),"【购机】"&amp;MID(N416,SEARCH("购机",N416)+LEN("购机"),LEN(N416)),IF(ISNUMBER(SEARCH("叠放支架",N416)),"【赠品】"&amp;MID(N416,SEARCH("购机",N416)+LEN("购机"),LEN(N416)),IF(ISNUMBER(SEARCH("秀图",N416)),"【秀图】"&amp;MID(N416,SEARCH("秀图",N416)+LEN("秀图"),LEN(N416)),"")))),IFERROR(LEFT(_xlpm.A,FIND("【",_xlpm.A,FIND("】",_xlpm.A)+1)-1)&amp;MID(_xlpm.A,FIND("】",_xlpm.A,FIND("】",_xlpm.A)+1)+1,LEN(_xlpm.A)),_xlpm.A))</f>
        <v/>
      </c>
      <c r="J416" s="18" t="str" cm="1">
        <f t="array" ref="J416">IFERROR(INDEX(_xlfn.TEXTSPLIT(_xlfn.XLOOKUP($A416&amp;$B416&amp;$C416,盘货信息!$A:$A&amp;盘货信息!$B:$B&amp;盘货信息!$C:$C,盘货信息!$S:$S),CHAR(10),,TRUE),1,COLUMN(A415)),"")</f>
        <v/>
      </c>
      <c r="K416" s="18" t="str" cm="1">
        <f t="array" ref="K416">IFERROR(INDEX(_xlfn.TEXTSPLIT(_xlfn.XLOOKUP($A416&amp;$B416&amp;$C416,盘货信息!$A:$A&amp;盘货信息!$B:$B&amp;盘货信息!$C:$C,盘货信息!$S:$S),CHAR(10),,TRUE),1,COLUMN(B415)),"")</f>
        <v/>
      </c>
      <c r="L416" s="18" t="str" cm="1">
        <f t="array" ref="L416">IFERROR(INDEX(_xlfn.TEXTSPLIT(_xlfn.XLOOKUP($A416&amp;$B416&amp;$C416,盘货信息!$A:$A&amp;盘货信息!$B:$B&amp;盘货信息!$C:$C,盘货信息!$S:$S),CHAR(10),,TRUE),1,COLUMN(C415)),"")</f>
        <v/>
      </c>
      <c r="M416" s="18" t="str" cm="1">
        <f t="array" ref="M416">IFERROR(INDEX(_xlfn.TEXTSPLIT(_xlfn.XLOOKUP($A416&amp;$B416&amp;$C416,盘货信息!$A:$A&amp;盘货信息!$B:$B&amp;盘货信息!$C:$C,盘货信息!$S:$S),CHAR(10),,TRUE),1,COLUMN(D415)),"")</f>
        <v/>
      </c>
      <c r="N416" s="18" t="str" cm="1">
        <f t="array" ref="N416">IFERROR(INDEX(_xlfn.TEXTSPLIT(_xlfn.XLOOKUP($A416&amp;$B416&amp;$C416,盘货信息!$A:$A&amp;盘货信息!$B:$B&amp;盘货信息!$C:$C,盘货信息!$S:$S),CHAR(10),,TRUE),1,COLUMN(E415)),"")</f>
        <v/>
      </c>
    </row>
    <row r="417" customHeight="1" spans="1:14">
      <c r="A417" s="17" t="str">
        <f>IF(盘货信息!A417="","",盘货信息!A417)</f>
        <v/>
      </c>
      <c r="B417" s="17" t="str">
        <f>IF(盘货信息!B417="","",盘货信息!B417)</f>
        <v/>
      </c>
      <c r="C417" s="18" t="str">
        <f>IF(盘货信息!C417="","",盘货信息!C417)</f>
        <v/>
      </c>
      <c r="D417" s="18" t="str">
        <f t="shared" si="6"/>
        <v/>
      </c>
      <c r="E417" s="18" t="str">
        <f>_xlfn.LET(_xlpm.A,IF(ISNUMBER(SEARCH("晒单",J417)),"【晒单】"&amp;MID(J417,SEARCH("晒单",J417)+LEN("晒单"),LEN(J417))&amp;"（需晒单后联系客服登记）",IF(ISNUMBER(SEARCH("包修",J417)),"【购机】"&amp;MID(J417,SEARCH("购机",J417)+LEN("购机"),LEN(J417)),IF(ISNUMBER(SEARCH("叠放支架",J417)),"【赠品】"&amp;MID(J417,SEARCH("购机",J417)+LEN("购机"),LEN(J417)),IF(ISNUMBER(SEARCH("秀图",J417)),"【秀图】"&amp;MID(J417,SEARCH("秀图",J417)+LEN("秀图"),LEN(J417)),"")))),IFERROR(LEFT(_xlpm.A,FIND("【",_xlpm.A,FIND("】",_xlpm.A)+1)-1)&amp;MID(_xlpm.A,FIND("】",_xlpm.A,FIND("】",_xlpm.A)+1)+1,LEN(_xlpm.A)),_xlpm.A))</f>
        <v/>
      </c>
      <c r="F417" s="18" t="str">
        <f>_xlfn.LET(_xlpm.A,IF(ISNUMBER(SEARCH("晒单",K417)),"【晒单】"&amp;MID(K417,SEARCH("晒单",K417)+LEN("晒单"),LEN(K417))&amp;"（需晒单后联系客服登记）",IF(ISNUMBER(SEARCH("包修",K417)),"【购机】"&amp;MID(K417,SEARCH("购机",K417)+LEN("购机"),LEN(K417)),IF(ISNUMBER(SEARCH("叠放支架",K417)),"【赠品】"&amp;MID(K417,SEARCH("购机",K417)+LEN("购机"),LEN(K417)),IF(ISNUMBER(SEARCH("秀图",K417)),"【秀图】"&amp;MID(K417,SEARCH("秀图",K417)+LEN("秀图"),LEN(K417)),"")))),IFERROR(LEFT(_xlpm.A,FIND("【",_xlpm.A,FIND("】",_xlpm.A)+1)-1)&amp;MID(_xlpm.A,FIND("】",_xlpm.A,FIND("】",_xlpm.A)+1)+1,LEN(_xlpm.A)),_xlpm.A))</f>
        <v/>
      </c>
      <c r="G417" s="18" t="str">
        <f>_xlfn.LET(_xlpm.A,IF(ISNUMBER(SEARCH("晒单",L417)),"【晒单】"&amp;MID(L417,SEARCH("晒单",L417)+LEN("晒单"),LEN(L417))&amp;"（需晒单后联系客服登记）",IF(ISNUMBER(SEARCH("包修",L417)),"【购机】"&amp;MID(L417,SEARCH("购机",L417)+LEN("购机"),LEN(L417)),IF(ISNUMBER(SEARCH("叠放支架",L417)),"【赠品】"&amp;MID(L417,SEARCH("购机",L417)+LEN("购机"),LEN(L417)),IF(ISNUMBER(SEARCH("秀图",L417)),"【秀图】"&amp;MID(L417,SEARCH("秀图",L417)+LEN("秀图"),LEN(L417)),"")))),IFERROR(LEFT(_xlpm.A,FIND("【",_xlpm.A,FIND("】",_xlpm.A)+1)-1)&amp;MID(_xlpm.A,FIND("】",_xlpm.A,FIND("】",_xlpm.A)+1)+1,LEN(_xlpm.A)),_xlpm.A))</f>
        <v/>
      </c>
      <c r="H417" s="18" t="str">
        <f>_xlfn.LET(_xlpm.A,IF(ISNUMBER(SEARCH("晒单",M417)),"【晒单】"&amp;MID(M417,SEARCH("晒单",M417)+LEN("晒单"),LEN(M417))&amp;"（需晒单后联系客服登记）",IF(ISNUMBER(SEARCH("包修",M417)),"【购机】"&amp;MID(M417,SEARCH("购机",M417)+LEN("购机"),LEN(M417)),IF(ISNUMBER(SEARCH("叠放支架",M417)),"【赠品】"&amp;MID(M417,SEARCH("购机",M417)+LEN("购机"),LEN(M417)),IF(ISNUMBER(SEARCH("秀图",M417)),"【秀图】"&amp;MID(M417,SEARCH("秀图",M417)+LEN("秀图"),LEN(M417)),"")))),IFERROR(LEFT(_xlpm.A,FIND("【",_xlpm.A,FIND("】",_xlpm.A)+1)-1)&amp;MID(_xlpm.A,FIND("】",_xlpm.A,FIND("】",_xlpm.A)+1)+1,LEN(_xlpm.A)),_xlpm.A))</f>
        <v/>
      </c>
      <c r="I417" s="18" t="str">
        <f>_xlfn.LET(_xlpm.A,IF(ISNUMBER(SEARCH("晒单",N417)),"【晒单】"&amp;MID(N417,SEARCH("晒单",N417)+LEN("晒单"),LEN(N417))&amp;"（需晒单后联系客服登记）",IF(ISNUMBER(SEARCH("包修",N417)),"【购机】"&amp;MID(N417,SEARCH("购机",N417)+LEN("购机"),LEN(N417)),IF(ISNUMBER(SEARCH("叠放支架",N417)),"【赠品】"&amp;MID(N417,SEARCH("购机",N417)+LEN("购机"),LEN(N417)),IF(ISNUMBER(SEARCH("秀图",N417)),"【秀图】"&amp;MID(N417,SEARCH("秀图",N417)+LEN("秀图"),LEN(N417)),"")))),IFERROR(LEFT(_xlpm.A,FIND("【",_xlpm.A,FIND("】",_xlpm.A)+1)-1)&amp;MID(_xlpm.A,FIND("】",_xlpm.A,FIND("】",_xlpm.A)+1)+1,LEN(_xlpm.A)),_xlpm.A))</f>
        <v/>
      </c>
      <c r="J417" s="18" t="str" cm="1">
        <f t="array" ref="J417">IFERROR(INDEX(_xlfn.TEXTSPLIT(_xlfn.XLOOKUP($A417&amp;$B417&amp;$C417,盘货信息!$A:$A&amp;盘货信息!$B:$B&amp;盘货信息!$C:$C,盘货信息!$S:$S),CHAR(10),,TRUE),1,COLUMN(A416)),"")</f>
        <v/>
      </c>
      <c r="K417" s="18" t="str" cm="1">
        <f t="array" ref="K417">IFERROR(INDEX(_xlfn.TEXTSPLIT(_xlfn.XLOOKUP($A417&amp;$B417&amp;$C417,盘货信息!$A:$A&amp;盘货信息!$B:$B&amp;盘货信息!$C:$C,盘货信息!$S:$S),CHAR(10),,TRUE),1,COLUMN(B416)),"")</f>
        <v/>
      </c>
      <c r="L417" s="18" t="str" cm="1">
        <f t="array" ref="L417">IFERROR(INDEX(_xlfn.TEXTSPLIT(_xlfn.XLOOKUP($A417&amp;$B417&amp;$C417,盘货信息!$A:$A&amp;盘货信息!$B:$B&amp;盘货信息!$C:$C,盘货信息!$S:$S),CHAR(10),,TRUE),1,COLUMN(C416)),"")</f>
        <v/>
      </c>
      <c r="M417" s="18" t="str" cm="1">
        <f t="array" ref="M417">IFERROR(INDEX(_xlfn.TEXTSPLIT(_xlfn.XLOOKUP($A417&amp;$B417&amp;$C417,盘货信息!$A:$A&amp;盘货信息!$B:$B&amp;盘货信息!$C:$C,盘货信息!$S:$S),CHAR(10),,TRUE),1,COLUMN(D416)),"")</f>
        <v/>
      </c>
      <c r="N417" s="18" t="str" cm="1">
        <f t="array" ref="N417">IFERROR(INDEX(_xlfn.TEXTSPLIT(_xlfn.XLOOKUP($A417&amp;$B417&amp;$C417,盘货信息!$A:$A&amp;盘货信息!$B:$B&amp;盘货信息!$C:$C,盘货信息!$S:$S),CHAR(10),,TRUE),1,COLUMN(E416)),"")</f>
        <v/>
      </c>
    </row>
    <row r="418" customHeight="1" spans="1:14">
      <c r="A418" s="17" t="str">
        <f>IF(盘货信息!A418="","",盘货信息!A418)</f>
        <v/>
      </c>
      <c r="B418" s="17" t="str">
        <f>IF(盘货信息!B418="","",盘货信息!B418)</f>
        <v/>
      </c>
      <c r="C418" s="18" t="str">
        <f>IF(盘货信息!C418="","",盘货信息!C418)</f>
        <v/>
      </c>
      <c r="D418" s="18" t="str">
        <f t="shared" si="6"/>
        <v/>
      </c>
      <c r="E418" s="18" t="str">
        <f>_xlfn.LET(_xlpm.A,IF(ISNUMBER(SEARCH("晒单",J418)),"【晒单】"&amp;MID(J418,SEARCH("晒单",J418)+LEN("晒单"),LEN(J418))&amp;"（需晒单后联系客服登记）",IF(ISNUMBER(SEARCH("包修",J418)),"【购机】"&amp;MID(J418,SEARCH("购机",J418)+LEN("购机"),LEN(J418)),IF(ISNUMBER(SEARCH("叠放支架",J418)),"【赠品】"&amp;MID(J418,SEARCH("购机",J418)+LEN("购机"),LEN(J418)),IF(ISNUMBER(SEARCH("秀图",J418)),"【秀图】"&amp;MID(J418,SEARCH("秀图",J418)+LEN("秀图"),LEN(J418)),"")))),IFERROR(LEFT(_xlpm.A,FIND("【",_xlpm.A,FIND("】",_xlpm.A)+1)-1)&amp;MID(_xlpm.A,FIND("】",_xlpm.A,FIND("】",_xlpm.A)+1)+1,LEN(_xlpm.A)),_xlpm.A))</f>
        <v/>
      </c>
      <c r="F418" s="18" t="str">
        <f>_xlfn.LET(_xlpm.A,IF(ISNUMBER(SEARCH("晒单",K418)),"【晒单】"&amp;MID(K418,SEARCH("晒单",K418)+LEN("晒单"),LEN(K418))&amp;"（需晒单后联系客服登记）",IF(ISNUMBER(SEARCH("包修",K418)),"【购机】"&amp;MID(K418,SEARCH("购机",K418)+LEN("购机"),LEN(K418)),IF(ISNUMBER(SEARCH("叠放支架",K418)),"【赠品】"&amp;MID(K418,SEARCH("购机",K418)+LEN("购机"),LEN(K418)),IF(ISNUMBER(SEARCH("秀图",K418)),"【秀图】"&amp;MID(K418,SEARCH("秀图",K418)+LEN("秀图"),LEN(K418)),"")))),IFERROR(LEFT(_xlpm.A,FIND("【",_xlpm.A,FIND("】",_xlpm.A)+1)-1)&amp;MID(_xlpm.A,FIND("】",_xlpm.A,FIND("】",_xlpm.A)+1)+1,LEN(_xlpm.A)),_xlpm.A))</f>
        <v/>
      </c>
      <c r="G418" s="18" t="str">
        <f>_xlfn.LET(_xlpm.A,IF(ISNUMBER(SEARCH("晒单",L418)),"【晒单】"&amp;MID(L418,SEARCH("晒单",L418)+LEN("晒单"),LEN(L418))&amp;"（需晒单后联系客服登记）",IF(ISNUMBER(SEARCH("包修",L418)),"【购机】"&amp;MID(L418,SEARCH("购机",L418)+LEN("购机"),LEN(L418)),IF(ISNUMBER(SEARCH("叠放支架",L418)),"【赠品】"&amp;MID(L418,SEARCH("购机",L418)+LEN("购机"),LEN(L418)),IF(ISNUMBER(SEARCH("秀图",L418)),"【秀图】"&amp;MID(L418,SEARCH("秀图",L418)+LEN("秀图"),LEN(L418)),"")))),IFERROR(LEFT(_xlpm.A,FIND("【",_xlpm.A,FIND("】",_xlpm.A)+1)-1)&amp;MID(_xlpm.A,FIND("】",_xlpm.A,FIND("】",_xlpm.A)+1)+1,LEN(_xlpm.A)),_xlpm.A))</f>
        <v/>
      </c>
      <c r="H418" s="18" t="str">
        <f>_xlfn.LET(_xlpm.A,IF(ISNUMBER(SEARCH("晒单",M418)),"【晒单】"&amp;MID(M418,SEARCH("晒单",M418)+LEN("晒单"),LEN(M418))&amp;"（需晒单后联系客服登记）",IF(ISNUMBER(SEARCH("包修",M418)),"【购机】"&amp;MID(M418,SEARCH("购机",M418)+LEN("购机"),LEN(M418)),IF(ISNUMBER(SEARCH("叠放支架",M418)),"【赠品】"&amp;MID(M418,SEARCH("购机",M418)+LEN("购机"),LEN(M418)),IF(ISNUMBER(SEARCH("秀图",M418)),"【秀图】"&amp;MID(M418,SEARCH("秀图",M418)+LEN("秀图"),LEN(M418)),"")))),IFERROR(LEFT(_xlpm.A,FIND("【",_xlpm.A,FIND("】",_xlpm.A)+1)-1)&amp;MID(_xlpm.A,FIND("】",_xlpm.A,FIND("】",_xlpm.A)+1)+1,LEN(_xlpm.A)),_xlpm.A))</f>
        <v/>
      </c>
      <c r="I418" s="18" t="str">
        <f>_xlfn.LET(_xlpm.A,IF(ISNUMBER(SEARCH("晒单",N418)),"【晒单】"&amp;MID(N418,SEARCH("晒单",N418)+LEN("晒单"),LEN(N418))&amp;"（需晒单后联系客服登记）",IF(ISNUMBER(SEARCH("包修",N418)),"【购机】"&amp;MID(N418,SEARCH("购机",N418)+LEN("购机"),LEN(N418)),IF(ISNUMBER(SEARCH("叠放支架",N418)),"【赠品】"&amp;MID(N418,SEARCH("购机",N418)+LEN("购机"),LEN(N418)),IF(ISNUMBER(SEARCH("秀图",N418)),"【秀图】"&amp;MID(N418,SEARCH("秀图",N418)+LEN("秀图"),LEN(N418)),"")))),IFERROR(LEFT(_xlpm.A,FIND("【",_xlpm.A,FIND("】",_xlpm.A)+1)-1)&amp;MID(_xlpm.A,FIND("】",_xlpm.A,FIND("】",_xlpm.A)+1)+1,LEN(_xlpm.A)),_xlpm.A))</f>
        <v/>
      </c>
      <c r="J418" s="18" t="str" cm="1">
        <f t="array" ref="J418">IFERROR(INDEX(_xlfn.TEXTSPLIT(_xlfn.XLOOKUP($A418&amp;$B418&amp;$C418,盘货信息!$A:$A&amp;盘货信息!$B:$B&amp;盘货信息!$C:$C,盘货信息!$S:$S),CHAR(10),,TRUE),1,COLUMN(A417)),"")</f>
        <v/>
      </c>
      <c r="K418" s="18" t="str" cm="1">
        <f t="array" ref="K418">IFERROR(INDEX(_xlfn.TEXTSPLIT(_xlfn.XLOOKUP($A418&amp;$B418&amp;$C418,盘货信息!$A:$A&amp;盘货信息!$B:$B&amp;盘货信息!$C:$C,盘货信息!$S:$S),CHAR(10),,TRUE),1,COLUMN(B417)),"")</f>
        <v/>
      </c>
      <c r="L418" s="18" t="str" cm="1">
        <f t="array" ref="L418">IFERROR(INDEX(_xlfn.TEXTSPLIT(_xlfn.XLOOKUP($A418&amp;$B418&amp;$C418,盘货信息!$A:$A&amp;盘货信息!$B:$B&amp;盘货信息!$C:$C,盘货信息!$S:$S),CHAR(10),,TRUE),1,COLUMN(C417)),"")</f>
        <v/>
      </c>
      <c r="M418" s="18" t="str" cm="1">
        <f t="array" ref="M418">IFERROR(INDEX(_xlfn.TEXTSPLIT(_xlfn.XLOOKUP($A418&amp;$B418&amp;$C418,盘货信息!$A:$A&amp;盘货信息!$B:$B&amp;盘货信息!$C:$C,盘货信息!$S:$S),CHAR(10),,TRUE),1,COLUMN(D417)),"")</f>
        <v/>
      </c>
      <c r="N418" s="18" t="str" cm="1">
        <f t="array" ref="N418">IFERROR(INDEX(_xlfn.TEXTSPLIT(_xlfn.XLOOKUP($A418&amp;$B418&amp;$C418,盘货信息!$A:$A&amp;盘货信息!$B:$B&amp;盘货信息!$C:$C,盘货信息!$S:$S),CHAR(10),,TRUE),1,COLUMN(E417)),"")</f>
        <v/>
      </c>
    </row>
    <row r="419" customHeight="1" spans="1:14">
      <c r="A419" s="17" t="str">
        <f>IF(盘货信息!A419="","",盘货信息!A419)</f>
        <v/>
      </c>
      <c r="B419" s="17" t="str">
        <f>IF(盘货信息!B419="","",盘货信息!B419)</f>
        <v/>
      </c>
      <c r="C419" s="18" t="str">
        <f>IF(盘货信息!C419="","",盘货信息!C419)</f>
        <v/>
      </c>
      <c r="D419" s="18" t="str">
        <f t="shared" si="6"/>
        <v/>
      </c>
      <c r="E419" s="18" t="str">
        <f>_xlfn.LET(_xlpm.A,IF(ISNUMBER(SEARCH("晒单",J419)),"【晒单】"&amp;MID(J419,SEARCH("晒单",J419)+LEN("晒单"),LEN(J419))&amp;"（需晒单后联系客服登记）",IF(ISNUMBER(SEARCH("包修",J419)),"【购机】"&amp;MID(J419,SEARCH("购机",J419)+LEN("购机"),LEN(J419)),IF(ISNUMBER(SEARCH("叠放支架",J419)),"【赠品】"&amp;MID(J419,SEARCH("购机",J419)+LEN("购机"),LEN(J419)),IF(ISNUMBER(SEARCH("秀图",J419)),"【秀图】"&amp;MID(J419,SEARCH("秀图",J419)+LEN("秀图"),LEN(J419)),"")))),IFERROR(LEFT(_xlpm.A,FIND("【",_xlpm.A,FIND("】",_xlpm.A)+1)-1)&amp;MID(_xlpm.A,FIND("】",_xlpm.A,FIND("】",_xlpm.A)+1)+1,LEN(_xlpm.A)),_xlpm.A))</f>
        <v/>
      </c>
      <c r="F419" s="18" t="str">
        <f>_xlfn.LET(_xlpm.A,IF(ISNUMBER(SEARCH("晒单",K419)),"【晒单】"&amp;MID(K419,SEARCH("晒单",K419)+LEN("晒单"),LEN(K419))&amp;"（需晒单后联系客服登记）",IF(ISNUMBER(SEARCH("包修",K419)),"【购机】"&amp;MID(K419,SEARCH("购机",K419)+LEN("购机"),LEN(K419)),IF(ISNUMBER(SEARCH("叠放支架",K419)),"【赠品】"&amp;MID(K419,SEARCH("购机",K419)+LEN("购机"),LEN(K419)),IF(ISNUMBER(SEARCH("秀图",K419)),"【秀图】"&amp;MID(K419,SEARCH("秀图",K419)+LEN("秀图"),LEN(K419)),"")))),IFERROR(LEFT(_xlpm.A,FIND("【",_xlpm.A,FIND("】",_xlpm.A)+1)-1)&amp;MID(_xlpm.A,FIND("】",_xlpm.A,FIND("】",_xlpm.A)+1)+1,LEN(_xlpm.A)),_xlpm.A))</f>
        <v/>
      </c>
      <c r="G419" s="18" t="str">
        <f>_xlfn.LET(_xlpm.A,IF(ISNUMBER(SEARCH("晒单",L419)),"【晒单】"&amp;MID(L419,SEARCH("晒单",L419)+LEN("晒单"),LEN(L419))&amp;"（需晒单后联系客服登记）",IF(ISNUMBER(SEARCH("包修",L419)),"【购机】"&amp;MID(L419,SEARCH("购机",L419)+LEN("购机"),LEN(L419)),IF(ISNUMBER(SEARCH("叠放支架",L419)),"【赠品】"&amp;MID(L419,SEARCH("购机",L419)+LEN("购机"),LEN(L419)),IF(ISNUMBER(SEARCH("秀图",L419)),"【秀图】"&amp;MID(L419,SEARCH("秀图",L419)+LEN("秀图"),LEN(L419)),"")))),IFERROR(LEFT(_xlpm.A,FIND("【",_xlpm.A,FIND("】",_xlpm.A)+1)-1)&amp;MID(_xlpm.A,FIND("】",_xlpm.A,FIND("】",_xlpm.A)+1)+1,LEN(_xlpm.A)),_xlpm.A))</f>
        <v/>
      </c>
      <c r="H419" s="18" t="str">
        <f>_xlfn.LET(_xlpm.A,IF(ISNUMBER(SEARCH("晒单",M419)),"【晒单】"&amp;MID(M419,SEARCH("晒单",M419)+LEN("晒单"),LEN(M419))&amp;"（需晒单后联系客服登记）",IF(ISNUMBER(SEARCH("包修",M419)),"【购机】"&amp;MID(M419,SEARCH("购机",M419)+LEN("购机"),LEN(M419)),IF(ISNUMBER(SEARCH("叠放支架",M419)),"【赠品】"&amp;MID(M419,SEARCH("购机",M419)+LEN("购机"),LEN(M419)),IF(ISNUMBER(SEARCH("秀图",M419)),"【秀图】"&amp;MID(M419,SEARCH("秀图",M419)+LEN("秀图"),LEN(M419)),"")))),IFERROR(LEFT(_xlpm.A,FIND("【",_xlpm.A,FIND("】",_xlpm.A)+1)-1)&amp;MID(_xlpm.A,FIND("】",_xlpm.A,FIND("】",_xlpm.A)+1)+1,LEN(_xlpm.A)),_xlpm.A))</f>
        <v/>
      </c>
      <c r="I419" s="18" t="str">
        <f>_xlfn.LET(_xlpm.A,IF(ISNUMBER(SEARCH("晒单",N419)),"【晒单】"&amp;MID(N419,SEARCH("晒单",N419)+LEN("晒单"),LEN(N419))&amp;"（需晒单后联系客服登记）",IF(ISNUMBER(SEARCH("包修",N419)),"【购机】"&amp;MID(N419,SEARCH("购机",N419)+LEN("购机"),LEN(N419)),IF(ISNUMBER(SEARCH("叠放支架",N419)),"【赠品】"&amp;MID(N419,SEARCH("购机",N419)+LEN("购机"),LEN(N419)),IF(ISNUMBER(SEARCH("秀图",N419)),"【秀图】"&amp;MID(N419,SEARCH("秀图",N419)+LEN("秀图"),LEN(N419)),"")))),IFERROR(LEFT(_xlpm.A,FIND("【",_xlpm.A,FIND("】",_xlpm.A)+1)-1)&amp;MID(_xlpm.A,FIND("】",_xlpm.A,FIND("】",_xlpm.A)+1)+1,LEN(_xlpm.A)),_xlpm.A))</f>
        <v/>
      </c>
      <c r="J419" s="18" t="str" cm="1">
        <f t="array" ref="J419">IFERROR(INDEX(_xlfn.TEXTSPLIT(_xlfn.XLOOKUP($A419&amp;$B419&amp;$C419,盘货信息!$A:$A&amp;盘货信息!$B:$B&amp;盘货信息!$C:$C,盘货信息!$S:$S),CHAR(10),,TRUE),1,COLUMN(A418)),"")</f>
        <v/>
      </c>
      <c r="K419" s="18" t="str" cm="1">
        <f t="array" ref="K419">IFERROR(INDEX(_xlfn.TEXTSPLIT(_xlfn.XLOOKUP($A419&amp;$B419&amp;$C419,盘货信息!$A:$A&amp;盘货信息!$B:$B&amp;盘货信息!$C:$C,盘货信息!$S:$S),CHAR(10),,TRUE),1,COLUMN(B418)),"")</f>
        <v/>
      </c>
      <c r="L419" s="18" t="str" cm="1">
        <f t="array" ref="L419">IFERROR(INDEX(_xlfn.TEXTSPLIT(_xlfn.XLOOKUP($A419&amp;$B419&amp;$C419,盘货信息!$A:$A&amp;盘货信息!$B:$B&amp;盘货信息!$C:$C,盘货信息!$S:$S),CHAR(10),,TRUE),1,COLUMN(C418)),"")</f>
        <v/>
      </c>
      <c r="M419" s="18" t="str" cm="1">
        <f t="array" ref="M419">IFERROR(INDEX(_xlfn.TEXTSPLIT(_xlfn.XLOOKUP($A419&amp;$B419&amp;$C419,盘货信息!$A:$A&amp;盘货信息!$B:$B&amp;盘货信息!$C:$C,盘货信息!$S:$S),CHAR(10),,TRUE),1,COLUMN(D418)),"")</f>
        <v/>
      </c>
      <c r="N419" s="18" t="str" cm="1">
        <f t="array" ref="N419">IFERROR(INDEX(_xlfn.TEXTSPLIT(_xlfn.XLOOKUP($A419&amp;$B419&amp;$C419,盘货信息!$A:$A&amp;盘货信息!$B:$B&amp;盘货信息!$C:$C,盘货信息!$S:$S),CHAR(10),,TRUE),1,COLUMN(E418)),"")</f>
        <v/>
      </c>
    </row>
    <row r="420" customHeight="1" spans="1:14">
      <c r="A420" s="17" t="str">
        <f>IF(盘货信息!A420="","",盘货信息!A420)</f>
        <v/>
      </c>
      <c r="B420" s="17" t="str">
        <f>IF(盘货信息!B420="","",盘货信息!B420)</f>
        <v/>
      </c>
      <c r="C420" s="18" t="str">
        <f>IF(盘货信息!C420="","",盘货信息!C420)</f>
        <v/>
      </c>
      <c r="D420" s="18" t="str">
        <f t="shared" si="6"/>
        <v/>
      </c>
      <c r="E420" s="18" t="str">
        <f>_xlfn.LET(_xlpm.A,IF(ISNUMBER(SEARCH("晒单",J420)),"【晒单】"&amp;MID(J420,SEARCH("晒单",J420)+LEN("晒单"),LEN(J420))&amp;"（需晒单后联系客服登记）",IF(ISNUMBER(SEARCH("包修",J420)),"【购机】"&amp;MID(J420,SEARCH("购机",J420)+LEN("购机"),LEN(J420)),IF(ISNUMBER(SEARCH("叠放支架",J420)),"【赠品】"&amp;MID(J420,SEARCH("购机",J420)+LEN("购机"),LEN(J420)),IF(ISNUMBER(SEARCH("秀图",J420)),"【秀图】"&amp;MID(J420,SEARCH("秀图",J420)+LEN("秀图"),LEN(J420)),"")))),IFERROR(LEFT(_xlpm.A,FIND("【",_xlpm.A,FIND("】",_xlpm.A)+1)-1)&amp;MID(_xlpm.A,FIND("】",_xlpm.A,FIND("】",_xlpm.A)+1)+1,LEN(_xlpm.A)),_xlpm.A))</f>
        <v/>
      </c>
      <c r="F420" s="18" t="str">
        <f>_xlfn.LET(_xlpm.A,IF(ISNUMBER(SEARCH("晒单",K420)),"【晒单】"&amp;MID(K420,SEARCH("晒单",K420)+LEN("晒单"),LEN(K420))&amp;"（需晒单后联系客服登记）",IF(ISNUMBER(SEARCH("包修",K420)),"【购机】"&amp;MID(K420,SEARCH("购机",K420)+LEN("购机"),LEN(K420)),IF(ISNUMBER(SEARCH("叠放支架",K420)),"【赠品】"&amp;MID(K420,SEARCH("购机",K420)+LEN("购机"),LEN(K420)),IF(ISNUMBER(SEARCH("秀图",K420)),"【秀图】"&amp;MID(K420,SEARCH("秀图",K420)+LEN("秀图"),LEN(K420)),"")))),IFERROR(LEFT(_xlpm.A,FIND("【",_xlpm.A,FIND("】",_xlpm.A)+1)-1)&amp;MID(_xlpm.A,FIND("】",_xlpm.A,FIND("】",_xlpm.A)+1)+1,LEN(_xlpm.A)),_xlpm.A))</f>
        <v/>
      </c>
      <c r="G420" s="18" t="str">
        <f>_xlfn.LET(_xlpm.A,IF(ISNUMBER(SEARCH("晒单",L420)),"【晒单】"&amp;MID(L420,SEARCH("晒单",L420)+LEN("晒单"),LEN(L420))&amp;"（需晒单后联系客服登记）",IF(ISNUMBER(SEARCH("包修",L420)),"【购机】"&amp;MID(L420,SEARCH("购机",L420)+LEN("购机"),LEN(L420)),IF(ISNUMBER(SEARCH("叠放支架",L420)),"【赠品】"&amp;MID(L420,SEARCH("购机",L420)+LEN("购机"),LEN(L420)),IF(ISNUMBER(SEARCH("秀图",L420)),"【秀图】"&amp;MID(L420,SEARCH("秀图",L420)+LEN("秀图"),LEN(L420)),"")))),IFERROR(LEFT(_xlpm.A,FIND("【",_xlpm.A,FIND("】",_xlpm.A)+1)-1)&amp;MID(_xlpm.A,FIND("】",_xlpm.A,FIND("】",_xlpm.A)+1)+1,LEN(_xlpm.A)),_xlpm.A))</f>
        <v/>
      </c>
      <c r="H420" s="18" t="str">
        <f>_xlfn.LET(_xlpm.A,IF(ISNUMBER(SEARCH("晒单",M420)),"【晒单】"&amp;MID(M420,SEARCH("晒单",M420)+LEN("晒单"),LEN(M420))&amp;"（需晒单后联系客服登记）",IF(ISNUMBER(SEARCH("包修",M420)),"【购机】"&amp;MID(M420,SEARCH("购机",M420)+LEN("购机"),LEN(M420)),IF(ISNUMBER(SEARCH("叠放支架",M420)),"【赠品】"&amp;MID(M420,SEARCH("购机",M420)+LEN("购机"),LEN(M420)),IF(ISNUMBER(SEARCH("秀图",M420)),"【秀图】"&amp;MID(M420,SEARCH("秀图",M420)+LEN("秀图"),LEN(M420)),"")))),IFERROR(LEFT(_xlpm.A,FIND("【",_xlpm.A,FIND("】",_xlpm.A)+1)-1)&amp;MID(_xlpm.A,FIND("】",_xlpm.A,FIND("】",_xlpm.A)+1)+1,LEN(_xlpm.A)),_xlpm.A))</f>
        <v/>
      </c>
      <c r="I420" s="18" t="str">
        <f>_xlfn.LET(_xlpm.A,IF(ISNUMBER(SEARCH("晒单",N420)),"【晒单】"&amp;MID(N420,SEARCH("晒单",N420)+LEN("晒单"),LEN(N420))&amp;"（需晒单后联系客服登记）",IF(ISNUMBER(SEARCH("包修",N420)),"【购机】"&amp;MID(N420,SEARCH("购机",N420)+LEN("购机"),LEN(N420)),IF(ISNUMBER(SEARCH("叠放支架",N420)),"【赠品】"&amp;MID(N420,SEARCH("购机",N420)+LEN("购机"),LEN(N420)),IF(ISNUMBER(SEARCH("秀图",N420)),"【秀图】"&amp;MID(N420,SEARCH("秀图",N420)+LEN("秀图"),LEN(N420)),"")))),IFERROR(LEFT(_xlpm.A,FIND("【",_xlpm.A,FIND("】",_xlpm.A)+1)-1)&amp;MID(_xlpm.A,FIND("】",_xlpm.A,FIND("】",_xlpm.A)+1)+1,LEN(_xlpm.A)),_xlpm.A))</f>
        <v/>
      </c>
      <c r="J420" s="18" t="str" cm="1">
        <f t="array" ref="J420">IFERROR(INDEX(_xlfn.TEXTSPLIT(_xlfn.XLOOKUP($A420&amp;$B420&amp;$C420,盘货信息!$A:$A&amp;盘货信息!$B:$B&amp;盘货信息!$C:$C,盘货信息!$S:$S),CHAR(10),,TRUE),1,COLUMN(A419)),"")</f>
        <v/>
      </c>
      <c r="K420" s="18" t="str" cm="1">
        <f t="array" ref="K420">IFERROR(INDEX(_xlfn.TEXTSPLIT(_xlfn.XLOOKUP($A420&amp;$B420&amp;$C420,盘货信息!$A:$A&amp;盘货信息!$B:$B&amp;盘货信息!$C:$C,盘货信息!$S:$S),CHAR(10),,TRUE),1,COLUMN(B419)),"")</f>
        <v/>
      </c>
      <c r="L420" s="18" t="str" cm="1">
        <f t="array" ref="L420">IFERROR(INDEX(_xlfn.TEXTSPLIT(_xlfn.XLOOKUP($A420&amp;$B420&amp;$C420,盘货信息!$A:$A&amp;盘货信息!$B:$B&amp;盘货信息!$C:$C,盘货信息!$S:$S),CHAR(10),,TRUE),1,COLUMN(C419)),"")</f>
        <v/>
      </c>
      <c r="M420" s="18" t="str" cm="1">
        <f t="array" ref="M420">IFERROR(INDEX(_xlfn.TEXTSPLIT(_xlfn.XLOOKUP($A420&amp;$B420&amp;$C420,盘货信息!$A:$A&amp;盘货信息!$B:$B&amp;盘货信息!$C:$C,盘货信息!$S:$S),CHAR(10),,TRUE),1,COLUMN(D419)),"")</f>
        <v/>
      </c>
      <c r="N420" s="18" t="str" cm="1">
        <f t="array" ref="N420">IFERROR(INDEX(_xlfn.TEXTSPLIT(_xlfn.XLOOKUP($A420&amp;$B420&amp;$C420,盘货信息!$A:$A&amp;盘货信息!$B:$B&amp;盘货信息!$C:$C,盘货信息!$S:$S),CHAR(10),,TRUE),1,COLUMN(E419)),"")</f>
        <v/>
      </c>
    </row>
    <row r="421" customHeight="1" spans="1:14">
      <c r="A421" s="17" t="str">
        <f>IF(盘货信息!A421="","",盘货信息!A421)</f>
        <v/>
      </c>
      <c r="B421" s="17" t="str">
        <f>IF(盘货信息!B421="","",盘货信息!B421)</f>
        <v/>
      </c>
      <c r="C421" s="18" t="str">
        <f>IF(盘货信息!C421="","",盘货信息!C421)</f>
        <v/>
      </c>
      <c r="D421" s="18" t="str">
        <f t="shared" si="6"/>
        <v/>
      </c>
      <c r="E421" s="18" t="str">
        <f>_xlfn.LET(_xlpm.A,IF(ISNUMBER(SEARCH("晒单",J421)),"【晒单】"&amp;MID(J421,SEARCH("晒单",J421)+LEN("晒单"),LEN(J421))&amp;"（需晒单后联系客服登记）",IF(ISNUMBER(SEARCH("包修",J421)),"【购机】"&amp;MID(J421,SEARCH("购机",J421)+LEN("购机"),LEN(J421)),IF(ISNUMBER(SEARCH("叠放支架",J421)),"【赠品】"&amp;MID(J421,SEARCH("购机",J421)+LEN("购机"),LEN(J421)),IF(ISNUMBER(SEARCH("秀图",J421)),"【秀图】"&amp;MID(J421,SEARCH("秀图",J421)+LEN("秀图"),LEN(J421)),"")))),IFERROR(LEFT(_xlpm.A,FIND("【",_xlpm.A,FIND("】",_xlpm.A)+1)-1)&amp;MID(_xlpm.A,FIND("】",_xlpm.A,FIND("】",_xlpm.A)+1)+1,LEN(_xlpm.A)),_xlpm.A))</f>
        <v/>
      </c>
      <c r="F421" s="18" t="str">
        <f>_xlfn.LET(_xlpm.A,IF(ISNUMBER(SEARCH("晒单",K421)),"【晒单】"&amp;MID(K421,SEARCH("晒单",K421)+LEN("晒单"),LEN(K421))&amp;"（需晒单后联系客服登记）",IF(ISNUMBER(SEARCH("包修",K421)),"【购机】"&amp;MID(K421,SEARCH("购机",K421)+LEN("购机"),LEN(K421)),IF(ISNUMBER(SEARCH("叠放支架",K421)),"【赠品】"&amp;MID(K421,SEARCH("购机",K421)+LEN("购机"),LEN(K421)),IF(ISNUMBER(SEARCH("秀图",K421)),"【秀图】"&amp;MID(K421,SEARCH("秀图",K421)+LEN("秀图"),LEN(K421)),"")))),IFERROR(LEFT(_xlpm.A,FIND("【",_xlpm.A,FIND("】",_xlpm.A)+1)-1)&amp;MID(_xlpm.A,FIND("】",_xlpm.A,FIND("】",_xlpm.A)+1)+1,LEN(_xlpm.A)),_xlpm.A))</f>
        <v/>
      </c>
      <c r="G421" s="18" t="str">
        <f>_xlfn.LET(_xlpm.A,IF(ISNUMBER(SEARCH("晒单",L421)),"【晒单】"&amp;MID(L421,SEARCH("晒单",L421)+LEN("晒单"),LEN(L421))&amp;"（需晒单后联系客服登记）",IF(ISNUMBER(SEARCH("包修",L421)),"【购机】"&amp;MID(L421,SEARCH("购机",L421)+LEN("购机"),LEN(L421)),IF(ISNUMBER(SEARCH("叠放支架",L421)),"【赠品】"&amp;MID(L421,SEARCH("购机",L421)+LEN("购机"),LEN(L421)),IF(ISNUMBER(SEARCH("秀图",L421)),"【秀图】"&amp;MID(L421,SEARCH("秀图",L421)+LEN("秀图"),LEN(L421)),"")))),IFERROR(LEFT(_xlpm.A,FIND("【",_xlpm.A,FIND("】",_xlpm.A)+1)-1)&amp;MID(_xlpm.A,FIND("】",_xlpm.A,FIND("】",_xlpm.A)+1)+1,LEN(_xlpm.A)),_xlpm.A))</f>
        <v/>
      </c>
      <c r="H421" s="18" t="str">
        <f>_xlfn.LET(_xlpm.A,IF(ISNUMBER(SEARCH("晒单",M421)),"【晒单】"&amp;MID(M421,SEARCH("晒单",M421)+LEN("晒单"),LEN(M421))&amp;"（需晒单后联系客服登记）",IF(ISNUMBER(SEARCH("包修",M421)),"【购机】"&amp;MID(M421,SEARCH("购机",M421)+LEN("购机"),LEN(M421)),IF(ISNUMBER(SEARCH("叠放支架",M421)),"【赠品】"&amp;MID(M421,SEARCH("购机",M421)+LEN("购机"),LEN(M421)),IF(ISNUMBER(SEARCH("秀图",M421)),"【秀图】"&amp;MID(M421,SEARCH("秀图",M421)+LEN("秀图"),LEN(M421)),"")))),IFERROR(LEFT(_xlpm.A,FIND("【",_xlpm.A,FIND("】",_xlpm.A)+1)-1)&amp;MID(_xlpm.A,FIND("】",_xlpm.A,FIND("】",_xlpm.A)+1)+1,LEN(_xlpm.A)),_xlpm.A))</f>
        <v/>
      </c>
      <c r="I421" s="18" t="str">
        <f>_xlfn.LET(_xlpm.A,IF(ISNUMBER(SEARCH("晒单",N421)),"【晒单】"&amp;MID(N421,SEARCH("晒单",N421)+LEN("晒单"),LEN(N421))&amp;"（需晒单后联系客服登记）",IF(ISNUMBER(SEARCH("包修",N421)),"【购机】"&amp;MID(N421,SEARCH("购机",N421)+LEN("购机"),LEN(N421)),IF(ISNUMBER(SEARCH("叠放支架",N421)),"【赠品】"&amp;MID(N421,SEARCH("购机",N421)+LEN("购机"),LEN(N421)),IF(ISNUMBER(SEARCH("秀图",N421)),"【秀图】"&amp;MID(N421,SEARCH("秀图",N421)+LEN("秀图"),LEN(N421)),"")))),IFERROR(LEFT(_xlpm.A,FIND("【",_xlpm.A,FIND("】",_xlpm.A)+1)-1)&amp;MID(_xlpm.A,FIND("】",_xlpm.A,FIND("】",_xlpm.A)+1)+1,LEN(_xlpm.A)),_xlpm.A))</f>
        <v/>
      </c>
      <c r="J421" s="18" t="str" cm="1">
        <f t="array" ref="J421">IFERROR(INDEX(_xlfn.TEXTSPLIT(_xlfn.XLOOKUP($A421&amp;$B421&amp;$C421,盘货信息!$A:$A&amp;盘货信息!$B:$B&amp;盘货信息!$C:$C,盘货信息!$S:$S),CHAR(10),,TRUE),1,COLUMN(A420)),"")</f>
        <v/>
      </c>
      <c r="K421" s="18" t="str" cm="1">
        <f t="array" ref="K421">IFERROR(INDEX(_xlfn.TEXTSPLIT(_xlfn.XLOOKUP($A421&amp;$B421&amp;$C421,盘货信息!$A:$A&amp;盘货信息!$B:$B&amp;盘货信息!$C:$C,盘货信息!$S:$S),CHAR(10),,TRUE),1,COLUMN(B420)),"")</f>
        <v/>
      </c>
      <c r="L421" s="18" t="str" cm="1">
        <f t="array" ref="L421">IFERROR(INDEX(_xlfn.TEXTSPLIT(_xlfn.XLOOKUP($A421&amp;$B421&amp;$C421,盘货信息!$A:$A&amp;盘货信息!$B:$B&amp;盘货信息!$C:$C,盘货信息!$S:$S),CHAR(10),,TRUE),1,COLUMN(C420)),"")</f>
        <v/>
      </c>
      <c r="M421" s="18" t="str" cm="1">
        <f t="array" ref="M421">IFERROR(INDEX(_xlfn.TEXTSPLIT(_xlfn.XLOOKUP($A421&amp;$B421&amp;$C421,盘货信息!$A:$A&amp;盘货信息!$B:$B&amp;盘货信息!$C:$C,盘货信息!$S:$S),CHAR(10),,TRUE),1,COLUMN(D420)),"")</f>
        <v/>
      </c>
      <c r="N421" s="18" t="str" cm="1">
        <f t="array" ref="N421">IFERROR(INDEX(_xlfn.TEXTSPLIT(_xlfn.XLOOKUP($A421&amp;$B421&amp;$C421,盘货信息!$A:$A&amp;盘货信息!$B:$B&amp;盘货信息!$C:$C,盘货信息!$S:$S),CHAR(10),,TRUE),1,COLUMN(E420)),"")</f>
        <v/>
      </c>
    </row>
    <row r="422" customHeight="1" spans="1:14">
      <c r="A422" s="17" t="str">
        <f>IF(盘货信息!A422="","",盘货信息!A422)</f>
        <v/>
      </c>
      <c r="B422" s="17" t="str">
        <f>IF(盘货信息!B422="","",盘货信息!B422)</f>
        <v/>
      </c>
      <c r="C422" s="18" t="str">
        <f>IF(盘货信息!C422="","",盘货信息!C422)</f>
        <v/>
      </c>
      <c r="D422" s="18" t="str">
        <f t="shared" si="6"/>
        <v/>
      </c>
      <c r="E422" s="18" t="str">
        <f>_xlfn.LET(_xlpm.A,IF(ISNUMBER(SEARCH("晒单",J422)),"【晒单】"&amp;MID(J422,SEARCH("晒单",J422)+LEN("晒单"),LEN(J422))&amp;"（需晒单后联系客服登记）",IF(ISNUMBER(SEARCH("包修",J422)),"【购机】"&amp;MID(J422,SEARCH("购机",J422)+LEN("购机"),LEN(J422)),IF(ISNUMBER(SEARCH("叠放支架",J422)),"【赠品】"&amp;MID(J422,SEARCH("购机",J422)+LEN("购机"),LEN(J422)),IF(ISNUMBER(SEARCH("秀图",J422)),"【秀图】"&amp;MID(J422,SEARCH("秀图",J422)+LEN("秀图"),LEN(J422)),"")))),IFERROR(LEFT(_xlpm.A,FIND("【",_xlpm.A,FIND("】",_xlpm.A)+1)-1)&amp;MID(_xlpm.A,FIND("】",_xlpm.A,FIND("】",_xlpm.A)+1)+1,LEN(_xlpm.A)),_xlpm.A))</f>
        <v/>
      </c>
      <c r="F422" s="18" t="str">
        <f>_xlfn.LET(_xlpm.A,IF(ISNUMBER(SEARCH("晒单",K422)),"【晒单】"&amp;MID(K422,SEARCH("晒单",K422)+LEN("晒单"),LEN(K422))&amp;"（需晒单后联系客服登记）",IF(ISNUMBER(SEARCH("包修",K422)),"【购机】"&amp;MID(K422,SEARCH("购机",K422)+LEN("购机"),LEN(K422)),IF(ISNUMBER(SEARCH("叠放支架",K422)),"【赠品】"&amp;MID(K422,SEARCH("购机",K422)+LEN("购机"),LEN(K422)),IF(ISNUMBER(SEARCH("秀图",K422)),"【秀图】"&amp;MID(K422,SEARCH("秀图",K422)+LEN("秀图"),LEN(K422)),"")))),IFERROR(LEFT(_xlpm.A,FIND("【",_xlpm.A,FIND("】",_xlpm.A)+1)-1)&amp;MID(_xlpm.A,FIND("】",_xlpm.A,FIND("】",_xlpm.A)+1)+1,LEN(_xlpm.A)),_xlpm.A))</f>
        <v/>
      </c>
      <c r="G422" s="18" t="str">
        <f>_xlfn.LET(_xlpm.A,IF(ISNUMBER(SEARCH("晒单",L422)),"【晒单】"&amp;MID(L422,SEARCH("晒单",L422)+LEN("晒单"),LEN(L422))&amp;"（需晒单后联系客服登记）",IF(ISNUMBER(SEARCH("包修",L422)),"【购机】"&amp;MID(L422,SEARCH("购机",L422)+LEN("购机"),LEN(L422)),IF(ISNUMBER(SEARCH("叠放支架",L422)),"【赠品】"&amp;MID(L422,SEARCH("购机",L422)+LEN("购机"),LEN(L422)),IF(ISNUMBER(SEARCH("秀图",L422)),"【秀图】"&amp;MID(L422,SEARCH("秀图",L422)+LEN("秀图"),LEN(L422)),"")))),IFERROR(LEFT(_xlpm.A,FIND("【",_xlpm.A,FIND("】",_xlpm.A)+1)-1)&amp;MID(_xlpm.A,FIND("】",_xlpm.A,FIND("】",_xlpm.A)+1)+1,LEN(_xlpm.A)),_xlpm.A))</f>
        <v/>
      </c>
      <c r="H422" s="18" t="str">
        <f>_xlfn.LET(_xlpm.A,IF(ISNUMBER(SEARCH("晒单",M422)),"【晒单】"&amp;MID(M422,SEARCH("晒单",M422)+LEN("晒单"),LEN(M422))&amp;"（需晒单后联系客服登记）",IF(ISNUMBER(SEARCH("包修",M422)),"【购机】"&amp;MID(M422,SEARCH("购机",M422)+LEN("购机"),LEN(M422)),IF(ISNUMBER(SEARCH("叠放支架",M422)),"【赠品】"&amp;MID(M422,SEARCH("购机",M422)+LEN("购机"),LEN(M422)),IF(ISNUMBER(SEARCH("秀图",M422)),"【秀图】"&amp;MID(M422,SEARCH("秀图",M422)+LEN("秀图"),LEN(M422)),"")))),IFERROR(LEFT(_xlpm.A,FIND("【",_xlpm.A,FIND("】",_xlpm.A)+1)-1)&amp;MID(_xlpm.A,FIND("】",_xlpm.A,FIND("】",_xlpm.A)+1)+1,LEN(_xlpm.A)),_xlpm.A))</f>
        <v/>
      </c>
      <c r="I422" s="18" t="str">
        <f>_xlfn.LET(_xlpm.A,IF(ISNUMBER(SEARCH("晒单",N422)),"【晒单】"&amp;MID(N422,SEARCH("晒单",N422)+LEN("晒单"),LEN(N422))&amp;"（需晒单后联系客服登记）",IF(ISNUMBER(SEARCH("包修",N422)),"【购机】"&amp;MID(N422,SEARCH("购机",N422)+LEN("购机"),LEN(N422)),IF(ISNUMBER(SEARCH("叠放支架",N422)),"【赠品】"&amp;MID(N422,SEARCH("购机",N422)+LEN("购机"),LEN(N422)),IF(ISNUMBER(SEARCH("秀图",N422)),"【秀图】"&amp;MID(N422,SEARCH("秀图",N422)+LEN("秀图"),LEN(N422)),"")))),IFERROR(LEFT(_xlpm.A,FIND("【",_xlpm.A,FIND("】",_xlpm.A)+1)-1)&amp;MID(_xlpm.A,FIND("】",_xlpm.A,FIND("】",_xlpm.A)+1)+1,LEN(_xlpm.A)),_xlpm.A))</f>
        <v/>
      </c>
      <c r="J422" s="18" t="str" cm="1">
        <f t="array" ref="J422">IFERROR(INDEX(_xlfn.TEXTSPLIT(_xlfn.XLOOKUP($A422&amp;$B422&amp;$C422,盘货信息!$A:$A&amp;盘货信息!$B:$B&amp;盘货信息!$C:$C,盘货信息!$S:$S),CHAR(10),,TRUE),1,COLUMN(A421)),"")</f>
        <v/>
      </c>
      <c r="K422" s="18" t="str" cm="1">
        <f t="array" ref="K422">IFERROR(INDEX(_xlfn.TEXTSPLIT(_xlfn.XLOOKUP($A422&amp;$B422&amp;$C422,盘货信息!$A:$A&amp;盘货信息!$B:$B&amp;盘货信息!$C:$C,盘货信息!$S:$S),CHAR(10),,TRUE),1,COLUMN(B421)),"")</f>
        <v/>
      </c>
      <c r="L422" s="18" t="str" cm="1">
        <f t="array" ref="L422">IFERROR(INDEX(_xlfn.TEXTSPLIT(_xlfn.XLOOKUP($A422&amp;$B422&amp;$C422,盘货信息!$A:$A&amp;盘货信息!$B:$B&amp;盘货信息!$C:$C,盘货信息!$S:$S),CHAR(10),,TRUE),1,COLUMN(C421)),"")</f>
        <v/>
      </c>
      <c r="M422" s="18" t="str" cm="1">
        <f t="array" ref="M422">IFERROR(INDEX(_xlfn.TEXTSPLIT(_xlfn.XLOOKUP($A422&amp;$B422&amp;$C422,盘货信息!$A:$A&amp;盘货信息!$B:$B&amp;盘货信息!$C:$C,盘货信息!$S:$S),CHAR(10),,TRUE),1,COLUMN(D421)),"")</f>
        <v/>
      </c>
      <c r="N422" s="18" t="str" cm="1">
        <f t="array" ref="N422">IFERROR(INDEX(_xlfn.TEXTSPLIT(_xlfn.XLOOKUP($A422&amp;$B422&amp;$C422,盘货信息!$A:$A&amp;盘货信息!$B:$B&amp;盘货信息!$C:$C,盘货信息!$S:$S),CHAR(10),,TRUE),1,COLUMN(E421)),"")</f>
        <v/>
      </c>
    </row>
    <row r="423" customHeight="1" spans="1:14">
      <c r="A423" s="17" t="str">
        <f>IF(盘货信息!A423="","",盘货信息!A423)</f>
        <v/>
      </c>
      <c r="B423" s="17" t="str">
        <f>IF(盘货信息!B423="","",盘货信息!B423)</f>
        <v/>
      </c>
      <c r="C423" s="18" t="str">
        <f>IF(盘货信息!C423="","",盘货信息!C423)</f>
        <v/>
      </c>
      <c r="D423" s="18" t="str">
        <f t="shared" si="6"/>
        <v/>
      </c>
      <c r="E423" s="18" t="str">
        <f>_xlfn.LET(_xlpm.A,IF(ISNUMBER(SEARCH("晒单",J423)),"【晒单】"&amp;MID(J423,SEARCH("晒单",J423)+LEN("晒单"),LEN(J423))&amp;"（需晒单后联系客服登记）",IF(ISNUMBER(SEARCH("包修",J423)),"【购机】"&amp;MID(J423,SEARCH("购机",J423)+LEN("购机"),LEN(J423)),IF(ISNUMBER(SEARCH("叠放支架",J423)),"【赠品】"&amp;MID(J423,SEARCH("购机",J423)+LEN("购机"),LEN(J423)),IF(ISNUMBER(SEARCH("秀图",J423)),"【秀图】"&amp;MID(J423,SEARCH("秀图",J423)+LEN("秀图"),LEN(J423)),"")))),IFERROR(LEFT(_xlpm.A,FIND("【",_xlpm.A,FIND("】",_xlpm.A)+1)-1)&amp;MID(_xlpm.A,FIND("】",_xlpm.A,FIND("】",_xlpm.A)+1)+1,LEN(_xlpm.A)),_xlpm.A))</f>
        <v/>
      </c>
      <c r="F423" s="18" t="str">
        <f>_xlfn.LET(_xlpm.A,IF(ISNUMBER(SEARCH("晒单",K423)),"【晒单】"&amp;MID(K423,SEARCH("晒单",K423)+LEN("晒单"),LEN(K423))&amp;"（需晒单后联系客服登记）",IF(ISNUMBER(SEARCH("包修",K423)),"【购机】"&amp;MID(K423,SEARCH("购机",K423)+LEN("购机"),LEN(K423)),IF(ISNUMBER(SEARCH("叠放支架",K423)),"【赠品】"&amp;MID(K423,SEARCH("购机",K423)+LEN("购机"),LEN(K423)),IF(ISNUMBER(SEARCH("秀图",K423)),"【秀图】"&amp;MID(K423,SEARCH("秀图",K423)+LEN("秀图"),LEN(K423)),"")))),IFERROR(LEFT(_xlpm.A,FIND("【",_xlpm.A,FIND("】",_xlpm.A)+1)-1)&amp;MID(_xlpm.A,FIND("】",_xlpm.A,FIND("】",_xlpm.A)+1)+1,LEN(_xlpm.A)),_xlpm.A))</f>
        <v/>
      </c>
      <c r="G423" s="18" t="str">
        <f>_xlfn.LET(_xlpm.A,IF(ISNUMBER(SEARCH("晒单",L423)),"【晒单】"&amp;MID(L423,SEARCH("晒单",L423)+LEN("晒单"),LEN(L423))&amp;"（需晒单后联系客服登记）",IF(ISNUMBER(SEARCH("包修",L423)),"【购机】"&amp;MID(L423,SEARCH("购机",L423)+LEN("购机"),LEN(L423)),IF(ISNUMBER(SEARCH("叠放支架",L423)),"【赠品】"&amp;MID(L423,SEARCH("购机",L423)+LEN("购机"),LEN(L423)),IF(ISNUMBER(SEARCH("秀图",L423)),"【秀图】"&amp;MID(L423,SEARCH("秀图",L423)+LEN("秀图"),LEN(L423)),"")))),IFERROR(LEFT(_xlpm.A,FIND("【",_xlpm.A,FIND("】",_xlpm.A)+1)-1)&amp;MID(_xlpm.A,FIND("】",_xlpm.A,FIND("】",_xlpm.A)+1)+1,LEN(_xlpm.A)),_xlpm.A))</f>
        <v/>
      </c>
      <c r="H423" s="18" t="str">
        <f>_xlfn.LET(_xlpm.A,IF(ISNUMBER(SEARCH("晒单",M423)),"【晒单】"&amp;MID(M423,SEARCH("晒单",M423)+LEN("晒单"),LEN(M423))&amp;"（需晒单后联系客服登记）",IF(ISNUMBER(SEARCH("包修",M423)),"【购机】"&amp;MID(M423,SEARCH("购机",M423)+LEN("购机"),LEN(M423)),IF(ISNUMBER(SEARCH("叠放支架",M423)),"【赠品】"&amp;MID(M423,SEARCH("购机",M423)+LEN("购机"),LEN(M423)),IF(ISNUMBER(SEARCH("秀图",M423)),"【秀图】"&amp;MID(M423,SEARCH("秀图",M423)+LEN("秀图"),LEN(M423)),"")))),IFERROR(LEFT(_xlpm.A,FIND("【",_xlpm.A,FIND("】",_xlpm.A)+1)-1)&amp;MID(_xlpm.A,FIND("】",_xlpm.A,FIND("】",_xlpm.A)+1)+1,LEN(_xlpm.A)),_xlpm.A))</f>
        <v/>
      </c>
      <c r="I423" s="18" t="str">
        <f>_xlfn.LET(_xlpm.A,IF(ISNUMBER(SEARCH("晒单",N423)),"【晒单】"&amp;MID(N423,SEARCH("晒单",N423)+LEN("晒单"),LEN(N423))&amp;"（需晒单后联系客服登记）",IF(ISNUMBER(SEARCH("包修",N423)),"【购机】"&amp;MID(N423,SEARCH("购机",N423)+LEN("购机"),LEN(N423)),IF(ISNUMBER(SEARCH("叠放支架",N423)),"【赠品】"&amp;MID(N423,SEARCH("购机",N423)+LEN("购机"),LEN(N423)),IF(ISNUMBER(SEARCH("秀图",N423)),"【秀图】"&amp;MID(N423,SEARCH("秀图",N423)+LEN("秀图"),LEN(N423)),"")))),IFERROR(LEFT(_xlpm.A,FIND("【",_xlpm.A,FIND("】",_xlpm.A)+1)-1)&amp;MID(_xlpm.A,FIND("】",_xlpm.A,FIND("】",_xlpm.A)+1)+1,LEN(_xlpm.A)),_xlpm.A))</f>
        <v/>
      </c>
      <c r="J423" s="18" t="str" cm="1">
        <f t="array" ref="J423">IFERROR(INDEX(_xlfn.TEXTSPLIT(_xlfn.XLOOKUP($A423&amp;$B423&amp;$C423,盘货信息!$A:$A&amp;盘货信息!$B:$B&amp;盘货信息!$C:$C,盘货信息!$S:$S),CHAR(10),,TRUE),1,COLUMN(A422)),"")</f>
        <v/>
      </c>
      <c r="K423" s="18" t="str" cm="1">
        <f t="array" ref="K423">IFERROR(INDEX(_xlfn.TEXTSPLIT(_xlfn.XLOOKUP($A423&amp;$B423&amp;$C423,盘货信息!$A:$A&amp;盘货信息!$B:$B&amp;盘货信息!$C:$C,盘货信息!$S:$S),CHAR(10),,TRUE),1,COLUMN(B422)),"")</f>
        <v/>
      </c>
      <c r="L423" s="18" t="str" cm="1">
        <f t="array" ref="L423">IFERROR(INDEX(_xlfn.TEXTSPLIT(_xlfn.XLOOKUP($A423&amp;$B423&amp;$C423,盘货信息!$A:$A&amp;盘货信息!$B:$B&amp;盘货信息!$C:$C,盘货信息!$S:$S),CHAR(10),,TRUE),1,COLUMN(C422)),"")</f>
        <v/>
      </c>
      <c r="M423" s="18" t="str" cm="1">
        <f t="array" ref="M423">IFERROR(INDEX(_xlfn.TEXTSPLIT(_xlfn.XLOOKUP($A423&amp;$B423&amp;$C423,盘货信息!$A:$A&amp;盘货信息!$B:$B&amp;盘货信息!$C:$C,盘货信息!$S:$S),CHAR(10),,TRUE),1,COLUMN(D422)),"")</f>
        <v/>
      </c>
      <c r="N423" s="18" t="str" cm="1">
        <f t="array" ref="N423">IFERROR(INDEX(_xlfn.TEXTSPLIT(_xlfn.XLOOKUP($A423&amp;$B423&amp;$C423,盘货信息!$A:$A&amp;盘货信息!$B:$B&amp;盘货信息!$C:$C,盘货信息!$S:$S),CHAR(10),,TRUE),1,COLUMN(E422)),"")</f>
        <v/>
      </c>
    </row>
    <row r="424" customHeight="1" spans="1:14">
      <c r="A424" s="17" t="str">
        <f>IF(盘货信息!A424="","",盘货信息!A424)</f>
        <v/>
      </c>
      <c r="B424" s="17" t="str">
        <f>IF(盘货信息!B424="","",盘货信息!B424)</f>
        <v/>
      </c>
      <c r="C424" s="18" t="str">
        <f>IF(盘货信息!C424="","",盘货信息!C424)</f>
        <v/>
      </c>
      <c r="D424" s="18" t="str">
        <f t="shared" si="6"/>
        <v/>
      </c>
      <c r="E424" s="18" t="str">
        <f>_xlfn.LET(_xlpm.A,IF(ISNUMBER(SEARCH("晒单",J424)),"【晒单】"&amp;MID(J424,SEARCH("晒单",J424)+LEN("晒单"),LEN(J424))&amp;"（需晒单后联系客服登记）",IF(ISNUMBER(SEARCH("包修",J424)),"【购机】"&amp;MID(J424,SEARCH("购机",J424)+LEN("购机"),LEN(J424)),IF(ISNUMBER(SEARCH("叠放支架",J424)),"【赠品】"&amp;MID(J424,SEARCH("购机",J424)+LEN("购机"),LEN(J424)),IF(ISNUMBER(SEARCH("秀图",J424)),"【秀图】"&amp;MID(J424,SEARCH("秀图",J424)+LEN("秀图"),LEN(J424)),"")))),IFERROR(LEFT(_xlpm.A,FIND("【",_xlpm.A,FIND("】",_xlpm.A)+1)-1)&amp;MID(_xlpm.A,FIND("】",_xlpm.A,FIND("】",_xlpm.A)+1)+1,LEN(_xlpm.A)),_xlpm.A))</f>
        <v/>
      </c>
      <c r="F424" s="18" t="str">
        <f>_xlfn.LET(_xlpm.A,IF(ISNUMBER(SEARCH("晒单",K424)),"【晒单】"&amp;MID(K424,SEARCH("晒单",K424)+LEN("晒单"),LEN(K424))&amp;"（需晒单后联系客服登记）",IF(ISNUMBER(SEARCH("包修",K424)),"【购机】"&amp;MID(K424,SEARCH("购机",K424)+LEN("购机"),LEN(K424)),IF(ISNUMBER(SEARCH("叠放支架",K424)),"【赠品】"&amp;MID(K424,SEARCH("购机",K424)+LEN("购机"),LEN(K424)),IF(ISNUMBER(SEARCH("秀图",K424)),"【秀图】"&amp;MID(K424,SEARCH("秀图",K424)+LEN("秀图"),LEN(K424)),"")))),IFERROR(LEFT(_xlpm.A,FIND("【",_xlpm.A,FIND("】",_xlpm.A)+1)-1)&amp;MID(_xlpm.A,FIND("】",_xlpm.A,FIND("】",_xlpm.A)+1)+1,LEN(_xlpm.A)),_xlpm.A))</f>
        <v/>
      </c>
      <c r="G424" s="18" t="str">
        <f>_xlfn.LET(_xlpm.A,IF(ISNUMBER(SEARCH("晒单",L424)),"【晒单】"&amp;MID(L424,SEARCH("晒单",L424)+LEN("晒单"),LEN(L424))&amp;"（需晒单后联系客服登记）",IF(ISNUMBER(SEARCH("包修",L424)),"【购机】"&amp;MID(L424,SEARCH("购机",L424)+LEN("购机"),LEN(L424)),IF(ISNUMBER(SEARCH("叠放支架",L424)),"【赠品】"&amp;MID(L424,SEARCH("购机",L424)+LEN("购机"),LEN(L424)),IF(ISNUMBER(SEARCH("秀图",L424)),"【秀图】"&amp;MID(L424,SEARCH("秀图",L424)+LEN("秀图"),LEN(L424)),"")))),IFERROR(LEFT(_xlpm.A,FIND("【",_xlpm.A,FIND("】",_xlpm.A)+1)-1)&amp;MID(_xlpm.A,FIND("】",_xlpm.A,FIND("】",_xlpm.A)+1)+1,LEN(_xlpm.A)),_xlpm.A))</f>
        <v/>
      </c>
      <c r="H424" s="18" t="str">
        <f>_xlfn.LET(_xlpm.A,IF(ISNUMBER(SEARCH("晒单",M424)),"【晒单】"&amp;MID(M424,SEARCH("晒单",M424)+LEN("晒单"),LEN(M424))&amp;"（需晒单后联系客服登记）",IF(ISNUMBER(SEARCH("包修",M424)),"【购机】"&amp;MID(M424,SEARCH("购机",M424)+LEN("购机"),LEN(M424)),IF(ISNUMBER(SEARCH("叠放支架",M424)),"【赠品】"&amp;MID(M424,SEARCH("购机",M424)+LEN("购机"),LEN(M424)),IF(ISNUMBER(SEARCH("秀图",M424)),"【秀图】"&amp;MID(M424,SEARCH("秀图",M424)+LEN("秀图"),LEN(M424)),"")))),IFERROR(LEFT(_xlpm.A,FIND("【",_xlpm.A,FIND("】",_xlpm.A)+1)-1)&amp;MID(_xlpm.A,FIND("】",_xlpm.A,FIND("】",_xlpm.A)+1)+1,LEN(_xlpm.A)),_xlpm.A))</f>
        <v/>
      </c>
      <c r="I424" s="18" t="str">
        <f>_xlfn.LET(_xlpm.A,IF(ISNUMBER(SEARCH("晒单",N424)),"【晒单】"&amp;MID(N424,SEARCH("晒单",N424)+LEN("晒单"),LEN(N424))&amp;"（需晒单后联系客服登记）",IF(ISNUMBER(SEARCH("包修",N424)),"【购机】"&amp;MID(N424,SEARCH("购机",N424)+LEN("购机"),LEN(N424)),IF(ISNUMBER(SEARCH("叠放支架",N424)),"【赠品】"&amp;MID(N424,SEARCH("购机",N424)+LEN("购机"),LEN(N424)),IF(ISNUMBER(SEARCH("秀图",N424)),"【秀图】"&amp;MID(N424,SEARCH("秀图",N424)+LEN("秀图"),LEN(N424)),"")))),IFERROR(LEFT(_xlpm.A,FIND("【",_xlpm.A,FIND("】",_xlpm.A)+1)-1)&amp;MID(_xlpm.A,FIND("】",_xlpm.A,FIND("】",_xlpm.A)+1)+1,LEN(_xlpm.A)),_xlpm.A))</f>
        <v/>
      </c>
      <c r="J424" s="18" t="str" cm="1">
        <f t="array" ref="J424">IFERROR(INDEX(_xlfn.TEXTSPLIT(_xlfn.XLOOKUP($A424&amp;$B424&amp;$C424,盘货信息!$A:$A&amp;盘货信息!$B:$B&amp;盘货信息!$C:$C,盘货信息!$S:$S),CHAR(10),,TRUE),1,COLUMN(A423)),"")</f>
        <v/>
      </c>
      <c r="K424" s="18" t="str" cm="1">
        <f t="array" ref="K424">IFERROR(INDEX(_xlfn.TEXTSPLIT(_xlfn.XLOOKUP($A424&amp;$B424&amp;$C424,盘货信息!$A:$A&amp;盘货信息!$B:$B&amp;盘货信息!$C:$C,盘货信息!$S:$S),CHAR(10),,TRUE),1,COLUMN(B423)),"")</f>
        <v/>
      </c>
      <c r="L424" s="18" t="str" cm="1">
        <f t="array" ref="L424">IFERROR(INDEX(_xlfn.TEXTSPLIT(_xlfn.XLOOKUP($A424&amp;$B424&amp;$C424,盘货信息!$A:$A&amp;盘货信息!$B:$B&amp;盘货信息!$C:$C,盘货信息!$S:$S),CHAR(10),,TRUE),1,COLUMN(C423)),"")</f>
        <v/>
      </c>
      <c r="M424" s="18" t="str" cm="1">
        <f t="array" ref="M424">IFERROR(INDEX(_xlfn.TEXTSPLIT(_xlfn.XLOOKUP($A424&amp;$B424&amp;$C424,盘货信息!$A:$A&amp;盘货信息!$B:$B&amp;盘货信息!$C:$C,盘货信息!$S:$S),CHAR(10),,TRUE),1,COLUMN(D423)),"")</f>
        <v/>
      </c>
      <c r="N424" s="18" t="str" cm="1">
        <f t="array" ref="N424">IFERROR(INDEX(_xlfn.TEXTSPLIT(_xlfn.XLOOKUP($A424&amp;$B424&amp;$C424,盘货信息!$A:$A&amp;盘货信息!$B:$B&amp;盘货信息!$C:$C,盘货信息!$S:$S),CHAR(10),,TRUE),1,COLUMN(E423)),"")</f>
        <v/>
      </c>
    </row>
    <row r="425" customHeight="1" spans="1:14">
      <c r="A425" s="17" t="str">
        <f>IF(盘货信息!A425="","",盘货信息!A425)</f>
        <v/>
      </c>
      <c r="B425" s="17" t="str">
        <f>IF(盘货信息!B425="","",盘货信息!B425)</f>
        <v/>
      </c>
      <c r="C425" s="18" t="str">
        <f>IF(盘货信息!C425="","",盘货信息!C425)</f>
        <v/>
      </c>
      <c r="D425" s="18" t="str">
        <f t="shared" si="6"/>
        <v/>
      </c>
      <c r="E425" s="18" t="str">
        <f>_xlfn.LET(_xlpm.A,IF(ISNUMBER(SEARCH("晒单",J425)),"【晒单】"&amp;MID(J425,SEARCH("晒单",J425)+LEN("晒单"),LEN(J425))&amp;"（需晒单后联系客服登记）",IF(ISNUMBER(SEARCH("包修",J425)),"【购机】"&amp;MID(J425,SEARCH("购机",J425)+LEN("购机"),LEN(J425)),IF(ISNUMBER(SEARCH("叠放支架",J425)),"【赠品】"&amp;MID(J425,SEARCH("购机",J425)+LEN("购机"),LEN(J425)),IF(ISNUMBER(SEARCH("秀图",J425)),"【秀图】"&amp;MID(J425,SEARCH("秀图",J425)+LEN("秀图"),LEN(J425)),"")))),IFERROR(LEFT(_xlpm.A,FIND("【",_xlpm.A,FIND("】",_xlpm.A)+1)-1)&amp;MID(_xlpm.A,FIND("】",_xlpm.A,FIND("】",_xlpm.A)+1)+1,LEN(_xlpm.A)),_xlpm.A))</f>
        <v/>
      </c>
      <c r="F425" s="18" t="str">
        <f>_xlfn.LET(_xlpm.A,IF(ISNUMBER(SEARCH("晒单",K425)),"【晒单】"&amp;MID(K425,SEARCH("晒单",K425)+LEN("晒单"),LEN(K425))&amp;"（需晒单后联系客服登记）",IF(ISNUMBER(SEARCH("包修",K425)),"【购机】"&amp;MID(K425,SEARCH("购机",K425)+LEN("购机"),LEN(K425)),IF(ISNUMBER(SEARCH("叠放支架",K425)),"【赠品】"&amp;MID(K425,SEARCH("购机",K425)+LEN("购机"),LEN(K425)),IF(ISNUMBER(SEARCH("秀图",K425)),"【秀图】"&amp;MID(K425,SEARCH("秀图",K425)+LEN("秀图"),LEN(K425)),"")))),IFERROR(LEFT(_xlpm.A,FIND("【",_xlpm.A,FIND("】",_xlpm.A)+1)-1)&amp;MID(_xlpm.A,FIND("】",_xlpm.A,FIND("】",_xlpm.A)+1)+1,LEN(_xlpm.A)),_xlpm.A))</f>
        <v/>
      </c>
      <c r="G425" s="18" t="str">
        <f>_xlfn.LET(_xlpm.A,IF(ISNUMBER(SEARCH("晒单",L425)),"【晒单】"&amp;MID(L425,SEARCH("晒单",L425)+LEN("晒单"),LEN(L425))&amp;"（需晒单后联系客服登记）",IF(ISNUMBER(SEARCH("包修",L425)),"【购机】"&amp;MID(L425,SEARCH("购机",L425)+LEN("购机"),LEN(L425)),IF(ISNUMBER(SEARCH("叠放支架",L425)),"【赠品】"&amp;MID(L425,SEARCH("购机",L425)+LEN("购机"),LEN(L425)),IF(ISNUMBER(SEARCH("秀图",L425)),"【秀图】"&amp;MID(L425,SEARCH("秀图",L425)+LEN("秀图"),LEN(L425)),"")))),IFERROR(LEFT(_xlpm.A,FIND("【",_xlpm.A,FIND("】",_xlpm.A)+1)-1)&amp;MID(_xlpm.A,FIND("】",_xlpm.A,FIND("】",_xlpm.A)+1)+1,LEN(_xlpm.A)),_xlpm.A))</f>
        <v/>
      </c>
      <c r="H425" s="18" t="str">
        <f>_xlfn.LET(_xlpm.A,IF(ISNUMBER(SEARCH("晒单",M425)),"【晒单】"&amp;MID(M425,SEARCH("晒单",M425)+LEN("晒单"),LEN(M425))&amp;"（需晒单后联系客服登记）",IF(ISNUMBER(SEARCH("包修",M425)),"【购机】"&amp;MID(M425,SEARCH("购机",M425)+LEN("购机"),LEN(M425)),IF(ISNUMBER(SEARCH("叠放支架",M425)),"【赠品】"&amp;MID(M425,SEARCH("购机",M425)+LEN("购机"),LEN(M425)),IF(ISNUMBER(SEARCH("秀图",M425)),"【秀图】"&amp;MID(M425,SEARCH("秀图",M425)+LEN("秀图"),LEN(M425)),"")))),IFERROR(LEFT(_xlpm.A,FIND("【",_xlpm.A,FIND("】",_xlpm.A)+1)-1)&amp;MID(_xlpm.A,FIND("】",_xlpm.A,FIND("】",_xlpm.A)+1)+1,LEN(_xlpm.A)),_xlpm.A))</f>
        <v/>
      </c>
      <c r="I425" s="18" t="str">
        <f>_xlfn.LET(_xlpm.A,IF(ISNUMBER(SEARCH("晒单",N425)),"【晒单】"&amp;MID(N425,SEARCH("晒单",N425)+LEN("晒单"),LEN(N425))&amp;"（需晒单后联系客服登记）",IF(ISNUMBER(SEARCH("包修",N425)),"【购机】"&amp;MID(N425,SEARCH("购机",N425)+LEN("购机"),LEN(N425)),IF(ISNUMBER(SEARCH("叠放支架",N425)),"【赠品】"&amp;MID(N425,SEARCH("购机",N425)+LEN("购机"),LEN(N425)),IF(ISNUMBER(SEARCH("秀图",N425)),"【秀图】"&amp;MID(N425,SEARCH("秀图",N425)+LEN("秀图"),LEN(N425)),"")))),IFERROR(LEFT(_xlpm.A,FIND("【",_xlpm.A,FIND("】",_xlpm.A)+1)-1)&amp;MID(_xlpm.A,FIND("】",_xlpm.A,FIND("】",_xlpm.A)+1)+1,LEN(_xlpm.A)),_xlpm.A))</f>
        <v/>
      </c>
      <c r="J425" s="18" t="str" cm="1">
        <f t="array" ref="J425">IFERROR(INDEX(_xlfn.TEXTSPLIT(_xlfn.XLOOKUP($A425&amp;$B425&amp;$C425,盘货信息!$A:$A&amp;盘货信息!$B:$B&amp;盘货信息!$C:$C,盘货信息!$S:$S),CHAR(10),,TRUE),1,COLUMN(A424)),"")</f>
        <v/>
      </c>
      <c r="K425" s="18" t="str" cm="1">
        <f t="array" ref="K425">IFERROR(INDEX(_xlfn.TEXTSPLIT(_xlfn.XLOOKUP($A425&amp;$B425&amp;$C425,盘货信息!$A:$A&amp;盘货信息!$B:$B&amp;盘货信息!$C:$C,盘货信息!$S:$S),CHAR(10),,TRUE),1,COLUMN(B424)),"")</f>
        <v/>
      </c>
      <c r="L425" s="18" t="str" cm="1">
        <f t="array" ref="L425">IFERROR(INDEX(_xlfn.TEXTSPLIT(_xlfn.XLOOKUP($A425&amp;$B425&amp;$C425,盘货信息!$A:$A&amp;盘货信息!$B:$B&amp;盘货信息!$C:$C,盘货信息!$S:$S),CHAR(10),,TRUE),1,COLUMN(C424)),"")</f>
        <v/>
      </c>
      <c r="M425" s="18" t="str" cm="1">
        <f t="array" ref="M425">IFERROR(INDEX(_xlfn.TEXTSPLIT(_xlfn.XLOOKUP($A425&amp;$B425&amp;$C425,盘货信息!$A:$A&amp;盘货信息!$B:$B&amp;盘货信息!$C:$C,盘货信息!$S:$S),CHAR(10),,TRUE),1,COLUMN(D424)),"")</f>
        <v/>
      </c>
      <c r="N425" s="18" t="str" cm="1">
        <f t="array" ref="N425">IFERROR(INDEX(_xlfn.TEXTSPLIT(_xlfn.XLOOKUP($A425&amp;$B425&amp;$C425,盘货信息!$A:$A&amp;盘货信息!$B:$B&amp;盘货信息!$C:$C,盘货信息!$S:$S),CHAR(10),,TRUE),1,COLUMN(E424)),"")</f>
        <v/>
      </c>
    </row>
    <row r="426" customHeight="1" spans="1:14">
      <c r="A426" s="17" t="str">
        <f>IF(盘货信息!A426="","",盘货信息!A426)</f>
        <v/>
      </c>
      <c r="B426" s="17" t="str">
        <f>IF(盘货信息!B426="","",盘货信息!B426)</f>
        <v/>
      </c>
      <c r="C426" s="18" t="str">
        <f>IF(盘货信息!C426="","",盘货信息!C426)</f>
        <v/>
      </c>
      <c r="D426" s="18" t="str">
        <f t="shared" si="6"/>
        <v/>
      </c>
      <c r="E426" s="18" t="str">
        <f>_xlfn.LET(_xlpm.A,IF(ISNUMBER(SEARCH("晒单",J426)),"【晒单】"&amp;MID(J426,SEARCH("晒单",J426)+LEN("晒单"),LEN(J426))&amp;"（需晒单后联系客服登记）",IF(ISNUMBER(SEARCH("包修",J426)),"【购机】"&amp;MID(J426,SEARCH("购机",J426)+LEN("购机"),LEN(J426)),IF(ISNUMBER(SEARCH("叠放支架",J426)),"【赠品】"&amp;MID(J426,SEARCH("购机",J426)+LEN("购机"),LEN(J426)),IF(ISNUMBER(SEARCH("秀图",J426)),"【秀图】"&amp;MID(J426,SEARCH("秀图",J426)+LEN("秀图"),LEN(J426)),"")))),IFERROR(LEFT(_xlpm.A,FIND("【",_xlpm.A,FIND("】",_xlpm.A)+1)-1)&amp;MID(_xlpm.A,FIND("】",_xlpm.A,FIND("】",_xlpm.A)+1)+1,LEN(_xlpm.A)),_xlpm.A))</f>
        <v/>
      </c>
      <c r="F426" s="18" t="str">
        <f>_xlfn.LET(_xlpm.A,IF(ISNUMBER(SEARCH("晒单",K426)),"【晒单】"&amp;MID(K426,SEARCH("晒单",K426)+LEN("晒单"),LEN(K426))&amp;"（需晒单后联系客服登记）",IF(ISNUMBER(SEARCH("包修",K426)),"【购机】"&amp;MID(K426,SEARCH("购机",K426)+LEN("购机"),LEN(K426)),IF(ISNUMBER(SEARCH("叠放支架",K426)),"【赠品】"&amp;MID(K426,SEARCH("购机",K426)+LEN("购机"),LEN(K426)),IF(ISNUMBER(SEARCH("秀图",K426)),"【秀图】"&amp;MID(K426,SEARCH("秀图",K426)+LEN("秀图"),LEN(K426)),"")))),IFERROR(LEFT(_xlpm.A,FIND("【",_xlpm.A,FIND("】",_xlpm.A)+1)-1)&amp;MID(_xlpm.A,FIND("】",_xlpm.A,FIND("】",_xlpm.A)+1)+1,LEN(_xlpm.A)),_xlpm.A))</f>
        <v/>
      </c>
      <c r="G426" s="18" t="str">
        <f>_xlfn.LET(_xlpm.A,IF(ISNUMBER(SEARCH("晒单",L426)),"【晒单】"&amp;MID(L426,SEARCH("晒单",L426)+LEN("晒单"),LEN(L426))&amp;"（需晒单后联系客服登记）",IF(ISNUMBER(SEARCH("包修",L426)),"【购机】"&amp;MID(L426,SEARCH("购机",L426)+LEN("购机"),LEN(L426)),IF(ISNUMBER(SEARCH("叠放支架",L426)),"【赠品】"&amp;MID(L426,SEARCH("购机",L426)+LEN("购机"),LEN(L426)),IF(ISNUMBER(SEARCH("秀图",L426)),"【秀图】"&amp;MID(L426,SEARCH("秀图",L426)+LEN("秀图"),LEN(L426)),"")))),IFERROR(LEFT(_xlpm.A,FIND("【",_xlpm.A,FIND("】",_xlpm.A)+1)-1)&amp;MID(_xlpm.A,FIND("】",_xlpm.A,FIND("】",_xlpm.A)+1)+1,LEN(_xlpm.A)),_xlpm.A))</f>
        <v/>
      </c>
      <c r="H426" s="18" t="str">
        <f>_xlfn.LET(_xlpm.A,IF(ISNUMBER(SEARCH("晒单",M426)),"【晒单】"&amp;MID(M426,SEARCH("晒单",M426)+LEN("晒单"),LEN(M426))&amp;"（需晒单后联系客服登记）",IF(ISNUMBER(SEARCH("包修",M426)),"【购机】"&amp;MID(M426,SEARCH("购机",M426)+LEN("购机"),LEN(M426)),IF(ISNUMBER(SEARCH("叠放支架",M426)),"【赠品】"&amp;MID(M426,SEARCH("购机",M426)+LEN("购机"),LEN(M426)),IF(ISNUMBER(SEARCH("秀图",M426)),"【秀图】"&amp;MID(M426,SEARCH("秀图",M426)+LEN("秀图"),LEN(M426)),"")))),IFERROR(LEFT(_xlpm.A,FIND("【",_xlpm.A,FIND("】",_xlpm.A)+1)-1)&amp;MID(_xlpm.A,FIND("】",_xlpm.A,FIND("】",_xlpm.A)+1)+1,LEN(_xlpm.A)),_xlpm.A))</f>
        <v/>
      </c>
      <c r="I426" s="18" t="str">
        <f>_xlfn.LET(_xlpm.A,IF(ISNUMBER(SEARCH("晒单",N426)),"【晒单】"&amp;MID(N426,SEARCH("晒单",N426)+LEN("晒单"),LEN(N426))&amp;"（需晒单后联系客服登记）",IF(ISNUMBER(SEARCH("包修",N426)),"【购机】"&amp;MID(N426,SEARCH("购机",N426)+LEN("购机"),LEN(N426)),IF(ISNUMBER(SEARCH("叠放支架",N426)),"【赠品】"&amp;MID(N426,SEARCH("购机",N426)+LEN("购机"),LEN(N426)),IF(ISNUMBER(SEARCH("秀图",N426)),"【秀图】"&amp;MID(N426,SEARCH("秀图",N426)+LEN("秀图"),LEN(N426)),"")))),IFERROR(LEFT(_xlpm.A,FIND("【",_xlpm.A,FIND("】",_xlpm.A)+1)-1)&amp;MID(_xlpm.A,FIND("】",_xlpm.A,FIND("】",_xlpm.A)+1)+1,LEN(_xlpm.A)),_xlpm.A))</f>
        <v/>
      </c>
      <c r="J426" s="18" t="str" cm="1">
        <f t="array" ref="J426">IFERROR(INDEX(_xlfn.TEXTSPLIT(_xlfn.XLOOKUP($A426&amp;$B426&amp;$C426,盘货信息!$A:$A&amp;盘货信息!$B:$B&amp;盘货信息!$C:$C,盘货信息!$S:$S),CHAR(10),,TRUE),1,COLUMN(A425)),"")</f>
        <v/>
      </c>
      <c r="K426" s="18" t="str" cm="1">
        <f t="array" ref="K426">IFERROR(INDEX(_xlfn.TEXTSPLIT(_xlfn.XLOOKUP($A426&amp;$B426&amp;$C426,盘货信息!$A:$A&amp;盘货信息!$B:$B&amp;盘货信息!$C:$C,盘货信息!$S:$S),CHAR(10),,TRUE),1,COLUMN(B425)),"")</f>
        <v/>
      </c>
      <c r="L426" s="18" t="str" cm="1">
        <f t="array" ref="L426">IFERROR(INDEX(_xlfn.TEXTSPLIT(_xlfn.XLOOKUP($A426&amp;$B426&amp;$C426,盘货信息!$A:$A&amp;盘货信息!$B:$B&amp;盘货信息!$C:$C,盘货信息!$S:$S),CHAR(10),,TRUE),1,COLUMN(C425)),"")</f>
        <v/>
      </c>
      <c r="M426" s="18" t="str" cm="1">
        <f t="array" ref="M426">IFERROR(INDEX(_xlfn.TEXTSPLIT(_xlfn.XLOOKUP($A426&amp;$B426&amp;$C426,盘货信息!$A:$A&amp;盘货信息!$B:$B&amp;盘货信息!$C:$C,盘货信息!$S:$S),CHAR(10),,TRUE),1,COLUMN(D425)),"")</f>
        <v/>
      </c>
      <c r="N426" s="18" t="str" cm="1">
        <f t="array" ref="N426">IFERROR(INDEX(_xlfn.TEXTSPLIT(_xlfn.XLOOKUP($A426&amp;$B426&amp;$C426,盘货信息!$A:$A&amp;盘货信息!$B:$B&amp;盘货信息!$C:$C,盘货信息!$S:$S),CHAR(10),,TRUE),1,COLUMN(E425)),"")</f>
        <v/>
      </c>
    </row>
    <row r="427" customHeight="1" spans="1:14">
      <c r="A427" s="17" t="str">
        <f>IF(盘货信息!A427="","",盘货信息!A427)</f>
        <v/>
      </c>
      <c r="B427" s="17" t="str">
        <f>IF(盘货信息!B427="","",盘货信息!B427)</f>
        <v/>
      </c>
      <c r="C427" s="18" t="str">
        <f>IF(盘货信息!C427="","",盘货信息!C427)</f>
        <v/>
      </c>
      <c r="D427" s="18" t="str">
        <f t="shared" si="6"/>
        <v/>
      </c>
      <c r="E427" s="18" t="str">
        <f>_xlfn.LET(_xlpm.A,IF(ISNUMBER(SEARCH("晒单",J427)),"【晒单】"&amp;MID(J427,SEARCH("晒单",J427)+LEN("晒单"),LEN(J427))&amp;"（需晒单后联系客服登记）",IF(ISNUMBER(SEARCH("包修",J427)),"【购机】"&amp;MID(J427,SEARCH("购机",J427)+LEN("购机"),LEN(J427)),IF(ISNUMBER(SEARCH("叠放支架",J427)),"【赠品】"&amp;MID(J427,SEARCH("购机",J427)+LEN("购机"),LEN(J427)),IF(ISNUMBER(SEARCH("秀图",J427)),"【秀图】"&amp;MID(J427,SEARCH("秀图",J427)+LEN("秀图"),LEN(J427)),"")))),IFERROR(LEFT(_xlpm.A,FIND("【",_xlpm.A,FIND("】",_xlpm.A)+1)-1)&amp;MID(_xlpm.A,FIND("】",_xlpm.A,FIND("】",_xlpm.A)+1)+1,LEN(_xlpm.A)),_xlpm.A))</f>
        <v/>
      </c>
      <c r="F427" s="18" t="str">
        <f>_xlfn.LET(_xlpm.A,IF(ISNUMBER(SEARCH("晒单",K427)),"【晒单】"&amp;MID(K427,SEARCH("晒单",K427)+LEN("晒单"),LEN(K427))&amp;"（需晒单后联系客服登记）",IF(ISNUMBER(SEARCH("包修",K427)),"【购机】"&amp;MID(K427,SEARCH("购机",K427)+LEN("购机"),LEN(K427)),IF(ISNUMBER(SEARCH("叠放支架",K427)),"【赠品】"&amp;MID(K427,SEARCH("购机",K427)+LEN("购机"),LEN(K427)),IF(ISNUMBER(SEARCH("秀图",K427)),"【秀图】"&amp;MID(K427,SEARCH("秀图",K427)+LEN("秀图"),LEN(K427)),"")))),IFERROR(LEFT(_xlpm.A,FIND("【",_xlpm.A,FIND("】",_xlpm.A)+1)-1)&amp;MID(_xlpm.A,FIND("】",_xlpm.A,FIND("】",_xlpm.A)+1)+1,LEN(_xlpm.A)),_xlpm.A))</f>
        <v/>
      </c>
      <c r="G427" s="18" t="str">
        <f>_xlfn.LET(_xlpm.A,IF(ISNUMBER(SEARCH("晒单",L427)),"【晒单】"&amp;MID(L427,SEARCH("晒单",L427)+LEN("晒单"),LEN(L427))&amp;"（需晒单后联系客服登记）",IF(ISNUMBER(SEARCH("包修",L427)),"【购机】"&amp;MID(L427,SEARCH("购机",L427)+LEN("购机"),LEN(L427)),IF(ISNUMBER(SEARCH("叠放支架",L427)),"【赠品】"&amp;MID(L427,SEARCH("购机",L427)+LEN("购机"),LEN(L427)),IF(ISNUMBER(SEARCH("秀图",L427)),"【秀图】"&amp;MID(L427,SEARCH("秀图",L427)+LEN("秀图"),LEN(L427)),"")))),IFERROR(LEFT(_xlpm.A,FIND("【",_xlpm.A,FIND("】",_xlpm.A)+1)-1)&amp;MID(_xlpm.A,FIND("】",_xlpm.A,FIND("】",_xlpm.A)+1)+1,LEN(_xlpm.A)),_xlpm.A))</f>
        <v/>
      </c>
      <c r="H427" s="18" t="str">
        <f>_xlfn.LET(_xlpm.A,IF(ISNUMBER(SEARCH("晒单",M427)),"【晒单】"&amp;MID(M427,SEARCH("晒单",M427)+LEN("晒单"),LEN(M427))&amp;"（需晒单后联系客服登记）",IF(ISNUMBER(SEARCH("包修",M427)),"【购机】"&amp;MID(M427,SEARCH("购机",M427)+LEN("购机"),LEN(M427)),IF(ISNUMBER(SEARCH("叠放支架",M427)),"【赠品】"&amp;MID(M427,SEARCH("购机",M427)+LEN("购机"),LEN(M427)),IF(ISNUMBER(SEARCH("秀图",M427)),"【秀图】"&amp;MID(M427,SEARCH("秀图",M427)+LEN("秀图"),LEN(M427)),"")))),IFERROR(LEFT(_xlpm.A,FIND("【",_xlpm.A,FIND("】",_xlpm.A)+1)-1)&amp;MID(_xlpm.A,FIND("】",_xlpm.A,FIND("】",_xlpm.A)+1)+1,LEN(_xlpm.A)),_xlpm.A))</f>
        <v/>
      </c>
      <c r="I427" s="18" t="str">
        <f>_xlfn.LET(_xlpm.A,IF(ISNUMBER(SEARCH("晒单",N427)),"【晒单】"&amp;MID(N427,SEARCH("晒单",N427)+LEN("晒单"),LEN(N427))&amp;"（需晒单后联系客服登记）",IF(ISNUMBER(SEARCH("包修",N427)),"【购机】"&amp;MID(N427,SEARCH("购机",N427)+LEN("购机"),LEN(N427)),IF(ISNUMBER(SEARCH("叠放支架",N427)),"【赠品】"&amp;MID(N427,SEARCH("购机",N427)+LEN("购机"),LEN(N427)),IF(ISNUMBER(SEARCH("秀图",N427)),"【秀图】"&amp;MID(N427,SEARCH("秀图",N427)+LEN("秀图"),LEN(N427)),"")))),IFERROR(LEFT(_xlpm.A,FIND("【",_xlpm.A,FIND("】",_xlpm.A)+1)-1)&amp;MID(_xlpm.A,FIND("】",_xlpm.A,FIND("】",_xlpm.A)+1)+1,LEN(_xlpm.A)),_xlpm.A))</f>
        <v/>
      </c>
      <c r="J427" s="18" t="str" cm="1">
        <f t="array" ref="J427">IFERROR(INDEX(_xlfn.TEXTSPLIT(_xlfn.XLOOKUP($A427&amp;$B427&amp;$C427,盘货信息!$A:$A&amp;盘货信息!$B:$B&amp;盘货信息!$C:$C,盘货信息!$S:$S),CHAR(10),,TRUE),1,COLUMN(A426)),"")</f>
        <v/>
      </c>
      <c r="K427" s="18" t="str" cm="1">
        <f t="array" ref="K427">IFERROR(INDEX(_xlfn.TEXTSPLIT(_xlfn.XLOOKUP($A427&amp;$B427&amp;$C427,盘货信息!$A:$A&amp;盘货信息!$B:$B&amp;盘货信息!$C:$C,盘货信息!$S:$S),CHAR(10),,TRUE),1,COLUMN(B426)),"")</f>
        <v/>
      </c>
      <c r="L427" s="18" t="str" cm="1">
        <f t="array" ref="L427">IFERROR(INDEX(_xlfn.TEXTSPLIT(_xlfn.XLOOKUP($A427&amp;$B427&amp;$C427,盘货信息!$A:$A&amp;盘货信息!$B:$B&amp;盘货信息!$C:$C,盘货信息!$S:$S),CHAR(10),,TRUE),1,COLUMN(C426)),"")</f>
        <v/>
      </c>
      <c r="M427" s="18" t="str" cm="1">
        <f t="array" ref="M427">IFERROR(INDEX(_xlfn.TEXTSPLIT(_xlfn.XLOOKUP($A427&amp;$B427&amp;$C427,盘货信息!$A:$A&amp;盘货信息!$B:$B&amp;盘货信息!$C:$C,盘货信息!$S:$S),CHAR(10),,TRUE),1,COLUMN(D426)),"")</f>
        <v/>
      </c>
      <c r="N427" s="18" t="str" cm="1">
        <f t="array" ref="N427">IFERROR(INDEX(_xlfn.TEXTSPLIT(_xlfn.XLOOKUP($A427&amp;$B427&amp;$C427,盘货信息!$A:$A&amp;盘货信息!$B:$B&amp;盘货信息!$C:$C,盘货信息!$S:$S),CHAR(10),,TRUE),1,COLUMN(E426)),"")</f>
        <v/>
      </c>
    </row>
    <row r="428" customHeight="1" spans="1:14">
      <c r="A428" s="17" t="str">
        <f>IF(盘货信息!A428="","",盘货信息!A428)</f>
        <v/>
      </c>
      <c r="B428" s="17" t="str">
        <f>IF(盘货信息!B428="","",盘货信息!B428)</f>
        <v/>
      </c>
      <c r="C428" s="18" t="str">
        <f>IF(盘货信息!C428="","",盘货信息!C428)</f>
        <v/>
      </c>
      <c r="D428" s="18" t="str">
        <f t="shared" si="6"/>
        <v/>
      </c>
      <c r="E428" s="18" t="str">
        <f>_xlfn.LET(_xlpm.A,IF(ISNUMBER(SEARCH("晒单",J428)),"【晒单】"&amp;MID(J428,SEARCH("晒单",J428)+LEN("晒单"),LEN(J428))&amp;"（需晒单后联系客服登记）",IF(ISNUMBER(SEARCH("包修",J428)),"【购机】"&amp;MID(J428,SEARCH("购机",J428)+LEN("购机"),LEN(J428)),IF(ISNUMBER(SEARCH("叠放支架",J428)),"【赠品】"&amp;MID(J428,SEARCH("购机",J428)+LEN("购机"),LEN(J428)),IF(ISNUMBER(SEARCH("秀图",J428)),"【秀图】"&amp;MID(J428,SEARCH("秀图",J428)+LEN("秀图"),LEN(J428)),"")))),IFERROR(LEFT(_xlpm.A,FIND("【",_xlpm.A,FIND("】",_xlpm.A)+1)-1)&amp;MID(_xlpm.A,FIND("】",_xlpm.A,FIND("】",_xlpm.A)+1)+1,LEN(_xlpm.A)),_xlpm.A))</f>
        <v/>
      </c>
      <c r="F428" s="18" t="str">
        <f>_xlfn.LET(_xlpm.A,IF(ISNUMBER(SEARCH("晒单",K428)),"【晒单】"&amp;MID(K428,SEARCH("晒单",K428)+LEN("晒单"),LEN(K428))&amp;"（需晒单后联系客服登记）",IF(ISNUMBER(SEARCH("包修",K428)),"【购机】"&amp;MID(K428,SEARCH("购机",K428)+LEN("购机"),LEN(K428)),IF(ISNUMBER(SEARCH("叠放支架",K428)),"【赠品】"&amp;MID(K428,SEARCH("购机",K428)+LEN("购机"),LEN(K428)),IF(ISNUMBER(SEARCH("秀图",K428)),"【秀图】"&amp;MID(K428,SEARCH("秀图",K428)+LEN("秀图"),LEN(K428)),"")))),IFERROR(LEFT(_xlpm.A,FIND("【",_xlpm.A,FIND("】",_xlpm.A)+1)-1)&amp;MID(_xlpm.A,FIND("】",_xlpm.A,FIND("】",_xlpm.A)+1)+1,LEN(_xlpm.A)),_xlpm.A))</f>
        <v/>
      </c>
      <c r="G428" s="18" t="str">
        <f>_xlfn.LET(_xlpm.A,IF(ISNUMBER(SEARCH("晒单",L428)),"【晒单】"&amp;MID(L428,SEARCH("晒单",L428)+LEN("晒单"),LEN(L428))&amp;"（需晒单后联系客服登记）",IF(ISNUMBER(SEARCH("包修",L428)),"【购机】"&amp;MID(L428,SEARCH("购机",L428)+LEN("购机"),LEN(L428)),IF(ISNUMBER(SEARCH("叠放支架",L428)),"【赠品】"&amp;MID(L428,SEARCH("购机",L428)+LEN("购机"),LEN(L428)),IF(ISNUMBER(SEARCH("秀图",L428)),"【秀图】"&amp;MID(L428,SEARCH("秀图",L428)+LEN("秀图"),LEN(L428)),"")))),IFERROR(LEFT(_xlpm.A,FIND("【",_xlpm.A,FIND("】",_xlpm.A)+1)-1)&amp;MID(_xlpm.A,FIND("】",_xlpm.A,FIND("】",_xlpm.A)+1)+1,LEN(_xlpm.A)),_xlpm.A))</f>
        <v/>
      </c>
      <c r="H428" s="18" t="str">
        <f>_xlfn.LET(_xlpm.A,IF(ISNUMBER(SEARCH("晒单",M428)),"【晒单】"&amp;MID(M428,SEARCH("晒单",M428)+LEN("晒单"),LEN(M428))&amp;"（需晒单后联系客服登记）",IF(ISNUMBER(SEARCH("包修",M428)),"【购机】"&amp;MID(M428,SEARCH("购机",M428)+LEN("购机"),LEN(M428)),IF(ISNUMBER(SEARCH("叠放支架",M428)),"【赠品】"&amp;MID(M428,SEARCH("购机",M428)+LEN("购机"),LEN(M428)),IF(ISNUMBER(SEARCH("秀图",M428)),"【秀图】"&amp;MID(M428,SEARCH("秀图",M428)+LEN("秀图"),LEN(M428)),"")))),IFERROR(LEFT(_xlpm.A,FIND("【",_xlpm.A,FIND("】",_xlpm.A)+1)-1)&amp;MID(_xlpm.A,FIND("】",_xlpm.A,FIND("】",_xlpm.A)+1)+1,LEN(_xlpm.A)),_xlpm.A))</f>
        <v/>
      </c>
      <c r="I428" s="18" t="str">
        <f>_xlfn.LET(_xlpm.A,IF(ISNUMBER(SEARCH("晒单",N428)),"【晒单】"&amp;MID(N428,SEARCH("晒单",N428)+LEN("晒单"),LEN(N428))&amp;"（需晒单后联系客服登记）",IF(ISNUMBER(SEARCH("包修",N428)),"【购机】"&amp;MID(N428,SEARCH("购机",N428)+LEN("购机"),LEN(N428)),IF(ISNUMBER(SEARCH("叠放支架",N428)),"【赠品】"&amp;MID(N428,SEARCH("购机",N428)+LEN("购机"),LEN(N428)),IF(ISNUMBER(SEARCH("秀图",N428)),"【秀图】"&amp;MID(N428,SEARCH("秀图",N428)+LEN("秀图"),LEN(N428)),"")))),IFERROR(LEFT(_xlpm.A,FIND("【",_xlpm.A,FIND("】",_xlpm.A)+1)-1)&amp;MID(_xlpm.A,FIND("】",_xlpm.A,FIND("】",_xlpm.A)+1)+1,LEN(_xlpm.A)),_xlpm.A))</f>
        <v/>
      </c>
      <c r="J428" s="18" t="str" cm="1">
        <f t="array" ref="J428">IFERROR(INDEX(_xlfn.TEXTSPLIT(_xlfn.XLOOKUP($A428&amp;$B428&amp;$C428,盘货信息!$A:$A&amp;盘货信息!$B:$B&amp;盘货信息!$C:$C,盘货信息!$S:$S),CHAR(10),,TRUE),1,COLUMN(A427)),"")</f>
        <v/>
      </c>
      <c r="K428" s="18" t="str" cm="1">
        <f t="array" ref="K428">IFERROR(INDEX(_xlfn.TEXTSPLIT(_xlfn.XLOOKUP($A428&amp;$B428&amp;$C428,盘货信息!$A:$A&amp;盘货信息!$B:$B&amp;盘货信息!$C:$C,盘货信息!$S:$S),CHAR(10),,TRUE),1,COLUMN(B427)),"")</f>
        <v/>
      </c>
      <c r="L428" s="18" t="str" cm="1">
        <f t="array" ref="L428">IFERROR(INDEX(_xlfn.TEXTSPLIT(_xlfn.XLOOKUP($A428&amp;$B428&amp;$C428,盘货信息!$A:$A&amp;盘货信息!$B:$B&amp;盘货信息!$C:$C,盘货信息!$S:$S),CHAR(10),,TRUE),1,COLUMN(C427)),"")</f>
        <v/>
      </c>
      <c r="M428" s="18" t="str" cm="1">
        <f t="array" ref="M428">IFERROR(INDEX(_xlfn.TEXTSPLIT(_xlfn.XLOOKUP($A428&amp;$B428&amp;$C428,盘货信息!$A:$A&amp;盘货信息!$B:$B&amp;盘货信息!$C:$C,盘货信息!$S:$S),CHAR(10),,TRUE),1,COLUMN(D427)),"")</f>
        <v/>
      </c>
      <c r="N428" s="18" t="str" cm="1">
        <f t="array" ref="N428">IFERROR(INDEX(_xlfn.TEXTSPLIT(_xlfn.XLOOKUP($A428&amp;$B428&amp;$C428,盘货信息!$A:$A&amp;盘货信息!$B:$B&amp;盘货信息!$C:$C,盘货信息!$S:$S),CHAR(10),,TRUE),1,COLUMN(E427)),"")</f>
        <v/>
      </c>
    </row>
    <row r="429" customHeight="1" spans="1:14">
      <c r="A429" s="17" t="str">
        <f>IF(盘货信息!A429="","",盘货信息!A429)</f>
        <v/>
      </c>
      <c r="B429" s="17" t="str">
        <f>IF(盘货信息!B429="","",盘货信息!B429)</f>
        <v/>
      </c>
      <c r="C429" s="18" t="str">
        <f>IF(盘货信息!C429="","",盘货信息!C429)</f>
        <v/>
      </c>
      <c r="D429" s="18" t="str">
        <f t="shared" si="6"/>
        <v/>
      </c>
      <c r="E429" s="18" t="str">
        <f>_xlfn.LET(_xlpm.A,IF(ISNUMBER(SEARCH("晒单",J429)),"【晒单】"&amp;MID(J429,SEARCH("晒单",J429)+LEN("晒单"),LEN(J429))&amp;"（需晒单后联系客服登记）",IF(ISNUMBER(SEARCH("包修",J429)),"【购机】"&amp;MID(J429,SEARCH("购机",J429)+LEN("购机"),LEN(J429)),IF(ISNUMBER(SEARCH("叠放支架",J429)),"【赠品】"&amp;MID(J429,SEARCH("购机",J429)+LEN("购机"),LEN(J429)),IF(ISNUMBER(SEARCH("秀图",J429)),"【秀图】"&amp;MID(J429,SEARCH("秀图",J429)+LEN("秀图"),LEN(J429)),"")))),IFERROR(LEFT(_xlpm.A,FIND("【",_xlpm.A,FIND("】",_xlpm.A)+1)-1)&amp;MID(_xlpm.A,FIND("】",_xlpm.A,FIND("】",_xlpm.A)+1)+1,LEN(_xlpm.A)),_xlpm.A))</f>
        <v/>
      </c>
      <c r="F429" s="18" t="str">
        <f>_xlfn.LET(_xlpm.A,IF(ISNUMBER(SEARCH("晒单",K429)),"【晒单】"&amp;MID(K429,SEARCH("晒单",K429)+LEN("晒单"),LEN(K429))&amp;"（需晒单后联系客服登记）",IF(ISNUMBER(SEARCH("包修",K429)),"【购机】"&amp;MID(K429,SEARCH("购机",K429)+LEN("购机"),LEN(K429)),IF(ISNUMBER(SEARCH("叠放支架",K429)),"【赠品】"&amp;MID(K429,SEARCH("购机",K429)+LEN("购机"),LEN(K429)),IF(ISNUMBER(SEARCH("秀图",K429)),"【秀图】"&amp;MID(K429,SEARCH("秀图",K429)+LEN("秀图"),LEN(K429)),"")))),IFERROR(LEFT(_xlpm.A,FIND("【",_xlpm.A,FIND("】",_xlpm.A)+1)-1)&amp;MID(_xlpm.A,FIND("】",_xlpm.A,FIND("】",_xlpm.A)+1)+1,LEN(_xlpm.A)),_xlpm.A))</f>
        <v/>
      </c>
      <c r="G429" s="18" t="str">
        <f>_xlfn.LET(_xlpm.A,IF(ISNUMBER(SEARCH("晒单",L429)),"【晒单】"&amp;MID(L429,SEARCH("晒单",L429)+LEN("晒单"),LEN(L429))&amp;"（需晒单后联系客服登记）",IF(ISNUMBER(SEARCH("包修",L429)),"【购机】"&amp;MID(L429,SEARCH("购机",L429)+LEN("购机"),LEN(L429)),IF(ISNUMBER(SEARCH("叠放支架",L429)),"【赠品】"&amp;MID(L429,SEARCH("购机",L429)+LEN("购机"),LEN(L429)),IF(ISNUMBER(SEARCH("秀图",L429)),"【秀图】"&amp;MID(L429,SEARCH("秀图",L429)+LEN("秀图"),LEN(L429)),"")))),IFERROR(LEFT(_xlpm.A,FIND("【",_xlpm.A,FIND("】",_xlpm.A)+1)-1)&amp;MID(_xlpm.A,FIND("】",_xlpm.A,FIND("】",_xlpm.A)+1)+1,LEN(_xlpm.A)),_xlpm.A))</f>
        <v/>
      </c>
      <c r="H429" s="18" t="str">
        <f>_xlfn.LET(_xlpm.A,IF(ISNUMBER(SEARCH("晒单",M429)),"【晒单】"&amp;MID(M429,SEARCH("晒单",M429)+LEN("晒单"),LEN(M429))&amp;"（需晒单后联系客服登记）",IF(ISNUMBER(SEARCH("包修",M429)),"【购机】"&amp;MID(M429,SEARCH("购机",M429)+LEN("购机"),LEN(M429)),IF(ISNUMBER(SEARCH("叠放支架",M429)),"【赠品】"&amp;MID(M429,SEARCH("购机",M429)+LEN("购机"),LEN(M429)),IF(ISNUMBER(SEARCH("秀图",M429)),"【秀图】"&amp;MID(M429,SEARCH("秀图",M429)+LEN("秀图"),LEN(M429)),"")))),IFERROR(LEFT(_xlpm.A,FIND("【",_xlpm.A,FIND("】",_xlpm.A)+1)-1)&amp;MID(_xlpm.A,FIND("】",_xlpm.A,FIND("】",_xlpm.A)+1)+1,LEN(_xlpm.A)),_xlpm.A))</f>
        <v/>
      </c>
      <c r="I429" s="18" t="str">
        <f>_xlfn.LET(_xlpm.A,IF(ISNUMBER(SEARCH("晒单",N429)),"【晒单】"&amp;MID(N429,SEARCH("晒单",N429)+LEN("晒单"),LEN(N429))&amp;"（需晒单后联系客服登记）",IF(ISNUMBER(SEARCH("包修",N429)),"【购机】"&amp;MID(N429,SEARCH("购机",N429)+LEN("购机"),LEN(N429)),IF(ISNUMBER(SEARCH("叠放支架",N429)),"【赠品】"&amp;MID(N429,SEARCH("购机",N429)+LEN("购机"),LEN(N429)),IF(ISNUMBER(SEARCH("秀图",N429)),"【秀图】"&amp;MID(N429,SEARCH("秀图",N429)+LEN("秀图"),LEN(N429)),"")))),IFERROR(LEFT(_xlpm.A,FIND("【",_xlpm.A,FIND("】",_xlpm.A)+1)-1)&amp;MID(_xlpm.A,FIND("】",_xlpm.A,FIND("】",_xlpm.A)+1)+1,LEN(_xlpm.A)),_xlpm.A))</f>
        <v/>
      </c>
      <c r="J429" s="18" t="str" cm="1">
        <f t="array" ref="J429">IFERROR(INDEX(_xlfn.TEXTSPLIT(_xlfn.XLOOKUP($A429&amp;$B429&amp;$C429,盘货信息!$A:$A&amp;盘货信息!$B:$B&amp;盘货信息!$C:$C,盘货信息!$S:$S),CHAR(10),,TRUE),1,COLUMN(A428)),"")</f>
        <v/>
      </c>
      <c r="K429" s="18" t="str" cm="1">
        <f t="array" ref="K429">IFERROR(INDEX(_xlfn.TEXTSPLIT(_xlfn.XLOOKUP($A429&amp;$B429&amp;$C429,盘货信息!$A:$A&amp;盘货信息!$B:$B&amp;盘货信息!$C:$C,盘货信息!$S:$S),CHAR(10),,TRUE),1,COLUMN(B428)),"")</f>
        <v/>
      </c>
      <c r="L429" s="18" t="str" cm="1">
        <f t="array" ref="L429">IFERROR(INDEX(_xlfn.TEXTSPLIT(_xlfn.XLOOKUP($A429&amp;$B429&amp;$C429,盘货信息!$A:$A&amp;盘货信息!$B:$B&amp;盘货信息!$C:$C,盘货信息!$S:$S),CHAR(10),,TRUE),1,COLUMN(C428)),"")</f>
        <v/>
      </c>
      <c r="M429" s="18" t="str" cm="1">
        <f t="array" ref="M429">IFERROR(INDEX(_xlfn.TEXTSPLIT(_xlfn.XLOOKUP($A429&amp;$B429&amp;$C429,盘货信息!$A:$A&amp;盘货信息!$B:$B&amp;盘货信息!$C:$C,盘货信息!$S:$S),CHAR(10),,TRUE),1,COLUMN(D428)),"")</f>
        <v/>
      </c>
      <c r="N429" s="18" t="str" cm="1">
        <f t="array" ref="N429">IFERROR(INDEX(_xlfn.TEXTSPLIT(_xlfn.XLOOKUP($A429&amp;$B429&amp;$C429,盘货信息!$A:$A&amp;盘货信息!$B:$B&amp;盘货信息!$C:$C,盘货信息!$S:$S),CHAR(10),,TRUE),1,COLUMN(E428)),"")</f>
        <v/>
      </c>
    </row>
    <row r="430" customHeight="1" spans="1:14">
      <c r="A430" s="17" t="str">
        <f>IF(盘货信息!A430="","",盘货信息!A430)</f>
        <v/>
      </c>
      <c r="B430" s="17" t="str">
        <f>IF(盘货信息!B430="","",盘货信息!B430)</f>
        <v/>
      </c>
      <c r="C430" s="18" t="str">
        <f>IF(盘货信息!C430="","",盘货信息!C430)</f>
        <v/>
      </c>
      <c r="D430" s="18" t="str">
        <f t="shared" si="6"/>
        <v/>
      </c>
      <c r="E430" s="18" t="str">
        <f>_xlfn.LET(_xlpm.A,IF(ISNUMBER(SEARCH("晒单",J430)),"【晒单】"&amp;MID(J430,SEARCH("晒单",J430)+LEN("晒单"),LEN(J430))&amp;"（需晒单后联系客服登记）",IF(ISNUMBER(SEARCH("包修",J430)),"【购机】"&amp;MID(J430,SEARCH("购机",J430)+LEN("购机"),LEN(J430)),IF(ISNUMBER(SEARCH("叠放支架",J430)),"【赠品】"&amp;MID(J430,SEARCH("购机",J430)+LEN("购机"),LEN(J430)),IF(ISNUMBER(SEARCH("秀图",J430)),"【秀图】"&amp;MID(J430,SEARCH("秀图",J430)+LEN("秀图"),LEN(J430)),"")))),IFERROR(LEFT(_xlpm.A,FIND("【",_xlpm.A,FIND("】",_xlpm.A)+1)-1)&amp;MID(_xlpm.A,FIND("】",_xlpm.A,FIND("】",_xlpm.A)+1)+1,LEN(_xlpm.A)),_xlpm.A))</f>
        <v/>
      </c>
      <c r="F430" s="18" t="str">
        <f>_xlfn.LET(_xlpm.A,IF(ISNUMBER(SEARCH("晒单",K430)),"【晒单】"&amp;MID(K430,SEARCH("晒单",K430)+LEN("晒单"),LEN(K430))&amp;"（需晒单后联系客服登记）",IF(ISNUMBER(SEARCH("包修",K430)),"【购机】"&amp;MID(K430,SEARCH("购机",K430)+LEN("购机"),LEN(K430)),IF(ISNUMBER(SEARCH("叠放支架",K430)),"【赠品】"&amp;MID(K430,SEARCH("购机",K430)+LEN("购机"),LEN(K430)),IF(ISNUMBER(SEARCH("秀图",K430)),"【秀图】"&amp;MID(K430,SEARCH("秀图",K430)+LEN("秀图"),LEN(K430)),"")))),IFERROR(LEFT(_xlpm.A,FIND("【",_xlpm.A,FIND("】",_xlpm.A)+1)-1)&amp;MID(_xlpm.A,FIND("】",_xlpm.A,FIND("】",_xlpm.A)+1)+1,LEN(_xlpm.A)),_xlpm.A))</f>
        <v/>
      </c>
      <c r="G430" s="18" t="str">
        <f>_xlfn.LET(_xlpm.A,IF(ISNUMBER(SEARCH("晒单",L430)),"【晒单】"&amp;MID(L430,SEARCH("晒单",L430)+LEN("晒单"),LEN(L430))&amp;"（需晒单后联系客服登记）",IF(ISNUMBER(SEARCH("包修",L430)),"【购机】"&amp;MID(L430,SEARCH("购机",L430)+LEN("购机"),LEN(L430)),IF(ISNUMBER(SEARCH("叠放支架",L430)),"【赠品】"&amp;MID(L430,SEARCH("购机",L430)+LEN("购机"),LEN(L430)),IF(ISNUMBER(SEARCH("秀图",L430)),"【秀图】"&amp;MID(L430,SEARCH("秀图",L430)+LEN("秀图"),LEN(L430)),"")))),IFERROR(LEFT(_xlpm.A,FIND("【",_xlpm.A,FIND("】",_xlpm.A)+1)-1)&amp;MID(_xlpm.A,FIND("】",_xlpm.A,FIND("】",_xlpm.A)+1)+1,LEN(_xlpm.A)),_xlpm.A))</f>
        <v/>
      </c>
      <c r="H430" s="18" t="str">
        <f>_xlfn.LET(_xlpm.A,IF(ISNUMBER(SEARCH("晒单",M430)),"【晒单】"&amp;MID(M430,SEARCH("晒单",M430)+LEN("晒单"),LEN(M430))&amp;"（需晒单后联系客服登记）",IF(ISNUMBER(SEARCH("包修",M430)),"【购机】"&amp;MID(M430,SEARCH("购机",M430)+LEN("购机"),LEN(M430)),IF(ISNUMBER(SEARCH("叠放支架",M430)),"【赠品】"&amp;MID(M430,SEARCH("购机",M430)+LEN("购机"),LEN(M430)),IF(ISNUMBER(SEARCH("秀图",M430)),"【秀图】"&amp;MID(M430,SEARCH("秀图",M430)+LEN("秀图"),LEN(M430)),"")))),IFERROR(LEFT(_xlpm.A,FIND("【",_xlpm.A,FIND("】",_xlpm.A)+1)-1)&amp;MID(_xlpm.A,FIND("】",_xlpm.A,FIND("】",_xlpm.A)+1)+1,LEN(_xlpm.A)),_xlpm.A))</f>
        <v/>
      </c>
      <c r="I430" s="18" t="str">
        <f>_xlfn.LET(_xlpm.A,IF(ISNUMBER(SEARCH("晒单",N430)),"【晒单】"&amp;MID(N430,SEARCH("晒单",N430)+LEN("晒单"),LEN(N430))&amp;"（需晒单后联系客服登记）",IF(ISNUMBER(SEARCH("包修",N430)),"【购机】"&amp;MID(N430,SEARCH("购机",N430)+LEN("购机"),LEN(N430)),IF(ISNUMBER(SEARCH("叠放支架",N430)),"【赠品】"&amp;MID(N430,SEARCH("购机",N430)+LEN("购机"),LEN(N430)),IF(ISNUMBER(SEARCH("秀图",N430)),"【秀图】"&amp;MID(N430,SEARCH("秀图",N430)+LEN("秀图"),LEN(N430)),"")))),IFERROR(LEFT(_xlpm.A,FIND("【",_xlpm.A,FIND("】",_xlpm.A)+1)-1)&amp;MID(_xlpm.A,FIND("】",_xlpm.A,FIND("】",_xlpm.A)+1)+1,LEN(_xlpm.A)),_xlpm.A))</f>
        <v/>
      </c>
      <c r="J430" s="18" t="str" cm="1">
        <f t="array" ref="J430">IFERROR(INDEX(_xlfn.TEXTSPLIT(_xlfn.XLOOKUP($A430&amp;$B430&amp;$C430,盘货信息!$A:$A&amp;盘货信息!$B:$B&amp;盘货信息!$C:$C,盘货信息!$S:$S),CHAR(10),,TRUE),1,COLUMN(A429)),"")</f>
        <v/>
      </c>
      <c r="K430" s="18" t="str" cm="1">
        <f t="array" ref="K430">IFERROR(INDEX(_xlfn.TEXTSPLIT(_xlfn.XLOOKUP($A430&amp;$B430&amp;$C430,盘货信息!$A:$A&amp;盘货信息!$B:$B&amp;盘货信息!$C:$C,盘货信息!$S:$S),CHAR(10),,TRUE),1,COLUMN(B429)),"")</f>
        <v/>
      </c>
      <c r="L430" s="18" t="str" cm="1">
        <f t="array" ref="L430">IFERROR(INDEX(_xlfn.TEXTSPLIT(_xlfn.XLOOKUP($A430&amp;$B430&amp;$C430,盘货信息!$A:$A&amp;盘货信息!$B:$B&amp;盘货信息!$C:$C,盘货信息!$S:$S),CHAR(10),,TRUE),1,COLUMN(C429)),"")</f>
        <v/>
      </c>
      <c r="M430" s="18" t="str" cm="1">
        <f t="array" ref="M430">IFERROR(INDEX(_xlfn.TEXTSPLIT(_xlfn.XLOOKUP($A430&amp;$B430&amp;$C430,盘货信息!$A:$A&amp;盘货信息!$B:$B&amp;盘货信息!$C:$C,盘货信息!$S:$S),CHAR(10),,TRUE),1,COLUMN(D429)),"")</f>
        <v/>
      </c>
      <c r="N430" s="18" t="str" cm="1">
        <f t="array" ref="N430">IFERROR(INDEX(_xlfn.TEXTSPLIT(_xlfn.XLOOKUP($A430&amp;$B430&amp;$C430,盘货信息!$A:$A&amp;盘货信息!$B:$B&amp;盘货信息!$C:$C,盘货信息!$S:$S),CHAR(10),,TRUE),1,COLUMN(E429)),"")</f>
        <v/>
      </c>
    </row>
    <row r="431" customHeight="1" spans="1:14">
      <c r="A431" s="17" t="str">
        <f>IF(盘货信息!A431="","",盘货信息!A431)</f>
        <v/>
      </c>
      <c r="B431" s="17" t="str">
        <f>IF(盘货信息!B431="","",盘货信息!B431)</f>
        <v/>
      </c>
      <c r="C431" s="18" t="str">
        <f>IF(盘货信息!C431="","",盘货信息!C431)</f>
        <v/>
      </c>
      <c r="D431" s="18" t="str">
        <f t="shared" si="6"/>
        <v/>
      </c>
      <c r="E431" s="18" t="str">
        <f>_xlfn.LET(_xlpm.A,IF(ISNUMBER(SEARCH("晒单",J431)),"【晒单】"&amp;MID(J431,SEARCH("晒单",J431)+LEN("晒单"),LEN(J431))&amp;"（需晒单后联系客服登记）",IF(ISNUMBER(SEARCH("包修",J431)),"【购机】"&amp;MID(J431,SEARCH("购机",J431)+LEN("购机"),LEN(J431)),IF(ISNUMBER(SEARCH("叠放支架",J431)),"【赠品】"&amp;MID(J431,SEARCH("购机",J431)+LEN("购机"),LEN(J431)),IF(ISNUMBER(SEARCH("秀图",J431)),"【秀图】"&amp;MID(J431,SEARCH("秀图",J431)+LEN("秀图"),LEN(J431)),"")))),IFERROR(LEFT(_xlpm.A,FIND("【",_xlpm.A,FIND("】",_xlpm.A)+1)-1)&amp;MID(_xlpm.A,FIND("】",_xlpm.A,FIND("】",_xlpm.A)+1)+1,LEN(_xlpm.A)),_xlpm.A))</f>
        <v/>
      </c>
      <c r="F431" s="18" t="str">
        <f>_xlfn.LET(_xlpm.A,IF(ISNUMBER(SEARCH("晒单",K431)),"【晒单】"&amp;MID(K431,SEARCH("晒单",K431)+LEN("晒单"),LEN(K431))&amp;"（需晒单后联系客服登记）",IF(ISNUMBER(SEARCH("包修",K431)),"【购机】"&amp;MID(K431,SEARCH("购机",K431)+LEN("购机"),LEN(K431)),IF(ISNUMBER(SEARCH("叠放支架",K431)),"【赠品】"&amp;MID(K431,SEARCH("购机",K431)+LEN("购机"),LEN(K431)),IF(ISNUMBER(SEARCH("秀图",K431)),"【秀图】"&amp;MID(K431,SEARCH("秀图",K431)+LEN("秀图"),LEN(K431)),"")))),IFERROR(LEFT(_xlpm.A,FIND("【",_xlpm.A,FIND("】",_xlpm.A)+1)-1)&amp;MID(_xlpm.A,FIND("】",_xlpm.A,FIND("】",_xlpm.A)+1)+1,LEN(_xlpm.A)),_xlpm.A))</f>
        <v/>
      </c>
      <c r="G431" s="18" t="str">
        <f>_xlfn.LET(_xlpm.A,IF(ISNUMBER(SEARCH("晒单",L431)),"【晒单】"&amp;MID(L431,SEARCH("晒单",L431)+LEN("晒单"),LEN(L431))&amp;"（需晒单后联系客服登记）",IF(ISNUMBER(SEARCH("包修",L431)),"【购机】"&amp;MID(L431,SEARCH("购机",L431)+LEN("购机"),LEN(L431)),IF(ISNUMBER(SEARCH("叠放支架",L431)),"【赠品】"&amp;MID(L431,SEARCH("购机",L431)+LEN("购机"),LEN(L431)),IF(ISNUMBER(SEARCH("秀图",L431)),"【秀图】"&amp;MID(L431,SEARCH("秀图",L431)+LEN("秀图"),LEN(L431)),"")))),IFERROR(LEFT(_xlpm.A,FIND("【",_xlpm.A,FIND("】",_xlpm.A)+1)-1)&amp;MID(_xlpm.A,FIND("】",_xlpm.A,FIND("】",_xlpm.A)+1)+1,LEN(_xlpm.A)),_xlpm.A))</f>
        <v/>
      </c>
      <c r="H431" s="18" t="str">
        <f>_xlfn.LET(_xlpm.A,IF(ISNUMBER(SEARCH("晒单",M431)),"【晒单】"&amp;MID(M431,SEARCH("晒单",M431)+LEN("晒单"),LEN(M431))&amp;"（需晒单后联系客服登记）",IF(ISNUMBER(SEARCH("包修",M431)),"【购机】"&amp;MID(M431,SEARCH("购机",M431)+LEN("购机"),LEN(M431)),IF(ISNUMBER(SEARCH("叠放支架",M431)),"【赠品】"&amp;MID(M431,SEARCH("购机",M431)+LEN("购机"),LEN(M431)),IF(ISNUMBER(SEARCH("秀图",M431)),"【秀图】"&amp;MID(M431,SEARCH("秀图",M431)+LEN("秀图"),LEN(M431)),"")))),IFERROR(LEFT(_xlpm.A,FIND("【",_xlpm.A,FIND("】",_xlpm.A)+1)-1)&amp;MID(_xlpm.A,FIND("】",_xlpm.A,FIND("】",_xlpm.A)+1)+1,LEN(_xlpm.A)),_xlpm.A))</f>
        <v/>
      </c>
      <c r="I431" s="18" t="str">
        <f>_xlfn.LET(_xlpm.A,IF(ISNUMBER(SEARCH("晒单",N431)),"【晒单】"&amp;MID(N431,SEARCH("晒单",N431)+LEN("晒单"),LEN(N431))&amp;"（需晒单后联系客服登记）",IF(ISNUMBER(SEARCH("包修",N431)),"【购机】"&amp;MID(N431,SEARCH("购机",N431)+LEN("购机"),LEN(N431)),IF(ISNUMBER(SEARCH("叠放支架",N431)),"【赠品】"&amp;MID(N431,SEARCH("购机",N431)+LEN("购机"),LEN(N431)),IF(ISNUMBER(SEARCH("秀图",N431)),"【秀图】"&amp;MID(N431,SEARCH("秀图",N431)+LEN("秀图"),LEN(N431)),"")))),IFERROR(LEFT(_xlpm.A,FIND("【",_xlpm.A,FIND("】",_xlpm.A)+1)-1)&amp;MID(_xlpm.A,FIND("】",_xlpm.A,FIND("】",_xlpm.A)+1)+1,LEN(_xlpm.A)),_xlpm.A))</f>
        <v/>
      </c>
      <c r="J431" s="18" t="str" cm="1">
        <f t="array" ref="J431">IFERROR(INDEX(_xlfn.TEXTSPLIT(_xlfn.XLOOKUP($A431&amp;$B431&amp;$C431,盘货信息!$A:$A&amp;盘货信息!$B:$B&amp;盘货信息!$C:$C,盘货信息!$S:$S),CHAR(10),,TRUE),1,COLUMN(A430)),"")</f>
        <v/>
      </c>
      <c r="K431" s="18" t="str" cm="1">
        <f t="array" ref="K431">IFERROR(INDEX(_xlfn.TEXTSPLIT(_xlfn.XLOOKUP($A431&amp;$B431&amp;$C431,盘货信息!$A:$A&amp;盘货信息!$B:$B&amp;盘货信息!$C:$C,盘货信息!$S:$S),CHAR(10),,TRUE),1,COLUMN(B430)),"")</f>
        <v/>
      </c>
      <c r="L431" s="18" t="str" cm="1">
        <f t="array" ref="L431">IFERROR(INDEX(_xlfn.TEXTSPLIT(_xlfn.XLOOKUP($A431&amp;$B431&amp;$C431,盘货信息!$A:$A&amp;盘货信息!$B:$B&amp;盘货信息!$C:$C,盘货信息!$S:$S),CHAR(10),,TRUE),1,COLUMN(C430)),"")</f>
        <v/>
      </c>
      <c r="M431" s="18" t="str" cm="1">
        <f t="array" ref="M431">IFERROR(INDEX(_xlfn.TEXTSPLIT(_xlfn.XLOOKUP($A431&amp;$B431&amp;$C431,盘货信息!$A:$A&amp;盘货信息!$B:$B&amp;盘货信息!$C:$C,盘货信息!$S:$S),CHAR(10),,TRUE),1,COLUMN(D430)),"")</f>
        <v/>
      </c>
      <c r="N431" s="18" t="str" cm="1">
        <f t="array" ref="N431">IFERROR(INDEX(_xlfn.TEXTSPLIT(_xlfn.XLOOKUP($A431&amp;$B431&amp;$C431,盘货信息!$A:$A&amp;盘货信息!$B:$B&amp;盘货信息!$C:$C,盘货信息!$S:$S),CHAR(10),,TRUE),1,COLUMN(E430)),"")</f>
        <v/>
      </c>
    </row>
    <row r="432" customHeight="1" spans="1:14">
      <c r="A432" s="17" t="str">
        <f>IF(盘货信息!A432="","",盘货信息!A432)</f>
        <v/>
      </c>
      <c r="B432" s="17" t="str">
        <f>IF(盘货信息!B432="","",盘货信息!B432)</f>
        <v/>
      </c>
      <c r="C432" s="18" t="str">
        <f>IF(盘货信息!C432="","",盘货信息!C432)</f>
        <v/>
      </c>
      <c r="D432" s="18" t="str">
        <f t="shared" si="6"/>
        <v/>
      </c>
      <c r="E432" s="18" t="str">
        <f>_xlfn.LET(_xlpm.A,IF(ISNUMBER(SEARCH("晒单",J432)),"【晒单】"&amp;MID(J432,SEARCH("晒单",J432)+LEN("晒单"),LEN(J432))&amp;"（需晒单后联系客服登记）",IF(ISNUMBER(SEARCH("包修",J432)),"【购机】"&amp;MID(J432,SEARCH("购机",J432)+LEN("购机"),LEN(J432)),IF(ISNUMBER(SEARCH("叠放支架",J432)),"【赠品】"&amp;MID(J432,SEARCH("购机",J432)+LEN("购机"),LEN(J432)),IF(ISNUMBER(SEARCH("秀图",J432)),"【秀图】"&amp;MID(J432,SEARCH("秀图",J432)+LEN("秀图"),LEN(J432)),"")))),IFERROR(LEFT(_xlpm.A,FIND("【",_xlpm.A,FIND("】",_xlpm.A)+1)-1)&amp;MID(_xlpm.A,FIND("】",_xlpm.A,FIND("】",_xlpm.A)+1)+1,LEN(_xlpm.A)),_xlpm.A))</f>
        <v/>
      </c>
      <c r="F432" s="18" t="str">
        <f>_xlfn.LET(_xlpm.A,IF(ISNUMBER(SEARCH("晒单",K432)),"【晒单】"&amp;MID(K432,SEARCH("晒单",K432)+LEN("晒单"),LEN(K432))&amp;"（需晒单后联系客服登记）",IF(ISNUMBER(SEARCH("包修",K432)),"【购机】"&amp;MID(K432,SEARCH("购机",K432)+LEN("购机"),LEN(K432)),IF(ISNUMBER(SEARCH("叠放支架",K432)),"【赠品】"&amp;MID(K432,SEARCH("购机",K432)+LEN("购机"),LEN(K432)),IF(ISNUMBER(SEARCH("秀图",K432)),"【秀图】"&amp;MID(K432,SEARCH("秀图",K432)+LEN("秀图"),LEN(K432)),"")))),IFERROR(LEFT(_xlpm.A,FIND("【",_xlpm.A,FIND("】",_xlpm.A)+1)-1)&amp;MID(_xlpm.A,FIND("】",_xlpm.A,FIND("】",_xlpm.A)+1)+1,LEN(_xlpm.A)),_xlpm.A))</f>
        <v/>
      </c>
      <c r="G432" s="18" t="str">
        <f>_xlfn.LET(_xlpm.A,IF(ISNUMBER(SEARCH("晒单",L432)),"【晒单】"&amp;MID(L432,SEARCH("晒单",L432)+LEN("晒单"),LEN(L432))&amp;"（需晒单后联系客服登记）",IF(ISNUMBER(SEARCH("包修",L432)),"【购机】"&amp;MID(L432,SEARCH("购机",L432)+LEN("购机"),LEN(L432)),IF(ISNUMBER(SEARCH("叠放支架",L432)),"【赠品】"&amp;MID(L432,SEARCH("购机",L432)+LEN("购机"),LEN(L432)),IF(ISNUMBER(SEARCH("秀图",L432)),"【秀图】"&amp;MID(L432,SEARCH("秀图",L432)+LEN("秀图"),LEN(L432)),"")))),IFERROR(LEFT(_xlpm.A,FIND("【",_xlpm.A,FIND("】",_xlpm.A)+1)-1)&amp;MID(_xlpm.A,FIND("】",_xlpm.A,FIND("】",_xlpm.A)+1)+1,LEN(_xlpm.A)),_xlpm.A))</f>
        <v/>
      </c>
      <c r="H432" s="18" t="str">
        <f>_xlfn.LET(_xlpm.A,IF(ISNUMBER(SEARCH("晒单",M432)),"【晒单】"&amp;MID(M432,SEARCH("晒单",M432)+LEN("晒单"),LEN(M432))&amp;"（需晒单后联系客服登记）",IF(ISNUMBER(SEARCH("包修",M432)),"【购机】"&amp;MID(M432,SEARCH("购机",M432)+LEN("购机"),LEN(M432)),IF(ISNUMBER(SEARCH("叠放支架",M432)),"【赠品】"&amp;MID(M432,SEARCH("购机",M432)+LEN("购机"),LEN(M432)),IF(ISNUMBER(SEARCH("秀图",M432)),"【秀图】"&amp;MID(M432,SEARCH("秀图",M432)+LEN("秀图"),LEN(M432)),"")))),IFERROR(LEFT(_xlpm.A,FIND("【",_xlpm.A,FIND("】",_xlpm.A)+1)-1)&amp;MID(_xlpm.A,FIND("】",_xlpm.A,FIND("】",_xlpm.A)+1)+1,LEN(_xlpm.A)),_xlpm.A))</f>
        <v/>
      </c>
      <c r="I432" s="18" t="str">
        <f>_xlfn.LET(_xlpm.A,IF(ISNUMBER(SEARCH("晒单",N432)),"【晒单】"&amp;MID(N432,SEARCH("晒单",N432)+LEN("晒单"),LEN(N432))&amp;"（需晒单后联系客服登记）",IF(ISNUMBER(SEARCH("包修",N432)),"【购机】"&amp;MID(N432,SEARCH("购机",N432)+LEN("购机"),LEN(N432)),IF(ISNUMBER(SEARCH("叠放支架",N432)),"【赠品】"&amp;MID(N432,SEARCH("购机",N432)+LEN("购机"),LEN(N432)),IF(ISNUMBER(SEARCH("秀图",N432)),"【秀图】"&amp;MID(N432,SEARCH("秀图",N432)+LEN("秀图"),LEN(N432)),"")))),IFERROR(LEFT(_xlpm.A,FIND("【",_xlpm.A,FIND("】",_xlpm.A)+1)-1)&amp;MID(_xlpm.A,FIND("】",_xlpm.A,FIND("】",_xlpm.A)+1)+1,LEN(_xlpm.A)),_xlpm.A))</f>
        <v/>
      </c>
      <c r="J432" s="18" t="str" cm="1">
        <f t="array" ref="J432">IFERROR(INDEX(_xlfn.TEXTSPLIT(_xlfn.XLOOKUP($A432&amp;$B432&amp;$C432,盘货信息!$A:$A&amp;盘货信息!$B:$B&amp;盘货信息!$C:$C,盘货信息!$S:$S),CHAR(10),,TRUE),1,COLUMN(A431)),"")</f>
        <v/>
      </c>
      <c r="K432" s="18" t="str" cm="1">
        <f t="array" ref="K432">IFERROR(INDEX(_xlfn.TEXTSPLIT(_xlfn.XLOOKUP($A432&amp;$B432&amp;$C432,盘货信息!$A:$A&amp;盘货信息!$B:$B&amp;盘货信息!$C:$C,盘货信息!$S:$S),CHAR(10),,TRUE),1,COLUMN(B431)),"")</f>
        <v/>
      </c>
      <c r="L432" s="18" t="str" cm="1">
        <f t="array" ref="L432">IFERROR(INDEX(_xlfn.TEXTSPLIT(_xlfn.XLOOKUP($A432&amp;$B432&amp;$C432,盘货信息!$A:$A&amp;盘货信息!$B:$B&amp;盘货信息!$C:$C,盘货信息!$S:$S),CHAR(10),,TRUE),1,COLUMN(C431)),"")</f>
        <v/>
      </c>
      <c r="M432" s="18" t="str" cm="1">
        <f t="array" ref="M432">IFERROR(INDEX(_xlfn.TEXTSPLIT(_xlfn.XLOOKUP($A432&amp;$B432&amp;$C432,盘货信息!$A:$A&amp;盘货信息!$B:$B&amp;盘货信息!$C:$C,盘货信息!$S:$S),CHAR(10),,TRUE),1,COLUMN(D431)),"")</f>
        <v/>
      </c>
      <c r="N432" s="18" t="str" cm="1">
        <f t="array" ref="N432">IFERROR(INDEX(_xlfn.TEXTSPLIT(_xlfn.XLOOKUP($A432&amp;$B432&amp;$C432,盘货信息!$A:$A&amp;盘货信息!$B:$B&amp;盘货信息!$C:$C,盘货信息!$S:$S),CHAR(10),,TRUE),1,COLUMN(E431)),"")</f>
        <v/>
      </c>
    </row>
    <row r="433" customHeight="1" spans="1:14">
      <c r="A433" s="17" t="str">
        <f>IF(盘货信息!A433="","",盘货信息!A433)</f>
        <v/>
      </c>
      <c r="B433" s="17" t="str">
        <f>IF(盘货信息!B433="","",盘货信息!B433)</f>
        <v/>
      </c>
      <c r="C433" s="18" t="str">
        <f>IF(盘货信息!C433="","",盘货信息!C433)</f>
        <v/>
      </c>
      <c r="D433" s="18" t="str">
        <f t="shared" si="6"/>
        <v/>
      </c>
      <c r="E433" s="18" t="str">
        <f>_xlfn.LET(_xlpm.A,IF(ISNUMBER(SEARCH("晒单",J433)),"【晒单】"&amp;MID(J433,SEARCH("晒单",J433)+LEN("晒单"),LEN(J433))&amp;"（需晒单后联系客服登记）",IF(ISNUMBER(SEARCH("包修",J433)),"【购机】"&amp;MID(J433,SEARCH("购机",J433)+LEN("购机"),LEN(J433)),IF(ISNUMBER(SEARCH("叠放支架",J433)),"【赠品】"&amp;MID(J433,SEARCH("购机",J433)+LEN("购机"),LEN(J433)),IF(ISNUMBER(SEARCH("秀图",J433)),"【秀图】"&amp;MID(J433,SEARCH("秀图",J433)+LEN("秀图"),LEN(J433)),"")))),IFERROR(LEFT(_xlpm.A,FIND("【",_xlpm.A,FIND("】",_xlpm.A)+1)-1)&amp;MID(_xlpm.A,FIND("】",_xlpm.A,FIND("】",_xlpm.A)+1)+1,LEN(_xlpm.A)),_xlpm.A))</f>
        <v/>
      </c>
      <c r="F433" s="18" t="str">
        <f>_xlfn.LET(_xlpm.A,IF(ISNUMBER(SEARCH("晒单",K433)),"【晒单】"&amp;MID(K433,SEARCH("晒单",K433)+LEN("晒单"),LEN(K433))&amp;"（需晒单后联系客服登记）",IF(ISNUMBER(SEARCH("包修",K433)),"【购机】"&amp;MID(K433,SEARCH("购机",K433)+LEN("购机"),LEN(K433)),IF(ISNUMBER(SEARCH("叠放支架",K433)),"【赠品】"&amp;MID(K433,SEARCH("购机",K433)+LEN("购机"),LEN(K433)),IF(ISNUMBER(SEARCH("秀图",K433)),"【秀图】"&amp;MID(K433,SEARCH("秀图",K433)+LEN("秀图"),LEN(K433)),"")))),IFERROR(LEFT(_xlpm.A,FIND("【",_xlpm.A,FIND("】",_xlpm.A)+1)-1)&amp;MID(_xlpm.A,FIND("】",_xlpm.A,FIND("】",_xlpm.A)+1)+1,LEN(_xlpm.A)),_xlpm.A))</f>
        <v/>
      </c>
      <c r="G433" s="18" t="str">
        <f>_xlfn.LET(_xlpm.A,IF(ISNUMBER(SEARCH("晒单",L433)),"【晒单】"&amp;MID(L433,SEARCH("晒单",L433)+LEN("晒单"),LEN(L433))&amp;"（需晒单后联系客服登记）",IF(ISNUMBER(SEARCH("包修",L433)),"【购机】"&amp;MID(L433,SEARCH("购机",L433)+LEN("购机"),LEN(L433)),IF(ISNUMBER(SEARCH("叠放支架",L433)),"【赠品】"&amp;MID(L433,SEARCH("购机",L433)+LEN("购机"),LEN(L433)),IF(ISNUMBER(SEARCH("秀图",L433)),"【秀图】"&amp;MID(L433,SEARCH("秀图",L433)+LEN("秀图"),LEN(L433)),"")))),IFERROR(LEFT(_xlpm.A,FIND("【",_xlpm.A,FIND("】",_xlpm.A)+1)-1)&amp;MID(_xlpm.A,FIND("】",_xlpm.A,FIND("】",_xlpm.A)+1)+1,LEN(_xlpm.A)),_xlpm.A))</f>
        <v/>
      </c>
      <c r="H433" s="18" t="str">
        <f>_xlfn.LET(_xlpm.A,IF(ISNUMBER(SEARCH("晒单",M433)),"【晒单】"&amp;MID(M433,SEARCH("晒单",M433)+LEN("晒单"),LEN(M433))&amp;"（需晒单后联系客服登记）",IF(ISNUMBER(SEARCH("包修",M433)),"【购机】"&amp;MID(M433,SEARCH("购机",M433)+LEN("购机"),LEN(M433)),IF(ISNUMBER(SEARCH("叠放支架",M433)),"【赠品】"&amp;MID(M433,SEARCH("购机",M433)+LEN("购机"),LEN(M433)),IF(ISNUMBER(SEARCH("秀图",M433)),"【秀图】"&amp;MID(M433,SEARCH("秀图",M433)+LEN("秀图"),LEN(M433)),"")))),IFERROR(LEFT(_xlpm.A,FIND("【",_xlpm.A,FIND("】",_xlpm.A)+1)-1)&amp;MID(_xlpm.A,FIND("】",_xlpm.A,FIND("】",_xlpm.A)+1)+1,LEN(_xlpm.A)),_xlpm.A))</f>
        <v/>
      </c>
      <c r="I433" s="18" t="str">
        <f>_xlfn.LET(_xlpm.A,IF(ISNUMBER(SEARCH("晒单",N433)),"【晒单】"&amp;MID(N433,SEARCH("晒单",N433)+LEN("晒单"),LEN(N433))&amp;"（需晒单后联系客服登记）",IF(ISNUMBER(SEARCH("包修",N433)),"【购机】"&amp;MID(N433,SEARCH("购机",N433)+LEN("购机"),LEN(N433)),IF(ISNUMBER(SEARCH("叠放支架",N433)),"【赠品】"&amp;MID(N433,SEARCH("购机",N433)+LEN("购机"),LEN(N433)),IF(ISNUMBER(SEARCH("秀图",N433)),"【秀图】"&amp;MID(N433,SEARCH("秀图",N433)+LEN("秀图"),LEN(N433)),"")))),IFERROR(LEFT(_xlpm.A,FIND("【",_xlpm.A,FIND("】",_xlpm.A)+1)-1)&amp;MID(_xlpm.A,FIND("】",_xlpm.A,FIND("】",_xlpm.A)+1)+1,LEN(_xlpm.A)),_xlpm.A))</f>
        <v/>
      </c>
      <c r="J433" s="18" t="str" cm="1">
        <f t="array" ref="J433">IFERROR(INDEX(_xlfn.TEXTSPLIT(_xlfn.XLOOKUP($A433&amp;$B433&amp;$C433,盘货信息!$A:$A&amp;盘货信息!$B:$B&amp;盘货信息!$C:$C,盘货信息!$S:$S),CHAR(10),,TRUE),1,COLUMN(A432)),"")</f>
        <v/>
      </c>
      <c r="K433" s="18" t="str" cm="1">
        <f t="array" ref="K433">IFERROR(INDEX(_xlfn.TEXTSPLIT(_xlfn.XLOOKUP($A433&amp;$B433&amp;$C433,盘货信息!$A:$A&amp;盘货信息!$B:$B&amp;盘货信息!$C:$C,盘货信息!$S:$S),CHAR(10),,TRUE),1,COLUMN(B432)),"")</f>
        <v/>
      </c>
      <c r="L433" s="18" t="str" cm="1">
        <f t="array" ref="L433">IFERROR(INDEX(_xlfn.TEXTSPLIT(_xlfn.XLOOKUP($A433&amp;$B433&amp;$C433,盘货信息!$A:$A&amp;盘货信息!$B:$B&amp;盘货信息!$C:$C,盘货信息!$S:$S),CHAR(10),,TRUE),1,COLUMN(C432)),"")</f>
        <v/>
      </c>
      <c r="M433" s="18" t="str" cm="1">
        <f t="array" ref="M433">IFERROR(INDEX(_xlfn.TEXTSPLIT(_xlfn.XLOOKUP($A433&amp;$B433&amp;$C433,盘货信息!$A:$A&amp;盘货信息!$B:$B&amp;盘货信息!$C:$C,盘货信息!$S:$S),CHAR(10),,TRUE),1,COLUMN(D432)),"")</f>
        <v/>
      </c>
      <c r="N433" s="18" t="str" cm="1">
        <f t="array" ref="N433">IFERROR(INDEX(_xlfn.TEXTSPLIT(_xlfn.XLOOKUP($A433&amp;$B433&amp;$C433,盘货信息!$A:$A&amp;盘货信息!$B:$B&amp;盘货信息!$C:$C,盘货信息!$S:$S),CHAR(10),,TRUE),1,COLUMN(E432)),"")</f>
        <v/>
      </c>
    </row>
    <row r="434" customHeight="1" spans="1:14">
      <c r="A434" s="17" t="str">
        <f>IF(盘货信息!A434="","",盘货信息!A434)</f>
        <v/>
      </c>
      <c r="B434" s="17" t="str">
        <f>IF(盘货信息!B434="","",盘货信息!B434)</f>
        <v/>
      </c>
      <c r="C434" s="18" t="str">
        <f>IF(盘货信息!C434="","",盘货信息!C434)</f>
        <v/>
      </c>
      <c r="D434" s="18" t="str">
        <f t="shared" si="6"/>
        <v/>
      </c>
      <c r="E434" s="18" t="str">
        <f>_xlfn.LET(_xlpm.A,IF(ISNUMBER(SEARCH("晒单",J434)),"【晒单】"&amp;MID(J434,SEARCH("晒单",J434)+LEN("晒单"),LEN(J434))&amp;"（需晒单后联系客服登记）",IF(ISNUMBER(SEARCH("包修",J434)),"【购机】"&amp;MID(J434,SEARCH("购机",J434)+LEN("购机"),LEN(J434)),IF(ISNUMBER(SEARCH("叠放支架",J434)),"【赠品】"&amp;MID(J434,SEARCH("购机",J434)+LEN("购机"),LEN(J434)),IF(ISNUMBER(SEARCH("秀图",J434)),"【秀图】"&amp;MID(J434,SEARCH("秀图",J434)+LEN("秀图"),LEN(J434)),"")))),IFERROR(LEFT(_xlpm.A,FIND("【",_xlpm.A,FIND("】",_xlpm.A)+1)-1)&amp;MID(_xlpm.A,FIND("】",_xlpm.A,FIND("】",_xlpm.A)+1)+1,LEN(_xlpm.A)),_xlpm.A))</f>
        <v/>
      </c>
      <c r="F434" s="18" t="str">
        <f>_xlfn.LET(_xlpm.A,IF(ISNUMBER(SEARCH("晒单",K434)),"【晒单】"&amp;MID(K434,SEARCH("晒单",K434)+LEN("晒单"),LEN(K434))&amp;"（需晒单后联系客服登记）",IF(ISNUMBER(SEARCH("包修",K434)),"【购机】"&amp;MID(K434,SEARCH("购机",K434)+LEN("购机"),LEN(K434)),IF(ISNUMBER(SEARCH("叠放支架",K434)),"【赠品】"&amp;MID(K434,SEARCH("购机",K434)+LEN("购机"),LEN(K434)),IF(ISNUMBER(SEARCH("秀图",K434)),"【秀图】"&amp;MID(K434,SEARCH("秀图",K434)+LEN("秀图"),LEN(K434)),"")))),IFERROR(LEFT(_xlpm.A,FIND("【",_xlpm.A,FIND("】",_xlpm.A)+1)-1)&amp;MID(_xlpm.A,FIND("】",_xlpm.A,FIND("】",_xlpm.A)+1)+1,LEN(_xlpm.A)),_xlpm.A))</f>
        <v/>
      </c>
      <c r="G434" s="18" t="str">
        <f>_xlfn.LET(_xlpm.A,IF(ISNUMBER(SEARCH("晒单",L434)),"【晒单】"&amp;MID(L434,SEARCH("晒单",L434)+LEN("晒单"),LEN(L434))&amp;"（需晒单后联系客服登记）",IF(ISNUMBER(SEARCH("包修",L434)),"【购机】"&amp;MID(L434,SEARCH("购机",L434)+LEN("购机"),LEN(L434)),IF(ISNUMBER(SEARCH("叠放支架",L434)),"【赠品】"&amp;MID(L434,SEARCH("购机",L434)+LEN("购机"),LEN(L434)),IF(ISNUMBER(SEARCH("秀图",L434)),"【秀图】"&amp;MID(L434,SEARCH("秀图",L434)+LEN("秀图"),LEN(L434)),"")))),IFERROR(LEFT(_xlpm.A,FIND("【",_xlpm.A,FIND("】",_xlpm.A)+1)-1)&amp;MID(_xlpm.A,FIND("】",_xlpm.A,FIND("】",_xlpm.A)+1)+1,LEN(_xlpm.A)),_xlpm.A))</f>
        <v/>
      </c>
      <c r="H434" s="18" t="str">
        <f>_xlfn.LET(_xlpm.A,IF(ISNUMBER(SEARCH("晒单",M434)),"【晒单】"&amp;MID(M434,SEARCH("晒单",M434)+LEN("晒单"),LEN(M434))&amp;"（需晒单后联系客服登记）",IF(ISNUMBER(SEARCH("包修",M434)),"【购机】"&amp;MID(M434,SEARCH("购机",M434)+LEN("购机"),LEN(M434)),IF(ISNUMBER(SEARCH("叠放支架",M434)),"【赠品】"&amp;MID(M434,SEARCH("购机",M434)+LEN("购机"),LEN(M434)),IF(ISNUMBER(SEARCH("秀图",M434)),"【秀图】"&amp;MID(M434,SEARCH("秀图",M434)+LEN("秀图"),LEN(M434)),"")))),IFERROR(LEFT(_xlpm.A,FIND("【",_xlpm.A,FIND("】",_xlpm.A)+1)-1)&amp;MID(_xlpm.A,FIND("】",_xlpm.A,FIND("】",_xlpm.A)+1)+1,LEN(_xlpm.A)),_xlpm.A))</f>
        <v/>
      </c>
      <c r="I434" s="18" t="str">
        <f>_xlfn.LET(_xlpm.A,IF(ISNUMBER(SEARCH("晒单",N434)),"【晒单】"&amp;MID(N434,SEARCH("晒单",N434)+LEN("晒单"),LEN(N434))&amp;"（需晒单后联系客服登记）",IF(ISNUMBER(SEARCH("包修",N434)),"【购机】"&amp;MID(N434,SEARCH("购机",N434)+LEN("购机"),LEN(N434)),IF(ISNUMBER(SEARCH("叠放支架",N434)),"【赠品】"&amp;MID(N434,SEARCH("购机",N434)+LEN("购机"),LEN(N434)),IF(ISNUMBER(SEARCH("秀图",N434)),"【秀图】"&amp;MID(N434,SEARCH("秀图",N434)+LEN("秀图"),LEN(N434)),"")))),IFERROR(LEFT(_xlpm.A,FIND("【",_xlpm.A,FIND("】",_xlpm.A)+1)-1)&amp;MID(_xlpm.A,FIND("】",_xlpm.A,FIND("】",_xlpm.A)+1)+1,LEN(_xlpm.A)),_xlpm.A))</f>
        <v/>
      </c>
      <c r="J434" s="18" t="str" cm="1">
        <f t="array" ref="J434">IFERROR(INDEX(_xlfn.TEXTSPLIT(_xlfn.XLOOKUP($A434&amp;$B434&amp;$C434,盘货信息!$A:$A&amp;盘货信息!$B:$B&amp;盘货信息!$C:$C,盘货信息!$S:$S),CHAR(10),,TRUE),1,COLUMN(A433)),"")</f>
        <v/>
      </c>
      <c r="K434" s="18" t="str" cm="1">
        <f t="array" ref="K434">IFERROR(INDEX(_xlfn.TEXTSPLIT(_xlfn.XLOOKUP($A434&amp;$B434&amp;$C434,盘货信息!$A:$A&amp;盘货信息!$B:$B&amp;盘货信息!$C:$C,盘货信息!$S:$S),CHAR(10),,TRUE),1,COLUMN(B433)),"")</f>
        <v/>
      </c>
      <c r="L434" s="18" t="str" cm="1">
        <f t="array" ref="L434">IFERROR(INDEX(_xlfn.TEXTSPLIT(_xlfn.XLOOKUP($A434&amp;$B434&amp;$C434,盘货信息!$A:$A&amp;盘货信息!$B:$B&amp;盘货信息!$C:$C,盘货信息!$S:$S),CHAR(10),,TRUE),1,COLUMN(C433)),"")</f>
        <v/>
      </c>
      <c r="M434" s="18" t="str" cm="1">
        <f t="array" ref="M434">IFERROR(INDEX(_xlfn.TEXTSPLIT(_xlfn.XLOOKUP($A434&amp;$B434&amp;$C434,盘货信息!$A:$A&amp;盘货信息!$B:$B&amp;盘货信息!$C:$C,盘货信息!$S:$S),CHAR(10),,TRUE),1,COLUMN(D433)),"")</f>
        <v/>
      </c>
      <c r="N434" s="18" t="str" cm="1">
        <f t="array" ref="N434">IFERROR(INDEX(_xlfn.TEXTSPLIT(_xlfn.XLOOKUP($A434&amp;$B434&amp;$C434,盘货信息!$A:$A&amp;盘货信息!$B:$B&amp;盘货信息!$C:$C,盘货信息!$S:$S),CHAR(10),,TRUE),1,COLUMN(E433)),"")</f>
        <v/>
      </c>
    </row>
    <row r="435" customHeight="1" spans="1:14">
      <c r="A435" s="17" t="str">
        <f>IF(盘货信息!A435="","",盘货信息!A435)</f>
        <v/>
      </c>
      <c r="B435" s="17" t="str">
        <f>IF(盘货信息!B435="","",盘货信息!B435)</f>
        <v/>
      </c>
      <c r="C435" s="18" t="str">
        <f>IF(盘货信息!C435="","",盘货信息!C435)</f>
        <v/>
      </c>
      <c r="D435" s="18" t="str">
        <f t="shared" si="6"/>
        <v/>
      </c>
      <c r="E435" s="18" t="str">
        <f>_xlfn.LET(_xlpm.A,IF(ISNUMBER(SEARCH("晒单",J435)),"【晒单】"&amp;MID(J435,SEARCH("晒单",J435)+LEN("晒单"),LEN(J435))&amp;"（需晒单后联系客服登记）",IF(ISNUMBER(SEARCH("包修",J435)),"【购机】"&amp;MID(J435,SEARCH("购机",J435)+LEN("购机"),LEN(J435)),IF(ISNUMBER(SEARCH("叠放支架",J435)),"【赠品】"&amp;MID(J435,SEARCH("购机",J435)+LEN("购机"),LEN(J435)),IF(ISNUMBER(SEARCH("秀图",J435)),"【秀图】"&amp;MID(J435,SEARCH("秀图",J435)+LEN("秀图"),LEN(J435)),"")))),IFERROR(LEFT(_xlpm.A,FIND("【",_xlpm.A,FIND("】",_xlpm.A)+1)-1)&amp;MID(_xlpm.A,FIND("】",_xlpm.A,FIND("】",_xlpm.A)+1)+1,LEN(_xlpm.A)),_xlpm.A))</f>
        <v/>
      </c>
      <c r="F435" s="18" t="str">
        <f>_xlfn.LET(_xlpm.A,IF(ISNUMBER(SEARCH("晒单",K435)),"【晒单】"&amp;MID(K435,SEARCH("晒单",K435)+LEN("晒单"),LEN(K435))&amp;"（需晒单后联系客服登记）",IF(ISNUMBER(SEARCH("包修",K435)),"【购机】"&amp;MID(K435,SEARCH("购机",K435)+LEN("购机"),LEN(K435)),IF(ISNUMBER(SEARCH("叠放支架",K435)),"【赠品】"&amp;MID(K435,SEARCH("购机",K435)+LEN("购机"),LEN(K435)),IF(ISNUMBER(SEARCH("秀图",K435)),"【秀图】"&amp;MID(K435,SEARCH("秀图",K435)+LEN("秀图"),LEN(K435)),"")))),IFERROR(LEFT(_xlpm.A,FIND("【",_xlpm.A,FIND("】",_xlpm.A)+1)-1)&amp;MID(_xlpm.A,FIND("】",_xlpm.A,FIND("】",_xlpm.A)+1)+1,LEN(_xlpm.A)),_xlpm.A))</f>
        <v/>
      </c>
      <c r="G435" s="18" t="str">
        <f>_xlfn.LET(_xlpm.A,IF(ISNUMBER(SEARCH("晒单",L435)),"【晒单】"&amp;MID(L435,SEARCH("晒单",L435)+LEN("晒单"),LEN(L435))&amp;"（需晒单后联系客服登记）",IF(ISNUMBER(SEARCH("包修",L435)),"【购机】"&amp;MID(L435,SEARCH("购机",L435)+LEN("购机"),LEN(L435)),IF(ISNUMBER(SEARCH("叠放支架",L435)),"【赠品】"&amp;MID(L435,SEARCH("购机",L435)+LEN("购机"),LEN(L435)),IF(ISNUMBER(SEARCH("秀图",L435)),"【秀图】"&amp;MID(L435,SEARCH("秀图",L435)+LEN("秀图"),LEN(L435)),"")))),IFERROR(LEFT(_xlpm.A,FIND("【",_xlpm.A,FIND("】",_xlpm.A)+1)-1)&amp;MID(_xlpm.A,FIND("】",_xlpm.A,FIND("】",_xlpm.A)+1)+1,LEN(_xlpm.A)),_xlpm.A))</f>
        <v/>
      </c>
      <c r="H435" s="18" t="str">
        <f>_xlfn.LET(_xlpm.A,IF(ISNUMBER(SEARCH("晒单",M435)),"【晒单】"&amp;MID(M435,SEARCH("晒单",M435)+LEN("晒单"),LEN(M435))&amp;"（需晒单后联系客服登记）",IF(ISNUMBER(SEARCH("包修",M435)),"【购机】"&amp;MID(M435,SEARCH("购机",M435)+LEN("购机"),LEN(M435)),IF(ISNUMBER(SEARCH("叠放支架",M435)),"【赠品】"&amp;MID(M435,SEARCH("购机",M435)+LEN("购机"),LEN(M435)),IF(ISNUMBER(SEARCH("秀图",M435)),"【秀图】"&amp;MID(M435,SEARCH("秀图",M435)+LEN("秀图"),LEN(M435)),"")))),IFERROR(LEFT(_xlpm.A,FIND("【",_xlpm.A,FIND("】",_xlpm.A)+1)-1)&amp;MID(_xlpm.A,FIND("】",_xlpm.A,FIND("】",_xlpm.A)+1)+1,LEN(_xlpm.A)),_xlpm.A))</f>
        <v/>
      </c>
      <c r="I435" s="18" t="str">
        <f>_xlfn.LET(_xlpm.A,IF(ISNUMBER(SEARCH("晒单",N435)),"【晒单】"&amp;MID(N435,SEARCH("晒单",N435)+LEN("晒单"),LEN(N435))&amp;"（需晒单后联系客服登记）",IF(ISNUMBER(SEARCH("包修",N435)),"【购机】"&amp;MID(N435,SEARCH("购机",N435)+LEN("购机"),LEN(N435)),IF(ISNUMBER(SEARCH("叠放支架",N435)),"【赠品】"&amp;MID(N435,SEARCH("购机",N435)+LEN("购机"),LEN(N435)),IF(ISNUMBER(SEARCH("秀图",N435)),"【秀图】"&amp;MID(N435,SEARCH("秀图",N435)+LEN("秀图"),LEN(N435)),"")))),IFERROR(LEFT(_xlpm.A,FIND("【",_xlpm.A,FIND("】",_xlpm.A)+1)-1)&amp;MID(_xlpm.A,FIND("】",_xlpm.A,FIND("】",_xlpm.A)+1)+1,LEN(_xlpm.A)),_xlpm.A))</f>
        <v/>
      </c>
      <c r="J435" s="18" t="str" cm="1">
        <f t="array" ref="J435">IFERROR(INDEX(_xlfn.TEXTSPLIT(_xlfn.XLOOKUP($A435&amp;$B435&amp;$C435,盘货信息!$A:$A&amp;盘货信息!$B:$B&amp;盘货信息!$C:$C,盘货信息!$S:$S),CHAR(10),,TRUE),1,COLUMN(A434)),"")</f>
        <v/>
      </c>
      <c r="K435" s="18" t="str" cm="1">
        <f t="array" ref="K435">IFERROR(INDEX(_xlfn.TEXTSPLIT(_xlfn.XLOOKUP($A435&amp;$B435&amp;$C435,盘货信息!$A:$A&amp;盘货信息!$B:$B&amp;盘货信息!$C:$C,盘货信息!$S:$S),CHAR(10),,TRUE),1,COLUMN(B434)),"")</f>
        <v/>
      </c>
      <c r="L435" s="18" t="str" cm="1">
        <f t="array" ref="L435">IFERROR(INDEX(_xlfn.TEXTSPLIT(_xlfn.XLOOKUP($A435&amp;$B435&amp;$C435,盘货信息!$A:$A&amp;盘货信息!$B:$B&amp;盘货信息!$C:$C,盘货信息!$S:$S),CHAR(10),,TRUE),1,COLUMN(C434)),"")</f>
        <v/>
      </c>
      <c r="M435" s="18" t="str" cm="1">
        <f t="array" ref="M435">IFERROR(INDEX(_xlfn.TEXTSPLIT(_xlfn.XLOOKUP($A435&amp;$B435&amp;$C435,盘货信息!$A:$A&amp;盘货信息!$B:$B&amp;盘货信息!$C:$C,盘货信息!$S:$S),CHAR(10),,TRUE),1,COLUMN(D434)),"")</f>
        <v/>
      </c>
      <c r="N435" s="18" t="str" cm="1">
        <f t="array" ref="N435">IFERROR(INDEX(_xlfn.TEXTSPLIT(_xlfn.XLOOKUP($A435&amp;$B435&amp;$C435,盘货信息!$A:$A&amp;盘货信息!$B:$B&amp;盘货信息!$C:$C,盘货信息!$S:$S),CHAR(10),,TRUE),1,COLUMN(E434)),"")</f>
        <v/>
      </c>
    </row>
    <row r="436" customHeight="1" spans="1:14">
      <c r="A436" s="17" t="str">
        <f>IF(盘货信息!A436="","",盘货信息!A436)</f>
        <v/>
      </c>
      <c r="B436" s="17" t="str">
        <f>IF(盘货信息!B436="","",盘货信息!B436)</f>
        <v/>
      </c>
      <c r="C436" s="18" t="str">
        <f>IF(盘货信息!C436="","",盘货信息!C436)</f>
        <v/>
      </c>
      <c r="D436" s="18" t="str">
        <f t="shared" si="6"/>
        <v/>
      </c>
      <c r="E436" s="18" t="str">
        <f>_xlfn.LET(_xlpm.A,IF(ISNUMBER(SEARCH("晒单",J436)),"【晒单】"&amp;MID(J436,SEARCH("晒单",J436)+LEN("晒单"),LEN(J436))&amp;"（需晒单后联系客服登记）",IF(ISNUMBER(SEARCH("包修",J436)),"【购机】"&amp;MID(J436,SEARCH("购机",J436)+LEN("购机"),LEN(J436)),IF(ISNUMBER(SEARCH("叠放支架",J436)),"【赠品】"&amp;MID(J436,SEARCH("购机",J436)+LEN("购机"),LEN(J436)),IF(ISNUMBER(SEARCH("秀图",J436)),"【秀图】"&amp;MID(J436,SEARCH("秀图",J436)+LEN("秀图"),LEN(J436)),"")))),IFERROR(LEFT(_xlpm.A,FIND("【",_xlpm.A,FIND("】",_xlpm.A)+1)-1)&amp;MID(_xlpm.A,FIND("】",_xlpm.A,FIND("】",_xlpm.A)+1)+1,LEN(_xlpm.A)),_xlpm.A))</f>
        <v/>
      </c>
      <c r="F436" s="18" t="str">
        <f>_xlfn.LET(_xlpm.A,IF(ISNUMBER(SEARCH("晒单",K436)),"【晒单】"&amp;MID(K436,SEARCH("晒单",K436)+LEN("晒单"),LEN(K436))&amp;"（需晒单后联系客服登记）",IF(ISNUMBER(SEARCH("包修",K436)),"【购机】"&amp;MID(K436,SEARCH("购机",K436)+LEN("购机"),LEN(K436)),IF(ISNUMBER(SEARCH("叠放支架",K436)),"【赠品】"&amp;MID(K436,SEARCH("购机",K436)+LEN("购机"),LEN(K436)),IF(ISNUMBER(SEARCH("秀图",K436)),"【秀图】"&amp;MID(K436,SEARCH("秀图",K436)+LEN("秀图"),LEN(K436)),"")))),IFERROR(LEFT(_xlpm.A,FIND("【",_xlpm.A,FIND("】",_xlpm.A)+1)-1)&amp;MID(_xlpm.A,FIND("】",_xlpm.A,FIND("】",_xlpm.A)+1)+1,LEN(_xlpm.A)),_xlpm.A))</f>
        <v/>
      </c>
      <c r="G436" s="18" t="str">
        <f>_xlfn.LET(_xlpm.A,IF(ISNUMBER(SEARCH("晒单",L436)),"【晒单】"&amp;MID(L436,SEARCH("晒单",L436)+LEN("晒单"),LEN(L436))&amp;"（需晒单后联系客服登记）",IF(ISNUMBER(SEARCH("包修",L436)),"【购机】"&amp;MID(L436,SEARCH("购机",L436)+LEN("购机"),LEN(L436)),IF(ISNUMBER(SEARCH("叠放支架",L436)),"【赠品】"&amp;MID(L436,SEARCH("购机",L436)+LEN("购机"),LEN(L436)),IF(ISNUMBER(SEARCH("秀图",L436)),"【秀图】"&amp;MID(L436,SEARCH("秀图",L436)+LEN("秀图"),LEN(L436)),"")))),IFERROR(LEFT(_xlpm.A,FIND("【",_xlpm.A,FIND("】",_xlpm.A)+1)-1)&amp;MID(_xlpm.A,FIND("】",_xlpm.A,FIND("】",_xlpm.A)+1)+1,LEN(_xlpm.A)),_xlpm.A))</f>
        <v/>
      </c>
      <c r="H436" s="18" t="str">
        <f>_xlfn.LET(_xlpm.A,IF(ISNUMBER(SEARCH("晒单",M436)),"【晒单】"&amp;MID(M436,SEARCH("晒单",M436)+LEN("晒单"),LEN(M436))&amp;"（需晒单后联系客服登记）",IF(ISNUMBER(SEARCH("包修",M436)),"【购机】"&amp;MID(M436,SEARCH("购机",M436)+LEN("购机"),LEN(M436)),IF(ISNUMBER(SEARCH("叠放支架",M436)),"【赠品】"&amp;MID(M436,SEARCH("购机",M436)+LEN("购机"),LEN(M436)),IF(ISNUMBER(SEARCH("秀图",M436)),"【秀图】"&amp;MID(M436,SEARCH("秀图",M436)+LEN("秀图"),LEN(M436)),"")))),IFERROR(LEFT(_xlpm.A,FIND("【",_xlpm.A,FIND("】",_xlpm.A)+1)-1)&amp;MID(_xlpm.A,FIND("】",_xlpm.A,FIND("】",_xlpm.A)+1)+1,LEN(_xlpm.A)),_xlpm.A))</f>
        <v/>
      </c>
      <c r="I436" s="18" t="str">
        <f>_xlfn.LET(_xlpm.A,IF(ISNUMBER(SEARCH("晒单",N436)),"【晒单】"&amp;MID(N436,SEARCH("晒单",N436)+LEN("晒单"),LEN(N436))&amp;"（需晒单后联系客服登记）",IF(ISNUMBER(SEARCH("包修",N436)),"【购机】"&amp;MID(N436,SEARCH("购机",N436)+LEN("购机"),LEN(N436)),IF(ISNUMBER(SEARCH("叠放支架",N436)),"【赠品】"&amp;MID(N436,SEARCH("购机",N436)+LEN("购机"),LEN(N436)),IF(ISNUMBER(SEARCH("秀图",N436)),"【秀图】"&amp;MID(N436,SEARCH("秀图",N436)+LEN("秀图"),LEN(N436)),"")))),IFERROR(LEFT(_xlpm.A,FIND("【",_xlpm.A,FIND("】",_xlpm.A)+1)-1)&amp;MID(_xlpm.A,FIND("】",_xlpm.A,FIND("】",_xlpm.A)+1)+1,LEN(_xlpm.A)),_xlpm.A))</f>
        <v/>
      </c>
      <c r="J436" s="18" t="str" cm="1">
        <f t="array" ref="J436">IFERROR(INDEX(_xlfn.TEXTSPLIT(_xlfn.XLOOKUP($A436&amp;$B436&amp;$C436,盘货信息!$A:$A&amp;盘货信息!$B:$B&amp;盘货信息!$C:$C,盘货信息!$S:$S),CHAR(10),,TRUE),1,COLUMN(A435)),"")</f>
        <v/>
      </c>
      <c r="K436" s="18" t="str" cm="1">
        <f t="array" ref="K436">IFERROR(INDEX(_xlfn.TEXTSPLIT(_xlfn.XLOOKUP($A436&amp;$B436&amp;$C436,盘货信息!$A:$A&amp;盘货信息!$B:$B&amp;盘货信息!$C:$C,盘货信息!$S:$S),CHAR(10),,TRUE),1,COLUMN(B435)),"")</f>
        <v/>
      </c>
      <c r="L436" s="18" t="str" cm="1">
        <f t="array" ref="L436">IFERROR(INDEX(_xlfn.TEXTSPLIT(_xlfn.XLOOKUP($A436&amp;$B436&amp;$C436,盘货信息!$A:$A&amp;盘货信息!$B:$B&amp;盘货信息!$C:$C,盘货信息!$S:$S),CHAR(10),,TRUE),1,COLUMN(C435)),"")</f>
        <v/>
      </c>
      <c r="M436" s="18" t="str" cm="1">
        <f t="array" ref="M436">IFERROR(INDEX(_xlfn.TEXTSPLIT(_xlfn.XLOOKUP($A436&amp;$B436&amp;$C436,盘货信息!$A:$A&amp;盘货信息!$B:$B&amp;盘货信息!$C:$C,盘货信息!$S:$S),CHAR(10),,TRUE),1,COLUMN(D435)),"")</f>
        <v/>
      </c>
      <c r="N436" s="18" t="str" cm="1">
        <f t="array" ref="N436">IFERROR(INDEX(_xlfn.TEXTSPLIT(_xlfn.XLOOKUP($A436&amp;$B436&amp;$C436,盘货信息!$A:$A&amp;盘货信息!$B:$B&amp;盘货信息!$C:$C,盘货信息!$S:$S),CHAR(10),,TRUE),1,COLUMN(E435)),"")</f>
        <v/>
      </c>
    </row>
    <row r="437" customHeight="1" spans="1:14">
      <c r="A437" s="17" t="str">
        <f>IF(盘货信息!A437="","",盘货信息!A437)</f>
        <v/>
      </c>
      <c r="B437" s="17" t="str">
        <f>IF(盘货信息!B437="","",盘货信息!B437)</f>
        <v/>
      </c>
      <c r="C437" s="18" t="str">
        <f>IF(盘货信息!C437="","",盘货信息!C437)</f>
        <v/>
      </c>
      <c r="D437" s="18" t="str">
        <f t="shared" si="6"/>
        <v/>
      </c>
      <c r="E437" s="18" t="str">
        <f>_xlfn.LET(_xlpm.A,IF(ISNUMBER(SEARCH("晒单",J437)),"【晒单】"&amp;MID(J437,SEARCH("晒单",J437)+LEN("晒单"),LEN(J437))&amp;"（需晒单后联系客服登记）",IF(ISNUMBER(SEARCH("包修",J437)),"【购机】"&amp;MID(J437,SEARCH("购机",J437)+LEN("购机"),LEN(J437)),IF(ISNUMBER(SEARCH("叠放支架",J437)),"【赠品】"&amp;MID(J437,SEARCH("购机",J437)+LEN("购机"),LEN(J437)),IF(ISNUMBER(SEARCH("秀图",J437)),"【秀图】"&amp;MID(J437,SEARCH("秀图",J437)+LEN("秀图"),LEN(J437)),"")))),IFERROR(LEFT(_xlpm.A,FIND("【",_xlpm.A,FIND("】",_xlpm.A)+1)-1)&amp;MID(_xlpm.A,FIND("】",_xlpm.A,FIND("】",_xlpm.A)+1)+1,LEN(_xlpm.A)),_xlpm.A))</f>
        <v/>
      </c>
      <c r="F437" s="18" t="str">
        <f>_xlfn.LET(_xlpm.A,IF(ISNUMBER(SEARCH("晒单",K437)),"【晒单】"&amp;MID(K437,SEARCH("晒单",K437)+LEN("晒单"),LEN(K437))&amp;"（需晒单后联系客服登记）",IF(ISNUMBER(SEARCH("包修",K437)),"【购机】"&amp;MID(K437,SEARCH("购机",K437)+LEN("购机"),LEN(K437)),IF(ISNUMBER(SEARCH("叠放支架",K437)),"【赠品】"&amp;MID(K437,SEARCH("购机",K437)+LEN("购机"),LEN(K437)),IF(ISNUMBER(SEARCH("秀图",K437)),"【秀图】"&amp;MID(K437,SEARCH("秀图",K437)+LEN("秀图"),LEN(K437)),"")))),IFERROR(LEFT(_xlpm.A,FIND("【",_xlpm.A,FIND("】",_xlpm.A)+1)-1)&amp;MID(_xlpm.A,FIND("】",_xlpm.A,FIND("】",_xlpm.A)+1)+1,LEN(_xlpm.A)),_xlpm.A))</f>
        <v/>
      </c>
      <c r="G437" s="18" t="str">
        <f>_xlfn.LET(_xlpm.A,IF(ISNUMBER(SEARCH("晒单",L437)),"【晒单】"&amp;MID(L437,SEARCH("晒单",L437)+LEN("晒单"),LEN(L437))&amp;"（需晒单后联系客服登记）",IF(ISNUMBER(SEARCH("包修",L437)),"【购机】"&amp;MID(L437,SEARCH("购机",L437)+LEN("购机"),LEN(L437)),IF(ISNUMBER(SEARCH("叠放支架",L437)),"【赠品】"&amp;MID(L437,SEARCH("购机",L437)+LEN("购机"),LEN(L437)),IF(ISNUMBER(SEARCH("秀图",L437)),"【秀图】"&amp;MID(L437,SEARCH("秀图",L437)+LEN("秀图"),LEN(L437)),"")))),IFERROR(LEFT(_xlpm.A,FIND("【",_xlpm.A,FIND("】",_xlpm.A)+1)-1)&amp;MID(_xlpm.A,FIND("】",_xlpm.A,FIND("】",_xlpm.A)+1)+1,LEN(_xlpm.A)),_xlpm.A))</f>
        <v/>
      </c>
      <c r="H437" s="18" t="str">
        <f>_xlfn.LET(_xlpm.A,IF(ISNUMBER(SEARCH("晒单",M437)),"【晒单】"&amp;MID(M437,SEARCH("晒单",M437)+LEN("晒单"),LEN(M437))&amp;"（需晒单后联系客服登记）",IF(ISNUMBER(SEARCH("包修",M437)),"【购机】"&amp;MID(M437,SEARCH("购机",M437)+LEN("购机"),LEN(M437)),IF(ISNUMBER(SEARCH("叠放支架",M437)),"【赠品】"&amp;MID(M437,SEARCH("购机",M437)+LEN("购机"),LEN(M437)),IF(ISNUMBER(SEARCH("秀图",M437)),"【秀图】"&amp;MID(M437,SEARCH("秀图",M437)+LEN("秀图"),LEN(M437)),"")))),IFERROR(LEFT(_xlpm.A,FIND("【",_xlpm.A,FIND("】",_xlpm.A)+1)-1)&amp;MID(_xlpm.A,FIND("】",_xlpm.A,FIND("】",_xlpm.A)+1)+1,LEN(_xlpm.A)),_xlpm.A))</f>
        <v/>
      </c>
      <c r="I437" s="18" t="str">
        <f>_xlfn.LET(_xlpm.A,IF(ISNUMBER(SEARCH("晒单",N437)),"【晒单】"&amp;MID(N437,SEARCH("晒单",N437)+LEN("晒单"),LEN(N437))&amp;"（需晒单后联系客服登记）",IF(ISNUMBER(SEARCH("包修",N437)),"【购机】"&amp;MID(N437,SEARCH("购机",N437)+LEN("购机"),LEN(N437)),IF(ISNUMBER(SEARCH("叠放支架",N437)),"【赠品】"&amp;MID(N437,SEARCH("购机",N437)+LEN("购机"),LEN(N437)),IF(ISNUMBER(SEARCH("秀图",N437)),"【秀图】"&amp;MID(N437,SEARCH("秀图",N437)+LEN("秀图"),LEN(N437)),"")))),IFERROR(LEFT(_xlpm.A,FIND("【",_xlpm.A,FIND("】",_xlpm.A)+1)-1)&amp;MID(_xlpm.A,FIND("】",_xlpm.A,FIND("】",_xlpm.A)+1)+1,LEN(_xlpm.A)),_xlpm.A))</f>
        <v/>
      </c>
      <c r="J437" s="18" t="str" cm="1">
        <f t="array" ref="J437">IFERROR(INDEX(_xlfn.TEXTSPLIT(_xlfn.XLOOKUP($A437&amp;$B437&amp;$C437,盘货信息!$A:$A&amp;盘货信息!$B:$B&amp;盘货信息!$C:$C,盘货信息!$S:$S),CHAR(10),,TRUE),1,COLUMN(A436)),"")</f>
        <v/>
      </c>
      <c r="K437" s="18" t="str" cm="1">
        <f t="array" ref="K437">IFERROR(INDEX(_xlfn.TEXTSPLIT(_xlfn.XLOOKUP($A437&amp;$B437&amp;$C437,盘货信息!$A:$A&amp;盘货信息!$B:$B&amp;盘货信息!$C:$C,盘货信息!$S:$S),CHAR(10),,TRUE),1,COLUMN(B436)),"")</f>
        <v/>
      </c>
      <c r="L437" s="18" t="str" cm="1">
        <f t="array" ref="L437">IFERROR(INDEX(_xlfn.TEXTSPLIT(_xlfn.XLOOKUP($A437&amp;$B437&amp;$C437,盘货信息!$A:$A&amp;盘货信息!$B:$B&amp;盘货信息!$C:$C,盘货信息!$S:$S),CHAR(10),,TRUE),1,COLUMN(C436)),"")</f>
        <v/>
      </c>
      <c r="M437" s="18" t="str" cm="1">
        <f t="array" ref="M437">IFERROR(INDEX(_xlfn.TEXTSPLIT(_xlfn.XLOOKUP($A437&amp;$B437&amp;$C437,盘货信息!$A:$A&amp;盘货信息!$B:$B&amp;盘货信息!$C:$C,盘货信息!$S:$S),CHAR(10),,TRUE),1,COLUMN(D436)),"")</f>
        <v/>
      </c>
      <c r="N437" s="18" t="str" cm="1">
        <f t="array" ref="N437">IFERROR(INDEX(_xlfn.TEXTSPLIT(_xlfn.XLOOKUP($A437&amp;$B437&amp;$C437,盘货信息!$A:$A&amp;盘货信息!$B:$B&amp;盘货信息!$C:$C,盘货信息!$S:$S),CHAR(10),,TRUE),1,COLUMN(E436)),"")</f>
        <v/>
      </c>
    </row>
    <row r="438" customHeight="1" spans="1:14">
      <c r="A438" s="17" t="str">
        <f>IF(盘货信息!A438="","",盘货信息!A438)</f>
        <v/>
      </c>
      <c r="B438" s="17" t="str">
        <f>IF(盘货信息!B438="","",盘货信息!B438)</f>
        <v/>
      </c>
      <c r="C438" s="18" t="str">
        <f>IF(盘货信息!C438="","",盘货信息!C438)</f>
        <v/>
      </c>
      <c r="D438" s="18" t="str">
        <f t="shared" si="6"/>
        <v/>
      </c>
      <c r="E438" s="18" t="str">
        <f>_xlfn.LET(_xlpm.A,IF(ISNUMBER(SEARCH("晒单",J438)),"【晒单】"&amp;MID(J438,SEARCH("晒单",J438)+LEN("晒单"),LEN(J438))&amp;"（需晒单后联系客服登记）",IF(ISNUMBER(SEARCH("包修",J438)),"【购机】"&amp;MID(J438,SEARCH("购机",J438)+LEN("购机"),LEN(J438)),IF(ISNUMBER(SEARCH("叠放支架",J438)),"【赠品】"&amp;MID(J438,SEARCH("购机",J438)+LEN("购机"),LEN(J438)),IF(ISNUMBER(SEARCH("秀图",J438)),"【秀图】"&amp;MID(J438,SEARCH("秀图",J438)+LEN("秀图"),LEN(J438)),"")))),IFERROR(LEFT(_xlpm.A,FIND("【",_xlpm.A,FIND("】",_xlpm.A)+1)-1)&amp;MID(_xlpm.A,FIND("】",_xlpm.A,FIND("】",_xlpm.A)+1)+1,LEN(_xlpm.A)),_xlpm.A))</f>
        <v/>
      </c>
      <c r="F438" s="18" t="str">
        <f>_xlfn.LET(_xlpm.A,IF(ISNUMBER(SEARCH("晒单",K438)),"【晒单】"&amp;MID(K438,SEARCH("晒单",K438)+LEN("晒单"),LEN(K438))&amp;"（需晒单后联系客服登记）",IF(ISNUMBER(SEARCH("包修",K438)),"【购机】"&amp;MID(K438,SEARCH("购机",K438)+LEN("购机"),LEN(K438)),IF(ISNUMBER(SEARCH("叠放支架",K438)),"【赠品】"&amp;MID(K438,SEARCH("购机",K438)+LEN("购机"),LEN(K438)),IF(ISNUMBER(SEARCH("秀图",K438)),"【秀图】"&amp;MID(K438,SEARCH("秀图",K438)+LEN("秀图"),LEN(K438)),"")))),IFERROR(LEFT(_xlpm.A,FIND("【",_xlpm.A,FIND("】",_xlpm.A)+1)-1)&amp;MID(_xlpm.A,FIND("】",_xlpm.A,FIND("】",_xlpm.A)+1)+1,LEN(_xlpm.A)),_xlpm.A))</f>
        <v/>
      </c>
      <c r="G438" s="18" t="str">
        <f>_xlfn.LET(_xlpm.A,IF(ISNUMBER(SEARCH("晒单",L438)),"【晒单】"&amp;MID(L438,SEARCH("晒单",L438)+LEN("晒单"),LEN(L438))&amp;"（需晒单后联系客服登记）",IF(ISNUMBER(SEARCH("包修",L438)),"【购机】"&amp;MID(L438,SEARCH("购机",L438)+LEN("购机"),LEN(L438)),IF(ISNUMBER(SEARCH("叠放支架",L438)),"【赠品】"&amp;MID(L438,SEARCH("购机",L438)+LEN("购机"),LEN(L438)),IF(ISNUMBER(SEARCH("秀图",L438)),"【秀图】"&amp;MID(L438,SEARCH("秀图",L438)+LEN("秀图"),LEN(L438)),"")))),IFERROR(LEFT(_xlpm.A,FIND("【",_xlpm.A,FIND("】",_xlpm.A)+1)-1)&amp;MID(_xlpm.A,FIND("】",_xlpm.A,FIND("】",_xlpm.A)+1)+1,LEN(_xlpm.A)),_xlpm.A))</f>
        <v/>
      </c>
      <c r="H438" s="18" t="str">
        <f>_xlfn.LET(_xlpm.A,IF(ISNUMBER(SEARCH("晒单",M438)),"【晒单】"&amp;MID(M438,SEARCH("晒单",M438)+LEN("晒单"),LEN(M438))&amp;"（需晒单后联系客服登记）",IF(ISNUMBER(SEARCH("包修",M438)),"【购机】"&amp;MID(M438,SEARCH("购机",M438)+LEN("购机"),LEN(M438)),IF(ISNUMBER(SEARCH("叠放支架",M438)),"【赠品】"&amp;MID(M438,SEARCH("购机",M438)+LEN("购机"),LEN(M438)),IF(ISNUMBER(SEARCH("秀图",M438)),"【秀图】"&amp;MID(M438,SEARCH("秀图",M438)+LEN("秀图"),LEN(M438)),"")))),IFERROR(LEFT(_xlpm.A,FIND("【",_xlpm.A,FIND("】",_xlpm.A)+1)-1)&amp;MID(_xlpm.A,FIND("】",_xlpm.A,FIND("】",_xlpm.A)+1)+1,LEN(_xlpm.A)),_xlpm.A))</f>
        <v/>
      </c>
      <c r="I438" s="18" t="str">
        <f>_xlfn.LET(_xlpm.A,IF(ISNUMBER(SEARCH("晒单",N438)),"【晒单】"&amp;MID(N438,SEARCH("晒单",N438)+LEN("晒单"),LEN(N438))&amp;"（需晒单后联系客服登记）",IF(ISNUMBER(SEARCH("包修",N438)),"【购机】"&amp;MID(N438,SEARCH("购机",N438)+LEN("购机"),LEN(N438)),IF(ISNUMBER(SEARCH("叠放支架",N438)),"【赠品】"&amp;MID(N438,SEARCH("购机",N438)+LEN("购机"),LEN(N438)),IF(ISNUMBER(SEARCH("秀图",N438)),"【秀图】"&amp;MID(N438,SEARCH("秀图",N438)+LEN("秀图"),LEN(N438)),"")))),IFERROR(LEFT(_xlpm.A,FIND("【",_xlpm.A,FIND("】",_xlpm.A)+1)-1)&amp;MID(_xlpm.A,FIND("】",_xlpm.A,FIND("】",_xlpm.A)+1)+1,LEN(_xlpm.A)),_xlpm.A))</f>
        <v/>
      </c>
      <c r="J438" s="18" t="str" cm="1">
        <f t="array" ref="J438">IFERROR(INDEX(_xlfn.TEXTSPLIT(_xlfn.XLOOKUP($A438&amp;$B438&amp;$C438,盘货信息!$A:$A&amp;盘货信息!$B:$B&amp;盘货信息!$C:$C,盘货信息!$S:$S),CHAR(10),,TRUE),1,COLUMN(A437)),"")</f>
        <v/>
      </c>
      <c r="K438" s="18" t="str" cm="1">
        <f t="array" ref="K438">IFERROR(INDEX(_xlfn.TEXTSPLIT(_xlfn.XLOOKUP($A438&amp;$B438&amp;$C438,盘货信息!$A:$A&amp;盘货信息!$B:$B&amp;盘货信息!$C:$C,盘货信息!$S:$S),CHAR(10),,TRUE),1,COLUMN(B437)),"")</f>
        <v/>
      </c>
      <c r="L438" s="18" t="str" cm="1">
        <f t="array" ref="L438">IFERROR(INDEX(_xlfn.TEXTSPLIT(_xlfn.XLOOKUP($A438&amp;$B438&amp;$C438,盘货信息!$A:$A&amp;盘货信息!$B:$B&amp;盘货信息!$C:$C,盘货信息!$S:$S),CHAR(10),,TRUE),1,COLUMN(C437)),"")</f>
        <v/>
      </c>
      <c r="M438" s="18" t="str" cm="1">
        <f t="array" ref="M438">IFERROR(INDEX(_xlfn.TEXTSPLIT(_xlfn.XLOOKUP($A438&amp;$B438&amp;$C438,盘货信息!$A:$A&amp;盘货信息!$B:$B&amp;盘货信息!$C:$C,盘货信息!$S:$S),CHAR(10),,TRUE),1,COLUMN(D437)),"")</f>
        <v/>
      </c>
      <c r="N438" s="18" t="str" cm="1">
        <f t="array" ref="N438">IFERROR(INDEX(_xlfn.TEXTSPLIT(_xlfn.XLOOKUP($A438&amp;$B438&amp;$C438,盘货信息!$A:$A&amp;盘货信息!$B:$B&amp;盘货信息!$C:$C,盘货信息!$S:$S),CHAR(10),,TRUE),1,COLUMN(E437)),"")</f>
        <v/>
      </c>
    </row>
    <row r="439" customHeight="1" spans="1:14">
      <c r="A439" s="17" t="str">
        <f>IF(盘货信息!A439="","",盘货信息!A439)</f>
        <v/>
      </c>
      <c r="B439" s="17" t="str">
        <f>IF(盘货信息!B439="","",盘货信息!B439)</f>
        <v/>
      </c>
      <c r="C439" s="18" t="str">
        <f>IF(盘货信息!C439="","",盘货信息!C439)</f>
        <v/>
      </c>
      <c r="D439" s="18" t="str">
        <f t="shared" si="6"/>
        <v/>
      </c>
      <c r="E439" s="18" t="str">
        <f>_xlfn.LET(_xlpm.A,IF(ISNUMBER(SEARCH("晒单",J439)),"【晒单】"&amp;MID(J439,SEARCH("晒单",J439)+LEN("晒单"),LEN(J439))&amp;"（需晒单后联系客服登记）",IF(ISNUMBER(SEARCH("包修",J439)),"【购机】"&amp;MID(J439,SEARCH("购机",J439)+LEN("购机"),LEN(J439)),IF(ISNUMBER(SEARCH("叠放支架",J439)),"【赠品】"&amp;MID(J439,SEARCH("购机",J439)+LEN("购机"),LEN(J439)),IF(ISNUMBER(SEARCH("秀图",J439)),"【秀图】"&amp;MID(J439,SEARCH("秀图",J439)+LEN("秀图"),LEN(J439)),"")))),IFERROR(LEFT(_xlpm.A,FIND("【",_xlpm.A,FIND("】",_xlpm.A)+1)-1)&amp;MID(_xlpm.A,FIND("】",_xlpm.A,FIND("】",_xlpm.A)+1)+1,LEN(_xlpm.A)),_xlpm.A))</f>
        <v/>
      </c>
      <c r="F439" s="18" t="str">
        <f>_xlfn.LET(_xlpm.A,IF(ISNUMBER(SEARCH("晒单",K439)),"【晒单】"&amp;MID(K439,SEARCH("晒单",K439)+LEN("晒单"),LEN(K439))&amp;"（需晒单后联系客服登记）",IF(ISNUMBER(SEARCH("包修",K439)),"【购机】"&amp;MID(K439,SEARCH("购机",K439)+LEN("购机"),LEN(K439)),IF(ISNUMBER(SEARCH("叠放支架",K439)),"【赠品】"&amp;MID(K439,SEARCH("购机",K439)+LEN("购机"),LEN(K439)),IF(ISNUMBER(SEARCH("秀图",K439)),"【秀图】"&amp;MID(K439,SEARCH("秀图",K439)+LEN("秀图"),LEN(K439)),"")))),IFERROR(LEFT(_xlpm.A,FIND("【",_xlpm.A,FIND("】",_xlpm.A)+1)-1)&amp;MID(_xlpm.A,FIND("】",_xlpm.A,FIND("】",_xlpm.A)+1)+1,LEN(_xlpm.A)),_xlpm.A))</f>
        <v/>
      </c>
      <c r="G439" s="18" t="str">
        <f>_xlfn.LET(_xlpm.A,IF(ISNUMBER(SEARCH("晒单",L439)),"【晒单】"&amp;MID(L439,SEARCH("晒单",L439)+LEN("晒单"),LEN(L439))&amp;"（需晒单后联系客服登记）",IF(ISNUMBER(SEARCH("包修",L439)),"【购机】"&amp;MID(L439,SEARCH("购机",L439)+LEN("购机"),LEN(L439)),IF(ISNUMBER(SEARCH("叠放支架",L439)),"【赠品】"&amp;MID(L439,SEARCH("购机",L439)+LEN("购机"),LEN(L439)),IF(ISNUMBER(SEARCH("秀图",L439)),"【秀图】"&amp;MID(L439,SEARCH("秀图",L439)+LEN("秀图"),LEN(L439)),"")))),IFERROR(LEFT(_xlpm.A,FIND("【",_xlpm.A,FIND("】",_xlpm.A)+1)-1)&amp;MID(_xlpm.A,FIND("】",_xlpm.A,FIND("】",_xlpm.A)+1)+1,LEN(_xlpm.A)),_xlpm.A))</f>
        <v/>
      </c>
      <c r="H439" s="18" t="str">
        <f>_xlfn.LET(_xlpm.A,IF(ISNUMBER(SEARCH("晒单",M439)),"【晒单】"&amp;MID(M439,SEARCH("晒单",M439)+LEN("晒单"),LEN(M439))&amp;"（需晒单后联系客服登记）",IF(ISNUMBER(SEARCH("包修",M439)),"【购机】"&amp;MID(M439,SEARCH("购机",M439)+LEN("购机"),LEN(M439)),IF(ISNUMBER(SEARCH("叠放支架",M439)),"【赠品】"&amp;MID(M439,SEARCH("购机",M439)+LEN("购机"),LEN(M439)),IF(ISNUMBER(SEARCH("秀图",M439)),"【秀图】"&amp;MID(M439,SEARCH("秀图",M439)+LEN("秀图"),LEN(M439)),"")))),IFERROR(LEFT(_xlpm.A,FIND("【",_xlpm.A,FIND("】",_xlpm.A)+1)-1)&amp;MID(_xlpm.A,FIND("】",_xlpm.A,FIND("】",_xlpm.A)+1)+1,LEN(_xlpm.A)),_xlpm.A))</f>
        <v/>
      </c>
      <c r="I439" s="18" t="str">
        <f>_xlfn.LET(_xlpm.A,IF(ISNUMBER(SEARCH("晒单",N439)),"【晒单】"&amp;MID(N439,SEARCH("晒单",N439)+LEN("晒单"),LEN(N439))&amp;"（需晒单后联系客服登记）",IF(ISNUMBER(SEARCH("包修",N439)),"【购机】"&amp;MID(N439,SEARCH("购机",N439)+LEN("购机"),LEN(N439)),IF(ISNUMBER(SEARCH("叠放支架",N439)),"【赠品】"&amp;MID(N439,SEARCH("购机",N439)+LEN("购机"),LEN(N439)),IF(ISNUMBER(SEARCH("秀图",N439)),"【秀图】"&amp;MID(N439,SEARCH("秀图",N439)+LEN("秀图"),LEN(N439)),"")))),IFERROR(LEFT(_xlpm.A,FIND("【",_xlpm.A,FIND("】",_xlpm.A)+1)-1)&amp;MID(_xlpm.A,FIND("】",_xlpm.A,FIND("】",_xlpm.A)+1)+1,LEN(_xlpm.A)),_xlpm.A))</f>
        <v/>
      </c>
      <c r="J439" s="18" t="str" cm="1">
        <f t="array" ref="J439">IFERROR(INDEX(_xlfn.TEXTSPLIT(_xlfn.XLOOKUP($A439&amp;$B439&amp;$C439,盘货信息!$A:$A&amp;盘货信息!$B:$B&amp;盘货信息!$C:$C,盘货信息!$S:$S),CHAR(10),,TRUE),1,COLUMN(A438)),"")</f>
        <v/>
      </c>
      <c r="K439" s="18" t="str" cm="1">
        <f t="array" ref="K439">IFERROR(INDEX(_xlfn.TEXTSPLIT(_xlfn.XLOOKUP($A439&amp;$B439&amp;$C439,盘货信息!$A:$A&amp;盘货信息!$B:$B&amp;盘货信息!$C:$C,盘货信息!$S:$S),CHAR(10),,TRUE),1,COLUMN(B438)),"")</f>
        <v/>
      </c>
      <c r="L439" s="18" t="str" cm="1">
        <f t="array" ref="L439">IFERROR(INDEX(_xlfn.TEXTSPLIT(_xlfn.XLOOKUP($A439&amp;$B439&amp;$C439,盘货信息!$A:$A&amp;盘货信息!$B:$B&amp;盘货信息!$C:$C,盘货信息!$S:$S),CHAR(10),,TRUE),1,COLUMN(C438)),"")</f>
        <v/>
      </c>
      <c r="M439" s="18" t="str" cm="1">
        <f t="array" ref="M439">IFERROR(INDEX(_xlfn.TEXTSPLIT(_xlfn.XLOOKUP($A439&amp;$B439&amp;$C439,盘货信息!$A:$A&amp;盘货信息!$B:$B&amp;盘货信息!$C:$C,盘货信息!$S:$S),CHAR(10),,TRUE),1,COLUMN(D438)),"")</f>
        <v/>
      </c>
      <c r="N439" s="18" t="str" cm="1">
        <f t="array" ref="N439">IFERROR(INDEX(_xlfn.TEXTSPLIT(_xlfn.XLOOKUP($A439&amp;$B439&amp;$C439,盘货信息!$A:$A&amp;盘货信息!$B:$B&amp;盘货信息!$C:$C,盘货信息!$S:$S),CHAR(10),,TRUE),1,COLUMN(E438)),"")</f>
        <v/>
      </c>
    </row>
    <row r="440" customHeight="1" spans="1:14">
      <c r="A440" s="17" t="str">
        <f>IF(盘货信息!A440="","",盘货信息!A440)</f>
        <v/>
      </c>
      <c r="B440" s="17" t="str">
        <f>IF(盘货信息!B440="","",盘货信息!B440)</f>
        <v/>
      </c>
      <c r="C440" s="18" t="str">
        <f>IF(盘货信息!C440="","",盘货信息!C440)</f>
        <v/>
      </c>
      <c r="D440" s="18" t="str">
        <f t="shared" si="6"/>
        <v/>
      </c>
      <c r="E440" s="18" t="str">
        <f>_xlfn.LET(_xlpm.A,IF(ISNUMBER(SEARCH("晒单",J440)),"【晒单】"&amp;MID(J440,SEARCH("晒单",J440)+LEN("晒单"),LEN(J440))&amp;"（需晒单后联系客服登记）",IF(ISNUMBER(SEARCH("包修",J440)),"【购机】"&amp;MID(J440,SEARCH("购机",J440)+LEN("购机"),LEN(J440)),IF(ISNUMBER(SEARCH("叠放支架",J440)),"【赠品】"&amp;MID(J440,SEARCH("购机",J440)+LEN("购机"),LEN(J440)),IF(ISNUMBER(SEARCH("秀图",J440)),"【秀图】"&amp;MID(J440,SEARCH("秀图",J440)+LEN("秀图"),LEN(J440)),"")))),IFERROR(LEFT(_xlpm.A,FIND("【",_xlpm.A,FIND("】",_xlpm.A)+1)-1)&amp;MID(_xlpm.A,FIND("】",_xlpm.A,FIND("】",_xlpm.A)+1)+1,LEN(_xlpm.A)),_xlpm.A))</f>
        <v/>
      </c>
      <c r="F440" s="18" t="str">
        <f>_xlfn.LET(_xlpm.A,IF(ISNUMBER(SEARCH("晒单",K440)),"【晒单】"&amp;MID(K440,SEARCH("晒单",K440)+LEN("晒单"),LEN(K440))&amp;"（需晒单后联系客服登记）",IF(ISNUMBER(SEARCH("包修",K440)),"【购机】"&amp;MID(K440,SEARCH("购机",K440)+LEN("购机"),LEN(K440)),IF(ISNUMBER(SEARCH("叠放支架",K440)),"【赠品】"&amp;MID(K440,SEARCH("购机",K440)+LEN("购机"),LEN(K440)),IF(ISNUMBER(SEARCH("秀图",K440)),"【秀图】"&amp;MID(K440,SEARCH("秀图",K440)+LEN("秀图"),LEN(K440)),"")))),IFERROR(LEFT(_xlpm.A,FIND("【",_xlpm.A,FIND("】",_xlpm.A)+1)-1)&amp;MID(_xlpm.A,FIND("】",_xlpm.A,FIND("】",_xlpm.A)+1)+1,LEN(_xlpm.A)),_xlpm.A))</f>
        <v/>
      </c>
      <c r="G440" s="18" t="str">
        <f>_xlfn.LET(_xlpm.A,IF(ISNUMBER(SEARCH("晒单",L440)),"【晒单】"&amp;MID(L440,SEARCH("晒单",L440)+LEN("晒单"),LEN(L440))&amp;"（需晒单后联系客服登记）",IF(ISNUMBER(SEARCH("包修",L440)),"【购机】"&amp;MID(L440,SEARCH("购机",L440)+LEN("购机"),LEN(L440)),IF(ISNUMBER(SEARCH("叠放支架",L440)),"【赠品】"&amp;MID(L440,SEARCH("购机",L440)+LEN("购机"),LEN(L440)),IF(ISNUMBER(SEARCH("秀图",L440)),"【秀图】"&amp;MID(L440,SEARCH("秀图",L440)+LEN("秀图"),LEN(L440)),"")))),IFERROR(LEFT(_xlpm.A,FIND("【",_xlpm.A,FIND("】",_xlpm.A)+1)-1)&amp;MID(_xlpm.A,FIND("】",_xlpm.A,FIND("】",_xlpm.A)+1)+1,LEN(_xlpm.A)),_xlpm.A))</f>
        <v/>
      </c>
      <c r="H440" s="18" t="str">
        <f>_xlfn.LET(_xlpm.A,IF(ISNUMBER(SEARCH("晒单",M440)),"【晒单】"&amp;MID(M440,SEARCH("晒单",M440)+LEN("晒单"),LEN(M440))&amp;"（需晒单后联系客服登记）",IF(ISNUMBER(SEARCH("包修",M440)),"【购机】"&amp;MID(M440,SEARCH("购机",M440)+LEN("购机"),LEN(M440)),IF(ISNUMBER(SEARCH("叠放支架",M440)),"【赠品】"&amp;MID(M440,SEARCH("购机",M440)+LEN("购机"),LEN(M440)),IF(ISNUMBER(SEARCH("秀图",M440)),"【秀图】"&amp;MID(M440,SEARCH("秀图",M440)+LEN("秀图"),LEN(M440)),"")))),IFERROR(LEFT(_xlpm.A,FIND("【",_xlpm.A,FIND("】",_xlpm.A)+1)-1)&amp;MID(_xlpm.A,FIND("】",_xlpm.A,FIND("】",_xlpm.A)+1)+1,LEN(_xlpm.A)),_xlpm.A))</f>
        <v/>
      </c>
      <c r="I440" s="18" t="str">
        <f>_xlfn.LET(_xlpm.A,IF(ISNUMBER(SEARCH("晒单",N440)),"【晒单】"&amp;MID(N440,SEARCH("晒单",N440)+LEN("晒单"),LEN(N440))&amp;"（需晒单后联系客服登记）",IF(ISNUMBER(SEARCH("包修",N440)),"【购机】"&amp;MID(N440,SEARCH("购机",N440)+LEN("购机"),LEN(N440)),IF(ISNUMBER(SEARCH("叠放支架",N440)),"【赠品】"&amp;MID(N440,SEARCH("购机",N440)+LEN("购机"),LEN(N440)),IF(ISNUMBER(SEARCH("秀图",N440)),"【秀图】"&amp;MID(N440,SEARCH("秀图",N440)+LEN("秀图"),LEN(N440)),"")))),IFERROR(LEFT(_xlpm.A,FIND("【",_xlpm.A,FIND("】",_xlpm.A)+1)-1)&amp;MID(_xlpm.A,FIND("】",_xlpm.A,FIND("】",_xlpm.A)+1)+1,LEN(_xlpm.A)),_xlpm.A))</f>
        <v/>
      </c>
      <c r="J440" s="18" t="str" cm="1">
        <f t="array" ref="J440">IFERROR(INDEX(_xlfn.TEXTSPLIT(_xlfn.XLOOKUP($A440&amp;$B440&amp;$C440,盘货信息!$A:$A&amp;盘货信息!$B:$B&amp;盘货信息!$C:$C,盘货信息!$S:$S),CHAR(10),,TRUE),1,COLUMN(A439)),"")</f>
        <v/>
      </c>
      <c r="K440" s="18" t="str" cm="1">
        <f t="array" ref="K440">IFERROR(INDEX(_xlfn.TEXTSPLIT(_xlfn.XLOOKUP($A440&amp;$B440&amp;$C440,盘货信息!$A:$A&amp;盘货信息!$B:$B&amp;盘货信息!$C:$C,盘货信息!$S:$S),CHAR(10),,TRUE),1,COLUMN(B439)),"")</f>
        <v/>
      </c>
      <c r="L440" s="18" t="str" cm="1">
        <f t="array" ref="L440">IFERROR(INDEX(_xlfn.TEXTSPLIT(_xlfn.XLOOKUP($A440&amp;$B440&amp;$C440,盘货信息!$A:$A&amp;盘货信息!$B:$B&amp;盘货信息!$C:$C,盘货信息!$S:$S),CHAR(10),,TRUE),1,COLUMN(C439)),"")</f>
        <v/>
      </c>
      <c r="M440" s="18" t="str" cm="1">
        <f t="array" ref="M440">IFERROR(INDEX(_xlfn.TEXTSPLIT(_xlfn.XLOOKUP($A440&amp;$B440&amp;$C440,盘货信息!$A:$A&amp;盘货信息!$B:$B&amp;盘货信息!$C:$C,盘货信息!$S:$S),CHAR(10),,TRUE),1,COLUMN(D439)),"")</f>
        <v/>
      </c>
      <c r="N440" s="18" t="str" cm="1">
        <f t="array" ref="N440">IFERROR(INDEX(_xlfn.TEXTSPLIT(_xlfn.XLOOKUP($A440&amp;$B440&amp;$C440,盘货信息!$A:$A&amp;盘货信息!$B:$B&amp;盘货信息!$C:$C,盘货信息!$S:$S),CHAR(10),,TRUE),1,COLUMN(E439)),"")</f>
        <v/>
      </c>
    </row>
    <row r="441" customHeight="1" spans="1:14">
      <c r="A441" s="17" t="str">
        <f>IF(盘货信息!A441="","",盘货信息!A441)</f>
        <v/>
      </c>
      <c r="B441" s="17" t="str">
        <f>IF(盘货信息!B441="","",盘货信息!B441)</f>
        <v/>
      </c>
      <c r="C441" s="18" t="str">
        <f>IF(盘货信息!C441="","",盘货信息!C441)</f>
        <v/>
      </c>
      <c r="D441" s="18" t="str">
        <f t="shared" si="6"/>
        <v/>
      </c>
      <c r="E441" s="18" t="str">
        <f>_xlfn.LET(_xlpm.A,IF(ISNUMBER(SEARCH("晒单",J441)),"【晒单】"&amp;MID(J441,SEARCH("晒单",J441)+LEN("晒单"),LEN(J441))&amp;"（需晒单后联系客服登记）",IF(ISNUMBER(SEARCH("包修",J441)),"【购机】"&amp;MID(J441,SEARCH("购机",J441)+LEN("购机"),LEN(J441)),IF(ISNUMBER(SEARCH("叠放支架",J441)),"【赠品】"&amp;MID(J441,SEARCH("购机",J441)+LEN("购机"),LEN(J441)),IF(ISNUMBER(SEARCH("秀图",J441)),"【秀图】"&amp;MID(J441,SEARCH("秀图",J441)+LEN("秀图"),LEN(J441)),"")))),IFERROR(LEFT(_xlpm.A,FIND("【",_xlpm.A,FIND("】",_xlpm.A)+1)-1)&amp;MID(_xlpm.A,FIND("】",_xlpm.A,FIND("】",_xlpm.A)+1)+1,LEN(_xlpm.A)),_xlpm.A))</f>
        <v/>
      </c>
      <c r="F441" s="18" t="str">
        <f>_xlfn.LET(_xlpm.A,IF(ISNUMBER(SEARCH("晒单",K441)),"【晒单】"&amp;MID(K441,SEARCH("晒单",K441)+LEN("晒单"),LEN(K441))&amp;"（需晒单后联系客服登记）",IF(ISNUMBER(SEARCH("包修",K441)),"【购机】"&amp;MID(K441,SEARCH("购机",K441)+LEN("购机"),LEN(K441)),IF(ISNUMBER(SEARCH("叠放支架",K441)),"【赠品】"&amp;MID(K441,SEARCH("购机",K441)+LEN("购机"),LEN(K441)),IF(ISNUMBER(SEARCH("秀图",K441)),"【秀图】"&amp;MID(K441,SEARCH("秀图",K441)+LEN("秀图"),LEN(K441)),"")))),IFERROR(LEFT(_xlpm.A,FIND("【",_xlpm.A,FIND("】",_xlpm.A)+1)-1)&amp;MID(_xlpm.A,FIND("】",_xlpm.A,FIND("】",_xlpm.A)+1)+1,LEN(_xlpm.A)),_xlpm.A))</f>
        <v/>
      </c>
      <c r="G441" s="18" t="str">
        <f>_xlfn.LET(_xlpm.A,IF(ISNUMBER(SEARCH("晒单",L441)),"【晒单】"&amp;MID(L441,SEARCH("晒单",L441)+LEN("晒单"),LEN(L441))&amp;"（需晒单后联系客服登记）",IF(ISNUMBER(SEARCH("包修",L441)),"【购机】"&amp;MID(L441,SEARCH("购机",L441)+LEN("购机"),LEN(L441)),IF(ISNUMBER(SEARCH("叠放支架",L441)),"【赠品】"&amp;MID(L441,SEARCH("购机",L441)+LEN("购机"),LEN(L441)),IF(ISNUMBER(SEARCH("秀图",L441)),"【秀图】"&amp;MID(L441,SEARCH("秀图",L441)+LEN("秀图"),LEN(L441)),"")))),IFERROR(LEFT(_xlpm.A,FIND("【",_xlpm.A,FIND("】",_xlpm.A)+1)-1)&amp;MID(_xlpm.A,FIND("】",_xlpm.A,FIND("】",_xlpm.A)+1)+1,LEN(_xlpm.A)),_xlpm.A))</f>
        <v/>
      </c>
      <c r="H441" s="18" t="str">
        <f>_xlfn.LET(_xlpm.A,IF(ISNUMBER(SEARCH("晒单",M441)),"【晒单】"&amp;MID(M441,SEARCH("晒单",M441)+LEN("晒单"),LEN(M441))&amp;"（需晒单后联系客服登记）",IF(ISNUMBER(SEARCH("包修",M441)),"【购机】"&amp;MID(M441,SEARCH("购机",M441)+LEN("购机"),LEN(M441)),IF(ISNUMBER(SEARCH("叠放支架",M441)),"【赠品】"&amp;MID(M441,SEARCH("购机",M441)+LEN("购机"),LEN(M441)),IF(ISNUMBER(SEARCH("秀图",M441)),"【秀图】"&amp;MID(M441,SEARCH("秀图",M441)+LEN("秀图"),LEN(M441)),"")))),IFERROR(LEFT(_xlpm.A,FIND("【",_xlpm.A,FIND("】",_xlpm.A)+1)-1)&amp;MID(_xlpm.A,FIND("】",_xlpm.A,FIND("】",_xlpm.A)+1)+1,LEN(_xlpm.A)),_xlpm.A))</f>
        <v/>
      </c>
      <c r="I441" s="18" t="str">
        <f>_xlfn.LET(_xlpm.A,IF(ISNUMBER(SEARCH("晒单",N441)),"【晒单】"&amp;MID(N441,SEARCH("晒单",N441)+LEN("晒单"),LEN(N441))&amp;"（需晒单后联系客服登记）",IF(ISNUMBER(SEARCH("包修",N441)),"【购机】"&amp;MID(N441,SEARCH("购机",N441)+LEN("购机"),LEN(N441)),IF(ISNUMBER(SEARCH("叠放支架",N441)),"【赠品】"&amp;MID(N441,SEARCH("购机",N441)+LEN("购机"),LEN(N441)),IF(ISNUMBER(SEARCH("秀图",N441)),"【秀图】"&amp;MID(N441,SEARCH("秀图",N441)+LEN("秀图"),LEN(N441)),"")))),IFERROR(LEFT(_xlpm.A,FIND("【",_xlpm.A,FIND("】",_xlpm.A)+1)-1)&amp;MID(_xlpm.A,FIND("】",_xlpm.A,FIND("】",_xlpm.A)+1)+1,LEN(_xlpm.A)),_xlpm.A))</f>
        <v/>
      </c>
      <c r="J441" s="18" t="str" cm="1">
        <f t="array" ref="J441">IFERROR(INDEX(_xlfn.TEXTSPLIT(_xlfn.XLOOKUP($A441&amp;$B441&amp;$C441,盘货信息!$A:$A&amp;盘货信息!$B:$B&amp;盘货信息!$C:$C,盘货信息!$S:$S),CHAR(10),,TRUE),1,COLUMN(A440)),"")</f>
        <v/>
      </c>
      <c r="K441" s="18" t="str" cm="1">
        <f t="array" ref="K441">IFERROR(INDEX(_xlfn.TEXTSPLIT(_xlfn.XLOOKUP($A441&amp;$B441&amp;$C441,盘货信息!$A:$A&amp;盘货信息!$B:$B&amp;盘货信息!$C:$C,盘货信息!$S:$S),CHAR(10),,TRUE),1,COLUMN(B440)),"")</f>
        <v/>
      </c>
      <c r="L441" s="18" t="str" cm="1">
        <f t="array" ref="L441">IFERROR(INDEX(_xlfn.TEXTSPLIT(_xlfn.XLOOKUP($A441&amp;$B441&amp;$C441,盘货信息!$A:$A&amp;盘货信息!$B:$B&amp;盘货信息!$C:$C,盘货信息!$S:$S),CHAR(10),,TRUE),1,COLUMN(C440)),"")</f>
        <v/>
      </c>
      <c r="M441" s="18" t="str" cm="1">
        <f t="array" ref="M441">IFERROR(INDEX(_xlfn.TEXTSPLIT(_xlfn.XLOOKUP($A441&amp;$B441&amp;$C441,盘货信息!$A:$A&amp;盘货信息!$B:$B&amp;盘货信息!$C:$C,盘货信息!$S:$S),CHAR(10),,TRUE),1,COLUMN(D440)),"")</f>
        <v/>
      </c>
      <c r="N441" s="18" t="str" cm="1">
        <f t="array" ref="N441">IFERROR(INDEX(_xlfn.TEXTSPLIT(_xlfn.XLOOKUP($A441&amp;$B441&amp;$C441,盘货信息!$A:$A&amp;盘货信息!$B:$B&amp;盘货信息!$C:$C,盘货信息!$S:$S),CHAR(10),,TRUE),1,COLUMN(E440)),"")</f>
        <v/>
      </c>
    </row>
    <row r="442" customHeight="1" spans="1:14">
      <c r="A442" s="17" t="str">
        <f>IF(盘货信息!A442="","",盘货信息!A442)</f>
        <v/>
      </c>
      <c r="B442" s="17" t="str">
        <f>IF(盘货信息!B442="","",盘货信息!B442)</f>
        <v/>
      </c>
      <c r="C442" s="18" t="str">
        <f>IF(盘货信息!C442="","",盘货信息!C442)</f>
        <v/>
      </c>
      <c r="D442" s="18" t="str">
        <f t="shared" si="6"/>
        <v/>
      </c>
      <c r="E442" s="18" t="str">
        <f>_xlfn.LET(_xlpm.A,IF(ISNUMBER(SEARCH("晒单",J442)),"【晒单】"&amp;MID(J442,SEARCH("晒单",J442)+LEN("晒单"),LEN(J442))&amp;"（需晒单后联系客服登记）",IF(ISNUMBER(SEARCH("包修",J442)),"【购机】"&amp;MID(J442,SEARCH("购机",J442)+LEN("购机"),LEN(J442)),IF(ISNUMBER(SEARCH("叠放支架",J442)),"【赠品】"&amp;MID(J442,SEARCH("购机",J442)+LEN("购机"),LEN(J442)),IF(ISNUMBER(SEARCH("秀图",J442)),"【秀图】"&amp;MID(J442,SEARCH("秀图",J442)+LEN("秀图"),LEN(J442)),"")))),IFERROR(LEFT(_xlpm.A,FIND("【",_xlpm.A,FIND("】",_xlpm.A)+1)-1)&amp;MID(_xlpm.A,FIND("】",_xlpm.A,FIND("】",_xlpm.A)+1)+1,LEN(_xlpm.A)),_xlpm.A))</f>
        <v/>
      </c>
      <c r="F442" s="18" t="str">
        <f>_xlfn.LET(_xlpm.A,IF(ISNUMBER(SEARCH("晒单",K442)),"【晒单】"&amp;MID(K442,SEARCH("晒单",K442)+LEN("晒单"),LEN(K442))&amp;"（需晒单后联系客服登记）",IF(ISNUMBER(SEARCH("包修",K442)),"【购机】"&amp;MID(K442,SEARCH("购机",K442)+LEN("购机"),LEN(K442)),IF(ISNUMBER(SEARCH("叠放支架",K442)),"【赠品】"&amp;MID(K442,SEARCH("购机",K442)+LEN("购机"),LEN(K442)),IF(ISNUMBER(SEARCH("秀图",K442)),"【秀图】"&amp;MID(K442,SEARCH("秀图",K442)+LEN("秀图"),LEN(K442)),"")))),IFERROR(LEFT(_xlpm.A,FIND("【",_xlpm.A,FIND("】",_xlpm.A)+1)-1)&amp;MID(_xlpm.A,FIND("】",_xlpm.A,FIND("】",_xlpm.A)+1)+1,LEN(_xlpm.A)),_xlpm.A))</f>
        <v/>
      </c>
      <c r="G442" s="18" t="str">
        <f>_xlfn.LET(_xlpm.A,IF(ISNUMBER(SEARCH("晒单",L442)),"【晒单】"&amp;MID(L442,SEARCH("晒单",L442)+LEN("晒单"),LEN(L442))&amp;"（需晒单后联系客服登记）",IF(ISNUMBER(SEARCH("包修",L442)),"【购机】"&amp;MID(L442,SEARCH("购机",L442)+LEN("购机"),LEN(L442)),IF(ISNUMBER(SEARCH("叠放支架",L442)),"【赠品】"&amp;MID(L442,SEARCH("购机",L442)+LEN("购机"),LEN(L442)),IF(ISNUMBER(SEARCH("秀图",L442)),"【秀图】"&amp;MID(L442,SEARCH("秀图",L442)+LEN("秀图"),LEN(L442)),"")))),IFERROR(LEFT(_xlpm.A,FIND("【",_xlpm.A,FIND("】",_xlpm.A)+1)-1)&amp;MID(_xlpm.A,FIND("】",_xlpm.A,FIND("】",_xlpm.A)+1)+1,LEN(_xlpm.A)),_xlpm.A))</f>
        <v/>
      </c>
      <c r="H442" s="18" t="str">
        <f>_xlfn.LET(_xlpm.A,IF(ISNUMBER(SEARCH("晒单",M442)),"【晒单】"&amp;MID(M442,SEARCH("晒单",M442)+LEN("晒单"),LEN(M442))&amp;"（需晒单后联系客服登记）",IF(ISNUMBER(SEARCH("包修",M442)),"【购机】"&amp;MID(M442,SEARCH("购机",M442)+LEN("购机"),LEN(M442)),IF(ISNUMBER(SEARCH("叠放支架",M442)),"【赠品】"&amp;MID(M442,SEARCH("购机",M442)+LEN("购机"),LEN(M442)),IF(ISNUMBER(SEARCH("秀图",M442)),"【秀图】"&amp;MID(M442,SEARCH("秀图",M442)+LEN("秀图"),LEN(M442)),"")))),IFERROR(LEFT(_xlpm.A,FIND("【",_xlpm.A,FIND("】",_xlpm.A)+1)-1)&amp;MID(_xlpm.A,FIND("】",_xlpm.A,FIND("】",_xlpm.A)+1)+1,LEN(_xlpm.A)),_xlpm.A))</f>
        <v/>
      </c>
      <c r="I442" s="18" t="str">
        <f>_xlfn.LET(_xlpm.A,IF(ISNUMBER(SEARCH("晒单",N442)),"【晒单】"&amp;MID(N442,SEARCH("晒单",N442)+LEN("晒单"),LEN(N442))&amp;"（需晒单后联系客服登记）",IF(ISNUMBER(SEARCH("包修",N442)),"【购机】"&amp;MID(N442,SEARCH("购机",N442)+LEN("购机"),LEN(N442)),IF(ISNUMBER(SEARCH("叠放支架",N442)),"【赠品】"&amp;MID(N442,SEARCH("购机",N442)+LEN("购机"),LEN(N442)),IF(ISNUMBER(SEARCH("秀图",N442)),"【秀图】"&amp;MID(N442,SEARCH("秀图",N442)+LEN("秀图"),LEN(N442)),"")))),IFERROR(LEFT(_xlpm.A,FIND("【",_xlpm.A,FIND("】",_xlpm.A)+1)-1)&amp;MID(_xlpm.A,FIND("】",_xlpm.A,FIND("】",_xlpm.A)+1)+1,LEN(_xlpm.A)),_xlpm.A))</f>
        <v/>
      </c>
      <c r="J442" s="18" t="str" cm="1">
        <f t="array" ref="J442">IFERROR(INDEX(_xlfn.TEXTSPLIT(_xlfn.XLOOKUP($A442&amp;$B442&amp;$C442,盘货信息!$A:$A&amp;盘货信息!$B:$B&amp;盘货信息!$C:$C,盘货信息!$S:$S),CHAR(10),,TRUE),1,COLUMN(A441)),"")</f>
        <v/>
      </c>
      <c r="K442" s="18" t="str" cm="1">
        <f t="array" ref="K442">IFERROR(INDEX(_xlfn.TEXTSPLIT(_xlfn.XLOOKUP($A442&amp;$B442&amp;$C442,盘货信息!$A:$A&amp;盘货信息!$B:$B&amp;盘货信息!$C:$C,盘货信息!$S:$S),CHAR(10),,TRUE),1,COLUMN(B441)),"")</f>
        <v/>
      </c>
      <c r="L442" s="18" t="str" cm="1">
        <f t="array" ref="L442">IFERROR(INDEX(_xlfn.TEXTSPLIT(_xlfn.XLOOKUP($A442&amp;$B442&amp;$C442,盘货信息!$A:$A&amp;盘货信息!$B:$B&amp;盘货信息!$C:$C,盘货信息!$S:$S),CHAR(10),,TRUE),1,COLUMN(C441)),"")</f>
        <v/>
      </c>
      <c r="M442" s="18" t="str" cm="1">
        <f t="array" ref="M442">IFERROR(INDEX(_xlfn.TEXTSPLIT(_xlfn.XLOOKUP($A442&amp;$B442&amp;$C442,盘货信息!$A:$A&amp;盘货信息!$B:$B&amp;盘货信息!$C:$C,盘货信息!$S:$S),CHAR(10),,TRUE),1,COLUMN(D441)),"")</f>
        <v/>
      </c>
      <c r="N442" s="18" t="str" cm="1">
        <f t="array" ref="N442">IFERROR(INDEX(_xlfn.TEXTSPLIT(_xlfn.XLOOKUP($A442&amp;$B442&amp;$C442,盘货信息!$A:$A&amp;盘货信息!$B:$B&amp;盘货信息!$C:$C,盘货信息!$S:$S),CHAR(10),,TRUE),1,COLUMN(E441)),"")</f>
        <v/>
      </c>
    </row>
    <row r="443" customHeight="1" spans="1:14">
      <c r="A443" s="17" t="str">
        <f>IF(盘货信息!A443="","",盘货信息!A443)</f>
        <v/>
      </c>
      <c r="B443" s="17" t="str">
        <f>IF(盘货信息!B443="","",盘货信息!B443)</f>
        <v/>
      </c>
      <c r="C443" s="18" t="str">
        <f>IF(盘货信息!C443="","",盘货信息!C443)</f>
        <v/>
      </c>
      <c r="D443" s="18" t="str">
        <f t="shared" si="6"/>
        <v/>
      </c>
      <c r="E443" s="18" t="str">
        <f>_xlfn.LET(_xlpm.A,IF(ISNUMBER(SEARCH("晒单",J443)),"【晒单】"&amp;MID(J443,SEARCH("晒单",J443)+LEN("晒单"),LEN(J443))&amp;"（需晒单后联系客服登记）",IF(ISNUMBER(SEARCH("包修",J443)),"【购机】"&amp;MID(J443,SEARCH("购机",J443)+LEN("购机"),LEN(J443)),IF(ISNUMBER(SEARCH("叠放支架",J443)),"【赠品】"&amp;MID(J443,SEARCH("购机",J443)+LEN("购机"),LEN(J443)),IF(ISNUMBER(SEARCH("秀图",J443)),"【秀图】"&amp;MID(J443,SEARCH("秀图",J443)+LEN("秀图"),LEN(J443)),"")))),IFERROR(LEFT(_xlpm.A,FIND("【",_xlpm.A,FIND("】",_xlpm.A)+1)-1)&amp;MID(_xlpm.A,FIND("】",_xlpm.A,FIND("】",_xlpm.A)+1)+1,LEN(_xlpm.A)),_xlpm.A))</f>
        <v/>
      </c>
      <c r="F443" s="18" t="str">
        <f>_xlfn.LET(_xlpm.A,IF(ISNUMBER(SEARCH("晒单",K443)),"【晒单】"&amp;MID(K443,SEARCH("晒单",K443)+LEN("晒单"),LEN(K443))&amp;"（需晒单后联系客服登记）",IF(ISNUMBER(SEARCH("包修",K443)),"【购机】"&amp;MID(K443,SEARCH("购机",K443)+LEN("购机"),LEN(K443)),IF(ISNUMBER(SEARCH("叠放支架",K443)),"【赠品】"&amp;MID(K443,SEARCH("购机",K443)+LEN("购机"),LEN(K443)),IF(ISNUMBER(SEARCH("秀图",K443)),"【秀图】"&amp;MID(K443,SEARCH("秀图",K443)+LEN("秀图"),LEN(K443)),"")))),IFERROR(LEFT(_xlpm.A,FIND("【",_xlpm.A,FIND("】",_xlpm.A)+1)-1)&amp;MID(_xlpm.A,FIND("】",_xlpm.A,FIND("】",_xlpm.A)+1)+1,LEN(_xlpm.A)),_xlpm.A))</f>
        <v/>
      </c>
      <c r="G443" s="18" t="str">
        <f>_xlfn.LET(_xlpm.A,IF(ISNUMBER(SEARCH("晒单",L443)),"【晒单】"&amp;MID(L443,SEARCH("晒单",L443)+LEN("晒单"),LEN(L443))&amp;"（需晒单后联系客服登记）",IF(ISNUMBER(SEARCH("包修",L443)),"【购机】"&amp;MID(L443,SEARCH("购机",L443)+LEN("购机"),LEN(L443)),IF(ISNUMBER(SEARCH("叠放支架",L443)),"【赠品】"&amp;MID(L443,SEARCH("购机",L443)+LEN("购机"),LEN(L443)),IF(ISNUMBER(SEARCH("秀图",L443)),"【秀图】"&amp;MID(L443,SEARCH("秀图",L443)+LEN("秀图"),LEN(L443)),"")))),IFERROR(LEFT(_xlpm.A,FIND("【",_xlpm.A,FIND("】",_xlpm.A)+1)-1)&amp;MID(_xlpm.A,FIND("】",_xlpm.A,FIND("】",_xlpm.A)+1)+1,LEN(_xlpm.A)),_xlpm.A))</f>
        <v/>
      </c>
      <c r="H443" s="18" t="str">
        <f>_xlfn.LET(_xlpm.A,IF(ISNUMBER(SEARCH("晒单",M443)),"【晒单】"&amp;MID(M443,SEARCH("晒单",M443)+LEN("晒单"),LEN(M443))&amp;"（需晒单后联系客服登记）",IF(ISNUMBER(SEARCH("包修",M443)),"【购机】"&amp;MID(M443,SEARCH("购机",M443)+LEN("购机"),LEN(M443)),IF(ISNUMBER(SEARCH("叠放支架",M443)),"【赠品】"&amp;MID(M443,SEARCH("购机",M443)+LEN("购机"),LEN(M443)),IF(ISNUMBER(SEARCH("秀图",M443)),"【秀图】"&amp;MID(M443,SEARCH("秀图",M443)+LEN("秀图"),LEN(M443)),"")))),IFERROR(LEFT(_xlpm.A,FIND("【",_xlpm.A,FIND("】",_xlpm.A)+1)-1)&amp;MID(_xlpm.A,FIND("】",_xlpm.A,FIND("】",_xlpm.A)+1)+1,LEN(_xlpm.A)),_xlpm.A))</f>
        <v/>
      </c>
      <c r="I443" s="18" t="str">
        <f>_xlfn.LET(_xlpm.A,IF(ISNUMBER(SEARCH("晒单",N443)),"【晒单】"&amp;MID(N443,SEARCH("晒单",N443)+LEN("晒单"),LEN(N443))&amp;"（需晒单后联系客服登记）",IF(ISNUMBER(SEARCH("包修",N443)),"【购机】"&amp;MID(N443,SEARCH("购机",N443)+LEN("购机"),LEN(N443)),IF(ISNUMBER(SEARCH("叠放支架",N443)),"【赠品】"&amp;MID(N443,SEARCH("购机",N443)+LEN("购机"),LEN(N443)),IF(ISNUMBER(SEARCH("秀图",N443)),"【秀图】"&amp;MID(N443,SEARCH("秀图",N443)+LEN("秀图"),LEN(N443)),"")))),IFERROR(LEFT(_xlpm.A,FIND("【",_xlpm.A,FIND("】",_xlpm.A)+1)-1)&amp;MID(_xlpm.A,FIND("】",_xlpm.A,FIND("】",_xlpm.A)+1)+1,LEN(_xlpm.A)),_xlpm.A))</f>
        <v/>
      </c>
      <c r="J443" s="18" t="str" cm="1">
        <f t="array" ref="J443">IFERROR(INDEX(_xlfn.TEXTSPLIT(_xlfn.XLOOKUP($A443&amp;$B443&amp;$C443,盘货信息!$A:$A&amp;盘货信息!$B:$B&amp;盘货信息!$C:$C,盘货信息!$S:$S),CHAR(10),,TRUE),1,COLUMN(A442)),"")</f>
        <v/>
      </c>
      <c r="K443" s="18" t="str" cm="1">
        <f t="array" ref="K443">IFERROR(INDEX(_xlfn.TEXTSPLIT(_xlfn.XLOOKUP($A443&amp;$B443&amp;$C443,盘货信息!$A:$A&amp;盘货信息!$B:$B&amp;盘货信息!$C:$C,盘货信息!$S:$S),CHAR(10),,TRUE),1,COLUMN(B442)),"")</f>
        <v/>
      </c>
      <c r="L443" s="18" t="str" cm="1">
        <f t="array" ref="L443">IFERROR(INDEX(_xlfn.TEXTSPLIT(_xlfn.XLOOKUP($A443&amp;$B443&amp;$C443,盘货信息!$A:$A&amp;盘货信息!$B:$B&amp;盘货信息!$C:$C,盘货信息!$S:$S),CHAR(10),,TRUE),1,COLUMN(C442)),"")</f>
        <v/>
      </c>
      <c r="M443" s="18" t="str" cm="1">
        <f t="array" ref="M443">IFERROR(INDEX(_xlfn.TEXTSPLIT(_xlfn.XLOOKUP($A443&amp;$B443&amp;$C443,盘货信息!$A:$A&amp;盘货信息!$B:$B&amp;盘货信息!$C:$C,盘货信息!$S:$S),CHAR(10),,TRUE),1,COLUMN(D442)),"")</f>
        <v/>
      </c>
      <c r="N443" s="18" t="str" cm="1">
        <f t="array" ref="N443">IFERROR(INDEX(_xlfn.TEXTSPLIT(_xlfn.XLOOKUP($A443&amp;$B443&amp;$C443,盘货信息!$A:$A&amp;盘货信息!$B:$B&amp;盘货信息!$C:$C,盘货信息!$S:$S),CHAR(10),,TRUE),1,COLUMN(E442)),"")</f>
        <v/>
      </c>
    </row>
    <row r="444" customHeight="1" spans="1:14">
      <c r="A444" s="17" t="str">
        <f>IF(盘货信息!A444="","",盘货信息!A444)</f>
        <v/>
      </c>
      <c r="B444" s="17" t="str">
        <f>IF(盘货信息!B444="","",盘货信息!B444)</f>
        <v/>
      </c>
      <c r="C444" s="18" t="str">
        <f>IF(盘货信息!C444="","",盘货信息!C444)</f>
        <v/>
      </c>
      <c r="D444" s="18" t="str">
        <f t="shared" si="6"/>
        <v/>
      </c>
      <c r="E444" s="18" t="str">
        <f>_xlfn.LET(_xlpm.A,IF(ISNUMBER(SEARCH("晒单",J444)),"【晒单】"&amp;MID(J444,SEARCH("晒单",J444)+LEN("晒单"),LEN(J444))&amp;"（需晒单后联系客服登记）",IF(ISNUMBER(SEARCH("包修",J444)),"【购机】"&amp;MID(J444,SEARCH("购机",J444)+LEN("购机"),LEN(J444)),IF(ISNUMBER(SEARCH("叠放支架",J444)),"【赠品】"&amp;MID(J444,SEARCH("购机",J444)+LEN("购机"),LEN(J444)),IF(ISNUMBER(SEARCH("秀图",J444)),"【秀图】"&amp;MID(J444,SEARCH("秀图",J444)+LEN("秀图"),LEN(J444)),"")))),IFERROR(LEFT(_xlpm.A,FIND("【",_xlpm.A,FIND("】",_xlpm.A)+1)-1)&amp;MID(_xlpm.A,FIND("】",_xlpm.A,FIND("】",_xlpm.A)+1)+1,LEN(_xlpm.A)),_xlpm.A))</f>
        <v/>
      </c>
      <c r="F444" s="18" t="str">
        <f>_xlfn.LET(_xlpm.A,IF(ISNUMBER(SEARCH("晒单",K444)),"【晒单】"&amp;MID(K444,SEARCH("晒单",K444)+LEN("晒单"),LEN(K444))&amp;"（需晒单后联系客服登记）",IF(ISNUMBER(SEARCH("包修",K444)),"【购机】"&amp;MID(K444,SEARCH("购机",K444)+LEN("购机"),LEN(K444)),IF(ISNUMBER(SEARCH("叠放支架",K444)),"【赠品】"&amp;MID(K444,SEARCH("购机",K444)+LEN("购机"),LEN(K444)),IF(ISNUMBER(SEARCH("秀图",K444)),"【秀图】"&amp;MID(K444,SEARCH("秀图",K444)+LEN("秀图"),LEN(K444)),"")))),IFERROR(LEFT(_xlpm.A,FIND("【",_xlpm.A,FIND("】",_xlpm.A)+1)-1)&amp;MID(_xlpm.A,FIND("】",_xlpm.A,FIND("】",_xlpm.A)+1)+1,LEN(_xlpm.A)),_xlpm.A))</f>
        <v/>
      </c>
      <c r="G444" s="18" t="str">
        <f>_xlfn.LET(_xlpm.A,IF(ISNUMBER(SEARCH("晒单",L444)),"【晒单】"&amp;MID(L444,SEARCH("晒单",L444)+LEN("晒单"),LEN(L444))&amp;"（需晒单后联系客服登记）",IF(ISNUMBER(SEARCH("包修",L444)),"【购机】"&amp;MID(L444,SEARCH("购机",L444)+LEN("购机"),LEN(L444)),IF(ISNUMBER(SEARCH("叠放支架",L444)),"【赠品】"&amp;MID(L444,SEARCH("购机",L444)+LEN("购机"),LEN(L444)),IF(ISNUMBER(SEARCH("秀图",L444)),"【秀图】"&amp;MID(L444,SEARCH("秀图",L444)+LEN("秀图"),LEN(L444)),"")))),IFERROR(LEFT(_xlpm.A,FIND("【",_xlpm.A,FIND("】",_xlpm.A)+1)-1)&amp;MID(_xlpm.A,FIND("】",_xlpm.A,FIND("】",_xlpm.A)+1)+1,LEN(_xlpm.A)),_xlpm.A))</f>
        <v/>
      </c>
      <c r="H444" s="18" t="str">
        <f>_xlfn.LET(_xlpm.A,IF(ISNUMBER(SEARCH("晒单",M444)),"【晒单】"&amp;MID(M444,SEARCH("晒单",M444)+LEN("晒单"),LEN(M444))&amp;"（需晒单后联系客服登记）",IF(ISNUMBER(SEARCH("包修",M444)),"【购机】"&amp;MID(M444,SEARCH("购机",M444)+LEN("购机"),LEN(M444)),IF(ISNUMBER(SEARCH("叠放支架",M444)),"【赠品】"&amp;MID(M444,SEARCH("购机",M444)+LEN("购机"),LEN(M444)),IF(ISNUMBER(SEARCH("秀图",M444)),"【秀图】"&amp;MID(M444,SEARCH("秀图",M444)+LEN("秀图"),LEN(M444)),"")))),IFERROR(LEFT(_xlpm.A,FIND("【",_xlpm.A,FIND("】",_xlpm.A)+1)-1)&amp;MID(_xlpm.A,FIND("】",_xlpm.A,FIND("】",_xlpm.A)+1)+1,LEN(_xlpm.A)),_xlpm.A))</f>
        <v/>
      </c>
      <c r="I444" s="18" t="str">
        <f>_xlfn.LET(_xlpm.A,IF(ISNUMBER(SEARCH("晒单",N444)),"【晒单】"&amp;MID(N444,SEARCH("晒单",N444)+LEN("晒单"),LEN(N444))&amp;"（需晒单后联系客服登记）",IF(ISNUMBER(SEARCH("包修",N444)),"【购机】"&amp;MID(N444,SEARCH("购机",N444)+LEN("购机"),LEN(N444)),IF(ISNUMBER(SEARCH("叠放支架",N444)),"【赠品】"&amp;MID(N444,SEARCH("购机",N444)+LEN("购机"),LEN(N444)),IF(ISNUMBER(SEARCH("秀图",N444)),"【秀图】"&amp;MID(N444,SEARCH("秀图",N444)+LEN("秀图"),LEN(N444)),"")))),IFERROR(LEFT(_xlpm.A,FIND("【",_xlpm.A,FIND("】",_xlpm.A)+1)-1)&amp;MID(_xlpm.A,FIND("】",_xlpm.A,FIND("】",_xlpm.A)+1)+1,LEN(_xlpm.A)),_xlpm.A))</f>
        <v/>
      </c>
      <c r="J444" s="18" t="str" cm="1">
        <f t="array" ref="J444">IFERROR(INDEX(_xlfn.TEXTSPLIT(_xlfn.XLOOKUP($A444&amp;$B444&amp;$C444,盘货信息!$A:$A&amp;盘货信息!$B:$B&amp;盘货信息!$C:$C,盘货信息!$S:$S),CHAR(10),,TRUE),1,COLUMN(A443)),"")</f>
        <v/>
      </c>
      <c r="K444" s="18" t="str" cm="1">
        <f t="array" ref="K444">IFERROR(INDEX(_xlfn.TEXTSPLIT(_xlfn.XLOOKUP($A444&amp;$B444&amp;$C444,盘货信息!$A:$A&amp;盘货信息!$B:$B&amp;盘货信息!$C:$C,盘货信息!$S:$S),CHAR(10),,TRUE),1,COLUMN(B443)),"")</f>
        <v/>
      </c>
      <c r="L444" s="18" t="str" cm="1">
        <f t="array" ref="L444">IFERROR(INDEX(_xlfn.TEXTSPLIT(_xlfn.XLOOKUP($A444&amp;$B444&amp;$C444,盘货信息!$A:$A&amp;盘货信息!$B:$B&amp;盘货信息!$C:$C,盘货信息!$S:$S),CHAR(10),,TRUE),1,COLUMN(C443)),"")</f>
        <v/>
      </c>
      <c r="M444" s="18" t="str" cm="1">
        <f t="array" ref="M444">IFERROR(INDEX(_xlfn.TEXTSPLIT(_xlfn.XLOOKUP($A444&amp;$B444&amp;$C444,盘货信息!$A:$A&amp;盘货信息!$B:$B&amp;盘货信息!$C:$C,盘货信息!$S:$S),CHAR(10),,TRUE),1,COLUMN(D443)),"")</f>
        <v/>
      </c>
      <c r="N444" s="18" t="str" cm="1">
        <f t="array" ref="N444">IFERROR(INDEX(_xlfn.TEXTSPLIT(_xlfn.XLOOKUP($A444&amp;$B444&amp;$C444,盘货信息!$A:$A&amp;盘货信息!$B:$B&amp;盘货信息!$C:$C,盘货信息!$S:$S),CHAR(10),,TRUE),1,COLUMN(E443)),"")</f>
        <v/>
      </c>
    </row>
    <row r="445" customHeight="1" spans="1:14">
      <c r="A445" s="17" t="str">
        <f>IF(盘货信息!A445="","",盘货信息!A445)</f>
        <v/>
      </c>
      <c r="B445" s="17" t="str">
        <f>IF(盘货信息!B445="","",盘货信息!B445)</f>
        <v/>
      </c>
      <c r="C445" s="18" t="str">
        <f>IF(盘货信息!C445="","",盘货信息!C445)</f>
        <v/>
      </c>
      <c r="D445" s="18" t="str">
        <f t="shared" si="6"/>
        <v/>
      </c>
      <c r="E445" s="18" t="str">
        <f>_xlfn.LET(_xlpm.A,IF(ISNUMBER(SEARCH("晒单",J445)),"【晒单】"&amp;MID(J445,SEARCH("晒单",J445)+LEN("晒单"),LEN(J445))&amp;"（需晒单后联系客服登记）",IF(ISNUMBER(SEARCH("包修",J445)),"【购机】"&amp;MID(J445,SEARCH("购机",J445)+LEN("购机"),LEN(J445)),IF(ISNUMBER(SEARCH("叠放支架",J445)),"【赠品】"&amp;MID(J445,SEARCH("购机",J445)+LEN("购机"),LEN(J445)),IF(ISNUMBER(SEARCH("秀图",J445)),"【秀图】"&amp;MID(J445,SEARCH("秀图",J445)+LEN("秀图"),LEN(J445)),"")))),IFERROR(LEFT(_xlpm.A,FIND("【",_xlpm.A,FIND("】",_xlpm.A)+1)-1)&amp;MID(_xlpm.A,FIND("】",_xlpm.A,FIND("】",_xlpm.A)+1)+1,LEN(_xlpm.A)),_xlpm.A))</f>
        <v/>
      </c>
      <c r="F445" s="18" t="str">
        <f>_xlfn.LET(_xlpm.A,IF(ISNUMBER(SEARCH("晒单",K445)),"【晒单】"&amp;MID(K445,SEARCH("晒单",K445)+LEN("晒单"),LEN(K445))&amp;"（需晒单后联系客服登记）",IF(ISNUMBER(SEARCH("包修",K445)),"【购机】"&amp;MID(K445,SEARCH("购机",K445)+LEN("购机"),LEN(K445)),IF(ISNUMBER(SEARCH("叠放支架",K445)),"【赠品】"&amp;MID(K445,SEARCH("购机",K445)+LEN("购机"),LEN(K445)),IF(ISNUMBER(SEARCH("秀图",K445)),"【秀图】"&amp;MID(K445,SEARCH("秀图",K445)+LEN("秀图"),LEN(K445)),"")))),IFERROR(LEFT(_xlpm.A,FIND("【",_xlpm.A,FIND("】",_xlpm.A)+1)-1)&amp;MID(_xlpm.A,FIND("】",_xlpm.A,FIND("】",_xlpm.A)+1)+1,LEN(_xlpm.A)),_xlpm.A))</f>
        <v/>
      </c>
      <c r="G445" s="18" t="str">
        <f>_xlfn.LET(_xlpm.A,IF(ISNUMBER(SEARCH("晒单",L445)),"【晒单】"&amp;MID(L445,SEARCH("晒单",L445)+LEN("晒单"),LEN(L445))&amp;"（需晒单后联系客服登记）",IF(ISNUMBER(SEARCH("包修",L445)),"【购机】"&amp;MID(L445,SEARCH("购机",L445)+LEN("购机"),LEN(L445)),IF(ISNUMBER(SEARCH("叠放支架",L445)),"【赠品】"&amp;MID(L445,SEARCH("购机",L445)+LEN("购机"),LEN(L445)),IF(ISNUMBER(SEARCH("秀图",L445)),"【秀图】"&amp;MID(L445,SEARCH("秀图",L445)+LEN("秀图"),LEN(L445)),"")))),IFERROR(LEFT(_xlpm.A,FIND("【",_xlpm.A,FIND("】",_xlpm.A)+1)-1)&amp;MID(_xlpm.A,FIND("】",_xlpm.A,FIND("】",_xlpm.A)+1)+1,LEN(_xlpm.A)),_xlpm.A))</f>
        <v/>
      </c>
      <c r="H445" s="18" t="str">
        <f>_xlfn.LET(_xlpm.A,IF(ISNUMBER(SEARCH("晒单",M445)),"【晒单】"&amp;MID(M445,SEARCH("晒单",M445)+LEN("晒单"),LEN(M445))&amp;"（需晒单后联系客服登记）",IF(ISNUMBER(SEARCH("包修",M445)),"【购机】"&amp;MID(M445,SEARCH("购机",M445)+LEN("购机"),LEN(M445)),IF(ISNUMBER(SEARCH("叠放支架",M445)),"【赠品】"&amp;MID(M445,SEARCH("购机",M445)+LEN("购机"),LEN(M445)),IF(ISNUMBER(SEARCH("秀图",M445)),"【秀图】"&amp;MID(M445,SEARCH("秀图",M445)+LEN("秀图"),LEN(M445)),"")))),IFERROR(LEFT(_xlpm.A,FIND("【",_xlpm.A,FIND("】",_xlpm.A)+1)-1)&amp;MID(_xlpm.A,FIND("】",_xlpm.A,FIND("】",_xlpm.A)+1)+1,LEN(_xlpm.A)),_xlpm.A))</f>
        <v/>
      </c>
      <c r="I445" s="18" t="str">
        <f>_xlfn.LET(_xlpm.A,IF(ISNUMBER(SEARCH("晒单",N445)),"【晒单】"&amp;MID(N445,SEARCH("晒单",N445)+LEN("晒单"),LEN(N445))&amp;"（需晒单后联系客服登记）",IF(ISNUMBER(SEARCH("包修",N445)),"【购机】"&amp;MID(N445,SEARCH("购机",N445)+LEN("购机"),LEN(N445)),IF(ISNUMBER(SEARCH("叠放支架",N445)),"【赠品】"&amp;MID(N445,SEARCH("购机",N445)+LEN("购机"),LEN(N445)),IF(ISNUMBER(SEARCH("秀图",N445)),"【秀图】"&amp;MID(N445,SEARCH("秀图",N445)+LEN("秀图"),LEN(N445)),"")))),IFERROR(LEFT(_xlpm.A,FIND("【",_xlpm.A,FIND("】",_xlpm.A)+1)-1)&amp;MID(_xlpm.A,FIND("】",_xlpm.A,FIND("】",_xlpm.A)+1)+1,LEN(_xlpm.A)),_xlpm.A))</f>
        <v/>
      </c>
      <c r="J445" s="18" t="str" cm="1">
        <f t="array" ref="J445">IFERROR(INDEX(_xlfn.TEXTSPLIT(_xlfn.XLOOKUP($A445&amp;$B445&amp;$C445,盘货信息!$A:$A&amp;盘货信息!$B:$B&amp;盘货信息!$C:$C,盘货信息!$S:$S),CHAR(10),,TRUE),1,COLUMN(A444)),"")</f>
        <v/>
      </c>
      <c r="K445" s="18" t="str" cm="1">
        <f t="array" ref="K445">IFERROR(INDEX(_xlfn.TEXTSPLIT(_xlfn.XLOOKUP($A445&amp;$B445&amp;$C445,盘货信息!$A:$A&amp;盘货信息!$B:$B&amp;盘货信息!$C:$C,盘货信息!$S:$S),CHAR(10),,TRUE),1,COLUMN(B444)),"")</f>
        <v/>
      </c>
      <c r="L445" s="18" t="str" cm="1">
        <f t="array" ref="L445">IFERROR(INDEX(_xlfn.TEXTSPLIT(_xlfn.XLOOKUP($A445&amp;$B445&amp;$C445,盘货信息!$A:$A&amp;盘货信息!$B:$B&amp;盘货信息!$C:$C,盘货信息!$S:$S),CHAR(10),,TRUE),1,COLUMN(C444)),"")</f>
        <v/>
      </c>
      <c r="M445" s="18" t="str" cm="1">
        <f t="array" ref="M445">IFERROR(INDEX(_xlfn.TEXTSPLIT(_xlfn.XLOOKUP($A445&amp;$B445&amp;$C445,盘货信息!$A:$A&amp;盘货信息!$B:$B&amp;盘货信息!$C:$C,盘货信息!$S:$S),CHAR(10),,TRUE),1,COLUMN(D444)),"")</f>
        <v/>
      </c>
      <c r="N445" s="18" t="str" cm="1">
        <f t="array" ref="N445">IFERROR(INDEX(_xlfn.TEXTSPLIT(_xlfn.XLOOKUP($A445&amp;$B445&amp;$C445,盘货信息!$A:$A&amp;盘货信息!$B:$B&amp;盘货信息!$C:$C,盘货信息!$S:$S),CHAR(10),,TRUE),1,COLUMN(E444)),"")</f>
        <v/>
      </c>
    </row>
    <row r="446" customHeight="1" spans="1:14">
      <c r="A446" s="17" t="str">
        <f>IF(盘货信息!A446="","",盘货信息!A446)</f>
        <v/>
      </c>
      <c r="B446" s="17" t="str">
        <f>IF(盘货信息!B446="","",盘货信息!B446)</f>
        <v/>
      </c>
      <c r="C446" s="18" t="str">
        <f>IF(盘货信息!C446="","",盘货信息!C446)</f>
        <v/>
      </c>
      <c r="D446" s="18" t="str">
        <f t="shared" si="6"/>
        <v/>
      </c>
      <c r="E446" s="18" t="str">
        <f>_xlfn.LET(_xlpm.A,IF(ISNUMBER(SEARCH("晒单",J446)),"【晒单】"&amp;MID(J446,SEARCH("晒单",J446)+LEN("晒单"),LEN(J446))&amp;"（需晒单后联系客服登记）",IF(ISNUMBER(SEARCH("包修",J446)),"【购机】"&amp;MID(J446,SEARCH("购机",J446)+LEN("购机"),LEN(J446)),IF(ISNUMBER(SEARCH("叠放支架",J446)),"【赠品】"&amp;MID(J446,SEARCH("购机",J446)+LEN("购机"),LEN(J446)),IF(ISNUMBER(SEARCH("秀图",J446)),"【秀图】"&amp;MID(J446,SEARCH("秀图",J446)+LEN("秀图"),LEN(J446)),"")))),IFERROR(LEFT(_xlpm.A,FIND("【",_xlpm.A,FIND("】",_xlpm.A)+1)-1)&amp;MID(_xlpm.A,FIND("】",_xlpm.A,FIND("】",_xlpm.A)+1)+1,LEN(_xlpm.A)),_xlpm.A))</f>
        <v/>
      </c>
      <c r="F446" s="18" t="str">
        <f>_xlfn.LET(_xlpm.A,IF(ISNUMBER(SEARCH("晒单",K446)),"【晒单】"&amp;MID(K446,SEARCH("晒单",K446)+LEN("晒单"),LEN(K446))&amp;"（需晒单后联系客服登记）",IF(ISNUMBER(SEARCH("包修",K446)),"【购机】"&amp;MID(K446,SEARCH("购机",K446)+LEN("购机"),LEN(K446)),IF(ISNUMBER(SEARCH("叠放支架",K446)),"【赠品】"&amp;MID(K446,SEARCH("购机",K446)+LEN("购机"),LEN(K446)),IF(ISNUMBER(SEARCH("秀图",K446)),"【秀图】"&amp;MID(K446,SEARCH("秀图",K446)+LEN("秀图"),LEN(K446)),"")))),IFERROR(LEFT(_xlpm.A,FIND("【",_xlpm.A,FIND("】",_xlpm.A)+1)-1)&amp;MID(_xlpm.A,FIND("】",_xlpm.A,FIND("】",_xlpm.A)+1)+1,LEN(_xlpm.A)),_xlpm.A))</f>
        <v/>
      </c>
      <c r="G446" s="18" t="str">
        <f>_xlfn.LET(_xlpm.A,IF(ISNUMBER(SEARCH("晒单",L446)),"【晒单】"&amp;MID(L446,SEARCH("晒单",L446)+LEN("晒单"),LEN(L446))&amp;"（需晒单后联系客服登记）",IF(ISNUMBER(SEARCH("包修",L446)),"【购机】"&amp;MID(L446,SEARCH("购机",L446)+LEN("购机"),LEN(L446)),IF(ISNUMBER(SEARCH("叠放支架",L446)),"【赠品】"&amp;MID(L446,SEARCH("购机",L446)+LEN("购机"),LEN(L446)),IF(ISNUMBER(SEARCH("秀图",L446)),"【秀图】"&amp;MID(L446,SEARCH("秀图",L446)+LEN("秀图"),LEN(L446)),"")))),IFERROR(LEFT(_xlpm.A,FIND("【",_xlpm.A,FIND("】",_xlpm.A)+1)-1)&amp;MID(_xlpm.A,FIND("】",_xlpm.A,FIND("】",_xlpm.A)+1)+1,LEN(_xlpm.A)),_xlpm.A))</f>
        <v/>
      </c>
      <c r="H446" s="18" t="str">
        <f>_xlfn.LET(_xlpm.A,IF(ISNUMBER(SEARCH("晒单",M446)),"【晒单】"&amp;MID(M446,SEARCH("晒单",M446)+LEN("晒单"),LEN(M446))&amp;"（需晒单后联系客服登记）",IF(ISNUMBER(SEARCH("包修",M446)),"【购机】"&amp;MID(M446,SEARCH("购机",M446)+LEN("购机"),LEN(M446)),IF(ISNUMBER(SEARCH("叠放支架",M446)),"【赠品】"&amp;MID(M446,SEARCH("购机",M446)+LEN("购机"),LEN(M446)),IF(ISNUMBER(SEARCH("秀图",M446)),"【秀图】"&amp;MID(M446,SEARCH("秀图",M446)+LEN("秀图"),LEN(M446)),"")))),IFERROR(LEFT(_xlpm.A,FIND("【",_xlpm.A,FIND("】",_xlpm.A)+1)-1)&amp;MID(_xlpm.A,FIND("】",_xlpm.A,FIND("】",_xlpm.A)+1)+1,LEN(_xlpm.A)),_xlpm.A))</f>
        <v/>
      </c>
      <c r="I446" s="18" t="str">
        <f>_xlfn.LET(_xlpm.A,IF(ISNUMBER(SEARCH("晒单",N446)),"【晒单】"&amp;MID(N446,SEARCH("晒单",N446)+LEN("晒单"),LEN(N446))&amp;"（需晒单后联系客服登记）",IF(ISNUMBER(SEARCH("包修",N446)),"【购机】"&amp;MID(N446,SEARCH("购机",N446)+LEN("购机"),LEN(N446)),IF(ISNUMBER(SEARCH("叠放支架",N446)),"【赠品】"&amp;MID(N446,SEARCH("购机",N446)+LEN("购机"),LEN(N446)),IF(ISNUMBER(SEARCH("秀图",N446)),"【秀图】"&amp;MID(N446,SEARCH("秀图",N446)+LEN("秀图"),LEN(N446)),"")))),IFERROR(LEFT(_xlpm.A,FIND("【",_xlpm.A,FIND("】",_xlpm.A)+1)-1)&amp;MID(_xlpm.A,FIND("】",_xlpm.A,FIND("】",_xlpm.A)+1)+1,LEN(_xlpm.A)),_xlpm.A))</f>
        <v/>
      </c>
      <c r="J446" s="18" t="str" cm="1">
        <f t="array" ref="J446">IFERROR(INDEX(_xlfn.TEXTSPLIT(_xlfn.XLOOKUP($A446&amp;$B446&amp;$C446,盘货信息!$A:$A&amp;盘货信息!$B:$B&amp;盘货信息!$C:$C,盘货信息!$S:$S),CHAR(10),,TRUE),1,COLUMN(A445)),"")</f>
        <v/>
      </c>
      <c r="K446" s="18" t="str" cm="1">
        <f t="array" ref="K446">IFERROR(INDEX(_xlfn.TEXTSPLIT(_xlfn.XLOOKUP($A446&amp;$B446&amp;$C446,盘货信息!$A:$A&amp;盘货信息!$B:$B&amp;盘货信息!$C:$C,盘货信息!$S:$S),CHAR(10),,TRUE),1,COLUMN(B445)),"")</f>
        <v/>
      </c>
      <c r="L446" s="18" t="str" cm="1">
        <f t="array" ref="L446">IFERROR(INDEX(_xlfn.TEXTSPLIT(_xlfn.XLOOKUP($A446&amp;$B446&amp;$C446,盘货信息!$A:$A&amp;盘货信息!$B:$B&amp;盘货信息!$C:$C,盘货信息!$S:$S),CHAR(10),,TRUE),1,COLUMN(C445)),"")</f>
        <v/>
      </c>
      <c r="M446" s="18" t="str" cm="1">
        <f t="array" ref="M446">IFERROR(INDEX(_xlfn.TEXTSPLIT(_xlfn.XLOOKUP($A446&amp;$B446&amp;$C446,盘货信息!$A:$A&amp;盘货信息!$B:$B&amp;盘货信息!$C:$C,盘货信息!$S:$S),CHAR(10),,TRUE),1,COLUMN(D445)),"")</f>
        <v/>
      </c>
      <c r="N446" s="18" t="str" cm="1">
        <f t="array" ref="N446">IFERROR(INDEX(_xlfn.TEXTSPLIT(_xlfn.XLOOKUP($A446&amp;$B446&amp;$C446,盘货信息!$A:$A&amp;盘货信息!$B:$B&amp;盘货信息!$C:$C,盘货信息!$S:$S),CHAR(10),,TRUE),1,COLUMN(E445)),"")</f>
        <v/>
      </c>
    </row>
    <row r="447" customHeight="1" spans="1:14">
      <c r="A447" s="17" t="str">
        <f>IF(盘货信息!A447="","",盘货信息!A447)</f>
        <v/>
      </c>
      <c r="B447" s="17" t="str">
        <f>IF(盘货信息!B447="","",盘货信息!B447)</f>
        <v/>
      </c>
      <c r="C447" s="18" t="str">
        <f>IF(盘货信息!C447="","",盘货信息!C447)</f>
        <v/>
      </c>
      <c r="D447" s="18" t="str">
        <f t="shared" si="6"/>
        <v/>
      </c>
      <c r="E447" s="18" t="str">
        <f>_xlfn.LET(_xlpm.A,IF(ISNUMBER(SEARCH("晒单",J447)),"【晒单】"&amp;MID(J447,SEARCH("晒单",J447)+LEN("晒单"),LEN(J447))&amp;"（需晒单后联系客服登记）",IF(ISNUMBER(SEARCH("包修",J447)),"【购机】"&amp;MID(J447,SEARCH("购机",J447)+LEN("购机"),LEN(J447)),IF(ISNUMBER(SEARCH("叠放支架",J447)),"【赠品】"&amp;MID(J447,SEARCH("购机",J447)+LEN("购机"),LEN(J447)),IF(ISNUMBER(SEARCH("秀图",J447)),"【秀图】"&amp;MID(J447,SEARCH("秀图",J447)+LEN("秀图"),LEN(J447)),"")))),IFERROR(LEFT(_xlpm.A,FIND("【",_xlpm.A,FIND("】",_xlpm.A)+1)-1)&amp;MID(_xlpm.A,FIND("】",_xlpm.A,FIND("】",_xlpm.A)+1)+1,LEN(_xlpm.A)),_xlpm.A))</f>
        <v/>
      </c>
      <c r="F447" s="18" t="str">
        <f>_xlfn.LET(_xlpm.A,IF(ISNUMBER(SEARCH("晒单",K447)),"【晒单】"&amp;MID(K447,SEARCH("晒单",K447)+LEN("晒单"),LEN(K447))&amp;"（需晒单后联系客服登记）",IF(ISNUMBER(SEARCH("包修",K447)),"【购机】"&amp;MID(K447,SEARCH("购机",K447)+LEN("购机"),LEN(K447)),IF(ISNUMBER(SEARCH("叠放支架",K447)),"【赠品】"&amp;MID(K447,SEARCH("购机",K447)+LEN("购机"),LEN(K447)),IF(ISNUMBER(SEARCH("秀图",K447)),"【秀图】"&amp;MID(K447,SEARCH("秀图",K447)+LEN("秀图"),LEN(K447)),"")))),IFERROR(LEFT(_xlpm.A,FIND("【",_xlpm.A,FIND("】",_xlpm.A)+1)-1)&amp;MID(_xlpm.A,FIND("】",_xlpm.A,FIND("】",_xlpm.A)+1)+1,LEN(_xlpm.A)),_xlpm.A))</f>
        <v/>
      </c>
      <c r="G447" s="18" t="str">
        <f>_xlfn.LET(_xlpm.A,IF(ISNUMBER(SEARCH("晒单",L447)),"【晒单】"&amp;MID(L447,SEARCH("晒单",L447)+LEN("晒单"),LEN(L447))&amp;"（需晒单后联系客服登记）",IF(ISNUMBER(SEARCH("包修",L447)),"【购机】"&amp;MID(L447,SEARCH("购机",L447)+LEN("购机"),LEN(L447)),IF(ISNUMBER(SEARCH("叠放支架",L447)),"【赠品】"&amp;MID(L447,SEARCH("购机",L447)+LEN("购机"),LEN(L447)),IF(ISNUMBER(SEARCH("秀图",L447)),"【秀图】"&amp;MID(L447,SEARCH("秀图",L447)+LEN("秀图"),LEN(L447)),"")))),IFERROR(LEFT(_xlpm.A,FIND("【",_xlpm.A,FIND("】",_xlpm.A)+1)-1)&amp;MID(_xlpm.A,FIND("】",_xlpm.A,FIND("】",_xlpm.A)+1)+1,LEN(_xlpm.A)),_xlpm.A))</f>
        <v/>
      </c>
      <c r="H447" s="18" t="str">
        <f>_xlfn.LET(_xlpm.A,IF(ISNUMBER(SEARCH("晒单",M447)),"【晒单】"&amp;MID(M447,SEARCH("晒单",M447)+LEN("晒单"),LEN(M447))&amp;"（需晒单后联系客服登记）",IF(ISNUMBER(SEARCH("包修",M447)),"【购机】"&amp;MID(M447,SEARCH("购机",M447)+LEN("购机"),LEN(M447)),IF(ISNUMBER(SEARCH("叠放支架",M447)),"【赠品】"&amp;MID(M447,SEARCH("购机",M447)+LEN("购机"),LEN(M447)),IF(ISNUMBER(SEARCH("秀图",M447)),"【秀图】"&amp;MID(M447,SEARCH("秀图",M447)+LEN("秀图"),LEN(M447)),"")))),IFERROR(LEFT(_xlpm.A,FIND("【",_xlpm.A,FIND("】",_xlpm.A)+1)-1)&amp;MID(_xlpm.A,FIND("】",_xlpm.A,FIND("】",_xlpm.A)+1)+1,LEN(_xlpm.A)),_xlpm.A))</f>
        <v/>
      </c>
      <c r="I447" s="18" t="str">
        <f>_xlfn.LET(_xlpm.A,IF(ISNUMBER(SEARCH("晒单",N447)),"【晒单】"&amp;MID(N447,SEARCH("晒单",N447)+LEN("晒单"),LEN(N447))&amp;"（需晒单后联系客服登记）",IF(ISNUMBER(SEARCH("包修",N447)),"【购机】"&amp;MID(N447,SEARCH("购机",N447)+LEN("购机"),LEN(N447)),IF(ISNUMBER(SEARCH("叠放支架",N447)),"【赠品】"&amp;MID(N447,SEARCH("购机",N447)+LEN("购机"),LEN(N447)),IF(ISNUMBER(SEARCH("秀图",N447)),"【秀图】"&amp;MID(N447,SEARCH("秀图",N447)+LEN("秀图"),LEN(N447)),"")))),IFERROR(LEFT(_xlpm.A,FIND("【",_xlpm.A,FIND("】",_xlpm.A)+1)-1)&amp;MID(_xlpm.A,FIND("】",_xlpm.A,FIND("】",_xlpm.A)+1)+1,LEN(_xlpm.A)),_xlpm.A))</f>
        <v/>
      </c>
      <c r="J447" s="18" t="str" cm="1">
        <f t="array" ref="J447">IFERROR(INDEX(_xlfn.TEXTSPLIT(_xlfn.XLOOKUP($A447&amp;$B447&amp;$C447,盘货信息!$A:$A&amp;盘货信息!$B:$B&amp;盘货信息!$C:$C,盘货信息!$S:$S),CHAR(10),,TRUE),1,COLUMN(A446)),"")</f>
        <v/>
      </c>
      <c r="K447" s="18" t="str" cm="1">
        <f t="array" ref="K447">IFERROR(INDEX(_xlfn.TEXTSPLIT(_xlfn.XLOOKUP($A447&amp;$B447&amp;$C447,盘货信息!$A:$A&amp;盘货信息!$B:$B&amp;盘货信息!$C:$C,盘货信息!$S:$S),CHAR(10),,TRUE),1,COLUMN(B446)),"")</f>
        <v/>
      </c>
      <c r="L447" s="18" t="str" cm="1">
        <f t="array" ref="L447">IFERROR(INDEX(_xlfn.TEXTSPLIT(_xlfn.XLOOKUP($A447&amp;$B447&amp;$C447,盘货信息!$A:$A&amp;盘货信息!$B:$B&amp;盘货信息!$C:$C,盘货信息!$S:$S),CHAR(10),,TRUE),1,COLUMN(C446)),"")</f>
        <v/>
      </c>
      <c r="M447" s="18" t="str" cm="1">
        <f t="array" ref="M447">IFERROR(INDEX(_xlfn.TEXTSPLIT(_xlfn.XLOOKUP($A447&amp;$B447&amp;$C447,盘货信息!$A:$A&amp;盘货信息!$B:$B&amp;盘货信息!$C:$C,盘货信息!$S:$S),CHAR(10),,TRUE),1,COLUMN(D446)),"")</f>
        <v/>
      </c>
      <c r="N447" s="18" t="str" cm="1">
        <f t="array" ref="N447">IFERROR(INDEX(_xlfn.TEXTSPLIT(_xlfn.XLOOKUP($A447&amp;$B447&amp;$C447,盘货信息!$A:$A&amp;盘货信息!$B:$B&amp;盘货信息!$C:$C,盘货信息!$S:$S),CHAR(10),,TRUE),1,COLUMN(E446)),"")</f>
        <v/>
      </c>
    </row>
    <row r="448" customHeight="1" spans="1:14">
      <c r="A448" s="17" t="str">
        <f>IF(盘货信息!A448="","",盘货信息!A448)</f>
        <v/>
      </c>
      <c r="B448" s="17" t="str">
        <f>IF(盘货信息!B448="","",盘货信息!B448)</f>
        <v/>
      </c>
      <c r="C448" s="18" t="str">
        <f>IF(盘货信息!C448="","",盘货信息!C448)</f>
        <v/>
      </c>
      <c r="D448" s="18" t="str">
        <f t="shared" si="6"/>
        <v/>
      </c>
      <c r="E448" s="18" t="str">
        <f>_xlfn.LET(_xlpm.A,IF(ISNUMBER(SEARCH("晒单",J448)),"【晒单】"&amp;MID(J448,SEARCH("晒单",J448)+LEN("晒单"),LEN(J448))&amp;"（需晒单后联系客服登记）",IF(ISNUMBER(SEARCH("包修",J448)),"【购机】"&amp;MID(J448,SEARCH("购机",J448)+LEN("购机"),LEN(J448)),IF(ISNUMBER(SEARCH("叠放支架",J448)),"【赠品】"&amp;MID(J448,SEARCH("购机",J448)+LEN("购机"),LEN(J448)),IF(ISNUMBER(SEARCH("秀图",J448)),"【秀图】"&amp;MID(J448,SEARCH("秀图",J448)+LEN("秀图"),LEN(J448)),"")))),IFERROR(LEFT(_xlpm.A,FIND("【",_xlpm.A,FIND("】",_xlpm.A)+1)-1)&amp;MID(_xlpm.A,FIND("】",_xlpm.A,FIND("】",_xlpm.A)+1)+1,LEN(_xlpm.A)),_xlpm.A))</f>
        <v/>
      </c>
      <c r="F448" s="18" t="str">
        <f>_xlfn.LET(_xlpm.A,IF(ISNUMBER(SEARCH("晒单",K448)),"【晒单】"&amp;MID(K448,SEARCH("晒单",K448)+LEN("晒单"),LEN(K448))&amp;"（需晒单后联系客服登记）",IF(ISNUMBER(SEARCH("包修",K448)),"【购机】"&amp;MID(K448,SEARCH("购机",K448)+LEN("购机"),LEN(K448)),IF(ISNUMBER(SEARCH("叠放支架",K448)),"【赠品】"&amp;MID(K448,SEARCH("购机",K448)+LEN("购机"),LEN(K448)),IF(ISNUMBER(SEARCH("秀图",K448)),"【秀图】"&amp;MID(K448,SEARCH("秀图",K448)+LEN("秀图"),LEN(K448)),"")))),IFERROR(LEFT(_xlpm.A,FIND("【",_xlpm.A,FIND("】",_xlpm.A)+1)-1)&amp;MID(_xlpm.A,FIND("】",_xlpm.A,FIND("】",_xlpm.A)+1)+1,LEN(_xlpm.A)),_xlpm.A))</f>
        <v/>
      </c>
      <c r="G448" s="18" t="str">
        <f>_xlfn.LET(_xlpm.A,IF(ISNUMBER(SEARCH("晒单",L448)),"【晒单】"&amp;MID(L448,SEARCH("晒单",L448)+LEN("晒单"),LEN(L448))&amp;"（需晒单后联系客服登记）",IF(ISNUMBER(SEARCH("包修",L448)),"【购机】"&amp;MID(L448,SEARCH("购机",L448)+LEN("购机"),LEN(L448)),IF(ISNUMBER(SEARCH("叠放支架",L448)),"【赠品】"&amp;MID(L448,SEARCH("购机",L448)+LEN("购机"),LEN(L448)),IF(ISNUMBER(SEARCH("秀图",L448)),"【秀图】"&amp;MID(L448,SEARCH("秀图",L448)+LEN("秀图"),LEN(L448)),"")))),IFERROR(LEFT(_xlpm.A,FIND("【",_xlpm.A,FIND("】",_xlpm.A)+1)-1)&amp;MID(_xlpm.A,FIND("】",_xlpm.A,FIND("】",_xlpm.A)+1)+1,LEN(_xlpm.A)),_xlpm.A))</f>
        <v/>
      </c>
      <c r="H448" s="18" t="str">
        <f>_xlfn.LET(_xlpm.A,IF(ISNUMBER(SEARCH("晒单",M448)),"【晒单】"&amp;MID(M448,SEARCH("晒单",M448)+LEN("晒单"),LEN(M448))&amp;"（需晒单后联系客服登记）",IF(ISNUMBER(SEARCH("包修",M448)),"【购机】"&amp;MID(M448,SEARCH("购机",M448)+LEN("购机"),LEN(M448)),IF(ISNUMBER(SEARCH("叠放支架",M448)),"【赠品】"&amp;MID(M448,SEARCH("购机",M448)+LEN("购机"),LEN(M448)),IF(ISNUMBER(SEARCH("秀图",M448)),"【秀图】"&amp;MID(M448,SEARCH("秀图",M448)+LEN("秀图"),LEN(M448)),"")))),IFERROR(LEFT(_xlpm.A,FIND("【",_xlpm.A,FIND("】",_xlpm.A)+1)-1)&amp;MID(_xlpm.A,FIND("】",_xlpm.A,FIND("】",_xlpm.A)+1)+1,LEN(_xlpm.A)),_xlpm.A))</f>
        <v/>
      </c>
      <c r="I448" s="18" t="str">
        <f>_xlfn.LET(_xlpm.A,IF(ISNUMBER(SEARCH("晒单",N448)),"【晒单】"&amp;MID(N448,SEARCH("晒单",N448)+LEN("晒单"),LEN(N448))&amp;"（需晒单后联系客服登记）",IF(ISNUMBER(SEARCH("包修",N448)),"【购机】"&amp;MID(N448,SEARCH("购机",N448)+LEN("购机"),LEN(N448)),IF(ISNUMBER(SEARCH("叠放支架",N448)),"【赠品】"&amp;MID(N448,SEARCH("购机",N448)+LEN("购机"),LEN(N448)),IF(ISNUMBER(SEARCH("秀图",N448)),"【秀图】"&amp;MID(N448,SEARCH("秀图",N448)+LEN("秀图"),LEN(N448)),"")))),IFERROR(LEFT(_xlpm.A,FIND("【",_xlpm.A,FIND("】",_xlpm.A)+1)-1)&amp;MID(_xlpm.A,FIND("】",_xlpm.A,FIND("】",_xlpm.A)+1)+1,LEN(_xlpm.A)),_xlpm.A))</f>
        <v/>
      </c>
      <c r="J448" s="18" t="str" cm="1">
        <f t="array" ref="J448">IFERROR(INDEX(_xlfn.TEXTSPLIT(_xlfn.XLOOKUP($A448&amp;$B448&amp;$C448,盘货信息!$A:$A&amp;盘货信息!$B:$B&amp;盘货信息!$C:$C,盘货信息!$S:$S),CHAR(10),,TRUE),1,COLUMN(A447)),"")</f>
        <v/>
      </c>
      <c r="K448" s="18" t="str" cm="1">
        <f t="array" ref="K448">IFERROR(INDEX(_xlfn.TEXTSPLIT(_xlfn.XLOOKUP($A448&amp;$B448&amp;$C448,盘货信息!$A:$A&amp;盘货信息!$B:$B&amp;盘货信息!$C:$C,盘货信息!$S:$S),CHAR(10),,TRUE),1,COLUMN(B447)),"")</f>
        <v/>
      </c>
      <c r="L448" s="18" t="str" cm="1">
        <f t="array" ref="L448">IFERROR(INDEX(_xlfn.TEXTSPLIT(_xlfn.XLOOKUP($A448&amp;$B448&amp;$C448,盘货信息!$A:$A&amp;盘货信息!$B:$B&amp;盘货信息!$C:$C,盘货信息!$S:$S),CHAR(10),,TRUE),1,COLUMN(C447)),"")</f>
        <v/>
      </c>
      <c r="M448" s="18" t="str" cm="1">
        <f t="array" ref="M448">IFERROR(INDEX(_xlfn.TEXTSPLIT(_xlfn.XLOOKUP($A448&amp;$B448&amp;$C448,盘货信息!$A:$A&amp;盘货信息!$B:$B&amp;盘货信息!$C:$C,盘货信息!$S:$S),CHAR(10),,TRUE),1,COLUMN(D447)),"")</f>
        <v/>
      </c>
      <c r="N448" s="18" t="str" cm="1">
        <f t="array" ref="N448">IFERROR(INDEX(_xlfn.TEXTSPLIT(_xlfn.XLOOKUP($A448&amp;$B448&amp;$C448,盘货信息!$A:$A&amp;盘货信息!$B:$B&amp;盘货信息!$C:$C,盘货信息!$S:$S),CHAR(10),,TRUE),1,COLUMN(E447)),"")</f>
        <v/>
      </c>
    </row>
    <row r="449" customHeight="1" spans="1:14">
      <c r="A449" s="17" t="str">
        <f>IF(盘货信息!A449="","",盘货信息!A449)</f>
        <v/>
      </c>
      <c r="B449" s="17" t="str">
        <f>IF(盘货信息!B449="","",盘货信息!B449)</f>
        <v/>
      </c>
      <c r="C449" s="18" t="str">
        <f>IF(盘货信息!C449="","",盘货信息!C449)</f>
        <v/>
      </c>
      <c r="D449" s="18" t="str">
        <f t="shared" si="6"/>
        <v/>
      </c>
      <c r="E449" s="18" t="str">
        <f>_xlfn.LET(_xlpm.A,IF(ISNUMBER(SEARCH("晒单",J449)),"【晒单】"&amp;MID(J449,SEARCH("晒单",J449)+LEN("晒单"),LEN(J449))&amp;"（需晒单后联系客服登记）",IF(ISNUMBER(SEARCH("包修",J449)),"【购机】"&amp;MID(J449,SEARCH("购机",J449)+LEN("购机"),LEN(J449)),IF(ISNUMBER(SEARCH("叠放支架",J449)),"【赠品】"&amp;MID(J449,SEARCH("购机",J449)+LEN("购机"),LEN(J449)),IF(ISNUMBER(SEARCH("秀图",J449)),"【秀图】"&amp;MID(J449,SEARCH("秀图",J449)+LEN("秀图"),LEN(J449)),"")))),IFERROR(LEFT(_xlpm.A,FIND("【",_xlpm.A,FIND("】",_xlpm.A)+1)-1)&amp;MID(_xlpm.A,FIND("】",_xlpm.A,FIND("】",_xlpm.A)+1)+1,LEN(_xlpm.A)),_xlpm.A))</f>
        <v/>
      </c>
      <c r="F449" s="18" t="str">
        <f>_xlfn.LET(_xlpm.A,IF(ISNUMBER(SEARCH("晒单",K449)),"【晒单】"&amp;MID(K449,SEARCH("晒单",K449)+LEN("晒单"),LEN(K449))&amp;"（需晒单后联系客服登记）",IF(ISNUMBER(SEARCH("包修",K449)),"【购机】"&amp;MID(K449,SEARCH("购机",K449)+LEN("购机"),LEN(K449)),IF(ISNUMBER(SEARCH("叠放支架",K449)),"【赠品】"&amp;MID(K449,SEARCH("购机",K449)+LEN("购机"),LEN(K449)),IF(ISNUMBER(SEARCH("秀图",K449)),"【秀图】"&amp;MID(K449,SEARCH("秀图",K449)+LEN("秀图"),LEN(K449)),"")))),IFERROR(LEFT(_xlpm.A,FIND("【",_xlpm.A,FIND("】",_xlpm.A)+1)-1)&amp;MID(_xlpm.A,FIND("】",_xlpm.A,FIND("】",_xlpm.A)+1)+1,LEN(_xlpm.A)),_xlpm.A))</f>
        <v/>
      </c>
      <c r="G449" s="18" t="str">
        <f>_xlfn.LET(_xlpm.A,IF(ISNUMBER(SEARCH("晒单",L449)),"【晒单】"&amp;MID(L449,SEARCH("晒单",L449)+LEN("晒单"),LEN(L449))&amp;"（需晒单后联系客服登记）",IF(ISNUMBER(SEARCH("包修",L449)),"【购机】"&amp;MID(L449,SEARCH("购机",L449)+LEN("购机"),LEN(L449)),IF(ISNUMBER(SEARCH("叠放支架",L449)),"【赠品】"&amp;MID(L449,SEARCH("购机",L449)+LEN("购机"),LEN(L449)),IF(ISNUMBER(SEARCH("秀图",L449)),"【秀图】"&amp;MID(L449,SEARCH("秀图",L449)+LEN("秀图"),LEN(L449)),"")))),IFERROR(LEFT(_xlpm.A,FIND("【",_xlpm.A,FIND("】",_xlpm.A)+1)-1)&amp;MID(_xlpm.A,FIND("】",_xlpm.A,FIND("】",_xlpm.A)+1)+1,LEN(_xlpm.A)),_xlpm.A))</f>
        <v/>
      </c>
      <c r="H449" s="18" t="str">
        <f>_xlfn.LET(_xlpm.A,IF(ISNUMBER(SEARCH("晒单",M449)),"【晒单】"&amp;MID(M449,SEARCH("晒单",M449)+LEN("晒单"),LEN(M449))&amp;"（需晒单后联系客服登记）",IF(ISNUMBER(SEARCH("包修",M449)),"【购机】"&amp;MID(M449,SEARCH("购机",M449)+LEN("购机"),LEN(M449)),IF(ISNUMBER(SEARCH("叠放支架",M449)),"【赠品】"&amp;MID(M449,SEARCH("购机",M449)+LEN("购机"),LEN(M449)),IF(ISNUMBER(SEARCH("秀图",M449)),"【秀图】"&amp;MID(M449,SEARCH("秀图",M449)+LEN("秀图"),LEN(M449)),"")))),IFERROR(LEFT(_xlpm.A,FIND("【",_xlpm.A,FIND("】",_xlpm.A)+1)-1)&amp;MID(_xlpm.A,FIND("】",_xlpm.A,FIND("】",_xlpm.A)+1)+1,LEN(_xlpm.A)),_xlpm.A))</f>
        <v/>
      </c>
      <c r="I449" s="18" t="str">
        <f>_xlfn.LET(_xlpm.A,IF(ISNUMBER(SEARCH("晒单",N449)),"【晒单】"&amp;MID(N449,SEARCH("晒单",N449)+LEN("晒单"),LEN(N449))&amp;"（需晒单后联系客服登记）",IF(ISNUMBER(SEARCH("包修",N449)),"【购机】"&amp;MID(N449,SEARCH("购机",N449)+LEN("购机"),LEN(N449)),IF(ISNUMBER(SEARCH("叠放支架",N449)),"【赠品】"&amp;MID(N449,SEARCH("购机",N449)+LEN("购机"),LEN(N449)),IF(ISNUMBER(SEARCH("秀图",N449)),"【秀图】"&amp;MID(N449,SEARCH("秀图",N449)+LEN("秀图"),LEN(N449)),"")))),IFERROR(LEFT(_xlpm.A,FIND("【",_xlpm.A,FIND("】",_xlpm.A)+1)-1)&amp;MID(_xlpm.A,FIND("】",_xlpm.A,FIND("】",_xlpm.A)+1)+1,LEN(_xlpm.A)),_xlpm.A))</f>
        <v/>
      </c>
      <c r="J449" s="18" t="str" cm="1">
        <f t="array" ref="J449">IFERROR(INDEX(_xlfn.TEXTSPLIT(_xlfn.XLOOKUP($A449&amp;$B449&amp;$C449,盘货信息!$A:$A&amp;盘货信息!$B:$B&amp;盘货信息!$C:$C,盘货信息!$S:$S),CHAR(10),,TRUE),1,COLUMN(A448)),"")</f>
        <v/>
      </c>
      <c r="K449" s="18" t="str" cm="1">
        <f t="array" ref="K449">IFERROR(INDEX(_xlfn.TEXTSPLIT(_xlfn.XLOOKUP($A449&amp;$B449&amp;$C449,盘货信息!$A:$A&amp;盘货信息!$B:$B&amp;盘货信息!$C:$C,盘货信息!$S:$S),CHAR(10),,TRUE),1,COLUMN(B448)),"")</f>
        <v/>
      </c>
      <c r="L449" s="18" t="str" cm="1">
        <f t="array" ref="L449">IFERROR(INDEX(_xlfn.TEXTSPLIT(_xlfn.XLOOKUP($A449&amp;$B449&amp;$C449,盘货信息!$A:$A&amp;盘货信息!$B:$B&amp;盘货信息!$C:$C,盘货信息!$S:$S),CHAR(10),,TRUE),1,COLUMN(C448)),"")</f>
        <v/>
      </c>
      <c r="M449" s="18" t="str" cm="1">
        <f t="array" ref="M449">IFERROR(INDEX(_xlfn.TEXTSPLIT(_xlfn.XLOOKUP($A449&amp;$B449&amp;$C449,盘货信息!$A:$A&amp;盘货信息!$B:$B&amp;盘货信息!$C:$C,盘货信息!$S:$S),CHAR(10),,TRUE),1,COLUMN(D448)),"")</f>
        <v/>
      </c>
      <c r="N449" s="18" t="str" cm="1">
        <f t="array" ref="N449">IFERROR(INDEX(_xlfn.TEXTSPLIT(_xlfn.XLOOKUP($A449&amp;$B449&amp;$C449,盘货信息!$A:$A&amp;盘货信息!$B:$B&amp;盘货信息!$C:$C,盘货信息!$S:$S),CHAR(10),,TRUE),1,COLUMN(E448)),"")</f>
        <v/>
      </c>
    </row>
    <row r="450" customHeight="1" spans="1:14">
      <c r="A450" s="17" t="str">
        <f>IF(盘货信息!A450="","",盘货信息!A450)</f>
        <v/>
      </c>
      <c r="B450" s="17" t="str">
        <f>IF(盘货信息!B450="","",盘货信息!B450)</f>
        <v/>
      </c>
      <c r="C450" s="18" t="str">
        <f>IF(盘货信息!C450="","",盘货信息!C450)</f>
        <v/>
      </c>
      <c r="D450" s="18" t="str">
        <f t="shared" ref="D450:D501" si="7">_xlfn.TEXTJOIN(CHAR(10),TRUE,E450:I450)</f>
        <v/>
      </c>
      <c r="E450" s="18" t="str">
        <f>_xlfn.LET(_xlpm.A,IF(ISNUMBER(SEARCH("晒单",J450)),"【晒单】"&amp;MID(J450,SEARCH("晒单",J450)+LEN("晒单"),LEN(J450))&amp;"（需晒单后联系客服登记）",IF(ISNUMBER(SEARCH("包修",J450)),"【购机】"&amp;MID(J450,SEARCH("购机",J450)+LEN("购机"),LEN(J450)),IF(ISNUMBER(SEARCH("叠放支架",J450)),"【赠品】"&amp;MID(J450,SEARCH("购机",J450)+LEN("购机"),LEN(J450)),IF(ISNUMBER(SEARCH("秀图",J450)),"【秀图】"&amp;MID(J450,SEARCH("秀图",J450)+LEN("秀图"),LEN(J450)),"")))),IFERROR(LEFT(_xlpm.A,FIND("【",_xlpm.A,FIND("】",_xlpm.A)+1)-1)&amp;MID(_xlpm.A,FIND("】",_xlpm.A,FIND("】",_xlpm.A)+1)+1,LEN(_xlpm.A)),_xlpm.A))</f>
        <v/>
      </c>
      <c r="F450" s="18" t="str">
        <f>_xlfn.LET(_xlpm.A,IF(ISNUMBER(SEARCH("晒单",K450)),"【晒单】"&amp;MID(K450,SEARCH("晒单",K450)+LEN("晒单"),LEN(K450))&amp;"（需晒单后联系客服登记）",IF(ISNUMBER(SEARCH("包修",K450)),"【购机】"&amp;MID(K450,SEARCH("购机",K450)+LEN("购机"),LEN(K450)),IF(ISNUMBER(SEARCH("叠放支架",K450)),"【赠品】"&amp;MID(K450,SEARCH("购机",K450)+LEN("购机"),LEN(K450)),IF(ISNUMBER(SEARCH("秀图",K450)),"【秀图】"&amp;MID(K450,SEARCH("秀图",K450)+LEN("秀图"),LEN(K450)),"")))),IFERROR(LEFT(_xlpm.A,FIND("【",_xlpm.A,FIND("】",_xlpm.A)+1)-1)&amp;MID(_xlpm.A,FIND("】",_xlpm.A,FIND("】",_xlpm.A)+1)+1,LEN(_xlpm.A)),_xlpm.A))</f>
        <v/>
      </c>
      <c r="G450" s="18" t="str">
        <f>_xlfn.LET(_xlpm.A,IF(ISNUMBER(SEARCH("晒单",L450)),"【晒单】"&amp;MID(L450,SEARCH("晒单",L450)+LEN("晒单"),LEN(L450))&amp;"（需晒单后联系客服登记）",IF(ISNUMBER(SEARCH("包修",L450)),"【购机】"&amp;MID(L450,SEARCH("购机",L450)+LEN("购机"),LEN(L450)),IF(ISNUMBER(SEARCH("叠放支架",L450)),"【赠品】"&amp;MID(L450,SEARCH("购机",L450)+LEN("购机"),LEN(L450)),IF(ISNUMBER(SEARCH("秀图",L450)),"【秀图】"&amp;MID(L450,SEARCH("秀图",L450)+LEN("秀图"),LEN(L450)),"")))),IFERROR(LEFT(_xlpm.A,FIND("【",_xlpm.A,FIND("】",_xlpm.A)+1)-1)&amp;MID(_xlpm.A,FIND("】",_xlpm.A,FIND("】",_xlpm.A)+1)+1,LEN(_xlpm.A)),_xlpm.A))</f>
        <v/>
      </c>
      <c r="H450" s="18" t="str">
        <f>_xlfn.LET(_xlpm.A,IF(ISNUMBER(SEARCH("晒单",M450)),"【晒单】"&amp;MID(M450,SEARCH("晒单",M450)+LEN("晒单"),LEN(M450))&amp;"（需晒单后联系客服登记）",IF(ISNUMBER(SEARCH("包修",M450)),"【购机】"&amp;MID(M450,SEARCH("购机",M450)+LEN("购机"),LEN(M450)),IF(ISNUMBER(SEARCH("叠放支架",M450)),"【赠品】"&amp;MID(M450,SEARCH("购机",M450)+LEN("购机"),LEN(M450)),IF(ISNUMBER(SEARCH("秀图",M450)),"【秀图】"&amp;MID(M450,SEARCH("秀图",M450)+LEN("秀图"),LEN(M450)),"")))),IFERROR(LEFT(_xlpm.A,FIND("【",_xlpm.A,FIND("】",_xlpm.A)+1)-1)&amp;MID(_xlpm.A,FIND("】",_xlpm.A,FIND("】",_xlpm.A)+1)+1,LEN(_xlpm.A)),_xlpm.A))</f>
        <v/>
      </c>
      <c r="I450" s="18" t="str">
        <f>_xlfn.LET(_xlpm.A,IF(ISNUMBER(SEARCH("晒单",N450)),"【晒单】"&amp;MID(N450,SEARCH("晒单",N450)+LEN("晒单"),LEN(N450))&amp;"（需晒单后联系客服登记）",IF(ISNUMBER(SEARCH("包修",N450)),"【购机】"&amp;MID(N450,SEARCH("购机",N450)+LEN("购机"),LEN(N450)),IF(ISNUMBER(SEARCH("叠放支架",N450)),"【赠品】"&amp;MID(N450,SEARCH("购机",N450)+LEN("购机"),LEN(N450)),IF(ISNUMBER(SEARCH("秀图",N450)),"【秀图】"&amp;MID(N450,SEARCH("秀图",N450)+LEN("秀图"),LEN(N450)),"")))),IFERROR(LEFT(_xlpm.A,FIND("【",_xlpm.A,FIND("】",_xlpm.A)+1)-1)&amp;MID(_xlpm.A,FIND("】",_xlpm.A,FIND("】",_xlpm.A)+1)+1,LEN(_xlpm.A)),_xlpm.A))</f>
        <v/>
      </c>
      <c r="J450" s="18" t="str" cm="1">
        <f t="array" ref="J450">IFERROR(INDEX(_xlfn.TEXTSPLIT(_xlfn.XLOOKUP($A450&amp;$B450&amp;$C450,盘货信息!$A:$A&amp;盘货信息!$B:$B&amp;盘货信息!$C:$C,盘货信息!$S:$S),CHAR(10),,TRUE),1,COLUMN(A449)),"")</f>
        <v/>
      </c>
      <c r="K450" s="18" t="str" cm="1">
        <f t="array" ref="K450">IFERROR(INDEX(_xlfn.TEXTSPLIT(_xlfn.XLOOKUP($A450&amp;$B450&amp;$C450,盘货信息!$A:$A&amp;盘货信息!$B:$B&amp;盘货信息!$C:$C,盘货信息!$S:$S),CHAR(10),,TRUE),1,COLUMN(B449)),"")</f>
        <v/>
      </c>
      <c r="L450" s="18" t="str" cm="1">
        <f t="array" ref="L450">IFERROR(INDEX(_xlfn.TEXTSPLIT(_xlfn.XLOOKUP($A450&amp;$B450&amp;$C450,盘货信息!$A:$A&amp;盘货信息!$B:$B&amp;盘货信息!$C:$C,盘货信息!$S:$S),CHAR(10),,TRUE),1,COLUMN(C449)),"")</f>
        <v/>
      </c>
      <c r="M450" s="18" t="str" cm="1">
        <f t="array" ref="M450">IFERROR(INDEX(_xlfn.TEXTSPLIT(_xlfn.XLOOKUP($A450&amp;$B450&amp;$C450,盘货信息!$A:$A&amp;盘货信息!$B:$B&amp;盘货信息!$C:$C,盘货信息!$S:$S),CHAR(10),,TRUE),1,COLUMN(D449)),"")</f>
        <v/>
      </c>
      <c r="N450" s="18" t="str" cm="1">
        <f t="array" ref="N450">IFERROR(INDEX(_xlfn.TEXTSPLIT(_xlfn.XLOOKUP($A450&amp;$B450&amp;$C450,盘货信息!$A:$A&amp;盘货信息!$B:$B&amp;盘货信息!$C:$C,盘货信息!$S:$S),CHAR(10),,TRUE),1,COLUMN(E449)),"")</f>
        <v/>
      </c>
    </row>
    <row r="451" customHeight="1" spans="1:14">
      <c r="A451" s="17" t="str">
        <f>IF(盘货信息!A451="","",盘货信息!A451)</f>
        <v/>
      </c>
      <c r="B451" s="17" t="str">
        <f>IF(盘货信息!B451="","",盘货信息!B451)</f>
        <v/>
      </c>
      <c r="C451" s="18" t="str">
        <f>IF(盘货信息!C451="","",盘货信息!C451)</f>
        <v/>
      </c>
      <c r="D451" s="18" t="str">
        <f t="shared" si="7"/>
        <v/>
      </c>
      <c r="E451" s="18" t="str">
        <f>_xlfn.LET(_xlpm.A,IF(ISNUMBER(SEARCH("晒单",J451)),"【晒单】"&amp;MID(J451,SEARCH("晒单",J451)+LEN("晒单"),LEN(J451))&amp;"（需晒单后联系客服登记）",IF(ISNUMBER(SEARCH("包修",J451)),"【购机】"&amp;MID(J451,SEARCH("购机",J451)+LEN("购机"),LEN(J451)),IF(ISNUMBER(SEARCH("叠放支架",J451)),"【赠品】"&amp;MID(J451,SEARCH("购机",J451)+LEN("购机"),LEN(J451)),IF(ISNUMBER(SEARCH("秀图",J451)),"【秀图】"&amp;MID(J451,SEARCH("秀图",J451)+LEN("秀图"),LEN(J451)),"")))),IFERROR(LEFT(_xlpm.A,FIND("【",_xlpm.A,FIND("】",_xlpm.A)+1)-1)&amp;MID(_xlpm.A,FIND("】",_xlpm.A,FIND("】",_xlpm.A)+1)+1,LEN(_xlpm.A)),_xlpm.A))</f>
        <v/>
      </c>
      <c r="F451" s="18" t="str">
        <f>_xlfn.LET(_xlpm.A,IF(ISNUMBER(SEARCH("晒单",K451)),"【晒单】"&amp;MID(K451,SEARCH("晒单",K451)+LEN("晒单"),LEN(K451))&amp;"（需晒单后联系客服登记）",IF(ISNUMBER(SEARCH("包修",K451)),"【购机】"&amp;MID(K451,SEARCH("购机",K451)+LEN("购机"),LEN(K451)),IF(ISNUMBER(SEARCH("叠放支架",K451)),"【赠品】"&amp;MID(K451,SEARCH("购机",K451)+LEN("购机"),LEN(K451)),IF(ISNUMBER(SEARCH("秀图",K451)),"【秀图】"&amp;MID(K451,SEARCH("秀图",K451)+LEN("秀图"),LEN(K451)),"")))),IFERROR(LEFT(_xlpm.A,FIND("【",_xlpm.A,FIND("】",_xlpm.A)+1)-1)&amp;MID(_xlpm.A,FIND("】",_xlpm.A,FIND("】",_xlpm.A)+1)+1,LEN(_xlpm.A)),_xlpm.A))</f>
        <v/>
      </c>
      <c r="G451" s="18" t="str">
        <f>_xlfn.LET(_xlpm.A,IF(ISNUMBER(SEARCH("晒单",L451)),"【晒单】"&amp;MID(L451,SEARCH("晒单",L451)+LEN("晒单"),LEN(L451))&amp;"（需晒单后联系客服登记）",IF(ISNUMBER(SEARCH("包修",L451)),"【购机】"&amp;MID(L451,SEARCH("购机",L451)+LEN("购机"),LEN(L451)),IF(ISNUMBER(SEARCH("叠放支架",L451)),"【赠品】"&amp;MID(L451,SEARCH("购机",L451)+LEN("购机"),LEN(L451)),IF(ISNUMBER(SEARCH("秀图",L451)),"【秀图】"&amp;MID(L451,SEARCH("秀图",L451)+LEN("秀图"),LEN(L451)),"")))),IFERROR(LEFT(_xlpm.A,FIND("【",_xlpm.A,FIND("】",_xlpm.A)+1)-1)&amp;MID(_xlpm.A,FIND("】",_xlpm.A,FIND("】",_xlpm.A)+1)+1,LEN(_xlpm.A)),_xlpm.A))</f>
        <v/>
      </c>
      <c r="H451" s="18" t="str">
        <f>_xlfn.LET(_xlpm.A,IF(ISNUMBER(SEARCH("晒单",M451)),"【晒单】"&amp;MID(M451,SEARCH("晒单",M451)+LEN("晒单"),LEN(M451))&amp;"（需晒单后联系客服登记）",IF(ISNUMBER(SEARCH("包修",M451)),"【购机】"&amp;MID(M451,SEARCH("购机",M451)+LEN("购机"),LEN(M451)),IF(ISNUMBER(SEARCH("叠放支架",M451)),"【赠品】"&amp;MID(M451,SEARCH("购机",M451)+LEN("购机"),LEN(M451)),IF(ISNUMBER(SEARCH("秀图",M451)),"【秀图】"&amp;MID(M451,SEARCH("秀图",M451)+LEN("秀图"),LEN(M451)),"")))),IFERROR(LEFT(_xlpm.A,FIND("【",_xlpm.A,FIND("】",_xlpm.A)+1)-1)&amp;MID(_xlpm.A,FIND("】",_xlpm.A,FIND("】",_xlpm.A)+1)+1,LEN(_xlpm.A)),_xlpm.A))</f>
        <v/>
      </c>
      <c r="I451" s="18" t="str">
        <f>_xlfn.LET(_xlpm.A,IF(ISNUMBER(SEARCH("晒单",N451)),"【晒单】"&amp;MID(N451,SEARCH("晒单",N451)+LEN("晒单"),LEN(N451))&amp;"（需晒单后联系客服登记）",IF(ISNUMBER(SEARCH("包修",N451)),"【购机】"&amp;MID(N451,SEARCH("购机",N451)+LEN("购机"),LEN(N451)),IF(ISNUMBER(SEARCH("叠放支架",N451)),"【赠品】"&amp;MID(N451,SEARCH("购机",N451)+LEN("购机"),LEN(N451)),IF(ISNUMBER(SEARCH("秀图",N451)),"【秀图】"&amp;MID(N451,SEARCH("秀图",N451)+LEN("秀图"),LEN(N451)),"")))),IFERROR(LEFT(_xlpm.A,FIND("【",_xlpm.A,FIND("】",_xlpm.A)+1)-1)&amp;MID(_xlpm.A,FIND("】",_xlpm.A,FIND("】",_xlpm.A)+1)+1,LEN(_xlpm.A)),_xlpm.A))</f>
        <v/>
      </c>
      <c r="J451" s="18" t="str" cm="1">
        <f t="array" ref="J451">IFERROR(INDEX(_xlfn.TEXTSPLIT(_xlfn.XLOOKUP($A451&amp;$B451&amp;$C451,盘货信息!$A:$A&amp;盘货信息!$B:$B&amp;盘货信息!$C:$C,盘货信息!$S:$S),CHAR(10),,TRUE),1,COLUMN(A450)),"")</f>
        <v/>
      </c>
      <c r="K451" s="18" t="str" cm="1">
        <f t="array" ref="K451">IFERROR(INDEX(_xlfn.TEXTSPLIT(_xlfn.XLOOKUP($A451&amp;$B451&amp;$C451,盘货信息!$A:$A&amp;盘货信息!$B:$B&amp;盘货信息!$C:$C,盘货信息!$S:$S),CHAR(10),,TRUE),1,COLUMN(B450)),"")</f>
        <v/>
      </c>
      <c r="L451" s="18" t="str" cm="1">
        <f t="array" ref="L451">IFERROR(INDEX(_xlfn.TEXTSPLIT(_xlfn.XLOOKUP($A451&amp;$B451&amp;$C451,盘货信息!$A:$A&amp;盘货信息!$B:$B&amp;盘货信息!$C:$C,盘货信息!$S:$S),CHAR(10),,TRUE),1,COLUMN(C450)),"")</f>
        <v/>
      </c>
      <c r="M451" s="18" t="str" cm="1">
        <f t="array" ref="M451">IFERROR(INDEX(_xlfn.TEXTSPLIT(_xlfn.XLOOKUP($A451&amp;$B451&amp;$C451,盘货信息!$A:$A&amp;盘货信息!$B:$B&amp;盘货信息!$C:$C,盘货信息!$S:$S),CHAR(10),,TRUE),1,COLUMN(D450)),"")</f>
        <v/>
      </c>
      <c r="N451" s="18" t="str" cm="1">
        <f t="array" ref="N451">IFERROR(INDEX(_xlfn.TEXTSPLIT(_xlfn.XLOOKUP($A451&amp;$B451&amp;$C451,盘货信息!$A:$A&amp;盘货信息!$B:$B&amp;盘货信息!$C:$C,盘货信息!$S:$S),CHAR(10),,TRUE),1,COLUMN(E450)),"")</f>
        <v/>
      </c>
    </row>
    <row r="452" customHeight="1" spans="1:14">
      <c r="A452" s="17" t="str">
        <f>IF(盘货信息!A452="","",盘货信息!A452)</f>
        <v/>
      </c>
      <c r="B452" s="17" t="str">
        <f>IF(盘货信息!B452="","",盘货信息!B452)</f>
        <v/>
      </c>
      <c r="C452" s="18" t="str">
        <f>IF(盘货信息!C452="","",盘货信息!C452)</f>
        <v/>
      </c>
      <c r="D452" s="18" t="str">
        <f t="shared" si="7"/>
        <v/>
      </c>
      <c r="E452" s="18" t="str">
        <f>_xlfn.LET(_xlpm.A,IF(ISNUMBER(SEARCH("晒单",J452)),"【晒单】"&amp;MID(J452,SEARCH("晒单",J452)+LEN("晒单"),LEN(J452))&amp;"（需晒单后联系客服登记）",IF(ISNUMBER(SEARCH("包修",J452)),"【购机】"&amp;MID(J452,SEARCH("购机",J452)+LEN("购机"),LEN(J452)),IF(ISNUMBER(SEARCH("叠放支架",J452)),"【赠品】"&amp;MID(J452,SEARCH("购机",J452)+LEN("购机"),LEN(J452)),IF(ISNUMBER(SEARCH("秀图",J452)),"【秀图】"&amp;MID(J452,SEARCH("秀图",J452)+LEN("秀图"),LEN(J452)),"")))),IFERROR(LEFT(_xlpm.A,FIND("【",_xlpm.A,FIND("】",_xlpm.A)+1)-1)&amp;MID(_xlpm.A,FIND("】",_xlpm.A,FIND("】",_xlpm.A)+1)+1,LEN(_xlpm.A)),_xlpm.A))</f>
        <v/>
      </c>
      <c r="F452" s="18" t="str">
        <f>_xlfn.LET(_xlpm.A,IF(ISNUMBER(SEARCH("晒单",K452)),"【晒单】"&amp;MID(K452,SEARCH("晒单",K452)+LEN("晒单"),LEN(K452))&amp;"（需晒单后联系客服登记）",IF(ISNUMBER(SEARCH("包修",K452)),"【购机】"&amp;MID(K452,SEARCH("购机",K452)+LEN("购机"),LEN(K452)),IF(ISNUMBER(SEARCH("叠放支架",K452)),"【赠品】"&amp;MID(K452,SEARCH("购机",K452)+LEN("购机"),LEN(K452)),IF(ISNUMBER(SEARCH("秀图",K452)),"【秀图】"&amp;MID(K452,SEARCH("秀图",K452)+LEN("秀图"),LEN(K452)),"")))),IFERROR(LEFT(_xlpm.A,FIND("【",_xlpm.A,FIND("】",_xlpm.A)+1)-1)&amp;MID(_xlpm.A,FIND("】",_xlpm.A,FIND("】",_xlpm.A)+1)+1,LEN(_xlpm.A)),_xlpm.A))</f>
        <v/>
      </c>
      <c r="G452" s="18" t="str">
        <f>_xlfn.LET(_xlpm.A,IF(ISNUMBER(SEARCH("晒单",L452)),"【晒单】"&amp;MID(L452,SEARCH("晒单",L452)+LEN("晒单"),LEN(L452))&amp;"（需晒单后联系客服登记）",IF(ISNUMBER(SEARCH("包修",L452)),"【购机】"&amp;MID(L452,SEARCH("购机",L452)+LEN("购机"),LEN(L452)),IF(ISNUMBER(SEARCH("叠放支架",L452)),"【赠品】"&amp;MID(L452,SEARCH("购机",L452)+LEN("购机"),LEN(L452)),IF(ISNUMBER(SEARCH("秀图",L452)),"【秀图】"&amp;MID(L452,SEARCH("秀图",L452)+LEN("秀图"),LEN(L452)),"")))),IFERROR(LEFT(_xlpm.A,FIND("【",_xlpm.A,FIND("】",_xlpm.A)+1)-1)&amp;MID(_xlpm.A,FIND("】",_xlpm.A,FIND("】",_xlpm.A)+1)+1,LEN(_xlpm.A)),_xlpm.A))</f>
        <v/>
      </c>
      <c r="H452" s="18" t="str">
        <f>_xlfn.LET(_xlpm.A,IF(ISNUMBER(SEARCH("晒单",M452)),"【晒单】"&amp;MID(M452,SEARCH("晒单",M452)+LEN("晒单"),LEN(M452))&amp;"（需晒单后联系客服登记）",IF(ISNUMBER(SEARCH("包修",M452)),"【购机】"&amp;MID(M452,SEARCH("购机",M452)+LEN("购机"),LEN(M452)),IF(ISNUMBER(SEARCH("叠放支架",M452)),"【赠品】"&amp;MID(M452,SEARCH("购机",M452)+LEN("购机"),LEN(M452)),IF(ISNUMBER(SEARCH("秀图",M452)),"【秀图】"&amp;MID(M452,SEARCH("秀图",M452)+LEN("秀图"),LEN(M452)),"")))),IFERROR(LEFT(_xlpm.A,FIND("【",_xlpm.A,FIND("】",_xlpm.A)+1)-1)&amp;MID(_xlpm.A,FIND("】",_xlpm.A,FIND("】",_xlpm.A)+1)+1,LEN(_xlpm.A)),_xlpm.A))</f>
        <v/>
      </c>
      <c r="I452" s="18" t="str">
        <f>_xlfn.LET(_xlpm.A,IF(ISNUMBER(SEARCH("晒单",N452)),"【晒单】"&amp;MID(N452,SEARCH("晒单",N452)+LEN("晒单"),LEN(N452))&amp;"（需晒单后联系客服登记）",IF(ISNUMBER(SEARCH("包修",N452)),"【购机】"&amp;MID(N452,SEARCH("购机",N452)+LEN("购机"),LEN(N452)),IF(ISNUMBER(SEARCH("叠放支架",N452)),"【赠品】"&amp;MID(N452,SEARCH("购机",N452)+LEN("购机"),LEN(N452)),IF(ISNUMBER(SEARCH("秀图",N452)),"【秀图】"&amp;MID(N452,SEARCH("秀图",N452)+LEN("秀图"),LEN(N452)),"")))),IFERROR(LEFT(_xlpm.A,FIND("【",_xlpm.A,FIND("】",_xlpm.A)+1)-1)&amp;MID(_xlpm.A,FIND("】",_xlpm.A,FIND("】",_xlpm.A)+1)+1,LEN(_xlpm.A)),_xlpm.A))</f>
        <v/>
      </c>
      <c r="J452" s="18" t="str" cm="1">
        <f t="array" ref="J452">IFERROR(INDEX(_xlfn.TEXTSPLIT(_xlfn.XLOOKUP($A452&amp;$B452&amp;$C452,盘货信息!$A:$A&amp;盘货信息!$B:$B&amp;盘货信息!$C:$C,盘货信息!$S:$S),CHAR(10),,TRUE),1,COLUMN(A451)),"")</f>
        <v/>
      </c>
      <c r="K452" s="18" t="str" cm="1">
        <f t="array" ref="K452">IFERROR(INDEX(_xlfn.TEXTSPLIT(_xlfn.XLOOKUP($A452&amp;$B452&amp;$C452,盘货信息!$A:$A&amp;盘货信息!$B:$B&amp;盘货信息!$C:$C,盘货信息!$S:$S),CHAR(10),,TRUE),1,COLUMN(B451)),"")</f>
        <v/>
      </c>
      <c r="L452" s="18" t="str" cm="1">
        <f t="array" ref="L452">IFERROR(INDEX(_xlfn.TEXTSPLIT(_xlfn.XLOOKUP($A452&amp;$B452&amp;$C452,盘货信息!$A:$A&amp;盘货信息!$B:$B&amp;盘货信息!$C:$C,盘货信息!$S:$S),CHAR(10),,TRUE),1,COLUMN(C451)),"")</f>
        <v/>
      </c>
      <c r="M452" s="18" t="str" cm="1">
        <f t="array" ref="M452">IFERROR(INDEX(_xlfn.TEXTSPLIT(_xlfn.XLOOKUP($A452&amp;$B452&amp;$C452,盘货信息!$A:$A&amp;盘货信息!$B:$B&amp;盘货信息!$C:$C,盘货信息!$S:$S),CHAR(10),,TRUE),1,COLUMN(D451)),"")</f>
        <v/>
      </c>
      <c r="N452" s="18" t="str" cm="1">
        <f t="array" ref="N452">IFERROR(INDEX(_xlfn.TEXTSPLIT(_xlfn.XLOOKUP($A452&amp;$B452&amp;$C452,盘货信息!$A:$A&amp;盘货信息!$B:$B&amp;盘货信息!$C:$C,盘货信息!$S:$S),CHAR(10),,TRUE),1,COLUMN(E451)),"")</f>
        <v/>
      </c>
    </row>
    <row r="453" customHeight="1" spans="1:14">
      <c r="A453" s="17" t="str">
        <f>IF(盘货信息!A453="","",盘货信息!A453)</f>
        <v/>
      </c>
      <c r="B453" s="17" t="str">
        <f>IF(盘货信息!B453="","",盘货信息!B453)</f>
        <v/>
      </c>
      <c r="C453" s="18" t="str">
        <f>IF(盘货信息!C453="","",盘货信息!C453)</f>
        <v/>
      </c>
      <c r="D453" s="18" t="str">
        <f t="shared" si="7"/>
        <v/>
      </c>
      <c r="E453" s="18" t="str">
        <f>_xlfn.LET(_xlpm.A,IF(ISNUMBER(SEARCH("晒单",J453)),"【晒单】"&amp;MID(J453,SEARCH("晒单",J453)+LEN("晒单"),LEN(J453))&amp;"（需晒单后联系客服登记）",IF(ISNUMBER(SEARCH("包修",J453)),"【购机】"&amp;MID(J453,SEARCH("购机",J453)+LEN("购机"),LEN(J453)),IF(ISNUMBER(SEARCH("叠放支架",J453)),"【赠品】"&amp;MID(J453,SEARCH("购机",J453)+LEN("购机"),LEN(J453)),IF(ISNUMBER(SEARCH("秀图",J453)),"【秀图】"&amp;MID(J453,SEARCH("秀图",J453)+LEN("秀图"),LEN(J453)),"")))),IFERROR(LEFT(_xlpm.A,FIND("【",_xlpm.A,FIND("】",_xlpm.A)+1)-1)&amp;MID(_xlpm.A,FIND("】",_xlpm.A,FIND("】",_xlpm.A)+1)+1,LEN(_xlpm.A)),_xlpm.A))</f>
        <v/>
      </c>
      <c r="F453" s="18" t="str">
        <f>_xlfn.LET(_xlpm.A,IF(ISNUMBER(SEARCH("晒单",K453)),"【晒单】"&amp;MID(K453,SEARCH("晒单",K453)+LEN("晒单"),LEN(K453))&amp;"（需晒单后联系客服登记）",IF(ISNUMBER(SEARCH("包修",K453)),"【购机】"&amp;MID(K453,SEARCH("购机",K453)+LEN("购机"),LEN(K453)),IF(ISNUMBER(SEARCH("叠放支架",K453)),"【赠品】"&amp;MID(K453,SEARCH("购机",K453)+LEN("购机"),LEN(K453)),IF(ISNUMBER(SEARCH("秀图",K453)),"【秀图】"&amp;MID(K453,SEARCH("秀图",K453)+LEN("秀图"),LEN(K453)),"")))),IFERROR(LEFT(_xlpm.A,FIND("【",_xlpm.A,FIND("】",_xlpm.A)+1)-1)&amp;MID(_xlpm.A,FIND("】",_xlpm.A,FIND("】",_xlpm.A)+1)+1,LEN(_xlpm.A)),_xlpm.A))</f>
        <v/>
      </c>
      <c r="G453" s="18" t="str">
        <f>_xlfn.LET(_xlpm.A,IF(ISNUMBER(SEARCH("晒单",L453)),"【晒单】"&amp;MID(L453,SEARCH("晒单",L453)+LEN("晒单"),LEN(L453))&amp;"（需晒单后联系客服登记）",IF(ISNUMBER(SEARCH("包修",L453)),"【购机】"&amp;MID(L453,SEARCH("购机",L453)+LEN("购机"),LEN(L453)),IF(ISNUMBER(SEARCH("叠放支架",L453)),"【赠品】"&amp;MID(L453,SEARCH("购机",L453)+LEN("购机"),LEN(L453)),IF(ISNUMBER(SEARCH("秀图",L453)),"【秀图】"&amp;MID(L453,SEARCH("秀图",L453)+LEN("秀图"),LEN(L453)),"")))),IFERROR(LEFT(_xlpm.A,FIND("【",_xlpm.A,FIND("】",_xlpm.A)+1)-1)&amp;MID(_xlpm.A,FIND("】",_xlpm.A,FIND("】",_xlpm.A)+1)+1,LEN(_xlpm.A)),_xlpm.A))</f>
        <v/>
      </c>
      <c r="H453" s="18" t="str">
        <f>_xlfn.LET(_xlpm.A,IF(ISNUMBER(SEARCH("晒单",M453)),"【晒单】"&amp;MID(M453,SEARCH("晒单",M453)+LEN("晒单"),LEN(M453))&amp;"（需晒单后联系客服登记）",IF(ISNUMBER(SEARCH("包修",M453)),"【购机】"&amp;MID(M453,SEARCH("购机",M453)+LEN("购机"),LEN(M453)),IF(ISNUMBER(SEARCH("叠放支架",M453)),"【赠品】"&amp;MID(M453,SEARCH("购机",M453)+LEN("购机"),LEN(M453)),IF(ISNUMBER(SEARCH("秀图",M453)),"【秀图】"&amp;MID(M453,SEARCH("秀图",M453)+LEN("秀图"),LEN(M453)),"")))),IFERROR(LEFT(_xlpm.A,FIND("【",_xlpm.A,FIND("】",_xlpm.A)+1)-1)&amp;MID(_xlpm.A,FIND("】",_xlpm.A,FIND("】",_xlpm.A)+1)+1,LEN(_xlpm.A)),_xlpm.A))</f>
        <v/>
      </c>
      <c r="I453" s="18" t="str">
        <f>_xlfn.LET(_xlpm.A,IF(ISNUMBER(SEARCH("晒单",N453)),"【晒单】"&amp;MID(N453,SEARCH("晒单",N453)+LEN("晒单"),LEN(N453))&amp;"（需晒单后联系客服登记）",IF(ISNUMBER(SEARCH("包修",N453)),"【购机】"&amp;MID(N453,SEARCH("购机",N453)+LEN("购机"),LEN(N453)),IF(ISNUMBER(SEARCH("叠放支架",N453)),"【赠品】"&amp;MID(N453,SEARCH("购机",N453)+LEN("购机"),LEN(N453)),IF(ISNUMBER(SEARCH("秀图",N453)),"【秀图】"&amp;MID(N453,SEARCH("秀图",N453)+LEN("秀图"),LEN(N453)),"")))),IFERROR(LEFT(_xlpm.A,FIND("【",_xlpm.A,FIND("】",_xlpm.A)+1)-1)&amp;MID(_xlpm.A,FIND("】",_xlpm.A,FIND("】",_xlpm.A)+1)+1,LEN(_xlpm.A)),_xlpm.A))</f>
        <v/>
      </c>
      <c r="J453" s="18" t="str" cm="1">
        <f t="array" ref="J453">IFERROR(INDEX(_xlfn.TEXTSPLIT(_xlfn.XLOOKUP($A453&amp;$B453&amp;$C453,盘货信息!$A:$A&amp;盘货信息!$B:$B&amp;盘货信息!$C:$C,盘货信息!$S:$S),CHAR(10),,TRUE),1,COLUMN(A452)),"")</f>
        <v/>
      </c>
      <c r="K453" s="18" t="str" cm="1">
        <f t="array" ref="K453">IFERROR(INDEX(_xlfn.TEXTSPLIT(_xlfn.XLOOKUP($A453&amp;$B453&amp;$C453,盘货信息!$A:$A&amp;盘货信息!$B:$B&amp;盘货信息!$C:$C,盘货信息!$S:$S),CHAR(10),,TRUE),1,COLUMN(B452)),"")</f>
        <v/>
      </c>
      <c r="L453" s="18" t="str" cm="1">
        <f t="array" ref="L453">IFERROR(INDEX(_xlfn.TEXTSPLIT(_xlfn.XLOOKUP($A453&amp;$B453&amp;$C453,盘货信息!$A:$A&amp;盘货信息!$B:$B&amp;盘货信息!$C:$C,盘货信息!$S:$S),CHAR(10),,TRUE),1,COLUMN(C452)),"")</f>
        <v/>
      </c>
      <c r="M453" s="18" t="str" cm="1">
        <f t="array" ref="M453">IFERROR(INDEX(_xlfn.TEXTSPLIT(_xlfn.XLOOKUP($A453&amp;$B453&amp;$C453,盘货信息!$A:$A&amp;盘货信息!$B:$B&amp;盘货信息!$C:$C,盘货信息!$S:$S),CHAR(10),,TRUE),1,COLUMN(D452)),"")</f>
        <v/>
      </c>
      <c r="N453" s="18" t="str" cm="1">
        <f t="array" ref="N453">IFERROR(INDEX(_xlfn.TEXTSPLIT(_xlfn.XLOOKUP($A453&amp;$B453&amp;$C453,盘货信息!$A:$A&amp;盘货信息!$B:$B&amp;盘货信息!$C:$C,盘货信息!$S:$S),CHAR(10),,TRUE),1,COLUMN(E452)),"")</f>
        <v/>
      </c>
    </row>
    <row r="454" customHeight="1" spans="1:14">
      <c r="A454" s="17" t="str">
        <f>IF(盘货信息!A454="","",盘货信息!A454)</f>
        <v/>
      </c>
      <c r="B454" s="17" t="str">
        <f>IF(盘货信息!B454="","",盘货信息!B454)</f>
        <v/>
      </c>
      <c r="C454" s="18" t="str">
        <f>IF(盘货信息!C454="","",盘货信息!C454)</f>
        <v/>
      </c>
      <c r="D454" s="18" t="str">
        <f t="shared" si="7"/>
        <v/>
      </c>
      <c r="E454" s="18" t="str">
        <f>_xlfn.LET(_xlpm.A,IF(ISNUMBER(SEARCH("晒单",J454)),"【晒单】"&amp;MID(J454,SEARCH("晒单",J454)+LEN("晒单"),LEN(J454))&amp;"（需晒单后联系客服登记）",IF(ISNUMBER(SEARCH("包修",J454)),"【购机】"&amp;MID(J454,SEARCH("购机",J454)+LEN("购机"),LEN(J454)),IF(ISNUMBER(SEARCH("叠放支架",J454)),"【赠品】"&amp;MID(J454,SEARCH("购机",J454)+LEN("购机"),LEN(J454)),IF(ISNUMBER(SEARCH("秀图",J454)),"【秀图】"&amp;MID(J454,SEARCH("秀图",J454)+LEN("秀图"),LEN(J454)),"")))),IFERROR(LEFT(_xlpm.A,FIND("【",_xlpm.A,FIND("】",_xlpm.A)+1)-1)&amp;MID(_xlpm.A,FIND("】",_xlpm.A,FIND("】",_xlpm.A)+1)+1,LEN(_xlpm.A)),_xlpm.A))</f>
        <v/>
      </c>
      <c r="F454" s="18" t="str">
        <f>_xlfn.LET(_xlpm.A,IF(ISNUMBER(SEARCH("晒单",K454)),"【晒单】"&amp;MID(K454,SEARCH("晒单",K454)+LEN("晒单"),LEN(K454))&amp;"（需晒单后联系客服登记）",IF(ISNUMBER(SEARCH("包修",K454)),"【购机】"&amp;MID(K454,SEARCH("购机",K454)+LEN("购机"),LEN(K454)),IF(ISNUMBER(SEARCH("叠放支架",K454)),"【赠品】"&amp;MID(K454,SEARCH("购机",K454)+LEN("购机"),LEN(K454)),IF(ISNUMBER(SEARCH("秀图",K454)),"【秀图】"&amp;MID(K454,SEARCH("秀图",K454)+LEN("秀图"),LEN(K454)),"")))),IFERROR(LEFT(_xlpm.A,FIND("【",_xlpm.A,FIND("】",_xlpm.A)+1)-1)&amp;MID(_xlpm.A,FIND("】",_xlpm.A,FIND("】",_xlpm.A)+1)+1,LEN(_xlpm.A)),_xlpm.A))</f>
        <v/>
      </c>
      <c r="G454" s="18" t="str">
        <f>_xlfn.LET(_xlpm.A,IF(ISNUMBER(SEARCH("晒单",L454)),"【晒单】"&amp;MID(L454,SEARCH("晒单",L454)+LEN("晒单"),LEN(L454))&amp;"（需晒单后联系客服登记）",IF(ISNUMBER(SEARCH("包修",L454)),"【购机】"&amp;MID(L454,SEARCH("购机",L454)+LEN("购机"),LEN(L454)),IF(ISNUMBER(SEARCH("叠放支架",L454)),"【赠品】"&amp;MID(L454,SEARCH("购机",L454)+LEN("购机"),LEN(L454)),IF(ISNUMBER(SEARCH("秀图",L454)),"【秀图】"&amp;MID(L454,SEARCH("秀图",L454)+LEN("秀图"),LEN(L454)),"")))),IFERROR(LEFT(_xlpm.A,FIND("【",_xlpm.A,FIND("】",_xlpm.A)+1)-1)&amp;MID(_xlpm.A,FIND("】",_xlpm.A,FIND("】",_xlpm.A)+1)+1,LEN(_xlpm.A)),_xlpm.A))</f>
        <v/>
      </c>
      <c r="H454" s="18" t="str">
        <f>_xlfn.LET(_xlpm.A,IF(ISNUMBER(SEARCH("晒单",M454)),"【晒单】"&amp;MID(M454,SEARCH("晒单",M454)+LEN("晒单"),LEN(M454))&amp;"（需晒单后联系客服登记）",IF(ISNUMBER(SEARCH("包修",M454)),"【购机】"&amp;MID(M454,SEARCH("购机",M454)+LEN("购机"),LEN(M454)),IF(ISNUMBER(SEARCH("叠放支架",M454)),"【赠品】"&amp;MID(M454,SEARCH("购机",M454)+LEN("购机"),LEN(M454)),IF(ISNUMBER(SEARCH("秀图",M454)),"【秀图】"&amp;MID(M454,SEARCH("秀图",M454)+LEN("秀图"),LEN(M454)),"")))),IFERROR(LEFT(_xlpm.A,FIND("【",_xlpm.A,FIND("】",_xlpm.A)+1)-1)&amp;MID(_xlpm.A,FIND("】",_xlpm.A,FIND("】",_xlpm.A)+1)+1,LEN(_xlpm.A)),_xlpm.A))</f>
        <v/>
      </c>
      <c r="I454" s="18" t="str">
        <f>_xlfn.LET(_xlpm.A,IF(ISNUMBER(SEARCH("晒单",N454)),"【晒单】"&amp;MID(N454,SEARCH("晒单",N454)+LEN("晒单"),LEN(N454))&amp;"（需晒单后联系客服登记）",IF(ISNUMBER(SEARCH("包修",N454)),"【购机】"&amp;MID(N454,SEARCH("购机",N454)+LEN("购机"),LEN(N454)),IF(ISNUMBER(SEARCH("叠放支架",N454)),"【赠品】"&amp;MID(N454,SEARCH("购机",N454)+LEN("购机"),LEN(N454)),IF(ISNUMBER(SEARCH("秀图",N454)),"【秀图】"&amp;MID(N454,SEARCH("秀图",N454)+LEN("秀图"),LEN(N454)),"")))),IFERROR(LEFT(_xlpm.A,FIND("【",_xlpm.A,FIND("】",_xlpm.A)+1)-1)&amp;MID(_xlpm.A,FIND("】",_xlpm.A,FIND("】",_xlpm.A)+1)+1,LEN(_xlpm.A)),_xlpm.A))</f>
        <v/>
      </c>
      <c r="J454" s="18" t="str" cm="1">
        <f t="array" ref="J454">IFERROR(INDEX(_xlfn.TEXTSPLIT(_xlfn.XLOOKUP($A454&amp;$B454&amp;$C454,盘货信息!$A:$A&amp;盘货信息!$B:$B&amp;盘货信息!$C:$C,盘货信息!$S:$S),CHAR(10),,TRUE),1,COLUMN(A453)),"")</f>
        <v/>
      </c>
      <c r="K454" s="18" t="str" cm="1">
        <f t="array" ref="K454">IFERROR(INDEX(_xlfn.TEXTSPLIT(_xlfn.XLOOKUP($A454&amp;$B454&amp;$C454,盘货信息!$A:$A&amp;盘货信息!$B:$B&amp;盘货信息!$C:$C,盘货信息!$S:$S),CHAR(10),,TRUE),1,COLUMN(B453)),"")</f>
        <v/>
      </c>
      <c r="L454" s="18" t="str" cm="1">
        <f t="array" ref="L454">IFERROR(INDEX(_xlfn.TEXTSPLIT(_xlfn.XLOOKUP($A454&amp;$B454&amp;$C454,盘货信息!$A:$A&amp;盘货信息!$B:$B&amp;盘货信息!$C:$C,盘货信息!$S:$S),CHAR(10),,TRUE),1,COLUMN(C453)),"")</f>
        <v/>
      </c>
      <c r="M454" s="18" t="str" cm="1">
        <f t="array" ref="M454">IFERROR(INDEX(_xlfn.TEXTSPLIT(_xlfn.XLOOKUP($A454&amp;$B454&amp;$C454,盘货信息!$A:$A&amp;盘货信息!$B:$B&amp;盘货信息!$C:$C,盘货信息!$S:$S),CHAR(10),,TRUE),1,COLUMN(D453)),"")</f>
        <v/>
      </c>
      <c r="N454" s="18" t="str" cm="1">
        <f t="array" ref="N454">IFERROR(INDEX(_xlfn.TEXTSPLIT(_xlfn.XLOOKUP($A454&amp;$B454&amp;$C454,盘货信息!$A:$A&amp;盘货信息!$B:$B&amp;盘货信息!$C:$C,盘货信息!$S:$S),CHAR(10),,TRUE),1,COLUMN(E453)),"")</f>
        <v/>
      </c>
    </row>
    <row r="455" customHeight="1" spans="1:14">
      <c r="A455" s="17" t="str">
        <f>IF(盘货信息!A455="","",盘货信息!A455)</f>
        <v/>
      </c>
      <c r="B455" s="17" t="str">
        <f>IF(盘货信息!B455="","",盘货信息!B455)</f>
        <v/>
      </c>
      <c r="C455" s="18" t="str">
        <f>IF(盘货信息!C455="","",盘货信息!C455)</f>
        <v/>
      </c>
      <c r="D455" s="18" t="str">
        <f t="shared" si="7"/>
        <v/>
      </c>
      <c r="E455" s="18" t="str">
        <f>_xlfn.LET(_xlpm.A,IF(ISNUMBER(SEARCH("晒单",J455)),"【晒单】"&amp;MID(J455,SEARCH("晒单",J455)+LEN("晒单"),LEN(J455))&amp;"（需晒单后联系客服登记）",IF(ISNUMBER(SEARCH("包修",J455)),"【购机】"&amp;MID(J455,SEARCH("购机",J455)+LEN("购机"),LEN(J455)),IF(ISNUMBER(SEARCH("叠放支架",J455)),"【赠品】"&amp;MID(J455,SEARCH("购机",J455)+LEN("购机"),LEN(J455)),IF(ISNUMBER(SEARCH("秀图",J455)),"【秀图】"&amp;MID(J455,SEARCH("秀图",J455)+LEN("秀图"),LEN(J455)),"")))),IFERROR(LEFT(_xlpm.A,FIND("【",_xlpm.A,FIND("】",_xlpm.A)+1)-1)&amp;MID(_xlpm.A,FIND("】",_xlpm.A,FIND("】",_xlpm.A)+1)+1,LEN(_xlpm.A)),_xlpm.A))</f>
        <v/>
      </c>
      <c r="F455" s="18" t="str">
        <f>_xlfn.LET(_xlpm.A,IF(ISNUMBER(SEARCH("晒单",K455)),"【晒单】"&amp;MID(K455,SEARCH("晒单",K455)+LEN("晒单"),LEN(K455))&amp;"（需晒单后联系客服登记）",IF(ISNUMBER(SEARCH("包修",K455)),"【购机】"&amp;MID(K455,SEARCH("购机",K455)+LEN("购机"),LEN(K455)),IF(ISNUMBER(SEARCH("叠放支架",K455)),"【赠品】"&amp;MID(K455,SEARCH("购机",K455)+LEN("购机"),LEN(K455)),IF(ISNUMBER(SEARCH("秀图",K455)),"【秀图】"&amp;MID(K455,SEARCH("秀图",K455)+LEN("秀图"),LEN(K455)),"")))),IFERROR(LEFT(_xlpm.A,FIND("【",_xlpm.A,FIND("】",_xlpm.A)+1)-1)&amp;MID(_xlpm.A,FIND("】",_xlpm.A,FIND("】",_xlpm.A)+1)+1,LEN(_xlpm.A)),_xlpm.A))</f>
        <v/>
      </c>
      <c r="G455" s="18" t="str">
        <f>_xlfn.LET(_xlpm.A,IF(ISNUMBER(SEARCH("晒单",L455)),"【晒单】"&amp;MID(L455,SEARCH("晒单",L455)+LEN("晒单"),LEN(L455))&amp;"（需晒单后联系客服登记）",IF(ISNUMBER(SEARCH("包修",L455)),"【购机】"&amp;MID(L455,SEARCH("购机",L455)+LEN("购机"),LEN(L455)),IF(ISNUMBER(SEARCH("叠放支架",L455)),"【赠品】"&amp;MID(L455,SEARCH("购机",L455)+LEN("购机"),LEN(L455)),IF(ISNUMBER(SEARCH("秀图",L455)),"【秀图】"&amp;MID(L455,SEARCH("秀图",L455)+LEN("秀图"),LEN(L455)),"")))),IFERROR(LEFT(_xlpm.A,FIND("【",_xlpm.A,FIND("】",_xlpm.A)+1)-1)&amp;MID(_xlpm.A,FIND("】",_xlpm.A,FIND("】",_xlpm.A)+1)+1,LEN(_xlpm.A)),_xlpm.A))</f>
        <v/>
      </c>
      <c r="H455" s="18" t="str">
        <f>_xlfn.LET(_xlpm.A,IF(ISNUMBER(SEARCH("晒单",M455)),"【晒单】"&amp;MID(M455,SEARCH("晒单",M455)+LEN("晒单"),LEN(M455))&amp;"（需晒单后联系客服登记）",IF(ISNUMBER(SEARCH("包修",M455)),"【购机】"&amp;MID(M455,SEARCH("购机",M455)+LEN("购机"),LEN(M455)),IF(ISNUMBER(SEARCH("叠放支架",M455)),"【赠品】"&amp;MID(M455,SEARCH("购机",M455)+LEN("购机"),LEN(M455)),IF(ISNUMBER(SEARCH("秀图",M455)),"【秀图】"&amp;MID(M455,SEARCH("秀图",M455)+LEN("秀图"),LEN(M455)),"")))),IFERROR(LEFT(_xlpm.A,FIND("【",_xlpm.A,FIND("】",_xlpm.A)+1)-1)&amp;MID(_xlpm.A,FIND("】",_xlpm.A,FIND("】",_xlpm.A)+1)+1,LEN(_xlpm.A)),_xlpm.A))</f>
        <v/>
      </c>
      <c r="I455" s="18" t="str">
        <f>_xlfn.LET(_xlpm.A,IF(ISNUMBER(SEARCH("晒单",N455)),"【晒单】"&amp;MID(N455,SEARCH("晒单",N455)+LEN("晒单"),LEN(N455))&amp;"（需晒单后联系客服登记）",IF(ISNUMBER(SEARCH("包修",N455)),"【购机】"&amp;MID(N455,SEARCH("购机",N455)+LEN("购机"),LEN(N455)),IF(ISNUMBER(SEARCH("叠放支架",N455)),"【赠品】"&amp;MID(N455,SEARCH("购机",N455)+LEN("购机"),LEN(N455)),IF(ISNUMBER(SEARCH("秀图",N455)),"【秀图】"&amp;MID(N455,SEARCH("秀图",N455)+LEN("秀图"),LEN(N455)),"")))),IFERROR(LEFT(_xlpm.A,FIND("【",_xlpm.A,FIND("】",_xlpm.A)+1)-1)&amp;MID(_xlpm.A,FIND("】",_xlpm.A,FIND("】",_xlpm.A)+1)+1,LEN(_xlpm.A)),_xlpm.A))</f>
        <v/>
      </c>
      <c r="J455" s="18" t="str" cm="1">
        <f t="array" ref="J455">IFERROR(INDEX(_xlfn.TEXTSPLIT(_xlfn.XLOOKUP($A455&amp;$B455&amp;$C455,盘货信息!$A:$A&amp;盘货信息!$B:$B&amp;盘货信息!$C:$C,盘货信息!$S:$S),CHAR(10),,TRUE),1,COLUMN(A454)),"")</f>
        <v/>
      </c>
      <c r="K455" s="18" t="str" cm="1">
        <f t="array" ref="K455">IFERROR(INDEX(_xlfn.TEXTSPLIT(_xlfn.XLOOKUP($A455&amp;$B455&amp;$C455,盘货信息!$A:$A&amp;盘货信息!$B:$B&amp;盘货信息!$C:$C,盘货信息!$S:$S),CHAR(10),,TRUE),1,COLUMN(B454)),"")</f>
        <v/>
      </c>
      <c r="L455" s="18" t="str" cm="1">
        <f t="array" ref="L455">IFERROR(INDEX(_xlfn.TEXTSPLIT(_xlfn.XLOOKUP($A455&amp;$B455&amp;$C455,盘货信息!$A:$A&amp;盘货信息!$B:$B&amp;盘货信息!$C:$C,盘货信息!$S:$S),CHAR(10),,TRUE),1,COLUMN(C454)),"")</f>
        <v/>
      </c>
      <c r="M455" s="18" t="str" cm="1">
        <f t="array" ref="M455">IFERROR(INDEX(_xlfn.TEXTSPLIT(_xlfn.XLOOKUP($A455&amp;$B455&amp;$C455,盘货信息!$A:$A&amp;盘货信息!$B:$B&amp;盘货信息!$C:$C,盘货信息!$S:$S),CHAR(10),,TRUE),1,COLUMN(D454)),"")</f>
        <v/>
      </c>
      <c r="N455" s="18" t="str" cm="1">
        <f t="array" ref="N455">IFERROR(INDEX(_xlfn.TEXTSPLIT(_xlfn.XLOOKUP($A455&amp;$B455&amp;$C455,盘货信息!$A:$A&amp;盘货信息!$B:$B&amp;盘货信息!$C:$C,盘货信息!$S:$S),CHAR(10),,TRUE),1,COLUMN(E454)),"")</f>
        <v/>
      </c>
    </row>
    <row r="456" customHeight="1" spans="1:14">
      <c r="A456" s="17" t="str">
        <f>IF(盘货信息!A456="","",盘货信息!A456)</f>
        <v/>
      </c>
      <c r="B456" s="17" t="str">
        <f>IF(盘货信息!B456="","",盘货信息!B456)</f>
        <v/>
      </c>
      <c r="C456" s="18" t="str">
        <f>IF(盘货信息!C456="","",盘货信息!C456)</f>
        <v/>
      </c>
      <c r="D456" s="18" t="str">
        <f t="shared" si="7"/>
        <v/>
      </c>
      <c r="E456" s="18" t="str">
        <f>_xlfn.LET(_xlpm.A,IF(ISNUMBER(SEARCH("晒单",J456)),"【晒单】"&amp;MID(J456,SEARCH("晒单",J456)+LEN("晒单"),LEN(J456))&amp;"（需晒单后联系客服登记）",IF(ISNUMBER(SEARCH("包修",J456)),"【购机】"&amp;MID(J456,SEARCH("购机",J456)+LEN("购机"),LEN(J456)),IF(ISNUMBER(SEARCH("叠放支架",J456)),"【赠品】"&amp;MID(J456,SEARCH("购机",J456)+LEN("购机"),LEN(J456)),IF(ISNUMBER(SEARCH("秀图",J456)),"【秀图】"&amp;MID(J456,SEARCH("秀图",J456)+LEN("秀图"),LEN(J456)),"")))),IFERROR(LEFT(_xlpm.A,FIND("【",_xlpm.A,FIND("】",_xlpm.A)+1)-1)&amp;MID(_xlpm.A,FIND("】",_xlpm.A,FIND("】",_xlpm.A)+1)+1,LEN(_xlpm.A)),_xlpm.A))</f>
        <v/>
      </c>
      <c r="F456" s="18" t="str">
        <f>_xlfn.LET(_xlpm.A,IF(ISNUMBER(SEARCH("晒单",K456)),"【晒单】"&amp;MID(K456,SEARCH("晒单",K456)+LEN("晒单"),LEN(K456))&amp;"（需晒单后联系客服登记）",IF(ISNUMBER(SEARCH("包修",K456)),"【购机】"&amp;MID(K456,SEARCH("购机",K456)+LEN("购机"),LEN(K456)),IF(ISNUMBER(SEARCH("叠放支架",K456)),"【赠品】"&amp;MID(K456,SEARCH("购机",K456)+LEN("购机"),LEN(K456)),IF(ISNUMBER(SEARCH("秀图",K456)),"【秀图】"&amp;MID(K456,SEARCH("秀图",K456)+LEN("秀图"),LEN(K456)),"")))),IFERROR(LEFT(_xlpm.A,FIND("【",_xlpm.A,FIND("】",_xlpm.A)+1)-1)&amp;MID(_xlpm.A,FIND("】",_xlpm.A,FIND("】",_xlpm.A)+1)+1,LEN(_xlpm.A)),_xlpm.A))</f>
        <v/>
      </c>
      <c r="G456" s="18" t="str">
        <f>_xlfn.LET(_xlpm.A,IF(ISNUMBER(SEARCH("晒单",L456)),"【晒单】"&amp;MID(L456,SEARCH("晒单",L456)+LEN("晒单"),LEN(L456))&amp;"（需晒单后联系客服登记）",IF(ISNUMBER(SEARCH("包修",L456)),"【购机】"&amp;MID(L456,SEARCH("购机",L456)+LEN("购机"),LEN(L456)),IF(ISNUMBER(SEARCH("叠放支架",L456)),"【赠品】"&amp;MID(L456,SEARCH("购机",L456)+LEN("购机"),LEN(L456)),IF(ISNUMBER(SEARCH("秀图",L456)),"【秀图】"&amp;MID(L456,SEARCH("秀图",L456)+LEN("秀图"),LEN(L456)),"")))),IFERROR(LEFT(_xlpm.A,FIND("【",_xlpm.A,FIND("】",_xlpm.A)+1)-1)&amp;MID(_xlpm.A,FIND("】",_xlpm.A,FIND("】",_xlpm.A)+1)+1,LEN(_xlpm.A)),_xlpm.A))</f>
        <v/>
      </c>
      <c r="H456" s="18" t="str">
        <f>_xlfn.LET(_xlpm.A,IF(ISNUMBER(SEARCH("晒单",M456)),"【晒单】"&amp;MID(M456,SEARCH("晒单",M456)+LEN("晒单"),LEN(M456))&amp;"（需晒单后联系客服登记）",IF(ISNUMBER(SEARCH("包修",M456)),"【购机】"&amp;MID(M456,SEARCH("购机",M456)+LEN("购机"),LEN(M456)),IF(ISNUMBER(SEARCH("叠放支架",M456)),"【赠品】"&amp;MID(M456,SEARCH("购机",M456)+LEN("购机"),LEN(M456)),IF(ISNUMBER(SEARCH("秀图",M456)),"【秀图】"&amp;MID(M456,SEARCH("秀图",M456)+LEN("秀图"),LEN(M456)),"")))),IFERROR(LEFT(_xlpm.A,FIND("【",_xlpm.A,FIND("】",_xlpm.A)+1)-1)&amp;MID(_xlpm.A,FIND("】",_xlpm.A,FIND("】",_xlpm.A)+1)+1,LEN(_xlpm.A)),_xlpm.A))</f>
        <v/>
      </c>
      <c r="I456" s="18" t="str">
        <f>_xlfn.LET(_xlpm.A,IF(ISNUMBER(SEARCH("晒单",N456)),"【晒单】"&amp;MID(N456,SEARCH("晒单",N456)+LEN("晒单"),LEN(N456))&amp;"（需晒单后联系客服登记）",IF(ISNUMBER(SEARCH("包修",N456)),"【购机】"&amp;MID(N456,SEARCH("购机",N456)+LEN("购机"),LEN(N456)),IF(ISNUMBER(SEARCH("叠放支架",N456)),"【赠品】"&amp;MID(N456,SEARCH("购机",N456)+LEN("购机"),LEN(N456)),IF(ISNUMBER(SEARCH("秀图",N456)),"【秀图】"&amp;MID(N456,SEARCH("秀图",N456)+LEN("秀图"),LEN(N456)),"")))),IFERROR(LEFT(_xlpm.A,FIND("【",_xlpm.A,FIND("】",_xlpm.A)+1)-1)&amp;MID(_xlpm.A,FIND("】",_xlpm.A,FIND("】",_xlpm.A)+1)+1,LEN(_xlpm.A)),_xlpm.A))</f>
        <v/>
      </c>
      <c r="J456" s="18" t="str" cm="1">
        <f t="array" ref="J456">IFERROR(INDEX(_xlfn.TEXTSPLIT(_xlfn.XLOOKUP($A456&amp;$B456&amp;$C456,盘货信息!$A:$A&amp;盘货信息!$B:$B&amp;盘货信息!$C:$C,盘货信息!$S:$S),CHAR(10),,TRUE),1,COLUMN(A455)),"")</f>
        <v/>
      </c>
      <c r="K456" s="18" t="str" cm="1">
        <f t="array" ref="K456">IFERROR(INDEX(_xlfn.TEXTSPLIT(_xlfn.XLOOKUP($A456&amp;$B456&amp;$C456,盘货信息!$A:$A&amp;盘货信息!$B:$B&amp;盘货信息!$C:$C,盘货信息!$S:$S),CHAR(10),,TRUE),1,COLUMN(B455)),"")</f>
        <v/>
      </c>
      <c r="L456" s="18" t="str" cm="1">
        <f t="array" ref="L456">IFERROR(INDEX(_xlfn.TEXTSPLIT(_xlfn.XLOOKUP($A456&amp;$B456&amp;$C456,盘货信息!$A:$A&amp;盘货信息!$B:$B&amp;盘货信息!$C:$C,盘货信息!$S:$S),CHAR(10),,TRUE),1,COLUMN(C455)),"")</f>
        <v/>
      </c>
      <c r="M456" s="18" t="str" cm="1">
        <f t="array" ref="M456">IFERROR(INDEX(_xlfn.TEXTSPLIT(_xlfn.XLOOKUP($A456&amp;$B456&amp;$C456,盘货信息!$A:$A&amp;盘货信息!$B:$B&amp;盘货信息!$C:$C,盘货信息!$S:$S),CHAR(10),,TRUE),1,COLUMN(D455)),"")</f>
        <v/>
      </c>
      <c r="N456" s="18" t="str" cm="1">
        <f t="array" ref="N456">IFERROR(INDEX(_xlfn.TEXTSPLIT(_xlfn.XLOOKUP($A456&amp;$B456&amp;$C456,盘货信息!$A:$A&amp;盘货信息!$B:$B&amp;盘货信息!$C:$C,盘货信息!$S:$S),CHAR(10),,TRUE),1,COLUMN(E455)),"")</f>
        <v/>
      </c>
    </row>
    <row r="457" customHeight="1" spans="1:14">
      <c r="A457" s="17" t="str">
        <f>IF(盘货信息!A457="","",盘货信息!A457)</f>
        <v/>
      </c>
      <c r="B457" s="17" t="str">
        <f>IF(盘货信息!B457="","",盘货信息!B457)</f>
        <v/>
      </c>
      <c r="C457" s="18" t="str">
        <f>IF(盘货信息!C457="","",盘货信息!C457)</f>
        <v/>
      </c>
      <c r="D457" s="18" t="str">
        <f t="shared" si="7"/>
        <v/>
      </c>
      <c r="E457" s="18" t="str">
        <f>_xlfn.LET(_xlpm.A,IF(ISNUMBER(SEARCH("晒单",J457)),"【晒单】"&amp;MID(J457,SEARCH("晒单",J457)+LEN("晒单"),LEN(J457))&amp;"（需晒单后联系客服登记）",IF(ISNUMBER(SEARCH("包修",J457)),"【购机】"&amp;MID(J457,SEARCH("购机",J457)+LEN("购机"),LEN(J457)),IF(ISNUMBER(SEARCH("叠放支架",J457)),"【赠品】"&amp;MID(J457,SEARCH("购机",J457)+LEN("购机"),LEN(J457)),IF(ISNUMBER(SEARCH("秀图",J457)),"【秀图】"&amp;MID(J457,SEARCH("秀图",J457)+LEN("秀图"),LEN(J457)),"")))),IFERROR(LEFT(_xlpm.A,FIND("【",_xlpm.A,FIND("】",_xlpm.A)+1)-1)&amp;MID(_xlpm.A,FIND("】",_xlpm.A,FIND("】",_xlpm.A)+1)+1,LEN(_xlpm.A)),_xlpm.A))</f>
        <v/>
      </c>
      <c r="F457" s="18" t="str">
        <f>_xlfn.LET(_xlpm.A,IF(ISNUMBER(SEARCH("晒单",K457)),"【晒单】"&amp;MID(K457,SEARCH("晒单",K457)+LEN("晒单"),LEN(K457))&amp;"（需晒单后联系客服登记）",IF(ISNUMBER(SEARCH("包修",K457)),"【购机】"&amp;MID(K457,SEARCH("购机",K457)+LEN("购机"),LEN(K457)),IF(ISNUMBER(SEARCH("叠放支架",K457)),"【赠品】"&amp;MID(K457,SEARCH("购机",K457)+LEN("购机"),LEN(K457)),IF(ISNUMBER(SEARCH("秀图",K457)),"【秀图】"&amp;MID(K457,SEARCH("秀图",K457)+LEN("秀图"),LEN(K457)),"")))),IFERROR(LEFT(_xlpm.A,FIND("【",_xlpm.A,FIND("】",_xlpm.A)+1)-1)&amp;MID(_xlpm.A,FIND("】",_xlpm.A,FIND("】",_xlpm.A)+1)+1,LEN(_xlpm.A)),_xlpm.A))</f>
        <v/>
      </c>
      <c r="G457" s="18" t="str">
        <f>_xlfn.LET(_xlpm.A,IF(ISNUMBER(SEARCH("晒单",L457)),"【晒单】"&amp;MID(L457,SEARCH("晒单",L457)+LEN("晒单"),LEN(L457))&amp;"（需晒单后联系客服登记）",IF(ISNUMBER(SEARCH("包修",L457)),"【购机】"&amp;MID(L457,SEARCH("购机",L457)+LEN("购机"),LEN(L457)),IF(ISNUMBER(SEARCH("叠放支架",L457)),"【赠品】"&amp;MID(L457,SEARCH("购机",L457)+LEN("购机"),LEN(L457)),IF(ISNUMBER(SEARCH("秀图",L457)),"【秀图】"&amp;MID(L457,SEARCH("秀图",L457)+LEN("秀图"),LEN(L457)),"")))),IFERROR(LEFT(_xlpm.A,FIND("【",_xlpm.A,FIND("】",_xlpm.A)+1)-1)&amp;MID(_xlpm.A,FIND("】",_xlpm.A,FIND("】",_xlpm.A)+1)+1,LEN(_xlpm.A)),_xlpm.A))</f>
        <v/>
      </c>
      <c r="H457" s="18" t="str">
        <f>_xlfn.LET(_xlpm.A,IF(ISNUMBER(SEARCH("晒单",M457)),"【晒单】"&amp;MID(M457,SEARCH("晒单",M457)+LEN("晒单"),LEN(M457))&amp;"（需晒单后联系客服登记）",IF(ISNUMBER(SEARCH("包修",M457)),"【购机】"&amp;MID(M457,SEARCH("购机",M457)+LEN("购机"),LEN(M457)),IF(ISNUMBER(SEARCH("叠放支架",M457)),"【赠品】"&amp;MID(M457,SEARCH("购机",M457)+LEN("购机"),LEN(M457)),IF(ISNUMBER(SEARCH("秀图",M457)),"【秀图】"&amp;MID(M457,SEARCH("秀图",M457)+LEN("秀图"),LEN(M457)),"")))),IFERROR(LEFT(_xlpm.A,FIND("【",_xlpm.A,FIND("】",_xlpm.A)+1)-1)&amp;MID(_xlpm.A,FIND("】",_xlpm.A,FIND("】",_xlpm.A)+1)+1,LEN(_xlpm.A)),_xlpm.A))</f>
        <v/>
      </c>
      <c r="I457" s="18" t="str">
        <f>_xlfn.LET(_xlpm.A,IF(ISNUMBER(SEARCH("晒单",N457)),"【晒单】"&amp;MID(N457,SEARCH("晒单",N457)+LEN("晒单"),LEN(N457))&amp;"（需晒单后联系客服登记）",IF(ISNUMBER(SEARCH("包修",N457)),"【购机】"&amp;MID(N457,SEARCH("购机",N457)+LEN("购机"),LEN(N457)),IF(ISNUMBER(SEARCH("叠放支架",N457)),"【赠品】"&amp;MID(N457,SEARCH("购机",N457)+LEN("购机"),LEN(N457)),IF(ISNUMBER(SEARCH("秀图",N457)),"【秀图】"&amp;MID(N457,SEARCH("秀图",N457)+LEN("秀图"),LEN(N457)),"")))),IFERROR(LEFT(_xlpm.A,FIND("【",_xlpm.A,FIND("】",_xlpm.A)+1)-1)&amp;MID(_xlpm.A,FIND("】",_xlpm.A,FIND("】",_xlpm.A)+1)+1,LEN(_xlpm.A)),_xlpm.A))</f>
        <v/>
      </c>
      <c r="J457" s="18" t="str" cm="1">
        <f t="array" ref="J457">IFERROR(INDEX(_xlfn.TEXTSPLIT(_xlfn.XLOOKUP($A457&amp;$B457&amp;$C457,盘货信息!$A:$A&amp;盘货信息!$B:$B&amp;盘货信息!$C:$C,盘货信息!$S:$S),CHAR(10),,TRUE),1,COLUMN(A456)),"")</f>
        <v/>
      </c>
      <c r="K457" s="18" t="str" cm="1">
        <f t="array" ref="K457">IFERROR(INDEX(_xlfn.TEXTSPLIT(_xlfn.XLOOKUP($A457&amp;$B457&amp;$C457,盘货信息!$A:$A&amp;盘货信息!$B:$B&amp;盘货信息!$C:$C,盘货信息!$S:$S),CHAR(10),,TRUE),1,COLUMN(B456)),"")</f>
        <v/>
      </c>
      <c r="L457" s="18" t="str" cm="1">
        <f t="array" ref="L457">IFERROR(INDEX(_xlfn.TEXTSPLIT(_xlfn.XLOOKUP($A457&amp;$B457&amp;$C457,盘货信息!$A:$A&amp;盘货信息!$B:$B&amp;盘货信息!$C:$C,盘货信息!$S:$S),CHAR(10),,TRUE),1,COLUMN(C456)),"")</f>
        <v/>
      </c>
      <c r="M457" s="18" t="str" cm="1">
        <f t="array" ref="M457">IFERROR(INDEX(_xlfn.TEXTSPLIT(_xlfn.XLOOKUP($A457&amp;$B457&amp;$C457,盘货信息!$A:$A&amp;盘货信息!$B:$B&amp;盘货信息!$C:$C,盘货信息!$S:$S),CHAR(10),,TRUE),1,COLUMN(D456)),"")</f>
        <v/>
      </c>
      <c r="N457" s="18" t="str" cm="1">
        <f t="array" ref="N457">IFERROR(INDEX(_xlfn.TEXTSPLIT(_xlfn.XLOOKUP($A457&amp;$B457&amp;$C457,盘货信息!$A:$A&amp;盘货信息!$B:$B&amp;盘货信息!$C:$C,盘货信息!$S:$S),CHAR(10),,TRUE),1,COLUMN(E456)),"")</f>
        <v/>
      </c>
    </row>
    <row r="458" customHeight="1" spans="1:14">
      <c r="A458" s="17" t="str">
        <f>IF(盘货信息!A458="","",盘货信息!A458)</f>
        <v/>
      </c>
      <c r="B458" s="17" t="str">
        <f>IF(盘货信息!B458="","",盘货信息!B458)</f>
        <v/>
      </c>
      <c r="C458" s="18" t="str">
        <f>IF(盘货信息!C458="","",盘货信息!C458)</f>
        <v/>
      </c>
      <c r="D458" s="18" t="str">
        <f t="shared" si="7"/>
        <v/>
      </c>
      <c r="E458" s="18" t="str">
        <f>_xlfn.LET(_xlpm.A,IF(ISNUMBER(SEARCH("晒单",J458)),"【晒单】"&amp;MID(J458,SEARCH("晒单",J458)+LEN("晒单"),LEN(J458))&amp;"（需晒单后联系客服登记）",IF(ISNUMBER(SEARCH("包修",J458)),"【购机】"&amp;MID(J458,SEARCH("购机",J458)+LEN("购机"),LEN(J458)),IF(ISNUMBER(SEARCH("叠放支架",J458)),"【赠品】"&amp;MID(J458,SEARCH("购机",J458)+LEN("购机"),LEN(J458)),IF(ISNUMBER(SEARCH("秀图",J458)),"【秀图】"&amp;MID(J458,SEARCH("秀图",J458)+LEN("秀图"),LEN(J458)),"")))),IFERROR(LEFT(_xlpm.A,FIND("【",_xlpm.A,FIND("】",_xlpm.A)+1)-1)&amp;MID(_xlpm.A,FIND("】",_xlpm.A,FIND("】",_xlpm.A)+1)+1,LEN(_xlpm.A)),_xlpm.A))</f>
        <v/>
      </c>
      <c r="F458" s="18" t="str">
        <f>_xlfn.LET(_xlpm.A,IF(ISNUMBER(SEARCH("晒单",K458)),"【晒单】"&amp;MID(K458,SEARCH("晒单",K458)+LEN("晒单"),LEN(K458))&amp;"（需晒单后联系客服登记）",IF(ISNUMBER(SEARCH("包修",K458)),"【购机】"&amp;MID(K458,SEARCH("购机",K458)+LEN("购机"),LEN(K458)),IF(ISNUMBER(SEARCH("叠放支架",K458)),"【赠品】"&amp;MID(K458,SEARCH("购机",K458)+LEN("购机"),LEN(K458)),IF(ISNUMBER(SEARCH("秀图",K458)),"【秀图】"&amp;MID(K458,SEARCH("秀图",K458)+LEN("秀图"),LEN(K458)),"")))),IFERROR(LEFT(_xlpm.A,FIND("【",_xlpm.A,FIND("】",_xlpm.A)+1)-1)&amp;MID(_xlpm.A,FIND("】",_xlpm.A,FIND("】",_xlpm.A)+1)+1,LEN(_xlpm.A)),_xlpm.A))</f>
        <v/>
      </c>
      <c r="G458" s="18" t="str">
        <f>_xlfn.LET(_xlpm.A,IF(ISNUMBER(SEARCH("晒单",L458)),"【晒单】"&amp;MID(L458,SEARCH("晒单",L458)+LEN("晒单"),LEN(L458))&amp;"（需晒单后联系客服登记）",IF(ISNUMBER(SEARCH("包修",L458)),"【购机】"&amp;MID(L458,SEARCH("购机",L458)+LEN("购机"),LEN(L458)),IF(ISNUMBER(SEARCH("叠放支架",L458)),"【赠品】"&amp;MID(L458,SEARCH("购机",L458)+LEN("购机"),LEN(L458)),IF(ISNUMBER(SEARCH("秀图",L458)),"【秀图】"&amp;MID(L458,SEARCH("秀图",L458)+LEN("秀图"),LEN(L458)),"")))),IFERROR(LEFT(_xlpm.A,FIND("【",_xlpm.A,FIND("】",_xlpm.A)+1)-1)&amp;MID(_xlpm.A,FIND("】",_xlpm.A,FIND("】",_xlpm.A)+1)+1,LEN(_xlpm.A)),_xlpm.A))</f>
        <v/>
      </c>
      <c r="H458" s="18" t="str">
        <f>_xlfn.LET(_xlpm.A,IF(ISNUMBER(SEARCH("晒单",M458)),"【晒单】"&amp;MID(M458,SEARCH("晒单",M458)+LEN("晒单"),LEN(M458))&amp;"（需晒单后联系客服登记）",IF(ISNUMBER(SEARCH("包修",M458)),"【购机】"&amp;MID(M458,SEARCH("购机",M458)+LEN("购机"),LEN(M458)),IF(ISNUMBER(SEARCH("叠放支架",M458)),"【赠品】"&amp;MID(M458,SEARCH("购机",M458)+LEN("购机"),LEN(M458)),IF(ISNUMBER(SEARCH("秀图",M458)),"【秀图】"&amp;MID(M458,SEARCH("秀图",M458)+LEN("秀图"),LEN(M458)),"")))),IFERROR(LEFT(_xlpm.A,FIND("【",_xlpm.A,FIND("】",_xlpm.A)+1)-1)&amp;MID(_xlpm.A,FIND("】",_xlpm.A,FIND("】",_xlpm.A)+1)+1,LEN(_xlpm.A)),_xlpm.A))</f>
        <v/>
      </c>
      <c r="I458" s="18" t="str">
        <f>_xlfn.LET(_xlpm.A,IF(ISNUMBER(SEARCH("晒单",N458)),"【晒单】"&amp;MID(N458,SEARCH("晒单",N458)+LEN("晒单"),LEN(N458))&amp;"（需晒单后联系客服登记）",IF(ISNUMBER(SEARCH("包修",N458)),"【购机】"&amp;MID(N458,SEARCH("购机",N458)+LEN("购机"),LEN(N458)),IF(ISNUMBER(SEARCH("叠放支架",N458)),"【赠品】"&amp;MID(N458,SEARCH("购机",N458)+LEN("购机"),LEN(N458)),IF(ISNUMBER(SEARCH("秀图",N458)),"【秀图】"&amp;MID(N458,SEARCH("秀图",N458)+LEN("秀图"),LEN(N458)),"")))),IFERROR(LEFT(_xlpm.A,FIND("【",_xlpm.A,FIND("】",_xlpm.A)+1)-1)&amp;MID(_xlpm.A,FIND("】",_xlpm.A,FIND("】",_xlpm.A)+1)+1,LEN(_xlpm.A)),_xlpm.A))</f>
        <v/>
      </c>
      <c r="J458" s="18" t="str" cm="1">
        <f t="array" ref="J458">IFERROR(INDEX(_xlfn.TEXTSPLIT(_xlfn.XLOOKUP($A458&amp;$B458&amp;$C458,盘货信息!$A:$A&amp;盘货信息!$B:$B&amp;盘货信息!$C:$C,盘货信息!$S:$S),CHAR(10),,TRUE),1,COLUMN(A457)),"")</f>
        <v/>
      </c>
      <c r="K458" s="18" t="str" cm="1">
        <f t="array" ref="K458">IFERROR(INDEX(_xlfn.TEXTSPLIT(_xlfn.XLOOKUP($A458&amp;$B458&amp;$C458,盘货信息!$A:$A&amp;盘货信息!$B:$B&amp;盘货信息!$C:$C,盘货信息!$S:$S),CHAR(10),,TRUE),1,COLUMN(B457)),"")</f>
        <v/>
      </c>
      <c r="L458" s="18" t="str" cm="1">
        <f t="array" ref="L458">IFERROR(INDEX(_xlfn.TEXTSPLIT(_xlfn.XLOOKUP($A458&amp;$B458&amp;$C458,盘货信息!$A:$A&amp;盘货信息!$B:$B&amp;盘货信息!$C:$C,盘货信息!$S:$S),CHAR(10),,TRUE),1,COLUMN(C457)),"")</f>
        <v/>
      </c>
      <c r="M458" s="18" t="str" cm="1">
        <f t="array" ref="M458">IFERROR(INDEX(_xlfn.TEXTSPLIT(_xlfn.XLOOKUP($A458&amp;$B458&amp;$C458,盘货信息!$A:$A&amp;盘货信息!$B:$B&amp;盘货信息!$C:$C,盘货信息!$S:$S),CHAR(10),,TRUE),1,COLUMN(D457)),"")</f>
        <v/>
      </c>
      <c r="N458" s="18" t="str" cm="1">
        <f t="array" ref="N458">IFERROR(INDEX(_xlfn.TEXTSPLIT(_xlfn.XLOOKUP($A458&amp;$B458&amp;$C458,盘货信息!$A:$A&amp;盘货信息!$B:$B&amp;盘货信息!$C:$C,盘货信息!$S:$S),CHAR(10),,TRUE),1,COLUMN(E457)),"")</f>
        <v/>
      </c>
    </row>
    <row r="459" customHeight="1" spans="1:14">
      <c r="A459" s="17" t="str">
        <f>IF(盘货信息!A459="","",盘货信息!A459)</f>
        <v/>
      </c>
      <c r="B459" s="17" t="str">
        <f>IF(盘货信息!B459="","",盘货信息!B459)</f>
        <v/>
      </c>
      <c r="C459" s="18" t="str">
        <f>IF(盘货信息!C459="","",盘货信息!C459)</f>
        <v/>
      </c>
      <c r="D459" s="18" t="str">
        <f t="shared" si="7"/>
        <v/>
      </c>
      <c r="E459" s="18" t="str">
        <f>_xlfn.LET(_xlpm.A,IF(ISNUMBER(SEARCH("晒单",J459)),"【晒单】"&amp;MID(J459,SEARCH("晒单",J459)+LEN("晒单"),LEN(J459))&amp;"（需晒单后联系客服登记）",IF(ISNUMBER(SEARCH("包修",J459)),"【购机】"&amp;MID(J459,SEARCH("购机",J459)+LEN("购机"),LEN(J459)),IF(ISNUMBER(SEARCH("叠放支架",J459)),"【赠品】"&amp;MID(J459,SEARCH("购机",J459)+LEN("购机"),LEN(J459)),IF(ISNUMBER(SEARCH("秀图",J459)),"【秀图】"&amp;MID(J459,SEARCH("秀图",J459)+LEN("秀图"),LEN(J459)),"")))),IFERROR(LEFT(_xlpm.A,FIND("【",_xlpm.A,FIND("】",_xlpm.A)+1)-1)&amp;MID(_xlpm.A,FIND("】",_xlpm.A,FIND("】",_xlpm.A)+1)+1,LEN(_xlpm.A)),_xlpm.A))</f>
        <v/>
      </c>
      <c r="F459" s="18" t="str">
        <f>_xlfn.LET(_xlpm.A,IF(ISNUMBER(SEARCH("晒单",K459)),"【晒单】"&amp;MID(K459,SEARCH("晒单",K459)+LEN("晒单"),LEN(K459))&amp;"（需晒单后联系客服登记）",IF(ISNUMBER(SEARCH("包修",K459)),"【购机】"&amp;MID(K459,SEARCH("购机",K459)+LEN("购机"),LEN(K459)),IF(ISNUMBER(SEARCH("叠放支架",K459)),"【赠品】"&amp;MID(K459,SEARCH("购机",K459)+LEN("购机"),LEN(K459)),IF(ISNUMBER(SEARCH("秀图",K459)),"【秀图】"&amp;MID(K459,SEARCH("秀图",K459)+LEN("秀图"),LEN(K459)),"")))),IFERROR(LEFT(_xlpm.A,FIND("【",_xlpm.A,FIND("】",_xlpm.A)+1)-1)&amp;MID(_xlpm.A,FIND("】",_xlpm.A,FIND("】",_xlpm.A)+1)+1,LEN(_xlpm.A)),_xlpm.A))</f>
        <v/>
      </c>
      <c r="G459" s="18" t="str">
        <f>_xlfn.LET(_xlpm.A,IF(ISNUMBER(SEARCH("晒单",L459)),"【晒单】"&amp;MID(L459,SEARCH("晒单",L459)+LEN("晒单"),LEN(L459))&amp;"（需晒单后联系客服登记）",IF(ISNUMBER(SEARCH("包修",L459)),"【购机】"&amp;MID(L459,SEARCH("购机",L459)+LEN("购机"),LEN(L459)),IF(ISNUMBER(SEARCH("叠放支架",L459)),"【赠品】"&amp;MID(L459,SEARCH("购机",L459)+LEN("购机"),LEN(L459)),IF(ISNUMBER(SEARCH("秀图",L459)),"【秀图】"&amp;MID(L459,SEARCH("秀图",L459)+LEN("秀图"),LEN(L459)),"")))),IFERROR(LEFT(_xlpm.A,FIND("【",_xlpm.A,FIND("】",_xlpm.A)+1)-1)&amp;MID(_xlpm.A,FIND("】",_xlpm.A,FIND("】",_xlpm.A)+1)+1,LEN(_xlpm.A)),_xlpm.A))</f>
        <v/>
      </c>
      <c r="H459" s="18" t="str">
        <f>_xlfn.LET(_xlpm.A,IF(ISNUMBER(SEARCH("晒单",M459)),"【晒单】"&amp;MID(M459,SEARCH("晒单",M459)+LEN("晒单"),LEN(M459))&amp;"（需晒单后联系客服登记）",IF(ISNUMBER(SEARCH("包修",M459)),"【购机】"&amp;MID(M459,SEARCH("购机",M459)+LEN("购机"),LEN(M459)),IF(ISNUMBER(SEARCH("叠放支架",M459)),"【赠品】"&amp;MID(M459,SEARCH("购机",M459)+LEN("购机"),LEN(M459)),IF(ISNUMBER(SEARCH("秀图",M459)),"【秀图】"&amp;MID(M459,SEARCH("秀图",M459)+LEN("秀图"),LEN(M459)),"")))),IFERROR(LEFT(_xlpm.A,FIND("【",_xlpm.A,FIND("】",_xlpm.A)+1)-1)&amp;MID(_xlpm.A,FIND("】",_xlpm.A,FIND("】",_xlpm.A)+1)+1,LEN(_xlpm.A)),_xlpm.A))</f>
        <v/>
      </c>
      <c r="I459" s="18" t="str">
        <f>_xlfn.LET(_xlpm.A,IF(ISNUMBER(SEARCH("晒单",N459)),"【晒单】"&amp;MID(N459,SEARCH("晒单",N459)+LEN("晒单"),LEN(N459))&amp;"（需晒单后联系客服登记）",IF(ISNUMBER(SEARCH("包修",N459)),"【购机】"&amp;MID(N459,SEARCH("购机",N459)+LEN("购机"),LEN(N459)),IF(ISNUMBER(SEARCH("叠放支架",N459)),"【赠品】"&amp;MID(N459,SEARCH("购机",N459)+LEN("购机"),LEN(N459)),IF(ISNUMBER(SEARCH("秀图",N459)),"【秀图】"&amp;MID(N459,SEARCH("秀图",N459)+LEN("秀图"),LEN(N459)),"")))),IFERROR(LEFT(_xlpm.A,FIND("【",_xlpm.A,FIND("】",_xlpm.A)+1)-1)&amp;MID(_xlpm.A,FIND("】",_xlpm.A,FIND("】",_xlpm.A)+1)+1,LEN(_xlpm.A)),_xlpm.A))</f>
        <v/>
      </c>
      <c r="J459" s="18" t="str" cm="1">
        <f t="array" ref="J459">IFERROR(INDEX(_xlfn.TEXTSPLIT(_xlfn.XLOOKUP($A459&amp;$B459&amp;$C459,盘货信息!$A:$A&amp;盘货信息!$B:$B&amp;盘货信息!$C:$C,盘货信息!$S:$S),CHAR(10),,TRUE),1,COLUMN(A458)),"")</f>
        <v/>
      </c>
      <c r="K459" s="18" t="str" cm="1">
        <f t="array" ref="K459">IFERROR(INDEX(_xlfn.TEXTSPLIT(_xlfn.XLOOKUP($A459&amp;$B459&amp;$C459,盘货信息!$A:$A&amp;盘货信息!$B:$B&amp;盘货信息!$C:$C,盘货信息!$S:$S),CHAR(10),,TRUE),1,COLUMN(B458)),"")</f>
        <v/>
      </c>
      <c r="L459" s="18" t="str" cm="1">
        <f t="array" ref="L459">IFERROR(INDEX(_xlfn.TEXTSPLIT(_xlfn.XLOOKUP($A459&amp;$B459&amp;$C459,盘货信息!$A:$A&amp;盘货信息!$B:$B&amp;盘货信息!$C:$C,盘货信息!$S:$S),CHAR(10),,TRUE),1,COLUMN(C458)),"")</f>
        <v/>
      </c>
      <c r="M459" s="18" t="str" cm="1">
        <f t="array" ref="M459">IFERROR(INDEX(_xlfn.TEXTSPLIT(_xlfn.XLOOKUP($A459&amp;$B459&amp;$C459,盘货信息!$A:$A&amp;盘货信息!$B:$B&amp;盘货信息!$C:$C,盘货信息!$S:$S),CHAR(10),,TRUE),1,COLUMN(D458)),"")</f>
        <v/>
      </c>
      <c r="N459" s="18" t="str" cm="1">
        <f t="array" ref="N459">IFERROR(INDEX(_xlfn.TEXTSPLIT(_xlfn.XLOOKUP($A459&amp;$B459&amp;$C459,盘货信息!$A:$A&amp;盘货信息!$B:$B&amp;盘货信息!$C:$C,盘货信息!$S:$S),CHAR(10),,TRUE),1,COLUMN(E458)),"")</f>
        <v/>
      </c>
    </row>
    <row r="460" customHeight="1" spans="1:14">
      <c r="A460" s="17" t="str">
        <f>IF(盘货信息!A460="","",盘货信息!A460)</f>
        <v/>
      </c>
      <c r="B460" s="17" t="str">
        <f>IF(盘货信息!B460="","",盘货信息!B460)</f>
        <v/>
      </c>
      <c r="C460" s="18" t="str">
        <f>IF(盘货信息!C460="","",盘货信息!C460)</f>
        <v/>
      </c>
      <c r="D460" s="18" t="str">
        <f t="shared" si="7"/>
        <v/>
      </c>
      <c r="E460" s="18" t="str">
        <f>_xlfn.LET(_xlpm.A,IF(ISNUMBER(SEARCH("晒单",J460)),"【晒单】"&amp;MID(J460,SEARCH("晒单",J460)+LEN("晒单"),LEN(J460))&amp;"（需晒单后联系客服登记）",IF(ISNUMBER(SEARCH("包修",J460)),"【购机】"&amp;MID(J460,SEARCH("购机",J460)+LEN("购机"),LEN(J460)),IF(ISNUMBER(SEARCH("叠放支架",J460)),"【赠品】"&amp;MID(J460,SEARCH("购机",J460)+LEN("购机"),LEN(J460)),IF(ISNUMBER(SEARCH("秀图",J460)),"【秀图】"&amp;MID(J460,SEARCH("秀图",J460)+LEN("秀图"),LEN(J460)),"")))),IFERROR(LEFT(_xlpm.A,FIND("【",_xlpm.A,FIND("】",_xlpm.A)+1)-1)&amp;MID(_xlpm.A,FIND("】",_xlpm.A,FIND("】",_xlpm.A)+1)+1,LEN(_xlpm.A)),_xlpm.A))</f>
        <v/>
      </c>
      <c r="F460" s="18" t="str">
        <f>_xlfn.LET(_xlpm.A,IF(ISNUMBER(SEARCH("晒单",K460)),"【晒单】"&amp;MID(K460,SEARCH("晒单",K460)+LEN("晒单"),LEN(K460))&amp;"（需晒单后联系客服登记）",IF(ISNUMBER(SEARCH("包修",K460)),"【购机】"&amp;MID(K460,SEARCH("购机",K460)+LEN("购机"),LEN(K460)),IF(ISNUMBER(SEARCH("叠放支架",K460)),"【赠品】"&amp;MID(K460,SEARCH("购机",K460)+LEN("购机"),LEN(K460)),IF(ISNUMBER(SEARCH("秀图",K460)),"【秀图】"&amp;MID(K460,SEARCH("秀图",K460)+LEN("秀图"),LEN(K460)),"")))),IFERROR(LEFT(_xlpm.A,FIND("【",_xlpm.A,FIND("】",_xlpm.A)+1)-1)&amp;MID(_xlpm.A,FIND("】",_xlpm.A,FIND("】",_xlpm.A)+1)+1,LEN(_xlpm.A)),_xlpm.A))</f>
        <v/>
      </c>
      <c r="G460" s="18" t="str">
        <f>_xlfn.LET(_xlpm.A,IF(ISNUMBER(SEARCH("晒单",L460)),"【晒单】"&amp;MID(L460,SEARCH("晒单",L460)+LEN("晒单"),LEN(L460))&amp;"（需晒单后联系客服登记）",IF(ISNUMBER(SEARCH("包修",L460)),"【购机】"&amp;MID(L460,SEARCH("购机",L460)+LEN("购机"),LEN(L460)),IF(ISNUMBER(SEARCH("叠放支架",L460)),"【赠品】"&amp;MID(L460,SEARCH("购机",L460)+LEN("购机"),LEN(L460)),IF(ISNUMBER(SEARCH("秀图",L460)),"【秀图】"&amp;MID(L460,SEARCH("秀图",L460)+LEN("秀图"),LEN(L460)),"")))),IFERROR(LEFT(_xlpm.A,FIND("【",_xlpm.A,FIND("】",_xlpm.A)+1)-1)&amp;MID(_xlpm.A,FIND("】",_xlpm.A,FIND("】",_xlpm.A)+1)+1,LEN(_xlpm.A)),_xlpm.A))</f>
        <v/>
      </c>
      <c r="H460" s="18" t="str">
        <f>_xlfn.LET(_xlpm.A,IF(ISNUMBER(SEARCH("晒单",M460)),"【晒单】"&amp;MID(M460,SEARCH("晒单",M460)+LEN("晒单"),LEN(M460))&amp;"（需晒单后联系客服登记）",IF(ISNUMBER(SEARCH("包修",M460)),"【购机】"&amp;MID(M460,SEARCH("购机",M460)+LEN("购机"),LEN(M460)),IF(ISNUMBER(SEARCH("叠放支架",M460)),"【赠品】"&amp;MID(M460,SEARCH("购机",M460)+LEN("购机"),LEN(M460)),IF(ISNUMBER(SEARCH("秀图",M460)),"【秀图】"&amp;MID(M460,SEARCH("秀图",M460)+LEN("秀图"),LEN(M460)),"")))),IFERROR(LEFT(_xlpm.A,FIND("【",_xlpm.A,FIND("】",_xlpm.A)+1)-1)&amp;MID(_xlpm.A,FIND("】",_xlpm.A,FIND("】",_xlpm.A)+1)+1,LEN(_xlpm.A)),_xlpm.A))</f>
        <v/>
      </c>
      <c r="I460" s="18" t="str">
        <f>_xlfn.LET(_xlpm.A,IF(ISNUMBER(SEARCH("晒单",N460)),"【晒单】"&amp;MID(N460,SEARCH("晒单",N460)+LEN("晒单"),LEN(N460))&amp;"（需晒单后联系客服登记）",IF(ISNUMBER(SEARCH("包修",N460)),"【购机】"&amp;MID(N460,SEARCH("购机",N460)+LEN("购机"),LEN(N460)),IF(ISNUMBER(SEARCH("叠放支架",N460)),"【赠品】"&amp;MID(N460,SEARCH("购机",N460)+LEN("购机"),LEN(N460)),IF(ISNUMBER(SEARCH("秀图",N460)),"【秀图】"&amp;MID(N460,SEARCH("秀图",N460)+LEN("秀图"),LEN(N460)),"")))),IFERROR(LEFT(_xlpm.A,FIND("【",_xlpm.A,FIND("】",_xlpm.A)+1)-1)&amp;MID(_xlpm.A,FIND("】",_xlpm.A,FIND("】",_xlpm.A)+1)+1,LEN(_xlpm.A)),_xlpm.A))</f>
        <v/>
      </c>
      <c r="J460" s="18" t="str" cm="1">
        <f t="array" ref="J460">IFERROR(INDEX(_xlfn.TEXTSPLIT(_xlfn.XLOOKUP($A460&amp;$B460&amp;$C460,盘货信息!$A:$A&amp;盘货信息!$B:$B&amp;盘货信息!$C:$C,盘货信息!$S:$S),CHAR(10),,TRUE),1,COLUMN(A459)),"")</f>
        <v/>
      </c>
      <c r="K460" s="18" t="str" cm="1">
        <f t="array" ref="K460">IFERROR(INDEX(_xlfn.TEXTSPLIT(_xlfn.XLOOKUP($A460&amp;$B460&amp;$C460,盘货信息!$A:$A&amp;盘货信息!$B:$B&amp;盘货信息!$C:$C,盘货信息!$S:$S),CHAR(10),,TRUE),1,COLUMN(B459)),"")</f>
        <v/>
      </c>
      <c r="L460" s="18" t="str" cm="1">
        <f t="array" ref="L460">IFERROR(INDEX(_xlfn.TEXTSPLIT(_xlfn.XLOOKUP($A460&amp;$B460&amp;$C460,盘货信息!$A:$A&amp;盘货信息!$B:$B&amp;盘货信息!$C:$C,盘货信息!$S:$S),CHAR(10),,TRUE),1,COLUMN(C459)),"")</f>
        <v/>
      </c>
      <c r="M460" s="18" t="str" cm="1">
        <f t="array" ref="M460">IFERROR(INDEX(_xlfn.TEXTSPLIT(_xlfn.XLOOKUP($A460&amp;$B460&amp;$C460,盘货信息!$A:$A&amp;盘货信息!$B:$B&amp;盘货信息!$C:$C,盘货信息!$S:$S),CHAR(10),,TRUE),1,COLUMN(D459)),"")</f>
        <v/>
      </c>
      <c r="N460" s="18" t="str" cm="1">
        <f t="array" ref="N460">IFERROR(INDEX(_xlfn.TEXTSPLIT(_xlfn.XLOOKUP($A460&amp;$B460&amp;$C460,盘货信息!$A:$A&amp;盘货信息!$B:$B&amp;盘货信息!$C:$C,盘货信息!$S:$S),CHAR(10),,TRUE),1,COLUMN(E459)),"")</f>
        <v/>
      </c>
    </row>
    <row r="461" customHeight="1" spans="1:14">
      <c r="A461" s="17" t="str">
        <f>IF(盘货信息!A461="","",盘货信息!A461)</f>
        <v/>
      </c>
      <c r="B461" s="17" t="str">
        <f>IF(盘货信息!B461="","",盘货信息!B461)</f>
        <v/>
      </c>
      <c r="C461" s="18" t="str">
        <f>IF(盘货信息!C461="","",盘货信息!C461)</f>
        <v/>
      </c>
      <c r="D461" s="18" t="str">
        <f t="shared" si="7"/>
        <v/>
      </c>
      <c r="E461" s="18" t="str">
        <f>_xlfn.LET(_xlpm.A,IF(ISNUMBER(SEARCH("晒单",J461)),"【晒单】"&amp;MID(J461,SEARCH("晒单",J461)+LEN("晒单"),LEN(J461))&amp;"（需晒单后联系客服登记）",IF(ISNUMBER(SEARCH("包修",J461)),"【购机】"&amp;MID(J461,SEARCH("购机",J461)+LEN("购机"),LEN(J461)),IF(ISNUMBER(SEARCH("叠放支架",J461)),"【赠品】"&amp;MID(J461,SEARCH("购机",J461)+LEN("购机"),LEN(J461)),IF(ISNUMBER(SEARCH("秀图",J461)),"【秀图】"&amp;MID(J461,SEARCH("秀图",J461)+LEN("秀图"),LEN(J461)),"")))),IFERROR(LEFT(_xlpm.A,FIND("【",_xlpm.A,FIND("】",_xlpm.A)+1)-1)&amp;MID(_xlpm.A,FIND("】",_xlpm.A,FIND("】",_xlpm.A)+1)+1,LEN(_xlpm.A)),_xlpm.A))</f>
        <v/>
      </c>
      <c r="F461" s="18" t="str">
        <f>_xlfn.LET(_xlpm.A,IF(ISNUMBER(SEARCH("晒单",K461)),"【晒单】"&amp;MID(K461,SEARCH("晒单",K461)+LEN("晒单"),LEN(K461))&amp;"（需晒单后联系客服登记）",IF(ISNUMBER(SEARCH("包修",K461)),"【购机】"&amp;MID(K461,SEARCH("购机",K461)+LEN("购机"),LEN(K461)),IF(ISNUMBER(SEARCH("叠放支架",K461)),"【赠品】"&amp;MID(K461,SEARCH("购机",K461)+LEN("购机"),LEN(K461)),IF(ISNUMBER(SEARCH("秀图",K461)),"【秀图】"&amp;MID(K461,SEARCH("秀图",K461)+LEN("秀图"),LEN(K461)),"")))),IFERROR(LEFT(_xlpm.A,FIND("【",_xlpm.A,FIND("】",_xlpm.A)+1)-1)&amp;MID(_xlpm.A,FIND("】",_xlpm.A,FIND("】",_xlpm.A)+1)+1,LEN(_xlpm.A)),_xlpm.A))</f>
        <v/>
      </c>
      <c r="G461" s="18" t="str">
        <f>_xlfn.LET(_xlpm.A,IF(ISNUMBER(SEARCH("晒单",L461)),"【晒单】"&amp;MID(L461,SEARCH("晒单",L461)+LEN("晒单"),LEN(L461))&amp;"（需晒单后联系客服登记）",IF(ISNUMBER(SEARCH("包修",L461)),"【购机】"&amp;MID(L461,SEARCH("购机",L461)+LEN("购机"),LEN(L461)),IF(ISNUMBER(SEARCH("叠放支架",L461)),"【赠品】"&amp;MID(L461,SEARCH("购机",L461)+LEN("购机"),LEN(L461)),IF(ISNUMBER(SEARCH("秀图",L461)),"【秀图】"&amp;MID(L461,SEARCH("秀图",L461)+LEN("秀图"),LEN(L461)),"")))),IFERROR(LEFT(_xlpm.A,FIND("【",_xlpm.A,FIND("】",_xlpm.A)+1)-1)&amp;MID(_xlpm.A,FIND("】",_xlpm.A,FIND("】",_xlpm.A)+1)+1,LEN(_xlpm.A)),_xlpm.A))</f>
        <v/>
      </c>
      <c r="H461" s="18" t="str">
        <f>_xlfn.LET(_xlpm.A,IF(ISNUMBER(SEARCH("晒单",M461)),"【晒单】"&amp;MID(M461,SEARCH("晒单",M461)+LEN("晒单"),LEN(M461))&amp;"（需晒单后联系客服登记）",IF(ISNUMBER(SEARCH("包修",M461)),"【购机】"&amp;MID(M461,SEARCH("购机",M461)+LEN("购机"),LEN(M461)),IF(ISNUMBER(SEARCH("叠放支架",M461)),"【赠品】"&amp;MID(M461,SEARCH("购机",M461)+LEN("购机"),LEN(M461)),IF(ISNUMBER(SEARCH("秀图",M461)),"【秀图】"&amp;MID(M461,SEARCH("秀图",M461)+LEN("秀图"),LEN(M461)),"")))),IFERROR(LEFT(_xlpm.A,FIND("【",_xlpm.A,FIND("】",_xlpm.A)+1)-1)&amp;MID(_xlpm.A,FIND("】",_xlpm.A,FIND("】",_xlpm.A)+1)+1,LEN(_xlpm.A)),_xlpm.A))</f>
        <v/>
      </c>
      <c r="I461" s="18" t="str">
        <f>_xlfn.LET(_xlpm.A,IF(ISNUMBER(SEARCH("晒单",N461)),"【晒单】"&amp;MID(N461,SEARCH("晒单",N461)+LEN("晒单"),LEN(N461))&amp;"（需晒单后联系客服登记）",IF(ISNUMBER(SEARCH("包修",N461)),"【购机】"&amp;MID(N461,SEARCH("购机",N461)+LEN("购机"),LEN(N461)),IF(ISNUMBER(SEARCH("叠放支架",N461)),"【赠品】"&amp;MID(N461,SEARCH("购机",N461)+LEN("购机"),LEN(N461)),IF(ISNUMBER(SEARCH("秀图",N461)),"【秀图】"&amp;MID(N461,SEARCH("秀图",N461)+LEN("秀图"),LEN(N461)),"")))),IFERROR(LEFT(_xlpm.A,FIND("【",_xlpm.A,FIND("】",_xlpm.A)+1)-1)&amp;MID(_xlpm.A,FIND("】",_xlpm.A,FIND("】",_xlpm.A)+1)+1,LEN(_xlpm.A)),_xlpm.A))</f>
        <v/>
      </c>
      <c r="J461" s="18" t="str" cm="1">
        <f t="array" ref="J461">IFERROR(INDEX(_xlfn.TEXTSPLIT(_xlfn.XLOOKUP($A461&amp;$B461&amp;$C461,盘货信息!$A:$A&amp;盘货信息!$B:$B&amp;盘货信息!$C:$C,盘货信息!$S:$S),CHAR(10),,TRUE),1,COLUMN(A460)),"")</f>
        <v/>
      </c>
      <c r="K461" s="18" t="str" cm="1">
        <f t="array" ref="K461">IFERROR(INDEX(_xlfn.TEXTSPLIT(_xlfn.XLOOKUP($A461&amp;$B461&amp;$C461,盘货信息!$A:$A&amp;盘货信息!$B:$B&amp;盘货信息!$C:$C,盘货信息!$S:$S),CHAR(10),,TRUE),1,COLUMN(B460)),"")</f>
        <v/>
      </c>
      <c r="L461" s="18" t="str" cm="1">
        <f t="array" ref="L461">IFERROR(INDEX(_xlfn.TEXTSPLIT(_xlfn.XLOOKUP($A461&amp;$B461&amp;$C461,盘货信息!$A:$A&amp;盘货信息!$B:$B&amp;盘货信息!$C:$C,盘货信息!$S:$S),CHAR(10),,TRUE),1,COLUMN(C460)),"")</f>
        <v/>
      </c>
      <c r="M461" s="18" t="str" cm="1">
        <f t="array" ref="M461">IFERROR(INDEX(_xlfn.TEXTSPLIT(_xlfn.XLOOKUP($A461&amp;$B461&amp;$C461,盘货信息!$A:$A&amp;盘货信息!$B:$B&amp;盘货信息!$C:$C,盘货信息!$S:$S),CHAR(10),,TRUE),1,COLUMN(D460)),"")</f>
        <v/>
      </c>
      <c r="N461" s="18" t="str" cm="1">
        <f t="array" ref="N461">IFERROR(INDEX(_xlfn.TEXTSPLIT(_xlfn.XLOOKUP($A461&amp;$B461&amp;$C461,盘货信息!$A:$A&amp;盘货信息!$B:$B&amp;盘货信息!$C:$C,盘货信息!$S:$S),CHAR(10),,TRUE),1,COLUMN(E460)),"")</f>
        <v/>
      </c>
    </row>
    <row r="462" customHeight="1" spans="1:14">
      <c r="A462" s="17" t="str">
        <f>IF(盘货信息!A462="","",盘货信息!A462)</f>
        <v/>
      </c>
      <c r="B462" s="17" t="str">
        <f>IF(盘货信息!B462="","",盘货信息!B462)</f>
        <v/>
      </c>
      <c r="C462" s="18" t="str">
        <f>IF(盘货信息!C462="","",盘货信息!C462)</f>
        <v/>
      </c>
      <c r="D462" s="18" t="str">
        <f t="shared" si="7"/>
        <v/>
      </c>
      <c r="E462" s="18" t="str">
        <f>_xlfn.LET(_xlpm.A,IF(ISNUMBER(SEARCH("晒单",J462)),"【晒单】"&amp;MID(J462,SEARCH("晒单",J462)+LEN("晒单"),LEN(J462))&amp;"（需晒单后联系客服登记）",IF(ISNUMBER(SEARCH("包修",J462)),"【购机】"&amp;MID(J462,SEARCH("购机",J462)+LEN("购机"),LEN(J462)),IF(ISNUMBER(SEARCH("叠放支架",J462)),"【赠品】"&amp;MID(J462,SEARCH("购机",J462)+LEN("购机"),LEN(J462)),IF(ISNUMBER(SEARCH("秀图",J462)),"【秀图】"&amp;MID(J462,SEARCH("秀图",J462)+LEN("秀图"),LEN(J462)),"")))),IFERROR(LEFT(_xlpm.A,FIND("【",_xlpm.A,FIND("】",_xlpm.A)+1)-1)&amp;MID(_xlpm.A,FIND("】",_xlpm.A,FIND("】",_xlpm.A)+1)+1,LEN(_xlpm.A)),_xlpm.A))</f>
        <v/>
      </c>
      <c r="F462" s="18" t="str">
        <f>_xlfn.LET(_xlpm.A,IF(ISNUMBER(SEARCH("晒单",K462)),"【晒单】"&amp;MID(K462,SEARCH("晒单",K462)+LEN("晒单"),LEN(K462))&amp;"（需晒单后联系客服登记）",IF(ISNUMBER(SEARCH("包修",K462)),"【购机】"&amp;MID(K462,SEARCH("购机",K462)+LEN("购机"),LEN(K462)),IF(ISNUMBER(SEARCH("叠放支架",K462)),"【赠品】"&amp;MID(K462,SEARCH("购机",K462)+LEN("购机"),LEN(K462)),IF(ISNUMBER(SEARCH("秀图",K462)),"【秀图】"&amp;MID(K462,SEARCH("秀图",K462)+LEN("秀图"),LEN(K462)),"")))),IFERROR(LEFT(_xlpm.A,FIND("【",_xlpm.A,FIND("】",_xlpm.A)+1)-1)&amp;MID(_xlpm.A,FIND("】",_xlpm.A,FIND("】",_xlpm.A)+1)+1,LEN(_xlpm.A)),_xlpm.A))</f>
        <v/>
      </c>
      <c r="G462" s="18" t="str">
        <f>_xlfn.LET(_xlpm.A,IF(ISNUMBER(SEARCH("晒单",L462)),"【晒单】"&amp;MID(L462,SEARCH("晒单",L462)+LEN("晒单"),LEN(L462))&amp;"（需晒单后联系客服登记）",IF(ISNUMBER(SEARCH("包修",L462)),"【购机】"&amp;MID(L462,SEARCH("购机",L462)+LEN("购机"),LEN(L462)),IF(ISNUMBER(SEARCH("叠放支架",L462)),"【赠品】"&amp;MID(L462,SEARCH("购机",L462)+LEN("购机"),LEN(L462)),IF(ISNUMBER(SEARCH("秀图",L462)),"【秀图】"&amp;MID(L462,SEARCH("秀图",L462)+LEN("秀图"),LEN(L462)),"")))),IFERROR(LEFT(_xlpm.A,FIND("【",_xlpm.A,FIND("】",_xlpm.A)+1)-1)&amp;MID(_xlpm.A,FIND("】",_xlpm.A,FIND("】",_xlpm.A)+1)+1,LEN(_xlpm.A)),_xlpm.A))</f>
        <v/>
      </c>
      <c r="H462" s="18" t="str">
        <f>_xlfn.LET(_xlpm.A,IF(ISNUMBER(SEARCH("晒单",M462)),"【晒单】"&amp;MID(M462,SEARCH("晒单",M462)+LEN("晒单"),LEN(M462))&amp;"（需晒单后联系客服登记）",IF(ISNUMBER(SEARCH("包修",M462)),"【购机】"&amp;MID(M462,SEARCH("购机",M462)+LEN("购机"),LEN(M462)),IF(ISNUMBER(SEARCH("叠放支架",M462)),"【赠品】"&amp;MID(M462,SEARCH("购机",M462)+LEN("购机"),LEN(M462)),IF(ISNUMBER(SEARCH("秀图",M462)),"【秀图】"&amp;MID(M462,SEARCH("秀图",M462)+LEN("秀图"),LEN(M462)),"")))),IFERROR(LEFT(_xlpm.A,FIND("【",_xlpm.A,FIND("】",_xlpm.A)+1)-1)&amp;MID(_xlpm.A,FIND("】",_xlpm.A,FIND("】",_xlpm.A)+1)+1,LEN(_xlpm.A)),_xlpm.A))</f>
        <v/>
      </c>
      <c r="I462" s="18" t="str">
        <f>_xlfn.LET(_xlpm.A,IF(ISNUMBER(SEARCH("晒单",N462)),"【晒单】"&amp;MID(N462,SEARCH("晒单",N462)+LEN("晒单"),LEN(N462))&amp;"（需晒单后联系客服登记）",IF(ISNUMBER(SEARCH("包修",N462)),"【购机】"&amp;MID(N462,SEARCH("购机",N462)+LEN("购机"),LEN(N462)),IF(ISNUMBER(SEARCH("叠放支架",N462)),"【赠品】"&amp;MID(N462,SEARCH("购机",N462)+LEN("购机"),LEN(N462)),IF(ISNUMBER(SEARCH("秀图",N462)),"【秀图】"&amp;MID(N462,SEARCH("秀图",N462)+LEN("秀图"),LEN(N462)),"")))),IFERROR(LEFT(_xlpm.A,FIND("【",_xlpm.A,FIND("】",_xlpm.A)+1)-1)&amp;MID(_xlpm.A,FIND("】",_xlpm.A,FIND("】",_xlpm.A)+1)+1,LEN(_xlpm.A)),_xlpm.A))</f>
        <v/>
      </c>
      <c r="J462" s="18" t="str" cm="1">
        <f t="array" ref="J462">IFERROR(INDEX(_xlfn.TEXTSPLIT(_xlfn.XLOOKUP($A462&amp;$B462&amp;$C462,盘货信息!$A:$A&amp;盘货信息!$B:$B&amp;盘货信息!$C:$C,盘货信息!$S:$S),CHAR(10),,TRUE),1,COLUMN(A461)),"")</f>
        <v/>
      </c>
      <c r="K462" s="18" t="str" cm="1">
        <f t="array" ref="K462">IFERROR(INDEX(_xlfn.TEXTSPLIT(_xlfn.XLOOKUP($A462&amp;$B462&amp;$C462,盘货信息!$A:$A&amp;盘货信息!$B:$B&amp;盘货信息!$C:$C,盘货信息!$S:$S),CHAR(10),,TRUE),1,COLUMN(B461)),"")</f>
        <v/>
      </c>
      <c r="L462" s="18" t="str" cm="1">
        <f t="array" ref="L462">IFERROR(INDEX(_xlfn.TEXTSPLIT(_xlfn.XLOOKUP($A462&amp;$B462&amp;$C462,盘货信息!$A:$A&amp;盘货信息!$B:$B&amp;盘货信息!$C:$C,盘货信息!$S:$S),CHAR(10),,TRUE),1,COLUMN(C461)),"")</f>
        <v/>
      </c>
      <c r="M462" s="18" t="str" cm="1">
        <f t="array" ref="M462">IFERROR(INDEX(_xlfn.TEXTSPLIT(_xlfn.XLOOKUP($A462&amp;$B462&amp;$C462,盘货信息!$A:$A&amp;盘货信息!$B:$B&amp;盘货信息!$C:$C,盘货信息!$S:$S),CHAR(10),,TRUE),1,COLUMN(D461)),"")</f>
        <v/>
      </c>
      <c r="N462" s="18" t="str" cm="1">
        <f t="array" ref="N462">IFERROR(INDEX(_xlfn.TEXTSPLIT(_xlfn.XLOOKUP($A462&amp;$B462&amp;$C462,盘货信息!$A:$A&amp;盘货信息!$B:$B&amp;盘货信息!$C:$C,盘货信息!$S:$S),CHAR(10),,TRUE),1,COLUMN(E461)),"")</f>
        <v/>
      </c>
    </row>
    <row r="463" customHeight="1" spans="1:14">
      <c r="A463" s="17" t="str">
        <f>IF(盘货信息!A463="","",盘货信息!A463)</f>
        <v/>
      </c>
      <c r="B463" s="17" t="str">
        <f>IF(盘货信息!B463="","",盘货信息!B463)</f>
        <v/>
      </c>
      <c r="C463" s="18" t="str">
        <f>IF(盘货信息!C463="","",盘货信息!C463)</f>
        <v/>
      </c>
      <c r="D463" s="18" t="str">
        <f t="shared" si="7"/>
        <v/>
      </c>
      <c r="E463" s="18" t="str">
        <f>_xlfn.LET(_xlpm.A,IF(ISNUMBER(SEARCH("晒单",J463)),"【晒单】"&amp;MID(J463,SEARCH("晒单",J463)+LEN("晒单"),LEN(J463))&amp;"（需晒单后联系客服登记）",IF(ISNUMBER(SEARCH("包修",J463)),"【购机】"&amp;MID(J463,SEARCH("购机",J463)+LEN("购机"),LEN(J463)),IF(ISNUMBER(SEARCH("叠放支架",J463)),"【赠品】"&amp;MID(J463,SEARCH("购机",J463)+LEN("购机"),LEN(J463)),IF(ISNUMBER(SEARCH("秀图",J463)),"【秀图】"&amp;MID(J463,SEARCH("秀图",J463)+LEN("秀图"),LEN(J463)),"")))),IFERROR(LEFT(_xlpm.A,FIND("【",_xlpm.A,FIND("】",_xlpm.A)+1)-1)&amp;MID(_xlpm.A,FIND("】",_xlpm.A,FIND("】",_xlpm.A)+1)+1,LEN(_xlpm.A)),_xlpm.A))</f>
        <v/>
      </c>
      <c r="F463" s="18" t="str">
        <f>_xlfn.LET(_xlpm.A,IF(ISNUMBER(SEARCH("晒单",K463)),"【晒单】"&amp;MID(K463,SEARCH("晒单",K463)+LEN("晒单"),LEN(K463))&amp;"（需晒单后联系客服登记）",IF(ISNUMBER(SEARCH("包修",K463)),"【购机】"&amp;MID(K463,SEARCH("购机",K463)+LEN("购机"),LEN(K463)),IF(ISNUMBER(SEARCH("叠放支架",K463)),"【赠品】"&amp;MID(K463,SEARCH("购机",K463)+LEN("购机"),LEN(K463)),IF(ISNUMBER(SEARCH("秀图",K463)),"【秀图】"&amp;MID(K463,SEARCH("秀图",K463)+LEN("秀图"),LEN(K463)),"")))),IFERROR(LEFT(_xlpm.A,FIND("【",_xlpm.A,FIND("】",_xlpm.A)+1)-1)&amp;MID(_xlpm.A,FIND("】",_xlpm.A,FIND("】",_xlpm.A)+1)+1,LEN(_xlpm.A)),_xlpm.A))</f>
        <v/>
      </c>
      <c r="G463" s="18" t="str">
        <f>_xlfn.LET(_xlpm.A,IF(ISNUMBER(SEARCH("晒单",L463)),"【晒单】"&amp;MID(L463,SEARCH("晒单",L463)+LEN("晒单"),LEN(L463))&amp;"（需晒单后联系客服登记）",IF(ISNUMBER(SEARCH("包修",L463)),"【购机】"&amp;MID(L463,SEARCH("购机",L463)+LEN("购机"),LEN(L463)),IF(ISNUMBER(SEARCH("叠放支架",L463)),"【赠品】"&amp;MID(L463,SEARCH("购机",L463)+LEN("购机"),LEN(L463)),IF(ISNUMBER(SEARCH("秀图",L463)),"【秀图】"&amp;MID(L463,SEARCH("秀图",L463)+LEN("秀图"),LEN(L463)),"")))),IFERROR(LEFT(_xlpm.A,FIND("【",_xlpm.A,FIND("】",_xlpm.A)+1)-1)&amp;MID(_xlpm.A,FIND("】",_xlpm.A,FIND("】",_xlpm.A)+1)+1,LEN(_xlpm.A)),_xlpm.A))</f>
        <v/>
      </c>
      <c r="H463" s="18" t="str">
        <f>_xlfn.LET(_xlpm.A,IF(ISNUMBER(SEARCH("晒单",M463)),"【晒单】"&amp;MID(M463,SEARCH("晒单",M463)+LEN("晒单"),LEN(M463))&amp;"（需晒单后联系客服登记）",IF(ISNUMBER(SEARCH("包修",M463)),"【购机】"&amp;MID(M463,SEARCH("购机",M463)+LEN("购机"),LEN(M463)),IF(ISNUMBER(SEARCH("叠放支架",M463)),"【赠品】"&amp;MID(M463,SEARCH("购机",M463)+LEN("购机"),LEN(M463)),IF(ISNUMBER(SEARCH("秀图",M463)),"【秀图】"&amp;MID(M463,SEARCH("秀图",M463)+LEN("秀图"),LEN(M463)),"")))),IFERROR(LEFT(_xlpm.A,FIND("【",_xlpm.A,FIND("】",_xlpm.A)+1)-1)&amp;MID(_xlpm.A,FIND("】",_xlpm.A,FIND("】",_xlpm.A)+1)+1,LEN(_xlpm.A)),_xlpm.A))</f>
        <v/>
      </c>
      <c r="I463" s="18" t="str">
        <f>_xlfn.LET(_xlpm.A,IF(ISNUMBER(SEARCH("晒单",N463)),"【晒单】"&amp;MID(N463,SEARCH("晒单",N463)+LEN("晒单"),LEN(N463))&amp;"（需晒单后联系客服登记）",IF(ISNUMBER(SEARCH("包修",N463)),"【购机】"&amp;MID(N463,SEARCH("购机",N463)+LEN("购机"),LEN(N463)),IF(ISNUMBER(SEARCH("叠放支架",N463)),"【赠品】"&amp;MID(N463,SEARCH("购机",N463)+LEN("购机"),LEN(N463)),IF(ISNUMBER(SEARCH("秀图",N463)),"【秀图】"&amp;MID(N463,SEARCH("秀图",N463)+LEN("秀图"),LEN(N463)),"")))),IFERROR(LEFT(_xlpm.A,FIND("【",_xlpm.A,FIND("】",_xlpm.A)+1)-1)&amp;MID(_xlpm.A,FIND("】",_xlpm.A,FIND("】",_xlpm.A)+1)+1,LEN(_xlpm.A)),_xlpm.A))</f>
        <v/>
      </c>
      <c r="J463" s="18" t="str" cm="1">
        <f t="array" ref="J463">IFERROR(INDEX(_xlfn.TEXTSPLIT(_xlfn.XLOOKUP($A463&amp;$B463&amp;$C463,盘货信息!$A:$A&amp;盘货信息!$B:$B&amp;盘货信息!$C:$C,盘货信息!$S:$S),CHAR(10),,TRUE),1,COLUMN(A462)),"")</f>
        <v/>
      </c>
      <c r="K463" s="18" t="str" cm="1">
        <f t="array" ref="K463">IFERROR(INDEX(_xlfn.TEXTSPLIT(_xlfn.XLOOKUP($A463&amp;$B463&amp;$C463,盘货信息!$A:$A&amp;盘货信息!$B:$B&amp;盘货信息!$C:$C,盘货信息!$S:$S),CHAR(10),,TRUE),1,COLUMN(B462)),"")</f>
        <v/>
      </c>
      <c r="L463" s="18" t="str" cm="1">
        <f t="array" ref="L463">IFERROR(INDEX(_xlfn.TEXTSPLIT(_xlfn.XLOOKUP($A463&amp;$B463&amp;$C463,盘货信息!$A:$A&amp;盘货信息!$B:$B&amp;盘货信息!$C:$C,盘货信息!$S:$S),CHAR(10),,TRUE),1,COLUMN(C462)),"")</f>
        <v/>
      </c>
      <c r="M463" s="18" t="str" cm="1">
        <f t="array" ref="M463">IFERROR(INDEX(_xlfn.TEXTSPLIT(_xlfn.XLOOKUP($A463&amp;$B463&amp;$C463,盘货信息!$A:$A&amp;盘货信息!$B:$B&amp;盘货信息!$C:$C,盘货信息!$S:$S),CHAR(10),,TRUE),1,COLUMN(D462)),"")</f>
        <v/>
      </c>
      <c r="N463" s="18" t="str" cm="1">
        <f t="array" ref="N463">IFERROR(INDEX(_xlfn.TEXTSPLIT(_xlfn.XLOOKUP($A463&amp;$B463&amp;$C463,盘货信息!$A:$A&amp;盘货信息!$B:$B&amp;盘货信息!$C:$C,盘货信息!$S:$S),CHAR(10),,TRUE),1,COLUMN(E462)),"")</f>
        <v/>
      </c>
    </row>
    <row r="464" customHeight="1" spans="1:14">
      <c r="A464" s="17" t="str">
        <f>IF(盘货信息!A464="","",盘货信息!A464)</f>
        <v/>
      </c>
      <c r="B464" s="17" t="str">
        <f>IF(盘货信息!B464="","",盘货信息!B464)</f>
        <v/>
      </c>
      <c r="C464" s="18" t="str">
        <f>IF(盘货信息!C464="","",盘货信息!C464)</f>
        <v/>
      </c>
      <c r="D464" s="18" t="str">
        <f t="shared" si="7"/>
        <v/>
      </c>
      <c r="E464" s="18" t="str">
        <f>_xlfn.LET(_xlpm.A,IF(ISNUMBER(SEARCH("晒单",J464)),"【晒单】"&amp;MID(J464,SEARCH("晒单",J464)+LEN("晒单"),LEN(J464))&amp;"（需晒单后联系客服登记）",IF(ISNUMBER(SEARCH("包修",J464)),"【购机】"&amp;MID(J464,SEARCH("购机",J464)+LEN("购机"),LEN(J464)),IF(ISNUMBER(SEARCH("叠放支架",J464)),"【赠品】"&amp;MID(J464,SEARCH("购机",J464)+LEN("购机"),LEN(J464)),IF(ISNUMBER(SEARCH("秀图",J464)),"【秀图】"&amp;MID(J464,SEARCH("秀图",J464)+LEN("秀图"),LEN(J464)),"")))),IFERROR(LEFT(_xlpm.A,FIND("【",_xlpm.A,FIND("】",_xlpm.A)+1)-1)&amp;MID(_xlpm.A,FIND("】",_xlpm.A,FIND("】",_xlpm.A)+1)+1,LEN(_xlpm.A)),_xlpm.A))</f>
        <v/>
      </c>
      <c r="F464" s="18" t="str">
        <f>_xlfn.LET(_xlpm.A,IF(ISNUMBER(SEARCH("晒单",K464)),"【晒单】"&amp;MID(K464,SEARCH("晒单",K464)+LEN("晒单"),LEN(K464))&amp;"（需晒单后联系客服登记）",IF(ISNUMBER(SEARCH("包修",K464)),"【购机】"&amp;MID(K464,SEARCH("购机",K464)+LEN("购机"),LEN(K464)),IF(ISNUMBER(SEARCH("叠放支架",K464)),"【赠品】"&amp;MID(K464,SEARCH("购机",K464)+LEN("购机"),LEN(K464)),IF(ISNUMBER(SEARCH("秀图",K464)),"【秀图】"&amp;MID(K464,SEARCH("秀图",K464)+LEN("秀图"),LEN(K464)),"")))),IFERROR(LEFT(_xlpm.A,FIND("【",_xlpm.A,FIND("】",_xlpm.A)+1)-1)&amp;MID(_xlpm.A,FIND("】",_xlpm.A,FIND("】",_xlpm.A)+1)+1,LEN(_xlpm.A)),_xlpm.A))</f>
        <v/>
      </c>
      <c r="G464" s="18" t="str">
        <f>_xlfn.LET(_xlpm.A,IF(ISNUMBER(SEARCH("晒单",L464)),"【晒单】"&amp;MID(L464,SEARCH("晒单",L464)+LEN("晒单"),LEN(L464))&amp;"（需晒单后联系客服登记）",IF(ISNUMBER(SEARCH("包修",L464)),"【购机】"&amp;MID(L464,SEARCH("购机",L464)+LEN("购机"),LEN(L464)),IF(ISNUMBER(SEARCH("叠放支架",L464)),"【赠品】"&amp;MID(L464,SEARCH("购机",L464)+LEN("购机"),LEN(L464)),IF(ISNUMBER(SEARCH("秀图",L464)),"【秀图】"&amp;MID(L464,SEARCH("秀图",L464)+LEN("秀图"),LEN(L464)),"")))),IFERROR(LEFT(_xlpm.A,FIND("【",_xlpm.A,FIND("】",_xlpm.A)+1)-1)&amp;MID(_xlpm.A,FIND("】",_xlpm.A,FIND("】",_xlpm.A)+1)+1,LEN(_xlpm.A)),_xlpm.A))</f>
        <v/>
      </c>
      <c r="H464" s="18" t="str">
        <f>_xlfn.LET(_xlpm.A,IF(ISNUMBER(SEARCH("晒单",M464)),"【晒单】"&amp;MID(M464,SEARCH("晒单",M464)+LEN("晒单"),LEN(M464))&amp;"（需晒单后联系客服登记）",IF(ISNUMBER(SEARCH("包修",M464)),"【购机】"&amp;MID(M464,SEARCH("购机",M464)+LEN("购机"),LEN(M464)),IF(ISNUMBER(SEARCH("叠放支架",M464)),"【赠品】"&amp;MID(M464,SEARCH("购机",M464)+LEN("购机"),LEN(M464)),IF(ISNUMBER(SEARCH("秀图",M464)),"【秀图】"&amp;MID(M464,SEARCH("秀图",M464)+LEN("秀图"),LEN(M464)),"")))),IFERROR(LEFT(_xlpm.A,FIND("【",_xlpm.A,FIND("】",_xlpm.A)+1)-1)&amp;MID(_xlpm.A,FIND("】",_xlpm.A,FIND("】",_xlpm.A)+1)+1,LEN(_xlpm.A)),_xlpm.A))</f>
        <v/>
      </c>
      <c r="I464" s="18" t="str">
        <f>_xlfn.LET(_xlpm.A,IF(ISNUMBER(SEARCH("晒单",N464)),"【晒单】"&amp;MID(N464,SEARCH("晒单",N464)+LEN("晒单"),LEN(N464))&amp;"（需晒单后联系客服登记）",IF(ISNUMBER(SEARCH("包修",N464)),"【购机】"&amp;MID(N464,SEARCH("购机",N464)+LEN("购机"),LEN(N464)),IF(ISNUMBER(SEARCH("叠放支架",N464)),"【赠品】"&amp;MID(N464,SEARCH("购机",N464)+LEN("购机"),LEN(N464)),IF(ISNUMBER(SEARCH("秀图",N464)),"【秀图】"&amp;MID(N464,SEARCH("秀图",N464)+LEN("秀图"),LEN(N464)),"")))),IFERROR(LEFT(_xlpm.A,FIND("【",_xlpm.A,FIND("】",_xlpm.A)+1)-1)&amp;MID(_xlpm.A,FIND("】",_xlpm.A,FIND("】",_xlpm.A)+1)+1,LEN(_xlpm.A)),_xlpm.A))</f>
        <v/>
      </c>
      <c r="J464" s="18" t="str" cm="1">
        <f t="array" ref="J464">IFERROR(INDEX(_xlfn.TEXTSPLIT(_xlfn.XLOOKUP($A464&amp;$B464&amp;$C464,盘货信息!$A:$A&amp;盘货信息!$B:$B&amp;盘货信息!$C:$C,盘货信息!$S:$S),CHAR(10),,TRUE),1,COLUMN(A463)),"")</f>
        <v/>
      </c>
      <c r="K464" s="18" t="str" cm="1">
        <f t="array" ref="K464">IFERROR(INDEX(_xlfn.TEXTSPLIT(_xlfn.XLOOKUP($A464&amp;$B464&amp;$C464,盘货信息!$A:$A&amp;盘货信息!$B:$B&amp;盘货信息!$C:$C,盘货信息!$S:$S),CHAR(10),,TRUE),1,COLUMN(B463)),"")</f>
        <v/>
      </c>
      <c r="L464" s="18" t="str" cm="1">
        <f t="array" ref="L464">IFERROR(INDEX(_xlfn.TEXTSPLIT(_xlfn.XLOOKUP($A464&amp;$B464&amp;$C464,盘货信息!$A:$A&amp;盘货信息!$B:$B&amp;盘货信息!$C:$C,盘货信息!$S:$S),CHAR(10),,TRUE),1,COLUMN(C463)),"")</f>
        <v/>
      </c>
      <c r="M464" s="18" t="str" cm="1">
        <f t="array" ref="M464">IFERROR(INDEX(_xlfn.TEXTSPLIT(_xlfn.XLOOKUP($A464&amp;$B464&amp;$C464,盘货信息!$A:$A&amp;盘货信息!$B:$B&amp;盘货信息!$C:$C,盘货信息!$S:$S),CHAR(10),,TRUE),1,COLUMN(D463)),"")</f>
        <v/>
      </c>
      <c r="N464" s="18" t="str" cm="1">
        <f t="array" ref="N464">IFERROR(INDEX(_xlfn.TEXTSPLIT(_xlfn.XLOOKUP($A464&amp;$B464&amp;$C464,盘货信息!$A:$A&amp;盘货信息!$B:$B&amp;盘货信息!$C:$C,盘货信息!$S:$S),CHAR(10),,TRUE),1,COLUMN(E463)),"")</f>
        <v/>
      </c>
    </row>
    <row r="465" customHeight="1" spans="1:14">
      <c r="A465" s="17" t="str">
        <f>IF(盘货信息!A465="","",盘货信息!A465)</f>
        <v/>
      </c>
      <c r="B465" s="17" t="str">
        <f>IF(盘货信息!B465="","",盘货信息!B465)</f>
        <v/>
      </c>
      <c r="C465" s="18" t="str">
        <f>IF(盘货信息!C465="","",盘货信息!C465)</f>
        <v/>
      </c>
      <c r="D465" s="18" t="str">
        <f t="shared" si="7"/>
        <v/>
      </c>
      <c r="E465" s="18" t="str">
        <f>_xlfn.LET(_xlpm.A,IF(ISNUMBER(SEARCH("晒单",J465)),"【晒单】"&amp;MID(J465,SEARCH("晒单",J465)+LEN("晒单"),LEN(J465))&amp;"（需晒单后联系客服登记）",IF(ISNUMBER(SEARCH("包修",J465)),"【购机】"&amp;MID(J465,SEARCH("购机",J465)+LEN("购机"),LEN(J465)),IF(ISNUMBER(SEARCH("叠放支架",J465)),"【赠品】"&amp;MID(J465,SEARCH("购机",J465)+LEN("购机"),LEN(J465)),IF(ISNUMBER(SEARCH("秀图",J465)),"【秀图】"&amp;MID(J465,SEARCH("秀图",J465)+LEN("秀图"),LEN(J465)),"")))),IFERROR(LEFT(_xlpm.A,FIND("【",_xlpm.A,FIND("】",_xlpm.A)+1)-1)&amp;MID(_xlpm.A,FIND("】",_xlpm.A,FIND("】",_xlpm.A)+1)+1,LEN(_xlpm.A)),_xlpm.A))</f>
        <v/>
      </c>
      <c r="F465" s="18" t="str">
        <f>_xlfn.LET(_xlpm.A,IF(ISNUMBER(SEARCH("晒单",K465)),"【晒单】"&amp;MID(K465,SEARCH("晒单",K465)+LEN("晒单"),LEN(K465))&amp;"（需晒单后联系客服登记）",IF(ISNUMBER(SEARCH("包修",K465)),"【购机】"&amp;MID(K465,SEARCH("购机",K465)+LEN("购机"),LEN(K465)),IF(ISNUMBER(SEARCH("叠放支架",K465)),"【赠品】"&amp;MID(K465,SEARCH("购机",K465)+LEN("购机"),LEN(K465)),IF(ISNUMBER(SEARCH("秀图",K465)),"【秀图】"&amp;MID(K465,SEARCH("秀图",K465)+LEN("秀图"),LEN(K465)),"")))),IFERROR(LEFT(_xlpm.A,FIND("【",_xlpm.A,FIND("】",_xlpm.A)+1)-1)&amp;MID(_xlpm.A,FIND("】",_xlpm.A,FIND("】",_xlpm.A)+1)+1,LEN(_xlpm.A)),_xlpm.A))</f>
        <v/>
      </c>
      <c r="G465" s="18" t="str">
        <f>_xlfn.LET(_xlpm.A,IF(ISNUMBER(SEARCH("晒单",L465)),"【晒单】"&amp;MID(L465,SEARCH("晒单",L465)+LEN("晒单"),LEN(L465))&amp;"（需晒单后联系客服登记）",IF(ISNUMBER(SEARCH("包修",L465)),"【购机】"&amp;MID(L465,SEARCH("购机",L465)+LEN("购机"),LEN(L465)),IF(ISNUMBER(SEARCH("叠放支架",L465)),"【赠品】"&amp;MID(L465,SEARCH("购机",L465)+LEN("购机"),LEN(L465)),IF(ISNUMBER(SEARCH("秀图",L465)),"【秀图】"&amp;MID(L465,SEARCH("秀图",L465)+LEN("秀图"),LEN(L465)),"")))),IFERROR(LEFT(_xlpm.A,FIND("【",_xlpm.A,FIND("】",_xlpm.A)+1)-1)&amp;MID(_xlpm.A,FIND("】",_xlpm.A,FIND("】",_xlpm.A)+1)+1,LEN(_xlpm.A)),_xlpm.A))</f>
        <v/>
      </c>
      <c r="H465" s="18" t="str">
        <f>_xlfn.LET(_xlpm.A,IF(ISNUMBER(SEARCH("晒单",M465)),"【晒单】"&amp;MID(M465,SEARCH("晒单",M465)+LEN("晒单"),LEN(M465))&amp;"（需晒单后联系客服登记）",IF(ISNUMBER(SEARCH("包修",M465)),"【购机】"&amp;MID(M465,SEARCH("购机",M465)+LEN("购机"),LEN(M465)),IF(ISNUMBER(SEARCH("叠放支架",M465)),"【赠品】"&amp;MID(M465,SEARCH("购机",M465)+LEN("购机"),LEN(M465)),IF(ISNUMBER(SEARCH("秀图",M465)),"【秀图】"&amp;MID(M465,SEARCH("秀图",M465)+LEN("秀图"),LEN(M465)),"")))),IFERROR(LEFT(_xlpm.A,FIND("【",_xlpm.A,FIND("】",_xlpm.A)+1)-1)&amp;MID(_xlpm.A,FIND("】",_xlpm.A,FIND("】",_xlpm.A)+1)+1,LEN(_xlpm.A)),_xlpm.A))</f>
        <v/>
      </c>
      <c r="I465" s="18" t="str">
        <f>_xlfn.LET(_xlpm.A,IF(ISNUMBER(SEARCH("晒单",N465)),"【晒单】"&amp;MID(N465,SEARCH("晒单",N465)+LEN("晒单"),LEN(N465))&amp;"（需晒单后联系客服登记）",IF(ISNUMBER(SEARCH("包修",N465)),"【购机】"&amp;MID(N465,SEARCH("购机",N465)+LEN("购机"),LEN(N465)),IF(ISNUMBER(SEARCH("叠放支架",N465)),"【赠品】"&amp;MID(N465,SEARCH("购机",N465)+LEN("购机"),LEN(N465)),IF(ISNUMBER(SEARCH("秀图",N465)),"【秀图】"&amp;MID(N465,SEARCH("秀图",N465)+LEN("秀图"),LEN(N465)),"")))),IFERROR(LEFT(_xlpm.A,FIND("【",_xlpm.A,FIND("】",_xlpm.A)+1)-1)&amp;MID(_xlpm.A,FIND("】",_xlpm.A,FIND("】",_xlpm.A)+1)+1,LEN(_xlpm.A)),_xlpm.A))</f>
        <v/>
      </c>
      <c r="J465" s="18" t="str" cm="1">
        <f t="array" ref="J465">IFERROR(INDEX(_xlfn.TEXTSPLIT(_xlfn.XLOOKUP($A465&amp;$B465&amp;$C465,盘货信息!$A:$A&amp;盘货信息!$B:$B&amp;盘货信息!$C:$C,盘货信息!$S:$S),CHAR(10),,TRUE),1,COLUMN(A464)),"")</f>
        <v/>
      </c>
      <c r="K465" s="18" t="str" cm="1">
        <f t="array" ref="K465">IFERROR(INDEX(_xlfn.TEXTSPLIT(_xlfn.XLOOKUP($A465&amp;$B465&amp;$C465,盘货信息!$A:$A&amp;盘货信息!$B:$B&amp;盘货信息!$C:$C,盘货信息!$S:$S),CHAR(10),,TRUE),1,COLUMN(B464)),"")</f>
        <v/>
      </c>
      <c r="L465" s="18" t="str" cm="1">
        <f t="array" ref="L465">IFERROR(INDEX(_xlfn.TEXTSPLIT(_xlfn.XLOOKUP($A465&amp;$B465&amp;$C465,盘货信息!$A:$A&amp;盘货信息!$B:$B&amp;盘货信息!$C:$C,盘货信息!$S:$S),CHAR(10),,TRUE),1,COLUMN(C464)),"")</f>
        <v/>
      </c>
      <c r="M465" s="18" t="str" cm="1">
        <f t="array" ref="M465">IFERROR(INDEX(_xlfn.TEXTSPLIT(_xlfn.XLOOKUP($A465&amp;$B465&amp;$C465,盘货信息!$A:$A&amp;盘货信息!$B:$B&amp;盘货信息!$C:$C,盘货信息!$S:$S),CHAR(10),,TRUE),1,COLUMN(D464)),"")</f>
        <v/>
      </c>
      <c r="N465" s="18" t="str" cm="1">
        <f t="array" ref="N465">IFERROR(INDEX(_xlfn.TEXTSPLIT(_xlfn.XLOOKUP($A465&amp;$B465&amp;$C465,盘货信息!$A:$A&amp;盘货信息!$B:$B&amp;盘货信息!$C:$C,盘货信息!$S:$S),CHAR(10),,TRUE),1,COLUMN(E464)),"")</f>
        <v/>
      </c>
    </row>
    <row r="466" customHeight="1" spans="1:14">
      <c r="A466" s="17" t="str">
        <f>IF(盘货信息!A466="","",盘货信息!A466)</f>
        <v/>
      </c>
      <c r="B466" s="17" t="str">
        <f>IF(盘货信息!B466="","",盘货信息!B466)</f>
        <v/>
      </c>
      <c r="C466" s="18" t="str">
        <f>IF(盘货信息!C466="","",盘货信息!C466)</f>
        <v/>
      </c>
      <c r="D466" s="18" t="str">
        <f t="shared" si="7"/>
        <v/>
      </c>
      <c r="E466" s="18" t="str">
        <f>_xlfn.LET(_xlpm.A,IF(ISNUMBER(SEARCH("晒单",J466)),"【晒单】"&amp;MID(J466,SEARCH("晒单",J466)+LEN("晒单"),LEN(J466))&amp;"（需晒单后联系客服登记）",IF(ISNUMBER(SEARCH("包修",J466)),"【购机】"&amp;MID(J466,SEARCH("购机",J466)+LEN("购机"),LEN(J466)),IF(ISNUMBER(SEARCH("叠放支架",J466)),"【赠品】"&amp;MID(J466,SEARCH("购机",J466)+LEN("购机"),LEN(J466)),IF(ISNUMBER(SEARCH("秀图",J466)),"【秀图】"&amp;MID(J466,SEARCH("秀图",J466)+LEN("秀图"),LEN(J466)),"")))),IFERROR(LEFT(_xlpm.A,FIND("【",_xlpm.A,FIND("】",_xlpm.A)+1)-1)&amp;MID(_xlpm.A,FIND("】",_xlpm.A,FIND("】",_xlpm.A)+1)+1,LEN(_xlpm.A)),_xlpm.A))</f>
        <v/>
      </c>
      <c r="F466" s="18" t="str">
        <f>_xlfn.LET(_xlpm.A,IF(ISNUMBER(SEARCH("晒单",K466)),"【晒单】"&amp;MID(K466,SEARCH("晒单",K466)+LEN("晒单"),LEN(K466))&amp;"（需晒单后联系客服登记）",IF(ISNUMBER(SEARCH("包修",K466)),"【购机】"&amp;MID(K466,SEARCH("购机",K466)+LEN("购机"),LEN(K466)),IF(ISNUMBER(SEARCH("叠放支架",K466)),"【赠品】"&amp;MID(K466,SEARCH("购机",K466)+LEN("购机"),LEN(K466)),IF(ISNUMBER(SEARCH("秀图",K466)),"【秀图】"&amp;MID(K466,SEARCH("秀图",K466)+LEN("秀图"),LEN(K466)),"")))),IFERROR(LEFT(_xlpm.A,FIND("【",_xlpm.A,FIND("】",_xlpm.A)+1)-1)&amp;MID(_xlpm.A,FIND("】",_xlpm.A,FIND("】",_xlpm.A)+1)+1,LEN(_xlpm.A)),_xlpm.A))</f>
        <v/>
      </c>
      <c r="G466" s="18" t="str">
        <f>_xlfn.LET(_xlpm.A,IF(ISNUMBER(SEARCH("晒单",L466)),"【晒单】"&amp;MID(L466,SEARCH("晒单",L466)+LEN("晒单"),LEN(L466))&amp;"（需晒单后联系客服登记）",IF(ISNUMBER(SEARCH("包修",L466)),"【购机】"&amp;MID(L466,SEARCH("购机",L466)+LEN("购机"),LEN(L466)),IF(ISNUMBER(SEARCH("叠放支架",L466)),"【赠品】"&amp;MID(L466,SEARCH("购机",L466)+LEN("购机"),LEN(L466)),IF(ISNUMBER(SEARCH("秀图",L466)),"【秀图】"&amp;MID(L466,SEARCH("秀图",L466)+LEN("秀图"),LEN(L466)),"")))),IFERROR(LEFT(_xlpm.A,FIND("【",_xlpm.A,FIND("】",_xlpm.A)+1)-1)&amp;MID(_xlpm.A,FIND("】",_xlpm.A,FIND("】",_xlpm.A)+1)+1,LEN(_xlpm.A)),_xlpm.A))</f>
        <v/>
      </c>
      <c r="H466" s="18" t="str">
        <f>_xlfn.LET(_xlpm.A,IF(ISNUMBER(SEARCH("晒单",M466)),"【晒单】"&amp;MID(M466,SEARCH("晒单",M466)+LEN("晒单"),LEN(M466))&amp;"（需晒单后联系客服登记）",IF(ISNUMBER(SEARCH("包修",M466)),"【购机】"&amp;MID(M466,SEARCH("购机",M466)+LEN("购机"),LEN(M466)),IF(ISNUMBER(SEARCH("叠放支架",M466)),"【赠品】"&amp;MID(M466,SEARCH("购机",M466)+LEN("购机"),LEN(M466)),IF(ISNUMBER(SEARCH("秀图",M466)),"【秀图】"&amp;MID(M466,SEARCH("秀图",M466)+LEN("秀图"),LEN(M466)),"")))),IFERROR(LEFT(_xlpm.A,FIND("【",_xlpm.A,FIND("】",_xlpm.A)+1)-1)&amp;MID(_xlpm.A,FIND("】",_xlpm.A,FIND("】",_xlpm.A)+1)+1,LEN(_xlpm.A)),_xlpm.A))</f>
        <v/>
      </c>
      <c r="I466" s="18" t="str">
        <f>_xlfn.LET(_xlpm.A,IF(ISNUMBER(SEARCH("晒单",N466)),"【晒单】"&amp;MID(N466,SEARCH("晒单",N466)+LEN("晒单"),LEN(N466))&amp;"（需晒单后联系客服登记）",IF(ISNUMBER(SEARCH("包修",N466)),"【购机】"&amp;MID(N466,SEARCH("购机",N466)+LEN("购机"),LEN(N466)),IF(ISNUMBER(SEARCH("叠放支架",N466)),"【赠品】"&amp;MID(N466,SEARCH("购机",N466)+LEN("购机"),LEN(N466)),IF(ISNUMBER(SEARCH("秀图",N466)),"【秀图】"&amp;MID(N466,SEARCH("秀图",N466)+LEN("秀图"),LEN(N466)),"")))),IFERROR(LEFT(_xlpm.A,FIND("【",_xlpm.A,FIND("】",_xlpm.A)+1)-1)&amp;MID(_xlpm.A,FIND("】",_xlpm.A,FIND("】",_xlpm.A)+1)+1,LEN(_xlpm.A)),_xlpm.A))</f>
        <v/>
      </c>
      <c r="J466" s="18" t="str" cm="1">
        <f t="array" ref="J466">IFERROR(INDEX(_xlfn.TEXTSPLIT(_xlfn.XLOOKUP($A466&amp;$B466&amp;$C466,盘货信息!$A:$A&amp;盘货信息!$B:$B&amp;盘货信息!$C:$C,盘货信息!$S:$S),CHAR(10),,TRUE),1,COLUMN(A465)),"")</f>
        <v/>
      </c>
      <c r="K466" s="18" t="str" cm="1">
        <f t="array" ref="K466">IFERROR(INDEX(_xlfn.TEXTSPLIT(_xlfn.XLOOKUP($A466&amp;$B466&amp;$C466,盘货信息!$A:$A&amp;盘货信息!$B:$B&amp;盘货信息!$C:$C,盘货信息!$S:$S),CHAR(10),,TRUE),1,COLUMN(B465)),"")</f>
        <v/>
      </c>
      <c r="L466" s="18" t="str" cm="1">
        <f t="array" ref="L466">IFERROR(INDEX(_xlfn.TEXTSPLIT(_xlfn.XLOOKUP($A466&amp;$B466&amp;$C466,盘货信息!$A:$A&amp;盘货信息!$B:$B&amp;盘货信息!$C:$C,盘货信息!$S:$S),CHAR(10),,TRUE),1,COLUMN(C465)),"")</f>
        <v/>
      </c>
      <c r="M466" s="18" t="str" cm="1">
        <f t="array" ref="M466">IFERROR(INDEX(_xlfn.TEXTSPLIT(_xlfn.XLOOKUP($A466&amp;$B466&amp;$C466,盘货信息!$A:$A&amp;盘货信息!$B:$B&amp;盘货信息!$C:$C,盘货信息!$S:$S),CHAR(10),,TRUE),1,COLUMN(D465)),"")</f>
        <v/>
      </c>
      <c r="N466" s="18" t="str" cm="1">
        <f t="array" ref="N466">IFERROR(INDEX(_xlfn.TEXTSPLIT(_xlfn.XLOOKUP($A466&amp;$B466&amp;$C466,盘货信息!$A:$A&amp;盘货信息!$B:$B&amp;盘货信息!$C:$C,盘货信息!$S:$S),CHAR(10),,TRUE),1,COLUMN(E465)),"")</f>
        <v/>
      </c>
    </row>
    <row r="467" customHeight="1" spans="1:14">
      <c r="A467" s="17" t="str">
        <f>IF(盘货信息!A467="","",盘货信息!A467)</f>
        <v/>
      </c>
      <c r="B467" s="17" t="str">
        <f>IF(盘货信息!B467="","",盘货信息!B467)</f>
        <v/>
      </c>
      <c r="C467" s="18" t="str">
        <f>IF(盘货信息!C467="","",盘货信息!C467)</f>
        <v/>
      </c>
      <c r="D467" s="18" t="str">
        <f t="shared" si="7"/>
        <v/>
      </c>
      <c r="E467" s="18" t="str">
        <f>_xlfn.LET(_xlpm.A,IF(ISNUMBER(SEARCH("晒单",J467)),"【晒单】"&amp;MID(J467,SEARCH("晒单",J467)+LEN("晒单"),LEN(J467))&amp;"（需晒单后联系客服登记）",IF(ISNUMBER(SEARCH("包修",J467)),"【购机】"&amp;MID(J467,SEARCH("购机",J467)+LEN("购机"),LEN(J467)),IF(ISNUMBER(SEARCH("叠放支架",J467)),"【赠品】"&amp;MID(J467,SEARCH("购机",J467)+LEN("购机"),LEN(J467)),IF(ISNUMBER(SEARCH("秀图",J467)),"【秀图】"&amp;MID(J467,SEARCH("秀图",J467)+LEN("秀图"),LEN(J467)),"")))),IFERROR(LEFT(_xlpm.A,FIND("【",_xlpm.A,FIND("】",_xlpm.A)+1)-1)&amp;MID(_xlpm.A,FIND("】",_xlpm.A,FIND("】",_xlpm.A)+1)+1,LEN(_xlpm.A)),_xlpm.A))</f>
        <v/>
      </c>
      <c r="F467" s="18" t="str">
        <f>_xlfn.LET(_xlpm.A,IF(ISNUMBER(SEARCH("晒单",K467)),"【晒单】"&amp;MID(K467,SEARCH("晒单",K467)+LEN("晒单"),LEN(K467))&amp;"（需晒单后联系客服登记）",IF(ISNUMBER(SEARCH("包修",K467)),"【购机】"&amp;MID(K467,SEARCH("购机",K467)+LEN("购机"),LEN(K467)),IF(ISNUMBER(SEARCH("叠放支架",K467)),"【赠品】"&amp;MID(K467,SEARCH("购机",K467)+LEN("购机"),LEN(K467)),IF(ISNUMBER(SEARCH("秀图",K467)),"【秀图】"&amp;MID(K467,SEARCH("秀图",K467)+LEN("秀图"),LEN(K467)),"")))),IFERROR(LEFT(_xlpm.A,FIND("【",_xlpm.A,FIND("】",_xlpm.A)+1)-1)&amp;MID(_xlpm.A,FIND("】",_xlpm.A,FIND("】",_xlpm.A)+1)+1,LEN(_xlpm.A)),_xlpm.A))</f>
        <v/>
      </c>
      <c r="G467" s="18" t="str">
        <f>_xlfn.LET(_xlpm.A,IF(ISNUMBER(SEARCH("晒单",L467)),"【晒单】"&amp;MID(L467,SEARCH("晒单",L467)+LEN("晒单"),LEN(L467))&amp;"（需晒单后联系客服登记）",IF(ISNUMBER(SEARCH("包修",L467)),"【购机】"&amp;MID(L467,SEARCH("购机",L467)+LEN("购机"),LEN(L467)),IF(ISNUMBER(SEARCH("叠放支架",L467)),"【赠品】"&amp;MID(L467,SEARCH("购机",L467)+LEN("购机"),LEN(L467)),IF(ISNUMBER(SEARCH("秀图",L467)),"【秀图】"&amp;MID(L467,SEARCH("秀图",L467)+LEN("秀图"),LEN(L467)),"")))),IFERROR(LEFT(_xlpm.A,FIND("【",_xlpm.A,FIND("】",_xlpm.A)+1)-1)&amp;MID(_xlpm.A,FIND("】",_xlpm.A,FIND("】",_xlpm.A)+1)+1,LEN(_xlpm.A)),_xlpm.A))</f>
        <v/>
      </c>
      <c r="H467" s="18" t="str">
        <f>_xlfn.LET(_xlpm.A,IF(ISNUMBER(SEARCH("晒单",M467)),"【晒单】"&amp;MID(M467,SEARCH("晒单",M467)+LEN("晒单"),LEN(M467))&amp;"（需晒单后联系客服登记）",IF(ISNUMBER(SEARCH("包修",M467)),"【购机】"&amp;MID(M467,SEARCH("购机",M467)+LEN("购机"),LEN(M467)),IF(ISNUMBER(SEARCH("叠放支架",M467)),"【赠品】"&amp;MID(M467,SEARCH("购机",M467)+LEN("购机"),LEN(M467)),IF(ISNUMBER(SEARCH("秀图",M467)),"【秀图】"&amp;MID(M467,SEARCH("秀图",M467)+LEN("秀图"),LEN(M467)),"")))),IFERROR(LEFT(_xlpm.A,FIND("【",_xlpm.A,FIND("】",_xlpm.A)+1)-1)&amp;MID(_xlpm.A,FIND("】",_xlpm.A,FIND("】",_xlpm.A)+1)+1,LEN(_xlpm.A)),_xlpm.A))</f>
        <v/>
      </c>
      <c r="I467" s="18" t="str">
        <f>_xlfn.LET(_xlpm.A,IF(ISNUMBER(SEARCH("晒单",N467)),"【晒单】"&amp;MID(N467,SEARCH("晒单",N467)+LEN("晒单"),LEN(N467))&amp;"（需晒单后联系客服登记）",IF(ISNUMBER(SEARCH("包修",N467)),"【购机】"&amp;MID(N467,SEARCH("购机",N467)+LEN("购机"),LEN(N467)),IF(ISNUMBER(SEARCH("叠放支架",N467)),"【赠品】"&amp;MID(N467,SEARCH("购机",N467)+LEN("购机"),LEN(N467)),IF(ISNUMBER(SEARCH("秀图",N467)),"【秀图】"&amp;MID(N467,SEARCH("秀图",N467)+LEN("秀图"),LEN(N467)),"")))),IFERROR(LEFT(_xlpm.A,FIND("【",_xlpm.A,FIND("】",_xlpm.A)+1)-1)&amp;MID(_xlpm.A,FIND("】",_xlpm.A,FIND("】",_xlpm.A)+1)+1,LEN(_xlpm.A)),_xlpm.A))</f>
        <v/>
      </c>
      <c r="J467" s="18" t="str" cm="1">
        <f t="array" ref="J467">IFERROR(INDEX(_xlfn.TEXTSPLIT(_xlfn.XLOOKUP($A467&amp;$B467&amp;$C467,盘货信息!$A:$A&amp;盘货信息!$B:$B&amp;盘货信息!$C:$C,盘货信息!$S:$S),CHAR(10),,TRUE),1,COLUMN(A466)),"")</f>
        <v/>
      </c>
      <c r="K467" s="18" t="str" cm="1">
        <f t="array" ref="K467">IFERROR(INDEX(_xlfn.TEXTSPLIT(_xlfn.XLOOKUP($A467&amp;$B467&amp;$C467,盘货信息!$A:$A&amp;盘货信息!$B:$B&amp;盘货信息!$C:$C,盘货信息!$S:$S),CHAR(10),,TRUE),1,COLUMN(B466)),"")</f>
        <v/>
      </c>
      <c r="L467" s="18" t="str" cm="1">
        <f t="array" ref="L467">IFERROR(INDEX(_xlfn.TEXTSPLIT(_xlfn.XLOOKUP($A467&amp;$B467&amp;$C467,盘货信息!$A:$A&amp;盘货信息!$B:$B&amp;盘货信息!$C:$C,盘货信息!$S:$S),CHAR(10),,TRUE),1,COLUMN(C466)),"")</f>
        <v/>
      </c>
      <c r="M467" s="18" t="str" cm="1">
        <f t="array" ref="M467">IFERROR(INDEX(_xlfn.TEXTSPLIT(_xlfn.XLOOKUP($A467&amp;$B467&amp;$C467,盘货信息!$A:$A&amp;盘货信息!$B:$B&amp;盘货信息!$C:$C,盘货信息!$S:$S),CHAR(10),,TRUE),1,COLUMN(D466)),"")</f>
        <v/>
      </c>
      <c r="N467" s="18" t="str" cm="1">
        <f t="array" ref="N467">IFERROR(INDEX(_xlfn.TEXTSPLIT(_xlfn.XLOOKUP($A467&amp;$B467&amp;$C467,盘货信息!$A:$A&amp;盘货信息!$B:$B&amp;盘货信息!$C:$C,盘货信息!$S:$S),CHAR(10),,TRUE),1,COLUMN(E466)),"")</f>
        <v/>
      </c>
    </row>
    <row r="468" customHeight="1" spans="1:14">
      <c r="A468" s="17" t="str">
        <f>IF(盘货信息!A468="","",盘货信息!A468)</f>
        <v/>
      </c>
      <c r="B468" s="17" t="str">
        <f>IF(盘货信息!B468="","",盘货信息!B468)</f>
        <v/>
      </c>
      <c r="C468" s="18" t="str">
        <f>IF(盘货信息!C468="","",盘货信息!C468)</f>
        <v/>
      </c>
      <c r="D468" s="18" t="str">
        <f t="shared" si="7"/>
        <v/>
      </c>
      <c r="E468" s="18" t="str">
        <f>_xlfn.LET(_xlpm.A,IF(ISNUMBER(SEARCH("晒单",J468)),"【晒单】"&amp;MID(J468,SEARCH("晒单",J468)+LEN("晒单"),LEN(J468))&amp;"（需晒单后联系客服登记）",IF(ISNUMBER(SEARCH("包修",J468)),"【购机】"&amp;MID(J468,SEARCH("购机",J468)+LEN("购机"),LEN(J468)),IF(ISNUMBER(SEARCH("叠放支架",J468)),"【赠品】"&amp;MID(J468,SEARCH("购机",J468)+LEN("购机"),LEN(J468)),IF(ISNUMBER(SEARCH("秀图",J468)),"【秀图】"&amp;MID(J468,SEARCH("秀图",J468)+LEN("秀图"),LEN(J468)),"")))),IFERROR(LEFT(_xlpm.A,FIND("【",_xlpm.A,FIND("】",_xlpm.A)+1)-1)&amp;MID(_xlpm.A,FIND("】",_xlpm.A,FIND("】",_xlpm.A)+1)+1,LEN(_xlpm.A)),_xlpm.A))</f>
        <v/>
      </c>
      <c r="F468" s="18" t="str">
        <f>_xlfn.LET(_xlpm.A,IF(ISNUMBER(SEARCH("晒单",K468)),"【晒单】"&amp;MID(K468,SEARCH("晒单",K468)+LEN("晒单"),LEN(K468))&amp;"（需晒单后联系客服登记）",IF(ISNUMBER(SEARCH("包修",K468)),"【购机】"&amp;MID(K468,SEARCH("购机",K468)+LEN("购机"),LEN(K468)),IF(ISNUMBER(SEARCH("叠放支架",K468)),"【赠品】"&amp;MID(K468,SEARCH("购机",K468)+LEN("购机"),LEN(K468)),IF(ISNUMBER(SEARCH("秀图",K468)),"【秀图】"&amp;MID(K468,SEARCH("秀图",K468)+LEN("秀图"),LEN(K468)),"")))),IFERROR(LEFT(_xlpm.A,FIND("【",_xlpm.A,FIND("】",_xlpm.A)+1)-1)&amp;MID(_xlpm.A,FIND("】",_xlpm.A,FIND("】",_xlpm.A)+1)+1,LEN(_xlpm.A)),_xlpm.A))</f>
        <v/>
      </c>
      <c r="G468" s="18" t="str">
        <f>_xlfn.LET(_xlpm.A,IF(ISNUMBER(SEARCH("晒单",L468)),"【晒单】"&amp;MID(L468,SEARCH("晒单",L468)+LEN("晒单"),LEN(L468))&amp;"（需晒单后联系客服登记）",IF(ISNUMBER(SEARCH("包修",L468)),"【购机】"&amp;MID(L468,SEARCH("购机",L468)+LEN("购机"),LEN(L468)),IF(ISNUMBER(SEARCH("叠放支架",L468)),"【赠品】"&amp;MID(L468,SEARCH("购机",L468)+LEN("购机"),LEN(L468)),IF(ISNUMBER(SEARCH("秀图",L468)),"【秀图】"&amp;MID(L468,SEARCH("秀图",L468)+LEN("秀图"),LEN(L468)),"")))),IFERROR(LEFT(_xlpm.A,FIND("【",_xlpm.A,FIND("】",_xlpm.A)+1)-1)&amp;MID(_xlpm.A,FIND("】",_xlpm.A,FIND("】",_xlpm.A)+1)+1,LEN(_xlpm.A)),_xlpm.A))</f>
        <v/>
      </c>
      <c r="H468" s="18" t="str">
        <f>_xlfn.LET(_xlpm.A,IF(ISNUMBER(SEARCH("晒单",M468)),"【晒单】"&amp;MID(M468,SEARCH("晒单",M468)+LEN("晒单"),LEN(M468))&amp;"（需晒单后联系客服登记）",IF(ISNUMBER(SEARCH("包修",M468)),"【购机】"&amp;MID(M468,SEARCH("购机",M468)+LEN("购机"),LEN(M468)),IF(ISNUMBER(SEARCH("叠放支架",M468)),"【赠品】"&amp;MID(M468,SEARCH("购机",M468)+LEN("购机"),LEN(M468)),IF(ISNUMBER(SEARCH("秀图",M468)),"【秀图】"&amp;MID(M468,SEARCH("秀图",M468)+LEN("秀图"),LEN(M468)),"")))),IFERROR(LEFT(_xlpm.A,FIND("【",_xlpm.A,FIND("】",_xlpm.A)+1)-1)&amp;MID(_xlpm.A,FIND("】",_xlpm.A,FIND("】",_xlpm.A)+1)+1,LEN(_xlpm.A)),_xlpm.A))</f>
        <v/>
      </c>
      <c r="I468" s="18" t="str">
        <f>_xlfn.LET(_xlpm.A,IF(ISNUMBER(SEARCH("晒单",N468)),"【晒单】"&amp;MID(N468,SEARCH("晒单",N468)+LEN("晒单"),LEN(N468))&amp;"（需晒单后联系客服登记）",IF(ISNUMBER(SEARCH("包修",N468)),"【购机】"&amp;MID(N468,SEARCH("购机",N468)+LEN("购机"),LEN(N468)),IF(ISNUMBER(SEARCH("叠放支架",N468)),"【赠品】"&amp;MID(N468,SEARCH("购机",N468)+LEN("购机"),LEN(N468)),IF(ISNUMBER(SEARCH("秀图",N468)),"【秀图】"&amp;MID(N468,SEARCH("秀图",N468)+LEN("秀图"),LEN(N468)),"")))),IFERROR(LEFT(_xlpm.A,FIND("【",_xlpm.A,FIND("】",_xlpm.A)+1)-1)&amp;MID(_xlpm.A,FIND("】",_xlpm.A,FIND("】",_xlpm.A)+1)+1,LEN(_xlpm.A)),_xlpm.A))</f>
        <v/>
      </c>
      <c r="J468" s="18" t="str" cm="1">
        <f t="array" ref="J468">IFERROR(INDEX(_xlfn.TEXTSPLIT(_xlfn.XLOOKUP($A468&amp;$B468&amp;$C468,盘货信息!$A:$A&amp;盘货信息!$B:$B&amp;盘货信息!$C:$C,盘货信息!$S:$S),CHAR(10),,TRUE),1,COLUMN(A467)),"")</f>
        <v/>
      </c>
      <c r="K468" s="18" t="str" cm="1">
        <f t="array" ref="K468">IFERROR(INDEX(_xlfn.TEXTSPLIT(_xlfn.XLOOKUP($A468&amp;$B468&amp;$C468,盘货信息!$A:$A&amp;盘货信息!$B:$B&amp;盘货信息!$C:$C,盘货信息!$S:$S),CHAR(10),,TRUE),1,COLUMN(B467)),"")</f>
        <v/>
      </c>
      <c r="L468" s="18" t="str" cm="1">
        <f t="array" ref="L468">IFERROR(INDEX(_xlfn.TEXTSPLIT(_xlfn.XLOOKUP($A468&amp;$B468&amp;$C468,盘货信息!$A:$A&amp;盘货信息!$B:$B&amp;盘货信息!$C:$C,盘货信息!$S:$S),CHAR(10),,TRUE),1,COLUMN(C467)),"")</f>
        <v/>
      </c>
      <c r="M468" s="18" t="str" cm="1">
        <f t="array" ref="M468">IFERROR(INDEX(_xlfn.TEXTSPLIT(_xlfn.XLOOKUP($A468&amp;$B468&amp;$C468,盘货信息!$A:$A&amp;盘货信息!$B:$B&amp;盘货信息!$C:$C,盘货信息!$S:$S),CHAR(10),,TRUE),1,COLUMN(D467)),"")</f>
        <v/>
      </c>
      <c r="N468" s="18" t="str" cm="1">
        <f t="array" ref="N468">IFERROR(INDEX(_xlfn.TEXTSPLIT(_xlfn.XLOOKUP($A468&amp;$B468&amp;$C468,盘货信息!$A:$A&amp;盘货信息!$B:$B&amp;盘货信息!$C:$C,盘货信息!$S:$S),CHAR(10),,TRUE),1,COLUMN(E467)),"")</f>
        <v/>
      </c>
    </row>
    <row r="469" customHeight="1" spans="1:14">
      <c r="A469" s="17" t="str">
        <f>IF(盘货信息!A469="","",盘货信息!A469)</f>
        <v/>
      </c>
      <c r="B469" s="17" t="str">
        <f>IF(盘货信息!B469="","",盘货信息!B469)</f>
        <v/>
      </c>
      <c r="C469" s="18" t="str">
        <f>IF(盘货信息!C469="","",盘货信息!C469)</f>
        <v/>
      </c>
      <c r="D469" s="18" t="str">
        <f t="shared" si="7"/>
        <v/>
      </c>
      <c r="E469" s="18" t="str">
        <f>_xlfn.LET(_xlpm.A,IF(ISNUMBER(SEARCH("晒单",J469)),"【晒单】"&amp;MID(J469,SEARCH("晒单",J469)+LEN("晒单"),LEN(J469))&amp;"（需晒单后联系客服登记）",IF(ISNUMBER(SEARCH("包修",J469)),"【购机】"&amp;MID(J469,SEARCH("购机",J469)+LEN("购机"),LEN(J469)),IF(ISNUMBER(SEARCH("叠放支架",J469)),"【赠品】"&amp;MID(J469,SEARCH("购机",J469)+LEN("购机"),LEN(J469)),IF(ISNUMBER(SEARCH("秀图",J469)),"【秀图】"&amp;MID(J469,SEARCH("秀图",J469)+LEN("秀图"),LEN(J469)),"")))),IFERROR(LEFT(_xlpm.A,FIND("【",_xlpm.A,FIND("】",_xlpm.A)+1)-1)&amp;MID(_xlpm.A,FIND("】",_xlpm.A,FIND("】",_xlpm.A)+1)+1,LEN(_xlpm.A)),_xlpm.A))</f>
        <v/>
      </c>
      <c r="F469" s="18" t="str">
        <f>_xlfn.LET(_xlpm.A,IF(ISNUMBER(SEARCH("晒单",K469)),"【晒单】"&amp;MID(K469,SEARCH("晒单",K469)+LEN("晒单"),LEN(K469))&amp;"（需晒单后联系客服登记）",IF(ISNUMBER(SEARCH("包修",K469)),"【购机】"&amp;MID(K469,SEARCH("购机",K469)+LEN("购机"),LEN(K469)),IF(ISNUMBER(SEARCH("叠放支架",K469)),"【赠品】"&amp;MID(K469,SEARCH("购机",K469)+LEN("购机"),LEN(K469)),IF(ISNUMBER(SEARCH("秀图",K469)),"【秀图】"&amp;MID(K469,SEARCH("秀图",K469)+LEN("秀图"),LEN(K469)),"")))),IFERROR(LEFT(_xlpm.A,FIND("【",_xlpm.A,FIND("】",_xlpm.A)+1)-1)&amp;MID(_xlpm.A,FIND("】",_xlpm.A,FIND("】",_xlpm.A)+1)+1,LEN(_xlpm.A)),_xlpm.A))</f>
        <v/>
      </c>
      <c r="G469" s="18" t="str">
        <f>_xlfn.LET(_xlpm.A,IF(ISNUMBER(SEARCH("晒单",L469)),"【晒单】"&amp;MID(L469,SEARCH("晒单",L469)+LEN("晒单"),LEN(L469))&amp;"（需晒单后联系客服登记）",IF(ISNUMBER(SEARCH("包修",L469)),"【购机】"&amp;MID(L469,SEARCH("购机",L469)+LEN("购机"),LEN(L469)),IF(ISNUMBER(SEARCH("叠放支架",L469)),"【赠品】"&amp;MID(L469,SEARCH("购机",L469)+LEN("购机"),LEN(L469)),IF(ISNUMBER(SEARCH("秀图",L469)),"【秀图】"&amp;MID(L469,SEARCH("秀图",L469)+LEN("秀图"),LEN(L469)),"")))),IFERROR(LEFT(_xlpm.A,FIND("【",_xlpm.A,FIND("】",_xlpm.A)+1)-1)&amp;MID(_xlpm.A,FIND("】",_xlpm.A,FIND("】",_xlpm.A)+1)+1,LEN(_xlpm.A)),_xlpm.A))</f>
        <v/>
      </c>
      <c r="H469" s="18" t="str">
        <f>_xlfn.LET(_xlpm.A,IF(ISNUMBER(SEARCH("晒单",M469)),"【晒单】"&amp;MID(M469,SEARCH("晒单",M469)+LEN("晒单"),LEN(M469))&amp;"（需晒单后联系客服登记）",IF(ISNUMBER(SEARCH("包修",M469)),"【购机】"&amp;MID(M469,SEARCH("购机",M469)+LEN("购机"),LEN(M469)),IF(ISNUMBER(SEARCH("叠放支架",M469)),"【赠品】"&amp;MID(M469,SEARCH("购机",M469)+LEN("购机"),LEN(M469)),IF(ISNUMBER(SEARCH("秀图",M469)),"【秀图】"&amp;MID(M469,SEARCH("秀图",M469)+LEN("秀图"),LEN(M469)),"")))),IFERROR(LEFT(_xlpm.A,FIND("【",_xlpm.A,FIND("】",_xlpm.A)+1)-1)&amp;MID(_xlpm.A,FIND("】",_xlpm.A,FIND("】",_xlpm.A)+1)+1,LEN(_xlpm.A)),_xlpm.A))</f>
        <v/>
      </c>
      <c r="I469" s="18" t="str">
        <f>_xlfn.LET(_xlpm.A,IF(ISNUMBER(SEARCH("晒单",N469)),"【晒单】"&amp;MID(N469,SEARCH("晒单",N469)+LEN("晒单"),LEN(N469))&amp;"（需晒单后联系客服登记）",IF(ISNUMBER(SEARCH("包修",N469)),"【购机】"&amp;MID(N469,SEARCH("购机",N469)+LEN("购机"),LEN(N469)),IF(ISNUMBER(SEARCH("叠放支架",N469)),"【赠品】"&amp;MID(N469,SEARCH("购机",N469)+LEN("购机"),LEN(N469)),IF(ISNUMBER(SEARCH("秀图",N469)),"【秀图】"&amp;MID(N469,SEARCH("秀图",N469)+LEN("秀图"),LEN(N469)),"")))),IFERROR(LEFT(_xlpm.A,FIND("【",_xlpm.A,FIND("】",_xlpm.A)+1)-1)&amp;MID(_xlpm.A,FIND("】",_xlpm.A,FIND("】",_xlpm.A)+1)+1,LEN(_xlpm.A)),_xlpm.A))</f>
        <v/>
      </c>
      <c r="J469" s="18" t="str" cm="1">
        <f t="array" ref="J469">IFERROR(INDEX(_xlfn.TEXTSPLIT(_xlfn.XLOOKUP($A469&amp;$B469&amp;$C469,盘货信息!$A:$A&amp;盘货信息!$B:$B&amp;盘货信息!$C:$C,盘货信息!$S:$S),CHAR(10),,TRUE),1,COLUMN(A468)),"")</f>
        <v/>
      </c>
      <c r="K469" s="18" t="str" cm="1">
        <f t="array" ref="K469">IFERROR(INDEX(_xlfn.TEXTSPLIT(_xlfn.XLOOKUP($A469&amp;$B469&amp;$C469,盘货信息!$A:$A&amp;盘货信息!$B:$B&amp;盘货信息!$C:$C,盘货信息!$S:$S),CHAR(10),,TRUE),1,COLUMN(B468)),"")</f>
        <v/>
      </c>
      <c r="L469" s="18" t="str" cm="1">
        <f t="array" ref="L469">IFERROR(INDEX(_xlfn.TEXTSPLIT(_xlfn.XLOOKUP($A469&amp;$B469&amp;$C469,盘货信息!$A:$A&amp;盘货信息!$B:$B&amp;盘货信息!$C:$C,盘货信息!$S:$S),CHAR(10),,TRUE),1,COLUMN(C468)),"")</f>
        <v/>
      </c>
      <c r="M469" s="18" t="str" cm="1">
        <f t="array" ref="M469">IFERROR(INDEX(_xlfn.TEXTSPLIT(_xlfn.XLOOKUP($A469&amp;$B469&amp;$C469,盘货信息!$A:$A&amp;盘货信息!$B:$B&amp;盘货信息!$C:$C,盘货信息!$S:$S),CHAR(10),,TRUE),1,COLUMN(D468)),"")</f>
        <v/>
      </c>
      <c r="N469" s="18" t="str" cm="1">
        <f t="array" ref="N469">IFERROR(INDEX(_xlfn.TEXTSPLIT(_xlfn.XLOOKUP($A469&amp;$B469&amp;$C469,盘货信息!$A:$A&amp;盘货信息!$B:$B&amp;盘货信息!$C:$C,盘货信息!$S:$S),CHAR(10),,TRUE),1,COLUMN(E468)),"")</f>
        <v/>
      </c>
    </row>
    <row r="470" customHeight="1" spans="1:14">
      <c r="A470" s="17" t="str">
        <f>IF(盘货信息!A470="","",盘货信息!A470)</f>
        <v/>
      </c>
      <c r="B470" s="17" t="str">
        <f>IF(盘货信息!B470="","",盘货信息!B470)</f>
        <v/>
      </c>
      <c r="C470" s="18" t="str">
        <f>IF(盘货信息!C470="","",盘货信息!C470)</f>
        <v/>
      </c>
      <c r="D470" s="18" t="str">
        <f t="shared" si="7"/>
        <v/>
      </c>
      <c r="E470" s="18" t="str">
        <f>_xlfn.LET(_xlpm.A,IF(ISNUMBER(SEARCH("晒单",J470)),"【晒单】"&amp;MID(J470,SEARCH("晒单",J470)+LEN("晒单"),LEN(J470))&amp;"（需晒单后联系客服登记）",IF(ISNUMBER(SEARCH("包修",J470)),"【购机】"&amp;MID(J470,SEARCH("购机",J470)+LEN("购机"),LEN(J470)),IF(ISNUMBER(SEARCH("叠放支架",J470)),"【赠品】"&amp;MID(J470,SEARCH("购机",J470)+LEN("购机"),LEN(J470)),IF(ISNUMBER(SEARCH("秀图",J470)),"【秀图】"&amp;MID(J470,SEARCH("秀图",J470)+LEN("秀图"),LEN(J470)),"")))),IFERROR(LEFT(_xlpm.A,FIND("【",_xlpm.A,FIND("】",_xlpm.A)+1)-1)&amp;MID(_xlpm.A,FIND("】",_xlpm.A,FIND("】",_xlpm.A)+1)+1,LEN(_xlpm.A)),_xlpm.A))</f>
        <v/>
      </c>
      <c r="F470" s="18" t="str">
        <f>_xlfn.LET(_xlpm.A,IF(ISNUMBER(SEARCH("晒单",K470)),"【晒单】"&amp;MID(K470,SEARCH("晒单",K470)+LEN("晒单"),LEN(K470))&amp;"（需晒单后联系客服登记）",IF(ISNUMBER(SEARCH("包修",K470)),"【购机】"&amp;MID(K470,SEARCH("购机",K470)+LEN("购机"),LEN(K470)),IF(ISNUMBER(SEARCH("叠放支架",K470)),"【赠品】"&amp;MID(K470,SEARCH("购机",K470)+LEN("购机"),LEN(K470)),IF(ISNUMBER(SEARCH("秀图",K470)),"【秀图】"&amp;MID(K470,SEARCH("秀图",K470)+LEN("秀图"),LEN(K470)),"")))),IFERROR(LEFT(_xlpm.A,FIND("【",_xlpm.A,FIND("】",_xlpm.A)+1)-1)&amp;MID(_xlpm.A,FIND("】",_xlpm.A,FIND("】",_xlpm.A)+1)+1,LEN(_xlpm.A)),_xlpm.A))</f>
        <v/>
      </c>
      <c r="G470" s="18" t="str">
        <f>_xlfn.LET(_xlpm.A,IF(ISNUMBER(SEARCH("晒单",L470)),"【晒单】"&amp;MID(L470,SEARCH("晒单",L470)+LEN("晒单"),LEN(L470))&amp;"（需晒单后联系客服登记）",IF(ISNUMBER(SEARCH("包修",L470)),"【购机】"&amp;MID(L470,SEARCH("购机",L470)+LEN("购机"),LEN(L470)),IF(ISNUMBER(SEARCH("叠放支架",L470)),"【赠品】"&amp;MID(L470,SEARCH("购机",L470)+LEN("购机"),LEN(L470)),IF(ISNUMBER(SEARCH("秀图",L470)),"【秀图】"&amp;MID(L470,SEARCH("秀图",L470)+LEN("秀图"),LEN(L470)),"")))),IFERROR(LEFT(_xlpm.A,FIND("【",_xlpm.A,FIND("】",_xlpm.A)+1)-1)&amp;MID(_xlpm.A,FIND("】",_xlpm.A,FIND("】",_xlpm.A)+1)+1,LEN(_xlpm.A)),_xlpm.A))</f>
        <v/>
      </c>
      <c r="H470" s="18" t="str">
        <f>_xlfn.LET(_xlpm.A,IF(ISNUMBER(SEARCH("晒单",M470)),"【晒单】"&amp;MID(M470,SEARCH("晒单",M470)+LEN("晒单"),LEN(M470))&amp;"（需晒单后联系客服登记）",IF(ISNUMBER(SEARCH("包修",M470)),"【购机】"&amp;MID(M470,SEARCH("购机",M470)+LEN("购机"),LEN(M470)),IF(ISNUMBER(SEARCH("叠放支架",M470)),"【赠品】"&amp;MID(M470,SEARCH("购机",M470)+LEN("购机"),LEN(M470)),IF(ISNUMBER(SEARCH("秀图",M470)),"【秀图】"&amp;MID(M470,SEARCH("秀图",M470)+LEN("秀图"),LEN(M470)),"")))),IFERROR(LEFT(_xlpm.A,FIND("【",_xlpm.A,FIND("】",_xlpm.A)+1)-1)&amp;MID(_xlpm.A,FIND("】",_xlpm.A,FIND("】",_xlpm.A)+1)+1,LEN(_xlpm.A)),_xlpm.A))</f>
        <v/>
      </c>
      <c r="I470" s="18" t="str">
        <f>_xlfn.LET(_xlpm.A,IF(ISNUMBER(SEARCH("晒单",N470)),"【晒单】"&amp;MID(N470,SEARCH("晒单",N470)+LEN("晒单"),LEN(N470))&amp;"（需晒单后联系客服登记）",IF(ISNUMBER(SEARCH("包修",N470)),"【购机】"&amp;MID(N470,SEARCH("购机",N470)+LEN("购机"),LEN(N470)),IF(ISNUMBER(SEARCH("叠放支架",N470)),"【赠品】"&amp;MID(N470,SEARCH("购机",N470)+LEN("购机"),LEN(N470)),IF(ISNUMBER(SEARCH("秀图",N470)),"【秀图】"&amp;MID(N470,SEARCH("秀图",N470)+LEN("秀图"),LEN(N470)),"")))),IFERROR(LEFT(_xlpm.A,FIND("【",_xlpm.A,FIND("】",_xlpm.A)+1)-1)&amp;MID(_xlpm.A,FIND("】",_xlpm.A,FIND("】",_xlpm.A)+1)+1,LEN(_xlpm.A)),_xlpm.A))</f>
        <v/>
      </c>
      <c r="J470" s="18" t="str" cm="1">
        <f t="array" ref="J470">IFERROR(INDEX(_xlfn.TEXTSPLIT(_xlfn.XLOOKUP($A470&amp;$B470&amp;$C470,盘货信息!$A:$A&amp;盘货信息!$B:$B&amp;盘货信息!$C:$C,盘货信息!$S:$S),CHAR(10),,TRUE),1,COLUMN(A469)),"")</f>
        <v/>
      </c>
      <c r="K470" s="18" t="str" cm="1">
        <f t="array" ref="K470">IFERROR(INDEX(_xlfn.TEXTSPLIT(_xlfn.XLOOKUP($A470&amp;$B470&amp;$C470,盘货信息!$A:$A&amp;盘货信息!$B:$B&amp;盘货信息!$C:$C,盘货信息!$S:$S),CHAR(10),,TRUE),1,COLUMN(B469)),"")</f>
        <v/>
      </c>
      <c r="L470" s="18" t="str" cm="1">
        <f t="array" ref="L470">IFERROR(INDEX(_xlfn.TEXTSPLIT(_xlfn.XLOOKUP($A470&amp;$B470&amp;$C470,盘货信息!$A:$A&amp;盘货信息!$B:$B&amp;盘货信息!$C:$C,盘货信息!$S:$S),CHAR(10),,TRUE),1,COLUMN(C469)),"")</f>
        <v/>
      </c>
      <c r="M470" s="18" t="str" cm="1">
        <f t="array" ref="M470">IFERROR(INDEX(_xlfn.TEXTSPLIT(_xlfn.XLOOKUP($A470&amp;$B470&amp;$C470,盘货信息!$A:$A&amp;盘货信息!$B:$B&amp;盘货信息!$C:$C,盘货信息!$S:$S),CHAR(10),,TRUE),1,COLUMN(D469)),"")</f>
        <v/>
      </c>
      <c r="N470" s="18" t="str" cm="1">
        <f t="array" ref="N470">IFERROR(INDEX(_xlfn.TEXTSPLIT(_xlfn.XLOOKUP($A470&amp;$B470&amp;$C470,盘货信息!$A:$A&amp;盘货信息!$B:$B&amp;盘货信息!$C:$C,盘货信息!$S:$S),CHAR(10),,TRUE),1,COLUMN(E469)),"")</f>
        <v/>
      </c>
    </row>
    <row r="471" customHeight="1" spans="1:14">
      <c r="A471" s="17" t="str">
        <f>IF(盘货信息!A471="","",盘货信息!A471)</f>
        <v/>
      </c>
      <c r="B471" s="17" t="str">
        <f>IF(盘货信息!B471="","",盘货信息!B471)</f>
        <v/>
      </c>
      <c r="C471" s="18" t="str">
        <f>IF(盘货信息!C471="","",盘货信息!C471)</f>
        <v/>
      </c>
      <c r="D471" s="18" t="str">
        <f t="shared" si="7"/>
        <v/>
      </c>
      <c r="E471" s="18" t="str">
        <f>_xlfn.LET(_xlpm.A,IF(ISNUMBER(SEARCH("晒单",J471)),"【晒单】"&amp;MID(J471,SEARCH("晒单",J471)+LEN("晒单"),LEN(J471))&amp;"（需晒单后联系客服登记）",IF(ISNUMBER(SEARCH("包修",J471)),"【购机】"&amp;MID(J471,SEARCH("购机",J471)+LEN("购机"),LEN(J471)),IF(ISNUMBER(SEARCH("叠放支架",J471)),"【赠品】"&amp;MID(J471,SEARCH("购机",J471)+LEN("购机"),LEN(J471)),IF(ISNUMBER(SEARCH("秀图",J471)),"【秀图】"&amp;MID(J471,SEARCH("秀图",J471)+LEN("秀图"),LEN(J471)),"")))),IFERROR(LEFT(_xlpm.A,FIND("【",_xlpm.A,FIND("】",_xlpm.A)+1)-1)&amp;MID(_xlpm.A,FIND("】",_xlpm.A,FIND("】",_xlpm.A)+1)+1,LEN(_xlpm.A)),_xlpm.A))</f>
        <v/>
      </c>
      <c r="F471" s="18" t="str">
        <f>_xlfn.LET(_xlpm.A,IF(ISNUMBER(SEARCH("晒单",K471)),"【晒单】"&amp;MID(K471,SEARCH("晒单",K471)+LEN("晒单"),LEN(K471))&amp;"（需晒单后联系客服登记）",IF(ISNUMBER(SEARCH("包修",K471)),"【购机】"&amp;MID(K471,SEARCH("购机",K471)+LEN("购机"),LEN(K471)),IF(ISNUMBER(SEARCH("叠放支架",K471)),"【赠品】"&amp;MID(K471,SEARCH("购机",K471)+LEN("购机"),LEN(K471)),IF(ISNUMBER(SEARCH("秀图",K471)),"【秀图】"&amp;MID(K471,SEARCH("秀图",K471)+LEN("秀图"),LEN(K471)),"")))),IFERROR(LEFT(_xlpm.A,FIND("【",_xlpm.A,FIND("】",_xlpm.A)+1)-1)&amp;MID(_xlpm.A,FIND("】",_xlpm.A,FIND("】",_xlpm.A)+1)+1,LEN(_xlpm.A)),_xlpm.A))</f>
        <v/>
      </c>
      <c r="G471" s="18" t="str">
        <f>_xlfn.LET(_xlpm.A,IF(ISNUMBER(SEARCH("晒单",L471)),"【晒单】"&amp;MID(L471,SEARCH("晒单",L471)+LEN("晒单"),LEN(L471))&amp;"（需晒单后联系客服登记）",IF(ISNUMBER(SEARCH("包修",L471)),"【购机】"&amp;MID(L471,SEARCH("购机",L471)+LEN("购机"),LEN(L471)),IF(ISNUMBER(SEARCH("叠放支架",L471)),"【赠品】"&amp;MID(L471,SEARCH("购机",L471)+LEN("购机"),LEN(L471)),IF(ISNUMBER(SEARCH("秀图",L471)),"【秀图】"&amp;MID(L471,SEARCH("秀图",L471)+LEN("秀图"),LEN(L471)),"")))),IFERROR(LEFT(_xlpm.A,FIND("【",_xlpm.A,FIND("】",_xlpm.A)+1)-1)&amp;MID(_xlpm.A,FIND("】",_xlpm.A,FIND("】",_xlpm.A)+1)+1,LEN(_xlpm.A)),_xlpm.A))</f>
        <v/>
      </c>
      <c r="H471" s="18" t="str">
        <f>_xlfn.LET(_xlpm.A,IF(ISNUMBER(SEARCH("晒单",M471)),"【晒单】"&amp;MID(M471,SEARCH("晒单",M471)+LEN("晒单"),LEN(M471))&amp;"（需晒单后联系客服登记）",IF(ISNUMBER(SEARCH("包修",M471)),"【购机】"&amp;MID(M471,SEARCH("购机",M471)+LEN("购机"),LEN(M471)),IF(ISNUMBER(SEARCH("叠放支架",M471)),"【赠品】"&amp;MID(M471,SEARCH("购机",M471)+LEN("购机"),LEN(M471)),IF(ISNUMBER(SEARCH("秀图",M471)),"【秀图】"&amp;MID(M471,SEARCH("秀图",M471)+LEN("秀图"),LEN(M471)),"")))),IFERROR(LEFT(_xlpm.A,FIND("【",_xlpm.A,FIND("】",_xlpm.A)+1)-1)&amp;MID(_xlpm.A,FIND("】",_xlpm.A,FIND("】",_xlpm.A)+1)+1,LEN(_xlpm.A)),_xlpm.A))</f>
        <v/>
      </c>
      <c r="I471" s="18" t="str">
        <f>_xlfn.LET(_xlpm.A,IF(ISNUMBER(SEARCH("晒单",N471)),"【晒单】"&amp;MID(N471,SEARCH("晒单",N471)+LEN("晒单"),LEN(N471))&amp;"（需晒单后联系客服登记）",IF(ISNUMBER(SEARCH("包修",N471)),"【购机】"&amp;MID(N471,SEARCH("购机",N471)+LEN("购机"),LEN(N471)),IF(ISNUMBER(SEARCH("叠放支架",N471)),"【赠品】"&amp;MID(N471,SEARCH("购机",N471)+LEN("购机"),LEN(N471)),IF(ISNUMBER(SEARCH("秀图",N471)),"【秀图】"&amp;MID(N471,SEARCH("秀图",N471)+LEN("秀图"),LEN(N471)),"")))),IFERROR(LEFT(_xlpm.A,FIND("【",_xlpm.A,FIND("】",_xlpm.A)+1)-1)&amp;MID(_xlpm.A,FIND("】",_xlpm.A,FIND("】",_xlpm.A)+1)+1,LEN(_xlpm.A)),_xlpm.A))</f>
        <v/>
      </c>
      <c r="J471" s="18" t="str" cm="1">
        <f t="array" ref="J471">IFERROR(INDEX(_xlfn.TEXTSPLIT(_xlfn.XLOOKUP($A471&amp;$B471&amp;$C471,盘货信息!$A:$A&amp;盘货信息!$B:$B&amp;盘货信息!$C:$C,盘货信息!$S:$S),CHAR(10),,TRUE),1,COLUMN(A470)),"")</f>
        <v/>
      </c>
      <c r="K471" s="18" t="str" cm="1">
        <f t="array" ref="K471">IFERROR(INDEX(_xlfn.TEXTSPLIT(_xlfn.XLOOKUP($A471&amp;$B471&amp;$C471,盘货信息!$A:$A&amp;盘货信息!$B:$B&amp;盘货信息!$C:$C,盘货信息!$S:$S),CHAR(10),,TRUE),1,COLUMN(B470)),"")</f>
        <v/>
      </c>
      <c r="L471" s="18" t="str" cm="1">
        <f t="array" ref="L471">IFERROR(INDEX(_xlfn.TEXTSPLIT(_xlfn.XLOOKUP($A471&amp;$B471&amp;$C471,盘货信息!$A:$A&amp;盘货信息!$B:$B&amp;盘货信息!$C:$C,盘货信息!$S:$S),CHAR(10),,TRUE),1,COLUMN(C470)),"")</f>
        <v/>
      </c>
      <c r="M471" s="18" t="str" cm="1">
        <f t="array" ref="M471">IFERROR(INDEX(_xlfn.TEXTSPLIT(_xlfn.XLOOKUP($A471&amp;$B471&amp;$C471,盘货信息!$A:$A&amp;盘货信息!$B:$B&amp;盘货信息!$C:$C,盘货信息!$S:$S),CHAR(10),,TRUE),1,COLUMN(D470)),"")</f>
        <v/>
      </c>
      <c r="N471" s="18" t="str" cm="1">
        <f t="array" ref="N471">IFERROR(INDEX(_xlfn.TEXTSPLIT(_xlfn.XLOOKUP($A471&amp;$B471&amp;$C471,盘货信息!$A:$A&amp;盘货信息!$B:$B&amp;盘货信息!$C:$C,盘货信息!$S:$S),CHAR(10),,TRUE),1,COLUMN(E470)),"")</f>
        <v/>
      </c>
    </row>
    <row r="472" customHeight="1" spans="1:14">
      <c r="A472" s="17" t="str">
        <f>IF(盘货信息!A472="","",盘货信息!A472)</f>
        <v/>
      </c>
      <c r="B472" s="17" t="str">
        <f>IF(盘货信息!B472="","",盘货信息!B472)</f>
        <v/>
      </c>
      <c r="C472" s="18" t="str">
        <f>IF(盘货信息!C472="","",盘货信息!C472)</f>
        <v/>
      </c>
      <c r="D472" s="18" t="str">
        <f t="shared" si="7"/>
        <v/>
      </c>
      <c r="E472" s="18" t="str">
        <f>_xlfn.LET(_xlpm.A,IF(ISNUMBER(SEARCH("晒单",J472)),"【晒单】"&amp;MID(J472,SEARCH("晒单",J472)+LEN("晒单"),LEN(J472))&amp;"（需晒单后联系客服登记）",IF(ISNUMBER(SEARCH("包修",J472)),"【购机】"&amp;MID(J472,SEARCH("购机",J472)+LEN("购机"),LEN(J472)),IF(ISNUMBER(SEARCH("叠放支架",J472)),"【赠品】"&amp;MID(J472,SEARCH("购机",J472)+LEN("购机"),LEN(J472)),IF(ISNUMBER(SEARCH("秀图",J472)),"【秀图】"&amp;MID(J472,SEARCH("秀图",J472)+LEN("秀图"),LEN(J472)),"")))),IFERROR(LEFT(_xlpm.A,FIND("【",_xlpm.A,FIND("】",_xlpm.A)+1)-1)&amp;MID(_xlpm.A,FIND("】",_xlpm.A,FIND("】",_xlpm.A)+1)+1,LEN(_xlpm.A)),_xlpm.A))</f>
        <v/>
      </c>
      <c r="F472" s="18" t="str">
        <f>_xlfn.LET(_xlpm.A,IF(ISNUMBER(SEARCH("晒单",K472)),"【晒单】"&amp;MID(K472,SEARCH("晒单",K472)+LEN("晒单"),LEN(K472))&amp;"（需晒单后联系客服登记）",IF(ISNUMBER(SEARCH("包修",K472)),"【购机】"&amp;MID(K472,SEARCH("购机",K472)+LEN("购机"),LEN(K472)),IF(ISNUMBER(SEARCH("叠放支架",K472)),"【赠品】"&amp;MID(K472,SEARCH("购机",K472)+LEN("购机"),LEN(K472)),IF(ISNUMBER(SEARCH("秀图",K472)),"【秀图】"&amp;MID(K472,SEARCH("秀图",K472)+LEN("秀图"),LEN(K472)),"")))),IFERROR(LEFT(_xlpm.A,FIND("【",_xlpm.A,FIND("】",_xlpm.A)+1)-1)&amp;MID(_xlpm.A,FIND("】",_xlpm.A,FIND("】",_xlpm.A)+1)+1,LEN(_xlpm.A)),_xlpm.A))</f>
        <v/>
      </c>
      <c r="G472" s="18" t="str">
        <f>_xlfn.LET(_xlpm.A,IF(ISNUMBER(SEARCH("晒单",L472)),"【晒单】"&amp;MID(L472,SEARCH("晒单",L472)+LEN("晒单"),LEN(L472))&amp;"（需晒单后联系客服登记）",IF(ISNUMBER(SEARCH("包修",L472)),"【购机】"&amp;MID(L472,SEARCH("购机",L472)+LEN("购机"),LEN(L472)),IF(ISNUMBER(SEARCH("叠放支架",L472)),"【赠品】"&amp;MID(L472,SEARCH("购机",L472)+LEN("购机"),LEN(L472)),IF(ISNUMBER(SEARCH("秀图",L472)),"【秀图】"&amp;MID(L472,SEARCH("秀图",L472)+LEN("秀图"),LEN(L472)),"")))),IFERROR(LEFT(_xlpm.A,FIND("【",_xlpm.A,FIND("】",_xlpm.A)+1)-1)&amp;MID(_xlpm.A,FIND("】",_xlpm.A,FIND("】",_xlpm.A)+1)+1,LEN(_xlpm.A)),_xlpm.A))</f>
        <v/>
      </c>
      <c r="H472" s="18" t="str">
        <f>_xlfn.LET(_xlpm.A,IF(ISNUMBER(SEARCH("晒单",M472)),"【晒单】"&amp;MID(M472,SEARCH("晒单",M472)+LEN("晒单"),LEN(M472))&amp;"（需晒单后联系客服登记）",IF(ISNUMBER(SEARCH("包修",M472)),"【购机】"&amp;MID(M472,SEARCH("购机",M472)+LEN("购机"),LEN(M472)),IF(ISNUMBER(SEARCH("叠放支架",M472)),"【赠品】"&amp;MID(M472,SEARCH("购机",M472)+LEN("购机"),LEN(M472)),IF(ISNUMBER(SEARCH("秀图",M472)),"【秀图】"&amp;MID(M472,SEARCH("秀图",M472)+LEN("秀图"),LEN(M472)),"")))),IFERROR(LEFT(_xlpm.A,FIND("【",_xlpm.A,FIND("】",_xlpm.A)+1)-1)&amp;MID(_xlpm.A,FIND("】",_xlpm.A,FIND("】",_xlpm.A)+1)+1,LEN(_xlpm.A)),_xlpm.A))</f>
        <v/>
      </c>
      <c r="I472" s="18" t="str">
        <f>_xlfn.LET(_xlpm.A,IF(ISNUMBER(SEARCH("晒单",N472)),"【晒单】"&amp;MID(N472,SEARCH("晒单",N472)+LEN("晒单"),LEN(N472))&amp;"（需晒单后联系客服登记）",IF(ISNUMBER(SEARCH("包修",N472)),"【购机】"&amp;MID(N472,SEARCH("购机",N472)+LEN("购机"),LEN(N472)),IF(ISNUMBER(SEARCH("叠放支架",N472)),"【赠品】"&amp;MID(N472,SEARCH("购机",N472)+LEN("购机"),LEN(N472)),IF(ISNUMBER(SEARCH("秀图",N472)),"【秀图】"&amp;MID(N472,SEARCH("秀图",N472)+LEN("秀图"),LEN(N472)),"")))),IFERROR(LEFT(_xlpm.A,FIND("【",_xlpm.A,FIND("】",_xlpm.A)+1)-1)&amp;MID(_xlpm.A,FIND("】",_xlpm.A,FIND("】",_xlpm.A)+1)+1,LEN(_xlpm.A)),_xlpm.A))</f>
        <v/>
      </c>
      <c r="J472" s="18" t="str" cm="1">
        <f t="array" ref="J472">IFERROR(INDEX(_xlfn.TEXTSPLIT(_xlfn.XLOOKUP($A472&amp;$B472&amp;$C472,盘货信息!$A:$A&amp;盘货信息!$B:$B&amp;盘货信息!$C:$C,盘货信息!$S:$S),CHAR(10),,TRUE),1,COLUMN(A471)),"")</f>
        <v/>
      </c>
      <c r="K472" s="18" t="str" cm="1">
        <f t="array" ref="K472">IFERROR(INDEX(_xlfn.TEXTSPLIT(_xlfn.XLOOKUP($A472&amp;$B472&amp;$C472,盘货信息!$A:$A&amp;盘货信息!$B:$B&amp;盘货信息!$C:$C,盘货信息!$S:$S),CHAR(10),,TRUE),1,COLUMN(B471)),"")</f>
        <v/>
      </c>
      <c r="L472" s="18" t="str" cm="1">
        <f t="array" ref="L472">IFERROR(INDEX(_xlfn.TEXTSPLIT(_xlfn.XLOOKUP($A472&amp;$B472&amp;$C472,盘货信息!$A:$A&amp;盘货信息!$B:$B&amp;盘货信息!$C:$C,盘货信息!$S:$S),CHAR(10),,TRUE),1,COLUMN(C471)),"")</f>
        <v/>
      </c>
      <c r="M472" s="18" t="str" cm="1">
        <f t="array" ref="M472">IFERROR(INDEX(_xlfn.TEXTSPLIT(_xlfn.XLOOKUP($A472&amp;$B472&amp;$C472,盘货信息!$A:$A&amp;盘货信息!$B:$B&amp;盘货信息!$C:$C,盘货信息!$S:$S),CHAR(10),,TRUE),1,COLUMN(D471)),"")</f>
        <v/>
      </c>
      <c r="N472" s="18" t="str" cm="1">
        <f t="array" ref="N472">IFERROR(INDEX(_xlfn.TEXTSPLIT(_xlfn.XLOOKUP($A472&amp;$B472&amp;$C472,盘货信息!$A:$A&amp;盘货信息!$B:$B&amp;盘货信息!$C:$C,盘货信息!$S:$S),CHAR(10),,TRUE),1,COLUMN(E471)),"")</f>
        <v/>
      </c>
    </row>
    <row r="473" customHeight="1" spans="1:14">
      <c r="A473" s="17" t="str">
        <f>IF(盘货信息!A473="","",盘货信息!A473)</f>
        <v/>
      </c>
      <c r="B473" s="17" t="str">
        <f>IF(盘货信息!B473="","",盘货信息!B473)</f>
        <v/>
      </c>
      <c r="C473" s="18" t="str">
        <f>IF(盘货信息!C473="","",盘货信息!C473)</f>
        <v/>
      </c>
      <c r="D473" s="18" t="str">
        <f t="shared" si="7"/>
        <v/>
      </c>
      <c r="E473" s="18" t="str">
        <f>_xlfn.LET(_xlpm.A,IF(ISNUMBER(SEARCH("晒单",J473)),"【晒单】"&amp;MID(J473,SEARCH("晒单",J473)+LEN("晒单"),LEN(J473))&amp;"（需晒单后联系客服登记）",IF(ISNUMBER(SEARCH("包修",J473)),"【购机】"&amp;MID(J473,SEARCH("购机",J473)+LEN("购机"),LEN(J473)),IF(ISNUMBER(SEARCH("叠放支架",J473)),"【赠品】"&amp;MID(J473,SEARCH("购机",J473)+LEN("购机"),LEN(J473)),IF(ISNUMBER(SEARCH("秀图",J473)),"【秀图】"&amp;MID(J473,SEARCH("秀图",J473)+LEN("秀图"),LEN(J473)),"")))),IFERROR(LEFT(_xlpm.A,FIND("【",_xlpm.A,FIND("】",_xlpm.A)+1)-1)&amp;MID(_xlpm.A,FIND("】",_xlpm.A,FIND("】",_xlpm.A)+1)+1,LEN(_xlpm.A)),_xlpm.A))</f>
        <v/>
      </c>
      <c r="F473" s="18" t="str">
        <f>_xlfn.LET(_xlpm.A,IF(ISNUMBER(SEARCH("晒单",K473)),"【晒单】"&amp;MID(K473,SEARCH("晒单",K473)+LEN("晒单"),LEN(K473))&amp;"（需晒单后联系客服登记）",IF(ISNUMBER(SEARCH("包修",K473)),"【购机】"&amp;MID(K473,SEARCH("购机",K473)+LEN("购机"),LEN(K473)),IF(ISNUMBER(SEARCH("叠放支架",K473)),"【赠品】"&amp;MID(K473,SEARCH("购机",K473)+LEN("购机"),LEN(K473)),IF(ISNUMBER(SEARCH("秀图",K473)),"【秀图】"&amp;MID(K473,SEARCH("秀图",K473)+LEN("秀图"),LEN(K473)),"")))),IFERROR(LEFT(_xlpm.A,FIND("【",_xlpm.A,FIND("】",_xlpm.A)+1)-1)&amp;MID(_xlpm.A,FIND("】",_xlpm.A,FIND("】",_xlpm.A)+1)+1,LEN(_xlpm.A)),_xlpm.A))</f>
        <v/>
      </c>
      <c r="G473" s="18" t="str">
        <f>_xlfn.LET(_xlpm.A,IF(ISNUMBER(SEARCH("晒单",L473)),"【晒单】"&amp;MID(L473,SEARCH("晒单",L473)+LEN("晒单"),LEN(L473))&amp;"（需晒单后联系客服登记）",IF(ISNUMBER(SEARCH("包修",L473)),"【购机】"&amp;MID(L473,SEARCH("购机",L473)+LEN("购机"),LEN(L473)),IF(ISNUMBER(SEARCH("叠放支架",L473)),"【赠品】"&amp;MID(L473,SEARCH("购机",L473)+LEN("购机"),LEN(L473)),IF(ISNUMBER(SEARCH("秀图",L473)),"【秀图】"&amp;MID(L473,SEARCH("秀图",L473)+LEN("秀图"),LEN(L473)),"")))),IFERROR(LEFT(_xlpm.A,FIND("【",_xlpm.A,FIND("】",_xlpm.A)+1)-1)&amp;MID(_xlpm.A,FIND("】",_xlpm.A,FIND("】",_xlpm.A)+1)+1,LEN(_xlpm.A)),_xlpm.A))</f>
        <v/>
      </c>
      <c r="H473" s="18" t="str">
        <f>_xlfn.LET(_xlpm.A,IF(ISNUMBER(SEARCH("晒单",M473)),"【晒单】"&amp;MID(M473,SEARCH("晒单",M473)+LEN("晒单"),LEN(M473))&amp;"（需晒单后联系客服登记）",IF(ISNUMBER(SEARCH("包修",M473)),"【购机】"&amp;MID(M473,SEARCH("购机",M473)+LEN("购机"),LEN(M473)),IF(ISNUMBER(SEARCH("叠放支架",M473)),"【赠品】"&amp;MID(M473,SEARCH("购机",M473)+LEN("购机"),LEN(M473)),IF(ISNUMBER(SEARCH("秀图",M473)),"【秀图】"&amp;MID(M473,SEARCH("秀图",M473)+LEN("秀图"),LEN(M473)),"")))),IFERROR(LEFT(_xlpm.A,FIND("【",_xlpm.A,FIND("】",_xlpm.A)+1)-1)&amp;MID(_xlpm.A,FIND("】",_xlpm.A,FIND("】",_xlpm.A)+1)+1,LEN(_xlpm.A)),_xlpm.A))</f>
        <v/>
      </c>
      <c r="I473" s="18" t="str">
        <f>_xlfn.LET(_xlpm.A,IF(ISNUMBER(SEARCH("晒单",N473)),"【晒单】"&amp;MID(N473,SEARCH("晒单",N473)+LEN("晒单"),LEN(N473))&amp;"（需晒单后联系客服登记）",IF(ISNUMBER(SEARCH("包修",N473)),"【购机】"&amp;MID(N473,SEARCH("购机",N473)+LEN("购机"),LEN(N473)),IF(ISNUMBER(SEARCH("叠放支架",N473)),"【赠品】"&amp;MID(N473,SEARCH("购机",N473)+LEN("购机"),LEN(N473)),IF(ISNUMBER(SEARCH("秀图",N473)),"【秀图】"&amp;MID(N473,SEARCH("秀图",N473)+LEN("秀图"),LEN(N473)),"")))),IFERROR(LEFT(_xlpm.A,FIND("【",_xlpm.A,FIND("】",_xlpm.A)+1)-1)&amp;MID(_xlpm.A,FIND("】",_xlpm.A,FIND("】",_xlpm.A)+1)+1,LEN(_xlpm.A)),_xlpm.A))</f>
        <v/>
      </c>
      <c r="J473" s="18" t="str" cm="1">
        <f t="array" ref="J473">IFERROR(INDEX(_xlfn.TEXTSPLIT(_xlfn.XLOOKUP($A473&amp;$B473&amp;$C473,盘货信息!$A:$A&amp;盘货信息!$B:$B&amp;盘货信息!$C:$C,盘货信息!$S:$S),CHAR(10),,TRUE),1,COLUMN(A472)),"")</f>
        <v/>
      </c>
      <c r="K473" s="18" t="str" cm="1">
        <f t="array" ref="K473">IFERROR(INDEX(_xlfn.TEXTSPLIT(_xlfn.XLOOKUP($A473&amp;$B473&amp;$C473,盘货信息!$A:$A&amp;盘货信息!$B:$B&amp;盘货信息!$C:$C,盘货信息!$S:$S),CHAR(10),,TRUE),1,COLUMN(B472)),"")</f>
        <v/>
      </c>
      <c r="L473" s="18" t="str" cm="1">
        <f t="array" ref="L473">IFERROR(INDEX(_xlfn.TEXTSPLIT(_xlfn.XLOOKUP($A473&amp;$B473&amp;$C473,盘货信息!$A:$A&amp;盘货信息!$B:$B&amp;盘货信息!$C:$C,盘货信息!$S:$S),CHAR(10),,TRUE),1,COLUMN(C472)),"")</f>
        <v/>
      </c>
      <c r="M473" s="18" t="str" cm="1">
        <f t="array" ref="M473">IFERROR(INDEX(_xlfn.TEXTSPLIT(_xlfn.XLOOKUP($A473&amp;$B473&amp;$C473,盘货信息!$A:$A&amp;盘货信息!$B:$B&amp;盘货信息!$C:$C,盘货信息!$S:$S),CHAR(10),,TRUE),1,COLUMN(D472)),"")</f>
        <v/>
      </c>
      <c r="N473" s="18" t="str" cm="1">
        <f t="array" ref="N473">IFERROR(INDEX(_xlfn.TEXTSPLIT(_xlfn.XLOOKUP($A473&amp;$B473&amp;$C473,盘货信息!$A:$A&amp;盘货信息!$B:$B&amp;盘货信息!$C:$C,盘货信息!$S:$S),CHAR(10),,TRUE),1,COLUMN(E472)),"")</f>
        <v/>
      </c>
    </row>
    <row r="474" customHeight="1" spans="1:14">
      <c r="A474" s="17" t="str">
        <f>IF(盘货信息!A474="","",盘货信息!A474)</f>
        <v/>
      </c>
      <c r="B474" s="17" t="str">
        <f>IF(盘货信息!B474="","",盘货信息!B474)</f>
        <v/>
      </c>
      <c r="C474" s="18" t="str">
        <f>IF(盘货信息!C474="","",盘货信息!C474)</f>
        <v/>
      </c>
      <c r="D474" s="18" t="str">
        <f t="shared" si="7"/>
        <v/>
      </c>
      <c r="E474" s="18" t="str">
        <f>_xlfn.LET(_xlpm.A,IF(ISNUMBER(SEARCH("晒单",J474)),"【晒单】"&amp;MID(J474,SEARCH("晒单",J474)+LEN("晒单"),LEN(J474))&amp;"（需晒单后联系客服登记）",IF(ISNUMBER(SEARCH("包修",J474)),"【购机】"&amp;MID(J474,SEARCH("购机",J474)+LEN("购机"),LEN(J474)),IF(ISNUMBER(SEARCH("叠放支架",J474)),"【赠品】"&amp;MID(J474,SEARCH("购机",J474)+LEN("购机"),LEN(J474)),IF(ISNUMBER(SEARCH("秀图",J474)),"【秀图】"&amp;MID(J474,SEARCH("秀图",J474)+LEN("秀图"),LEN(J474)),"")))),IFERROR(LEFT(_xlpm.A,FIND("【",_xlpm.A,FIND("】",_xlpm.A)+1)-1)&amp;MID(_xlpm.A,FIND("】",_xlpm.A,FIND("】",_xlpm.A)+1)+1,LEN(_xlpm.A)),_xlpm.A))</f>
        <v/>
      </c>
      <c r="F474" s="18" t="str">
        <f>_xlfn.LET(_xlpm.A,IF(ISNUMBER(SEARCH("晒单",K474)),"【晒单】"&amp;MID(K474,SEARCH("晒单",K474)+LEN("晒单"),LEN(K474))&amp;"（需晒单后联系客服登记）",IF(ISNUMBER(SEARCH("包修",K474)),"【购机】"&amp;MID(K474,SEARCH("购机",K474)+LEN("购机"),LEN(K474)),IF(ISNUMBER(SEARCH("叠放支架",K474)),"【赠品】"&amp;MID(K474,SEARCH("购机",K474)+LEN("购机"),LEN(K474)),IF(ISNUMBER(SEARCH("秀图",K474)),"【秀图】"&amp;MID(K474,SEARCH("秀图",K474)+LEN("秀图"),LEN(K474)),"")))),IFERROR(LEFT(_xlpm.A,FIND("【",_xlpm.A,FIND("】",_xlpm.A)+1)-1)&amp;MID(_xlpm.A,FIND("】",_xlpm.A,FIND("】",_xlpm.A)+1)+1,LEN(_xlpm.A)),_xlpm.A))</f>
        <v/>
      </c>
      <c r="G474" s="18" t="str">
        <f>_xlfn.LET(_xlpm.A,IF(ISNUMBER(SEARCH("晒单",L474)),"【晒单】"&amp;MID(L474,SEARCH("晒单",L474)+LEN("晒单"),LEN(L474))&amp;"（需晒单后联系客服登记）",IF(ISNUMBER(SEARCH("包修",L474)),"【购机】"&amp;MID(L474,SEARCH("购机",L474)+LEN("购机"),LEN(L474)),IF(ISNUMBER(SEARCH("叠放支架",L474)),"【赠品】"&amp;MID(L474,SEARCH("购机",L474)+LEN("购机"),LEN(L474)),IF(ISNUMBER(SEARCH("秀图",L474)),"【秀图】"&amp;MID(L474,SEARCH("秀图",L474)+LEN("秀图"),LEN(L474)),"")))),IFERROR(LEFT(_xlpm.A,FIND("【",_xlpm.A,FIND("】",_xlpm.A)+1)-1)&amp;MID(_xlpm.A,FIND("】",_xlpm.A,FIND("】",_xlpm.A)+1)+1,LEN(_xlpm.A)),_xlpm.A))</f>
        <v/>
      </c>
      <c r="H474" s="18" t="str">
        <f>_xlfn.LET(_xlpm.A,IF(ISNUMBER(SEARCH("晒单",M474)),"【晒单】"&amp;MID(M474,SEARCH("晒单",M474)+LEN("晒单"),LEN(M474))&amp;"（需晒单后联系客服登记）",IF(ISNUMBER(SEARCH("包修",M474)),"【购机】"&amp;MID(M474,SEARCH("购机",M474)+LEN("购机"),LEN(M474)),IF(ISNUMBER(SEARCH("叠放支架",M474)),"【赠品】"&amp;MID(M474,SEARCH("购机",M474)+LEN("购机"),LEN(M474)),IF(ISNUMBER(SEARCH("秀图",M474)),"【秀图】"&amp;MID(M474,SEARCH("秀图",M474)+LEN("秀图"),LEN(M474)),"")))),IFERROR(LEFT(_xlpm.A,FIND("【",_xlpm.A,FIND("】",_xlpm.A)+1)-1)&amp;MID(_xlpm.A,FIND("】",_xlpm.A,FIND("】",_xlpm.A)+1)+1,LEN(_xlpm.A)),_xlpm.A))</f>
        <v/>
      </c>
      <c r="I474" s="18" t="str">
        <f>_xlfn.LET(_xlpm.A,IF(ISNUMBER(SEARCH("晒单",N474)),"【晒单】"&amp;MID(N474,SEARCH("晒单",N474)+LEN("晒单"),LEN(N474))&amp;"（需晒单后联系客服登记）",IF(ISNUMBER(SEARCH("包修",N474)),"【购机】"&amp;MID(N474,SEARCH("购机",N474)+LEN("购机"),LEN(N474)),IF(ISNUMBER(SEARCH("叠放支架",N474)),"【赠品】"&amp;MID(N474,SEARCH("购机",N474)+LEN("购机"),LEN(N474)),IF(ISNUMBER(SEARCH("秀图",N474)),"【秀图】"&amp;MID(N474,SEARCH("秀图",N474)+LEN("秀图"),LEN(N474)),"")))),IFERROR(LEFT(_xlpm.A,FIND("【",_xlpm.A,FIND("】",_xlpm.A)+1)-1)&amp;MID(_xlpm.A,FIND("】",_xlpm.A,FIND("】",_xlpm.A)+1)+1,LEN(_xlpm.A)),_xlpm.A))</f>
        <v/>
      </c>
      <c r="J474" s="18" t="str" cm="1">
        <f t="array" ref="J474">IFERROR(INDEX(_xlfn.TEXTSPLIT(_xlfn.XLOOKUP($A474&amp;$B474&amp;$C474,盘货信息!$A:$A&amp;盘货信息!$B:$B&amp;盘货信息!$C:$C,盘货信息!$S:$S),CHAR(10),,TRUE),1,COLUMN(A473)),"")</f>
        <v/>
      </c>
      <c r="K474" s="18" t="str" cm="1">
        <f t="array" ref="K474">IFERROR(INDEX(_xlfn.TEXTSPLIT(_xlfn.XLOOKUP($A474&amp;$B474&amp;$C474,盘货信息!$A:$A&amp;盘货信息!$B:$B&amp;盘货信息!$C:$C,盘货信息!$S:$S),CHAR(10),,TRUE),1,COLUMN(B473)),"")</f>
        <v/>
      </c>
      <c r="L474" s="18" t="str" cm="1">
        <f t="array" ref="L474">IFERROR(INDEX(_xlfn.TEXTSPLIT(_xlfn.XLOOKUP($A474&amp;$B474&amp;$C474,盘货信息!$A:$A&amp;盘货信息!$B:$B&amp;盘货信息!$C:$C,盘货信息!$S:$S),CHAR(10),,TRUE),1,COLUMN(C473)),"")</f>
        <v/>
      </c>
      <c r="M474" s="18" t="str" cm="1">
        <f t="array" ref="M474">IFERROR(INDEX(_xlfn.TEXTSPLIT(_xlfn.XLOOKUP($A474&amp;$B474&amp;$C474,盘货信息!$A:$A&amp;盘货信息!$B:$B&amp;盘货信息!$C:$C,盘货信息!$S:$S),CHAR(10),,TRUE),1,COLUMN(D473)),"")</f>
        <v/>
      </c>
      <c r="N474" s="18" t="str" cm="1">
        <f t="array" ref="N474">IFERROR(INDEX(_xlfn.TEXTSPLIT(_xlfn.XLOOKUP($A474&amp;$B474&amp;$C474,盘货信息!$A:$A&amp;盘货信息!$B:$B&amp;盘货信息!$C:$C,盘货信息!$S:$S),CHAR(10),,TRUE),1,COLUMN(E473)),"")</f>
        <v/>
      </c>
    </row>
    <row r="475" customHeight="1" spans="1:14">
      <c r="A475" s="17" t="str">
        <f>IF(盘货信息!A475="","",盘货信息!A475)</f>
        <v/>
      </c>
      <c r="B475" s="17" t="str">
        <f>IF(盘货信息!B475="","",盘货信息!B475)</f>
        <v/>
      </c>
      <c r="C475" s="18" t="str">
        <f>IF(盘货信息!C475="","",盘货信息!C475)</f>
        <v/>
      </c>
      <c r="D475" s="18" t="str">
        <f t="shared" si="7"/>
        <v/>
      </c>
      <c r="E475" s="18" t="str">
        <f>_xlfn.LET(_xlpm.A,IF(ISNUMBER(SEARCH("晒单",J475)),"【晒单】"&amp;MID(J475,SEARCH("晒单",J475)+LEN("晒单"),LEN(J475))&amp;"（需晒单后联系客服登记）",IF(ISNUMBER(SEARCH("包修",J475)),"【购机】"&amp;MID(J475,SEARCH("购机",J475)+LEN("购机"),LEN(J475)),IF(ISNUMBER(SEARCH("叠放支架",J475)),"【赠品】"&amp;MID(J475,SEARCH("购机",J475)+LEN("购机"),LEN(J475)),IF(ISNUMBER(SEARCH("秀图",J475)),"【秀图】"&amp;MID(J475,SEARCH("秀图",J475)+LEN("秀图"),LEN(J475)),"")))),IFERROR(LEFT(_xlpm.A,FIND("【",_xlpm.A,FIND("】",_xlpm.A)+1)-1)&amp;MID(_xlpm.A,FIND("】",_xlpm.A,FIND("】",_xlpm.A)+1)+1,LEN(_xlpm.A)),_xlpm.A))</f>
        <v/>
      </c>
      <c r="F475" s="18" t="str">
        <f>_xlfn.LET(_xlpm.A,IF(ISNUMBER(SEARCH("晒单",K475)),"【晒单】"&amp;MID(K475,SEARCH("晒单",K475)+LEN("晒单"),LEN(K475))&amp;"（需晒单后联系客服登记）",IF(ISNUMBER(SEARCH("包修",K475)),"【购机】"&amp;MID(K475,SEARCH("购机",K475)+LEN("购机"),LEN(K475)),IF(ISNUMBER(SEARCH("叠放支架",K475)),"【赠品】"&amp;MID(K475,SEARCH("购机",K475)+LEN("购机"),LEN(K475)),IF(ISNUMBER(SEARCH("秀图",K475)),"【秀图】"&amp;MID(K475,SEARCH("秀图",K475)+LEN("秀图"),LEN(K475)),"")))),IFERROR(LEFT(_xlpm.A,FIND("【",_xlpm.A,FIND("】",_xlpm.A)+1)-1)&amp;MID(_xlpm.A,FIND("】",_xlpm.A,FIND("】",_xlpm.A)+1)+1,LEN(_xlpm.A)),_xlpm.A))</f>
        <v/>
      </c>
      <c r="G475" s="18" t="str">
        <f>_xlfn.LET(_xlpm.A,IF(ISNUMBER(SEARCH("晒单",L475)),"【晒单】"&amp;MID(L475,SEARCH("晒单",L475)+LEN("晒单"),LEN(L475))&amp;"（需晒单后联系客服登记）",IF(ISNUMBER(SEARCH("包修",L475)),"【购机】"&amp;MID(L475,SEARCH("购机",L475)+LEN("购机"),LEN(L475)),IF(ISNUMBER(SEARCH("叠放支架",L475)),"【赠品】"&amp;MID(L475,SEARCH("购机",L475)+LEN("购机"),LEN(L475)),IF(ISNUMBER(SEARCH("秀图",L475)),"【秀图】"&amp;MID(L475,SEARCH("秀图",L475)+LEN("秀图"),LEN(L475)),"")))),IFERROR(LEFT(_xlpm.A,FIND("【",_xlpm.A,FIND("】",_xlpm.A)+1)-1)&amp;MID(_xlpm.A,FIND("】",_xlpm.A,FIND("】",_xlpm.A)+1)+1,LEN(_xlpm.A)),_xlpm.A))</f>
        <v/>
      </c>
      <c r="H475" s="18" t="str">
        <f>_xlfn.LET(_xlpm.A,IF(ISNUMBER(SEARCH("晒单",M475)),"【晒单】"&amp;MID(M475,SEARCH("晒单",M475)+LEN("晒单"),LEN(M475))&amp;"（需晒单后联系客服登记）",IF(ISNUMBER(SEARCH("包修",M475)),"【购机】"&amp;MID(M475,SEARCH("购机",M475)+LEN("购机"),LEN(M475)),IF(ISNUMBER(SEARCH("叠放支架",M475)),"【赠品】"&amp;MID(M475,SEARCH("购机",M475)+LEN("购机"),LEN(M475)),IF(ISNUMBER(SEARCH("秀图",M475)),"【秀图】"&amp;MID(M475,SEARCH("秀图",M475)+LEN("秀图"),LEN(M475)),"")))),IFERROR(LEFT(_xlpm.A,FIND("【",_xlpm.A,FIND("】",_xlpm.A)+1)-1)&amp;MID(_xlpm.A,FIND("】",_xlpm.A,FIND("】",_xlpm.A)+1)+1,LEN(_xlpm.A)),_xlpm.A))</f>
        <v/>
      </c>
      <c r="I475" s="18" t="str">
        <f>_xlfn.LET(_xlpm.A,IF(ISNUMBER(SEARCH("晒单",N475)),"【晒单】"&amp;MID(N475,SEARCH("晒单",N475)+LEN("晒单"),LEN(N475))&amp;"（需晒单后联系客服登记）",IF(ISNUMBER(SEARCH("包修",N475)),"【购机】"&amp;MID(N475,SEARCH("购机",N475)+LEN("购机"),LEN(N475)),IF(ISNUMBER(SEARCH("叠放支架",N475)),"【赠品】"&amp;MID(N475,SEARCH("购机",N475)+LEN("购机"),LEN(N475)),IF(ISNUMBER(SEARCH("秀图",N475)),"【秀图】"&amp;MID(N475,SEARCH("秀图",N475)+LEN("秀图"),LEN(N475)),"")))),IFERROR(LEFT(_xlpm.A,FIND("【",_xlpm.A,FIND("】",_xlpm.A)+1)-1)&amp;MID(_xlpm.A,FIND("】",_xlpm.A,FIND("】",_xlpm.A)+1)+1,LEN(_xlpm.A)),_xlpm.A))</f>
        <v/>
      </c>
      <c r="J475" s="18" t="str" cm="1">
        <f t="array" ref="J475">IFERROR(INDEX(_xlfn.TEXTSPLIT(_xlfn.XLOOKUP($A475&amp;$B475&amp;$C475,盘货信息!$A:$A&amp;盘货信息!$B:$B&amp;盘货信息!$C:$C,盘货信息!$S:$S),CHAR(10),,TRUE),1,COLUMN(A474)),"")</f>
        <v/>
      </c>
      <c r="K475" s="18" t="str" cm="1">
        <f t="array" ref="K475">IFERROR(INDEX(_xlfn.TEXTSPLIT(_xlfn.XLOOKUP($A475&amp;$B475&amp;$C475,盘货信息!$A:$A&amp;盘货信息!$B:$B&amp;盘货信息!$C:$C,盘货信息!$S:$S),CHAR(10),,TRUE),1,COLUMN(B474)),"")</f>
        <v/>
      </c>
      <c r="L475" s="18" t="str" cm="1">
        <f t="array" ref="L475">IFERROR(INDEX(_xlfn.TEXTSPLIT(_xlfn.XLOOKUP($A475&amp;$B475&amp;$C475,盘货信息!$A:$A&amp;盘货信息!$B:$B&amp;盘货信息!$C:$C,盘货信息!$S:$S),CHAR(10),,TRUE),1,COLUMN(C474)),"")</f>
        <v/>
      </c>
      <c r="M475" s="18" t="str" cm="1">
        <f t="array" ref="M475">IFERROR(INDEX(_xlfn.TEXTSPLIT(_xlfn.XLOOKUP($A475&amp;$B475&amp;$C475,盘货信息!$A:$A&amp;盘货信息!$B:$B&amp;盘货信息!$C:$C,盘货信息!$S:$S),CHAR(10),,TRUE),1,COLUMN(D474)),"")</f>
        <v/>
      </c>
      <c r="N475" s="18" t="str" cm="1">
        <f t="array" ref="N475">IFERROR(INDEX(_xlfn.TEXTSPLIT(_xlfn.XLOOKUP($A475&amp;$B475&amp;$C475,盘货信息!$A:$A&amp;盘货信息!$B:$B&amp;盘货信息!$C:$C,盘货信息!$S:$S),CHAR(10),,TRUE),1,COLUMN(E474)),"")</f>
        <v/>
      </c>
    </row>
    <row r="476" customHeight="1" spans="1:14">
      <c r="A476" s="17" t="str">
        <f>IF(盘货信息!A476="","",盘货信息!A476)</f>
        <v/>
      </c>
      <c r="B476" s="17" t="str">
        <f>IF(盘货信息!B476="","",盘货信息!B476)</f>
        <v/>
      </c>
      <c r="C476" s="18" t="str">
        <f>IF(盘货信息!C476="","",盘货信息!C476)</f>
        <v/>
      </c>
      <c r="D476" s="18" t="str">
        <f t="shared" si="7"/>
        <v/>
      </c>
      <c r="E476" s="18" t="str">
        <f>_xlfn.LET(_xlpm.A,IF(ISNUMBER(SEARCH("晒单",J476)),"【晒单】"&amp;MID(J476,SEARCH("晒单",J476)+LEN("晒单"),LEN(J476))&amp;"（需晒单后联系客服登记）",IF(ISNUMBER(SEARCH("包修",J476)),"【购机】"&amp;MID(J476,SEARCH("购机",J476)+LEN("购机"),LEN(J476)),IF(ISNUMBER(SEARCH("叠放支架",J476)),"【赠品】"&amp;MID(J476,SEARCH("购机",J476)+LEN("购机"),LEN(J476)),IF(ISNUMBER(SEARCH("秀图",J476)),"【秀图】"&amp;MID(J476,SEARCH("秀图",J476)+LEN("秀图"),LEN(J476)),"")))),IFERROR(LEFT(_xlpm.A,FIND("【",_xlpm.A,FIND("】",_xlpm.A)+1)-1)&amp;MID(_xlpm.A,FIND("】",_xlpm.A,FIND("】",_xlpm.A)+1)+1,LEN(_xlpm.A)),_xlpm.A))</f>
        <v/>
      </c>
      <c r="F476" s="18" t="str">
        <f>_xlfn.LET(_xlpm.A,IF(ISNUMBER(SEARCH("晒单",K476)),"【晒单】"&amp;MID(K476,SEARCH("晒单",K476)+LEN("晒单"),LEN(K476))&amp;"（需晒单后联系客服登记）",IF(ISNUMBER(SEARCH("包修",K476)),"【购机】"&amp;MID(K476,SEARCH("购机",K476)+LEN("购机"),LEN(K476)),IF(ISNUMBER(SEARCH("叠放支架",K476)),"【赠品】"&amp;MID(K476,SEARCH("购机",K476)+LEN("购机"),LEN(K476)),IF(ISNUMBER(SEARCH("秀图",K476)),"【秀图】"&amp;MID(K476,SEARCH("秀图",K476)+LEN("秀图"),LEN(K476)),"")))),IFERROR(LEFT(_xlpm.A,FIND("【",_xlpm.A,FIND("】",_xlpm.A)+1)-1)&amp;MID(_xlpm.A,FIND("】",_xlpm.A,FIND("】",_xlpm.A)+1)+1,LEN(_xlpm.A)),_xlpm.A))</f>
        <v/>
      </c>
      <c r="G476" s="18" t="str">
        <f>_xlfn.LET(_xlpm.A,IF(ISNUMBER(SEARCH("晒单",L476)),"【晒单】"&amp;MID(L476,SEARCH("晒单",L476)+LEN("晒单"),LEN(L476))&amp;"（需晒单后联系客服登记）",IF(ISNUMBER(SEARCH("包修",L476)),"【购机】"&amp;MID(L476,SEARCH("购机",L476)+LEN("购机"),LEN(L476)),IF(ISNUMBER(SEARCH("叠放支架",L476)),"【赠品】"&amp;MID(L476,SEARCH("购机",L476)+LEN("购机"),LEN(L476)),IF(ISNUMBER(SEARCH("秀图",L476)),"【秀图】"&amp;MID(L476,SEARCH("秀图",L476)+LEN("秀图"),LEN(L476)),"")))),IFERROR(LEFT(_xlpm.A,FIND("【",_xlpm.A,FIND("】",_xlpm.A)+1)-1)&amp;MID(_xlpm.A,FIND("】",_xlpm.A,FIND("】",_xlpm.A)+1)+1,LEN(_xlpm.A)),_xlpm.A))</f>
        <v/>
      </c>
      <c r="H476" s="18" t="str">
        <f>_xlfn.LET(_xlpm.A,IF(ISNUMBER(SEARCH("晒单",M476)),"【晒单】"&amp;MID(M476,SEARCH("晒单",M476)+LEN("晒单"),LEN(M476))&amp;"（需晒单后联系客服登记）",IF(ISNUMBER(SEARCH("包修",M476)),"【购机】"&amp;MID(M476,SEARCH("购机",M476)+LEN("购机"),LEN(M476)),IF(ISNUMBER(SEARCH("叠放支架",M476)),"【赠品】"&amp;MID(M476,SEARCH("购机",M476)+LEN("购机"),LEN(M476)),IF(ISNUMBER(SEARCH("秀图",M476)),"【秀图】"&amp;MID(M476,SEARCH("秀图",M476)+LEN("秀图"),LEN(M476)),"")))),IFERROR(LEFT(_xlpm.A,FIND("【",_xlpm.A,FIND("】",_xlpm.A)+1)-1)&amp;MID(_xlpm.A,FIND("】",_xlpm.A,FIND("】",_xlpm.A)+1)+1,LEN(_xlpm.A)),_xlpm.A))</f>
        <v/>
      </c>
      <c r="I476" s="18" t="str">
        <f>_xlfn.LET(_xlpm.A,IF(ISNUMBER(SEARCH("晒单",N476)),"【晒单】"&amp;MID(N476,SEARCH("晒单",N476)+LEN("晒单"),LEN(N476))&amp;"（需晒单后联系客服登记）",IF(ISNUMBER(SEARCH("包修",N476)),"【购机】"&amp;MID(N476,SEARCH("购机",N476)+LEN("购机"),LEN(N476)),IF(ISNUMBER(SEARCH("叠放支架",N476)),"【赠品】"&amp;MID(N476,SEARCH("购机",N476)+LEN("购机"),LEN(N476)),IF(ISNUMBER(SEARCH("秀图",N476)),"【秀图】"&amp;MID(N476,SEARCH("秀图",N476)+LEN("秀图"),LEN(N476)),"")))),IFERROR(LEFT(_xlpm.A,FIND("【",_xlpm.A,FIND("】",_xlpm.A)+1)-1)&amp;MID(_xlpm.A,FIND("】",_xlpm.A,FIND("】",_xlpm.A)+1)+1,LEN(_xlpm.A)),_xlpm.A))</f>
        <v/>
      </c>
      <c r="J476" s="18" t="str" cm="1">
        <f t="array" ref="J476">IFERROR(INDEX(_xlfn.TEXTSPLIT(_xlfn.XLOOKUP($A476&amp;$B476&amp;$C476,盘货信息!$A:$A&amp;盘货信息!$B:$B&amp;盘货信息!$C:$C,盘货信息!$S:$S),CHAR(10),,TRUE),1,COLUMN(A475)),"")</f>
        <v/>
      </c>
      <c r="K476" s="18" t="str" cm="1">
        <f t="array" ref="K476">IFERROR(INDEX(_xlfn.TEXTSPLIT(_xlfn.XLOOKUP($A476&amp;$B476&amp;$C476,盘货信息!$A:$A&amp;盘货信息!$B:$B&amp;盘货信息!$C:$C,盘货信息!$S:$S),CHAR(10),,TRUE),1,COLUMN(B475)),"")</f>
        <v/>
      </c>
      <c r="L476" s="18" t="str" cm="1">
        <f t="array" ref="L476">IFERROR(INDEX(_xlfn.TEXTSPLIT(_xlfn.XLOOKUP($A476&amp;$B476&amp;$C476,盘货信息!$A:$A&amp;盘货信息!$B:$B&amp;盘货信息!$C:$C,盘货信息!$S:$S),CHAR(10),,TRUE),1,COLUMN(C475)),"")</f>
        <v/>
      </c>
      <c r="M476" s="18" t="str" cm="1">
        <f t="array" ref="M476">IFERROR(INDEX(_xlfn.TEXTSPLIT(_xlfn.XLOOKUP($A476&amp;$B476&amp;$C476,盘货信息!$A:$A&amp;盘货信息!$B:$B&amp;盘货信息!$C:$C,盘货信息!$S:$S),CHAR(10),,TRUE),1,COLUMN(D475)),"")</f>
        <v/>
      </c>
      <c r="N476" s="18" t="str" cm="1">
        <f t="array" ref="N476">IFERROR(INDEX(_xlfn.TEXTSPLIT(_xlfn.XLOOKUP($A476&amp;$B476&amp;$C476,盘货信息!$A:$A&amp;盘货信息!$B:$B&amp;盘货信息!$C:$C,盘货信息!$S:$S),CHAR(10),,TRUE),1,COLUMN(E475)),"")</f>
        <v/>
      </c>
    </row>
    <row r="477" customHeight="1" spans="1:14">
      <c r="A477" s="17" t="str">
        <f>IF(盘货信息!A477="","",盘货信息!A477)</f>
        <v/>
      </c>
      <c r="B477" s="17" t="str">
        <f>IF(盘货信息!B477="","",盘货信息!B477)</f>
        <v/>
      </c>
      <c r="C477" s="18" t="str">
        <f>IF(盘货信息!C477="","",盘货信息!C477)</f>
        <v/>
      </c>
      <c r="D477" s="18" t="str">
        <f t="shared" si="7"/>
        <v/>
      </c>
      <c r="E477" s="18" t="str">
        <f>_xlfn.LET(_xlpm.A,IF(ISNUMBER(SEARCH("晒单",J477)),"【晒单】"&amp;MID(J477,SEARCH("晒单",J477)+LEN("晒单"),LEN(J477))&amp;"（需晒单后联系客服登记）",IF(ISNUMBER(SEARCH("包修",J477)),"【购机】"&amp;MID(J477,SEARCH("购机",J477)+LEN("购机"),LEN(J477)),IF(ISNUMBER(SEARCH("叠放支架",J477)),"【赠品】"&amp;MID(J477,SEARCH("购机",J477)+LEN("购机"),LEN(J477)),IF(ISNUMBER(SEARCH("秀图",J477)),"【秀图】"&amp;MID(J477,SEARCH("秀图",J477)+LEN("秀图"),LEN(J477)),"")))),IFERROR(LEFT(_xlpm.A,FIND("【",_xlpm.A,FIND("】",_xlpm.A)+1)-1)&amp;MID(_xlpm.A,FIND("】",_xlpm.A,FIND("】",_xlpm.A)+1)+1,LEN(_xlpm.A)),_xlpm.A))</f>
        <v/>
      </c>
      <c r="F477" s="18" t="str">
        <f>_xlfn.LET(_xlpm.A,IF(ISNUMBER(SEARCH("晒单",K477)),"【晒单】"&amp;MID(K477,SEARCH("晒单",K477)+LEN("晒单"),LEN(K477))&amp;"（需晒单后联系客服登记）",IF(ISNUMBER(SEARCH("包修",K477)),"【购机】"&amp;MID(K477,SEARCH("购机",K477)+LEN("购机"),LEN(K477)),IF(ISNUMBER(SEARCH("叠放支架",K477)),"【赠品】"&amp;MID(K477,SEARCH("购机",K477)+LEN("购机"),LEN(K477)),IF(ISNUMBER(SEARCH("秀图",K477)),"【秀图】"&amp;MID(K477,SEARCH("秀图",K477)+LEN("秀图"),LEN(K477)),"")))),IFERROR(LEFT(_xlpm.A,FIND("【",_xlpm.A,FIND("】",_xlpm.A)+1)-1)&amp;MID(_xlpm.A,FIND("】",_xlpm.A,FIND("】",_xlpm.A)+1)+1,LEN(_xlpm.A)),_xlpm.A))</f>
        <v/>
      </c>
      <c r="G477" s="18" t="str">
        <f>_xlfn.LET(_xlpm.A,IF(ISNUMBER(SEARCH("晒单",L477)),"【晒单】"&amp;MID(L477,SEARCH("晒单",L477)+LEN("晒单"),LEN(L477))&amp;"（需晒单后联系客服登记）",IF(ISNUMBER(SEARCH("包修",L477)),"【购机】"&amp;MID(L477,SEARCH("购机",L477)+LEN("购机"),LEN(L477)),IF(ISNUMBER(SEARCH("叠放支架",L477)),"【赠品】"&amp;MID(L477,SEARCH("购机",L477)+LEN("购机"),LEN(L477)),IF(ISNUMBER(SEARCH("秀图",L477)),"【秀图】"&amp;MID(L477,SEARCH("秀图",L477)+LEN("秀图"),LEN(L477)),"")))),IFERROR(LEFT(_xlpm.A,FIND("【",_xlpm.A,FIND("】",_xlpm.A)+1)-1)&amp;MID(_xlpm.A,FIND("】",_xlpm.A,FIND("】",_xlpm.A)+1)+1,LEN(_xlpm.A)),_xlpm.A))</f>
        <v/>
      </c>
      <c r="H477" s="18" t="str">
        <f>_xlfn.LET(_xlpm.A,IF(ISNUMBER(SEARCH("晒单",M477)),"【晒单】"&amp;MID(M477,SEARCH("晒单",M477)+LEN("晒单"),LEN(M477))&amp;"（需晒单后联系客服登记）",IF(ISNUMBER(SEARCH("包修",M477)),"【购机】"&amp;MID(M477,SEARCH("购机",M477)+LEN("购机"),LEN(M477)),IF(ISNUMBER(SEARCH("叠放支架",M477)),"【赠品】"&amp;MID(M477,SEARCH("购机",M477)+LEN("购机"),LEN(M477)),IF(ISNUMBER(SEARCH("秀图",M477)),"【秀图】"&amp;MID(M477,SEARCH("秀图",M477)+LEN("秀图"),LEN(M477)),"")))),IFERROR(LEFT(_xlpm.A,FIND("【",_xlpm.A,FIND("】",_xlpm.A)+1)-1)&amp;MID(_xlpm.A,FIND("】",_xlpm.A,FIND("】",_xlpm.A)+1)+1,LEN(_xlpm.A)),_xlpm.A))</f>
        <v/>
      </c>
      <c r="I477" s="18" t="str">
        <f>_xlfn.LET(_xlpm.A,IF(ISNUMBER(SEARCH("晒单",N477)),"【晒单】"&amp;MID(N477,SEARCH("晒单",N477)+LEN("晒单"),LEN(N477))&amp;"（需晒单后联系客服登记）",IF(ISNUMBER(SEARCH("包修",N477)),"【购机】"&amp;MID(N477,SEARCH("购机",N477)+LEN("购机"),LEN(N477)),IF(ISNUMBER(SEARCH("叠放支架",N477)),"【赠品】"&amp;MID(N477,SEARCH("购机",N477)+LEN("购机"),LEN(N477)),IF(ISNUMBER(SEARCH("秀图",N477)),"【秀图】"&amp;MID(N477,SEARCH("秀图",N477)+LEN("秀图"),LEN(N477)),"")))),IFERROR(LEFT(_xlpm.A,FIND("【",_xlpm.A,FIND("】",_xlpm.A)+1)-1)&amp;MID(_xlpm.A,FIND("】",_xlpm.A,FIND("】",_xlpm.A)+1)+1,LEN(_xlpm.A)),_xlpm.A))</f>
        <v/>
      </c>
      <c r="J477" s="18" t="str" cm="1">
        <f t="array" ref="J477">IFERROR(INDEX(_xlfn.TEXTSPLIT(_xlfn.XLOOKUP($A477&amp;$B477&amp;$C477,盘货信息!$A:$A&amp;盘货信息!$B:$B&amp;盘货信息!$C:$C,盘货信息!$S:$S),CHAR(10),,TRUE),1,COLUMN(A476)),"")</f>
        <v/>
      </c>
      <c r="K477" s="18" t="str" cm="1">
        <f t="array" ref="K477">IFERROR(INDEX(_xlfn.TEXTSPLIT(_xlfn.XLOOKUP($A477&amp;$B477&amp;$C477,盘货信息!$A:$A&amp;盘货信息!$B:$B&amp;盘货信息!$C:$C,盘货信息!$S:$S),CHAR(10),,TRUE),1,COLUMN(B476)),"")</f>
        <v/>
      </c>
      <c r="L477" s="18" t="str" cm="1">
        <f t="array" ref="L477">IFERROR(INDEX(_xlfn.TEXTSPLIT(_xlfn.XLOOKUP($A477&amp;$B477&amp;$C477,盘货信息!$A:$A&amp;盘货信息!$B:$B&amp;盘货信息!$C:$C,盘货信息!$S:$S),CHAR(10),,TRUE),1,COLUMN(C476)),"")</f>
        <v/>
      </c>
      <c r="M477" s="18" t="str" cm="1">
        <f t="array" ref="M477">IFERROR(INDEX(_xlfn.TEXTSPLIT(_xlfn.XLOOKUP($A477&amp;$B477&amp;$C477,盘货信息!$A:$A&amp;盘货信息!$B:$B&amp;盘货信息!$C:$C,盘货信息!$S:$S),CHAR(10),,TRUE),1,COLUMN(D476)),"")</f>
        <v/>
      </c>
      <c r="N477" s="18" t="str" cm="1">
        <f t="array" ref="N477">IFERROR(INDEX(_xlfn.TEXTSPLIT(_xlfn.XLOOKUP($A477&amp;$B477&amp;$C477,盘货信息!$A:$A&amp;盘货信息!$B:$B&amp;盘货信息!$C:$C,盘货信息!$S:$S),CHAR(10),,TRUE),1,COLUMN(E476)),"")</f>
        <v/>
      </c>
    </row>
    <row r="478" customHeight="1" spans="1:14">
      <c r="A478" s="17" t="str">
        <f>IF(盘货信息!A478="","",盘货信息!A478)</f>
        <v/>
      </c>
      <c r="B478" s="17" t="str">
        <f>IF(盘货信息!B478="","",盘货信息!B478)</f>
        <v/>
      </c>
      <c r="C478" s="18" t="str">
        <f>IF(盘货信息!C478="","",盘货信息!C478)</f>
        <v/>
      </c>
      <c r="D478" s="18" t="str">
        <f t="shared" si="7"/>
        <v/>
      </c>
      <c r="E478" s="18" t="str">
        <f>_xlfn.LET(_xlpm.A,IF(ISNUMBER(SEARCH("晒单",J478)),"【晒单】"&amp;MID(J478,SEARCH("晒单",J478)+LEN("晒单"),LEN(J478))&amp;"（需晒单后联系客服登记）",IF(ISNUMBER(SEARCH("包修",J478)),"【购机】"&amp;MID(J478,SEARCH("购机",J478)+LEN("购机"),LEN(J478)),IF(ISNUMBER(SEARCH("叠放支架",J478)),"【赠品】"&amp;MID(J478,SEARCH("购机",J478)+LEN("购机"),LEN(J478)),IF(ISNUMBER(SEARCH("秀图",J478)),"【秀图】"&amp;MID(J478,SEARCH("秀图",J478)+LEN("秀图"),LEN(J478)),"")))),IFERROR(LEFT(_xlpm.A,FIND("【",_xlpm.A,FIND("】",_xlpm.A)+1)-1)&amp;MID(_xlpm.A,FIND("】",_xlpm.A,FIND("】",_xlpm.A)+1)+1,LEN(_xlpm.A)),_xlpm.A))</f>
        <v/>
      </c>
      <c r="F478" s="18" t="str">
        <f>_xlfn.LET(_xlpm.A,IF(ISNUMBER(SEARCH("晒单",K478)),"【晒单】"&amp;MID(K478,SEARCH("晒单",K478)+LEN("晒单"),LEN(K478))&amp;"（需晒单后联系客服登记）",IF(ISNUMBER(SEARCH("包修",K478)),"【购机】"&amp;MID(K478,SEARCH("购机",K478)+LEN("购机"),LEN(K478)),IF(ISNUMBER(SEARCH("叠放支架",K478)),"【赠品】"&amp;MID(K478,SEARCH("购机",K478)+LEN("购机"),LEN(K478)),IF(ISNUMBER(SEARCH("秀图",K478)),"【秀图】"&amp;MID(K478,SEARCH("秀图",K478)+LEN("秀图"),LEN(K478)),"")))),IFERROR(LEFT(_xlpm.A,FIND("【",_xlpm.A,FIND("】",_xlpm.A)+1)-1)&amp;MID(_xlpm.A,FIND("】",_xlpm.A,FIND("】",_xlpm.A)+1)+1,LEN(_xlpm.A)),_xlpm.A))</f>
        <v/>
      </c>
      <c r="G478" s="18" t="str">
        <f>_xlfn.LET(_xlpm.A,IF(ISNUMBER(SEARCH("晒单",L478)),"【晒单】"&amp;MID(L478,SEARCH("晒单",L478)+LEN("晒单"),LEN(L478))&amp;"（需晒单后联系客服登记）",IF(ISNUMBER(SEARCH("包修",L478)),"【购机】"&amp;MID(L478,SEARCH("购机",L478)+LEN("购机"),LEN(L478)),IF(ISNUMBER(SEARCH("叠放支架",L478)),"【赠品】"&amp;MID(L478,SEARCH("购机",L478)+LEN("购机"),LEN(L478)),IF(ISNUMBER(SEARCH("秀图",L478)),"【秀图】"&amp;MID(L478,SEARCH("秀图",L478)+LEN("秀图"),LEN(L478)),"")))),IFERROR(LEFT(_xlpm.A,FIND("【",_xlpm.A,FIND("】",_xlpm.A)+1)-1)&amp;MID(_xlpm.A,FIND("】",_xlpm.A,FIND("】",_xlpm.A)+1)+1,LEN(_xlpm.A)),_xlpm.A))</f>
        <v/>
      </c>
      <c r="H478" s="18" t="str">
        <f>_xlfn.LET(_xlpm.A,IF(ISNUMBER(SEARCH("晒单",M478)),"【晒单】"&amp;MID(M478,SEARCH("晒单",M478)+LEN("晒单"),LEN(M478))&amp;"（需晒单后联系客服登记）",IF(ISNUMBER(SEARCH("包修",M478)),"【购机】"&amp;MID(M478,SEARCH("购机",M478)+LEN("购机"),LEN(M478)),IF(ISNUMBER(SEARCH("叠放支架",M478)),"【赠品】"&amp;MID(M478,SEARCH("购机",M478)+LEN("购机"),LEN(M478)),IF(ISNUMBER(SEARCH("秀图",M478)),"【秀图】"&amp;MID(M478,SEARCH("秀图",M478)+LEN("秀图"),LEN(M478)),"")))),IFERROR(LEFT(_xlpm.A,FIND("【",_xlpm.A,FIND("】",_xlpm.A)+1)-1)&amp;MID(_xlpm.A,FIND("】",_xlpm.A,FIND("】",_xlpm.A)+1)+1,LEN(_xlpm.A)),_xlpm.A))</f>
        <v/>
      </c>
      <c r="I478" s="18" t="str">
        <f>_xlfn.LET(_xlpm.A,IF(ISNUMBER(SEARCH("晒单",N478)),"【晒单】"&amp;MID(N478,SEARCH("晒单",N478)+LEN("晒单"),LEN(N478))&amp;"（需晒单后联系客服登记）",IF(ISNUMBER(SEARCH("包修",N478)),"【购机】"&amp;MID(N478,SEARCH("购机",N478)+LEN("购机"),LEN(N478)),IF(ISNUMBER(SEARCH("叠放支架",N478)),"【赠品】"&amp;MID(N478,SEARCH("购机",N478)+LEN("购机"),LEN(N478)),IF(ISNUMBER(SEARCH("秀图",N478)),"【秀图】"&amp;MID(N478,SEARCH("秀图",N478)+LEN("秀图"),LEN(N478)),"")))),IFERROR(LEFT(_xlpm.A,FIND("【",_xlpm.A,FIND("】",_xlpm.A)+1)-1)&amp;MID(_xlpm.A,FIND("】",_xlpm.A,FIND("】",_xlpm.A)+1)+1,LEN(_xlpm.A)),_xlpm.A))</f>
        <v/>
      </c>
      <c r="J478" s="18" t="str" cm="1">
        <f t="array" ref="J478">IFERROR(INDEX(_xlfn.TEXTSPLIT(_xlfn.XLOOKUP($A478&amp;$B478&amp;$C478,盘货信息!$A:$A&amp;盘货信息!$B:$B&amp;盘货信息!$C:$C,盘货信息!$S:$S),CHAR(10),,TRUE),1,COLUMN(A477)),"")</f>
        <v/>
      </c>
      <c r="K478" s="18" t="str" cm="1">
        <f t="array" ref="K478">IFERROR(INDEX(_xlfn.TEXTSPLIT(_xlfn.XLOOKUP($A478&amp;$B478&amp;$C478,盘货信息!$A:$A&amp;盘货信息!$B:$B&amp;盘货信息!$C:$C,盘货信息!$S:$S),CHAR(10),,TRUE),1,COLUMN(B477)),"")</f>
        <v/>
      </c>
      <c r="L478" s="18" t="str" cm="1">
        <f t="array" ref="L478">IFERROR(INDEX(_xlfn.TEXTSPLIT(_xlfn.XLOOKUP($A478&amp;$B478&amp;$C478,盘货信息!$A:$A&amp;盘货信息!$B:$B&amp;盘货信息!$C:$C,盘货信息!$S:$S),CHAR(10),,TRUE),1,COLUMN(C477)),"")</f>
        <v/>
      </c>
      <c r="M478" s="18" t="str" cm="1">
        <f t="array" ref="M478">IFERROR(INDEX(_xlfn.TEXTSPLIT(_xlfn.XLOOKUP($A478&amp;$B478&amp;$C478,盘货信息!$A:$A&amp;盘货信息!$B:$B&amp;盘货信息!$C:$C,盘货信息!$S:$S),CHAR(10),,TRUE),1,COLUMN(D477)),"")</f>
        <v/>
      </c>
      <c r="N478" s="18" t="str" cm="1">
        <f t="array" ref="N478">IFERROR(INDEX(_xlfn.TEXTSPLIT(_xlfn.XLOOKUP($A478&amp;$B478&amp;$C478,盘货信息!$A:$A&amp;盘货信息!$B:$B&amp;盘货信息!$C:$C,盘货信息!$S:$S),CHAR(10),,TRUE),1,COLUMN(E477)),"")</f>
        <v/>
      </c>
    </row>
    <row r="479" customHeight="1" spans="1:14">
      <c r="A479" s="17" t="str">
        <f>IF(盘货信息!A479="","",盘货信息!A479)</f>
        <v/>
      </c>
      <c r="B479" s="17" t="str">
        <f>IF(盘货信息!B479="","",盘货信息!B479)</f>
        <v/>
      </c>
      <c r="C479" s="18" t="str">
        <f>IF(盘货信息!C479="","",盘货信息!C479)</f>
        <v/>
      </c>
      <c r="D479" s="18" t="str">
        <f t="shared" si="7"/>
        <v/>
      </c>
      <c r="E479" s="18" t="str">
        <f>_xlfn.LET(_xlpm.A,IF(ISNUMBER(SEARCH("晒单",J479)),"【晒单】"&amp;MID(J479,SEARCH("晒单",J479)+LEN("晒单"),LEN(J479))&amp;"（需晒单后联系客服登记）",IF(ISNUMBER(SEARCH("包修",J479)),"【购机】"&amp;MID(J479,SEARCH("购机",J479)+LEN("购机"),LEN(J479)),IF(ISNUMBER(SEARCH("叠放支架",J479)),"【赠品】"&amp;MID(J479,SEARCH("购机",J479)+LEN("购机"),LEN(J479)),IF(ISNUMBER(SEARCH("秀图",J479)),"【秀图】"&amp;MID(J479,SEARCH("秀图",J479)+LEN("秀图"),LEN(J479)),"")))),IFERROR(LEFT(_xlpm.A,FIND("【",_xlpm.A,FIND("】",_xlpm.A)+1)-1)&amp;MID(_xlpm.A,FIND("】",_xlpm.A,FIND("】",_xlpm.A)+1)+1,LEN(_xlpm.A)),_xlpm.A))</f>
        <v/>
      </c>
      <c r="F479" s="18" t="str">
        <f>_xlfn.LET(_xlpm.A,IF(ISNUMBER(SEARCH("晒单",K479)),"【晒单】"&amp;MID(K479,SEARCH("晒单",K479)+LEN("晒单"),LEN(K479))&amp;"（需晒单后联系客服登记）",IF(ISNUMBER(SEARCH("包修",K479)),"【购机】"&amp;MID(K479,SEARCH("购机",K479)+LEN("购机"),LEN(K479)),IF(ISNUMBER(SEARCH("叠放支架",K479)),"【赠品】"&amp;MID(K479,SEARCH("购机",K479)+LEN("购机"),LEN(K479)),IF(ISNUMBER(SEARCH("秀图",K479)),"【秀图】"&amp;MID(K479,SEARCH("秀图",K479)+LEN("秀图"),LEN(K479)),"")))),IFERROR(LEFT(_xlpm.A,FIND("【",_xlpm.A,FIND("】",_xlpm.A)+1)-1)&amp;MID(_xlpm.A,FIND("】",_xlpm.A,FIND("】",_xlpm.A)+1)+1,LEN(_xlpm.A)),_xlpm.A))</f>
        <v/>
      </c>
      <c r="G479" s="18" t="str">
        <f>_xlfn.LET(_xlpm.A,IF(ISNUMBER(SEARCH("晒单",L479)),"【晒单】"&amp;MID(L479,SEARCH("晒单",L479)+LEN("晒单"),LEN(L479))&amp;"（需晒单后联系客服登记）",IF(ISNUMBER(SEARCH("包修",L479)),"【购机】"&amp;MID(L479,SEARCH("购机",L479)+LEN("购机"),LEN(L479)),IF(ISNUMBER(SEARCH("叠放支架",L479)),"【赠品】"&amp;MID(L479,SEARCH("购机",L479)+LEN("购机"),LEN(L479)),IF(ISNUMBER(SEARCH("秀图",L479)),"【秀图】"&amp;MID(L479,SEARCH("秀图",L479)+LEN("秀图"),LEN(L479)),"")))),IFERROR(LEFT(_xlpm.A,FIND("【",_xlpm.A,FIND("】",_xlpm.A)+1)-1)&amp;MID(_xlpm.A,FIND("】",_xlpm.A,FIND("】",_xlpm.A)+1)+1,LEN(_xlpm.A)),_xlpm.A))</f>
        <v/>
      </c>
      <c r="H479" s="18" t="str">
        <f>_xlfn.LET(_xlpm.A,IF(ISNUMBER(SEARCH("晒单",M479)),"【晒单】"&amp;MID(M479,SEARCH("晒单",M479)+LEN("晒单"),LEN(M479))&amp;"（需晒单后联系客服登记）",IF(ISNUMBER(SEARCH("包修",M479)),"【购机】"&amp;MID(M479,SEARCH("购机",M479)+LEN("购机"),LEN(M479)),IF(ISNUMBER(SEARCH("叠放支架",M479)),"【赠品】"&amp;MID(M479,SEARCH("购机",M479)+LEN("购机"),LEN(M479)),IF(ISNUMBER(SEARCH("秀图",M479)),"【秀图】"&amp;MID(M479,SEARCH("秀图",M479)+LEN("秀图"),LEN(M479)),"")))),IFERROR(LEFT(_xlpm.A,FIND("【",_xlpm.A,FIND("】",_xlpm.A)+1)-1)&amp;MID(_xlpm.A,FIND("】",_xlpm.A,FIND("】",_xlpm.A)+1)+1,LEN(_xlpm.A)),_xlpm.A))</f>
        <v/>
      </c>
      <c r="I479" s="18" t="str">
        <f>_xlfn.LET(_xlpm.A,IF(ISNUMBER(SEARCH("晒单",N479)),"【晒单】"&amp;MID(N479,SEARCH("晒单",N479)+LEN("晒单"),LEN(N479))&amp;"（需晒单后联系客服登记）",IF(ISNUMBER(SEARCH("包修",N479)),"【购机】"&amp;MID(N479,SEARCH("购机",N479)+LEN("购机"),LEN(N479)),IF(ISNUMBER(SEARCH("叠放支架",N479)),"【赠品】"&amp;MID(N479,SEARCH("购机",N479)+LEN("购机"),LEN(N479)),IF(ISNUMBER(SEARCH("秀图",N479)),"【秀图】"&amp;MID(N479,SEARCH("秀图",N479)+LEN("秀图"),LEN(N479)),"")))),IFERROR(LEFT(_xlpm.A,FIND("【",_xlpm.A,FIND("】",_xlpm.A)+1)-1)&amp;MID(_xlpm.A,FIND("】",_xlpm.A,FIND("】",_xlpm.A)+1)+1,LEN(_xlpm.A)),_xlpm.A))</f>
        <v/>
      </c>
      <c r="J479" s="18" t="str" cm="1">
        <f t="array" ref="J479">IFERROR(INDEX(_xlfn.TEXTSPLIT(_xlfn.XLOOKUP($A479&amp;$B479&amp;$C479,盘货信息!$A:$A&amp;盘货信息!$B:$B&amp;盘货信息!$C:$C,盘货信息!$S:$S),CHAR(10),,TRUE),1,COLUMN(A478)),"")</f>
        <v/>
      </c>
      <c r="K479" s="18" t="str" cm="1">
        <f t="array" ref="K479">IFERROR(INDEX(_xlfn.TEXTSPLIT(_xlfn.XLOOKUP($A479&amp;$B479&amp;$C479,盘货信息!$A:$A&amp;盘货信息!$B:$B&amp;盘货信息!$C:$C,盘货信息!$S:$S),CHAR(10),,TRUE),1,COLUMN(B478)),"")</f>
        <v/>
      </c>
      <c r="L479" s="18" t="str" cm="1">
        <f t="array" ref="L479">IFERROR(INDEX(_xlfn.TEXTSPLIT(_xlfn.XLOOKUP($A479&amp;$B479&amp;$C479,盘货信息!$A:$A&amp;盘货信息!$B:$B&amp;盘货信息!$C:$C,盘货信息!$S:$S),CHAR(10),,TRUE),1,COLUMN(C478)),"")</f>
        <v/>
      </c>
      <c r="M479" s="18" t="str" cm="1">
        <f t="array" ref="M479">IFERROR(INDEX(_xlfn.TEXTSPLIT(_xlfn.XLOOKUP($A479&amp;$B479&amp;$C479,盘货信息!$A:$A&amp;盘货信息!$B:$B&amp;盘货信息!$C:$C,盘货信息!$S:$S),CHAR(10),,TRUE),1,COLUMN(D478)),"")</f>
        <v/>
      </c>
      <c r="N479" s="18" t="str" cm="1">
        <f t="array" ref="N479">IFERROR(INDEX(_xlfn.TEXTSPLIT(_xlfn.XLOOKUP($A479&amp;$B479&amp;$C479,盘货信息!$A:$A&amp;盘货信息!$B:$B&amp;盘货信息!$C:$C,盘货信息!$S:$S),CHAR(10),,TRUE),1,COLUMN(E478)),"")</f>
        <v/>
      </c>
    </row>
    <row r="480" customHeight="1" spans="1:14">
      <c r="A480" s="17" t="str">
        <f>IF(盘货信息!A480="","",盘货信息!A480)</f>
        <v/>
      </c>
      <c r="B480" s="17" t="str">
        <f>IF(盘货信息!B480="","",盘货信息!B480)</f>
        <v/>
      </c>
      <c r="C480" s="18" t="str">
        <f>IF(盘货信息!C480="","",盘货信息!C480)</f>
        <v/>
      </c>
      <c r="D480" s="18" t="str">
        <f t="shared" si="7"/>
        <v/>
      </c>
      <c r="E480" s="18" t="str">
        <f>_xlfn.LET(_xlpm.A,IF(ISNUMBER(SEARCH("晒单",J480)),"【晒单】"&amp;MID(J480,SEARCH("晒单",J480)+LEN("晒单"),LEN(J480))&amp;"（需晒单后联系客服登记）",IF(ISNUMBER(SEARCH("包修",J480)),"【购机】"&amp;MID(J480,SEARCH("购机",J480)+LEN("购机"),LEN(J480)),IF(ISNUMBER(SEARCH("叠放支架",J480)),"【赠品】"&amp;MID(J480,SEARCH("购机",J480)+LEN("购机"),LEN(J480)),IF(ISNUMBER(SEARCH("秀图",J480)),"【秀图】"&amp;MID(J480,SEARCH("秀图",J480)+LEN("秀图"),LEN(J480)),"")))),IFERROR(LEFT(_xlpm.A,FIND("【",_xlpm.A,FIND("】",_xlpm.A)+1)-1)&amp;MID(_xlpm.A,FIND("】",_xlpm.A,FIND("】",_xlpm.A)+1)+1,LEN(_xlpm.A)),_xlpm.A))</f>
        <v/>
      </c>
      <c r="F480" s="18" t="str">
        <f>_xlfn.LET(_xlpm.A,IF(ISNUMBER(SEARCH("晒单",K480)),"【晒单】"&amp;MID(K480,SEARCH("晒单",K480)+LEN("晒单"),LEN(K480))&amp;"（需晒单后联系客服登记）",IF(ISNUMBER(SEARCH("包修",K480)),"【购机】"&amp;MID(K480,SEARCH("购机",K480)+LEN("购机"),LEN(K480)),IF(ISNUMBER(SEARCH("叠放支架",K480)),"【赠品】"&amp;MID(K480,SEARCH("购机",K480)+LEN("购机"),LEN(K480)),IF(ISNUMBER(SEARCH("秀图",K480)),"【秀图】"&amp;MID(K480,SEARCH("秀图",K480)+LEN("秀图"),LEN(K480)),"")))),IFERROR(LEFT(_xlpm.A,FIND("【",_xlpm.A,FIND("】",_xlpm.A)+1)-1)&amp;MID(_xlpm.A,FIND("】",_xlpm.A,FIND("】",_xlpm.A)+1)+1,LEN(_xlpm.A)),_xlpm.A))</f>
        <v/>
      </c>
      <c r="G480" s="18" t="str">
        <f>_xlfn.LET(_xlpm.A,IF(ISNUMBER(SEARCH("晒单",L480)),"【晒单】"&amp;MID(L480,SEARCH("晒单",L480)+LEN("晒单"),LEN(L480))&amp;"（需晒单后联系客服登记）",IF(ISNUMBER(SEARCH("包修",L480)),"【购机】"&amp;MID(L480,SEARCH("购机",L480)+LEN("购机"),LEN(L480)),IF(ISNUMBER(SEARCH("叠放支架",L480)),"【赠品】"&amp;MID(L480,SEARCH("购机",L480)+LEN("购机"),LEN(L480)),IF(ISNUMBER(SEARCH("秀图",L480)),"【秀图】"&amp;MID(L480,SEARCH("秀图",L480)+LEN("秀图"),LEN(L480)),"")))),IFERROR(LEFT(_xlpm.A,FIND("【",_xlpm.A,FIND("】",_xlpm.A)+1)-1)&amp;MID(_xlpm.A,FIND("】",_xlpm.A,FIND("】",_xlpm.A)+1)+1,LEN(_xlpm.A)),_xlpm.A))</f>
        <v/>
      </c>
      <c r="H480" s="18" t="str">
        <f>_xlfn.LET(_xlpm.A,IF(ISNUMBER(SEARCH("晒单",M480)),"【晒单】"&amp;MID(M480,SEARCH("晒单",M480)+LEN("晒单"),LEN(M480))&amp;"（需晒单后联系客服登记）",IF(ISNUMBER(SEARCH("包修",M480)),"【购机】"&amp;MID(M480,SEARCH("购机",M480)+LEN("购机"),LEN(M480)),IF(ISNUMBER(SEARCH("叠放支架",M480)),"【赠品】"&amp;MID(M480,SEARCH("购机",M480)+LEN("购机"),LEN(M480)),IF(ISNUMBER(SEARCH("秀图",M480)),"【秀图】"&amp;MID(M480,SEARCH("秀图",M480)+LEN("秀图"),LEN(M480)),"")))),IFERROR(LEFT(_xlpm.A,FIND("【",_xlpm.A,FIND("】",_xlpm.A)+1)-1)&amp;MID(_xlpm.A,FIND("】",_xlpm.A,FIND("】",_xlpm.A)+1)+1,LEN(_xlpm.A)),_xlpm.A))</f>
        <v/>
      </c>
      <c r="I480" s="18" t="str">
        <f>_xlfn.LET(_xlpm.A,IF(ISNUMBER(SEARCH("晒单",N480)),"【晒单】"&amp;MID(N480,SEARCH("晒单",N480)+LEN("晒单"),LEN(N480))&amp;"（需晒单后联系客服登记）",IF(ISNUMBER(SEARCH("包修",N480)),"【购机】"&amp;MID(N480,SEARCH("购机",N480)+LEN("购机"),LEN(N480)),IF(ISNUMBER(SEARCH("叠放支架",N480)),"【赠品】"&amp;MID(N480,SEARCH("购机",N480)+LEN("购机"),LEN(N480)),IF(ISNUMBER(SEARCH("秀图",N480)),"【秀图】"&amp;MID(N480,SEARCH("秀图",N480)+LEN("秀图"),LEN(N480)),"")))),IFERROR(LEFT(_xlpm.A,FIND("【",_xlpm.A,FIND("】",_xlpm.A)+1)-1)&amp;MID(_xlpm.A,FIND("】",_xlpm.A,FIND("】",_xlpm.A)+1)+1,LEN(_xlpm.A)),_xlpm.A))</f>
        <v/>
      </c>
      <c r="J480" s="18" t="str" cm="1">
        <f t="array" ref="J480">IFERROR(INDEX(_xlfn.TEXTSPLIT(_xlfn.XLOOKUP($A480&amp;$B480&amp;$C480,盘货信息!$A:$A&amp;盘货信息!$B:$B&amp;盘货信息!$C:$C,盘货信息!$S:$S),CHAR(10),,TRUE),1,COLUMN(A479)),"")</f>
        <v/>
      </c>
      <c r="K480" s="18" t="str" cm="1">
        <f t="array" ref="K480">IFERROR(INDEX(_xlfn.TEXTSPLIT(_xlfn.XLOOKUP($A480&amp;$B480&amp;$C480,盘货信息!$A:$A&amp;盘货信息!$B:$B&amp;盘货信息!$C:$C,盘货信息!$S:$S),CHAR(10),,TRUE),1,COLUMN(B479)),"")</f>
        <v/>
      </c>
      <c r="L480" s="18" t="str" cm="1">
        <f t="array" ref="L480">IFERROR(INDEX(_xlfn.TEXTSPLIT(_xlfn.XLOOKUP($A480&amp;$B480&amp;$C480,盘货信息!$A:$A&amp;盘货信息!$B:$B&amp;盘货信息!$C:$C,盘货信息!$S:$S),CHAR(10),,TRUE),1,COLUMN(C479)),"")</f>
        <v/>
      </c>
      <c r="M480" s="18" t="str" cm="1">
        <f t="array" ref="M480">IFERROR(INDEX(_xlfn.TEXTSPLIT(_xlfn.XLOOKUP($A480&amp;$B480&amp;$C480,盘货信息!$A:$A&amp;盘货信息!$B:$B&amp;盘货信息!$C:$C,盘货信息!$S:$S),CHAR(10),,TRUE),1,COLUMN(D479)),"")</f>
        <v/>
      </c>
      <c r="N480" s="18" t="str" cm="1">
        <f t="array" ref="N480">IFERROR(INDEX(_xlfn.TEXTSPLIT(_xlfn.XLOOKUP($A480&amp;$B480&amp;$C480,盘货信息!$A:$A&amp;盘货信息!$B:$B&amp;盘货信息!$C:$C,盘货信息!$S:$S),CHAR(10),,TRUE),1,COLUMN(E479)),"")</f>
        <v/>
      </c>
    </row>
    <row r="481" customHeight="1" spans="1:14">
      <c r="A481" s="17" t="str">
        <f>IF(盘货信息!A481="","",盘货信息!A481)</f>
        <v/>
      </c>
      <c r="B481" s="17" t="str">
        <f>IF(盘货信息!B481="","",盘货信息!B481)</f>
        <v/>
      </c>
      <c r="C481" s="18" t="str">
        <f>IF(盘货信息!C481="","",盘货信息!C481)</f>
        <v/>
      </c>
      <c r="D481" s="18" t="str">
        <f t="shared" si="7"/>
        <v/>
      </c>
      <c r="E481" s="18" t="str">
        <f>_xlfn.LET(_xlpm.A,IF(ISNUMBER(SEARCH("晒单",J481)),"【晒单】"&amp;MID(J481,SEARCH("晒单",J481)+LEN("晒单"),LEN(J481))&amp;"（需晒单后联系客服登记）",IF(ISNUMBER(SEARCH("包修",J481)),"【购机】"&amp;MID(J481,SEARCH("购机",J481)+LEN("购机"),LEN(J481)),IF(ISNUMBER(SEARCH("叠放支架",J481)),"【赠品】"&amp;MID(J481,SEARCH("购机",J481)+LEN("购机"),LEN(J481)),IF(ISNUMBER(SEARCH("秀图",J481)),"【秀图】"&amp;MID(J481,SEARCH("秀图",J481)+LEN("秀图"),LEN(J481)),"")))),IFERROR(LEFT(_xlpm.A,FIND("【",_xlpm.A,FIND("】",_xlpm.A)+1)-1)&amp;MID(_xlpm.A,FIND("】",_xlpm.A,FIND("】",_xlpm.A)+1)+1,LEN(_xlpm.A)),_xlpm.A))</f>
        <v/>
      </c>
      <c r="F481" s="18" t="str">
        <f>_xlfn.LET(_xlpm.A,IF(ISNUMBER(SEARCH("晒单",K481)),"【晒单】"&amp;MID(K481,SEARCH("晒单",K481)+LEN("晒单"),LEN(K481))&amp;"（需晒单后联系客服登记）",IF(ISNUMBER(SEARCH("包修",K481)),"【购机】"&amp;MID(K481,SEARCH("购机",K481)+LEN("购机"),LEN(K481)),IF(ISNUMBER(SEARCH("叠放支架",K481)),"【赠品】"&amp;MID(K481,SEARCH("购机",K481)+LEN("购机"),LEN(K481)),IF(ISNUMBER(SEARCH("秀图",K481)),"【秀图】"&amp;MID(K481,SEARCH("秀图",K481)+LEN("秀图"),LEN(K481)),"")))),IFERROR(LEFT(_xlpm.A,FIND("【",_xlpm.A,FIND("】",_xlpm.A)+1)-1)&amp;MID(_xlpm.A,FIND("】",_xlpm.A,FIND("】",_xlpm.A)+1)+1,LEN(_xlpm.A)),_xlpm.A))</f>
        <v/>
      </c>
      <c r="G481" s="18" t="str">
        <f>_xlfn.LET(_xlpm.A,IF(ISNUMBER(SEARCH("晒单",L481)),"【晒单】"&amp;MID(L481,SEARCH("晒单",L481)+LEN("晒单"),LEN(L481))&amp;"（需晒单后联系客服登记）",IF(ISNUMBER(SEARCH("包修",L481)),"【购机】"&amp;MID(L481,SEARCH("购机",L481)+LEN("购机"),LEN(L481)),IF(ISNUMBER(SEARCH("叠放支架",L481)),"【赠品】"&amp;MID(L481,SEARCH("购机",L481)+LEN("购机"),LEN(L481)),IF(ISNUMBER(SEARCH("秀图",L481)),"【秀图】"&amp;MID(L481,SEARCH("秀图",L481)+LEN("秀图"),LEN(L481)),"")))),IFERROR(LEFT(_xlpm.A,FIND("【",_xlpm.A,FIND("】",_xlpm.A)+1)-1)&amp;MID(_xlpm.A,FIND("】",_xlpm.A,FIND("】",_xlpm.A)+1)+1,LEN(_xlpm.A)),_xlpm.A))</f>
        <v/>
      </c>
      <c r="H481" s="18" t="str">
        <f>_xlfn.LET(_xlpm.A,IF(ISNUMBER(SEARCH("晒单",M481)),"【晒单】"&amp;MID(M481,SEARCH("晒单",M481)+LEN("晒单"),LEN(M481))&amp;"（需晒单后联系客服登记）",IF(ISNUMBER(SEARCH("包修",M481)),"【购机】"&amp;MID(M481,SEARCH("购机",M481)+LEN("购机"),LEN(M481)),IF(ISNUMBER(SEARCH("叠放支架",M481)),"【赠品】"&amp;MID(M481,SEARCH("购机",M481)+LEN("购机"),LEN(M481)),IF(ISNUMBER(SEARCH("秀图",M481)),"【秀图】"&amp;MID(M481,SEARCH("秀图",M481)+LEN("秀图"),LEN(M481)),"")))),IFERROR(LEFT(_xlpm.A,FIND("【",_xlpm.A,FIND("】",_xlpm.A)+1)-1)&amp;MID(_xlpm.A,FIND("】",_xlpm.A,FIND("】",_xlpm.A)+1)+1,LEN(_xlpm.A)),_xlpm.A))</f>
        <v/>
      </c>
      <c r="I481" s="18" t="str">
        <f>_xlfn.LET(_xlpm.A,IF(ISNUMBER(SEARCH("晒单",N481)),"【晒单】"&amp;MID(N481,SEARCH("晒单",N481)+LEN("晒单"),LEN(N481))&amp;"（需晒单后联系客服登记）",IF(ISNUMBER(SEARCH("包修",N481)),"【购机】"&amp;MID(N481,SEARCH("购机",N481)+LEN("购机"),LEN(N481)),IF(ISNUMBER(SEARCH("叠放支架",N481)),"【赠品】"&amp;MID(N481,SEARCH("购机",N481)+LEN("购机"),LEN(N481)),IF(ISNUMBER(SEARCH("秀图",N481)),"【秀图】"&amp;MID(N481,SEARCH("秀图",N481)+LEN("秀图"),LEN(N481)),"")))),IFERROR(LEFT(_xlpm.A,FIND("【",_xlpm.A,FIND("】",_xlpm.A)+1)-1)&amp;MID(_xlpm.A,FIND("】",_xlpm.A,FIND("】",_xlpm.A)+1)+1,LEN(_xlpm.A)),_xlpm.A))</f>
        <v/>
      </c>
      <c r="J481" s="18" t="str" cm="1">
        <f t="array" ref="J481">IFERROR(INDEX(_xlfn.TEXTSPLIT(_xlfn.XLOOKUP($A481&amp;$B481&amp;$C481,盘货信息!$A:$A&amp;盘货信息!$B:$B&amp;盘货信息!$C:$C,盘货信息!$S:$S),CHAR(10),,TRUE),1,COLUMN(A480)),"")</f>
        <v/>
      </c>
      <c r="K481" s="18" t="str" cm="1">
        <f t="array" ref="K481">IFERROR(INDEX(_xlfn.TEXTSPLIT(_xlfn.XLOOKUP($A481&amp;$B481&amp;$C481,盘货信息!$A:$A&amp;盘货信息!$B:$B&amp;盘货信息!$C:$C,盘货信息!$S:$S),CHAR(10),,TRUE),1,COLUMN(B480)),"")</f>
        <v/>
      </c>
      <c r="L481" s="18" t="str" cm="1">
        <f t="array" ref="L481">IFERROR(INDEX(_xlfn.TEXTSPLIT(_xlfn.XLOOKUP($A481&amp;$B481&amp;$C481,盘货信息!$A:$A&amp;盘货信息!$B:$B&amp;盘货信息!$C:$C,盘货信息!$S:$S),CHAR(10),,TRUE),1,COLUMN(C480)),"")</f>
        <v/>
      </c>
      <c r="M481" s="18" t="str" cm="1">
        <f t="array" ref="M481">IFERROR(INDEX(_xlfn.TEXTSPLIT(_xlfn.XLOOKUP($A481&amp;$B481&amp;$C481,盘货信息!$A:$A&amp;盘货信息!$B:$B&amp;盘货信息!$C:$C,盘货信息!$S:$S),CHAR(10),,TRUE),1,COLUMN(D480)),"")</f>
        <v/>
      </c>
      <c r="N481" s="18" t="str" cm="1">
        <f t="array" ref="N481">IFERROR(INDEX(_xlfn.TEXTSPLIT(_xlfn.XLOOKUP($A481&amp;$B481&amp;$C481,盘货信息!$A:$A&amp;盘货信息!$B:$B&amp;盘货信息!$C:$C,盘货信息!$S:$S),CHAR(10),,TRUE),1,COLUMN(E480)),"")</f>
        <v/>
      </c>
    </row>
    <row r="482" customHeight="1" spans="1:14">
      <c r="A482" s="17" t="str">
        <f>IF(盘货信息!A482="","",盘货信息!A482)</f>
        <v/>
      </c>
      <c r="B482" s="17" t="str">
        <f>IF(盘货信息!B482="","",盘货信息!B482)</f>
        <v/>
      </c>
      <c r="C482" s="18" t="str">
        <f>IF(盘货信息!C482="","",盘货信息!C482)</f>
        <v/>
      </c>
      <c r="D482" s="18" t="str">
        <f t="shared" si="7"/>
        <v/>
      </c>
      <c r="E482" s="18" t="str">
        <f>_xlfn.LET(_xlpm.A,IF(ISNUMBER(SEARCH("晒单",J482)),"【晒单】"&amp;MID(J482,SEARCH("晒单",J482)+LEN("晒单"),LEN(J482))&amp;"（需晒单后联系客服登记）",IF(ISNUMBER(SEARCH("包修",J482)),"【购机】"&amp;MID(J482,SEARCH("购机",J482)+LEN("购机"),LEN(J482)),IF(ISNUMBER(SEARCH("叠放支架",J482)),"【赠品】"&amp;MID(J482,SEARCH("购机",J482)+LEN("购机"),LEN(J482)),IF(ISNUMBER(SEARCH("秀图",J482)),"【秀图】"&amp;MID(J482,SEARCH("秀图",J482)+LEN("秀图"),LEN(J482)),"")))),IFERROR(LEFT(_xlpm.A,FIND("【",_xlpm.A,FIND("】",_xlpm.A)+1)-1)&amp;MID(_xlpm.A,FIND("】",_xlpm.A,FIND("】",_xlpm.A)+1)+1,LEN(_xlpm.A)),_xlpm.A))</f>
        <v/>
      </c>
      <c r="F482" s="18" t="str">
        <f>_xlfn.LET(_xlpm.A,IF(ISNUMBER(SEARCH("晒单",K482)),"【晒单】"&amp;MID(K482,SEARCH("晒单",K482)+LEN("晒单"),LEN(K482))&amp;"（需晒单后联系客服登记）",IF(ISNUMBER(SEARCH("包修",K482)),"【购机】"&amp;MID(K482,SEARCH("购机",K482)+LEN("购机"),LEN(K482)),IF(ISNUMBER(SEARCH("叠放支架",K482)),"【赠品】"&amp;MID(K482,SEARCH("购机",K482)+LEN("购机"),LEN(K482)),IF(ISNUMBER(SEARCH("秀图",K482)),"【秀图】"&amp;MID(K482,SEARCH("秀图",K482)+LEN("秀图"),LEN(K482)),"")))),IFERROR(LEFT(_xlpm.A,FIND("【",_xlpm.A,FIND("】",_xlpm.A)+1)-1)&amp;MID(_xlpm.A,FIND("】",_xlpm.A,FIND("】",_xlpm.A)+1)+1,LEN(_xlpm.A)),_xlpm.A))</f>
        <v/>
      </c>
      <c r="G482" s="18" t="str">
        <f>_xlfn.LET(_xlpm.A,IF(ISNUMBER(SEARCH("晒单",L482)),"【晒单】"&amp;MID(L482,SEARCH("晒单",L482)+LEN("晒单"),LEN(L482))&amp;"（需晒单后联系客服登记）",IF(ISNUMBER(SEARCH("包修",L482)),"【购机】"&amp;MID(L482,SEARCH("购机",L482)+LEN("购机"),LEN(L482)),IF(ISNUMBER(SEARCH("叠放支架",L482)),"【赠品】"&amp;MID(L482,SEARCH("购机",L482)+LEN("购机"),LEN(L482)),IF(ISNUMBER(SEARCH("秀图",L482)),"【秀图】"&amp;MID(L482,SEARCH("秀图",L482)+LEN("秀图"),LEN(L482)),"")))),IFERROR(LEFT(_xlpm.A,FIND("【",_xlpm.A,FIND("】",_xlpm.A)+1)-1)&amp;MID(_xlpm.A,FIND("】",_xlpm.A,FIND("】",_xlpm.A)+1)+1,LEN(_xlpm.A)),_xlpm.A))</f>
        <v/>
      </c>
      <c r="H482" s="18" t="str">
        <f>_xlfn.LET(_xlpm.A,IF(ISNUMBER(SEARCH("晒单",M482)),"【晒单】"&amp;MID(M482,SEARCH("晒单",M482)+LEN("晒单"),LEN(M482))&amp;"（需晒单后联系客服登记）",IF(ISNUMBER(SEARCH("包修",M482)),"【购机】"&amp;MID(M482,SEARCH("购机",M482)+LEN("购机"),LEN(M482)),IF(ISNUMBER(SEARCH("叠放支架",M482)),"【赠品】"&amp;MID(M482,SEARCH("购机",M482)+LEN("购机"),LEN(M482)),IF(ISNUMBER(SEARCH("秀图",M482)),"【秀图】"&amp;MID(M482,SEARCH("秀图",M482)+LEN("秀图"),LEN(M482)),"")))),IFERROR(LEFT(_xlpm.A,FIND("【",_xlpm.A,FIND("】",_xlpm.A)+1)-1)&amp;MID(_xlpm.A,FIND("】",_xlpm.A,FIND("】",_xlpm.A)+1)+1,LEN(_xlpm.A)),_xlpm.A))</f>
        <v/>
      </c>
      <c r="I482" s="18" t="str">
        <f>_xlfn.LET(_xlpm.A,IF(ISNUMBER(SEARCH("晒单",N482)),"【晒单】"&amp;MID(N482,SEARCH("晒单",N482)+LEN("晒单"),LEN(N482))&amp;"（需晒单后联系客服登记）",IF(ISNUMBER(SEARCH("包修",N482)),"【购机】"&amp;MID(N482,SEARCH("购机",N482)+LEN("购机"),LEN(N482)),IF(ISNUMBER(SEARCH("叠放支架",N482)),"【赠品】"&amp;MID(N482,SEARCH("购机",N482)+LEN("购机"),LEN(N482)),IF(ISNUMBER(SEARCH("秀图",N482)),"【秀图】"&amp;MID(N482,SEARCH("秀图",N482)+LEN("秀图"),LEN(N482)),"")))),IFERROR(LEFT(_xlpm.A,FIND("【",_xlpm.A,FIND("】",_xlpm.A)+1)-1)&amp;MID(_xlpm.A,FIND("】",_xlpm.A,FIND("】",_xlpm.A)+1)+1,LEN(_xlpm.A)),_xlpm.A))</f>
        <v/>
      </c>
      <c r="J482" s="18" t="str" cm="1">
        <f t="array" ref="J482">IFERROR(INDEX(_xlfn.TEXTSPLIT(_xlfn.XLOOKUP($A482&amp;$B482&amp;$C482,盘货信息!$A:$A&amp;盘货信息!$B:$B&amp;盘货信息!$C:$C,盘货信息!$S:$S),CHAR(10),,TRUE),1,COLUMN(A481)),"")</f>
        <v/>
      </c>
      <c r="K482" s="18" t="str" cm="1">
        <f t="array" ref="K482">IFERROR(INDEX(_xlfn.TEXTSPLIT(_xlfn.XLOOKUP($A482&amp;$B482&amp;$C482,盘货信息!$A:$A&amp;盘货信息!$B:$B&amp;盘货信息!$C:$C,盘货信息!$S:$S),CHAR(10),,TRUE),1,COLUMN(B481)),"")</f>
        <v/>
      </c>
      <c r="L482" s="18" t="str" cm="1">
        <f t="array" ref="L482">IFERROR(INDEX(_xlfn.TEXTSPLIT(_xlfn.XLOOKUP($A482&amp;$B482&amp;$C482,盘货信息!$A:$A&amp;盘货信息!$B:$B&amp;盘货信息!$C:$C,盘货信息!$S:$S),CHAR(10),,TRUE),1,COLUMN(C481)),"")</f>
        <v/>
      </c>
      <c r="M482" s="18" t="str" cm="1">
        <f t="array" ref="M482">IFERROR(INDEX(_xlfn.TEXTSPLIT(_xlfn.XLOOKUP($A482&amp;$B482&amp;$C482,盘货信息!$A:$A&amp;盘货信息!$B:$B&amp;盘货信息!$C:$C,盘货信息!$S:$S),CHAR(10),,TRUE),1,COLUMN(D481)),"")</f>
        <v/>
      </c>
      <c r="N482" s="18" t="str" cm="1">
        <f t="array" ref="N482">IFERROR(INDEX(_xlfn.TEXTSPLIT(_xlfn.XLOOKUP($A482&amp;$B482&amp;$C482,盘货信息!$A:$A&amp;盘货信息!$B:$B&amp;盘货信息!$C:$C,盘货信息!$S:$S),CHAR(10),,TRUE),1,COLUMN(E481)),"")</f>
        <v/>
      </c>
    </row>
    <row r="483" customHeight="1" spans="1:14">
      <c r="A483" s="17" t="str">
        <f>IF(盘货信息!A483="","",盘货信息!A483)</f>
        <v/>
      </c>
      <c r="B483" s="17" t="str">
        <f>IF(盘货信息!B483="","",盘货信息!B483)</f>
        <v/>
      </c>
      <c r="C483" s="18" t="str">
        <f>IF(盘货信息!C483="","",盘货信息!C483)</f>
        <v/>
      </c>
      <c r="D483" s="18" t="str">
        <f t="shared" si="7"/>
        <v/>
      </c>
      <c r="E483" s="18" t="str">
        <f>_xlfn.LET(_xlpm.A,IF(ISNUMBER(SEARCH("晒单",J483)),"【晒单】"&amp;MID(J483,SEARCH("晒单",J483)+LEN("晒单"),LEN(J483))&amp;"（需晒单后联系客服登记）",IF(ISNUMBER(SEARCH("包修",J483)),"【购机】"&amp;MID(J483,SEARCH("购机",J483)+LEN("购机"),LEN(J483)),IF(ISNUMBER(SEARCH("叠放支架",J483)),"【赠品】"&amp;MID(J483,SEARCH("购机",J483)+LEN("购机"),LEN(J483)),IF(ISNUMBER(SEARCH("秀图",J483)),"【秀图】"&amp;MID(J483,SEARCH("秀图",J483)+LEN("秀图"),LEN(J483)),"")))),IFERROR(LEFT(_xlpm.A,FIND("【",_xlpm.A,FIND("】",_xlpm.A)+1)-1)&amp;MID(_xlpm.A,FIND("】",_xlpm.A,FIND("】",_xlpm.A)+1)+1,LEN(_xlpm.A)),_xlpm.A))</f>
        <v/>
      </c>
      <c r="F483" s="18" t="str">
        <f>_xlfn.LET(_xlpm.A,IF(ISNUMBER(SEARCH("晒单",K483)),"【晒单】"&amp;MID(K483,SEARCH("晒单",K483)+LEN("晒单"),LEN(K483))&amp;"（需晒单后联系客服登记）",IF(ISNUMBER(SEARCH("包修",K483)),"【购机】"&amp;MID(K483,SEARCH("购机",K483)+LEN("购机"),LEN(K483)),IF(ISNUMBER(SEARCH("叠放支架",K483)),"【赠品】"&amp;MID(K483,SEARCH("购机",K483)+LEN("购机"),LEN(K483)),IF(ISNUMBER(SEARCH("秀图",K483)),"【秀图】"&amp;MID(K483,SEARCH("秀图",K483)+LEN("秀图"),LEN(K483)),"")))),IFERROR(LEFT(_xlpm.A,FIND("【",_xlpm.A,FIND("】",_xlpm.A)+1)-1)&amp;MID(_xlpm.A,FIND("】",_xlpm.A,FIND("】",_xlpm.A)+1)+1,LEN(_xlpm.A)),_xlpm.A))</f>
        <v/>
      </c>
      <c r="G483" s="18" t="str">
        <f>_xlfn.LET(_xlpm.A,IF(ISNUMBER(SEARCH("晒单",L483)),"【晒单】"&amp;MID(L483,SEARCH("晒单",L483)+LEN("晒单"),LEN(L483))&amp;"（需晒单后联系客服登记）",IF(ISNUMBER(SEARCH("包修",L483)),"【购机】"&amp;MID(L483,SEARCH("购机",L483)+LEN("购机"),LEN(L483)),IF(ISNUMBER(SEARCH("叠放支架",L483)),"【赠品】"&amp;MID(L483,SEARCH("购机",L483)+LEN("购机"),LEN(L483)),IF(ISNUMBER(SEARCH("秀图",L483)),"【秀图】"&amp;MID(L483,SEARCH("秀图",L483)+LEN("秀图"),LEN(L483)),"")))),IFERROR(LEFT(_xlpm.A,FIND("【",_xlpm.A,FIND("】",_xlpm.A)+1)-1)&amp;MID(_xlpm.A,FIND("】",_xlpm.A,FIND("】",_xlpm.A)+1)+1,LEN(_xlpm.A)),_xlpm.A))</f>
        <v/>
      </c>
      <c r="H483" s="18" t="str">
        <f>_xlfn.LET(_xlpm.A,IF(ISNUMBER(SEARCH("晒单",M483)),"【晒单】"&amp;MID(M483,SEARCH("晒单",M483)+LEN("晒单"),LEN(M483))&amp;"（需晒单后联系客服登记）",IF(ISNUMBER(SEARCH("包修",M483)),"【购机】"&amp;MID(M483,SEARCH("购机",M483)+LEN("购机"),LEN(M483)),IF(ISNUMBER(SEARCH("叠放支架",M483)),"【赠品】"&amp;MID(M483,SEARCH("购机",M483)+LEN("购机"),LEN(M483)),IF(ISNUMBER(SEARCH("秀图",M483)),"【秀图】"&amp;MID(M483,SEARCH("秀图",M483)+LEN("秀图"),LEN(M483)),"")))),IFERROR(LEFT(_xlpm.A,FIND("【",_xlpm.A,FIND("】",_xlpm.A)+1)-1)&amp;MID(_xlpm.A,FIND("】",_xlpm.A,FIND("】",_xlpm.A)+1)+1,LEN(_xlpm.A)),_xlpm.A))</f>
        <v/>
      </c>
      <c r="I483" s="18" t="str">
        <f>_xlfn.LET(_xlpm.A,IF(ISNUMBER(SEARCH("晒单",N483)),"【晒单】"&amp;MID(N483,SEARCH("晒单",N483)+LEN("晒单"),LEN(N483))&amp;"（需晒单后联系客服登记）",IF(ISNUMBER(SEARCH("包修",N483)),"【购机】"&amp;MID(N483,SEARCH("购机",N483)+LEN("购机"),LEN(N483)),IF(ISNUMBER(SEARCH("叠放支架",N483)),"【赠品】"&amp;MID(N483,SEARCH("购机",N483)+LEN("购机"),LEN(N483)),IF(ISNUMBER(SEARCH("秀图",N483)),"【秀图】"&amp;MID(N483,SEARCH("秀图",N483)+LEN("秀图"),LEN(N483)),"")))),IFERROR(LEFT(_xlpm.A,FIND("【",_xlpm.A,FIND("】",_xlpm.A)+1)-1)&amp;MID(_xlpm.A,FIND("】",_xlpm.A,FIND("】",_xlpm.A)+1)+1,LEN(_xlpm.A)),_xlpm.A))</f>
        <v/>
      </c>
      <c r="J483" s="18" t="str" cm="1">
        <f t="array" ref="J483">IFERROR(INDEX(_xlfn.TEXTSPLIT(_xlfn.XLOOKUP($A483&amp;$B483&amp;$C483,盘货信息!$A:$A&amp;盘货信息!$B:$B&amp;盘货信息!$C:$C,盘货信息!$S:$S),CHAR(10),,TRUE),1,COLUMN(A482)),"")</f>
        <v/>
      </c>
      <c r="K483" s="18" t="str" cm="1">
        <f t="array" ref="K483">IFERROR(INDEX(_xlfn.TEXTSPLIT(_xlfn.XLOOKUP($A483&amp;$B483&amp;$C483,盘货信息!$A:$A&amp;盘货信息!$B:$B&amp;盘货信息!$C:$C,盘货信息!$S:$S),CHAR(10),,TRUE),1,COLUMN(B482)),"")</f>
        <v/>
      </c>
      <c r="L483" s="18" t="str" cm="1">
        <f t="array" ref="L483">IFERROR(INDEX(_xlfn.TEXTSPLIT(_xlfn.XLOOKUP($A483&amp;$B483&amp;$C483,盘货信息!$A:$A&amp;盘货信息!$B:$B&amp;盘货信息!$C:$C,盘货信息!$S:$S),CHAR(10),,TRUE),1,COLUMN(C482)),"")</f>
        <v/>
      </c>
      <c r="M483" s="18" t="str" cm="1">
        <f t="array" ref="M483">IFERROR(INDEX(_xlfn.TEXTSPLIT(_xlfn.XLOOKUP($A483&amp;$B483&amp;$C483,盘货信息!$A:$A&amp;盘货信息!$B:$B&amp;盘货信息!$C:$C,盘货信息!$S:$S),CHAR(10),,TRUE),1,COLUMN(D482)),"")</f>
        <v/>
      </c>
      <c r="N483" s="18" t="str" cm="1">
        <f t="array" ref="N483">IFERROR(INDEX(_xlfn.TEXTSPLIT(_xlfn.XLOOKUP($A483&amp;$B483&amp;$C483,盘货信息!$A:$A&amp;盘货信息!$B:$B&amp;盘货信息!$C:$C,盘货信息!$S:$S),CHAR(10),,TRUE),1,COLUMN(E482)),"")</f>
        <v/>
      </c>
    </row>
    <row r="484" customHeight="1" spans="1:14">
      <c r="A484" s="17" t="str">
        <f>IF(盘货信息!A484="","",盘货信息!A484)</f>
        <v/>
      </c>
      <c r="B484" s="17" t="str">
        <f>IF(盘货信息!B484="","",盘货信息!B484)</f>
        <v/>
      </c>
      <c r="C484" s="18" t="str">
        <f>IF(盘货信息!C484="","",盘货信息!C484)</f>
        <v/>
      </c>
      <c r="D484" s="18" t="str">
        <f t="shared" si="7"/>
        <v/>
      </c>
      <c r="E484" s="18" t="str">
        <f>_xlfn.LET(_xlpm.A,IF(ISNUMBER(SEARCH("晒单",J484)),"【晒单】"&amp;MID(J484,SEARCH("晒单",J484)+LEN("晒单"),LEN(J484))&amp;"（需晒单后联系客服登记）",IF(ISNUMBER(SEARCH("包修",J484)),"【购机】"&amp;MID(J484,SEARCH("购机",J484)+LEN("购机"),LEN(J484)),IF(ISNUMBER(SEARCH("叠放支架",J484)),"【赠品】"&amp;MID(J484,SEARCH("购机",J484)+LEN("购机"),LEN(J484)),IF(ISNUMBER(SEARCH("秀图",J484)),"【秀图】"&amp;MID(J484,SEARCH("秀图",J484)+LEN("秀图"),LEN(J484)),"")))),IFERROR(LEFT(_xlpm.A,FIND("【",_xlpm.A,FIND("】",_xlpm.A)+1)-1)&amp;MID(_xlpm.A,FIND("】",_xlpm.A,FIND("】",_xlpm.A)+1)+1,LEN(_xlpm.A)),_xlpm.A))</f>
        <v/>
      </c>
      <c r="F484" s="18" t="str">
        <f>_xlfn.LET(_xlpm.A,IF(ISNUMBER(SEARCH("晒单",K484)),"【晒单】"&amp;MID(K484,SEARCH("晒单",K484)+LEN("晒单"),LEN(K484))&amp;"（需晒单后联系客服登记）",IF(ISNUMBER(SEARCH("包修",K484)),"【购机】"&amp;MID(K484,SEARCH("购机",K484)+LEN("购机"),LEN(K484)),IF(ISNUMBER(SEARCH("叠放支架",K484)),"【赠品】"&amp;MID(K484,SEARCH("购机",K484)+LEN("购机"),LEN(K484)),IF(ISNUMBER(SEARCH("秀图",K484)),"【秀图】"&amp;MID(K484,SEARCH("秀图",K484)+LEN("秀图"),LEN(K484)),"")))),IFERROR(LEFT(_xlpm.A,FIND("【",_xlpm.A,FIND("】",_xlpm.A)+1)-1)&amp;MID(_xlpm.A,FIND("】",_xlpm.A,FIND("】",_xlpm.A)+1)+1,LEN(_xlpm.A)),_xlpm.A))</f>
        <v/>
      </c>
      <c r="G484" s="18" t="str">
        <f>_xlfn.LET(_xlpm.A,IF(ISNUMBER(SEARCH("晒单",L484)),"【晒单】"&amp;MID(L484,SEARCH("晒单",L484)+LEN("晒单"),LEN(L484))&amp;"（需晒单后联系客服登记）",IF(ISNUMBER(SEARCH("包修",L484)),"【购机】"&amp;MID(L484,SEARCH("购机",L484)+LEN("购机"),LEN(L484)),IF(ISNUMBER(SEARCH("叠放支架",L484)),"【赠品】"&amp;MID(L484,SEARCH("购机",L484)+LEN("购机"),LEN(L484)),IF(ISNUMBER(SEARCH("秀图",L484)),"【秀图】"&amp;MID(L484,SEARCH("秀图",L484)+LEN("秀图"),LEN(L484)),"")))),IFERROR(LEFT(_xlpm.A,FIND("【",_xlpm.A,FIND("】",_xlpm.A)+1)-1)&amp;MID(_xlpm.A,FIND("】",_xlpm.A,FIND("】",_xlpm.A)+1)+1,LEN(_xlpm.A)),_xlpm.A))</f>
        <v/>
      </c>
      <c r="H484" s="18" t="str">
        <f>_xlfn.LET(_xlpm.A,IF(ISNUMBER(SEARCH("晒单",M484)),"【晒单】"&amp;MID(M484,SEARCH("晒单",M484)+LEN("晒单"),LEN(M484))&amp;"（需晒单后联系客服登记）",IF(ISNUMBER(SEARCH("包修",M484)),"【购机】"&amp;MID(M484,SEARCH("购机",M484)+LEN("购机"),LEN(M484)),IF(ISNUMBER(SEARCH("叠放支架",M484)),"【赠品】"&amp;MID(M484,SEARCH("购机",M484)+LEN("购机"),LEN(M484)),IF(ISNUMBER(SEARCH("秀图",M484)),"【秀图】"&amp;MID(M484,SEARCH("秀图",M484)+LEN("秀图"),LEN(M484)),"")))),IFERROR(LEFT(_xlpm.A,FIND("【",_xlpm.A,FIND("】",_xlpm.A)+1)-1)&amp;MID(_xlpm.A,FIND("】",_xlpm.A,FIND("】",_xlpm.A)+1)+1,LEN(_xlpm.A)),_xlpm.A))</f>
        <v/>
      </c>
      <c r="I484" s="18" t="str">
        <f>_xlfn.LET(_xlpm.A,IF(ISNUMBER(SEARCH("晒单",N484)),"【晒单】"&amp;MID(N484,SEARCH("晒单",N484)+LEN("晒单"),LEN(N484))&amp;"（需晒单后联系客服登记）",IF(ISNUMBER(SEARCH("包修",N484)),"【购机】"&amp;MID(N484,SEARCH("购机",N484)+LEN("购机"),LEN(N484)),IF(ISNUMBER(SEARCH("叠放支架",N484)),"【赠品】"&amp;MID(N484,SEARCH("购机",N484)+LEN("购机"),LEN(N484)),IF(ISNUMBER(SEARCH("秀图",N484)),"【秀图】"&amp;MID(N484,SEARCH("秀图",N484)+LEN("秀图"),LEN(N484)),"")))),IFERROR(LEFT(_xlpm.A,FIND("【",_xlpm.A,FIND("】",_xlpm.A)+1)-1)&amp;MID(_xlpm.A,FIND("】",_xlpm.A,FIND("】",_xlpm.A)+1)+1,LEN(_xlpm.A)),_xlpm.A))</f>
        <v/>
      </c>
      <c r="J484" s="18" t="str" cm="1">
        <f t="array" ref="J484">IFERROR(INDEX(_xlfn.TEXTSPLIT(_xlfn.XLOOKUP($A484&amp;$B484&amp;$C484,盘货信息!$A:$A&amp;盘货信息!$B:$B&amp;盘货信息!$C:$C,盘货信息!$S:$S),CHAR(10),,TRUE),1,COLUMN(A483)),"")</f>
        <v/>
      </c>
      <c r="K484" s="18" t="str" cm="1">
        <f t="array" ref="K484">IFERROR(INDEX(_xlfn.TEXTSPLIT(_xlfn.XLOOKUP($A484&amp;$B484&amp;$C484,盘货信息!$A:$A&amp;盘货信息!$B:$B&amp;盘货信息!$C:$C,盘货信息!$S:$S),CHAR(10),,TRUE),1,COLUMN(B483)),"")</f>
        <v/>
      </c>
      <c r="L484" s="18" t="str" cm="1">
        <f t="array" ref="L484">IFERROR(INDEX(_xlfn.TEXTSPLIT(_xlfn.XLOOKUP($A484&amp;$B484&amp;$C484,盘货信息!$A:$A&amp;盘货信息!$B:$B&amp;盘货信息!$C:$C,盘货信息!$S:$S),CHAR(10),,TRUE),1,COLUMN(C483)),"")</f>
        <v/>
      </c>
      <c r="M484" s="18" t="str" cm="1">
        <f t="array" ref="M484">IFERROR(INDEX(_xlfn.TEXTSPLIT(_xlfn.XLOOKUP($A484&amp;$B484&amp;$C484,盘货信息!$A:$A&amp;盘货信息!$B:$B&amp;盘货信息!$C:$C,盘货信息!$S:$S),CHAR(10),,TRUE),1,COLUMN(D483)),"")</f>
        <v/>
      </c>
      <c r="N484" s="18" t="str" cm="1">
        <f t="array" ref="N484">IFERROR(INDEX(_xlfn.TEXTSPLIT(_xlfn.XLOOKUP($A484&amp;$B484&amp;$C484,盘货信息!$A:$A&amp;盘货信息!$B:$B&amp;盘货信息!$C:$C,盘货信息!$S:$S),CHAR(10),,TRUE),1,COLUMN(E483)),"")</f>
        <v/>
      </c>
    </row>
    <row r="485" customHeight="1" spans="1:14">
      <c r="A485" s="17" t="str">
        <f>IF(盘货信息!A485="","",盘货信息!A485)</f>
        <v/>
      </c>
      <c r="B485" s="17" t="str">
        <f>IF(盘货信息!B485="","",盘货信息!B485)</f>
        <v/>
      </c>
      <c r="C485" s="18" t="str">
        <f>IF(盘货信息!C485="","",盘货信息!C485)</f>
        <v/>
      </c>
      <c r="D485" s="18" t="str">
        <f t="shared" si="7"/>
        <v/>
      </c>
      <c r="E485" s="18" t="str">
        <f>_xlfn.LET(_xlpm.A,IF(ISNUMBER(SEARCH("晒单",J485)),"【晒单】"&amp;MID(J485,SEARCH("晒单",J485)+LEN("晒单"),LEN(J485))&amp;"（需晒单后联系客服登记）",IF(ISNUMBER(SEARCH("包修",J485)),"【购机】"&amp;MID(J485,SEARCH("购机",J485)+LEN("购机"),LEN(J485)),IF(ISNUMBER(SEARCH("叠放支架",J485)),"【赠品】"&amp;MID(J485,SEARCH("购机",J485)+LEN("购机"),LEN(J485)),IF(ISNUMBER(SEARCH("秀图",J485)),"【秀图】"&amp;MID(J485,SEARCH("秀图",J485)+LEN("秀图"),LEN(J485)),"")))),IFERROR(LEFT(_xlpm.A,FIND("【",_xlpm.A,FIND("】",_xlpm.A)+1)-1)&amp;MID(_xlpm.A,FIND("】",_xlpm.A,FIND("】",_xlpm.A)+1)+1,LEN(_xlpm.A)),_xlpm.A))</f>
        <v/>
      </c>
      <c r="F485" s="18" t="str">
        <f>_xlfn.LET(_xlpm.A,IF(ISNUMBER(SEARCH("晒单",K485)),"【晒单】"&amp;MID(K485,SEARCH("晒单",K485)+LEN("晒单"),LEN(K485))&amp;"（需晒单后联系客服登记）",IF(ISNUMBER(SEARCH("包修",K485)),"【购机】"&amp;MID(K485,SEARCH("购机",K485)+LEN("购机"),LEN(K485)),IF(ISNUMBER(SEARCH("叠放支架",K485)),"【赠品】"&amp;MID(K485,SEARCH("购机",K485)+LEN("购机"),LEN(K485)),IF(ISNUMBER(SEARCH("秀图",K485)),"【秀图】"&amp;MID(K485,SEARCH("秀图",K485)+LEN("秀图"),LEN(K485)),"")))),IFERROR(LEFT(_xlpm.A,FIND("【",_xlpm.A,FIND("】",_xlpm.A)+1)-1)&amp;MID(_xlpm.A,FIND("】",_xlpm.A,FIND("】",_xlpm.A)+1)+1,LEN(_xlpm.A)),_xlpm.A))</f>
        <v/>
      </c>
      <c r="G485" s="18" t="str">
        <f>_xlfn.LET(_xlpm.A,IF(ISNUMBER(SEARCH("晒单",L485)),"【晒单】"&amp;MID(L485,SEARCH("晒单",L485)+LEN("晒单"),LEN(L485))&amp;"（需晒单后联系客服登记）",IF(ISNUMBER(SEARCH("包修",L485)),"【购机】"&amp;MID(L485,SEARCH("购机",L485)+LEN("购机"),LEN(L485)),IF(ISNUMBER(SEARCH("叠放支架",L485)),"【赠品】"&amp;MID(L485,SEARCH("购机",L485)+LEN("购机"),LEN(L485)),IF(ISNUMBER(SEARCH("秀图",L485)),"【秀图】"&amp;MID(L485,SEARCH("秀图",L485)+LEN("秀图"),LEN(L485)),"")))),IFERROR(LEFT(_xlpm.A,FIND("【",_xlpm.A,FIND("】",_xlpm.A)+1)-1)&amp;MID(_xlpm.A,FIND("】",_xlpm.A,FIND("】",_xlpm.A)+1)+1,LEN(_xlpm.A)),_xlpm.A))</f>
        <v/>
      </c>
      <c r="H485" s="18" t="str">
        <f>_xlfn.LET(_xlpm.A,IF(ISNUMBER(SEARCH("晒单",M485)),"【晒单】"&amp;MID(M485,SEARCH("晒单",M485)+LEN("晒单"),LEN(M485))&amp;"（需晒单后联系客服登记）",IF(ISNUMBER(SEARCH("包修",M485)),"【购机】"&amp;MID(M485,SEARCH("购机",M485)+LEN("购机"),LEN(M485)),IF(ISNUMBER(SEARCH("叠放支架",M485)),"【赠品】"&amp;MID(M485,SEARCH("购机",M485)+LEN("购机"),LEN(M485)),IF(ISNUMBER(SEARCH("秀图",M485)),"【秀图】"&amp;MID(M485,SEARCH("秀图",M485)+LEN("秀图"),LEN(M485)),"")))),IFERROR(LEFT(_xlpm.A,FIND("【",_xlpm.A,FIND("】",_xlpm.A)+1)-1)&amp;MID(_xlpm.A,FIND("】",_xlpm.A,FIND("】",_xlpm.A)+1)+1,LEN(_xlpm.A)),_xlpm.A))</f>
        <v/>
      </c>
      <c r="I485" s="18" t="str">
        <f>_xlfn.LET(_xlpm.A,IF(ISNUMBER(SEARCH("晒单",N485)),"【晒单】"&amp;MID(N485,SEARCH("晒单",N485)+LEN("晒单"),LEN(N485))&amp;"（需晒单后联系客服登记）",IF(ISNUMBER(SEARCH("包修",N485)),"【购机】"&amp;MID(N485,SEARCH("购机",N485)+LEN("购机"),LEN(N485)),IF(ISNUMBER(SEARCH("叠放支架",N485)),"【赠品】"&amp;MID(N485,SEARCH("购机",N485)+LEN("购机"),LEN(N485)),IF(ISNUMBER(SEARCH("秀图",N485)),"【秀图】"&amp;MID(N485,SEARCH("秀图",N485)+LEN("秀图"),LEN(N485)),"")))),IFERROR(LEFT(_xlpm.A,FIND("【",_xlpm.A,FIND("】",_xlpm.A)+1)-1)&amp;MID(_xlpm.A,FIND("】",_xlpm.A,FIND("】",_xlpm.A)+1)+1,LEN(_xlpm.A)),_xlpm.A))</f>
        <v/>
      </c>
      <c r="J485" s="18" t="str" cm="1">
        <f t="array" ref="J485">IFERROR(INDEX(_xlfn.TEXTSPLIT(_xlfn.XLOOKUP($A485&amp;$B485&amp;$C485,盘货信息!$A:$A&amp;盘货信息!$B:$B&amp;盘货信息!$C:$C,盘货信息!$S:$S),CHAR(10),,TRUE),1,COLUMN(A484)),"")</f>
        <v/>
      </c>
      <c r="K485" s="18" t="str" cm="1">
        <f t="array" ref="K485">IFERROR(INDEX(_xlfn.TEXTSPLIT(_xlfn.XLOOKUP($A485&amp;$B485&amp;$C485,盘货信息!$A:$A&amp;盘货信息!$B:$B&amp;盘货信息!$C:$C,盘货信息!$S:$S),CHAR(10),,TRUE),1,COLUMN(B484)),"")</f>
        <v/>
      </c>
      <c r="L485" s="18" t="str" cm="1">
        <f t="array" ref="L485">IFERROR(INDEX(_xlfn.TEXTSPLIT(_xlfn.XLOOKUP($A485&amp;$B485&amp;$C485,盘货信息!$A:$A&amp;盘货信息!$B:$B&amp;盘货信息!$C:$C,盘货信息!$S:$S),CHAR(10),,TRUE),1,COLUMN(C484)),"")</f>
        <v/>
      </c>
      <c r="M485" s="18" t="str" cm="1">
        <f t="array" ref="M485">IFERROR(INDEX(_xlfn.TEXTSPLIT(_xlfn.XLOOKUP($A485&amp;$B485&amp;$C485,盘货信息!$A:$A&amp;盘货信息!$B:$B&amp;盘货信息!$C:$C,盘货信息!$S:$S),CHAR(10),,TRUE),1,COLUMN(D484)),"")</f>
        <v/>
      </c>
      <c r="N485" s="18" t="str" cm="1">
        <f t="array" ref="N485">IFERROR(INDEX(_xlfn.TEXTSPLIT(_xlfn.XLOOKUP($A485&amp;$B485&amp;$C485,盘货信息!$A:$A&amp;盘货信息!$B:$B&amp;盘货信息!$C:$C,盘货信息!$S:$S),CHAR(10),,TRUE),1,COLUMN(E484)),"")</f>
        <v/>
      </c>
    </row>
    <row r="486" customHeight="1" spans="1:14">
      <c r="A486" s="17" t="str">
        <f>IF(盘货信息!A486="","",盘货信息!A486)</f>
        <v/>
      </c>
      <c r="B486" s="17" t="str">
        <f>IF(盘货信息!B486="","",盘货信息!B486)</f>
        <v/>
      </c>
      <c r="C486" s="18" t="str">
        <f>IF(盘货信息!C486="","",盘货信息!C486)</f>
        <v/>
      </c>
      <c r="D486" s="18" t="str">
        <f t="shared" si="7"/>
        <v/>
      </c>
      <c r="E486" s="18" t="str">
        <f>_xlfn.LET(_xlpm.A,IF(ISNUMBER(SEARCH("晒单",J486)),"【晒单】"&amp;MID(J486,SEARCH("晒单",J486)+LEN("晒单"),LEN(J486))&amp;"（需晒单后联系客服登记）",IF(ISNUMBER(SEARCH("包修",J486)),"【购机】"&amp;MID(J486,SEARCH("购机",J486)+LEN("购机"),LEN(J486)),IF(ISNUMBER(SEARCH("叠放支架",J486)),"【赠品】"&amp;MID(J486,SEARCH("购机",J486)+LEN("购机"),LEN(J486)),IF(ISNUMBER(SEARCH("秀图",J486)),"【秀图】"&amp;MID(J486,SEARCH("秀图",J486)+LEN("秀图"),LEN(J486)),"")))),IFERROR(LEFT(_xlpm.A,FIND("【",_xlpm.A,FIND("】",_xlpm.A)+1)-1)&amp;MID(_xlpm.A,FIND("】",_xlpm.A,FIND("】",_xlpm.A)+1)+1,LEN(_xlpm.A)),_xlpm.A))</f>
        <v/>
      </c>
      <c r="F486" s="18" t="str">
        <f>_xlfn.LET(_xlpm.A,IF(ISNUMBER(SEARCH("晒单",K486)),"【晒单】"&amp;MID(K486,SEARCH("晒单",K486)+LEN("晒单"),LEN(K486))&amp;"（需晒单后联系客服登记）",IF(ISNUMBER(SEARCH("包修",K486)),"【购机】"&amp;MID(K486,SEARCH("购机",K486)+LEN("购机"),LEN(K486)),IF(ISNUMBER(SEARCH("叠放支架",K486)),"【赠品】"&amp;MID(K486,SEARCH("购机",K486)+LEN("购机"),LEN(K486)),IF(ISNUMBER(SEARCH("秀图",K486)),"【秀图】"&amp;MID(K486,SEARCH("秀图",K486)+LEN("秀图"),LEN(K486)),"")))),IFERROR(LEFT(_xlpm.A,FIND("【",_xlpm.A,FIND("】",_xlpm.A)+1)-1)&amp;MID(_xlpm.A,FIND("】",_xlpm.A,FIND("】",_xlpm.A)+1)+1,LEN(_xlpm.A)),_xlpm.A))</f>
        <v/>
      </c>
      <c r="G486" s="18" t="str">
        <f>_xlfn.LET(_xlpm.A,IF(ISNUMBER(SEARCH("晒单",L486)),"【晒单】"&amp;MID(L486,SEARCH("晒单",L486)+LEN("晒单"),LEN(L486))&amp;"（需晒单后联系客服登记）",IF(ISNUMBER(SEARCH("包修",L486)),"【购机】"&amp;MID(L486,SEARCH("购机",L486)+LEN("购机"),LEN(L486)),IF(ISNUMBER(SEARCH("叠放支架",L486)),"【赠品】"&amp;MID(L486,SEARCH("购机",L486)+LEN("购机"),LEN(L486)),IF(ISNUMBER(SEARCH("秀图",L486)),"【秀图】"&amp;MID(L486,SEARCH("秀图",L486)+LEN("秀图"),LEN(L486)),"")))),IFERROR(LEFT(_xlpm.A,FIND("【",_xlpm.A,FIND("】",_xlpm.A)+1)-1)&amp;MID(_xlpm.A,FIND("】",_xlpm.A,FIND("】",_xlpm.A)+1)+1,LEN(_xlpm.A)),_xlpm.A))</f>
        <v/>
      </c>
      <c r="H486" s="18" t="str">
        <f>_xlfn.LET(_xlpm.A,IF(ISNUMBER(SEARCH("晒单",M486)),"【晒单】"&amp;MID(M486,SEARCH("晒单",M486)+LEN("晒单"),LEN(M486))&amp;"（需晒单后联系客服登记）",IF(ISNUMBER(SEARCH("包修",M486)),"【购机】"&amp;MID(M486,SEARCH("购机",M486)+LEN("购机"),LEN(M486)),IF(ISNUMBER(SEARCH("叠放支架",M486)),"【赠品】"&amp;MID(M486,SEARCH("购机",M486)+LEN("购机"),LEN(M486)),IF(ISNUMBER(SEARCH("秀图",M486)),"【秀图】"&amp;MID(M486,SEARCH("秀图",M486)+LEN("秀图"),LEN(M486)),"")))),IFERROR(LEFT(_xlpm.A,FIND("【",_xlpm.A,FIND("】",_xlpm.A)+1)-1)&amp;MID(_xlpm.A,FIND("】",_xlpm.A,FIND("】",_xlpm.A)+1)+1,LEN(_xlpm.A)),_xlpm.A))</f>
        <v/>
      </c>
      <c r="I486" s="18" t="str">
        <f>_xlfn.LET(_xlpm.A,IF(ISNUMBER(SEARCH("晒单",N486)),"【晒单】"&amp;MID(N486,SEARCH("晒单",N486)+LEN("晒单"),LEN(N486))&amp;"（需晒单后联系客服登记）",IF(ISNUMBER(SEARCH("包修",N486)),"【购机】"&amp;MID(N486,SEARCH("购机",N486)+LEN("购机"),LEN(N486)),IF(ISNUMBER(SEARCH("叠放支架",N486)),"【赠品】"&amp;MID(N486,SEARCH("购机",N486)+LEN("购机"),LEN(N486)),IF(ISNUMBER(SEARCH("秀图",N486)),"【秀图】"&amp;MID(N486,SEARCH("秀图",N486)+LEN("秀图"),LEN(N486)),"")))),IFERROR(LEFT(_xlpm.A,FIND("【",_xlpm.A,FIND("】",_xlpm.A)+1)-1)&amp;MID(_xlpm.A,FIND("】",_xlpm.A,FIND("】",_xlpm.A)+1)+1,LEN(_xlpm.A)),_xlpm.A))</f>
        <v/>
      </c>
      <c r="J486" s="18" t="str" cm="1">
        <f t="array" ref="J486">IFERROR(INDEX(_xlfn.TEXTSPLIT(_xlfn.XLOOKUP($A486&amp;$B486&amp;$C486,盘货信息!$A:$A&amp;盘货信息!$B:$B&amp;盘货信息!$C:$C,盘货信息!$S:$S),CHAR(10),,TRUE),1,COLUMN(A485)),"")</f>
        <v/>
      </c>
      <c r="K486" s="18" t="str" cm="1">
        <f t="array" ref="K486">IFERROR(INDEX(_xlfn.TEXTSPLIT(_xlfn.XLOOKUP($A486&amp;$B486&amp;$C486,盘货信息!$A:$A&amp;盘货信息!$B:$B&amp;盘货信息!$C:$C,盘货信息!$S:$S),CHAR(10),,TRUE),1,COLUMN(B485)),"")</f>
        <v/>
      </c>
      <c r="L486" s="18" t="str" cm="1">
        <f t="array" ref="L486">IFERROR(INDEX(_xlfn.TEXTSPLIT(_xlfn.XLOOKUP($A486&amp;$B486&amp;$C486,盘货信息!$A:$A&amp;盘货信息!$B:$B&amp;盘货信息!$C:$C,盘货信息!$S:$S),CHAR(10),,TRUE),1,COLUMN(C485)),"")</f>
        <v/>
      </c>
      <c r="M486" s="18" t="str" cm="1">
        <f t="array" ref="M486">IFERROR(INDEX(_xlfn.TEXTSPLIT(_xlfn.XLOOKUP($A486&amp;$B486&amp;$C486,盘货信息!$A:$A&amp;盘货信息!$B:$B&amp;盘货信息!$C:$C,盘货信息!$S:$S),CHAR(10),,TRUE),1,COLUMN(D485)),"")</f>
        <v/>
      </c>
      <c r="N486" s="18" t="str" cm="1">
        <f t="array" ref="N486">IFERROR(INDEX(_xlfn.TEXTSPLIT(_xlfn.XLOOKUP($A486&amp;$B486&amp;$C486,盘货信息!$A:$A&amp;盘货信息!$B:$B&amp;盘货信息!$C:$C,盘货信息!$S:$S),CHAR(10),,TRUE),1,COLUMN(E485)),"")</f>
        <v/>
      </c>
    </row>
    <row r="487" customHeight="1" spans="1:14">
      <c r="A487" s="17" t="str">
        <f>IF(盘货信息!A487="","",盘货信息!A487)</f>
        <v/>
      </c>
      <c r="B487" s="17" t="str">
        <f>IF(盘货信息!B487="","",盘货信息!B487)</f>
        <v/>
      </c>
      <c r="C487" s="18" t="str">
        <f>IF(盘货信息!C487="","",盘货信息!C487)</f>
        <v/>
      </c>
      <c r="D487" s="18" t="str">
        <f t="shared" si="7"/>
        <v/>
      </c>
      <c r="E487" s="18" t="str">
        <f>_xlfn.LET(_xlpm.A,IF(ISNUMBER(SEARCH("晒单",J487)),"【晒单】"&amp;MID(J487,SEARCH("晒单",J487)+LEN("晒单"),LEN(J487))&amp;"（需晒单后联系客服登记）",IF(ISNUMBER(SEARCH("包修",J487)),"【购机】"&amp;MID(J487,SEARCH("购机",J487)+LEN("购机"),LEN(J487)),IF(ISNUMBER(SEARCH("叠放支架",J487)),"【赠品】"&amp;MID(J487,SEARCH("购机",J487)+LEN("购机"),LEN(J487)),IF(ISNUMBER(SEARCH("秀图",J487)),"【秀图】"&amp;MID(J487,SEARCH("秀图",J487)+LEN("秀图"),LEN(J487)),"")))),IFERROR(LEFT(_xlpm.A,FIND("【",_xlpm.A,FIND("】",_xlpm.A)+1)-1)&amp;MID(_xlpm.A,FIND("】",_xlpm.A,FIND("】",_xlpm.A)+1)+1,LEN(_xlpm.A)),_xlpm.A))</f>
        <v/>
      </c>
      <c r="F487" s="18" t="str">
        <f>_xlfn.LET(_xlpm.A,IF(ISNUMBER(SEARCH("晒单",K487)),"【晒单】"&amp;MID(K487,SEARCH("晒单",K487)+LEN("晒单"),LEN(K487))&amp;"（需晒单后联系客服登记）",IF(ISNUMBER(SEARCH("包修",K487)),"【购机】"&amp;MID(K487,SEARCH("购机",K487)+LEN("购机"),LEN(K487)),IF(ISNUMBER(SEARCH("叠放支架",K487)),"【赠品】"&amp;MID(K487,SEARCH("购机",K487)+LEN("购机"),LEN(K487)),IF(ISNUMBER(SEARCH("秀图",K487)),"【秀图】"&amp;MID(K487,SEARCH("秀图",K487)+LEN("秀图"),LEN(K487)),"")))),IFERROR(LEFT(_xlpm.A,FIND("【",_xlpm.A,FIND("】",_xlpm.A)+1)-1)&amp;MID(_xlpm.A,FIND("】",_xlpm.A,FIND("】",_xlpm.A)+1)+1,LEN(_xlpm.A)),_xlpm.A))</f>
        <v/>
      </c>
      <c r="G487" s="18" t="str">
        <f>_xlfn.LET(_xlpm.A,IF(ISNUMBER(SEARCH("晒单",L487)),"【晒单】"&amp;MID(L487,SEARCH("晒单",L487)+LEN("晒单"),LEN(L487))&amp;"（需晒单后联系客服登记）",IF(ISNUMBER(SEARCH("包修",L487)),"【购机】"&amp;MID(L487,SEARCH("购机",L487)+LEN("购机"),LEN(L487)),IF(ISNUMBER(SEARCH("叠放支架",L487)),"【赠品】"&amp;MID(L487,SEARCH("购机",L487)+LEN("购机"),LEN(L487)),IF(ISNUMBER(SEARCH("秀图",L487)),"【秀图】"&amp;MID(L487,SEARCH("秀图",L487)+LEN("秀图"),LEN(L487)),"")))),IFERROR(LEFT(_xlpm.A,FIND("【",_xlpm.A,FIND("】",_xlpm.A)+1)-1)&amp;MID(_xlpm.A,FIND("】",_xlpm.A,FIND("】",_xlpm.A)+1)+1,LEN(_xlpm.A)),_xlpm.A))</f>
        <v/>
      </c>
      <c r="H487" s="18" t="str">
        <f>_xlfn.LET(_xlpm.A,IF(ISNUMBER(SEARCH("晒单",M487)),"【晒单】"&amp;MID(M487,SEARCH("晒单",M487)+LEN("晒单"),LEN(M487))&amp;"（需晒单后联系客服登记）",IF(ISNUMBER(SEARCH("包修",M487)),"【购机】"&amp;MID(M487,SEARCH("购机",M487)+LEN("购机"),LEN(M487)),IF(ISNUMBER(SEARCH("叠放支架",M487)),"【赠品】"&amp;MID(M487,SEARCH("购机",M487)+LEN("购机"),LEN(M487)),IF(ISNUMBER(SEARCH("秀图",M487)),"【秀图】"&amp;MID(M487,SEARCH("秀图",M487)+LEN("秀图"),LEN(M487)),"")))),IFERROR(LEFT(_xlpm.A,FIND("【",_xlpm.A,FIND("】",_xlpm.A)+1)-1)&amp;MID(_xlpm.A,FIND("】",_xlpm.A,FIND("】",_xlpm.A)+1)+1,LEN(_xlpm.A)),_xlpm.A))</f>
        <v/>
      </c>
      <c r="I487" s="18" t="str">
        <f>_xlfn.LET(_xlpm.A,IF(ISNUMBER(SEARCH("晒单",N487)),"【晒单】"&amp;MID(N487,SEARCH("晒单",N487)+LEN("晒单"),LEN(N487))&amp;"（需晒单后联系客服登记）",IF(ISNUMBER(SEARCH("包修",N487)),"【购机】"&amp;MID(N487,SEARCH("购机",N487)+LEN("购机"),LEN(N487)),IF(ISNUMBER(SEARCH("叠放支架",N487)),"【赠品】"&amp;MID(N487,SEARCH("购机",N487)+LEN("购机"),LEN(N487)),IF(ISNUMBER(SEARCH("秀图",N487)),"【秀图】"&amp;MID(N487,SEARCH("秀图",N487)+LEN("秀图"),LEN(N487)),"")))),IFERROR(LEFT(_xlpm.A,FIND("【",_xlpm.A,FIND("】",_xlpm.A)+1)-1)&amp;MID(_xlpm.A,FIND("】",_xlpm.A,FIND("】",_xlpm.A)+1)+1,LEN(_xlpm.A)),_xlpm.A))</f>
        <v/>
      </c>
      <c r="J487" s="18" t="str" cm="1">
        <f t="array" ref="J487">IFERROR(INDEX(_xlfn.TEXTSPLIT(_xlfn.XLOOKUP($A487&amp;$B487&amp;$C487,盘货信息!$A:$A&amp;盘货信息!$B:$B&amp;盘货信息!$C:$C,盘货信息!$S:$S),CHAR(10),,TRUE),1,COLUMN(A486)),"")</f>
        <v/>
      </c>
      <c r="K487" s="18" t="str" cm="1">
        <f t="array" ref="K487">IFERROR(INDEX(_xlfn.TEXTSPLIT(_xlfn.XLOOKUP($A487&amp;$B487&amp;$C487,盘货信息!$A:$A&amp;盘货信息!$B:$B&amp;盘货信息!$C:$C,盘货信息!$S:$S),CHAR(10),,TRUE),1,COLUMN(B486)),"")</f>
        <v/>
      </c>
      <c r="L487" s="18" t="str" cm="1">
        <f t="array" ref="L487">IFERROR(INDEX(_xlfn.TEXTSPLIT(_xlfn.XLOOKUP($A487&amp;$B487&amp;$C487,盘货信息!$A:$A&amp;盘货信息!$B:$B&amp;盘货信息!$C:$C,盘货信息!$S:$S),CHAR(10),,TRUE),1,COLUMN(C486)),"")</f>
        <v/>
      </c>
      <c r="M487" s="18" t="str" cm="1">
        <f t="array" ref="M487">IFERROR(INDEX(_xlfn.TEXTSPLIT(_xlfn.XLOOKUP($A487&amp;$B487&amp;$C487,盘货信息!$A:$A&amp;盘货信息!$B:$B&amp;盘货信息!$C:$C,盘货信息!$S:$S),CHAR(10),,TRUE),1,COLUMN(D486)),"")</f>
        <v/>
      </c>
      <c r="N487" s="18" t="str" cm="1">
        <f t="array" ref="N487">IFERROR(INDEX(_xlfn.TEXTSPLIT(_xlfn.XLOOKUP($A487&amp;$B487&amp;$C487,盘货信息!$A:$A&amp;盘货信息!$B:$B&amp;盘货信息!$C:$C,盘货信息!$S:$S),CHAR(10),,TRUE),1,COLUMN(E486)),"")</f>
        <v/>
      </c>
    </row>
    <row r="488" customHeight="1" spans="1:14">
      <c r="A488" s="17" t="str">
        <f>IF(盘货信息!A488="","",盘货信息!A488)</f>
        <v/>
      </c>
      <c r="B488" s="17" t="str">
        <f>IF(盘货信息!B488="","",盘货信息!B488)</f>
        <v/>
      </c>
      <c r="C488" s="18" t="str">
        <f>IF(盘货信息!C488="","",盘货信息!C488)</f>
        <v/>
      </c>
      <c r="D488" s="18" t="str">
        <f t="shared" si="7"/>
        <v/>
      </c>
      <c r="E488" s="18" t="str">
        <f>_xlfn.LET(_xlpm.A,IF(ISNUMBER(SEARCH("晒单",J488)),"【晒单】"&amp;MID(J488,SEARCH("晒单",J488)+LEN("晒单"),LEN(J488))&amp;"（需晒单后联系客服登记）",IF(ISNUMBER(SEARCH("包修",J488)),"【购机】"&amp;MID(J488,SEARCH("购机",J488)+LEN("购机"),LEN(J488)),IF(ISNUMBER(SEARCH("叠放支架",J488)),"【赠品】"&amp;MID(J488,SEARCH("购机",J488)+LEN("购机"),LEN(J488)),IF(ISNUMBER(SEARCH("秀图",J488)),"【秀图】"&amp;MID(J488,SEARCH("秀图",J488)+LEN("秀图"),LEN(J488)),"")))),IFERROR(LEFT(_xlpm.A,FIND("【",_xlpm.A,FIND("】",_xlpm.A)+1)-1)&amp;MID(_xlpm.A,FIND("】",_xlpm.A,FIND("】",_xlpm.A)+1)+1,LEN(_xlpm.A)),_xlpm.A))</f>
        <v/>
      </c>
      <c r="F488" s="18" t="str">
        <f>_xlfn.LET(_xlpm.A,IF(ISNUMBER(SEARCH("晒单",K488)),"【晒单】"&amp;MID(K488,SEARCH("晒单",K488)+LEN("晒单"),LEN(K488))&amp;"（需晒单后联系客服登记）",IF(ISNUMBER(SEARCH("包修",K488)),"【购机】"&amp;MID(K488,SEARCH("购机",K488)+LEN("购机"),LEN(K488)),IF(ISNUMBER(SEARCH("叠放支架",K488)),"【赠品】"&amp;MID(K488,SEARCH("购机",K488)+LEN("购机"),LEN(K488)),IF(ISNUMBER(SEARCH("秀图",K488)),"【秀图】"&amp;MID(K488,SEARCH("秀图",K488)+LEN("秀图"),LEN(K488)),"")))),IFERROR(LEFT(_xlpm.A,FIND("【",_xlpm.A,FIND("】",_xlpm.A)+1)-1)&amp;MID(_xlpm.A,FIND("】",_xlpm.A,FIND("】",_xlpm.A)+1)+1,LEN(_xlpm.A)),_xlpm.A))</f>
        <v/>
      </c>
      <c r="G488" s="18" t="str">
        <f>_xlfn.LET(_xlpm.A,IF(ISNUMBER(SEARCH("晒单",L488)),"【晒单】"&amp;MID(L488,SEARCH("晒单",L488)+LEN("晒单"),LEN(L488))&amp;"（需晒单后联系客服登记）",IF(ISNUMBER(SEARCH("包修",L488)),"【购机】"&amp;MID(L488,SEARCH("购机",L488)+LEN("购机"),LEN(L488)),IF(ISNUMBER(SEARCH("叠放支架",L488)),"【赠品】"&amp;MID(L488,SEARCH("购机",L488)+LEN("购机"),LEN(L488)),IF(ISNUMBER(SEARCH("秀图",L488)),"【秀图】"&amp;MID(L488,SEARCH("秀图",L488)+LEN("秀图"),LEN(L488)),"")))),IFERROR(LEFT(_xlpm.A,FIND("【",_xlpm.A,FIND("】",_xlpm.A)+1)-1)&amp;MID(_xlpm.A,FIND("】",_xlpm.A,FIND("】",_xlpm.A)+1)+1,LEN(_xlpm.A)),_xlpm.A))</f>
        <v/>
      </c>
      <c r="H488" s="18" t="str">
        <f>_xlfn.LET(_xlpm.A,IF(ISNUMBER(SEARCH("晒单",M488)),"【晒单】"&amp;MID(M488,SEARCH("晒单",M488)+LEN("晒单"),LEN(M488))&amp;"（需晒单后联系客服登记）",IF(ISNUMBER(SEARCH("包修",M488)),"【购机】"&amp;MID(M488,SEARCH("购机",M488)+LEN("购机"),LEN(M488)),IF(ISNUMBER(SEARCH("叠放支架",M488)),"【赠品】"&amp;MID(M488,SEARCH("购机",M488)+LEN("购机"),LEN(M488)),IF(ISNUMBER(SEARCH("秀图",M488)),"【秀图】"&amp;MID(M488,SEARCH("秀图",M488)+LEN("秀图"),LEN(M488)),"")))),IFERROR(LEFT(_xlpm.A,FIND("【",_xlpm.A,FIND("】",_xlpm.A)+1)-1)&amp;MID(_xlpm.A,FIND("】",_xlpm.A,FIND("】",_xlpm.A)+1)+1,LEN(_xlpm.A)),_xlpm.A))</f>
        <v/>
      </c>
      <c r="I488" s="18" t="str">
        <f>_xlfn.LET(_xlpm.A,IF(ISNUMBER(SEARCH("晒单",N488)),"【晒单】"&amp;MID(N488,SEARCH("晒单",N488)+LEN("晒单"),LEN(N488))&amp;"（需晒单后联系客服登记）",IF(ISNUMBER(SEARCH("包修",N488)),"【购机】"&amp;MID(N488,SEARCH("购机",N488)+LEN("购机"),LEN(N488)),IF(ISNUMBER(SEARCH("叠放支架",N488)),"【赠品】"&amp;MID(N488,SEARCH("购机",N488)+LEN("购机"),LEN(N488)),IF(ISNUMBER(SEARCH("秀图",N488)),"【秀图】"&amp;MID(N488,SEARCH("秀图",N488)+LEN("秀图"),LEN(N488)),"")))),IFERROR(LEFT(_xlpm.A,FIND("【",_xlpm.A,FIND("】",_xlpm.A)+1)-1)&amp;MID(_xlpm.A,FIND("】",_xlpm.A,FIND("】",_xlpm.A)+1)+1,LEN(_xlpm.A)),_xlpm.A))</f>
        <v/>
      </c>
      <c r="J488" s="18" t="str" cm="1">
        <f t="array" ref="J488">IFERROR(INDEX(_xlfn.TEXTSPLIT(_xlfn.XLOOKUP($A488&amp;$B488&amp;$C488,盘货信息!$A:$A&amp;盘货信息!$B:$B&amp;盘货信息!$C:$C,盘货信息!$S:$S),CHAR(10),,TRUE),1,COLUMN(A487)),"")</f>
        <v/>
      </c>
      <c r="K488" s="18" t="str" cm="1">
        <f t="array" ref="K488">IFERROR(INDEX(_xlfn.TEXTSPLIT(_xlfn.XLOOKUP($A488&amp;$B488&amp;$C488,盘货信息!$A:$A&amp;盘货信息!$B:$B&amp;盘货信息!$C:$C,盘货信息!$S:$S),CHAR(10),,TRUE),1,COLUMN(B487)),"")</f>
        <v/>
      </c>
      <c r="L488" s="18" t="str" cm="1">
        <f t="array" ref="L488">IFERROR(INDEX(_xlfn.TEXTSPLIT(_xlfn.XLOOKUP($A488&amp;$B488&amp;$C488,盘货信息!$A:$A&amp;盘货信息!$B:$B&amp;盘货信息!$C:$C,盘货信息!$S:$S),CHAR(10),,TRUE),1,COLUMN(C487)),"")</f>
        <v/>
      </c>
      <c r="M488" s="18" t="str" cm="1">
        <f t="array" ref="M488">IFERROR(INDEX(_xlfn.TEXTSPLIT(_xlfn.XLOOKUP($A488&amp;$B488&amp;$C488,盘货信息!$A:$A&amp;盘货信息!$B:$B&amp;盘货信息!$C:$C,盘货信息!$S:$S),CHAR(10),,TRUE),1,COLUMN(D487)),"")</f>
        <v/>
      </c>
      <c r="N488" s="18" t="str" cm="1">
        <f t="array" ref="N488">IFERROR(INDEX(_xlfn.TEXTSPLIT(_xlfn.XLOOKUP($A488&amp;$B488&amp;$C488,盘货信息!$A:$A&amp;盘货信息!$B:$B&amp;盘货信息!$C:$C,盘货信息!$S:$S),CHAR(10),,TRUE),1,COLUMN(E487)),"")</f>
        <v/>
      </c>
    </row>
    <row r="489" customHeight="1" spans="1:14">
      <c r="A489" s="17" t="str">
        <f>IF(盘货信息!A489="","",盘货信息!A489)</f>
        <v/>
      </c>
      <c r="B489" s="17" t="str">
        <f>IF(盘货信息!B489="","",盘货信息!B489)</f>
        <v/>
      </c>
      <c r="C489" s="18" t="str">
        <f>IF(盘货信息!C489="","",盘货信息!C489)</f>
        <v/>
      </c>
      <c r="D489" s="18" t="str">
        <f t="shared" si="7"/>
        <v/>
      </c>
      <c r="E489" s="18" t="str">
        <f>_xlfn.LET(_xlpm.A,IF(ISNUMBER(SEARCH("晒单",J489)),"【晒单】"&amp;MID(J489,SEARCH("晒单",J489)+LEN("晒单"),LEN(J489))&amp;"（需晒单后联系客服登记）",IF(ISNUMBER(SEARCH("包修",J489)),"【购机】"&amp;MID(J489,SEARCH("购机",J489)+LEN("购机"),LEN(J489)),IF(ISNUMBER(SEARCH("叠放支架",J489)),"【赠品】"&amp;MID(J489,SEARCH("购机",J489)+LEN("购机"),LEN(J489)),IF(ISNUMBER(SEARCH("秀图",J489)),"【秀图】"&amp;MID(J489,SEARCH("秀图",J489)+LEN("秀图"),LEN(J489)),"")))),IFERROR(LEFT(_xlpm.A,FIND("【",_xlpm.A,FIND("】",_xlpm.A)+1)-1)&amp;MID(_xlpm.A,FIND("】",_xlpm.A,FIND("】",_xlpm.A)+1)+1,LEN(_xlpm.A)),_xlpm.A))</f>
        <v/>
      </c>
      <c r="F489" s="18" t="str">
        <f>_xlfn.LET(_xlpm.A,IF(ISNUMBER(SEARCH("晒单",K489)),"【晒单】"&amp;MID(K489,SEARCH("晒单",K489)+LEN("晒单"),LEN(K489))&amp;"（需晒单后联系客服登记）",IF(ISNUMBER(SEARCH("包修",K489)),"【购机】"&amp;MID(K489,SEARCH("购机",K489)+LEN("购机"),LEN(K489)),IF(ISNUMBER(SEARCH("叠放支架",K489)),"【赠品】"&amp;MID(K489,SEARCH("购机",K489)+LEN("购机"),LEN(K489)),IF(ISNUMBER(SEARCH("秀图",K489)),"【秀图】"&amp;MID(K489,SEARCH("秀图",K489)+LEN("秀图"),LEN(K489)),"")))),IFERROR(LEFT(_xlpm.A,FIND("【",_xlpm.A,FIND("】",_xlpm.A)+1)-1)&amp;MID(_xlpm.A,FIND("】",_xlpm.A,FIND("】",_xlpm.A)+1)+1,LEN(_xlpm.A)),_xlpm.A))</f>
        <v/>
      </c>
      <c r="G489" s="18" t="str">
        <f>_xlfn.LET(_xlpm.A,IF(ISNUMBER(SEARCH("晒单",L489)),"【晒单】"&amp;MID(L489,SEARCH("晒单",L489)+LEN("晒单"),LEN(L489))&amp;"（需晒单后联系客服登记）",IF(ISNUMBER(SEARCH("包修",L489)),"【购机】"&amp;MID(L489,SEARCH("购机",L489)+LEN("购机"),LEN(L489)),IF(ISNUMBER(SEARCH("叠放支架",L489)),"【赠品】"&amp;MID(L489,SEARCH("购机",L489)+LEN("购机"),LEN(L489)),IF(ISNUMBER(SEARCH("秀图",L489)),"【秀图】"&amp;MID(L489,SEARCH("秀图",L489)+LEN("秀图"),LEN(L489)),"")))),IFERROR(LEFT(_xlpm.A,FIND("【",_xlpm.A,FIND("】",_xlpm.A)+1)-1)&amp;MID(_xlpm.A,FIND("】",_xlpm.A,FIND("】",_xlpm.A)+1)+1,LEN(_xlpm.A)),_xlpm.A))</f>
        <v/>
      </c>
      <c r="H489" s="18" t="str">
        <f>_xlfn.LET(_xlpm.A,IF(ISNUMBER(SEARCH("晒单",M489)),"【晒单】"&amp;MID(M489,SEARCH("晒单",M489)+LEN("晒单"),LEN(M489))&amp;"（需晒单后联系客服登记）",IF(ISNUMBER(SEARCH("包修",M489)),"【购机】"&amp;MID(M489,SEARCH("购机",M489)+LEN("购机"),LEN(M489)),IF(ISNUMBER(SEARCH("叠放支架",M489)),"【赠品】"&amp;MID(M489,SEARCH("购机",M489)+LEN("购机"),LEN(M489)),IF(ISNUMBER(SEARCH("秀图",M489)),"【秀图】"&amp;MID(M489,SEARCH("秀图",M489)+LEN("秀图"),LEN(M489)),"")))),IFERROR(LEFT(_xlpm.A,FIND("【",_xlpm.A,FIND("】",_xlpm.A)+1)-1)&amp;MID(_xlpm.A,FIND("】",_xlpm.A,FIND("】",_xlpm.A)+1)+1,LEN(_xlpm.A)),_xlpm.A))</f>
        <v/>
      </c>
      <c r="I489" s="18" t="str">
        <f>_xlfn.LET(_xlpm.A,IF(ISNUMBER(SEARCH("晒单",N489)),"【晒单】"&amp;MID(N489,SEARCH("晒单",N489)+LEN("晒单"),LEN(N489))&amp;"（需晒单后联系客服登记）",IF(ISNUMBER(SEARCH("包修",N489)),"【购机】"&amp;MID(N489,SEARCH("购机",N489)+LEN("购机"),LEN(N489)),IF(ISNUMBER(SEARCH("叠放支架",N489)),"【赠品】"&amp;MID(N489,SEARCH("购机",N489)+LEN("购机"),LEN(N489)),IF(ISNUMBER(SEARCH("秀图",N489)),"【秀图】"&amp;MID(N489,SEARCH("秀图",N489)+LEN("秀图"),LEN(N489)),"")))),IFERROR(LEFT(_xlpm.A,FIND("【",_xlpm.A,FIND("】",_xlpm.A)+1)-1)&amp;MID(_xlpm.A,FIND("】",_xlpm.A,FIND("】",_xlpm.A)+1)+1,LEN(_xlpm.A)),_xlpm.A))</f>
        <v/>
      </c>
      <c r="J489" s="18" t="str" cm="1">
        <f t="array" ref="J489">IFERROR(INDEX(_xlfn.TEXTSPLIT(_xlfn.XLOOKUP($A489&amp;$B489&amp;$C489,盘货信息!$A:$A&amp;盘货信息!$B:$B&amp;盘货信息!$C:$C,盘货信息!$S:$S),CHAR(10),,TRUE),1,COLUMN(A488)),"")</f>
        <v/>
      </c>
      <c r="K489" s="18" t="str" cm="1">
        <f t="array" ref="K489">IFERROR(INDEX(_xlfn.TEXTSPLIT(_xlfn.XLOOKUP($A489&amp;$B489&amp;$C489,盘货信息!$A:$A&amp;盘货信息!$B:$B&amp;盘货信息!$C:$C,盘货信息!$S:$S),CHAR(10),,TRUE),1,COLUMN(B488)),"")</f>
        <v/>
      </c>
      <c r="L489" s="18" t="str" cm="1">
        <f t="array" ref="L489">IFERROR(INDEX(_xlfn.TEXTSPLIT(_xlfn.XLOOKUP($A489&amp;$B489&amp;$C489,盘货信息!$A:$A&amp;盘货信息!$B:$B&amp;盘货信息!$C:$C,盘货信息!$S:$S),CHAR(10),,TRUE),1,COLUMN(C488)),"")</f>
        <v/>
      </c>
      <c r="M489" s="18" t="str" cm="1">
        <f t="array" ref="M489">IFERROR(INDEX(_xlfn.TEXTSPLIT(_xlfn.XLOOKUP($A489&amp;$B489&amp;$C489,盘货信息!$A:$A&amp;盘货信息!$B:$B&amp;盘货信息!$C:$C,盘货信息!$S:$S),CHAR(10),,TRUE),1,COLUMN(D488)),"")</f>
        <v/>
      </c>
      <c r="N489" s="18" t="str" cm="1">
        <f t="array" ref="N489">IFERROR(INDEX(_xlfn.TEXTSPLIT(_xlfn.XLOOKUP($A489&amp;$B489&amp;$C489,盘货信息!$A:$A&amp;盘货信息!$B:$B&amp;盘货信息!$C:$C,盘货信息!$S:$S),CHAR(10),,TRUE),1,COLUMN(E488)),"")</f>
        <v/>
      </c>
    </row>
    <row r="490" customHeight="1" spans="1:14">
      <c r="A490" s="17" t="str">
        <f>IF(盘货信息!A490="","",盘货信息!A490)</f>
        <v/>
      </c>
      <c r="B490" s="17" t="str">
        <f>IF(盘货信息!B490="","",盘货信息!B490)</f>
        <v/>
      </c>
      <c r="C490" s="18" t="str">
        <f>IF(盘货信息!C490="","",盘货信息!C490)</f>
        <v/>
      </c>
      <c r="D490" s="18" t="str">
        <f t="shared" si="7"/>
        <v/>
      </c>
      <c r="E490" s="18" t="str">
        <f>_xlfn.LET(_xlpm.A,IF(ISNUMBER(SEARCH("晒单",J490)),"【晒单】"&amp;MID(J490,SEARCH("晒单",J490)+LEN("晒单"),LEN(J490))&amp;"（需晒单后联系客服登记）",IF(ISNUMBER(SEARCH("包修",J490)),"【购机】"&amp;MID(J490,SEARCH("购机",J490)+LEN("购机"),LEN(J490)),IF(ISNUMBER(SEARCH("叠放支架",J490)),"【赠品】"&amp;MID(J490,SEARCH("购机",J490)+LEN("购机"),LEN(J490)),IF(ISNUMBER(SEARCH("秀图",J490)),"【秀图】"&amp;MID(J490,SEARCH("秀图",J490)+LEN("秀图"),LEN(J490)),"")))),IFERROR(LEFT(_xlpm.A,FIND("【",_xlpm.A,FIND("】",_xlpm.A)+1)-1)&amp;MID(_xlpm.A,FIND("】",_xlpm.A,FIND("】",_xlpm.A)+1)+1,LEN(_xlpm.A)),_xlpm.A))</f>
        <v/>
      </c>
      <c r="F490" s="18" t="str">
        <f>_xlfn.LET(_xlpm.A,IF(ISNUMBER(SEARCH("晒单",K490)),"【晒单】"&amp;MID(K490,SEARCH("晒单",K490)+LEN("晒单"),LEN(K490))&amp;"（需晒单后联系客服登记）",IF(ISNUMBER(SEARCH("包修",K490)),"【购机】"&amp;MID(K490,SEARCH("购机",K490)+LEN("购机"),LEN(K490)),IF(ISNUMBER(SEARCH("叠放支架",K490)),"【赠品】"&amp;MID(K490,SEARCH("购机",K490)+LEN("购机"),LEN(K490)),IF(ISNUMBER(SEARCH("秀图",K490)),"【秀图】"&amp;MID(K490,SEARCH("秀图",K490)+LEN("秀图"),LEN(K490)),"")))),IFERROR(LEFT(_xlpm.A,FIND("【",_xlpm.A,FIND("】",_xlpm.A)+1)-1)&amp;MID(_xlpm.A,FIND("】",_xlpm.A,FIND("】",_xlpm.A)+1)+1,LEN(_xlpm.A)),_xlpm.A))</f>
        <v/>
      </c>
      <c r="G490" s="18" t="str">
        <f>_xlfn.LET(_xlpm.A,IF(ISNUMBER(SEARCH("晒单",L490)),"【晒单】"&amp;MID(L490,SEARCH("晒单",L490)+LEN("晒单"),LEN(L490))&amp;"（需晒单后联系客服登记）",IF(ISNUMBER(SEARCH("包修",L490)),"【购机】"&amp;MID(L490,SEARCH("购机",L490)+LEN("购机"),LEN(L490)),IF(ISNUMBER(SEARCH("叠放支架",L490)),"【赠品】"&amp;MID(L490,SEARCH("购机",L490)+LEN("购机"),LEN(L490)),IF(ISNUMBER(SEARCH("秀图",L490)),"【秀图】"&amp;MID(L490,SEARCH("秀图",L490)+LEN("秀图"),LEN(L490)),"")))),IFERROR(LEFT(_xlpm.A,FIND("【",_xlpm.A,FIND("】",_xlpm.A)+1)-1)&amp;MID(_xlpm.A,FIND("】",_xlpm.A,FIND("】",_xlpm.A)+1)+1,LEN(_xlpm.A)),_xlpm.A))</f>
        <v/>
      </c>
      <c r="H490" s="18" t="str">
        <f>_xlfn.LET(_xlpm.A,IF(ISNUMBER(SEARCH("晒单",M490)),"【晒单】"&amp;MID(M490,SEARCH("晒单",M490)+LEN("晒单"),LEN(M490))&amp;"（需晒单后联系客服登记）",IF(ISNUMBER(SEARCH("包修",M490)),"【购机】"&amp;MID(M490,SEARCH("购机",M490)+LEN("购机"),LEN(M490)),IF(ISNUMBER(SEARCH("叠放支架",M490)),"【赠品】"&amp;MID(M490,SEARCH("购机",M490)+LEN("购机"),LEN(M490)),IF(ISNUMBER(SEARCH("秀图",M490)),"【秀图】"&amp;MID(M490,SEARCH("秀图",M490)+LEN("秀图"),LEN(M490)),"")))),IFERROR(LEFT(_xlpm.A,FIND("【",_xlpm.A,FIND("】",_xlpm.A)+1)-1)&amp;MID(_xlpm.A,FIND("】",_xlpm.A,FIND("】",_xlpm.A)+1)+1,LEN(_xlpm.A)),_xlpm.A))</f>
        <v/>
      </c>
      <c r="I490" s="18" t="str">
        <f>_xlfn.LET(_xlpm.A,IF(ISNUMBER(SEARCH("晒单",N490)),"【晒单】"&amp;MID(N490,SEARCH("晒单",N490)+LEN("晒单"),LEN(N490))&amp;"（需晒单后联系客服登记）",IF(ISNUMBER(SEARCH("包修",N490)),"【购机】"&amp;MID(N490,SEARCH("购机",N490)+LEN("购机"),LEN(N490)),IF(ISNUMBER(SEARCH("叠放支架",N490)),"【赠品】"&amp;MID(N490,SEARCH("购机",N490)+LEN("购机"),LEN(N490)),IF(ISNUMBER(SEARCH("秀图",N490)),"【秀图】"&amp;MID(N490,SEARCH("秀图",N490)+LEN("秀图"),LEN(N490)),"")))),IFERROR(LEFT(_xlpm.A,FIND("【",_xlpm.A,FIND("】",_xlpm.A)+1)-1)&amp;MID(_xlpm.A,FIND("】",_xlpm.A,FIND("】",_xlpm.A)+1)+1,LEN(_xlpm.A)),_xlpm.A))</f>
        <v/>
      </c>
      <c r="J490" s="18" t="str" cm="1">
        <f t="array" ref="J490">IFERROR(INDEX(_xlfn.TEXTSPLIT(_xlfn.XLOOKUP($A490&amp;$B490&amp;$C490,盘货信息!$A:$A&amp;盘货信息!$B:$B&amp;盘货信息!$C:$C,盘货信息!$S:$S),CHAR(10),,TRUE),1,COLUMN(A489)),"")</f>
        <v/>
      </c>
      <c r="K490" s="18" t="str" cm="1">
        <f t="array" ref="K490">IFERROR(INDEX(_xlfn.TEXTSPLIT(_xlfn.XLOOKUP($A490&amp;$B490&amp;$C490,盘货信息!$A:$A&amp;盘货信息!$B:$B&amp;盘货信息!$C:$C,盘货信息!$S:$S),CHAR(10),,TRUE),1,COLUMN(B489)),"")</f>
        <v/>
      </c>
      <c r="L490" s="18" t="str" cm="1">
        <f t="array" ref="L490">IFERROR(INDEX(_xlfn.TEXTSPLIT(_xlfn.XLOOKUP($A490&amp;$B490&amp;$C490,盘货信息!$A:$A&amp;盘货信息!$B:$B&amp;盘货信息!$C:$C,盘货信息!$S:$S),CHAR(10),,TRUE),1,COLUMN(C489)),"")</f>
        <v/>
      </c>
      <c r="M490" s="18" t="str" cm="1">
        <f t="array" ref="M490">IFERROR(INDEX(_xlfn.TEXTSPLIT(_xlfn.XLOOKUP($A490&amp;$B490&amp;$C490,盘货信息!$A:$A&amp;盘货信息!$B:$B&amp;盘货信息!$C:$C,盘货信息!$S:$S),CHAR(10),,TRUE),1,COLUMN(D489)),"")</f>
        <v/>
      </c>
      <c r="N490" s="18" t="str" cm="1">
        <f t="array" ref="N490">IFERROR(INDEX(_xlfn.TEXTSPLIT(_xlfn.XLOOKUP($A490&amp;$B490&amp;$C490,盘货信息!$A:$A&amp;盘货信息!$B:$B&amp;盘货信息!$C:$C,盘货信息!$S:$S),CHAR(10),,TRUE),1,COLUMN(E489)),"")</f>
        <v/>
      </c>
    </row>
    <row r="491" customHeight="1" spans="1:14">
      <c r="A491" s="17" t="str">
        <f>IF(盘货信息!A491="","",盘货信息!A491)</f>
        <v/>
      </c>
      <c r="B491" s="17" t="str">
        <f>IF(盘货信息!B491="","",盘货信息!B491)</f>
        <v/>
      </c>
      <c r="C491" s="18" t="str">
        <f>IF(盘货信息!C491="","",盘货信息!C491)</f>
        <v/>
      </c>
      <c r="D491" s="18" t="str">
        <f t="shared" si="7"/>
        <v/>
      </c>
      <c r="E491" s="18" t="str">
        <f>_xlfn.LET(_xlpm.A,IF(ISNUMBER(SEARCH("晒单",J491)),"【晒单】"&amp;MID(J491,SEARCH("晒单",J491)+LEN("晒单"),LEN(J491))&amp;"（需晒单后联系客服登记）",IF(ISNUMBER(SEARCH("包修",J491)),"【购机】"&amp;MID(J491,SEARCH("购机",J491)+LEN("购机"),LEN(J491)),IF(ISNUMBER(SEARCH("叠放支架",J491)),"【赠品】"&amp;MID(J491,SEARCH("购机",J491)+LEN("购机"),LEN(J491)),IF(ISNUMBER(SEARCH("秀图",J491)),"【秀图】"&amp;MID(J491,SEARCH("秀图",J491)+LEN("秀图"),LEN(J491)),"")))),IFERROR(LEFT(_xlpm.A,FIND("【",_xlpm.A,FIND("】",_xlpm.A)+1)-1)&amp;MID(_xlpm.A,FIND("】",_xlpm.A,FIND("】",_xlpm.A)+1)+1,LEN(_xlpm.A)),_xlpm.A))</f>
        <v/>
      </c>
      <c r="F491" s="18" t="str">
        <f>_xlfn.LET(_xlpm.A,IF(ISNUMBER(SEARCH("晒单",K491)),"【晒单】"&amp;MID(K491,SEARCH("晒单",K491)+LEN("晒单"),LEN(K491))&amp;"（需晒单后联系客服登记）",IF(ISNUMBER(SEARCH("包修",K491)),"【购机】"&amp;MID(K491,SEARCH("购机",K491)+LEN("购机"),LEN(K491)),IF(ISNUMBER(SEARCH("叠放支架",K491)),"【赠品】"&amp;MID(K491,SEARCH("购机",K491)+LEN("购机"),LEN(K491)),IF(ISNUMBER(SEARCH("秀图",K491)),"【秀图】"&amp;MID(K491,SEARCH("秀图",K491)+LEN("秀图"),LEN(K491)),"")))),IFERROR(LEFT(_xlpm.A,FIND("【",_xlpm.A,FIND("】",_xlpm.A)+1)-1)&amp;MID(_xlpm.A,FIND("】",_xlpm.A,FIND("】",_xlpm.A)+1)+1,LEN(_xlpm.A)),_xlpm.A))</f>
        <v/>
      </c>
      <c r="G491" s="18" t="str">
        <f>_xlfn.LET(_xlpm.A,IF(ISNUMBER(SEARCH("晒单",L491)),"【晒单】"&amp;MID(L491,SEARCH("晒单",L491)+LEN("晒单"),LEN(L491))&amp;"（需晒单后联系客服登记）",IF(ISNUMBER(SEARCH("包修",L491)),"【购机】"&amp;MID(L491,SEARCH("购机",L491)+LEN("购机"),LEN(L491)),IF(ISNUMBER(SEARCH("叠放支架",L491)),"【赠品】"&amp;MID(L491,SEARCH("购机",L491)+LEN("购机"),LEN(L491)),IF(ISNUMBER(SEARCH("秀图",L491)),"【秀图】"&amp;MID(L491,SEARCH("秀图",L491)+LEN("秀图"),LEN(L491)),"")))),IFERROR(LEFT(_xlpm.A,FIND("【",_xlpm.A,FIND("】",_xlpm.A)+1)-1)&amp;MID(_xlpm.A,FIND("】",_xlpm.A,FIND("】",_xlpm.A)+1)+1,LEN(_xlpm.A)),_xlpm.A))</f>
        <v/>
      </c>
      <c r="H491" s="18" t="str">
        <f>_xlfn.LET(_xlpm.A,IF(ISNUMBER(SEARCH("晒单",M491)),"【晒单】"&amp;MID(M491,SEARCH("晒单",M491)+LEN("晒单"),LEN(M491))&amp;"（需晒单后联系客服登记）",IF(ISNUMBER(SEARCH("包修",M491)),"【购机】"&amp;MID(M491,SEARCH("购机",M491)+LEN("购机"),LEN(M491)),IF(ISNUMBER(SEARCH("叠放支架",M491)),"【赠品】"&amp;MID(M491,SEARCH("购机",M491)+LEN("购机"),LEN(M491)),IF(ISNUMBER(SEARCH("秀图",M491)),"【秀图】"&amp;MID(M491,SEARCH("秀图",M491)+LEN("秀图"),LEN(M491)),"")))),IFERROR(LEFT(_xlpm.A,FIND("【",_xlpm.A,FIND("】",_xlpm.A)+1)-1)&amp;MID(_xlpm.A,FIND("】",_xlpm.A,FIND("】",_xlpm.A)+1)+1,LEN(_xlpm.A)),_xlpm.A))</f>
        <v/>
      </c>
      <c r="I491" s="18" t="str">
        <f>_xlfn.LET(_xlpm.A,IF(ISNUMBER(SEARCH("晒单",N491)),"【晒单】"&amp;MID(N491,SEARCH("晒单",N491)+LEN("晒单"),LEN(N491))&amp;"（需晒单后联系客服登记）",IF(ISNUMBER(SEARCH("包修",N491)),"【购机】"&amp;MID(N491,SEARCH("购机",N491)+LEN("购机"),LEN(N491)),IF(ISNUMBER(SEARCH("叠放支架",N491)),"【赠品】"&amp;MID(N491,SEARCH("购机",N491)+LEN("购机"),LEN(N491)),IF(ISNUMBER(SEARCH("秀图",N491)),"【秀图】"&amp;MID(N491,SEARCH("秀图",N491)+LEN("秀图"),LEN(N491)),"")))),IFERROR(LEFT(_xlpm.A,FIND("【",_xlpm.A,FIND("】",_xlpm.A)+1)-1)&amp;MID(_xlpm.A,FIND("】",_xlpm.A,FIND("】",_xlpm.A)+1)+1,LEN(_xlpm.A)),_xlpm.A))</f>
        <v/>
      </c>
      <c r="J491" s="18" t="str" cm="1">
        <f t="array" ref="J491">IFERROR(INDEX(_xlfn.TEXTSPLIT(_xlfn.XLOOKUP($A491&amp;$B491&amp;$C491,盘货信息!$A:$A&amp;盘货信息!$B:$B&amp;盘货信息!$C:$C,盘货信息!$S:$S),CHAR(10),,TRUE),1,COLUMN(A490)),"")</f>
        <v/>
      </c>
      <c r="K491" s="18" t="str" cm="1">
        <f t="array" ref="K491">IFERROR(INDEX(_xlfn.TEXTSPLIT(_xlfn.XLOOKUP($A491&amp;$B491&amp;$C491,盘货信息!$A:$A&amp;盘货信息!$B:$B&amp;盘货信息!$C:$C,盘货信息!$S:$S),CHAR(10),,TRUE),1,COLUMN(B490)),"")</f>
        <v/>
      </c>
      <c r="L491" s="18" t="str" cm="1">
        <f t="array" ref="L491">IFERROR(INDEX(_xlfn.TEXTSPLIT(_xlfn.XLOOKUP($A491&amp;$B491&amp;$C491,盘货信息!$A:$A&amp;盘货信息!$B:$B&amp;盘货信息!$C:$C,盘货信息!$S:$S),CHAR(10),,TRUE),1,COLUMN(C490)),"")</f>
        <v/>
      </c>
      <c r="M491" s="18" t="str" cm="1">
        <f t="array" ref="M491">IFERROR(INDEX(_xlfn.TEXTSPLIT(_xlfn.XLOOKUP($A491&amp;$B491&amp;$C491,盘货信息!$A:$A&amp;盘货信息!$B:$B&amp;盘货信息!$C:$C,盘货信息!$S:$S),CHAR(10),,TRUE),1,COLUMN(D490)),"")</f>
        <v/>
      </c>
      <c r="N491" s="18" t="str" cm="1">
        <f t="array" ref="N491">IFERROR(INDEX(_xlfn.TEXTSPLIT(_xlfn.XLOOKUP($A491&amp;$B491&amp;$C491,盘货信息!$A:$A&amp;盘货信息!$B:$B&amp;盘货信息!$C:$C,盘货信息!$S:$S),CHAR(10),,TRUE),1,COLUMN(E490)),"")</f>
        <v/>
      </c>
    </row>
    <row r="492" customHeight="1" spans="1:14">
      <c r="A492" s="17" t="str">
        <f>IF(盘货信息!A492="","",盘货信息!A492)</f>
        <v/>
      </c>
      <c r="B492" s="17" t="str">
        <f>IF(盘货信息!B492="","",盘货信息!B492)</f>
        <v/>
      </c>
      <c r="C492" s="18" t="str">
        <f>IF(盘货信息!C492="","",盘货信息!C492)</f>
        <v/>
      </c>
      <c r="D492" s="18" t="str">
        <f t="shared" si="7"/>
        <v/>
      </c>
      <c r="E492" s="18" t="str">
        <f>_xlfn.LET(_xlpm.A,IF(ISNUMBER(SEARCH("晒单",J492)),"【晒单】"&amp;MID(J492,SEARCH("晒单",J492)+LEN("晒单"),LEN(J492))&amp;"（需晒单后联系客服登记）",IF(ISNUMBER(SEARCH("包修",J492)),"【购机】"&amp;MID(J492,SEARCH("购机",J492)+LEN("购机"),LEN(J492)),IF(ISNUMBER(SEARCH("叠放支架",J492)),"【赠品】"&amp;MID(J492,SEARCH("购机",J492)+LEN("购机"),LEN(J492)),IF(ISNUMBER(SEARCH("秀图",J492)),"【秀图】"&amp;MID(J492,SEARCH("秀图",J492)+LEN("秀图"),LEN(J492)),"")))),IFERROR(LEFT(_xlpm.A,FIND("【",_xlpm.A,FIND("】",_xlpm.A)+1)-1)&amp;MID(_xlpm.A,FIND("】",_xlpm.A,FIND("】",_xlpm.A)+1)+1,LEN(_xlpm.A)),_xlpm.A))</f>
        <v/>
      </c>
      <c r="F492" s="18" t="str">
        <f>_xlfn.LET(_xlpm.A,IF(ISNUMBER(SEARCH("晒单",K492)),"【晒单】"&amp;MID(K492,SEARCH("晒单",K492)+LEN("晒单"),LEN(K492))&amp;"（需晒单后联系客服登记）",IF(ISNUMBER(SEARCH("包修",K492)),"【购机】"&amp;MID(K492,SEARCH("购机",K492)+LEN("购机"),LEN(K492)),IF(ISNUMBER(SEARCH("叠放支架",K492)),"【赠品】"&amp;MID(K492,SEARCH("购机",K492)+LEN("购机"),LEN(K492)),IF(ISNUMBER(SEARCH("秀图",K492)),"【秀图】"&amp;MID(K492,SEARCH("秀图",K492)+LEN("秀图"),LEN(K492)),"")))),IFERROR(LEFT(_xlpm.A,FIND("【",_xlpm.A,FIND("】",_xlpm.A)+1)-1)&amp;MID(_xlpm.A,FIND("】",_xlpm.A,FIND("】",_xlpm.A)+1)+1,LEN(_xlpm.A)),_xlpm.A))</f>
        <v/>
      </c>
      <c r="G492" s="18" t="str">
        <f>_xlfn.LET(_xlpm.A,IF(ISNUMBER(SEARCH("晒单",L492)),"【晒单】"&amp;MID(L492,SEARCH("晒单",L492)+LEN("晒单"),LEN(L492))&amp;"（需晒单后联系客服登记）",IF(ISNUMBER(SEARCH("包修",L492)),"【购机】"&amp;MID(L492,SEARCH("购机",L492)+LEN("购机"),LEN(L492)),IF(ISNUMBER(SEARCH("叠放支架",L492)),"【赠品】"&amp;MID(L492,SEARCH("购机",L492)+LEN("购机"),LEN(L492)),IF(ISNUMBER(SEARCH("秀图",L492)),"【秀图】"&amp;MID(L492,SEARCH("秀图",L492)+LEN("秀图"),LEN(L492)),"")))),IFERROR(LEFT(_xlpm.A,FIND("【",_xlpm.A,FIND("】",_xlpm.A)+1)-1)&amp;MID(_xlpm.A,FIND("】",_xlpm.A,FIND("】",_xlpm.A)+1)+1,LEN(_xlpm.A)),_xlpm.A))</f>
        <v/>
      </c>
      <c r="H492" s="18" t="str">
        <f>_xlfn.LET(_xlpm.A,IF(ISNUMBER(SEARCH("晒单",M492)),"【晒单】"&amp;MID(M492,SEARCH("晒单",M492)+LEN("晒单"),LEN(M492))&amp;"（需晒单后联系客服登记）",IF(ISNUMBER(SEARCH("包修",M492)),"【购机】"&amp;MID(M492,SEARCH("购机",M492)+LEN("购机"),LEN(M492)),IF(ISNUMBER(SEARCH("叠放支架",M492)),"【赠品】"&amp;MID(M492,SEARCH("购机",M492)+LEN("购机"),LEN(M492)),IF(ISNUMBER(SEARCH("秀图",M492)),"【秀图】"&amp;MID(M492,SEARCH("秀图",M492)+LEN("秀图"),LEN(M492)),"")))),IFERROR(LEFT(_xlpm.A,FIND("【",_xlpm.A,FIND("】",_xlpm.A)+1)-1)&amp;MID(_xlpm.A,FIND("】",_xlpm.A,FIND("】",_xlpm.A)+1)+1,LEN(_xlpm.A)),_xlpm.A))</f>
        <v/>
      </c>
      <c r="I492" s="18" t="str">
        <f>_xlfn.LET(_xlpm.A,IF(ISNUMBER(SEARCH("晒单",N492)),"【晒单】"&amp;MID(N492,SEARCH("晒单",N492)+LEN("晒单"),LEN(N492))&amp;"（需晒单后联系客服登记）",IF(ISNUMBER(SEARCH("包修",N492)),"【购机】"&amp;MID(N492,SEARCH("购机",N492)+LEN("购机"),LEN(N492)),IF(ISNUMBER(SEARCH("叠放支架",N492)),"【赠品】"&amp;MID(N492,SEARCH("购机",N492)+LEN("购机"),LEN(N492)),IF(ISNUMBER(SEARCH("秀图",N492)),"【秀图】"&amp;MID(N492,SEARCH("秀图",N492)+LEN("秀图"),LEN(N492)),"")))),IFERROR(LEFT(_xlpm.A,FIND("【",_xlpm.A,FIND("】",_xlpm.A)+1)-1)&amp;MID(_xlpm.A,FIND("】",_xlpm.A,FIND("】",_xlpm.A)+1)+1,LEN(_xlpm.A)),_xlpm.A))</f>
        <v/>
      </c>
      <c r="J492" s="18" t="str" cm="1">
        <f t="array" ref="J492">IFERROR(INDEX(_xlfn.TEXTSPLIT(_xlfn.XLOOKUP($A492&amp;$B492&amp;$C492,盘货信息!$A:$A&amp;盘货信息!$B:$B&amp;盘货信息!$C:$C,盘货信息!$S:$S),CHAR(10),,TRUE),1,COLUMN(A491)),"")</f>
        <v/>
      </c>
      <c r="K492" s="18" t="str" cm="1">
        <f t="array" ref="K492">IFERROR(INDEX(_xlfn.TEXTSPLIT(_xlfn.XLOOKUP($A492&amp;$B492&amp;$C492,盘货信息!$A:$A&amp;盘货信息!$B:$B&amp;盘货信息!$C:$C,盘货信息!$S:$S),CHAR(10),,TRUE),1,COLUMN(B491)),"")</f>
        <v/>
      </c>
      <c r="L492" s="18" t="str" cm="1">
        <f t="array" ref="L492">IFERROR(INDEX(_xlfn.TEXTSPLIT(_xlfn.XLOOKUP($A492&amp;$B492&amp;$C492,盘货信息!$A:$A&amp;盘货信息!$B:$B&amp;盘货信息!$C:$C,盘货信息!$S:$S),CHAR(10),,TRUE),1,COLUMN(C491)),"")</f>
        <v/>
      </c>
      <c r="M492" s="18" t="str" cm="1">
        <f t="array" ref="M492">IFERROR(INDEX(_xlfn.TEXTSPLIT(_xlfn.XLOOKUP($A492&amp;$B492&amp;$C492,盘货信息!$A:$A&amp;盘货信息!$B:$B&amp;盘货信息!$C:$C,盘货信息!$S:$S),CHAR(10),,TRUE),1,COLUMN(D491)),"")</f>
        <v/>
      </c>
      <c r="N492" s="18" t="str" cm="1">
        <f t="array" ref="N492">IFERROR(INDEX(_xlfn.TEXTSPLIT(_xlfn.XLOOKUP($A492&amp;$B492&amp;$C492,盘货信息!$A:$A&amp;盘货信息!$B:$B&amp;盘货信息!$C:$C,盘货信息!$S:$S),CHAR(10),,TRUE),1,COLUMN(E491)),"")</f>
        <v/>
      </c>
    </row>
    <row r="493" customHeight="1" spans="1:14">
      <c r="A493" s="17" t="str">
        <f>IF(盘货信息!A493="","",盘货信息!A493)</f>
        <v/>
      </c>
      <c r="B493" s="17" t="str">
        <f>IF(盘货信息!B493="","",盘货信息!B493)</f>
        <v/>
      </c>
      <c r="C493" s="18" t="str">
        <f>IF(盘货信息!C493="","",盘货信息!C493)</f>
        <v/>
      </c>
      <c r="D493" s="18" t="str">
        <f t="shared" si="7"/>
        <v/>
      </c>
      <c r="E493" s="18" t="str">
        <f>_xlfn.LET(_xlpm.A,IF(ISNUMBER(SEARCH("晒单",J493)),"【晒单】"&amp;MID(J493,SEARCH("晒单",J493)+LEN("晒单"),LEN(J493))&amp;"（需晒单后联系客服登记）",IF(ISNUMBER(SEARCH("包修",J493)),"【购机】"&amp;MID(J493,SEARCH("购机",J493)+LEN("购机"),LEN(J493)),IF(ISNUMBER(SEARCH("叠放支架",J493)),"【赠品】"&amp;MID(J493,SEARCH("购机",J493)+LEN("购机"),LEN(J493)),IF(ISNUMBER(SEARCH("秀图",J493)),"【秀图】"&amp;MID(J493,SEARCH("秀图",J493)+LEN("秀图"),LEN(J493)),"")))),IFERROR(LEFT(_xlpm.A,FIND("【",_xlpm.A,FIND("】",_xlpm.A)+1)-1)&amp;MID(_xlpm.A,FIND("】",_xlpm.A,FIND("】",_xlpm.A)+1)+1,LEN(_xlpm.A)),_xlpm.A))</f>
        <v/>
      </c>
      <c r="F493" s="18" t="str">
        <f>_xlfn.LET(_xlpm.A,IF(ISNUMBER(SEARCH("晒单",K493)),"【晒单】"&amp;MID(K493,SEARCH("晒单",K493)+LEN("晒单"),LEN(K493))&amp;"（需晒单后联系客服登记）",IF(ISNUMBER(SEARCH("包修",K493)),"【购机】"&amp;MID(K493,SEARCH("购机",K493)+LEN("购机"),LEN(K493)),IF(ISNUMBER(SEARCH("叠放支架",K493)),"【赠品】"&amp;MID(K493,SEARCH("购机",K493)+LEN("购机"),LEN(K493)),IF(ISNUMBER(SEARCH("秀图",K493)),"【秀图】"&amp;MID(K493,SEARCH("秀图",K493)+LEN("秀图"),LEN(K493)),"")))),IFERROR(LEFT(_xlpm.A,FIND("【",_xlpm.A,FIND("】",_xlpm.A)+1)-1)&amp;MID(_xlpm.A,FIND("】",_xlpm.A,FIND("】",_xlpm.A)+1)+1,LEN(_xlpm.A)),_xlpm.A))</f>
        <v/>
      </c>
      <c r="G493" s="18" t="str">
        <f>_xlfn.LET(_xlpm.A,IF(ISNUMBER(SEARCH("晒单",L493)),"【晒单】"&amp;MID(L493,SEARCH("晒单",L493)+LEN("晒单"),LEN(L493))&amp;"（需晒单后联系客服登记）",IF(ISNUMBER(SEARCH("包修",L493)),"【购机】"&amp;MID(L493,SEARCH("购机",L493)+LEN("购机"),LEN(L493)),IF(ISNUMBER(SEARCH("叠放支架",L493)),"【赠品】"&amp;MID(L493,SEARCH("购机",L493)+LEN("购机"),LEN(L493)),IF(ISNUMBER(SEARCH("秀图",L493)),"【秀图】"&amp;MID(L493,SEARCH("秀图",L493)+LEN("秀图"),LEN(L493)),"")))),IFERROR(LEFT(_xlpm.A,FIND("【",_xlpm.A,FIND("】",_xlpm.A)+1)-1)&amp;MID(_xlpm.A,FIND("】",_xlpm.A,FIND("】",_xlpm.A)+1)+1,LEN(_xlpm.A)),_xlpm.A))</f>
        <v/>
      </c>
      <c r="H493" s="18" t="str">
        <f>_xlfn.LET(_xlpm.A,IF(ISNUMBER(SEARCH("晒单",M493)),"【晒单】"&amp;MID(M493,SEARCH("晒单",M493)+LEN("晒单"),LEN(M493))&amp;"（需晒单后联系客服登记）",IF(ISNUMBER(SEARCH("包修",M493)),"【购机】"&amp;MID(M493,SEARCH("购机",M493)+LEN("购机"),LEN(M493)),IF(ISNUMBER(SEARCH("叠放支架",M493)),"【赠品】"&amp;MID(M493,SEARCH("购机",M493)+LEN("购机"),LEN(M493)),IF(ISNUMBER(SEARCH("秀图",M493)),"【秀图】"&amp;MID(M493,SEARCH("秀图",M493)+LEN("秀图"),LEN(M493)),"")))),IFERROR(LEFT(_xlpm.A,FIND("【",_xlpm.A,FIND("】",_xlpm.A)+1)-1)&amp;MID(_xlpm.A,FIND("】",_xlpm.A,FIND("】",_xlpm.A)+1)+1,LEN(_xlpm.A)),_xlpm.A))</f>
        <v/>
      </c>
      <c r="I493" s="18" t="str">
        <f>_xlfn.LET(_xlpm.A,IF(ISNUMBER(SEARCH("晒单",N493)),"【晒单】"&amp;MID(N493,SEARCH("晒单",N493)+LEN("晒单"),LEN(N493))&amp;"（需晒单后联系客服登记）",IF(ISNUMBER(SEARCH("包修",N493)),"【购机】"&amp;MID(N493,SEARCH("购机",N493)+LEN("购机"),LEN(N493)),IF(ISNUMBER(SEARCH("叠放支架",N493)),"【赠品】"&amp;MID(N493,SEARCH("购机",N493)+LEN("购机"),LEN(N493)),IF(ISNUMBER(SEARCH("秀图",N493)),"【秀图】"&amp;MID(N493,SEARCH("秀图",N493)+LEN("秀图"),LEN(N493)),"")))),IFERROR(LEFT(_xlpm.A,FIND("【",_xlpm.A,FIND("】",_xlpm.A)+1)-1)&amp;MID(_xlpm.A,FIND("】",_xlpm.A,FIND("】",_xlpm.A)+1)+1,LEN(_xlpm.A)),_xlpm.A))</f>
        <v/>
      </c>
      <c r="J493" s="18" t="str" cm="1">
        <f t="array" ref="J493">IFERROR(INDEX(_xlfn.TEXTSPLIT(_xlfn.XLOOKUP($A493&amp;$B493&amp;$C493,盘货信息!$A:$A&amp;盘货信息!$B:$B&amp;盘货信息!$C:$C,盘货信息!$S:$S),CHAR(10),,TRUE),1,COLUMN(A492)),"")</f>
        <v/>
      </c>
      <c r="K493" s="18" t="str" cm="1">
        <f t="array" ref="K493">IFERROR(INDEX(_xlfn.TEXTSPLIT(_xlfn.XLOOKUP($A493&amp;$B493&amp;$C493,盘货信息!$A:$A&amp;盘货信息!$B:$B&amp;盘货信息!$C:$C,盘货信息!$S:$S),CHAR(10),,TRUE),1,COLUMN(B492)),"")</f>
        <v/>
      </c>
      <c r="L493" s="18" t="str" cm="1">
        <f t="array" ref="L493">IFERROR(INDEX(_xlfn.TEXTSPLIT(_xlfn.XLOOKUP($A493&amp;$B493&amp;$C493,盘货信息!$A:$A&amp;盘货信息!$B:$B&amp;盘货信息!$C:$C,盘货信息!$S:$S),CHAR(10),,TRUE),1,COLUMN(C492)),"")</f>
        <v/>
      </c>
      <c r="M493" s="18" t="str" cm="1">
        <f t="array" ref="M493">IFERROR(INDEX(_xlfn.TEXTSPLIT(_xlfn.XLOOKUP($A493&amp;$B493&amp;$C493,盘货信息!$A:$A&amp;盘货信息!$B:$B&amp;盘货信息!$C:$C,盘货信息!$S:$S),CHAR(10),,TRUE),1,COLUMN(D492)),"")</f>
        <v/>
      </c>
      <c r="N493" s="18" t="str" cm="1">
        <f t="array" ref="N493">IFERROR(INDEX(_xlfn.TEXTSPLIT(_xlfn.XLOOKUP($A493&amp;$B493&amp;$C493,盘货信息!$A:$A&amp;盘货信息!$B:$B&amp;盘货信息!$C:$C,盘货信息!$S:$S),CHAR(10),,TRUE),1,COLUMN(E492)),"")</f>
        <v/>
      </c>
    </row>
    <row r="494" customHeight="1" spans="1:14">
      <c r="A494" s="17" t="str">
        <f>IF(盘货信息!A494="","",盘货信息!A494)</f>
        <v/>
      </c>
      <c r="B494" s="17" t="str">
        <f>IF(盘货信息!B494="","",盘货信息!B494)</f>
        <v/>
      </c>
      <c r="C494" s="18" t="str">
        <f>IF(盘货信息!C494="","",盘货信息!C494)</f>
        <v/>
      </c>
      <c r="D494" s="18" t="str">
        <f t="shared" si="7"/>
        <v/>
      </c>
      <c r="E494" s="18" t="str">
        <f>_xlfn.LET(_xlpm.A,IF(ISNUMBER(SEARCH("晒单",J494)),"【晒单】"&amp;MID(J494,SEARCH("晒单",J494)+LEN("晒单"),LEN(J494))&amp;"（需晒单后联系客服登记）",IF(ISNUMBER(SEARCH("包修",J494)),"【购机】"&amp;MID(J494,SEARCH("购机",J494)+LEN("购机"),LEN(J494)),IF(ISNUMBER(SEARCH("叠放支架",J494)),"【赠品】"&amp;MID(J494,SEARCH("购机",J494)+LEN("购机"),LEN(J494)),IF(ISNUMBER(SEARCH("秀图",J494)),"【秀图】"&amp;MID(J494,SEARCH("秀图",J494)+LEN("秀图"),LEN(J494)),"")))),IFERROR(LEFT(_xlpm.A,FIND("【",_xlpm.A,FIND("】",_xlpm.A)+1)-1)&amp;MID(_xlpm.A,FIND("】",_xlpm.A,FIND("】",_xlpm.A)+1)+1,LEN(_xlpm.A)),_xlpm.A))</f>
        <v/>
      </c>
      <c r="F494" s="18" t="str">
        <f>_xlfn.LET(_xlpm.A,IF(ISNUMBER(SEARCH("晒单",K494)),"【晒单】"&amp;MID(K494,SEARCH("晒单",K494)+LEN("晒单"),LEN(K494))&amp;"（需晒单后联系客服登记）",IF(ISNUMBER(SEARCH("包修",K494)),"【购机】"&amp;MID(K494,SEARCH("购机",K494)+LEN("购机"),LEN(K494)),IF(ISNUMBER(SEARCH("叠放支架",K494)),"【赠品】"&amp;MID(K494,SEARCH("购机",K494)+LEN("购机"),LEN(K494)),IF(ISNUMBER(SEARCH("秀图",K494)),"【秀图】"&amp;MID(K494,SEARCH("秀图",K494)+LEN("秀图"),LEN(K494)),"")))),IFERROR(LEFT(_xlpm.A,FIND("【",_xlpm.A,FIND("】",_xlpm.A)+1)-1)&amp;MID(_xlpm.A,FIND("】",_xlpm.A,FIND("】",_xlpm.A)+1)+1,LEN(_xlpm.A)),_xlpm.A))</f>
        <v/>
      </c>
      <c r="G494" s="18" t="str">
        <f>_xlfn.LET(_xlpm.A,IF(ISNUMBER(SEARCH("晒单",L494)),"【晒单】"&amp;MID(L494,SEARCH("晒单",L494)+LEN("晒单"),LEN(L494))&amp;"（需晒单后联系客服登记）",IF(ISNUMBER(SEARCH("包修",L494)),"【购机】"&amp;MID(L494,SEARCH("购机",L494)+LEN("购机"),LEN(L494)),IF(ISNUMBER(SEARCH("叠放支架",L494)),"【赠品】"&amp;MID(L494,SEARCH("购机",L494)+LEN("购机"),LEN(L494)),IF(ISNUMBER(SEARCH("秀图",L494)),"【秀图】"&amp;MID(L494,SEARCH("秀图",L494)+LEN("秀图"),LEN(L494)),"")))),IFERROR(LEFT(_xlpm.A,FIND("【",_xlpm.A,FIND("】",_xlpm.A)+1)-1)&amp;MID(_xlpm.A,FIND("】",_xlpm.A,FIND("】",_xlpm.A)+1)+1,LEN(_xlpm.A)),_xlpm.A))</f>
        <v/>
      </c>
      <c r="H494" s="18" t="str">
        <f>_xlfn.LET(_xlpm.A,IF(ISNUMBER(SEARCH("晒单",M494)),"【晒单】"&amp;MID(M494,SEARCH("晒单",M494)+LEN("晒单"),LEN(M494))&amp;"（需晒单后联系客服登记）",IF(ISNUMBER(SEARCH("包修",M494)),"【购机】"&amp;MID(M494,SEARCH("购机",M494)+LEN("购机"),LEN(M494)),IF(ISNUMBER(SEARCH("叠放支架",M494)),"【赠品】"&amp;MID(M494,SEARCH("购机",M494)+LEN("购机"),LEN(M494)),IF(ISNUMBER(SEARCH("秀图",M494)),"【秀图】"&amp;MID(M494,SEARCH("秀图",M494)+LEN("秀图"),LEN(M494)),"")))),IFERROR(LEFT(_xlpm.A,FIND("【",_xlpm.A,FIND("】",_xlpm.A)+1)-1)&amp;MID(_xlpm.A,FIND("】",_xlpm.A,FIND("】",_xlpm.A)+1)+1,LEN(_xlpm.A)),_xlpm.A))</f>
        <v/>
      </c>
      <c r="I494" s="18" t="str">
        <f>_xlfn.LET(_xlpm.A,IF(ISNUMBER(SEARCH("晒单",N494)),"【晒单】"&amp;MID(N494,SEARCH("晒单",N494)+LEN("晒单"),LEN(N494))&amp;"（需晒单后联系客服登记）",IF(ISNUMBER(SEARCH("包修",N494)),"【购机】"&amp;MID(N494,SEARCH("购机",N494)+LEN("购机"),LEN(N494)),IF(ISNUMBER(SEARCH("叠放支架",N494)),"【赠品】"&amp;MID(N494,SEARCH("购机",N494)+LEN("购机"),LEN(N494)),IF(ISNUMBER(SEARCH("秀图",N494)),"【秀图】"&amp;MID(N494,SEARCH("秀图",N494)+LEN("秀图"),LEN(N494)),"")))),IFERROR(LEFT(_xlpm.A,FIND("【",_xlpm.A,FIND("】",_xlpm.A)+1)-1)&amp;MID(_xlpm.A,FIND("】",_xlpm.A,FIND("】",_xlpm.A)+1)+1,LEN(_xlpm.A)),_xlpm.A))</f>
        <v/>
      </c>
      <c r="J494" s="18" t="str" cm="1">
        <f t="array" ref="J494">IFERROR(INDEX(_xlfn.TEXTSPLIT(_xlfn.XLOOKUP($A494&amp;$B494&amp;$C494,盘货信息!$A:$A&amp;盘货信息!$B:$B&amp;盘货信息!$C:$C,盘货信息!$S:$S),CHAR(10),,TRUE),1,COLUMN(A493)),"")</f>
        <v/>
      </c>
      <c r="K494" s="18" t="str" cm="1">
        <f t="array" ref="K494">IFERROR(INDEX(_xlfn.TEXTSPLIT(_xlfn.XLOOKUP($A494&amp;$B494&amp;$C494,盘货信息!$A:$A&amp;盘货信息!$B:$B&amp;盘货信息!$C:$C,盘货信息!$S:$S),CHAR(10),,TRUE),1,COLUMN(B493)),"")</f>
        <v/>
      </c>
      <c r="L494" s="18" t="str" cm="1">
        <f t="array" ref="L494">IFERROR(INDEX(_xlfn.TEXTSPLIT(_xlfn.XLOOKUP($A494&amp;$B494&amp;$C494,盘货信息!$A:$A&amp;盘货信息!$B:$B&amp;盘货信息!$C:$C,盘货信息!$S:$S),CHAR(10),,TRUE),1,COLUMN(C493)),"")</f>
        <v/>
      </c>
      <c r="M494" s="18" t="str" cm="1">
        <f t="array" ref="M494">IFERROR(INDEX(_xlfn.TEXTSPLIT(_xlfn.XLOOKUP($A494&amp;$B494&amp;$C494,盘货信息!$A:$A&amp;盘货信息!$B:$B&amp;盘货信息!$C:$C,盘货信息!$S:$S),CHAR(10),,TRUE),1,COLUMN(D493)),"")</f>
        <v/>
      </c>
      <c r="N494" s="18" t="str" cm="1">
        <f t="array" ref="N494">IFERROR(INDEX(_xlfn.TEXTSPLIT(_xlfn.XLOOKUP($A494&amp;$B494&amp;$C494,盘货信息!$A:$A&amp;盘货信息!$B:$B&amp;盘货信息!$C:$C,盘货信息!$S:$S),CHAR(10),,TRUE),1,COLUMN(E493)),"")</f>
        <v/>
      </c>
    </row>
    <row r="495" customHeight="1" spans="1:14">
      <c r="A495" s="17" t="str">
        <f>IF(盘货信息!A495="","",盘货信息!A495)</f>
        <v/>
      </c>
      <c r="B495" s="17" t="str">
        <f>IF(盘货信息!B495="","",盘货信息!B495)</f>
        <v/>
      </c>
      <c r="C495" s="18" t="str">
        <f>IF(盘货信息!C495="","",盘货信息!C495)</f>
        <v/>
      </c>
      <c r="D495" s="18" t="str">
        <f t="shared" si="7"/>
        <v/>
      </c>
      <c r="E495" s="18" t="str">
        <f>_xlfn.LET(_xlpm.A,IF(ISNUMBER(SEARCH("晒单",J495)),"【晒单】"&amp;MID(J495,SEARCH("晒单",J495)+LEN("晒单"),LEN(J495))&amp;"（需晒单后联系客服登记）",IF(ISNUMBER(SEARCH("包修",J495)),"【购机】"&amp;MID(J495,SEARCH("购机",J495)+LEN("购机"),LEN(J495)),IF(ISNUMBER(SEARCH("叠放支架",J495)),"【赠品】"&amp;MID(J495,SEARCH("购机",J495)+LEN("购机"),LEN(J495)),IF(ISNUMBER(SEARCH("秀图",J495)),"【秀图】"&amp;MID(J495,SEARCH("秀图",J495)+LEN("秀图"),LEN(J495)),"")))),IFERROR(LEFT(_xlpm.A,FIND("【",_xlpm.A,FIND("】",_xlpm.A)+1)-1)&amp;MID(_xlpm.A,FIND("】",_xlpm.A,FIND("】",_xlpm.A)+1)+1,LEN(_xlpm.A)),_xlpm.A))</f>
        <v/>
      </c>
      <c r="F495" s="18" t="str">
        <f>_xlfn.LET(_xlpm.A,IF(ISNUMBER(SEARCH("晒单",K495)),"【晒单】"&amp;MID(K495,SEARCH("晒单",K495)+LEN("晒单"),LEN(K495))&amp;"（需晒单后联系客服登记）",IF(ISNUMBER(SEARCH("包修",K495)),"【购机】"&amp;MID(K495,SEARCH("购机",K495)+LEN("购机"),LEN(K495)),IF(ISNUMBER(SEARCH("叠放支架",K495)),"【赠品】"&amp;MID(K495,SEARCH("购机",K495)+LEN("购机"),LEN(K495)),IF(ISNUMBER(SEARCH("秀图",K495)),"【秀图】"&amp;MID(K495,SEARCH("秀图",K495)+LEN("秀图"),LEN(K495)),"")))),IFERROR(LEFT(_xlpm.A,FIND("【",_xlpm.A,FIND("】",_xlpm.A)+1)-1)&amp;MID(_xlpm.A,FIND("】",_xlpm.A,FIND("】",_xlpm.A)+1)+1,LEN(_xlpm.A)),_xlpm.A))</f>
        <v/>
      </c>
      <c r="G495" s="18" t="str">
        <f>_xlfn.LET(_xlpm.A,IF(ISNUMBER(SEARCH("晒单",L495)),"【晒单】"&amp;MID(L495,SEARCH("晒单",L495)+LEN("晒单"),LEN(L495))&amp;"（需晒单后联系客服登记）",IF(ISNUMBER(SEARCH("包修",L495)),"【购机】"&amp;MID(L495,SEARCH("购机",L495)+LEN("购机"),LEN(L495)),IF(ISNUMBER(SEARCH("叠放支架",L495)),"【赠品】"&amp;MID(L495,SEARCH("购机",L495)+LEN("购机"),LEN(L495)),IF(ISNUMBER(SEARCH("秀图",L495)),"【秀图】"&amp;MID(L495,SEARCH("秀图",L495)+LEN("秀图"),LEN(L495)),"")))),IFERROR(LEFT(_xlpm.A,FIND("【",_xlpm.A,FIND("】",_xlpm.A)+1)-1)&amp;MID(_xlpm.A,FIND("】",_xlpm.A,FIND("】",_xlpm.A)+1)+1,LEN(_xlpm.A)),_xlpm.A))</f>
        <v/>
      </c>
      <c r="H495" s="18" t="str">
        <f>_xlfn.LET(_xlpm.A,IF(ISNUMBER(SEARCH("晒单",M495)),"【晒单】"&amp;MID(M495,SEARCH("晒单",M495)+LEN("晒单"),LEN(M495))&amp;"（需晒单后联系客服登记）",IF(ISNUMBER(SEARCH("包修",M495)),"【购机】"&amp;MID(M495,SEARCH("购机",M495)+LEN("购机"),LEN(M495)),IF(ISNUMBER(SEARCH("叠放支架",M495)),"【赠品】"&amp;MID(M495,SEARCH("购机",M495)+LEN("购机"),LEN(M495)),IF(ISNUMBER(SEARCH("秀图",M495)),"【秀图】"&amp;MID(M495,SEARCH("秀图",M495)+LEN("秀图"),LEN(M495)),"")))),IFERROR(LEFT(_xlpm.A,FIND("【",_xlpm.A,FIND("】",_xlpm.A)+1)-1)&amp;MID(_xlpm.A,FIND("】",_xlpm.A,FIND("】",_xlpm.A)+1)+1,LEN(_xlpm.A)),_xlpm.A))</f>
        <v/>
      </c>
      <c r="I495" s="18" t="str">
        <f>_xlfn.LET(_xlpm.A,IF(ISNUMBER(SEARCH("晒单",N495)),"【晒单】"&amp;MID(N495,SEARCH("晒单",N495)+LEN("晒单"),LEN(N495))&amp;"（需晒单后联系客服登记）",IF(ISNUMBER(SEARCH("包修",N495)),"【购机】"&amp;MID(N495,SEARCH("购机",N495)+LEN("购机"),LEN(N495)),IF(ISNUMBER(SEARCH("叠放支架",N495)),"【赠品】"&amp;MID(N495,SEARCH("购机",N495)+LEN("购机"),LEN(N495)),IF(ISNUMBER(SEARCH("秀图",N495)),"【秀图】"&amp;MID(N495,SEARCH("秀图",N495)+LEN("秀图"),LEN(N495)),"")))),IFERROR(LEFT(_xlpm.A,FIND("【",_xlpm.A,FIND("】",_xlpm.A)+1)-1)&amp;MID(_xlpm.A,FIND("】",_xlpm.A,FIND("】",_xlpm.A)+1)+1,LEN(_xlpm.A)),_xlpm.A))</f>
        <v/>
      </c>
      <c r="J495" s="18" t="str" cm="1">
        <f t="array" ref="J495">IFERROR(INDEX(_xlfn.TEXTSPLIT(_xlfn.XLOOKUP($A495&amp;$B495&amp;$C495,盘货信息!$A:$A&amp;盘货信息!$B:$B&amp;盘货信息!$C:$C,盘货信息!$S:$S),CHAR(10),,TRUE),1,COLUMN(A494)),"")</f>
        <v/>
      </c>
      <c r="K495" s="18" t="str" cm="1">
        <f t="array" ref="K495">IFERROR(INDEX(_xlfn.TEXTSPLIT(_xlfn.XLOOKUP($A495&amp;$B495&amp;$C495,盘货信息!$A:$A&amp;盘货信息!$B:$B&amp;盘货信息!$C:$C,盘货信息!$S:$S),CHAR(10),,TRUE),1,COLUMN(B494)),"")</f>
        <v/>
      </c>
      <c r="L495" s="18" t="str" cm="1">
        <f t="array" ref="L495">IFERROR(INDEX(_xlfn.TEXTSPLIT(_xlfn.XLOOKUP($A495&amp;$B495&amp;$C495,盘货信息!$A:$A&amp;盘货信息!$B:$B&amp;盘货信息!$C:$C,盘货信息!$S:$S),CHAR(10),,TRUE),1,COLUMN(C494)),"")</f>
        <v/>
      </c>
      <c r="M495" s="18" t="str" cm="1">
        <f t="array" ref="M495">IFERROR(INDEX(_xlfn.TEXTSPLIT(_xlfn.XLOOKUP($A495&amp;$B495&amp;$C495,盘货信息!$A:$A&amp;盘货信息!$B:$B&amp;盘货信息!$C:$C,盘货信息!$S:$S),CHAR(10),,TRUE),1,COLUMN(D494)),"")</f>
        <v/>
      </c>
      <c r="N495" s="18" t="str" cm="1">
        <f t="array" ref="N495">IFERROR(INDEX(_xlfn.TEXTSPLIT(_xlfn.XLOOKUP($A495&amp;$B495&amp;$C495,盘货信息!$A:$A&amp;盘货信息!$B:$B&amp;盘货信息!$C:$C,盘货信息!$S:$S),CHAR(10),,TRUE),1,COLUMN(E494)),"")</f>
        <v/>
      </c>
    </row>
    <row r="496" customHeight="1" spans="1:14">
      <c r="A496" s="17" t="str">
        <f>IF(盘货信息!A496="","",盘货信息!A496)</f>
        <v/>
      </c>
      <c r="B496" s="17" t="str">
        <f>IF(盘货信息!B496="","",盘货信息!B496)</f>
        <v/>
      </c>
      <c r="C496" s="18" t="str">
        <f>IF(盘货信息!C496="","",盘货信息!C496)</f>
        <v/>
      </c>
      <c r="D496" s="18" t="str">
        <f t="shared" si="7"/>
        <v/>
      </c>
      <c r="E496" s="18" t="str">
        <f>_xlfn.LET(_xlpm.A,IF(ISNUMBER(SEARCH("晒单",J496)),"【晒单】"&amp;MID(J496,SEARCH("晒单",J496)+LEN("晒单"),LEN(J496))&amp;"（需晒单后联系客服登记）",IF(ISNUMBER(SEARCH("包修",J496)),"【购机】"&amp;MID(J496,SEARCH("购机",J496)+LEN("购机"),LEN(J496)),IF(ISNUMBER(SEARCH("叠放支架",J496)),"【赠品】"&amp;MID(J496,SEARCH("购机",J496)+LEN("购机"),LEN(J496)),IF(ISNUMBER(SEARCH("秀图",J496)),"【秀图】"&amp;MID(J496,SEARCH("秀图",J496)+LEN("秀图"),LEN(J496)),"")))),IFERROR(LEFT(_xlpm.A,FIND("【",_xlpm.A,FIND("】",_xlpm.A)+1)-1)&amp;MID(_xlpm.A,FIND("】",_xlpm.A,FIND("】",_xlpm.A)+1)+1,LEN(_xlpm.A)),_xlpm.A))</f>
        <v/>
      </c>
      <c r="F496" s="18" t="str">
        <f>_xlfn.LET(_xlpm.A,IF(ISNUMBER(SEARCH("晒单",K496)),"【晒单】"&amp;MID(K496,SEARCH("晒单",K496)+LEN("晒单"),LEN(K496))&amp;"（需晒单后联系客服登记）",IF(ISNUMBER(SEARCH("包修",K496)),"【购机】"&amp;MID(K496,SEARCH("购机",K496)+LEN("购机"),LEN(K496)),IF(ISNUMBER(SEARCH("叠放支架",K496)),"【赠品】"&amp;MID(K496,SEARCH("购机",K496)+LEN("购机"),LEN(K496)),IF(ISNUMBER(SEARCH("秀图",K496)),"【秀图】"&amp;MID(K496,SEARCH("秀图",K496)+LEN("秀图"),LEN(K496)),"")))),IFERROR(LEFT(_xlpm.A,FIND("【",_xlpm.A,FIND("】",_xlpm.A)+1)-1)&amp;MID(_xlpm.A,FIND("】",_xlpm.A,FIND("】",_xlpm.A)+1)+1,LEN(_xlpm.A)),_xlpm.A))</f>
        <v/>
      </c>
      <c r="G496" s="18" t="str">
        <f>_xlfn.LET(_xlpm.A,IF(ISNUMBER(SEARCH("晒单",L496)),"【晒单】"&amp;MID(L496,SEARCH("晒单",L496)+LEN("晒单"),LEN(L496))&amp;"（需晒单后联系客服登记）",IF(ISNUMBER(SEARCH("包修",L496)),"【购机】"&amp;MID(L496,SEARCH("购机",L496)+LEN("购机"),LEN(L496)),IF(ISNUMBER(SEARCH("叠放支架",L496)),"【赠品】"&amp;MID(L496,SEARCH("购机",L496)+LEN("购机"),LEN(L496)),IF(ISNUMBER(SEARCH("秀图",L496)),"【秀图】"&amp;MID(L496,SEARCH("秀图",L496)+LEN("秀图"),LEN(L496)),"")))),IFERROR(LEFT(_xlpm.A,FIND("【",_xlpm.A,FIND("】",_xlpm.A)+1)-1)&amp;MID(_xlpm.A,FIND("】",_xlpm.A,FIND("】",_xlpm.A)+1)+1,LEN(_xlpm.A)),_xlpm.A))</f>
        <v/>
      </c>
      <c r="H496" s="18" t="str">
        <f>_xlfn.LET(_xlpm.A,IF(ISNUMBER(SEARCH("晒单",M496)),"【晒单】"&amp;MID(M496,SEARCH("晒单",M496)+LEN("晒单"),LEN(M496))&amp;"（需晒单后联系客服登记）",IF(ISNUMBER(SEARCH("包修",M496)),"【购机】"&amp;MID(M496,SEARCH("购机",M496)+LEN("购机"),LEN(M496)),IF(ISNUMBER(SEARCH("叠放支架",M496)),"【赠品】"&amp;MID(M496,SEARCH("购机",M496)+LEN("购机"),LEN(M496)),IF(ISNUMBER(SEARCH("秀图",M496)),"【秀图】"&amp;MID(M496,SEARCH("秀图",M496)+LEN("秀图"),LEN(M496)),"")))),IFERROR(LEFT(_xlpm.A,FIND("【",_xlpm.A,FIND("】",_xlpm.A)+1)-1)&amp;MID(_xlpm.A,FIND("】",_xlpm.A,FIND("】",_xlpm.A)+1)+1,LEN(_xlpm.A)),_xlpm.A))</f>
        <v/>
      </c>
      <c r="I496" s="18" t="str">
        <f>_xlfn.LET(_xlpm.A,IF(ISNUMBER(SEARCH("晒单",N496)),"【晒单】"&amp;MID(N496,SEARCH("晒单",N496)+LEN("晒单"),LEN(N496))&amp;"（需晒单后联系客服登记）",IF(ISNUMBER(SEARCH("包修",N496)),"【购机】"&amp;MID(N496,SEARCH("购机",N496)+LEN("购机"),LEN(N496)),IF(ISNUMBER(SEARCH("叠放支架",N496)),"【赠品】"&amp;MID(N496,SEARCH("购机",N496)+LEN("购机"),LEN(N496)),IF(ISNUMBER(SEARCH("秀图",N496)),"【秀图】"&amp;MID(N496,SEARCH("秀图",N496)+LEN("秀图"),LEN(N496)),"")))),IFERROR(LEFT(_xlpm.A,FIND("【",_xlpm.A,FIND("】",_xlpm.A)+1)-1)&amp;MID(_xlpm.A,FIND("】",_xlpm.A,FIND("】",_xlpm.A)+1)+1,LEN(_xlpm.A)),_xlpm.A))</f>
        <v/>
      </c>
      <c r="J496" s="18" t="str" cm="1">
        <f t="array" ref="J496">IFERROR(INDEX(_xlfn.TEXTSPLIT(_xlfn.XLOOKUP($A496&amp;$B496&amp;$C496,盘货信息!$A:$A&amp;盘货信息!$B:$B&amp;盘货信息!$C:$C,盘货信息!$S:$S),CHAR(10),,TRUE),1,COLUMN(A495)),"")</f>
        <v/>
      </c>
      <c r="K496" s="18" t="str" cm="1">
        <f t="array" ref="K496">IFERROR(INDEX(_xlfn.TEXTSPLIT(_xlfn.XLOOKUP($A496&amp;$B496&amp;$C496,盘货信息!$A:$A&amp;盘货信息!$B:$B&amp;盘货信息!$C:$C,盘货信息!$S:$S),CHAR(10),,TRUE),1,COLUMN(B495)),"")</f>
        <v/>
      </c>
      <c r="L496" s="18" t="str" cm="1">
        <f t="array" ref="L496">IFERROR(INDEX(_xlfn.TEXTSPLIT(_xlfn.XLOOKUP($A496&amp;$B496&amp;$C496,盘货信息!$A:$A&amp;盘货信息!$B:$B&amp;盘货信息!$C:$C,盘货信息!$S:$S),CHAR(10),,TRUE),1,COLUMN(C495)),"")</f>
        <v/>
      </c>
      <c r="M496" s="18" t="str" cm="1">
        <f t="array" ref="M496">IFERROR(INDEX(_xlfn.TEXTSPLIT(_xlfn.XLOOKUP($A496&amp;$B496&amp;$C496,盘货信息!$A:$A&amp;盘货信息!$B:$B&amp;盘货信息!$C:$C,盘货信息!$S:$S),CHAR(10),,TRUE),1,COLUMN(D495)),"")</f>
        <v/>
      </c>
      <c r="N496" s="18" t="str" cm="1">
        <f t="array" ref="N496">IFERROR(INDEX(_xlfn.TEXTSPLIT(_xlfn.XLOOKUP($A496&amp;$B496&amp;$C496,盘货信息!$A:$A&amp;盘货信息!$B:$B&amp;盘货信息!$C:$C,盘货信息!$S:$S),CHAR(10),,TRUE),1,COLUMN(E495)),"")</f>
        <v/>
      </c>
    </row>
    <row r="497" customHeight="1" spans="1:14">
      <c r="A497" s="17" t="str">
        <f>IF(盘货信息!A497="","",盘货信息!A497)</f>
        <v/>
      </c>
      <c r="B497" s="17" t="str">
        <f>IF(盘货信息!B497="","",盘货信息!B497)</f>
        <v/>
      </c>
      <c r="C497" s="18" t="str">
        <f>IF(盘货信息!C497="","",盘货信息!C497)</f>
        <v/>
      </c>
      <c r="D497" s="18" t="str">
        <f t="shared" si="7"/>
        <v/>
      </c>
      <c r="E497" s="18" t="str">
        <f>_xlfn.LET(_xlpm.A,IF(ISNUMBER(SEARCH("晒单",J497)),"【晒单】"&amp;MID(J497,SEARCH("晒单",J497)+LEN("晒单"),LEN(J497))&amp;"（需晒单后联系客服登记）",IF(ISNUMBER(SEARCH("包修",J497)),"【购机】"&amp;MID(J497,SEARCH("购机",J497)+LEN("购机"),LEN(J497)),IF(ISNUMBER(SEARCH("叠放支架",J497)),"【赠品】"&amp;MID(J497,SEARCH("购机",J497)+LEN("购机"),LEN(J497)),IF(ISNUMBER(SEARCH("秀图",J497)),"【秀图】"&amp;MID(J497,SEARCH("秀图",J497)+LEN("秀图"),LEN(J497)),"")))),IFERROR(LEFT(_xlpm.A,FIND("【",_xlpm.A,FIND("】",_xlpm.A)+1)-1)&amp;MID(_xlpm.A,FIND("】",_xlpm.A,FIND("】",_xlpm.A)+1)+1,LEN(_xlpm.A)),_xlpm.A))</f>
        <v/>
      </c>
      <c r="F497" s="18" t="str">
        <f>_xlfn.LET(_xlpm.A,IF(ISNUMBER(SEARCH("晒单",K497)),"【晒单】"&amp;MID(K497,SEARCH("晒单",K497)+LEN("晒单"),LEN(K497))&amp;"（需晒单后联系客服登记）",IF(ISNUMBER(SEARCH("包修",K497)),"【购机】"&amp;MID(K497,SEARCH("购机",K497)+LEN("购机"),LEN(K497)),IF(ISNUMBER(SEARCH("叠放支架",K497)),"【赠品】"&amp;MID(K497,SEARCH("购机",K497)+LEN("购机"),LEN(K497)),IF(ISNUMBER(SEARCH("秀图",K497)),"【秀图】"&amp;MID(K497,SEARCH("秀图",K497)+LEN("秀图"),LEN(K497)),"")))),IFERROR(LEFT(_xlpm.A,FIND("【",_xlpm.A,FIND("】",_xlpm.A)+1)-1)&amp;MID(_xlpm.A,FIND("】",_xlpm.A,FIND("】",_xlpm.A)+1)+1,LEN(_xlpm.A)),_xlpm.A))</f>
        <v/>
      </c>
      <c r="G497" s="18" t="str">
        <f>_xlfn.LET(_xlpm.A,IF(ISNUMBER(SEARCH("晒单",L497)),"【晒单】"&amp;MID(L497,SEARCH("晒单",L497)+LEN("晒单"),LEN(L497))&amp;"（需晒单后联系客服登记）",IF(ISNUMBER(SEARCH("包修",L497)),"【购机】"&amp;MID(L497,SEARCH("购机",L497)+LEN("购机"),LEN(L497)),IF(ISNUMBER(SEARCH("叠放支架",L497)),"【赠品】"&amp;MID(L497,SEARCH("购机",L497)+LEN("购机"),LEN(L497)),IF(ISNUMBER(SEARCH("秀图",L497)),"【秀图】"&amp;MID(L497,SEARCH("秀图",L497)+LEN("秀图"),LEN(L497)),"")))),IFERROR(LEFT(_xlpm.A,FIND("【",_xlpm.A,FIND("】",_xlpm.A)+1)-1)&amp;MID(_xlpm.A,FIND("】",_xlpm.A,FIND("】",_xlpm.A)+1)+1,LEN(_xlpm.A)),_xlpm.A))</f>
        <v/>
      </c>
      <c r="H497" s="18" t="str">
        <f>_xlfn.LET(_xlpm.A,IF(ISNUMBER(SEARCH("晒单",M497)),"【晒单】"&amp;MID(M497,SEARCH("晒单",M497)+LEN("晒单"),LEN(M497))&amp;"（需晒单后联系客服登记）",IF(ISNUMBER(SEARCH("包修",M497)),"【购机】"&amp;MID(M497,SEARCH("购机",M497)+LEN("购机"),LEN(M497)),IF(ISNUMBER(SEARCH("叠放支架",M497)),"【赠品】"&amp;MID(M497,SEARCH("购机",M497)+LEN("购机"),LEN(M497)),IF(ISNUMBER(SEARCH("秀图",M497)),"【秀图】"&amp;MID(M497,SEARCH("秀图",M497)+LEN("秀图"),LEN(M497)),"")))),IFERROR(LEFT(_xlpm.A,FIND("【",_xlpm.A,FIND("】",_xlpm.A)+1)-1)&amp;MID(_xlpm.A,FIND("】",_xlpm.A,FIND("】",_xlpm.A)+1)+1,LEN(_xlpm.A)),_xlpm.A))</f>
        <v/>
      </c>
      <c r="I497" s="18" t="str">
        <f>_xlfn.LET(_xlpm.A,IF(ISNUMBER(SEARCH("晒单",N497)),"【晒单】"&amp;MID(N497,SEARCH("晒单",N497)+LEN("晒单"),LEN(N497))&amp;"（需晒单后联系客服登记）",IF(ISNUMBER(SEARCH("包修",N497)),"【购机】"&amp;MID(N497,SEARCH("购机",N497)+LEN("购机"),LEN(N497)),IF(ISNUMBER(SEARCH("叠放支架",N497)),"【赠品】"&amp;MID(N497,SEARCH("购机",N497)+LEN("购机"),LEN(N497)),IF(ISNUMBER(SEARCH("秀图",N497)),"【秀图】"&amp;MID(N497,SEARCH("秀图",N497)+LEN("秀图"),LEN(N497)),"")))),IFERROR(LEFT(_xlpm.A,FIND("【",_xlpm.A,FIND("】",_xlpm.A)+1)-1)&amp;MID(_xlpm.A,FIND("】",_xlpm.A,FIND("】",_xlpm.A)+1)+1,LEN(_xlpm.A)),_xlpm.A))</f>
        <v/>
      </c>
      <c r="J497" s="18" t="str" cm="1">
        <f t="array" ref="J497">IFERROR(INDEX(_xlfn.TEXTSPLIT(_xlfn.XLOOKUP($A497&amp;$B497&amp;$C497,盘货信息!$A:$A&amp;盘货信息!$B:$B&amp;盘货信息!$C:$C,盘货信息!$S:$S),CHAR(10),,TRUE),1,COLUMN(A496)),"")</f>
        <v/>
      </c>
      <c r="K497" s="18" t="str" cm="1">
        <f t="array" ref="K497">IFERROR(INDEX(_xlfn.TEXTSPLIT(_xlfn.XLOOKUP($A497&amp;$B497&amp;$C497,盘货信息!$A:$A&amp;盘货信息!$B:$B&amp;盘货信息!$C:$C,盘货信息!$S:$S),CHAR(10),,TRUE),1,COLUMN(B496)),"")</f>
        <v/>
      </c>
      <c r="L497" s="18" t="str" cm="1">
        <f t="array" ref="L497">IFERROR(INDEX(_xlfn.TEXTSPLIT(_xlfn.XLOOKUP($A497&amp;$B497&amp;$C497,盘货信息!$A:$A&amp;盘货信息!$B:$B&amp;盘货信息!$C:$C,盘货信息!$S:$S),CHAR(10),,TRUE),1,COLUMN(C496)),"")</f>
        <v/>
      </c>
      <c r="M497" s="18" t="str" cm="1">
        <f t="array" ref="M497">IFERROR(INDEX(_xlfn.TEXTSPLIT(_xlfn.XLOOKUP($A497&amp;$B497&amp;$C497,盘货信息!$A:$A&amp;盘货信息!$B:$B&amp;盘货信息!$C:$C,盘货信息!$S:$S),CHAR(10),,TRUE),1,COLUMN(D496)),"")</f>
        <v/>
      </c>
      <c r="N497" s="18" t="str" cm="1">
        <f t="array" ref="N497">IFERROR(INDEX(_xlfn.TEXTSPLIT(_xlfn.XLOOKUP($A497&amp;$B497&amp;$C497,盘货信息!$A:$A&amp;盘货信息!$B:$B&amp;盘货信息!$C:$C,盘货信息!$S:$S),CHAR(10),,TRUE),1,COLUMN(E496)),"")</f>
        <v/>
      </c>
    </row>
    <row r="498" customHeight="1" spans="1:14">
      <c r="A498" s="17" t="str">
        <f>IF(盘货信息!A498="","",盘货信息!A498)</f>
        <v/>
      </c>
      <c r="B498" s="17" t="str">
        <f>IF(盘货信息!B498="","",盘货信息!B498)</f>
        <v/>
      </c>
      <c r="C498" s="18" t="str">
        <f>IF(盘货信息!C498="","",盘货信息!C498)</f>
        <v/>
      </c>
      <c r="D498" s="18" t="str">
        <f t="shared" si="7"/>
        <v/>
      </c>
      <c r="E498" s="18" t="str">
        <f>_xlfn.LET(_xlpm.A,IF(ISNUMBER(SEARCH("晒单",J498)),"【晒单】"&amp;MID(J498,SEARCH("晒单",J498)+LEN("晒单"),LEN(J498))&amp;"（需晒单后联系客服登记）",IF(ISNUMBER(SEARCH("包修",J498)),"【购机】"&amp;MID(J498,SEARCH("购机",J498)+LEN("购机"),LEN(J498)),IF(ISNUMBER(SEARCH("叠放支架",J498)),"【赠品】"&amp;MID(J498,SEARCH("购机",J498)+LEN("购机"),LEN(J498)),IF(ISNUMBER(SEARCH("秀图",J498)),"【秀图】"&amp;MID(J498,SEARCH("秀图",J498)+LEN("秀图"),LEN(J498)),"")))),IFERROR(LEFT(_xlpm.A,FIND("【",_xlpm.A,FIND("】",_xlpm.A)+1)-1)&amp;MID(_xlpm.A,FIND("】",_xlpm.A,FIND("】",_xlpm.A)+1)+1,LEN(_xlpm.A)),_xlpm.A))</f>
        <v/>
      </c>
      <c r="F498" s="18" t="str">
        <f>_xlfn.LET(_xlpm.A,IF(ISNUMBER(SEARCH("晒单",K498)),"【晒单】"&amp;MID(K498,SEARCH("晒单",K498)+LEN("晒单"),LEN(K498))&amp;"（需晒单后联系客服登记）",IF(ISNUMBER(SEARCH("包修",K498)),"【购机】"&amp;MID(K498,SEARCH("购机",K498)+LEN("购机"),LEN(K498)),IF(ISNUMBER(SEARCH("叠放支架",K498)),"【赠品】"&amp;MID(K498,SEARCH("购机",K498)+LEN("购机"),LEN(K498)),IF(ISNUMBER(SEARCH("秀图",K498)),"【秀图】"&amp;MID(K498,SEARCH("秀图",K498)+LEN("秀图"),LEN(K498)),"")))),IFERROR(LEFT(_xlpm.A,FIND("【",_xlpm.A,FIND("】",_xlpm.A)+1)-1)&amp;MID(_xlpm.A,FIND("】",_xlpm.A,FIND("】",_xlpm.A)+1)+1,LEN(_xlpm.A)),_xlpm.A))</f>
        <v/>
      </c>
      <c r="G498" s="18" t="str">
        <f>_xlfn.LET(_xlpm.A,IF(ISNUMBER(SEARCH("晒单",L498)),"【晒单】"&amp;MID(L498,SEARCH("晒单",L498)+LEN("晒单"),LEN(L498))&amp;"（需晒单后联系客服登记）",IF(ISNUMBER(SEARCH("包修",L498)),"【购机】"&amp;MID(L498,SEARCH("购机",L498)+LEN("购机"),LEN(L498)),IF(ISNUMBER(SEARCH("叠放支架",L498)),"【赠品】"&amp;MID(L498,SEARCH("购机",L498)+LEN("购机"),LEN(L498)),IF(ISNUMBER(SEARCH("秀图",L498)),"【秀图】"&amp;MID(L498,SEARCH("秀图",L498)+LEN("秀图"),LEN(L498)),"")))),IFERROR(LEFT(_xlpm.A,FIND("【",_xlpm.A,FIND("】",_xlpm.A)+1)-1)&amp;MID(_xlpm.A,FIND("】",_xlpm.A,FIND("】",_xlpm.A)+1)+1,LEN(_xlpm.A)),_xlpm.A))</f>
        <v/>
      </c>
      <c r="H498" s="18" t="str">
        <f>_xlfn.LET(_xlpm.A,IF(ISNUMBER(SEARCH("晒单",M498)),"【晒单】"&amp;MID(M498,SEARCH("晒单",M498)+LEN("晒单"),LEN(M498))&amp;"（需晒单后联系客服登记）",IF(ISNUMBER(SEARCH("包修",M498)),"【购机】"&amp;MID(M498,SEARCH("购机",M498)+LEN("购机"),LEN(M498)),IF(ISNUMBER(SEARCH("叠放支架",M498)),"【赠品】"&amp;MID(M498,SEARCH("购机",M498)+LEN("购机"),LEN(M498)),IF(ISNUMBER(SEARCH("秀图",M498)),"【秀图】"&amp;MID(M498,SEARCH("秀图",M498)+LEN("秀图"),LEN(M498)),"")))),IFERROR(LEFT(_xlpm.A,FIND("【",_xlpm.A,FIND("】",_xlpm.A)+1)-1)&amp;MID(_xlpm.A,FIND("】",_xlpm.A,FIND("】",_xlpm.A)+1)+1,LEN(_xlpm.A)),_xlpm.A))</f>
        <v/>
      </c>
      <c r="I498" s="18" t="str">
        <f>_xlfn.LET(_xlpm.A,IF(ISNUMBER(SEARCH("晒单",N498)),"【晒单】"&amp;MID(N498,SEARCH("晒单",N498)+LEN("晒单"),LEN(N498))&amp;"（需晒单后联系客服登记）",IF(ISNUMBER(SEARCH("包修",N498)),"【购机】"&amp;MID(N498,SEARCH("购机",N498)+LEN("购机"),LEN(N498)),IF(ISNUMBER(SEARCH("叠放支架",N498)),"【赠品】"&amp;MID(N498,SEARCH("购机",N498)+LEN("购机"),LEN(N498)),IF(ISNUMBER(SEARCH("秀图",N498)),"【秀图】"&amp;MID(N498,SEARCH("秀图",N498)+LEN("秀图"),LEN(N498)),"")))),IFERROR(LEFT(_xlpm.A,FIND("【",_xlpm.A,FIND("】",_xlpm.A)+1)-1)&amp;MID(_xlpm.A,FIND("】",_xlpm.A,FIND("】",_xlpm.A)+1)+1,LEN(_xlpm.A)),_xlpm.A))</f>
        <v/>
      </c>
      <c r="J498" s="18" t="str" cm="1">
        <f t="array" ref="J498">IFERROR(INDEX(_xlfn.TEXTSPLIT(_xlfn.XLOOKUP($A498&amp;$B498&amp;$C498,盘货信息!$A:$A&amp;盘货信息!$B:$B&amp;盘货信息!$C:$C,盘货信息!$S:$S),CHAR(10),,TRUE),1,COLUMN(A497)),"")</f>
        <v/>
      </c>
      <c r="K498" s="18" t="str" cm="1">
        <f t="array" ref="K498">IFERROR(INDEX(_xlfn.TEXTSPLIT(_xlfn.XLOOKUP($A498&amp;$B498&amp;$C498,盘货信息!$A:$A&amp;盘货信息!$B:$B&amp;盘货信息!$C:$C,盘货信息!$S:$S),CHAR(10),,TRUE),1,COLUMN(B497)),"")</f>
        <v/>
      </c>
      <c r="L498" s="18" t="str" cm="1">
        <f t="array" ref="L498">IFERROR(INDEX(_xlfn.TEXTSPLIT(_xlfn.XLOOKUP($A498&amp;$B498&amp;$C498,盘货信息!$A:$A&amp;盘货信息!$B:$B&amp;盘货信息!$C:$C,盘货信息!$S:$S),CHAR(10),,TRUE),1,COLUMN(C497)),"")</f>
        <v/>
      </c>
      <c r="M498" s="18" t="str" cm="1">
        <f t="array" ref="M498">IFERROR(INDEX(_xlfn.TEXTSPLIT(_xlfn.XLOOKUP($A498&amp;$B498&amp;$C498,盘货信息!$A:$A&amp;盘货信息!$B:$B&amp;盘货信息!$C:$C,盘货信息!$S:$S),CHAR(10),,TRUE),1,COLUMN(D497)),"")</f>
        <v/>
      </c>
      <c r="N498" s="18" t="str" cm="1">
        <f t="array" ref="N498">IFERROR(INDEX(_xlfn.TEXTSPLIT(_xlfn.XLOOKUP($A498&amp;$B498&amp;$C498,盘货信息!$A:$A&amp;盘货信息!$B:$B&amp;盘货信息!$C:$C,盘货信息!$S:$S),CHAR(10),,TRUE),1,COLUMN(E497)),"")</f>
        <v/>
      </c>
    </row>
    <row r="499" customHeight="1" spans="1:14">
      <c r="A499" s="17" t="str">
        <f>IF(盘货信息!A499="","",盘货信息!A499)</f>
        <v/>
      </c>
      <c r="B499" s="17" t="str">
        <f>IF(盘货信息!B499="","",盘货信息!B499)</f>
        <v/>
      </c>
      <c r="C499" s="18" t="str">
        <f>IF(盘货信息!C499="","",盘货信息!C499)</f>
        <v/>
      </c>
      <c r="D499" s="18" t="str">
        <f t="shared" si="7"/>
        <v/>
      </c>
      <c r="E499" s="18" t="str">
        <f>_xlfn.LET(_xlpm.A,IF(ISNUMBER(SEARCH("晒单",J499)),"【晒单】"&amp;MID(J499,SEARCH("晒单",J499)+LEN("晒单"),LEN(J499))&amp;"（需晒单后联系客服登记）",IF(ISNUMBER(SEARCH("包修",J499)),"【购机】"&amp;MID(J499,SEARCH("购机",J499)+LEN("购机"),LEN(J499)),IF(ISNUMBER(SEARCH("叠放支架",J499)),"【赠品】"&amp;MID(J499,SEARCH("购机",J499)+LEN("购机"),LEN(J499)),IF(ISNUMBER(SEARCH("秀图",J499)),"【秀图】"&amp;MID(J499,SEARCH("秀图",J499)+LEN("秀图"),LEN(J499)),"")))),IFERROR(LEFT(_xlpm.A,FIND("【",_xlpm.A,FIND("】",_xlpm.A)+1)-1)&amp;MID(_xlpm.A,FIND("】",_xlpm.A,FIND("】",_xlpm.A)+1)+1,LEN(_xlpm.A)),_xlpm.A))</f>
        <v/>
      </c>
      <c r="F499" s="18" t="str">
        <f>_xlfn.LET(_xlpm.A,IF(ISNUMBER(SEARCH("晒单",K499)),"【晒单】"&amp;MID(K499,SEARCH("晒单",K499)+LEN("晒单"),LEN(K499))&amp;"（需晒单后联系客服登记）",IF(ISNUMBER(SEARCH("包修",K499)),"【购机】"&amp;MID(K499,SEARCH("购机",K499)+LEN("购机"),LEN(K499)),IF(ISNUMBER(SEARCH("叠放支架",K499)),"【赠品】"&amp;MID(K499,SEARCH("购机",K499)+LEN("购机"),LEN(K499)),IF(ISNUMBER(SEARCH("秀图",K499)),"【秀图】"&amp;MID(K499,SEARCH("秀图",K499)+LEN("秀图"),LEN(K499)),"")))),IFERROR(LEFT(_xlpm.A,FIND("【",_xlpm.A,FIND("】",_xlpm.A)+1)-1)&amp;MID(_xlpm.A,FIND("】",_xlpm.A,FIND("】",_xlpm.A)+1)+1,LEN(_xlpm.A)),_xlpm.A))</f>
        <v/>
      </c>
      <c r="G499" s="18" t="str">
        <f>_xlfn.LET(_xlpm.A,IF(ISNUMBER(SEARCH("晒单",L499)),"【晒单】"&amp;MID(L499,SEARCH("晒单",L499)+LEN("晒单"),LEN(L499))&amp;"（需晒单后联系客服登记）",IF(ISNUMBER(SEARCH("包修",L499)),"【购机】"&amp;MID(L499,SEARCH("购机",L499)+LEN("购机"),LEN(L499)),IF(ISNUMBER(SEARCH("叠放支架",L499)),"【赠品】"&amp;MID(L499,SEARCH("购机",L499)+LEN("购机"),LEN(L499)),IF(ISNUMBER(SEARCH("秀图",L499)),"【秀图】"&amp;MID(L499,SEARCH("秀图",L499)+LEN("秀图"),LEN(L499)),"")))),IFERROR(LEFT(_xlpm.A,FIND("【",_xlpm.A,FIND("】",_xlpm.A)+1)-1)&amp;MID(_xlpm.A,FIND("】",_xlpm.A,FIND("】",_xlpm.A)+1)+1,LEN(_xlpm.A)),_xlpm.A))</f>
        <v/>
      </c>
      <c r="H499" s="18" t="str">
        <f>_xlfn.LET(_xlpm.A,IF(ISNUMBER(SEARCH("晒单",M499)),"【晒单】"&amp;MID(M499,SEARCH("晒单",M499)+LEN("晒单"),LEN(M499))&amp;"（需晒单后联系客服登记）",IF(ISNUMBER(SEARCH("包修",M499)),"【购机】"&amp;MID(M499,SEARCH("购机",M499)+LEN("购机"),LEN(M499)),IF(ISNUMBER(SEARCH("叠放支架",M499)),"【赠品】"&amp;MID(M499,SEARCH("购机",M499)+LEN("购机"),LEN(M499)),IF(ISNUMBER(SEARCH("秀图",M499)),"【秀图】"&amp;MID(M499,SEARCH("秀图",M499)+LEN("秀图"),LEN(M499)),"")))),IFERROR(LEFT(_xlpm.A,FIND("【",_xlpm.A,FIND("】",_xlpm.A)+1)-1)&amp;MID(_xlpm.A,FIND("】",_xlpm.A,FIND("】",_xlpm.A)+1)+1,LEN(_xlpm.A)),_xlpm.A))</f>
        <v/>
      </c>
      <c r="I499" s="18" t="str">
        <f>_xlfn.LET(_xlpm.A,IF(ISNUMBER(SEARCH("晒单",N499)),"【晒单】"&amp;MID(N499,SEARCH("晒单",N499)+LEN("晒单"),LEN(N499))&amp;"（需晒单后联系客服登记）",IF(ISNUMBER(SEARCH("包修",N499)),"【购机】"&amp;MID(N499,SEARCH("购机",N499)+LEN("购机"),LEN(N499)),IF(ISNUMBER(SEARCH("叠放支架",N499)),"【赠品】"&amp;MID(N499,SEARCH("购机",N499)+LEN("购机"),LEN(N499)),IF(ISNUMBER(SEARCH("秀图",N499)),"【秀图】"&amp;MID(N499,SEARCH("秀图",N499)+LEN("秀图"),LEN(N499)),"")))),IFERROR(LEFT(_xlpm.A,FIND("【",_xlpm.A,FIND("】",_xlpm.A)+1)-1)&amp;MID(_xlpm.A,FIND("】",_xlpm.A,FIND("】",_xlpm.A)+1)+1,LEN(_xlpm.A)),_xlpm.A))</f>
        <v/>
      </c>
      <c r="J499" s="18" t="str" cm="1">
        <f t="array" ref="J499">IFERROR(INDEX(_xlfn.TEXTSPLIT(_xlfn.XLOOKUP($A499&amp;$B499&amp;$C499,盘货信息!$A:$A&amp;盘货信息!$B:$B&amp;盘货信息!$C:$C,盘货信息!$S:$S),CHAR(10),,TRUE),1,COLUMN(A498)),"")</f>
        <v/>
      </c>
      <c r="K499" s="18" t="str" cm="1">
        <f t="array" ref="K499">IFERROR(INDEX(_xlfn.TEXTSPLIT(_xlfn.XLOOKUP($A499&amp;$B499&amp;$C499,盘货信息!$A:$A&amp;盘货信息!$B:$B&amp;盘货信息!$C:$C,盘货信息!$S:$S),CHAR(10),,TRUE),1,COLUMN(B498)),"")</f>
        <v/>
      </c>
      <c r="L499" s="18" t="str" cm="1">
        <f t="array" ref="L499">IFERROR(INDEX(_xlfn.TEXTSPLIT(_xlfn.XLOOKUP($A499&amp;$B499&amp;$C499,盘货信息!$A:$A&amp;盘货信息!$B:$B&amp;盘货信息!$C:$C,盘货信息!$S:$S),CHAR(10),,TRUE),1,COLUMN(C498)),"")</f>
        <v/>
      </c>
      <c r="M499" s="18" t="str" cm="1">
        <f t="array" ref="M499">IFERROR(INDEX(_xlfn.TEXTSPLIT(_xlfn.XLOOKUP($A499&amp;$B499&amp;$C499,盘货信息!$A:$A&amp;盘货信息!$B:$B&amp;盘货信息!$C:$C,盘货信息!$S:$S),CHAR(10),,TRUE),1,COLUMN(D498)),"")</f>
        <v/>
      </c>
      <c r="N499" s="18" t="str" cm="1">
        <f t="array" ref="N499">IFERROR(INDEX(_xlfn.TEXTSPLIT(_xlfn.XLOOKUP($A499&amp;$B499&amp;$C499,盘货信息!$A:$A&amp;盘货信息!$B:$B&amp;盘货信息!$C:$C,盘货信息!$S:$S),CHAR(10),,TRUE),1,COLUMN(E498)),"")</f>
        <v/>
      </c>
    </row>
    <row r="500" customHeight="1" spans="1:14">
      <c r="A500" s="17" t="str">
        <f>IF(盘货信息!A500="","",盘货信息!A500)</f>
        <v/>
      </c>
      <c r="B500" s="17" t="str">
        <f>IF(盘货信息!B500="","",盘货信息!B500)</f>
        <v/>
      </c>
      <c r="C500" s="18" t="str">
        <f>IF(盘货信息!C500="","",盘货信息!C500)</f>
        <v/>
      </c>
      <c r="D500" s="18" t="str">
        <f t="shared" si="7"/>
        <v/>
      </c>
      <c r="E500" s="18" t="str">
        <f>_xlfn.LET(_xlpm.A,IF(ISNUMBER(SEARCH("晒单",J500)),"【晒单】"&amp;MID(J500,SEARCH("晒单",J500)+LEN("晒单"),LEN(J500))&amp;"（需晒单后联系客服登记）",IF(ISNUMBER(SEARCH("包修",J500)),"【购机】"&amp;MID(J500,SEARCH("购机",J500)+LEN("购机"),LEN(J500)),IF(ISNUMBER(SEARCH("叠放支架",J500)),"【赠品】"&amp;MID(J500,SEARCH("购机",J500)+LEN("购机"),LEN(J500)),IF(ISNUMBER(SEARCH("秀图",J500)),"【秀图】"&amp;MID(J500,SEARCH("秀图",J500)+LEN("秀图"),LEN(J500)),"")))),IFERROR(LEFT(_xlpm.A,FIND("【",_xlpm.A,FIND("】",_xlpm.A)+1)-1)&amp;MID(_xlpm.A,FIND("】",_xlpm.A,FIND("】",_xlpm.A)+1)+1,LEN(_xlpm.A)),_xlpm.A))</f>
        <v/>
      </c>
      <c r="F500" s="18" t="str">
        <f>_xlfn.LET(_xlpm.A,IF(ISNUMBER(SEARCH("晒单",K500)),"【晒单】"&amp;MID(K500,SEARCH("晒单",K500)+LEN("晒单"),LEN(K500))&amp;"（需晒单后联系客服登记）",IF(ISNUMBER(SEARCH("包修",K500)),"【购机】"&amp;MID(K500,SEARCH("购机",K500)+LEN("购机"),LEN(K500)),IF(ISNUMBER(SEARCH("叠放支架",K500)),"【赠品】"&amp;MID(K500,SEARCH("购机",K500)+LEN("购机"),LEN(K500)),IF(ISNUMBER(SEARCH("秀图",K500)),"【秀图】"&amp;MID(K500,SEARCH("秀图",K500)+LEN("秀图"),LEN(K500)),"")))),IFERROR(LEFT(_xlpm.A,FIND("【",_xlpm.A,FIND("】",_xlpm.A)+1)-1)&amp;MID(_xlpm.A,FIND("】",_xlpm.A,FIND("】",_xlpm.A)+1)+1,LEN(_xlpm.A)),_xlpm.A))</f>
        <v/>
      </c>
      <c r="G500" s="18" t="str">
        <f>_xlfn.LET(_xlpm.A,IF(ISNUMBER(SEARCH("晒单",L500)),"【晒单】"&amp;MID(L500,SEARCH("晒单",L500)+LEN("晒单"),LEN(L500))&amp;"（需晒单后联系客服登记）",IF(ISNUMBER(SEARCH("包修",L500)),"【购机】"&amp;MID(L500,SEARCH("购机",L500)+LEN("购机"),LEN(L500)),IF(ISNUMBER(SEARCH("叠放支架",L500)),"【赠品】"&amp;MID(L500,SEARCH("购机",L500)+LEN("购机"),LEN(L500)),IF(ISNUMBER(SEARCH("秀图",L500)),"【秀图】"&amp;MID(L500,SEARCH("秀图",L500)+LEN("秀图"),LEN(L500)),"")))),IFERROR(LEFT(_xlpm.A,FIND("【",_xlpm.A,FIND("】",_xlpm.A)+1)-1)&amp;MID(_xlpm.A,FIND("】",_xlpm.A,FIND("】",_xlpm.A)+1)+1,LEN(_xlpm.A)),_xlpm.A))</f>
        <v/>
      </c>
      <c r="H500" s="18" t="str">
        <f>_xlfn.LET(_xlpm.A,IF(ISNUMBER(SEARCH("晒单",M500)),"【晒单】"&amp;MID(M500,SEARCH("晒单",M500)+LEN("晒单"),LEN(M500))&amp;"（需晒单后联系客服登记）",IF(ISNUMBER(SEARCH("包修",M500)),"【购机】"&amp;MID(M500,SEARCH("购机",M500)+LEN("购机"),LEN(M500)),IF(ISNUMBER(SEARCH("叠放支架",M500)),"【赠品】"&amp;MID(M500,SEARCH("购机",M500)+LEN("购机"),LEN(M500)),IF(ISNUMBER(SEARCH("秀图",M500)),"【秀图】"&amp;MID(M500,SEARCH("秀图",M500)+LEN("秀图"),LEN(M500)),"")))),IFERROR(LEFT(_xlpm.A,FIND("【",_xlpm.A,FIND("】",_xlpm.A)+1)-1)&amp;MID(_xlpm.A,FIND("】",_xlpm.A,FIND("】",_xlpm.A)+1)+1,LEN(_xlpm.A)),_xlpm.A))</f>
        <v/>
      </c>
      <c r="I500" s="18" t="str">
        <f>_xlfn.LET(_xlpm.A,IF(ISNUMBER(SEARCH("晒单",N500)),"【晒单】"&amp;MID(N500,SEARCH("晒单",N500)+LEN("晒单"),LEN(N500))&amp;"（需晒单后联系客服登记）",IF(ISNUMBER(SEARCH("包修",N500)),"【购机】"&amp;MID(N500,SEARCH("购机",N500)+LEN("购机"),LEN(N500)),IF(ISNUMBER(SEARCH("叠放支架",N500)),"【赠品】"&amp;MID(N500,SEARCH("购机",N500)+LEN("购机"),LEN(N500)),IF(ISNUMBER(SEARCH("秀图",N500)),"【秀图】"&amp;MID(N500,SEARCH("秀图",N500)+LEN("秀图"),LEN(N500)),"")))),IFERROR(LEFT(_xlpm.A,FIND("【",_xlpm.A,FIND("】",_xlpm.A)+1)-1)&amp;MID(_xlpm.A,FIND("】",_xlpm.A,FIND("】",_xlpm.A)+1)+1,LEN(_xlpm.A)),_xlpm.A))</f>
        <v/>
      </c>
      <c r="J500" s="18" t="str" cm="1">
        <f t="array" ref="J500">IFERROR(INDEX(_xlfn.TEXTSPLIT(_xlfn.XLOOKUP($A500&amp;$B500&amp;$C500,盘货信息!$A:$A&amp;盘货信息!$B:$B&amp;盘货信息!$C:$C,盘货信息!$S:$S),CHAR(10),,TRUE),1,COLUMN(A499)),"")</f>
        <v/>
      </c>
      <c r="K500" s="18" t="str" cm="1">
        <f t="array" ref="K500">IFERROR(INDEX(_xlfn.TEXTSPLIT(_xlfn.XLOOKUP($A500&amp;$B500&amp;$C500,盘货信息!$A:$A&amp;盘货信息!$B:$B&amp;盘货信息!$C:$C,盘货信息!$S:$S),CHAR(10),,TRUE),1,COLUMN(B499)),"")</f>
        <v/>
      </c>
      <c r="L500" s="18" t="str" cm="1">
        <f t="array" ref="L500">IFERROR(INDEX(_xlfn.TEXTSPLIT(_xlfn.XLOOKUP($A500&amp;$B500&amp;$C500,盘货信息!$A:$A&amp;盘货信息!$B:$B&amp;盘货信息!$C:$C,盘货信息!$S:$S),CHAR(10),,TRUE),1,COLUMN(C499)),"")</f>
        <v/>
      </c>
      <c r="M500" s="18" t="str" cm="1">
        <f t="array" ref="M500">IFERROR(INDEX(_xlfn.TEXTSPLIT(_xlfn.XLOOKUP($A500&amp;$B500&amp;$C500,盘货信息!$A:$A&amp;盘货信息!$B:$B&amp;盘货信息!$C:$C,盘货信息!$S:$S),CHAR(10),,TRUE),1,COLUMN(D499)),"")</f>
        <v/>
      </c>
      <c r="N500" s="18" t="str" cm="1">
        <f t="array" ref="N500">IFERROR(INDEX(_xlfn.TEXTSPLIT(_xlfn.XLOOKUP($A500&amp;$B500&amp;$C500,盘货信息!$A:$A&amp;盘货信息!$B:$B&amp;盘货信息!$C:$C,盘货信息!$S:$S),CHAR(10),,TRUE),1,COLUMN(E499)),"")</f>
        <v/>
      </c>
    </row>
    <row r="501" customHeight="1" spans="1:14">
      <c r="A501" s="17" t="str">
        <f>IF(盘货信息!A501="","",盘货信息!A501)</f>
        <v/>
      </c>
      <c r="B501" s="17" t="str">
        <f>IF(盘货信息!B501="","",盘货信息!B501)</f>
        <v/>
      </c>
      <c r="C501" s="18" t="str">
        <f>IF(盘货信息!C501="","",盘货信息!C501)</f>
        <v/>
      </c>
      <c r="D501" s="18" t="str">
        <f t="shared" si="7"/>
        <v/>
      </c>
      <c r="E501" s="18" t="str">
        <f>_xlfn.LET(_xlpm.A,IF(ISNUMBER(SEARCH("晒单",J501)),"【晒单】"&amp;MID(J501,SEARCH("晒单",J501)+LEN("晒单"),LEN(J501))&amp;"（需晒单后联系客服登记）",IF(ISNUMBER(SEARCH("包修",J501)),"【购机】"&amp;MID(J501,SEARCH("购机",J501)+LEN("购机"),LEN(J501)),IF(ISNUMBER(SEARCH("叠放支架",J501)),"【赠品】"&amp;MID(J501,SEARCH("购机",J501)+LEN("购机"),LEN(J501)),IF(ISNUMBER(SEARCH("秀图",J501)),"【秀图】"&amp;MID(J501,SEARCH("秀图",J501)+LEN("秀图"),LEN(J501)),"")))),IFERROR(LEFT(_xlpm.A,FIND("【",_xlpm.A,FIND("】",_xlpm.A)+1)-1)&amp;MID(_xlpm.A,FIND("】",_xlpm.A,FIND("】",_xlpm.A)+1)+1,LEN(_xlpm.A)),_xlpm.A))</f>
        <v/>
      </c>
      <c r="F501" s="18" t="str">
        <f>_xlfn.LET(_xlpm.A,IF(ISNUMBER(SEARCH("晒单",K501)),"【晒单】"&amp;MID(K501,SEARCH("晒单",K501)+LEN("晒单"),LEN(K501))&amp;"（需晒单后联系客服登记）",IF(ISNUMBER(SEARCH("包修",K501)),"【购机】"&amp;MID(K501,SEARCH("购机",K501)+LEN("购机"),LEN(K501)),IF(ISNUMBER(SEARCH("叠放支架",K501)),"【赠品】"&amp;MID(K501,SEARCH("购机",K501)+LEN("购机"),LEN(K501)),IF(ISNUMBER(SEARCH("秀图",K501)),"【秀图】"&amp;MID(K501,SEARCH("秀图",K501)+LEN("秀图"),LEN(K501)),"")))),IFERROR(LEFT(_xlpm.A,FIND("【",_xlpm.A,FIND("】",_xlpm.A)+1)-1)&amp;MID(_xlpm.A,FIND("】",_xlpm.A,FIND("】",_xlpm.A)+1)+1,LEN(_xlpm.A)),_xlpm.A))</f>
        <v/>
      </c>
      <c r="G501" s="18" t="str">
        <f>_xlfn.LET(_xlpm.A,IF(ISNUMBER(SEARCH("晒单",L501)),"【晒单】"&amp;MID(L501,SEARCH("晒单",L501)+LEN("晒单"),LEN(L501))&amp;"（需晒单后联系客服登记）",IF(ISNUMBER(SEARCH("包修",L501)),"【购机】"&amp;MID(L501,SEARCH("购机",L501)+LEN("购机"),LEN(L501)),IF(ISNUMBER(SEARCH("叠放支架",L501)),"【赠品】"&amp;MID(L501,SEARCH("购机",L501)+LEN("购机"),LEN(L501)),IF(ISNUMBER(SEARCH("秀图",L501)),"【秀图】"&amp;MID(L501,SEARCH("秀图",L501)+LEN("秀图"),LEN(L501)),"")))),IFERROR(LEFT(_xlpm.A,FIND("【",_xlpm.A,FIND("】",_xlpm.A)+1)-1)&amp;MID(_xlpm.A,FIND("】",_xlpm.A,FIND("】",_xlpm.A)+1)+1,LEN(_xlpm.A)),_xlpm.A))</f>
        <v/>
      </c>
      <c r="H501" s="18" t="str">
        <f>_xlfn.LET(_xlpm.A,IF(ISNUMBER(SEARCH("晒单",M501)),"【晒单】"&amp;MID(M501,SEARCH("晒单",M501)+LEN("晒单"),LEN(M501))&amp;"（需晒单后联系客服登记）",IF(ISNUMBER(SEARCH("包修",M501)),"【购机】"&amp;MID(M501,SEARCH("购机",M501)+LEN("购机"),LEN(M501)),IF(ISNUMBER(SEARCH("叠放支架",M501)),"【赠品】"&amp;MID(M501,SEARCH("购机",M501)+LEN("购机"),LEN(M501)),IF(ISNUMBER(SEARCH("秀图",M501)),"【秀图】"&amp;MID(M501,SEARCH("秀图",M501)+LEN("秀图"),LEN(M501)),"")))),IFERROR(LEFT(_xlpm.A,FIND("【",_xlpm.A,FIND("】",_xlpm.A)+1)-1)&amp;MID(_xlpm.A,FIND("】",_xlpm.A,FIND("】",_xlpm.A)+1)+1,LEN(_xlpm.A)),_xlpm.A))</f>
        <v/>
      </c>
      <c r="I501" s="18" t="str">
        <f>_xlfn.LET(_xlpm.A,IF(ISNUMBER(SEARCH("晒单",N501)),"【晒单】"&amp;MID(N501,SEARCH("晒单",N501)+LEN("晒单"),LEN(N501))&amp;"（需晒单后联系客服登记）",IF(ISNUMBER(SEARCH("包修",N501)),"【购机】"&amp;MID(N501,SEARCH("购机",N501)+LEN("购机"),LEN(N501)),IF(ISNUMBER(SEARCH("叠放支架",N501)),"【赠品】"&amp;MID(N501,SEARCH("购机",N501)+LEN("购机"),LEN(N501)),IF(ISNUMBER(SEARCH("秀图",N501)),"【秀图】"&amp;MID(N501,SEARCH("秀图",N501)+LEN("秀图"),LEN(N501)),"")))),IFERROR(LEFT(_xlpm.A,FIND("【",_xlpm.A,FIND("】",_xlpm.A)+1)-1)&amp;MID(_xlpm.A,FIND("】",_xlpm.A,FIND("】",_xlpm.A)+1)+1,LEN(_xlpm.A)),_xlpm.A))</f>
        <v/>
      </c>
      <c r="J501" s="18" t="str" cm="1">
        <f t="array" ref="J501">IFERROR(INDEX(_xlfn.TEXTSPLIT(_xlfn.XLOOKUP($A501&amp;$B501&amp;$C501,盘货信息!$A:$A&amp;盘货信息!$B:$B&amp;盘货信息!$C:$C,盘货信息!$S:$S),CHAR(10),,TRUE),1,COLUMN(A500)),"")</f>
        <v/>
      </c>
      <c r="K501" s="18" t="str" cm="1">
        <f t="array" ref="K501">IFERROR(INDEX(_xlfn.TEXTSPLIT(_xlfn.XLOOKUP($A501&amp;$B501&amp;$C501,盘货信息!$A:$A&amp;盘货信息!$B:$B&amp;盘货信息!$C:$C,盘货信息!$S:$S),CHAR(10),,TRUE),1,COLUMN(B500)),"")</f>
        <v/>
      </c>
      <c r="L501" s="18" t="str" cm="1">
        <f t="array" ref="L501">IFERROR(INDEX(_xlfn.TEXTSPLIT(_xlfn.XLOOKUP($A501&amp;$B501&amp;$C501,盘货信息!$A:$A&amp;盘货信息!$B:$B&amp;盘货信息!$C:$C,盘货信息!$S:$S),CHAR(10),,TRUE),1,COLUMN(C500)),"")</f>
        <v/>
      </c>
      <c r="M501" s="18" t="str" cm="1">
        <f t="array" ref="M501">IFERROR(INDEX(_xlfn.TEXTSPLIT(_xlfn.XLOOKUP($A501&amp;$B501&amp;$C501,盘货信息!$A:$A&amp;盘货信息!$B:$B&amp;盘货信息!$C:$C,盘货信息!$S:$S),CHAR(10),,TRUE),1,COLUMN(D500)),"")</f>
        <v/>
      </c>
      <c r="N501" s="18" t="str" cm="1">
        <f t="array" ref="N501">IFERROR(INDEX(_xlfn.TEXTSPLIT(_xlfn.XLOOKUP($A501&amp;$B501&amp;$C501,盘货信息!$A:$A&amp;盘货信息!$B:$B&amp;盘货信息!$C:$C,盘货信息!$S:$S),CHAR(10),,TRUE),1,COLUMN(E500)),"")</f>
        <v/>
      </c>
    </row>
  </sheetData>
  <autoFilter xmlns:etc="http://www.wps.cn/officeDocument/2017/etCustomData" ref="A1:N50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1:L8"/>
  <sheetViews>
    <sheetView zoomScale="112" zoomScaleNormal="112" workbookViewId="0">
      <pane xSplit="2" ySplit="1" topLeftCell="C2" activePane="bottomRight" state="frozen"/>
      <selection/>
      <selection pane="topRight"/>
      <selection pane="bottomLeft"/>
      <selection pane="bottomRight" activeCell="A2" sqref="A2"/>
    </sheetView>
  </sheetViews>
  <sheetFormatPr defaultColWidth="11.0833333333333" defaultRowHeight="17.4" outlineLevelRow="7"/>
  <cols>
    <col min="1" max="1" width="11.0833333333333" style="2" customWidth="1"/>
    <col min="2" max="2" width="68.5740740740741" style="3" customWidth="1"/>
    <col min="3" max="3" width="51.5277777777778" style="2" customWidth="1"/>
    <col min="4" max="4" width="69.0555555555556" style="2" customWidth="1"/>
    <col min="5" max="11" width="46.6759259259259" style="2" customWidth="1"/>
    <col min="12" max="12" width="59.9166666666667" style="2" customWidth="1"/>
    <col min="13" max="16384" width="11.0833333333333" style="2" customWidth="1"/>
  </cols>
  <sheetData>
    <row r="1" spans="2:12">
      <c r="C1" s="2" t="s">
        <v>50</v>
      </c>
      <c r="G1" s="2">
        <v>67</v>
      </c>
      <c r="J1" s="2" t="s">
        <v>51</v>
      </c>
    </row>
    <row r="2" spans="2:12">
      <c r="B2" s="4" t="s">
        <v>52</v>
      </c>
      <c r="C2" s="4" t="s">
        <v>53</v>
      </c>
      <c r="D2" s="4" t="s">
        <v>54</v>
      </c>
      <c r="E2" s="5" t="s">
        <v>55</v>
      </c>
      <c r="F2" s="5" t="s">
        <v>56</v>
      </c>
      <c r="G2" s="5" t="s">
        <v>57</v>
      </c>
      <c r="H2" s="5" t="s">
        <v>58</v>
      </c>
      <c r="I2" s="5" t="s">
        <v>59</v>
      </c>
      <c r="J2" s="5" t="s">
        <v>60</v>
      </c>
      <c r="K2" s="5" t="s">
        <v>61</v>
      </c>
      <c r="L2" s="5" t="s">
        <v>62</v>
      </c>
    </row>
    <row r="3" ht="409" customHeight="1" spans="2:12">
      <c r="B3" s="6" t="s">
        <v>63</v>
      </c>
      <c r="C3" s="7" t="s">
        <v>64</v>
      </c>
      <c r="D3" s="7"/>
      <c r="E3" s="7"/>
      <c r="F3" s="7"/>
      <c r="G3" s="8"/>
      <c r="H3" s="9"/>
      <c r="I3" s="9"/>
      <c r="J3" s="9"/>
      <c r="K3" s="9"/>
      <c r="L3" s="9"/>
    </row>
    <row r="4" s="1" customFormat="1" ht="46.8" customHeight="1" spans="2:12">
      <c r="B4" s="1" t="s">
        <v>65</v>
      </c>
      <c r="E4" s="1" t="s">
        <v>66</v>
      </c>
      <c r="F4" s="1" t="s">
        <v>67</v>
      </c>
      <c r="I4" s="1" t="s">
        <v>68</v>
      </c>
      <c r="L4" s="1" t="s">
        <v>69</v>
      </c>
    </row>
    <row r="5" ht="69.6" customHeight="1" spans="2:12">
      <c r="B5" s="3" t="s">
        <v>70</v>
      </c>
      <c r="C5" s="10" t="s">
        <v>71</v>
      </c>
      <c r="D5" s="10" t="s">
        <v>72</v>
      </c>
      <c r="E5" s="10" t="s">
        <v>73</v>
      </c>
      <c r="F5" s="10" t="s">
        <v>74</v>
      </c>
      <c r="G5" s="10" t="s">
        <v>75</v>
      </c>
      <c r="H5" s="10" t="s">
        <v>74</v>
      </c>
      <c r="I5" s="10" t="s">
        <v>76</v>
      </c>
      <c r="J5" s="10" t="s">
        <v>77</v>
      </c>
      <c r="K5" s="10" t="s">
        <v>74</v>
      </c>
      <c r="L5" s="10"/>
    </row>
    <row r="6" ht="69.6" customHeight="1" spans="2:12">
      <c r="D6" s="10" t="s">
        <v>78</v>
      </c>
    </row>
    <row r="8" spans="2:12">
      <c r="D8" s="11"/>
    </row>
  </sheetData>
  <mergeCells count="3">
    <mergeCell ref="C1:F1"/>
    <mergeCell ref="G1:I1"/>
    <mergeCell ref="J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盘货信息</vt:lpstr>
      <vt:lpstr>固定信息</vt:lpstr>
      <vt:lpstr>促销信息</vt:lpstr>
      <vt:lpstr>价格信息</vt:lpstr>
      <vt:lpstr>赠品</vt:lpstr>
      <vt:lpstr>天条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</dc:creator>
  <cp:lastModifiedBy>Rhys</cp:lastModifiedBy>
  <dcterms:created xsi:type="dcterms:W3CDTF">2026-05-27T08:48:00Z</dcterms:created>
  <dcterms:modified xsi:type="dcterms:W3CDTF">2026-07-21T07:50:04Z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66CF0E6B1C5345C8B17DB5D6CB6F42B2_13</vt:lpwstr>
  </property>
  <property fmtid="{D5CDD505-2E9C-101B-9397-08002B2CF9AE}" pid="3" name="KSOProductBuildVer">
    <vt:lpwstr>2052-12.1.0.26899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